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VIAJES" sheetId="1" state="visible" r:id="rId1"/>
    <sheet name="RESUMEN CARGUE" sheetId="2" state="visible" r:id="rId2"/>
    <sheet name="HUERTAS" sheetId="3" state="visible" r:id="rId3"/>
    <sheet name="SERVIAGRO" sheetId="4" state="visible" r:id="rId4"/>
    <sheet name="CONSOLIDADO 2025" sheetId="5" state="visible" r:id="rId5"/>
    <sheet name="INF SAVI X VIAJE 2025" sheetId="6" state="visible" r:id="rId6"/>
    <sheet name="CONSOLIDADO 2026" sheetId="7" state="visible" r:id="rId7"/>
    <sheet name="INF SAV X VIAJE 2026" sheetId="8" state="visible" r:id="rId8"/>
    <sheet name="AUDI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F800]dddd\,\ mmmm\ dd\,\ yyyy"/>
    <numFmt numFmtId="165" formatCode="D/M/YYYY"/>
    <numFmt numFmtId="166" formatCode="_-* #,##0_-;\-* #,##0_-;_-* &quot;-&quot;??_-;_-@"/>
    <numFmt numFmtId="167" formatCode="yyyy-mm-dd h:mm:ss"/>
    <numFmt numFmtId="168" formatCode="[$-F400]h:mm:ss\ AM/PM"/>
    <numFmt numFmtId="169" formatCode="[$-580A]dddd\,\ dd&quot; de &quot;mmmm&quot; de &quot;yyyy"/>
    <numFmt numFmtId="170" formatCode="[$-409]h:mm\ AM/PM"/>
    <numFmt numFmtId="171" formatCode="_-&quot;$&quot;\ * #,##0_-;\-&quot;$&quot;\ * #,##0_-;_-&quot;$&quot;\ * &quot;-&quot;??_-;_-@"/>
  </numFmts>
  <fonts count="24">
    <font>
      <name val="Calibri"/>
      <family val="2"/>
      <color theme="1"/>
      <sz val="11"/>
      <scheme val="minor"/>
    </font>
    <font>
      <name val="Calibri"/>
      <b val="1"/>
      <color theme="1"/>
      <sz val="12"/>
    </font>
    <font>
      <name val="Calibri"/>
      <b val="1"/>
      <color theme="1"/>
      <sz val="11"/>
    </font>
    <font>
      <name val="Calibri"/>
      <color theme="1"/>
      <sz val="12"/>
    </font>
    <font>
      <name val="Calibri"/>
      <color theme="1"/>
      <sz val="11"/>
    </font>
    <font>
      <name val="Calibri"/>
      <color rgb="FFFF0000"/>
      <sz val="11"/>
    </font>
    <font>
      <name val="Calibri"/>
      <color theme="1"/>
      <sz val="11"/>
      <scheme val="minor"/>
    </font>
    <font>
      <name val="Calibri"/>
      <color rgb="FFFF0000"/>
      <sz val="12"/>
    </font>
    <font>
      <name val="Calibri"/>
      <color theme="1"/>
      <sz val="10"/>
    </font>
    <font>
      <name val="Calibri"/>
      <color theme="4"/>
      <sz val="11"/>
    </font>
    <font>
      <name val="Calibri"/>
      <color theme="1"/>
      <scheme val="minor"/>
    </font>
    <font>
      <name val="Candara"/>
      <b val="1"/>
      <color theme="1"/>
      <sz val="11"/>
    </font>
    <font>
      <name val="Candara"/>
      <color theme="1"/>
      <sz val="11"/>
    </font>
    <font>
      <name val="Candara"/>
      <b val="1"/>
      <color theme="1"/>
      <sz val="14"/>
    </font>
    <font>
      <name val="Candara"/>
      <b val="1"/>
      <color theme="1"/>
      <sz val="12"/>
    </font>
    <font>
      <name val="Candara"/>
      <color theme="1"/>
      <sz val="14"/>
    </font>
    <font>
      <name val="Candara"/>
      <color theme="1"/>
      <sz val="12"/>
    </font>
    <font>
      <name val="Candara"/>
      <color rgb="FFFF0000"/>
      <sz val="14"/>
    </font>
    <font>
      <name val="Calibri"/>
      <b val="1"/>
      <color theme="1"/>
      <sz val="20"/>
    </font>
    <font>
      <name val="Calibri"/>
      <b val="1"/>
      <color theme="1"/>
      <sz val="14"/>
    </font>
    <font>
      <name val="Calibri"/>
      <color theme="10"/>
      <sz val="11"/>
      <u val="single"/>
    </font>
    <font>
      <name val="Candara"/>
      <color rgb="FFFF0000"/>
      <sz val="11"/>
    </font>
    <font>
      <name val="Calibri"/>
      <color rgb="FF262626"/>
      <sz val="11"/>
    </font>
    <font>
      <name val="Calibri"/>
      <color theme="1"/>
      <sz val="14"/>
    </font>
  </fonts>
  <fills count="19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9999FF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7CAAC"/>
        <bgColor rgb="FFF7CAAC"/>
      </patternFill>
    </fill>
    <fill>
      <patternFill patternType="solid">
        <fgColor rgb="FFADB9CA"/>
        <bgColor rgb="FFADB9CA"/>
      </patternFill>
    </fill>
    <fill>
      <patternFill patternType="solid">
        <fgColor rgb="FF00B0F0"/>
        <bgColor rgb="FF00B0F0"/>
      </patternFill>
    </fill>
    <fill>
      <patternFill patternType="solid">
        <fgColor rgb="FFEE0000"/>
        <bgColor rgb="FFEE0000"/>
      </patternFill>
    </fill>
    <fill>
      <patternFill patternType="solid">
        <fgColor rgb="FFFF0000"/>
        <bgColor rgb="FFFF0000"/>
      </patternFill>
    </fill>
  </fills>
  <borders count="9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41">
    <xf numFmtId="0" fontId="0" fillId="0" borderId="0" pivotButton="0" quotePrefix="0" xfId="0"/>
    <xf numFmtId="164" fontId="1" fillId="2" borderId="1" applyAlignment="1" pivotButton="0" quotePrefix="0" xfId="0">
      <alignment horizontal="left" wrapText="1"/>
    </xf>
    <xf numFmtId="165" fontId="1" fillId="2" borderId="1" applyAlignment="1" pivotButton="0" quotePrefix="0" xfId="0">
      <alignment horizontal="left" wrapText="1"/>
    </xf>
    <xf numFmtId="165" fontId="1" fillId="3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2" fontId="1" fillId="2" borderId="1" applyAlignment="1" pivotButton="0" quotePrefix="0" xfId="0">
      <alignment horizontal="left" wrapText="1"/>
    </xf>
    <xf numFmtId="166" fontId="1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2" fontId="2" fillId="2" borderId="1" applyAlignment="1" pivotButton="0" quotePrefix="0" xfId="0">
      <alignment wrapText="1"/>
    </xf>
    <xf numFmtId="164" fontId="3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2" fontId="3" fillId="3" borderId="1" applyAlignment="1" pivotButton="0" quotePrefix="0" xfId="0">
      <alignment horizontal="left"/>
    </xf>
    <xf numFmtId="18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8" fontId="4" fillId="0" borderId="1" pivotButton="0" quotePrefix="0" xfId="0"/>
    <xf numFmtId="21" fontId="4" fillId="0" borderId="1" pivotButton="0" quotePrefix="0" xfId="0"/>
    <xf numFmtId="2" fontId="4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/>
    </xf>
    <xf numFmtId="166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2" fontId="4" fillId="0" borderId="1" applyAlignment="1" pivotButton="0" quotePrefix="0" xfId="0">
      <alignment horizontal="left" wrapText="1"/>
    </xf>
    <xf numFmtId="18" fontId="3" fillId="0" borderId="1" pivotButton="0" quotePrefix="0" xfId="0"/>
    <xf numFmtId="164" fontId="3" fillId="3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3" fillId="3" borderId="2" pivotButton="0" quotePrefix="0" xfId="0"/>
    <xf numFmtId="0" fontId="3" fillId="0" borderId="3" applyAlignment="1" pivotButton="0" quotePrefix="0" xfId="0">
      <alignment horizontal="center"/>
    </xf>
    <xf numFmtId="2" fontId="3" fillId="3" borderId="2" applyAlignment="1" pivotButton="0" quotePrefix="0" xfId="0">
      <alignment horizontal="left"/>
    </xf>
    <xf numFmtId="18" fontId="3" fillId="0" borderId="3" pivotButton="0" quotePrefix="0" xfId="0"/>
    <xf numFmtId="0" fontId="3" fillId="0" borderId="3" pivotButton="0" quotePrefix="0" xfId="0"/>
    <xf numFmtId="0" fontId="4" fillId="0" borderId="3" pivotButton="0" quotePrefix="0" xfId="0"/>
    <xf numFmtId="21" fontId="4" fillId="0" borderId="3" pivotButton="0" quotePrefix="0" xfId="0"/>
    <xf numFmtId="2" fontId="4" fillId="0" borderId="3" applyAlignment="1" pivotButton="0" quotePrefix="0" xfId="0">
      <alignment horizontal="left" wrapText="1"/>
    </xf>
    <xf numFmtId="164" fontId="3" fillId="3" borderId="4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3" borderId="5" pivotButton="0" quotePrefix="0" xfId="0"/>
    <xf numFmtId="0" fontId="3" fillId="0" borderId="5" applyAlignment="1" pivotButton="0" quotePrefix="0" xfId="0">
      <alignment horizontal="center"/>
    </xf>
    <xf numFmtId="2" fontId="3" fillId="3" borderId="5" applyAlignment="1" pivotButton="0" quotePrefix="0" xfId="0">
      <alignment horizontal="left"/>
    </xf>
    <xf numFmtId="18" fontId="3" fillId="0" borderId="5" pivotButton="0" quotePrefix="0" xfId="0"/>
    <xf numFmtId="0" fontId="3" fillId="0" borderId="5" pivotButton="0" quotePrefix="0" xfId="0"/>
    <xf numFmtId="18" fontId="4" fillId="0" borderId="5" pivotButton="0" quotePrefix="0" xfId="0"/>
    <xf numFmtId="21" fontId="4" fillId="0" borderId="5" pivotButton="0" quotePrefix="0" xfId="0"/>
    <xf numFmtId="2" fontId="4" fillId="0" borderId="6" applyAlignment="1" pivotButton="0" quotePrefix="0" xfId="0">
      <alignment horizontal="left" wrapText="1"/>
    </xf>
    <xf numFmtId="164" fontId="3" fillId="3" borderId="7" applyAlignment="1" pivotButton="0" quotePrefix="0" xfId="0">
      <alignment horizontal="left"/>
    </xf>
    <xf numFmtId="18" fontId="4" fillId="0" borderId="1" pivotButton="0" quotePrefix="0" xfId="0"/>
    <xf numFmtId="2" fontId="4" fillId="0" borderId="8" applyAlignment="1" pivotButton="0" quotePrefix="0" xfId="0">
      <alignment horizontal="left" wrapText="1"/>
    </xf>
    <xf numFmtId="2" fontId="5" fillId="0" borderId="8" applyAlignment="1" pivotButton="0" quotePrefix="0" xfId="0">
      <alignment horizontal="left" wrapText="1"/>
    </xf>
    <xf numFmtId="164" fontId="3" fillId="3" borderId="9" applyAlignment="1" pivotButton="0" quotePrefix="0" xfId="0">
      <alignment horizontal="left"/>
    </xf>
    <xf numFmtId="0" fontId="3" fillId="0" borderId="10" applyAlignment="1" pivotButton="0" quotePrefix="0" xfId="0">
      <alignment horizontal="left"/>
    </xf>
    <xf numFmtId="0" fontId="3" fillId="3" borderId="10" pivotButton="0" quotePrefix="0" xfId="0"/>
    <xf numFmtId="0" fontId="3" fillId="0" borderId="10" applyAlignment="1" pivotButton="0" quotePrefix="0" xfId="0">
      <alignment horizontal="center"/>
    </xf>
    <xf numFmtId="2" fontId="3" fillId="3" borderId="10" applyAlignment="1" pivotButton="0" quotePrefix="0" xfId="0">
      <alignment horizontal="left"/>
    </xf>
    <xf numFmtId="18" fontId="3" fillId="0" borderId="10" pivotButton="0" quotePrefix="0" xfId="0"/>
    <xf numFmtId="0" fontId="3" fillId="0" borderId="10" pivotButton="0" quotePrefix="0" xfId="0"/>
    <xf numFmtId="18" fontId="4" fillId="0" borderId="10" pivotButton="0" quotePrefix="0" xfId="0"/>
    <xf numFmtId="21" fontId="4" fillId="0" borderId="10" pivotButton="0" quotePrefix="0" xfId="0"/>
    <xf numFmtId="2" fontId="4" fillId="0" borderId="11" applyAlignment="1" pivotButton="0" quotePrefix="0" xfId="0">
      <alignment horizontal="left" wrapText="1"/>
    </xf>
    <xf numFmtId="2" fontId="5" fillId="0" borderId="1" applyAlignment="1" pivotButton="0" quotePrefix="0" xfId="0">
      <alignment horizontal="left" wrapText="1"/>
    </xf>
    <xf numFmtId="0" fontId="4" fillId="0" borderId="10" pivotButton="0" quotePrefix="0" xfId="0"/>
    <xf numFmtId="0" fontId="4" fillId="0" borderId="5" pivotButton="0" quotePrefix="0" xfId="0"/>
    <xf numFmtId="2" fontId="5" fillId="0" borderId="6" applyAlignment="1" pivotButton="0" quotePrefix="0" xfId="0">
      <alignment horizontal="left" wrapText="1"/>
    </xf>
    <xf numFmtId="0" fontId="5" fillId="0" borderId="10" pivotButton="0" quotePrefix="0" xfId="0"/>
    <xf numFmtId="2" fontId="5" fillId="0" borderId="10" applyAlignment="1" pivotButton="0" quotePrefix="0" xfId="0">
      <alignment wrapText="1"/>
    </xf>
    <xf numFmtId="18" fontId="3" fillId="0" borderId="12" pivotButton="0" quotePrefix="0" xfId="0"/>
    <xf numFmtId="164" fontId="3" fillId="3" borderId="13" applyAlignment="1" pivotButton="0" quotePrefix="0" xfId="0">
      <alignment horizontal="left"/>
    </xf>
    <xf numFmtId="18" fontId="4" fillId="0" borderId="3" pivotButton="0" quotePrefix="0" xfId="0"/>
    <xf numFmtId="2" fontId="4" fillId="0" borderId="14" applyAlignment="1" pivotButton="0" quotePrefix="0" xfId="0">
      <alignment horizontal="left" wrapText="1"/>
    </xf>
    <xf numFmtId="2" fontId="5" fillId="0" borderId="11" applyAlignment="1" pivotButton="0" quotePrefix="0" xfId="0">
      <alignment horizontal="left" wrapText="1"/>
    </xf>
    <xf numFmtId="164" fontId="3" fillId="3" borderId="15" applyAlignment="1" pivotButton="0" quotePrefix="0" xfId="0">
      <alignment horizontal="left"/>
    </xf>
    <xf numFmtId="0" fontId="3" fillId="0" borderId="16" applyAlignment="1" pivotButton="0" quotePrefix="0" xfId="0">
      <alignment horizontal="left"/>
    </xf>
    <xf numFmtId="0" fontId="3" fillId="3" borderId="17" pivotButton="0" quotePrefix="0" xfId="0"/>
    <xf numFmtId="0" fontId="3" fillId="0" borderId="16" applyAlignment="1" pivotButton="0" quotePrefix="0" xfId="0">
      <alignment horizontal="center"/>
    </xf>
    <xf numFmtId="2" fontId="3" fillId="3" borderId="17" applyAlignment="1" pivotButton="0" quotePrefix="0" xfId="0">
      <alignment horizontal="left"/>
    </xf>
    <xf numFmtId="18" fontId="3" fillId="0" borderId="16" pivotButton="0" quotePrefix="0" xfId="0"/>
    <xf numFmtId="0" fontId="3" fillId="0" borderId="16" pivotButton="0" quotePrefix="0" xfId="0"/>
    <xf numFmtId="18" fontId="4" fillId="0" borderId="16" pivotButton="0" quotePrefix="0" xfId="0"/>
    <xf numFmtId="21" fontId="4" fillId="0" borderId="16" pivotButton="0" quotePrefix="0" xfId="0"/>
    <xf numFmtId="2" fontId="4" fillId="0" borderId="18" applyAlignment="1" pivotButton="0" quotePrefix="0" xfId="0">
      <alignment horizontal="left" wrapText="1"/>
    </xf>
    <xf numFmtId="0" fontId="3" fillId="0" borderId="12" applyAlignment="1" pivotButton="0" quotePrefix="0" xfId="0">
      <alignment horizontal="center"/>
    </xf>
    <xf numFmtId="18" fontId="3" fillId="0" borderId="19" pivotButton="0" quotePrefix="0" xfId="0"/>
    <xf numFmtId="21" fontId="5" fillId="0" borderId="5" pivotButton="0" quotePrefix="0" xfId="0"/>
    <xf numFmtId="21" fontId="5" fillId="0" borderId="1" pivotButton="0" quotePrefix="0" xfId="0"/>
    <xf numFmtId="18" fontId="4" fillId="0" borderId="12" pivotButton="0" quotePrefix="0" xfId="0"/>
    <xf numFmtId="164" fontId="3" fillId="3" borderId="20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3" fillId="3" borderId="21" pivotButton="0" quotePrefix="0" xfId="0"/>
    <xf numFmtId="0" fontId="3" fillId="0" borderId="12" pivotButton="0" quotePrefix="0" xfId="0"/>
    <xf numFmtId="0" fontId="4" fillId="0" borderId="12" pivotButton="0" quotePrefix="0" xfId="0"/>
    <xf numFmtId="21" fontId="4" fillId="0" borderId="12" pivotButton="0" quotePrefix="0" xfId="0"/>
    <xf numFmtId="2" fontId="4" fillId="0" borderId="22" applyAlignment="1" pivotButton="0" quotePrefix="0" xfId="0">
      <alignment horizontal="left" wrapText="1"/>
    </xf>
    <xf numFmtId="164" fontId="3" fillId="3" borderId="23" applyAlignment="1" pivotButton="0" quotePrefix="0" xfId="0">
      <alignment horizontal="left"/>
    </xf>
    <xf numFmtId="0" fontId="3" fillId="0" borderId="19" applyAlignment="1" pivotButton="0" quotePrefix="0" xfId="0">
      <alignment horizontal="center"/>
    </xf>
    <xf numFmtId="2" fontId="3" fillId="3" borderId="21" applyAlignment="1" pivotButton="0" quotePrefix="0" xfId="0">
      <alignment horizontal="left"/>
    </xf>
    <xf numFmtId="164" fontId="3" fillId="3" borderId="24" applyAlignment="1" pivotButton="0" quotePrefix="0" xfId="0">
      <alignment horizontal="left"/>
    </xf>
    <xf numFmtId="0" fontId="3" fillId="0" borderId="25" applyAlignment="1" pivotButton="0" quotePrefix="0" xfId="0">
      <alignment horizontal="left"/>
    </xf>
    <xf numFmtId="0" fontId="3" fillId="3" borderId="26" pivotButton="0" quotePrefix="0" xfId="0"/>
    <xf numFmtId="0" fontId="3" fillId="0" borderId="25" applyAlignment="1" pivotButton="0" quotePrefix="0" xfId="0">
      <alignment horizontal="center"/>
    </xf>
    <xf numFmtId="2" fontId="3" fillId="3" borderId="26" applyAlignment="1" pivotButton="0" quotePrefix="0" xfId="0">
      <alignment horizontal="left"/>
    </xf>
    <xf numFmtId="0" fontId="3" fillId="0" borderId="25" pivotButton="0" quotePrefix="0" xfId="0"/>
    <xf numFmtId="0" fontId="4" fillId="0" borderId="25" pivotButton="0" quotePrefix="0" xfId="0"/>
    <xf numFmtId="21" fontId="4" fillId="0" borderId="25" pivotButton="0" quotePrefix="0" xfId="0"/>
    <xf numFmtId="2" fontId="4" fillId="0" borderId="27" applyAlignment="1" pivotButton="0" quotePrefix="0" xfId="0">
      <alignment horizontal="left" wrapText="1"/>
    </xf>
    <xf numFmtId="2" fontId="4" fillId="4" borderId="6" applyAlignment="1" pivotButton="0" quotePrefix="0" xfId="0">
      <alignment horizontal="left" wrapText="1"/>
    </xf>
    <xf numFmtId="164" fontId="3" fillId="3" borderId="21" applyAlignment="1" pivotButton="0" quotePrefix="0" xfId="0">
      <alignment horizontal="left"/>
    </xf>
    <xf numFmtId="2" fontId="4" fillId="0" borderId="12" applyAlignment="1" pivotButton="0" quotePrefix="0" xfId="0">
      <alignment horizontal="left" wrapText="1"/>
    </xf>
    <xf numFmtId="0" fontId="3" fillId="0" borderId="6" pivotButton="0" quotePrefix="0" xfId="0"/>
    <xf numFmtId="0" fontId="4" fillId="0" borderId="28" pivotButton="0" quotePrefix="0" xfId="0"/>
    <xf numFmtId="0" fontId="3" fillId="0" borderId="8" pivotButton="0" quotePrefix="0" xfId="0"/>
    <xf numFmtId="0" fontId="4" fillId="0" borderId="29" pivotButton="0" quotePrefix="0" xfId="0"/>
    <xf numFmtId="0" fontId="4" fillId="0" borderId="30" pivotButton="0" quotePrefix="0" xfId="0"/>
    <xf numFmtId="0" fontId="6" fillId="0" borderId="31" pivotButton="0" quotePrefix="0" xfId="0"/>
    <xf numFmtId="21" fontId="4" fillId="0" borderId="31" pivotButton="0" quotePrefix="0" xfId="0"/>
    <xf numFmtId="2" fontId="4" fillId="0" borderId="31" applyAlignment="1" pivotButton="0" quotePrefix="0" xfId="0">
      <alignment horizontal="left" wrapText="1"/>
    </xf>
    <xf numFmtId="0" fontId="3" fillId="0" borderId="14" pivotButton="0" quotePrefix="0" xfId="0"/>
    <xf numFmtId="164" fontId="7" fillId="3" borderId="4" applyAlignment="1" pivotButton="0" quotePrefix="0" xfId="0">
      <alignment horizontal="left"/>
    </xf>
    <xf numFmtId="0" fontId="3" fillId="0" borderId="11" pivotButton="0" quotePrefix="0" xfId="0"/>
    <xf numFmtId="0" fontId="7" fillId="0" borderId="12" pivotButton="0" quotePrefix="0" xfId="0"/>
    <xf numFmtId="0" fontId="3" fillId="0" borderId="22" pivotButton="0" quotePrefix="0" xfId="0"/>
    <xf numFmtId="164" fontId="3" fillId="3" borderId="32" applyAlignment="1" pivotButton="0" quotePrefix="0" xfId="0">
      <alignment horizontal="left"/>
    </xf>
    <xf numFmtId="0" fontId="3" fillId="0" borderId="33" applyAlignment="1" pivotButton="0" quotePrefix="0" xfId="0">
      <alignment horizontal="left"/>
    </xf>
    <xf numFmtId="164" fontId="3" fillId="3" borderId="34" applyAlignment="1" pivotButton="0" quotePrefix="0" xfId="0">
      <alignment horizontal="left"/>
    </xf>
    <xf numFmtId="0" fontId="3" fillId="0" borderId="29" applyAlignment="1" pivotButton="0" quotePrefix="0" xfId="0">
      <alignment horizontal="left"/>
    </xf>
    <xf numFmtId="164" fontId="3" fillId="3" borderId="35" applyAlignment="1" pivotButton="0" quotePrefix="0" xfId="0">
      <alignment horizontal="left"/>
    </xf>
    <xf numFmtId="0" fontId="3" fillId="0" borderId="36" applyAlignment="1" pivotButton="0" quotePrefix="0" xfId="0">
      <alignment horizontal="left"/>
    </xf>
    <xf numFmtId="164" fontId="3" fillId="3" borderId="37" applyAlignment="1" pivotButton="0" quotePrefix="0" xfId="0">
      <alignment horizontal="left"/>
    </xf>
    <xf numFmtId="0" fontId="3" fillId="0" borderId="31" applyAlignment="1" pivotButton="0" quotePrefix="0" xfId="0">
      <alignment horizontal="left"/>
    </xf>
    <xf numFmtId="0" fontId="3" fillId="3" borderId="37" pivotButton="0" quotePrefix="0" xfId="0"/>
    <xf numFmtId="0" fontId="3" fillId="0" borderId="31" applyAlignment="1" pivotButton="0" quotePrefix="0" xfId="0">
      <alignment horizontal="center"/>
    </xf>
    <xf numFmtId="2" fontId="3" fillId="3" borderId="37" applyAlignment="1" pivotButton="0" quotePrefix="0" xfId="0">
      <alignment horizontal="left"/>
    </xf>
    <xf numFmtId="0" fontId="3" fillId="0" borderId="31" pivotButton="0" quotePrefix="0" xfId="0"/>
    <xf numFmtId="0" fontId="4" fillId="0" borderId="31" pivotButton="0" quotePrefix="0" xfId="0"/>
    <xf numFmtId="169" fontId="4" fillId="2" borderId="24" applyAlignment="1" pivotButton="0" quotePrefix="0" xfId="0">
      <alignment horizontal="left" vertical="center" wrapText="1"/>
    </xf>
    <xf numFmtId="0" fontId="8" fillId="2" borderId="26" applyAlignment="1" pivotButton="0" quotePrefix="0" xfId="0">
      <alignment horizontal="center" vertical="center" wrapText="1"/>
    </xf>
    <xf numFmtId="170" fontId="8" fillId="2" borderId="26" applyAlignment="1" pivotButton="0" quotePrefix="0" xfId="0">
      <alignment horizontal="center" vertical="center" wrapText="1"/>
    </xf>
    <xf numFmtId="0" fontId="8" fillId="2" borderId="26" applyAlignment="1" pivotButton="0" quotePrefix="0" xfId="0">
      <alignment horizontal="center" wrapText="1"/>
    </xf>
    <xf numFmtId="0" fontId="8" fillId="2" borderId="38" applyAlignment="1" pivotButton="0" quotePrefix="0" xfId="0">
      <alignment horizontal="center" wrapText="1"/>
    </xf>
    <xf numFmtId="0" fontId="9" fillId="0" borderId="31" pivotButton="0" quotePrefix="0" xfId="0"/>
    <xf numFmtId="169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18" fontId="9" fillId="0" borderId="1" pivotButton="0" quotePrefix="0" xfId="0"/>
    <xf numFmtId="0" fontId="9" fillId="3" borderId="1" applyAlignment="1" pivotButton="0" quotePrefix="0" xfId="0">
      <alignment horizontal="center"/>
    </xf>
    <xf numFmtId="0" fontId="9" fillId="0" borderId="1" pivotButton="0" quotePrefix="0" xfId="0"/>
    <xf numFmtId="0" fontId="2" fillId="0" borderId="31" pivotButton="0" quotePrefix="0" xfId="0"/>
    <xf numFmtId="0" fontId="10" fillId="0" borderId="31" pivotButton="0" quotePrefix="0" xfId="0"/>
    <xf numFmtId="169" fontId="4" fillId="0" borderId="1" applyAlignment="1" pivotButton="0" quotePrefix="0" xfId="0">
      <alignment horizontal="left"/>
    </xf>
    <xf numFmtId="170" fontId="4" fillId="0" borderId="1" pivotButton="0" quotePrefix="0" xfId="0"/>
    <xf numFmtId="0" fontId="4" fillId="2" borderId="1" pivotButton="0" quotePrefix="0" xfId="0"/>
    <xf numFmtId="170" fontId="9" fillId="0" borderId="1" pivotButton="0" quotePrefix="0" xfId="0"/>
    <xf numFmtId="169" fontId="4" fillId="0" borderId="3" applyAlignment="1" pivotButton="0" quotePrefix="0" xfId="0">
      <alignment horizontal="left"/>
    </xf>
    <xf numFmtId="170" fontId="4" fillId="0" borderId="3" pivotButton="0" quotePrefix="0" xfId="0"/>
    <xf numFmtId="0" fontId="4" fillId="2" borderId="2" pivotButton="0" quotePrefix="0" xfId="0"/>
    <xf numFmtId="169" fontId="4" fillId="0" borderId="31" applyAlignment="1" pivotButton="0" quotePrefix="0" xfId="0">
      <alignment horizontal="left"/>
    </xf>
    <xf numFmtId="170" fontId="4" fillId="0" borderId="31" pivotButton="0" quotePrefix="0" xfId="0"/>
    <xf numFmtId="0" fontId="11" fillId="0" borderId="31" applyAlignment="1" pivotButton="0" quotePrefix="0" xfId="0">
      <alignment horizontal="center" vertical="center"/>
    </xf>
    <xf numFmtId="0" fontId="11" fillId="5" borderId="39" pivotButton="0" quotePrefix="0" xfId="0"/>
    <xf numFmtId="0" fontId="11" fillId="5" borderId="39" applyAlignment="1" pivotButton="0" quotePrefix="0" xfId="0">
      <alignment horizontal="center" vertical="center"/>
    </xf>
    <xf numFmtId="0" fontId="11" fillId="5" borderId="40" applyAlignment="1" pivotButton="0" quotePrefix="0" xfId="0">
      <alignment horizontal="center" vertical="center"/>
    </xf>
    <xf numFmtId="0" fontId="11" fillId="5" borderId="41" applyAlignment="1" pivotButton="0" quotePrefix="0" xfId="0">
      <alignment horizontal="center" vertical="center"/>
    </xf>
    <xf numFmtId="0" fontId="11" fillId="5" borderId="42" applyAlignment="1" pivotButton="0" quotePrefix="0" xfId="0">
      <alignment horizontal="center" vertical="center"/>
    </xf>
    <xf numFmtId="0" fontId="12" fillId="0" borderId="31" pivotButton="0" quotePrefix="0" xfId="0"/>
    <xf numFmtId="0" fontId="12" fillId="6" borderId="1" pivotButton="0" quotePrefix="0" xfId="0"/>
    <xf numFmtId="165" fontId="4" fillId="3" borderId="1" pivotButton="0" quotePrefix="0" xfId="0"/>
    <xf numFmtId="0" fontId="12" fillId="3" borderId="1" pivotButton="0" quotePrefix="0" xfId="0"/>
    <xf numFmtId="0" fontId="12" fillId="0" borderId="1" pivotButton="0" quotePrefix="0" xfId="0"/>
    <xf numFmtId="0" fontId="13" fillId="0" borderId="31" applyAlignment="1" pivotButton="0" quotePrefix="0" xfId="0">
      <alignment horizontal="center" vertical="center"/>
    </xf>
    <xf numFmtId="0" fontId="14" fillId="5" borderId="39" pivotButton="0" quotePrefix="0" xfId="0"/>
    <xf numFmtId="0" fontId="14" fillId="5" borderId="39" applyAlignment="1" pivotButton="0" quotePrefix="0" xfId="0">
      <alignment horizontal="center" vertical="center"/>
    </xf>
    <xf numFmtId="0" fontId="14" fillId="5" borderId="40" applyAlignment="1" pivotButton="0" quotePrefix="0" xfId="0">
      <alignment horizontal="center" vertical="center"/>
    </xf>
    <xf numFmtId="0" fontId="13" fillId="5" borderId="41" applyAlignment="1" pivotButton="0" quotePrefix="0" xfId="0">
      <alignment horizontal="center" vertical="center"/>
    </xf>
    <xf numFmtId="0" fontId="13" fillId="5" borderId="39" applyAlignment="1" pivotButton="0" quotePrefix="0" xfId="0">
      <alignment horizontal="center" vertical="center"/>
    </xf>
    <xf numFmtId="0" fontId="13" fillId="5" borderId="40" applyAlignment="1" pivotButton="0" quotePrefix="0" xfId="0">
      <alignment horizontal="center" vertical="center"/>
    </xf>
    <xf numFmtId="0" fontId="13" fillId="5" borderId="42" applyAlignment="1" pivotButton="0" quotePrefix="0" xfId="0">
      <alignment horizontal="center" vertical="center"/>
    </xf>
    <xf numFmtId="0" fontId="15" fillId="0" borderId="31" pivotButton="0" quotePrefix="0" xfId="0"/>
    <xf numFmtId="0" fontId="16" fillId="3" borderId="4" pivotButton="0" quotePrefix="0" xfId="0"/>
    <xf numFmtId="165" fontId="1" fillId="3" borderId="5" pivotButton="0" quotePrefix="0" xfId="0"/>
    <xf numFmtId="0" fontId="16" fillId="3" borderId="5" pivotButton="0" quotePrefix="0" xfId="0"/>
    <xf numFmtId="0" fontId="15" fillId="3" borderId="5" pivotButton="0" quotePrefix="0" xfId="0"/>
    <xf numFmtId="0" fontId="15" fillId="3" borderId="6" pivotButton="0" quotePrefix="0" xfId="0"/>
    <xf numFmtId="0" fontId="16" fillId="3" borderId="7" pivotButton="0" quotePrefix="0" xfId="0"/>
    <xf numFmtId="165" fontId="3" fillId="3" borderId="1" pivotButton="0" quotePrefix="0" xfId="0"/>
    <xf numFmtId="0" fontId="16" fillId="3" borderId="1" pivotButton="0" quotePrefix="0" xfId="0"/>
    <xf numFmtId="0" fontId="15" fillId="3" borderId="1" pivotButton="0" quotePrefix="0" xfId="0"/>
    <xf numFmtId="0" fontId="15" fillId="3" borderId="8" pivotButton="0" quotePrefix="0" xfId="0"/>
    <xf numFmtId="165" fontId="1" fillId="3" borderId="1" pivotButton="0" quotePrefix="0" xfId="0"/>
    <xf numFmtId="0" fontId="16" fillId="0" borderId="1" pivotButton="0" quotePrefix="0" xfId="0"/>
    <xf numFmtId="0" fontId="15" fillId="0" borderId="1" pivotButton="0" quotePrefix="0" xfId="0"/>
    <xf numFmtId="0" fontId="15" fillId="0" borderId="8" pivotButton="0" quotePrefix="0" xfId="0"/>
    <xf numFmtId="0" fontId="11" fillId="0" borderId="31" pivotButton="0" quotePrefix="0" xfId="0"/>
    <xf numFmtId="0" fontId="12" fillId="0" borderId="31" applyAlignment="1" pivotButton="0" quotePrefix="0" xfId="0">
      <alignment horizontal="right"/>
    </xf>
    <xf numFmtId="0" fontId="16" fillId="3" borderId="9" pivotButton="0" quotePrefix="0" xfId="0"/>
    <xf numFmtId="165" fontId="3" fillId="3" borderId="10" pivotButton="0" quotePrefix="0" xfId="0"/>
    <xf numFmtId="0" fontId="16" fillId="0" borderId="10" pivotButton="0" quotePrefix="0" xfId="0"/>
    <xf numFmtId="0" fontId="15" fillId="0" borderId="10" pivotButton="0" quotePrefix="0" xfId="0"/>
    <xf numFmtId="0" fontId="15" fillId="0" borderId="11" pivotButton="0" quotePrefix="0" xfId="0"/>
    <xf numFmtId="0" fontId="16" fillId="3" borderId="13" pivotButton="0" quotePrefix="0" xfId="0"/>
    <xf numFmtId="165" fontId="3" fillId="3" borderId="2" pivotButton="0" quotePrefix="0" xfId="0"/>
    <xf numFmtId="0" fontId="16" fillId="3" borderId="2" pivotButton="0" quotePrefix="0" xfId="0"/>
    <xf numFmtId="0" fontId="15" fillId="3" borderId="2" pivotButton="0" quotePrefix="0" xfId="0"/>
    <xf numFmtId="0" fontId="15" fillId="3" borderId="43" pivotButton="0" quotePrefix="0" xfId="0"/>
    <xf numFmtId="0" fontId="16" fillId="0" borderId="3" pivotButton="0" quotePrefix="0" xfId="0"/>
    <xf numFmtId="0" fontId="15" fillId="0" borderId="3" pivotButton="0" quotePrefix="0" xfId="0"/>
    <xf numFmtId="0" fontId="15" fillId="0" borderId="14" pivotButton="0" quotePrefix="0" xfId="0"/>
    <xf numFmtId="0" fontId="16" fillId="0" borderId="5" pivotButton="0" quotePrefix="0" xfId="0"/>
    <xf numFmtId="0" fontId="15" fillId="0" borderId="5" pivotButton="0" quotePrefix="0" xfId="0"/>
    <xf numFmtId="0" fontId="15" fillId="0" borderId="6" pivotButton="0" quotePrefix="0" xfId="0"/>
    <xf numFmtId="0" fontId="16" fillId="0" borderId="4" pivotButton="0" quotePrefix="0" xfId="0"/>
    <xf numFmtId="165" fontId="1" fillId="0" borderId="5" pivotButton="0" quotePrefix="0" xfId="0"/>
    <xf numFmtId="0" fontId="16" fillId="0" borderId="7" pivotButton="0" quotePrefix="0" xfId="0"/>
    <xf numFmtId="165" fontId="3" fillId="0" borderId="1" pivotButton="0" quotePrefix="0" xfId="0"/>
    <xf numFmtId="0" fontId="16" fillId="0" borderId="9" pivotButton="0" quotePrefix="0" xfId="0"/>
    <xf numFmtId="165" fontId="3" fillId="0" borderId="10" pivotButton="0" quotePrefix="0" xfId="0"/>
    <xf numFmtId="0" fontId="16" fillId="0" borderId="44" pivotButton="0" quotePrefix="0" xfId="0"/>
    <xf numFmtId="165" fontId="1" fillId="0" borderId="12" pivotButton="0" quotePrefix="0" xfId="0"/>
    <xf numFmtId="0" fontId="16" fillId="0" borderId="12" pivotButton="0" quotePrefix="0" xfId="0"/>
    <xf numFmtId="0" fontId="15" fillId="0" borderId="12" pivotButton="0" quotePrefix="0" xfId="0"/>
    <xf numFmtId="0" fontId="15" fillId="0" borderId="22" pivotButton="0" quotePrefix="0" xfId="0"/>
    <xf numFmtId="165" fontId="3" fillId="0" borderId="5" pivotButton="0" quotePrefix="0" xfId="0"/>
    <xf numFmtId="165" fontId="3" fillId="3" borderId="5" pivotButton="0" quotePrefix="0" xfId="0"/>
    <xf numFmtId="0" fontId="16" fillId="6" borderId="1" pivotButton="0" quotePrefix="0" xfId="0"/>
    <xf numFmtId="0" fontId="15" fillId="6" borderId="1" pivotButton="0" quotePrefix="0" xfId="0"/>
    <xf numFmtId="0" fontId="12" fillId="3" borderId="4" pivotButton="0" quotePrefix="0" xfId="0"/>
    <xf numFmtId="165" fontId="4" fillId="3" borderId="5" pivotButton="0" quotePrefix="0" xfId="0"/>
    <xf numFmtId="0" fontId="12" fillId="3" borderId="5" pivotButton="0" quotePrefix="0" xfId="0"/>
    <xf numFmtId="0" fontId="12" fillId="3" borderId="7" pivotButton="0" quotePrefix="0" xfId="0"/>
    <xf numFmtId="0" fontId="12" fillId="3" borderId="9" pivotButton="0" quotePrefix="0" xfId="0"/>
    <xf numFmtId="165" fontId="4" fillId="3" borderId="10" pivotButton="0" quotePrefix="0" xfId="0"/>
    <xf numFmtId="0" fontId="12" fillId="0" borderId="10" pivotButton="0" quotePrefix="0" xfId="0"/>
    <xf numFmtId="0" fontId="17" fillId="0" borderId="10" pivotButton="0" quotePrefix="0" xfId="0"/>
    <xf numFmtId="0" fontId="12" fillId="0" borderId="31" applyAlignment="1" pivotButton="0" quotePrefix="0" xfId="0">
      <alignment vertical="top" wrapText="1"/>
    </xf>
    <xf numFmtId="0" fontId="12" fillId="3" borderId="6" pivotButton="0" quotePrefix="0" xfId="0"/>
    <xf numFmtId="0" fontId="12" fillId="3" borderId="8" pivotButton="0" quotePrefix="0" xfId="0"/>
    <xf numFmtId="0" fontId="12" fillId="0" borderId="8" pivotButton="0" quotePrefix="0" xfId="0"/>
    <xf numFmtId="0" fontId="12" fillId="0" borderId="11" pivotButton="0" quotePrefix="0" xfId="0"/>
    <xf numFmtId="3" fontId="11" fillId="0" borderId="45" pivotButton="0" quotePrefix="0" xfId="0"/>
    <xf numFmtId="165" fontId="4" fillId="0" borderId="31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/>
    </xf>
    <xf numFmtId="0" fontId="4" fillId="0" borderId="31" applyAlignment="1" pivotButton="0" quotePrefix="0" xfId="0">
      <alignment horizontal="center" vertical="center"/>
    </xf>
    <xf numFmtId="168" fontId="4" fillId="0" borderId="31" applyAlignment="1" pivotButton="0" quotePrefix="0" xfId="0">
      <alignment horizontal="center" vertical="center"/>
    </xf>
    <xf numFmtId="166" fontId="4" fillId="0" borderId="31" applyAlignment="1" pivotButton="0" quotePrefix="0" xfId="0">
      <alignment horizontal="center" vertical="center"/>
    </xf>
    <xf numFmtId="166" fontId="2" fillId="0" borderId="31" pivotButton="0" quotePrefix="0" xfId="0"/>
    <xf numFmtId="171" fontId="4" fillId="0" borderId="31" pivotButton="0" quotePrefix="0" xfId="0"/>
    <xf numFmtId="0" fontId="18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vertical="center"/>
    </xf>
    <xf numFmtId="166" fontId="18" fillId="0" borderId="31" applyAlignment="1" pivotButton="0" quotePrefix="0" xfId="0">
      <alignment horizontal="center" vertical="center"/>
    </xf>
    <xf numFmtId="165" fontId="19" fillId="7" borderId="45" applyAlignment="1" pivotButton="0" quotePrefix="0" xfId="0">
      <alignment horizontal="center" vertical="center"/>
    </xf>
    <xf numFmtId="0" fontId="19" fillId="7" borderId="45" applyAlignment="1" pivotButton="0" quotePrefix="0" xfId="0">
      <alignment horizontal="center" vertical="center" wrapText="1"/>
    </xf>
    <xf numFmtId="0" fontId="19" fillId="7" borderId="45" applyAlignment="1" pivotButton="0" quotePrefix="0" xfId="0">
      <alignment horizontal="center" vertical="center"/>
    </xf>
    <xf numFmtId="0" fontId="19" fillId="7" borderId="46" applyAlignment="1" pivotButton="0" quotePrefix="0" xfId="0">
      <alignment horizontal="center" vertical="center"/>
    </xf>
    <xf numFmtId="0" fontId="1" fillId="7" borderId="45" applyAlignment="1" pivotButton="0" quotePrefix="0" xfId="0">
      <alignment horizontal="center" vertical="center" wrapText="1"/>
    </xf>
    <xf numFmtId="168" fontId="19" fillId="7" borderId="45" applyAlignment="1" pivotButton="0" quotePrefix="0" xfId="0">
      <alignment horizontal="center" vertical="center" wrapText="1"/>
    </xf>
    <xf numFmtId="166" fontId="19" fillId="7" borderId="45" applyAlignment="1" pivotButton="0" quotePrefix="0" xfId="0">
      <alignment horizontal="center" vertical="center"/>
    </xf>
    <xf numFmtId="166" fontId="19" fillId="7" borderId="47" applyAlignment="1" pivotButton="0" quotePrefix="0" xfId="0">
      <alignment horizontal="center" vertical="center" wrapText="1"/>
    </xf>
    <xf numFmtId="0" fontId="4" fillId="8" borderId="37" pivotButton="0" quotePrefix="0" xfId="0"/>
    <xf numFmtId="165" fontId="4" fillId="9" borderId="45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166" fontId="4" fillId="0" borderId="5" applyAlignment="1" pivotButton="0" quotePrefix="0" xfId="0">
      <alignment horizontal="center" vertical="center"/>
    </xf>
    <xf numFmtId="166" fontId="2" fillId="0" borderId="6" applyAlignment="1" pivotButton="0" quotePrefix="0" xfId="0">
      <alignment horizontal="center"/>
    </xf>
    <xf numFmtId="0" fontId="6" fillId="0" borderId="48" pivotButton="0" quotePrefix="0" xfId="0"/>
    <xf numFmtId="0" fontId="4" fillId="0" borderId="7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6" fillId="0" borderId="18" pivotButton="0" quotePrefix="0" xfId="0"/>
    <xf numFmtId="0" fontId="6" fillId="0" borderId="22" pivotButton="0" quotePrefix="0" xfId="0"/>
    <xf numFmtId="0" fontId="6" fillId="0" borderId="49" pivotButton="0" quotePrefix="0" xfId="0"/>
    <xf numFmtId="0" fontId="4" fillId="0" borderId="9" applyAlignment="1" pivotButton="0" quotePrefix="0" xfId="0">
      <alignment horizontal="center"/>
    </xf>
    <xf numFmtId="0" fontId="4" fillId="0" borderId="10" applyAlignment="1" pivotButton="0" quotePrefix="0" xfId="0">
      <alignment horizontal="center" vertical="center"/>
    </xf>
    <xf numFmtId="168" fontId="4" fillId="0" borderId="10" applyAlignment="1" pivotButton="0" quotePrefix="0" xfId="0">
      <alignment horizontal="center" vertical="center"/>
    </xf>
    <xf numFmtId="166" fontId="4" fillId="0" borderId="50" applyAlignment="1" pivotButton="0" quotePrefix="0" xfId="0">
      <alignment horizontal="center" vertical="center"/>
    </xf>
    <xf numFmtId="166" fontId="2" fillId="10" borderId="45" pivotButton="0" quotePrefix="0" xfId="0"/>
    <xf numFmtId="166" fontId="2" fillId="0" borderId="51" applyAlignment="1" pivotButton="0" quotePrefix="0" xfId="0">
      <alignment horizontal="center"/>
    </xf>
    <xf numFmtId="0" fontId="4" fillId="0" borderId="44" applyAlignment="1" pivotButton="0" quotePrefix="0" xfId="0">
      <alignment horizontal="center"/>
    </xf>
    <xf numFmtId="0" fontId="6" fillId="0" borderId="52" pivotButton="0" quotePrefix="0" xfId="0"/>
    <xf numFmtId="165" fontId="4" fillId="9" borderId="53" applyAlignment="1" pivotButton="0" quotePrefix="0" xfId="0">
      <alignment horizontal="center" vertical="center"/>
    </xf>
    <xf numFmtId="0" fontId="6" fillId="0" borderId="54" pivotButton="0" quotePrefix="0" xfId="0"/>
    <xf numFmtId="0" fontId="6" fillId="0" borderId="55" pivotButton="0" quotePrefix="0" xfId="0"/>
    <xf numFmtId="0" fontId="4" fillId="0" borderId="56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6" fontId="4" fillId="0" borderId="57" applyAlignment="1" pivotButton="0" quotePrefix="0" xfId="0">
      <alignment horizontal="center" vertical="center"/>
    </xf>
    <xf numFmtId="166" fontId="2" fillId="11" borderId="39" pivotButton="0" quotePrefix="0" xfId="0"/>
    <xf numFmtId="166" fontId="4" fillId="0" borderId="10" applyAlignment="1" pivotButton="0" quotePrefix="0" xfId="0">
      <alignment horizontal="center" vertical="center"/>
    </xf>
    <xf numFmtId="166" fontId="2" fillId="11" borderId="11" pivotButton="0" quotePrefix="0" xfId="0"/>
    <xf numFmtId="0" fontId="4" fillId="0" borderId="28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165" fontId="4" fillId="0" borderId="45" applyAlignment="1" pivotButton="0" quotePrefix="0" xfId="0">
      <alignment horizontal="center" vertical="center"/>
    </xf>
    <xf numFmtId="166" fontId="2" fillId="0" borderId="6" pivotButton="0" quotePrefix="0" xfId="0"/>
    <xf numFmtId="0" fontId="4" fillId="0" borderId="12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horizontal="center" vertical="center"/>
    </xf>
    <xf numFmtId="166" fontId="2" fillId="0" borderId="22" pivotButton="0" quotePrefix="0" xfId="0"/>
    <xf numFmtId="166" fontId="2" fillId="0" borderId="18" pivotButton="0" quotePrefix="0" xfId="0"/>
    <xf numFmtId="0" fontId="4" fillId="0" borderId="58" applyAlignment="1" pivotButton="0" quotePrefix="0" xfId="0">
      <alignment horizontal="center"/>
    </xf>
    <xf numFmtId="0" fontId="4" fillId="0" borderId="19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166" fontId="4" fillId="0" borderId="59" applyAlignment="1" pivotButton="0" quotePrefix="0" xfId="0">
      <alignment horizontal="center" vertical="center"/>
    </xf>
    <xf numFmtId="165" fontId="4" fillId="0" borderId="6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/>
    </xf>
    <xf numFmtId="0" fontId="4" fillId="0" borderId="61" applyAlignment="1" pivotButton="0" quotePrefix="0" xfId="0">
      <alignment horizontal="center"/>
    </xf>
    <xf numFmtId="0" fontId="4" fillId="0" borderId="16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166" fontId="4" fillId="0" borderId="62" applyAlignment="1" pivotButton="0" quotePrefix="0" xfId="0">
      <alignment horizontal="center" vertical="center"/>
    </xf>
    <xf numFmtId="166" fontId="2" fillId="0" borderId="8" pivotButton="0" quotePrefix="0" xfId="0"/>
    <xf numFmtId="166" fontId="2" fillId="0" borderId="14" pivotButton="0" quotePrefix="0" xfId="0"/>
    <xf numFmtId="166" fontId="2" fillId="11" borderId="45" pivotButton="0" quotePrefix="0" xfId="0"/>
    <xf numFmtId="165" fontId="4" fillId="0" borderId="63" applyAlignment="1" pivotButton="0" quotePrefix="0" xfId="0">
      <alignment horizontal="center" vertical="center"/>
    </xf>
    <xf numFmtId="0" fontId="4" fillId="8" borderId="5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166" fontId="4" fillId="0" borderId="3" applyAlignment="1" pivotButton="0" quotePrefix="0" xfId="0">
      <alignment horizontal="center" vertical="center"/>
    </xf>
    <xf numFmtId="166" fontId="2" fillId="0" borderId="64" pivotButton="0" quotePrefix="0" xfId="0"/>
    <xf numFmtId="165" fontId="4" fillId="0" borderId="65" applyAlignment="1" pivotButton="0" quotePrefix="0" xfId="0">
      <alignment horizontal="center" vertical="center"/>
    </xf>
    <xf numFmtId="166" fontId="2" fillId="0" borderId="1" pivotButton="0" quotePrefix="0" xfId="0"/>
    <xf numFmtId="166" fontId="2" fillId="0" borderId="3" pivotButton="0" quotePrefix="0" xfId="0"/>
    <xf numFmtId="0" fontId="4" fillId="6" borderId="2" applyAlignment="1" pivotButton="0" quotePrefix="0" xfId="0">
      <alignment horizontal="center" vertical="center"/>
    </xf>
    <xf numFmtId="165" fontId="2" fillId="0" borderId="45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/>
    </xf>
    <xf numFmtId="0" fontId="4" fillId="0" borderId="28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/>
    </xf>
    <xf numFmtId="0" fontId="4" fillId="0" borderId="29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/>
    </xf>
    <xf numFmtId="0" fontId="4" fillId="0" borderId="30" applyAlignment="1" pivotButton="0" quotePrefix="0" xfId="0">
      <alignment horizontal="center" vertical="center"/>
    </xf>
    <xf numFmtId="165" fontId="2" fillId="0" borderId="66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/>
    </xf>
    <xf numFmtId="0" fontId="4" fillId="0" borderId="67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6" fontId="4" fillId="0" borderId="27" applyAlignment="1" pivotButton="0" quotePrefix="0" xfId="0">
      <alignment horizontal="center" vertical="center"/>
    </xf>
    <xf numFmtId="165" fontId="2" fillId="0" borderId="68" applyAlignment="1" pivotButton="0" quotePrefix="0" xfId="0">
      <alignment horizontal="center" vertical="center"/>
    </xf>
    <xf numFmtId="166" fontId="4" fillId="0" borderId="6" applyAlignment="1" pivotButton="0" quotePrefix="0" xfId="0">
      <alignment horizontal="center" vertical="center"/>
    </xf>
    <xf numFmtId="166" fontId="2" fillId="0" borderId="69" pivotButton="0" quotePrefix="0" xfId="0"/>
    <xf numFmtId="0" fontId="6" fillId="0" borderId="70" pivotButton="0" quotePrefix="0" xfId="0"/>
    <xf numFmtId="166" fontId="4" fillId="0" borderId="8" applyAlignment="1" pivotButton="0" quotePrefix="0" xfId="0">
      <alignment horizontal="center" vertical="center"/>
    </xf>
    <xf numFmtId="166" fontId="2" fillId="0" borderId="71" pivotButton="0" quotePrefix="0" xfId="0"/>
    <xf numFmtId="0" fontId="4" fillId="0" borderId="72" applyAlignment="1" pivotButton="0" quotePrefix="0" xfId="0">
      <alignment horizontal="center"/>
    </xf>
    <xf numFmtId="0" fontId="4" fillId="0" borderId="36" applyAlignment="1" pivotButton="0" quotePrefix="0" xfId="0">
      <alignment horizontal="center" vertical="center"/>
    </xf>
    <xf numFmtId="166" fontId="4" fillId="0" borderId="14" applyAlignment="1" pivotButton="0" quotePrefix="0" xfId="0">
      <alignment horizontal="center" vertical="center"/>
    </xf>
    <xf numFmtId="166" fontId="2" fillId="0" borderId="73" pivotButton="0" quotePrefix="0" xfId="0"/>
    <xf numFmtId="0" fontId="4" fillId="0" borderId="3" applyAlignment="1" pivotButton="0" quotePrefix="0" xfId="0">
      <alignment horizontal="center"/>
    </xf>
    <xf numFmtId="165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/>
    </xf>
    <xf numFmtId="165" fontId="4" fillId="0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5" fontId="4" fillId="0" borderId="56" applyAlignment="1" pivotButton="0" quotePrefix="0" xfId="0">
      <alignment horizontal="center" vertical="center"/>
    </xf>
    <xf numFmtId="166" fontId="2" fillId="12" borderId="39" pivotButton="0" quotePrefix="0" xfId="0"/>
    <xf numFmtId="166" fontId="2" fillId="12" borderId="43" pivotButton="0" quotePrefix="0" xfId="0"/>
    <xf numFmtId="166" fontId="2" fillId="13" borderId="43" pivotButton="0" quotePrefix="0" xfId="0"/>
    <xf numFmtId="165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/>
    </xf>
    <xf numFmtId="166" fontId="2" fillId="13" borderId="11" applyAlignment="1" pivotButton="0" quotePrefix="0" xfId="0">
      <alignment horizontal="center"/>
    </xf>
    <xf numFmtId="165" fontId="4" fillId="0" borderId="44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166" fontId="2" fillId="0" borderId="22" applyAlignment="1" pivotButton="0" quotePrefix="0" xfId="0">
      <alignment horizontal="center"/>
    </xf>
    <xf numFmtId="165" fontId="4" fillId="0" borderId="1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166" fontId="2" fillId="12" borderId="75" pivotButton="0" quotePrefix="0" xfId="0"/>
    <xf numFmtId="0" fontId="4" fillId="0" borderId="76" applyAlignment="1" pivotButton="0" quotePrefix="0" xfId="0">
      <alignment horizontal="center" vertical="center"/>
    </xf>
    <xf numFmtId="166" fontId="2" fillId="0" borderId="71" applyAlignment="1" pivotButton="0" quotePrefix="0" xfId="0">
      <alignment horizontal="center"/>
    </xf>
    <xf numFmtId="0" fontId="6" fillId="0" borderId="64" pivotButton="0" quotePrefix="0" xfId="0"/>
    <xf numFmtId="165" fontId="4" fillId="0" borderId="7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/>
    </xf>
    <xf numFmtId="166" fontId="4" fillId="0" borderId="18" applyAlignment="1" pivotButton="0" quotePrefix="0" xfId="0">
      <alignment horizontal="center" vertical="center"/>
    </xf>
    <xf numFmtId="0" fontId="6" fillId="0" borderId="77" pivotButton="0" quotePrefix="0" xfId="0"/>
    <xf numFmtId="0" fontId="4" fillId="0" borderId="50" applyAlignment="1" pivotButton="0" quotePrefix="0" xfId="0">
      <alignment horizontal="center" vertical="center"/>
    </xf>
    <xf numFmtId="166" fontId="4" fillId="0" borderId="11" applyAlignment="1" pivotButton="0" quotePrefix="0" xfId="0">
      <alignment horizontal="center" vertical="center"/>
    </xf>
    <xf numFmtId="166" fontId="2" fillId="12" borderId="78" pivotButton="0" quotePrefix="0" xfId="0"/>
    <xf numFmtId="166" fontId="2" fillId="0" borderId="79" applyAlignment="1" pivotButton="0" quotePrefix="0" xfId="0">
      <alignment horizontal="center"/>
    </xf>
    <xf numFmtId="166" fontId="2" fillId="12" borderId="45" pivotButton="0" quotePrefix="0" xfId="0"/>
    <xf numFmtId="166" fontId="2" fillId="0" borderId="27" applyAlignment="1" pivotButton="0" quotePrefix="0" xfId="0">
      <alignment horizontal="center"/>
    </xf>
    <xf numFmtId="166" fontId="2" fillId="0" borderId="79" pivotButton="0" quotePrefix="0" xfId="0"/>
    <xf numFmtId="165" fontId="4" fillId="0" borderId="68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/>
    </xf>
    <xf numFmtId="166" fontId="4" fillId="0" borderId="25" applyAlignment="1" pivotButton="0" quotePrefix="0" xfId="0">
      <alignment horizontal="center" vertical="center"/>
    </xf>
    <xf numFmtId="166" fontId="2" fillId="13" borderId="11" pivotButton="0" quotePrefix="0" xfId="0"/>
    <xf numFmtId="166" fontId="2" fillId="12" borderId="11" pivotButton="0" quotePrefix="0" xfId="0"/>
    <xf numFmtId="0" fontId="20" fillId="0" borderId="31" pivotButton="0" quotePrefix="0" xfId="0"/>
    <xf numFmtId="166" fontId="2" fillId="0" borderId="27" pivotButton="0" quotePrefix="0" xfId="0"/>
    <xf numFmtId="166" fontId="2" fillId="12" borderId="47" pivotButton="0" quotePrefix="0" xfId="0"/>
    <xf numFmtId="0" fontId="4" fillId="6" borderId="21" applyAlignment="1" pivotButton="0" quotePrefix="0" xfId="0">
      <alignment horizontal="center" vertical="center"/>
    </xf>
    <xf numFmtId="166" fontId="4" fillId="0" borderId="76" applyAlignment="1" pivotButton="0" quotePrefix="0" xfId="0">
      <alignment horizontal="center" vertical="center"/>
    </xf>
    <xf numFmtId="166" fontId="2" fillId="0" borderId="32" pivotButton="0" quotePrefix="0" xfId="0"/>
    <xf numFmtId="166" fontId="4" fillId="0" borderId="74" applyAlignment="1" pivotButton="0" quotePrefix="0" xfId="0">
      <alignment horizontal="center" vertical="center"/>
    </xf>
    <xf numFmtId="166" fontId="2" fillId="0" borderId="34" pivotButton="0" quotePrefix="0" xfId="0"/>
    <xf numFmtId="166" fontId="2" fillId="0" borderId="72" pivotButton="0" quotePrefix="0" xfId="0"/>
    <xf numFmtId="166" fontId="4" fillId="0" borderId="31" pivotButton="0" quotePrefix="0" xfId="0"/>
    <xf numFmtId="0" fontId="4" fillId="0" borderId="1" applyAlignment="1" pivotButton="0" quotePrefix="0" xfId="0">
      <alignment horizontal="center" vertical="center" wrapText="1"/>
    </xf>
    <xf numFmtId="166" fontId="4" fillId="14" borderId="37" pivotButton="0" quotePrefix="0" xfId="0"/>
    <xf numFmtId="0" fontId="5" fillId="0" borderId="31" pivotButton="0" quotePrefix="0" xfId="0"/>
    <xf numFmtId="165" fontId="4" fillId="0" borderId="31" pivotButton="0" quotePrefix="0" xfId="0"/>
    <xf numFmtId="0" fontId="14" fillId="5" borderId="45" applyAlignment="1" pivotButton="0" quotePrefix="0" xfId="0">
      <alignment horizontal="center"/>
    </xf>
    <xf numFmtId="165" fontId="14" fillId="5" borderId="39" applyAlignment="1" pivotButton="0" quotePrefix="0" xfId="0">
      <alignment horizontal="center" vertical="center"/>
    </xf>
    <xf numFmtId="166" fontId="13" fillId="5" borderId="41" applyAlignment="1" pivotButton="0" quotePrefix="0" xfId="0">
      <alignment horizontal="center" vertical="center"/>
    </xf>
    <xf numFmtId="166" fontId="13" fillId="5" borderId="39" applyAlignment="1" pivotButton="0" quotePrefix="0" xfId="0">
      <alignment horizontal="center" vertical="center"/>
    </xf>
    <xf numFmtId="166" fontId="13" fillId="5" borderId="40" applyAlignment="1" pivotButton="0" quotePrefix="0" xfId="0">
      <alignment horizontal="center" vertical="center"/>
    </xf>
    <xf numFmtId="166" fontId="13" fillId="5" borderId="42" applyAlignment="1" pivotButton="0" quotePrefix="0" xfId="0">
      <alignment horizontal="center" vertical="center"/>
    </xf>
    <xf numFmtId="166" fontId="13" fillId="14" borderId="39" applyAlignment="1" pivotButton="0" quotePrefix="0" xfId="0">
      <alignment horizontal="center" vertical="center"/>
    </xf>
    <xf numFmtId="0" fontId="4" fillId="0" borderId="45" pivotButton="0" quotePrefix="0" xfId="0"/>
    <xf numFmtId="166" fontId="13" fillId="5" borderId="45" applyAlignment="1" pivotButton="0" quotePrefix="0" xfId="0">
      <alignment horizontal="center" vertical="center"/>
    </xf>
    <xf numFmtId="0" fontId="2" fillId="8" borderId="45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165" fontId="4" fillId="3" borderId="4" pivotButton="0" quotePrefix="0" xfId="0"/>
    <xf numFmtId="166" fontId="12" fillId="3" borderId="5" pivotButton="0" quotePrefix="0" xfId="0"/>
    <xf numFmtId="166" fontId="4" fillId="14" borderId="40" pivotButton="0" quotePrefix="0" xfId="0"/>
    <xf numFmtId="0" fontId="4" fillId="0" borderId="79" pivotButton="0" quotePrefix="0" xfId="0"/>
    <xf numFmtId="165" fontId="4" fillId="3" borderId="7" pivotButton="0" quotePrefix="0" xfId="0"/>
    <xf numFmtId="166" fontId="12" fillId="3" borderId="1" pivotButton="0" quotePrefix="0" xfId="0"/>
    <xf numFmtId="0" fontId="4" fillId="0" borderId="64" pivotButton="0" quotePrefix="0" xfId="0"/>
    <xf numFmtId="165" fontId="4" fillId="3" borderId="9" pivotButton="0" quotePrefix="0" xfId="0"/>
    <xf numFmtId="166" fontId="12" fillId="0" borderId="10" pivotButton="0" quotePrefix="0" xfId="0"/>
    <xf numFmtId="166" fontId="4" fillId="14" borderId="80" pivotButton="0" quotePrefix="0" xfId="0"/>
    <xf numFmtId="0" fontId="4" fillId="0" borderId="81" pivotButton="0" quotePrefix="0" xfId="0"/>
    <xf numFmtId="166" fontId="4" fillId="12" borderId="45" pivotButton="0" quotePrefix="0" xfId="0"/>
    <xf numFmtId="166" fontId="4" fillId="8" borderId="45" pivotButton="0" quotePrefix="0" xfId="0"/>
    <xf numFmtId="166" fontId="5" fillId="0" borderId="45" pivotButton="0" quotePrefix="0" xfId="0"/>
    <xf numFmtId="166" fontId="4" fillId="0" borderId="45" pivotButton="0" quotePrefix="0" xfId="0"/>
    <xf numFmtId="0" fontId="12" fillId="0" borderId="5" pivotButton="0" quotePrefix="0" xfId="0"/>
    <xf numFmtId="166" fontId="12" fillId="0" borderId="5" pivotButton="0" quotePrefix="0" xfId="0"/>
    <xf numFmtId="166" fontId="12" fillId="0" borderId="1" pivotButton="0" quotePrefix="0" xfId="0"/>
    <xf numFmtId="166" fontId="21" fillId="7" borderId="10" pivotButton="0" quotePrefix="0" xfId="0"/>
    <xf numFmtId="166" fontId="12" fillId="7" borderId="10" pivotButton="0" quotePrefix="0" xfId="0"/>
    <xf numFmtId="166" fontId="5" fillId="14" borderId="80" pivotButton="0" quotePrefix="0" xfId="0"/>
    <xf numFmtId="166" fontId="12" fillId="15" borderId="10" pivotButton="0" quotePrefix="0" xfId="0"/>
    <xf numFmtId="166" fontId="12" fillId="15" borderId="1" pivotButton="0" quotePrefix="0" xfId="0"/>
    <xf numFmtId="166" fontId="10" fillId="0" borderId="31" pivotButton="0" quotePrefix="0" xfId="0"/>
    <xf numFmtId="166" fontId="21" fillId="7" borderId="1" pivotButton="0" quotePrefix="0" xfId="0"/>
    <xf numFmtId="166" fontId="5" fillId="14" borderId="37" pivotButton="0" quotePrefix="0" xfId="0"/>
    <xf numFmtId="166" fontId="4" fillId="14" borderId="45" pivotButton="0" quotePrefix="0" xfId="0"/>
    <xf numFmtId="166" fontId="4" fillId="14" borderId="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66" fontId="4" fillId="14" borderId="82" applyAlignment="1" pivotButton="0" quotePrefix="0" xfId="0">
      <alignment horizontal="center" vertical="center"/>
    </xf>
    <xf numFmtId="0" fontId="4" fillId="0" borderId="83" applyAlignment="1" pivotButton="0" quotePrefix="0" xfId="0">
      <alignment horizontal="center" vertical="center"/>
    </xf>
    <xf numFmtId="0" fontId="21" fillId="7" borderId="1" pivotButton="0" quotePrefix="0" xfId="0"/>
    <xf numFmtId="0" fontId="12" fillId="3" borderId="10" pivotButton="0" quotePrefix="0" xfId="0"/>
    <xf numFmtId="166" fontId="4" fillId="14" borderId="84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166" fontId="4" fillId="0" borderId="85" pivotButton="0" quotePrefix="0" xfId="0"/>
    <xf numFmtId="0" fontId="5" fillId="0" borderId="86" pivotButton="0" quotePrefix="0" xfId="0"/>
    <xf numFmtId="0" fontId="4" fillId="0" borderId="48" applyAlignment="1" pivotButton="0" quotePrefix="0" xfId="0">
      <alignment horizontal="center" vertical="center"/>
    </xf>
    <xf numFmtId="0" fontId="4" fillId="0" borderId="63" pivotButton="0" quotePrefix="0" xfId="0"/>
    <xf numFmtId="166" fontId="4" fillId="14" borderId="8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166" fontId="4" fillId="14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166" fontId="5" fillId="0" borderId="85" pivotButton="0" quotePrefix="0" xfId="0"/>
    <xf numFmtId="0" fontId="5" fillId="0" borderId="45" pivotButton="0" quotePrefix="0" xfId="0"/>
    <xf numFmtId="166" fontId="4" fillId="0" borderId="63" pivotButton="0" quotePrefix="0" xfId="0"/>
    <xf numFmtId="166" fontId="4" fillId="16" borderId="47" pivotButton="0" quotePrefix="0" xfId="0"/>
    <xf numFmtId="166" fontId="22" fillId="16" borderId="37" pivotButton="0" quotePrefix="0" xfId="0"/>
    <xf numFmtId="165" fontId="4" fillId="0" borderId="65" pivotButton="0" quotePrefix="0" xfId="0"/>
    <xf numFmtId="0" fontId="4" fillId="0" borderId="87" pivotButton="0" quotePrefix="0" xfId="0"/>
    <xf numFmtId="166" fontId="4" fillId="0" borderId="87" pivotButton="0" quotePrefix="0" xfId="0"/>
    <xf numFmtId="166" fontId="4" fillId="0" borderId="79" pivotButton="0" quotePrefix="0" xfId="0"/>
    <xf numFmtId="166" fontId="4" fillId="14" borderId="32" applyAlignment="1" pivotButton="0" quotePrefix="0" xfId="0">
      <alignment horizontal="center" vertical="center"/>
    </xf>
    <xf numFmtId="165" fontId="4" fillId="0" borderId="54" pivotButton="0" quotePrefix="0" xfId="0"/>
    <xf numFmtId="166" fontId="4" fillId="0" borderId="64" pivotButton="0" quotePrefix="0" xfId="0"/>
    <xf numFmtId="166" fontId="4" fillId="14" borderId="34" applyAlignment="1" pivotButton="0" quotePrefix="0" xfId="0">
      <alignment horizontal="center" vertical="center"/>
    </xf>
    <xf numFmtId="165" fontId="4" fillId="0" borderId="55" pivotButton="0" quotePrefix="0" xfId="0"/>
    <xf numFmtId="0" fontId="4" fillId="0" borderId="88" pivotButton="0" quotePrefix="0" xfId="0"/>
    <xf numFmtId="166" fontId="4" fillId="0" borderId="88" pivotButton="0" quotePrefix="0" xfId="0"/>
    <xf numFmtId="166" fontId="4" fillId="0" borderId="81" pivotButton="0" quotePrefix="0" xfId="0"/>
    <xf numFmtId="166" fontId="4" fillId="14" borderId="66" applyAlignment="1" pivotButton="0" quotePrefix="0" xfId="0">
      <alignment horizontal="center" vertical="center"/>
    </xf>
    <xf numFmtId="0" fontId="12" fillId="0" borderId="6" pivotButton="0" quotePrefix="0" xfId="0"/>
    <xf numFmtId="166" fontId="4" fillId="14" borderId="35" applyAlignment="1" pivotButton="0" quotePrefix="0" xfId="0">
      <alignment horizontal="center" vertical="center"/>
    </xf>
    <xf numFmtId="166" fontId="4" fillId="14" borderId="89" applyAlignment="1" pivotButton="0" quotePrefix="0" xfId="0">
      <alignment horizontal="center" vertical="center"/>
    </xf>
    <xf numFmtId="0" fontId="12" fillId="0" borderId="22" pivotButton="0" quotePrefix="0" xfId="0"/>
    <xf numFmtId="166" fontId="4" fillId="6" borderId="37" pivotButton="0" quotePrefix="0" xfId="0"/>
    <xf numFmtId="166" fontId="4" fillId="17" borderId="37" pivotButton="0" quotePrefix="0" xfId="0"/>
    <xf numFmtId="166" fontId="4" fillId="18" borderId="37" pivotButton="0" quotePrefix="0" xfId="0"/>
    <xf numFmtId="0" fontId="5" fillId="0" borderId="31" applyAlignment="1" pivotButton="0" quotePrefix="0" xfId="0">
      <alignment horizontal="center"/>
    </xf>
    <xf numFmtId="165" fontId="5" fillId="0" borderId="1" pivotButton="0" quotePrefix="0" xfId="0"/>
    <xf numFmtId="0" fontId="21" fillId="0" borderId="1" pivotButton="0" quotePrefix="0" xfId="0"/>
    <xf numFmtId="166" fontId="5" fillId="14" borderId="1" pivotButton="0" quotePrefix="0" xfId="0"/>
    <xf numFmtId="0" fontId="5" fillId="0" borderId="1" pivotButton="0" quotePrefix="0" xfId="0"/>
    <xf numFmtId="166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2" fillId="0" borderId="29" pivotButton="0" quotePrefix="0" xfId="0"/>
    <xf numFmtId="0" fontId="12" fillId="0" borderId="36" pivotButton="0" quotePrefix="0" xfId="0"/>
    <xf numFmtId="166" fontId="4" fillId="0" borderId="29" pivotButton="0" quotePrefix="0" xfId="0"/>
    <xf numFmtId="166" fontId="4" fillId="6" borderId="1" pivotButton="0" quotePrefix="0" xfId="0"/>
    <xf numFmtId="0" fontId="12" fillId="0" borderId="33" pivotButton="0" quotePrefix="0" xfId="0"/>
    <xf numFmtId="166" fontId="4" fillId="0" borderId="36" pivotButton="0" quotePrefix="0" xfId="0"/>
    <xf numFmtId="166" fontId="5" fillId="0" borderId="1" pivotButton="0" quotePrefix="0" xfId="0"/>
    <xf numFmtId="166" fontId="5" fillId="0" borderId="31" pivotButton="0" quotePrefix="0" xfId="0"/>
    <xf numFmtId="165" fontId="4" fillId="0" borderId="1" pivotButton="0" quotePrefix="0" xfId="0"/>
    <xf numFmtId="166" fontId="4" fillId="0" borderId="1" pivotButton="0" quotePrefix="0" xfId="0"/>
    <xf numFmtId="49" fontId="4" fillId="0" borderId="31" applyAlignment="1" pivotButton="0" quotePrefix="0" xfId="0">
      <alignment horizontal="center" vertical="center"/>
    </xf>
    <xf numFmtId="49" fontId="18" fillId="0" borderId="31" applyAlignment="1" pivotButton="0" quotePrefix="0" xfId="0">
      <alignment vertical="center"/>
    </xf>
    <xf numFmtId="168" fontId="18" fillId="0" borderId="31" applyAlignment="1" pivotButton="0" quotePrefix="0" xfId="0">
      <alignment vertical="center"/>
    </xf>
    <xf numFmtId="49" fontId="18" fillId="0" borderId="31" applyAlignment="1" pivotButton="0" quotePrefix="0" xfId="0">
      <alignment horizontal="center" vertical="center"/>
    </xf>
    <xf numFmtId="168" fontId="18" fillId="0" borderId="31" applyAlignment="1" pivotButton="0" quotePrefix="0" xfId="0">
      <alignment horizontal="center" vertical="center"/>
    </xf>
    <xf numFmtId="165" fontId="19" fillId="7" borderId="39" applyAlignment="1" pivotButton="0" quotePrefix="0" xfId="0">
      <alignment horizontal="center" vertical="center"/>
    </xf>
    <xf numFmtId="0" fontId="19" fillId="7" borderId="39" applyAlignment="1" pivotButton="0" quotePrefix="0" xfId="0">
      <alignment horizontal="center" vertical="center" wrapText="1"/>
    </xf>
    <xf numFmtId="0" fontId="19" fillId="7" borderId="39" applyAlignment="1" pivotButton="0" quotePrefix="0" xfId="0">
      <alignment horizontal="center" vertical="center"/>
    </xf>
    <xf numFmtId="0" fontId="19" fillId="7" borderId="40" applyAlignment="1" pivotButton="0" quotePrefix="0" xfId="0">
      <alignment horizontal="center" vertical="center"/>
    </xf>
    <xf numFmtId="0" fontId="1" fillId="7" borderId="39" applyAlignment="1" pivotButton="0" quotePrefix="0" xfId="0">
      <alignment horizontal="center" vertical="center" wrapText="1"/>
    </xf>
    <xf numFmtId="49" fontId="19" fillId="7" borderId="39" applyAlignment="1" pivotButton="0" quotePrefix="0" xfId="0">
      <alignment horizontal="center" vertical="center" wrapText="1"/>
    </xf>
    <xf numFmtId="49" fontId="19" fillId="7" borderId="40" applyAlignment="1" pivotButton="0" quotePrefix="0" xfId="0">
      <alignment horizontal="center" vertical="center"/>
    </xf>
    <xf numFmtId="168" fontId="19" fillId="7" borderId="39" applyAlignment="1" pivotButton="0" quotePrefix="0" xfId="0">
      <alignment horizontal="center" vertical="center" wrapText="1"/>
    </xf>
    <xf numFmtId="166" fontId="19" fillId="7" borderId="39" applyAlignment="1" pivotButton="0" quotePrefix="0" xfId="0">
      <alignment horizontal="center" vertical="center"/>
    </xf>
    <xf numFmtId="166" fontId="19" fillId="7" borderId="42" applyAlignment="1" pivotButton="0" quotePrefix="0" xfId="0">
      <alignment horizontal="center" vertical="center" wrapText="1"/>
    </xf>
    <xf numFmtId="0" fontId="14" fillId="5" borderId="39" applyAlignment="1" pivotButton="0" quotePrefix="0" xfId="0">
      <alignment horizontal="center"/>
    </xf>
    <xf numFmtId="0" fontId="4" fillId="0" borderId="60" pivotButton="0" quotePrefix="0" xfId="0"/>
    <xf numFmtId="0" fontId="2" fillId="8" borderId="39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166" fontId="12" fillId="0" borderId="31" pivotButton="0" quotePrefix="0" xfId="0"/>
    <xf numFmtId="166" fontId="4" fillId="0" borderId="86" pivotButton="0" quotePrefix="0" xfId="0"/>
    <xf numFmtId="166" fontId="12" fillId="6" borderId="37" pivotButton="0" quotePrefix="0" xfId="0"/>
    <xf numFmtId="166" fontId="21" fillId="0" borderId="31" pivotButton="0" quotePrefix="0" xfId="0"/>
    <xf numFmtId="0" fontId="4" fillId="0" borderId="86" pivotButton="0" quotePrefix="0" xfId="0"/>
    <xf numFmtId="0" fontId="4" fillId="8" borderId="45" pivotButton="0" quotePrefix="0" xfId="0"/>
    <xf numFmtId="0" fontId="12" fillId="3" borderId="2" pivotButton="0" quotePrefix="0" xfId="0"/>
    <xf numFmtId="166" fontId="12" fillId="6" borderId="1" pivotButton="0" quotePrefix="0" xfId="0"/>
    <xf numFmtId="166" fontId="4" fillId="6" borderId="1" applyAlignment="1" pivotButton="0" quotePrefix="0" xfId="0">
      <alignment horizontal="center" vertical="center"/>
    </xf>
    <xf numFmtId="166" fontId="22" fillId="0" borderId="31" pivotButton="0" quotePrefix="0" xfId="0"/>
    <xf numFmtId="0" fontId="12" fillId="0" borderId="3" pivotButton="0" quotePrefix="0" xfId="0"/>
    <xf numFmtId="165" fontId="5" fillId="0" borderId="31" pivotButton="0" quotePrefix="0" xfId="0"/>
    <xf numFmtId="0" fontId="21" fillId="0" borderId="31" pivotButton="0" quotePrefix="0" xfId="0"/>
    <xf numFmtId="0" fontId="21" fillId="6" borderId="37" pivotButton="0" quotePrefix="0" xfId="0"/>
    <xf numFmtId="0" fontId="12" fillId="6" borderId="37" pivotButton="0" quotePrefix="0" xfId="0"/>
    <xf numFmtId="166" fontId="5" fillId="0" borderId="31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165" fontId="4" fillId="3" borderId="37" pivotButton="0" quotePrefix="0" xfId="0"/>
    <xf numFmtId="0" fontId="12" fillId="3" borderId="37" pivotButton="0" quotePrefix="0" xfId="0"/>
    <xf numFmtId="169" fontId="4" fillId="0" borderId="1" pivotButton="0" quotePrefix="0" xfId="0"/>
    <xf numFmtId="0" fontId="23" fillId="0" borderId="1" pivotButton="0" quotePrefix="0" xfId="0"/>
    <xf numFmtId="0" fontId="23" fillId="0" borderId="31" pivotButton="0" quotePrefix="0" xfId="0"/>
    <xf numFmtId="169" fontId="3" fillId="0" borderId="1" pivotButton="0" quotePrefix="0" xfId="0"/>
    <xf numFmtId="18" fontId="23" fillId="0" borderId="31" pivotButton="0" quotePrefix="0" xfId="0"/>
    <xf numFmtId="169" fontId="4" fillId="0" borderId="3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RowHeight="15"/>
  <cols>
    <col width="30.14" customWidth="1" min="1" max="1"/>
    <col width="4.86" customWidth="1" min="2" max="2"/>
    <col width="12.57" customWidth="1" min="3" max="3"/>
    <col width="8.710000000000001" customWidth="1" min="4" max="4"/>
    <col width="6.86" customWidth="1" min="5" max="5"/>
    <col width="6.43" customWidth="1" min="6" max="6"/>
    <col width="11.71" customWidth="1" min="7" max="7"/>
    <col width="4.71" customWidth="1" min="8" max="8"/>
    <col width="11.14" customWidth="1" min="9" max="9"/>
    <col width="13.14" customWidth="1" min="10" max="10"/>
    <col width="10.86" customWidth="1" min="11" max="11"/>
    <col width="10" customWidth="1" min="12" max="12"/>
    <col width="49.86" customWidth="1" min="13" max="13"/>
    <col width="9.140000000000001" customWidth="1" min="14" max="14"/>
  </cols>
  <sheetData>
    <row r="1" ht="54.75" customHeight="1">
      <c r="A1" s="1" t="inlineStr">
        <is>
          <t xml:space="preserve">FECHA CARGUE </t>
        </is>
      </c>
      <c r="B1" s="2" t="inlineStr">
        <is>
          <t>N. VIAJES</t>
        </is>
      </c>
      <c r="C1" s="3" t="n"/>
      <c r="D1" s="4" t="inlineStr">
        <is>
          <t xml:space="preserve">POLLOS </t>
        </is>
      </c>
      <c r="E1" s="4" t="inlineStr">
        <is>
          <t xml:space="preserve">HUACALES </t>
        </is>
      </c>
      <c r="F1" s="5" t="inlineStr">
        <is>
          <t xml:space="preserve">POLLOS X HUACAL </t>
        </is>
      </c>
      <c r="G1" s="4" t="inlineStr">
        <is>
          <t>HORA EN GRANJA</t>
        </is>
      </c>
      <c r="H1" s="6" t="inlineStr">
        <is>
          <t>NUMERO PERSONAS</t>
        </is>
      </c>
      <c r="I1" s="6" t="inlineStr">
        <is>
          <t>PLANTA</t>
        </is>
      </c>
      <c r="J1" s="4" t="inlineStr">
        <is>
          <t xml:space="preserve">GRUPO OPERARIOS </t>
        </is>
      </c>
      <c r="K1" s="7" t="inlineStr">
        <is>
          <t>HORA FINAL CARGUE</t>
        </is>
      </c>
      <c r="L1" s="7" t="inlineStr">
        <is>
          <t>TIEMPO CARGUE</t>
        </is>
      </c>
      <c r="M1" s="8" t="inlineStr">
        <is>
          <t>NOVEDADES</t>
        </is>
      </c>
    </row>
    <row r="2" ht="15.75" customHeight="1">
      <c r="A2" s="9" t="n">
        <v>45659</v>
      </c>
      <c r="B2" s="10" t="n">
        <v>1</v>
      </c>
      <c r="C2" s="11" t="inlineStr">
        <is>
          <t>MALAGUEÑA</t>
        </is>
      </c>
      <c r="D2" s="12" t="n">
        <v>3485</v>
      </c>
      <c r="E2" s="12" t="n">
        <v>324</v>
      </c>
      <c r="F2" s="13">
        <f>+D2/E2</f>
        <v/>
      </c>
      <c r="G2" s="14" t="n">
        <v>0.08333333333333333</v>
      </c>
      <c r="H2" s="15" t="n">
        <v>20</v>
      </c>
      <c r="I2" s="15" t="n"/>
      <c r="J2" s="12" t="inlineStr">
        <is>
          <t>DOBLE</t>
        </is>
      </c>
      <c r="K2" s="16" t="n"/>
      <c r="L2" s="17" t="n"/>
      <c r="M2" s="18" t="n"/>
    </row>
    <row r="3" ht="15.75" customHeight="1">
      <c r="A3" s="9" t="n">
        <v>45659</v>
      </c>
      <c r="B3" s="10" t="n">
        <v>2</v>
      </c>
      <c r="C3" s="11" t="inlineStr">
        <is>
          <t>MALAGUEÑA</t>
        </is>
      </c>
      <c r="D3" s="12" t="n">
        <v>3594</v>
      </c>
      <c r="E3" s="12" t="n">
        <v>360</v>
      </c>
      <c r="F3" s="13">
        <f>+D3/E3</f>
        <v/>
      </c>
      <c r="G3" s="14" t="n">
        <v>0.08333333333333333</v>
      </c>
      <c r="H3" s="15" t="n">
        <v>20</v>
      </c>
      <c r="I3" s="15" t="n"/>
      <c r="J3" s="12" t="inlineStr">
        <is>
          <t>DOBLE</t>
        </is>
      </c>
      <c r="K3" s="16" t="n"/>
      <c r="L3" s="17" t="n"/>
      <c r="M3" s="18" t="n"/>
    </row>
    <row r="4" ht="15.75" customHeight="1">
      <c r="A4" s="9" t="n">
        <v>45659</v>
      </c>
      <c r="B4" s="10" t="n">
        <v>3</v>
      </c>
      <c r="C4" s="11" t="inlineStr">
        <is>
          <t>MALAGUEÑA</t>
        </is>
      </c>
      <c r="D4" s="12" t="n">
        <v>3594</v>
      </c>
      <c r="E4" s="12" t="n">
        <v>324</v>
      </c>
      <c r="F4" s="13">
        <f>+D4/E4</f>
        <v/>
      </c>
      <c r="G4" s="14" t="n">
        <v>0.08333333333333333</v>
      </c>
      <c r="H4" s="15" t="n">
        <v>20</v>
      </c>
      <c r="I4" s="15" t="n"/>
      <c r="J4" s="12" t="inlineStr">
        <is>
          <t>DOBLE</t>
        </is>
      </c>
      <c r="K4" s="16" t="n"/>
      <c r="L4" s="17" t="n"/>
      <c r="M4" s="18" t="n"/>
    </row>
    <row r="5" ht="15.75" customHeight="1">
      <c r="A5" s="9" t="n">
        <v>45659</v>
      </c>
      <c r="B5" s="10" t="n">
        <v>4</v>
      </c>
      <c r="C5" s="11" t="inlineStr">
        <is>
          <t>MALAGUEÑA</t>
        </is>
      </c>
      <c r="D5" s="12" t="n">
        <v>3594</v>
      </c>
      <c r="E5" s="12" t="n">
        <v>324</v>
      </c>
      <c r="F5" s="13">
        <f>+D5/E5</f>
        <v/>
      </c>
      <c r="G5" s="14" t="n">
        <v>0.08333333333333333</v>
      </c>
      <c r="H5" s="15" t="n">
        <v>20</v>
      </c>
      <c r="I5" s="15" t="n"/>
      <c r="J5" s="12" t="inlineStr">
        <is>
          <t>DOBLE</t>
        </is>
      </c>
      <c r="K5" s="16" t="n"/>
      <c r="L5" s="17" t="n"/>
      <c r="M5" s="18" t="n"/>
    </row>
    <row r="6" ht="15.75" customHeight="1">
      <c r="A6" s="9" t="n">
        <v>45659</v>
      </c>
      <c r="B6" s="10" t="n">
        <v>5</v>
      </c>
      <c r="C6" s="11" t="inlineStr">
        <is>
          <t>MALAGUEÑA</t>
        </is>
      </c>
      <c r="D6" s="12" t="n">
        <v>3594</v>
      </c>
      <c r="E6" s="12" t="n">
        <v>324</v>
      </c>
      <c r="F6" s="13">
        <f>+D6/E6</f>
        <v/>
      </c>
      <c r="G6" s="14" t="n">
        <v>0.08333333333333333</v>
      </c>
      <c r="H6" s="15" t="n">
        <v>20</v>
      </c>
      <c r="I6" s="15" t="n"/>
      <c r="J6" s="12" t="inlineStr">
        <is>
          <t>DOBLE</t>
        </is>
      </c>
      <c r="K6" s="16" t="n"/>
      <c r="L6" s="17" t="n"/>
      <c r="M6" s="18" t="n"/>
    </row>
    <row r="7" ht="15.75" customHeight="1">
      <c r="A7" s="9" t="n">
        <v>45659</v>
      </c>
      <c r="B7" s="10" t="n">
        <v>6</v>
      </c>
      <c r="C7" s="11" t="inlineStr">
        <is>
          <t>MALAGUEÑA</t>
        </is>
      </c>
      <c r="D7" s="12" t="n">
        <v>3337</v>
      </c>
      <c r="E7" s="12" t="n">
        <v>324</v>
      </c>
      <c r="F7" s="13">
        <f>+D7/E7</f>
        <v/>
      </c>
      <c r="G7" s="14" t="n">
        <v>0.08333333333333333</v>
      </c>
      <c r="H7" s="15" t="n">
        <v>20</v>
      </c>
      <c r="I7" s="15" t="n"/>
      <c r="J7" s="12" t="inlineStr">
        <is>
          <t>DOBLE</t>
        </is>
      </c>
      <c r="K7" s="16" t="n"/>
      <c r="L7" s="17" t="n"/>
      <c r="M7" s="18" t="n"/>
    </row>
    <row r="8" ht="15.75" customHeight="1">
      <c r="A8" s="9" t="n">
        <v>45659</v>
      </c>
      <c r="B8" s="10" t="n">
        <v>7</v>
      </c>
      <c r="C8" s="11" t="inlineStr">
        <is>
          <t>MALAGUEÑA</t>
        </is>
      </c>
      <c r="D8" s="12" t="n">
        <v>3355</v>
      </c>
      <c r="E8" s="12" t="n">
        <v>324</v>
      </c>
      <c r="F8" s="13">
        <f>+D8/E8</f>
        <v/>
      </c>
      <c r="G8" s="14" t="n">
        <v>0.08333333333333333</v>
      </c>
      <c r="H8" s="15" t="n">
        <v>10</v>
      </c>
      <c r="I8" s="15" t="n"/>
      <c r="J8" s="12" t="inlineStr">
        <is>
          <t>CARGUEROS</t>
        </is>
      </c>
      <c r="K8" s="16" t="n"/>
      <c r="L8" s="17" t="n"/>
      <c r="M8" s="18" t="n"/>
    </row>
    <row r="9" ht="15.75" customHeight="1">
      <c r="A9" s="9" t="n">
        <v>45659</v>
      </c>
      <c r="B9" s="10" t="n">
        <v>8</v>
      </c>
      <c r="C9" s="11" t="inlineStr">
        <is>
          <t>MALAGUEÑA</t>
        </is>
      </c>
      <c r="D9" s="12" t="n">
        <v>3507</v>
      </c>
      <c r="E9" s="12" t="n">
        <v>324</v>
      </c>
      <c r="F9" s="13">
        <f>+D9/E9</f>
        <v/>
      </c>
      <c r="G9" s="14" t="n">
        <v>0.08333333333333333</v>
      </c>
      <c r="H9" s="15" t="n">
        <v>10</v>
      </c>
      <c r="I9" s="15" t="n"/>
      <c r="J9" s="12" t="inlineStr">
        <is>
          <t>CARGUEROS</t>
        </is>
      </c>
      <c r="K9" s="16" t="n"/>
      <c r="L9" s="17" t="n"/>
      <c r="M9" s="18" t="n"/>
    </row>
    <row r="10" ht="15.75" customHeight="1">
      <c r="A10" s="9" t="n">
        <v>45659</v>
      </c>
      <c r="B10" s="10" t="n">
        <v>9</v>
      </c>
      <c r="C10" s="11" t="inlineStr">
        <is>
          <t>MALAGUEÑA</t>
        </is>
      </c>
      <c r="D10" s="12" t="n">
        <v>3507</v>
      </c>
      <c r="E10" s="12" t="n">
        <v>324</v>
      </c>
      <c r="F10" s="13">
        <f>+D10/E10</f>
        <v/>
      </c>
      <c r="G10" s="14" t="n">
        <v>0.08333333333333333</v>
      </c>
      <c r="H10" s="15" t="n">
        <v>10</v>
      </c>
      <c r="I10" s="15" t="n"/>
      <c r="J10" s="12" t="inlineStr">
        <is>
          <t>CARGUEROS</t>
        </is>
      </c>
      <c r="K10" s="16" t="n"/>
      <c r="L10" s="17" t="n"/>
      <c r="M10" s="18" t="n"/>
    </row>
    <row r="11" ht="15.75" customHeight="1">
      <c r="A11" s="9" t="n">
        <v>45659</v>
      </c>
      <c r="B11" s="10" t="n">
        <v>10</v>
      </c>
      <c r="C11" s="11" t="inlineStr">
        <is>
          <t>MALAGUEÑA</t>
        </is>
      </c>
      <c r="D11" s="12" t="n">
        <v>3507</v>
      </c>
      <c r="E11" s="12" t="n">
        <v>324</v>
      </c>
      <c r="F11" s="13">
        <f>+D11/E11</f>
        <v/>
      </c>
      <c r="G11" s="14" t="n">
        <v>0.08333333333333333</v>
      </c>
      <c r="H11" s="15" t="n">
        <v>10</v>
      </c>
      <c r="I11" s="15" t="n"/>
      <c r="J11" s="12" t="inlineStr">
        <is>
          <t>CARGUEROS</t>
        </is>
      </c>
      <c r="K11" s="16" t="n"/>
      <c r="L11" s="17" t="n"/>
      <c r="M11" s="18" t="n"/>
    </row>
    <row r="12" ht="15.75" customHeight="1">
      <c r="A12" s="9" t="n">
        <v>45659</v>
      </c>
      <c r="B12" s="10" t="n">
        <v>11</v>
      </c>
      <c r="C12" s="11" t="inlineStr">
        <is>
          <t>MALAGUEÑA</t>
        </is>
      </c>
      <c r="D12" s="12" t="n">
        <v>3507</v>
      </c>
      <c r="E12" s="12" t="n">
        <v>324</v>
      </c>
      <c r="F12" s="13">
        <f>+D12/E12</f>
        <v/>
      </c>
      <c r="G12" s="14" t="n">
        <v>0.08333333333333333</v>
      </c>
      <c r="H12" s="15" t="n">
        <v>10</v>
      </c>
      <c r="I12" s="15" t="n"/>
      <c r="J12" s="12" t="inlineStr">
        <is>
          <t>CARGUEROS</t>
        </is>
      </c>
      <c r="K12" s="16" t="n"/>
      <c r="L12" s="17" t="n"/>
      <c r="M12" s="18" t="n"/>
    </row>
    <row r="13" ht="15.75" customHeight="1">
      <c r="A13" s="9" t="n">
        <v>45659</v>
      </c>
      <c r="B13" s="10" t="n">
        <v>12</v>
      </c>
      <c r="C13" s="11" t="inlineStr">
        <is>
          <t>MALAGUEÑA</t>
        </is>
      </c>
      <c r="D13" s="12" t="n">
        <v>3507</v>
      </c>
      <c r="E13" s="12" t="n">
        <v>324</v>
      </c>
      <c r="F13" s="13">
        <f>+D13/E13</f>
        <v/>
      </c>
      <c r="G13" s="14" t="n">
        <v>0.08333333333333333</v>
      </c>
      <c r="H13" s="15" t="n">
        <v>10</v>
      </c>
      <c r="I13" s="15" t="n"/>
      <c r="J13" s="12" t="inlineStr">
        <is>
          <t>CARGUEROS</t>
        </is>
      </c>
      <c r="K13" s="16" t="n"/>
      <c r="L13" s="17" t="n"/>
      <c r="M13" s="18" t="n"/>
    </row>
    <row r="14" ht="15.75" customHeight="1">
      <c r="A14" s="9" t="n">
        <v>45660</v>
      </c>
      <c r="B14" s="10" t="n">
        <v>1</v>
      </c>
      <c r="C14" s="11" t="inlineStr">
        <is>
          <t>MALAGUEÑA</t>
        </is>
      </c>
      <c r="D14" s="12" t="n">
        <v>3465</v>
      </c>
      <c r="E14" s="12" t="n">
        <v>324</v>
      </c>
      <c r="F14" s="13">
        <f>+D14/E14</f>
        <v/>
      </c>
      <c r="G14" s="14" t="n">
        <v>0.9583333333333334</v>
      </c>
      <c r="H14" s="15" t="n">
        <v>10</v>
      </c>
      <c r="I14" s="15" t="n"/>
      <c r="J14" s="12" t="inlineStr">
        <is>
          <t>CARGUEROS</t>
        </is>
      </c>
      <c r="K14" s="16" t="n"/>
      <c r="L14" s="17" t="n"/>
      <c r="M14" s="18" t="n"/>
    </row>
    <row r="15" ht="15.75" customHeight="1">
      <c r="A15" s="9" t="n">
        <v>45660</v>
      </c>
      <c r="B15" s="10" t="n">
        <v>2</v>
      </c>
      <c r="C15" s="11" t="inlineStr">
        <is>
          <t>MALAGUEÑA</t>
        </is>
      </c>
      <c r="D15" s="12" t="n">
        <v>3329</v>
      </c>
      <c r="E15" s="12" t="n">
        <v>360</v>
      </c>
      <c r="F15" s="13">
        <f>+D15/E15</f>
        <v/>
      </c>
      <c r="G15" s="14" t="n">
        <v>0.9583333333333334</v>
      </c>
      <c r="H15" s="15" t="n">
        <v>10</v>
      </c>
      <c r="I15" s="15" t="n"/>
      <c r="J15" s="12" t="inlineStr">
        <is>
          <t>CARGUEROS</t>
        </is>
      </c>
      <c r="K15" s="16" t="n"/>
      <c r="L15" s="17" t="n"/>
      <c r="M15" s="18" t="n"/>
    </row>
    <row r="16" ht="15.75" customHeight="1">
      <c r="A16" s="9" t="n">
        <v>45660</v>
      </c>
      <c r="B16" s="10" t="n">
        <v>3</v>
      </c>
      <c r="C16" s="11" t="inlineStr">
        <is>
          <t>MALAGUEÑA</t>
        </is>
      </c>
      <c r="D16" s="12" t="n">
        <v>3315</v>
      </c>
      <c r="E16" s="12" t="n">
        <v>324</v>
      </c>
      <c r="F16" s="13">
        <f>+D16/E16</f>
        <v/>
      </c>
      <c r="G16" s="14" t="n">
        <v>0.9583333333333334</v>
      </c>
      <c r="H16" s="15" t="n">
        <v>10</v>
      </c>
      <c r="I16" s="15" t="n"/>
      <c r="J16" s="12" t="inlineStr">
        <is>
          <t>CARGUEROS</t>
        </is>
      </c>
      <c r="K16" s="16" t="n"/>
      <c r="L16" s="17" t="n"/>
      <c r="M16" s="18" t="n"/>
    </row>
    <row r="17" ht="15.75" customHeight="1">
      <c r="A17" s="9" t="n">
        <v>45660</v>
      </c>
      <c r="B17" s="10" t="n">
        <v>4</v>
      </c>
      <c r="C17" s="11" t="inlineStr">
        <is>
          <t>MALAGUEÑA</t>
        </is>
      </c>
      <c r="D17" s="12" t="n">
        <v>3643</v>
      </c>
      <c r="E17" s="12" t="n">
        <v>360</v>
      </c>
      <c r="F17" s="13">
        <f>+D17/E17</f>
        <v/>
      </c>
      <c r="G17" s="14" t="n">
        <v>0.9583333333333334</v>
      </c>
      <c r="H17" s="15" t="n">
        <v>10</v>
      </c>
      <c r="I17" s="15" t="n"/>
      <c r="J17" s="12" t="inlineStr">
        <is>
          <t>CARGUEROS</t>
        </is>
      </c>
      <c r="K17" s="16" t="n"/>
      <c r="L17" s="17" t="n"/>
      <c r="M17" s="18" t="n"/>
    </row>
    <row r="18" ht="15.75" customHeight="1">
      <c r="A18" s="9" t="n">
        <v>45660</v>
      </c>
      <c r="B18" s="10" t="n">
        <v>5</v>
      </c>
      <c r="C18" s="11" t="inlineStr">
        <is>
          <t>MALAGUEÑA</t>
        </is>
      </c>
      <c r="D18" s="12" t="n">
        <v>3643</v>
      </c>
      <c r="E18" s="12" t="n">
        <v>324</v>
      </c>
      <c r="F18" s="13">
        <f>+D18/E18</f>
        <v/>
      </c>
      <c r="G18" s="14" t="n">
        <v>0.9583333333333334</v>
      </c>
      <c r="H18" s="15" t="n">
        <v>10</v>
      </c>
      <c r="I18" s="15" t="n"/>
      <c r="J18" s="12" t="inlineStr">
        <is>
          <t>CARGUEROS</t>
        </is>
      </c>
      <c r="K18" s="16" t="n"/>
      <c r="L18" s="17" t="n"/>
      <c r="M18" s="18" t="n"/>
    </row>
    <row r="19" ht="15.75" customHeight="1">
      <c r="A19" s="9" t="n">
        <v>45660</v>
      </c>
      <c r="B19" s="10" t="n">
        <v>6</v>
      </c>
      <c r="C19" s="11" t="inlineStr">
        <is>
          <t>MALAGUEÑA</t>
        </is>
      </c>
      <c r="D19" s="12" t="n">
        <v>3643</v>
      </c>
      <c r="E19" s="12" t="n">
        <v>324</v>
      </c>
      <c r="F19" s="13">
        <f>+D19/E19</f>
        <v/>
      </c>
      <c r="G19" s="14" t="n">
        <v>0.9583333333333334</v>
      </c>
      <c r="H19" s="15" t="n">
        <v>10</v>
      </c>
      <c r="I19" s="15" t="n"/>
      <c r="J19" s="12" t="inlineStr">
        <is>
          <t>CARGUEROS</t>
        </is>
      </c>
      <c r="K19" s="16" t="n"/>
      <c r="L19" s="17" t="n"/>
      <c r="M19" s="18" t="n"/>
    </row>
    <row r="20" ht="15.75" customHeight="1">
      <c r="A20" s="9" t="n">
        <v>45660</v>
      </c>
      <c r="B20" s="10" t="n">
        <v>7</v>
      </c>
      <c r="C20" s="11" t="inlineStr">
        <is>
          <t>MALAGUEÑA</t>
        </is>
      </c>
      <c r="D20" s="12" t="n">
        <v>3643</v>
      </c>
      <c r="E20" s="12" t="n">
        <v>324</v>
      </c>
      <c r="F20" s="13">
        <f>+D20/E20</f>
        <v/>
      </c>
      <c r="G20" s="14" t="n">
        <v>0.9583333333333334</v>
      </c>
      <c r="H20" s="15" t="n">
        <v>10</v>
      </c>
      <c r="I20" s="15" t="n"/>
      <c r="J20" s="12" t="inlineStr">
        <is>
          <t>CARGUEROS</t>
        </is>
      </c>
      <c r="K20" s="16" t="n"/>
      <c r="L20" s="17" t="n"/>
      <c r="M20" s="18" t="n"/>
    </row>
    <row r="21" ht="15.75" customHeight="1">
      <c r="A21" s="9" t="n">
        <v>45660</v>
      </c>
      <c r="B21" s="10" t="n">
        <v>1</v>
      </c>
      <c r="C21" s="11" t="inlineStr">
        <is>
          <t>SAN JOSE</t>
        </is>
      </c>
      <c r="D21" s="12" t="n">
        <v>2480</v>
      </c>
      <c r="E21" s="12" t="n">
        <v>324</v>
      </c>
      <c r="F21" s="13">
        <f>+D21/E21</f>
        <v/>
      </c>
      <c r="G21" s="14" t="n">
        <v>0.3333333333333333</v>
      </c>
      <c r="H21" s="15" t="n">
        <v>10</v>
      </c>
      <c r="I21" s="15" t="n"/>
      <c r="J21" s="12" t="inlineStr">
        <is>
          <t>CARGUEROS</t>
        </is>
      </c>
      <c r="K21" s="16" t="n"/>
      <c r="L21" s="17" t="n"/>
      <c r="M21" s="18" t="n"/>
    </row>
    <row r="22" ht="15.75" customHeight="1">
      <c r="A22" s="9" t="n">
        <v>45660</v>
      </c>
      <c r="B22" s="10" t="n">
        <v>2</v>
      </c>
      <c r="C22" s="11" t="inlineStr">
        <is>
          <t>SAN JOSE</t>
        </is>
      </c>
      <c r="D22" s="12" t="n">
        <v>2480</v>
      </c>
      <c r="E22" s="12" t="n">
        <v>324</v>
      </c>
      <c r="F22" s="13">
        <f>+D22/E22</f>
        <v/>
      </c>
      <c r="G22" s="14" t="n">
        <v>0.3333333333333333</v>
      </c>
      <c r="H22" s="15" t="n">
        <v>10</v>
      </c>
      <c r="I22" s="15" t="n"/>
      <c r="J22" s="12" t="inlineStr">
        <is>
          <t>CARGUEROS</t>
        </is>
      </c>
      <c r="K22" s="16" t="n"/>
      <c r="L22" s="17" t="n"/>
      <c r="M22" s="18" t="n"/>
    </row>
    <row r="23" ht="15.75" customHeight="1">
      <c r="A23" s="9" t="n">
        <v>45661</v>
      </c>
      <c r="B23" s="10" t="n">
        <v>0</v>
      </c>
      <c r="C23" s="11" t="n"/>
      <c r="D23" s="19" t="n"/>
      <c r="E23" s="19" t="n"/>
      <c r="F23" s="13" t="n"/>
      <c r="G23" s="19" t="n"/>
      <c r="H23" s="20" t="n"/>
      <c r="I23" s="20" t="n"/>
      <c r="J23" s="19" t="n"/>
      <c r="K23" s="16" t="n"/>
      <c r="L23" s="17" t="n"/>
      <c r="M23" s="18" t="n"/>
    </row>
    <row r="24" ht="15.75" customHeight="1">
      <c r="A24" s="9" t="n">
        <v>45662</v>
      </c>
      <c r="B24" s="10" t="n">
        <v>1</v>
      </c>
      <c r="C24" s="11" t="inlineStr">
        <is>
          <t>SAN JOSE</t>
        </is>
      </c>
      <c r="D24" s="12" t="n">
        <v>3561</v>
      </c>
      <c r="E24" s="12" t="n">
        <v>324</v>
      </c>
      <c r="F24" s="13">
        <f>+D24/E24</f>
        <v/>
      </c>
      <c r="G24" s="14" t="n">
        <v>0.04166666666666666</v>
      </c>
      <c r="H24" s="15" t="n">
        <v>10</v>
      </c>
      <c r="I24" s="15" t="n"/>
      <c r="J24" s="12" t="inlineStr">
        <is>
          <t>CARGUEROS</t>
        </is>
      </c>
      <c r="K24" s="16" t="n"/>
      <c r="L24" s="17" t="n"/>
      <c r="M24" s="18" t="n"/>
    </row>
    <row r="25" ht="15.75" customHeight="1">
      <c r="A25" s="9" t="n">
        <v>45662</v>
      </c>
      <c r="B25" s="10" t="n">
        <v>2</v>
      </c>
      <c r="C25" s="11" t="inlineStr">
        <is>
          <t>SAN JOSE</t>
        </is>
      </c>
      <c r="D25" s="12" t="n">
        <v>3561</v>
      </c>
      <c r="E25" s="12" t="n">
        <v>360</v>
      </c>
      <c r="F25" s="13">
        <f>+D25/E25</f>
        <v/>
      </c>
      <c r="G25" s="14" t="n">
        <v>0.04166666666666666</v>
      </c>
      <c r="H25" s="15" t="n">
        <v>10</v>
      </c>
      <c r="I25" s="15" t="n"/>
      <c r="J25" s="12" t="inlineStr">
        <is>
          <t>CARGUEROS</t>
        </is>
      </c>
      <c r="K25" s="16" t="n"/>
      <c r="L25" s="17" t="n"/>
      <c r="M25" s="18" t="n"/>
    </row>
    <row r="26" ht="15.75" customHeight="1">
      <c r="A26" s="9" t="n">
        <v>45662</v>
      </c>
      <c r="B26" s="10" t="n">
        <v>3</v>
      </c>
      <c r="C26" s="11" t="inlineStr">
        <is>
          <t>SAN JOSE</t>
        </is>
      </c>
      <c r="D26" s="12" t="n">
        <v>3561</v>
      </c>
      <c r="E26" s="12" t="n">
        <v>324</v>
      </c>
      <c r="F26" s="13">
        <f>+D26/E26</f>
        <v/>
      </c>
      <c r="G26" s="14" t="n">
        <v>0.04166666666666666</v>
      </c>
      <c r="H26" s="15" t="n">
        <v>10</v>
      </c>
      <c r="I26" s="15" t="n"/>
      <c r="J26" s="12" t="inlineStr">
        <is>
          <t>CARGUEROS</t>
        </is>
      </c>
      <c r="K26" s="16" t="n"/>
      <c r="L26" s="17" t="n"/>
      <c r="M26" s="18" t="n"/>
    </row>
    <row r="27" ht="15.75" customHeight="1">
      <c r="A27" s="9" t="n">
        <v>45662</v>
      </c>
      <c r="B27" s="10" t="n">
        <v>4</v>
      </c>
      <c r="C27" s="11" t="inlineStr">
        <is>
          <t>SAN JOSE</t>
        </is>
      </c>
      <c r="D27" s="12" t="n">
        <v>3561</v>
      </c>
      <c r="E27" s="12" t="n">
        <v>324</v>
      </c>
      <c r="F27" s="13">
        <f>+D27/E27</f>
        <v/>
      </c>
      <c r="G27" s="14" t="n">
        <v>0.04166666666666666</v>
      </c>
      <c r="H27" s="15" t="n">
        <v>10</v>
      </c>
      <c r="I27" s="15" t="n"/>
      <c r="J27" s="12" t="inlineStr">
        <is>
          <t>CARGUEROS</t>
        </is>
      </c>
      <c r="K27" s="16" t="n"/>
      <c r="L27" s="17" t="n"/>
      <c r="M27" s="18" t="n"/>
    </row>
    <row r="28" ht="15.75" customHeight="1">
      <c r="A28" s="9" t="n">
        <v>45662</v>
      </c>
      <c r="B28" s="10" t="n">
        <v>5</v>
      </c>
      <c r="C28" s="11" t="inlineStr">
        <is>
          <t>SAN JOSE</t>
        </is>
      </c>
      <c r="D28" s="12" t="n">
        <v>3308</v>
      </c>
      <c r="E28" s="12" t="n">
        <v>324</v>
      </c>
      <c r="F28" s="13">
        <f>+D28/E28</f>
        <v/>
      </c>
      <c r="G28" s="14" t="n">
        <v>0.04166666666666666</v>
      </c>
      <c r="H28" s="15" t="n">
        <v>10</v>
      </c>
      <c r="I28" s="15" t="n"/>
      <c r="J28" s="12" t="inlineStr">
        <is>
          <t>CARGUEROS</t>
        </is>
      </c>
      <c r="K28" s="16" t="n"/>
      <c r="L28" s="17" t="n"/>
      <c r="M28" s="18" t="n"/>
    </row>
    <row r="29" ht="15.75" customHeight="1">
      <c r="A29" s="9" t="n">
        <v>45662</v>
      </c>
      <c r="B29" s="10" t="n">
        <v>6</v>
      </c>
      <c r="C29" s="11" t="inlineStr">
        <is>
          <t>SAN JOSE</t>
        </is>
      </c>
      <c r="D29" s="12" t="n">
        <v>3308</v>
      </c>
      <c r="E29" s="12" t="n">
        <v>324</v>
      </c>
      <c r="F29" s="13">
        <f>+D29/E29</f>
        <v/>
      </c>
      <c r="G29" s="14" t="n">
        <v>0.04166666666666666</v>
      </c>
      <c r="H29" s="15" t="n">
        <v>10</v>
      </c>
      <c r="I29" s="15" t="n"/>
      <c r="J29" s="12" t="inlineStr">
        <is>
          <t>CARGUEROS</t>
        </is>
      </c>
      <c r="K29" s="16" t="n"/>
      <c r="L29" s="17" t="n"/>
      <c r="M29" s="18" t="n"/>
    </row>
    <row r="30" ht="15.75" customHeight="1">
      <c r="A30" s="9" t="n">
        <v>45662</v>
      </c>
      <c r="B30" s="10" t="n">
        <v>7</v>
      </c>
      <c r="C30" s="11" t="inlineStr">
        <is>
          <t>SAN JOSE</t>
        </is>
      </c>
      <c r="D30" s="12" t="n">
        <v>3308</v>
      </c>
      <c r="E30" s="12" t="n">
        <v>324</v>
      </c>
      <c r="F30" s="13">
        <f>+D30/E30</f>
        <v/>
      </c>
      <c r="G30" s="14" t="n">
        <v>0.04166666666666666</v>
      </c>
      <c r="H30" s="15" t="n">
        <v>10</v>
      </c>
      <c r="I30" s="15" t="n"/>
      <c r="J30" s="12" t="inlineStr">
        <is>
          <t>CARGUEROS</t>
        </is>
      </c>
      <c r="K30" s="16" t="n"/>
      <c r="L30" s="17" t="n"/>
      <c r="M30" s="18" t="n"/>
    </row>
    <row r="31" ht="15.75" customHeight="1">
      <c r="A31" s="9" t="n">
        <v>45662</v>
      </c>
      <c r="B31" s="10" t="n">
        <v>8</v>
      </c>
      <c r="C31" s="11" t="inlineStr">
        <is>
          <t>SAN JOSE</t>
        </is>
      </c>
      <c r="D31" s="12" t="n">
        <v>3308</v>
      </c>
      <c r="E31" s="12" t="n">
        <v>324</v>
      </c>
      <c r="F31" s="13">
        <f>+D31/E31</f>
        <v/>
      </c>
      <c r="G31" s="14" t="n">
        <v>0.04166666666666666</v>
      </c>
      <c r="H31" s="15" t="n">
        <v>10</v>
      </c>
      <c r="I31" s="15" t="n"/>
      <c r="J31" s="12" t="inlineStr">
        <is>
          <t>CARGUEROS</t>
        </is>
      </c>
      <c r="K31" s="16" t="n"/>
      <c r="L31" s="17" t="n"/>
      <c r="M31" s="18" t="n"/>
    </row>
    <row r="32" ht="15.75" customHeight="1">
      <c r="A32" s="9" t="n">
        <v>45662</v>
      </c>
      <c r="B32" s="10" t="n">
        <v>9</v>
      </c>
      <c r="C32" s="11" t="inlineStr">
        <is>
          <t>SAN JOSE</t>
        </is>
      </c>
      <c r="D32" s="12" t="n">
        <v>3308</v>
      </c>
      <c r="E32" s="12" t="n">
        <v>360</v>
      </c>
      <c r="F32" s="13">
        <f>+D32/E32</f>
        <v/>
      </c>
      <c r="G32" s="14" t="n">
        <v>0.04166666666666666</v>
      </c>
      <c r="H32" s="15" t="n">
        <v>10</v>
      </c>
      <c r="I32" s="15" t="n"/>
      <c r="J32" s="12" t="inlineStr">
        <is>
          <t>CARGUEROS</t>
        </is>
      </c>
      <c r="K32" s="16" t="n"/>
      <c r="L32" s="17" t="n"/>
      <c r="M32" s="18" t="n"/>
    </row>
    <row r="33" ht="15.75" customHeight="1">
      <c r="A33" s="9" t="n">
        <v>45662</v>
      </c>
      <c r="B33" s="10" t="n">
        <v>10</v>
      </c>
      <c r="C33" s="21" t="inlineStr">
        <is>
          <t>SAN JOSE</t>
        </is>
      </c>
      <c r="D33" s="12" t="n">
        <v>3308</v>
      </c>
      <c r="E33" s="12" t="n">
        <v>324</v>
      </c>
      <c r="F33" s="13">
        <f>+D33/E33</f>
        <v/>
      </c>
      <c r="G33" s="14" t="n">
        <v>0.04166666666666666</v>
      </c>
      <c r="H33" s="15" t="n">
        <v>10</v>
      </c>
      <c r="I33" s="15" t="n"/>
      <c r="J33" s="22" t="inlineStr">
        <is>
          <t>CARGUEROS</t>
        </is>
      </c>
      <c r="K33" s="23" t="n"/>
      <c r="L33" s="17" t="n"/>
      <c r="M33" s="24" t="n"/>
    </row>
    <row r="34" ht="15.75" customHeight="1">
      <c r="A34" s="9" t="n">
        <v>45664</v>
      </c>
      <c r="B34" s="10" t="n">
        <v>1</v>
      </c>
      <c r="C34" s="21" t="inlineStr">
        <is>
          <t>MALAGUEÑA</t>
        </is>
      </c>
      <c r="D34" s="12" t="n">
        <v>2770</v>
      </c>
      <c r="E34" s="12" t="n">
        <v>324</v>
      </c>
      <c r="F34" s="13">
        <f>+D34/E34</f>
        <v/>
      </c>
      <c r="G34" s="14" t="n">
        <v>0.4166666666666667</v>
      </c>
      <c r="H34" s="15" t="n">
        <v>10</v>
      </c>
      <c r="I34" s="15" t="n"/>
      <c r="J34" s="22" t="inlineStr">
        <is>
          <t>CARGUEROS</t>
        </is>
      </c>
      <c r="K34" s="23" t="n"/>
      <c r="L34" s="17" t="n"/>
      <c r="M34" s="24" t="n"/>
    </row>
    <row r="35" ht="15.75" customHeight="1">
      <c r="A35" s="9" t="n">
        <v>45664</v>
      </c>
      <c r="B35" s="10" t="n">
        <v>2</v>
      </c>
      <c r="C35" s="21" t="inlineStr">
        <is>
          <t>MALAGUEÑA</t>
        </is>
      </c>
      <c r="D35" s="12" t="n">
        <v>2770</v>
      </c>
      <c r="E35" s="12" t="n">
        <v>324</v>
      </c>
      <c r="F35" s="13">
        <f>+D35/E35</f>
        <v/>
      </c>
      <c r="G35" s="14" t="n">
        <v>0.4166666666666667</v>
      </c>
      <c r="H35" s="15" t="n">
        <v>10</v>
      </c>
      <c r="I35" s="15" t="n"/>
      <c r="J35" s="22" t="inlineStr">
        <is>
          <t>CARGUEROS</t>
        </is>
      </c>
      <c r="K35" s="23" t="n"/>
      <c r="L35" s="17" t="n"/>
      <c r="M35" s="24" t="n"/>
    </row>
    <row r="36" ht="15.75" customHeight="1">
      <c r="A36" s="9" t="n">
        <v>45664</v>
      </c>
      <c r="B36" s="10" t="n">
        <v>3</v>
      </c>
      <c r="C36" s="21" t="inlineStr">
        <is>
          <t>MALAGUEÑA</t>
        </is>
      </c>
      <c r="D36" s="12" t="n">
        <v>3666</v>
      </c>
      <c r="E36" s="12" t="n">
        <v>324</v>
      </c>
      <c r="F36" s="13">
        <f>+D36/E36</f>
        <v/>
      </c>
      <c r="G36" s="14" t="n">
        <v>0.4166666666666667</v>
      </c>
      <c r="H36" s="15" t="n">
        <v>10</v>
      </c>
      <c r="I36" s="15" t="n"/>
      <c r="J36" s="22" t="inlineStr">
        <is>
          <t>CARGUEROS</t>
        </is>
      </c>
      <c r="K36" s="23" t="n"/>
      <c r="L36" s="17" t="n"/>
      <c r="M36" s="24" t="n"/>
    </row>
    <row r="37" ht="15.75" customHeight="1">
      <c r="A37" s="9" t="n">
        <v>45664</v>
      </c>
      <c r="B37" s="10" t="n">
        <v>1</v>
      </c>
      <c r="C37" s="21" t="inlineStr">
        <is>
          <t>SAN JOSE</t>
        </is>
      </c>
      <c r="D37" s="12" t="n">
        <v>3528</v>
      </c>
      <c r="E37" s="12" t="n">
        <v>324</v>
      </c>
      <c r="F37" s="13">
        <f>+D37/E37</f>
        <v/>
      </c>
      <c r="G37" s="14" t="n">
        <v>0</v>
      </c>
      <c r="H37" s="15" t="n">
        <v>10</v>
      </c>
      <c r="I37" s="15" t="n"/>
      <c r="J37" s="22" t="inlineStr">
        <is>
          <t>CARGUEROS</t>
        </is>
      </c>
      <c r="K37" s="23" t="n"/>
      <c r="L37" s="17" t="n"/>
      <c r="M37" s="24" t="n"/>
    </row>
    <row r="38" ht="15.75" customHeight="1">
      <c r="A38" s="9" t="n">
        <v>45664</v>
      </c>
      <c r="B38" s="10" t="n">
        <v>2</v>
      </c>
      <c r="C38" s="21" t="inlineStr">
        <is>
          <t>SAN JOSE</t>
        </is>
      </c>
      <c r="D38" s="12" t="n">
        <v>3528</v>
      </c>
      <c r="E38" s="12" t="n">
        <v>324</v>
      </c>
      <c r="F38" s="13">
        <f>+D38/E38</f>
        <v/>
      </c>
      <c r="G38" s="14" t="n">
        <v>0</v>
      </c>
      <c r="H38" s="15" t="n">
        <v>10</v>
      </c>
      <c r="I38" s="15" t="n"/>
      <c r="J38" s="22" t="inlineStr">
        <is>
          <t>CARGUEROS</t>
        </is>
      </c>
      <c r="K38" s="23" t="n"/>
      <c r="L38" s="17" t="n"/>
      <c r="M38" s="24" t="n"/>
    </row>
    <row r="39" ht="15.75" customHeight="1">
      <c r="A39" s="9" t="n">
        <v>45664</v>
      </c>
      <c r="B39" s="10" t="n">
        <v>3</v>
      </c>
      <c r="C39" s="21" t="inlineStr">
        <is>
          <t>SAN JOSE</t>
        </is>
      </c>
      <c r="D39" s="12" t="n">
        <v>3528</v>
      </c>
      <c r="E39" s="12" t="n">
        <v>360</v>
      </c>
      <c r="F39" s="13">
        <f>+D39/E39</f>
        <v/>
      </c>
      <c r="G39" s="14" t="n">
        <v>0</v>
      </c>
      <c r="H39" s="15" t="n">
        <v>10</v>
      </c>
      <c r="I39" s="15" t="n"/>
      <c r="J39" s="22" t="inlineStr">
        <is>
          <t>CARGUEROS</t>
        </is>
      </c>
      <c r="K39" s="23" t="n"/>
      <c r="L39" s="17" t="n"/>
      <c r="M39" s="24" t="n"/>
    </row>
    <row r="40" ht="15.75" customHeight="1">
      <c r="A40" s="9" t="n">
        <v>45664</v>
      </c>
      <c r="B40" s="10" t="n">
        <v>4</v>
      </c>
      <c r="C40" s="21" t="inlineStr">
        <is>
          <t>SAN JOSE</t>
        </is>
      </c>
      <c r="D40" s="12" t="n">
        <v>3528</v>
      </c>
      <c r="E40" s="12" t="n">
        <v>324</v>
      </c>
      <c r="F40" s="13">
        <f>+D40/E40</f>
        <v/>
      </c>
      <c r="G40" s="14" t="n">
        <v>0</v>
      </c>
      <c r="H40" s="15" t="n">
        <v>10</v>
      </c>
      <c r="I40" s="15" t="n"/>
      <c r="J40" s="22" t="inlineStr">
        <is>
          <t>CARGUEROS</t>
        </is>
      </c>
      <c r="K40" s="23" t="n"/>
      <c r="L40" s="17" t="n"/>
      <c r="M40" s="24" t="n"/>
    </row>
    <row r="41" ht="15.75" customHeight="1">
      <c r="A41" s="9" t="n">
        <v>45664</v>
      </c>
      <c r="B41" s="10" t="n">
        <v>5</v>
      </c>
      <c r="C41" s="21" t="inlineStr">
        <is>
          <t>SAN JOSE</t>
        </is>
      </c>
      <c r="D41" s="12" t="n">
        <v>3528</v>
      </c>
      <c r="E41" s="12" t="n">
        <v>324</v>
      </c>
      <c r="F41" s="13">
        <f>+D41/E41</f>
        <v/>
      </c>
      <c r="G41" s="14" t="n">
        <v>0</v>
      </c>
      <c r="H41" s="15" t="n">
        <v>10</v>
      </c>
      <c r="I41" s="15" t="n"/>
      <c r="J41" s="22" t="inlineStr">
        <is>
          <t>CARGUEROS</t>
        </is>
      </c>
      <c r="K41" s="23" t="n"/>
      <c r="L41" s="17" t="n"/>
      <c r="M41" s="24" t="n"/>
    </row>
    <row r="42" ht="15.75" customHeight="1">
      <c r="A42" s="9" t="n">
        <v>45664</v>
      </c>
      <c r="B42" s="10" t="n">
        <v>6</v>
      </c>
      <c r="C42" s="21" t="inlineStr">
        <is>
          <t>SAN JOSE</t>
        </is>
      </c>
      <c r="D42" s="12" t="n">
        <v>3487</v>
      </c>
      <c r="E42" s="12" t="n">
        <v>360</v>
      </c>
      <c r="F42" s="13">
        <f>+D42/E42</f>
        <v/>
      </c>
      <c r="G42" s="14" t="n">
        <v>0</v>
      </c>
      <c r="H42" s="15" t="n">
        <v>10</v>
      </c>
      <c r="I42" s="15" t="n"/>
      <c r="J42" s="22" t="inlineStr">
        <is>
          <t>CARGUEROS</t>
        </is>
      </c>
      <c r="K42" s="23" t="n"/>
      <c r="L42" s="17" t="n"/>
      <c r="M42" s="24" t="n"/>
    </row>
    <row r="43" ht="15.75" customHeight="1">
      <c r="A43" s="9" t="n">
        <v>45664</v>
      </c>
      <c r="B43" s="10" t="n">
        <v>7</v>
      </c>
      <c r="C43" s="21" t="inlineStr">
        <is>
          <t>SAN JOSE</t>
        </is>
      </c>
      <c r="D43" s="12" t="n">
        <v>3487</v>
      </c>
      <c r="E43" s="12" t="n">
        <v>324</v>
      </c>
      <c r="F43" s="13">
        <f>+D43/E43</f>
        <v/>
      </c>
      <c r="G43" s="14" t="n">
        <v>0</v>
      </c>
      <c r="H43" s="15" t="n">
        <v>10</v>
      </c>
      <c r="I43" s="15" t="n"/>
      <c r="J43" s="22" t="inlineStr">
        <is>
          <t>CARGUEROS</t>
        </is>
      </c>
      <c r="K43" s="23" t="n"/>
      <c r="L43" s="17" t="n"/>
      <c r="M43" s="24" t="n"/>
    </row>
    <row r="44" ht="15.75" customHeight="1">
      <c r="A44" s="9" t="n">
        <v>45666</v>
      </c>
      <c r="B44" s="10" t="n">
        <v>1</v>
      </c>
      <c r="C44" s="21" t="inlineStr">
        <is>
          <t>MALAGUEÑA</t>
        </is>
      </c>
      <c r="D44" s="12" t="n">
        <v>2819</v>
      </c>
      <c r="E44" s="12" t="n">
        <v>360</v>
      </c>
      <c r="F44" s="13">
        <f>+D44/E44</f>
        <v/>
      </c>
      <c r="G44" s="14" t="n">
        <v>0.08333333333333333</v>
      </c>
      <c r="H44" s="15" t="n">
        <v>10</v>
      </c>
      <c r="I44" s="15" t="n"/>
      <c r="J44" s="22" t="inlineStr">
        <is>
          <t>CARGUEROS</t>
        </is>
      </c>
      <c r="K44" s="23" t="n"/>
      <c r="L44" s="17" t="n"/>
      <c r="M44" s="24" t="n"/>
    </row>
    <row r="45" ht="15.75" customHeight="1">
      <c r="A45" s="9" t="n">
        <v>45666</v>
      </c>
      <c r="B45" s="10" t="n">
        <v>2</v>
      </c>
      <c r="C45" s="21" t="inlineStr">
        <is>
          <t>MALAGUEÑA</t>
        </is>
      </c>
      <c r="D45" s="12" t="n">
        <v>2819</v>
      </c>
      <c r="E45" s="12" t="n">
        <v>324</v>
      </c>
      <c r="F45" s="13">
        <f>+D45/E45</f>
        <v/>
      </c>
      <c r="G45" s="14" t="n">
        <v>0.08333333333333333</v>
      </c>
      <c r="H45" s="15" t="n">
        <v>10</v>
      </c>
      <c r="I45" s="15" t="n"/>
      <c r="J45" s="22" t="inlineStr">
        <is>
          <t>CARGUEROS</t>
        </is>
      </c>
      <c r="K45" s="23" t="n"/>
      <c r="L45" s="17" t="n"/>
      <c r="M45" s="24" t="n"/>
    </row>
    <row r="46" ht="15.75" customHeight="1">
      <c r="A46" s="9" t="n">
        <v>45666</v>
      </c>
      <c r="B46" s="10" t="n">
        <v>3</v>
      </c>
      <c r="C46" s="21" t="inlineStr">
        <is>
          <t>MALAGUEÑA</t>
        </is>
      </c>
      <c r="D46" s="12" t="n">
        <v>3080</v>
      </c>
      <c r="E46" s="12" t="n">
        <v>324</v>
      </c>
      <c r="F46" s="13">
        <f>+D46/E46</f>
        <v/>
      </c>
      <c r="G46" s="14" t="n">
        <v>0.08333333333333333</v>
      </c>
      <c r="H46" s="15" t="n">
        <v>10</v>
      </c>
      <c r="I46" s="15" t="n"/>
      <c r="J46" s="22" t="inlineStr">
        <is>
          <t>ABONEROS</t>
        </is>
      </c>
      <c r="K46" s="23" t="n"/>
      <c r="L46" s="17" t="n"/>
      <c r="M46" s="24" t="n"/>
    </row>
    <row r="47" ht="15.75" customHeight="1">
      <c r="A47" s="9" t="n">
        <v>45666</v>
      </c>
      <c r="B47" s="10" t="n">
        <v>4</v>
      </c>
      <c r="C47" s="21" t="inlineStr">
        <is>
          <t>MALAGUEÑA</t>
        </is>
      </c>
      <c r="D47" s="12" t="n">
        <v>3080</v>
      </c>
      <c r="E47" s="12" t="n">
        <v>324</v>
      </c>
      <c r="F47" s="13">
        <f>+D47/E47</f>
        <v/>
      </c>
      <c r="G47" s="14" t="n">
        <v>0.08333333333333333</v>
      </c>
      <c r="H47" s="15" t="n">
        <v>10</v>
      </c>
      <c r="I47" s="15" t="n"/>
      <c r="J47" s="22" t="inlineStr">
        <is>
          <t>ABONEROS</t>
        </is>
      </c>
      <c r="K47" s="23" t="n"/>
      <c r="L47" s="17" t="n"/>
      <c r="M47" s="24" t="n"/>
    </row>
    <row r="48" ht="15.75" customHeight="1">
      <c r="A48" s="9" t="n">
        <v>45666</v>
      </c>
      <c r="B48" s="10" t="n">
        <v>1</v>
      </c>
      <c r="C48" s="21" t="inlineStr">
        <is>
          <t>SAN JOSE</t>
        </is>
      </c>
      <c r="D48" s="12" t="n">
        <v>3175</v>
      </c>
      <c r="E48" s="12" t="n">
        <v>324</v>
      </c>
      <c r="F48" s="13">
        <f>+D48/E48</f>
        <v/>
      </c>
      <c r="G48" s="14" t="n">
        <v>0.25</v>
      </c>
      <c r="H48" s="22" t="n">
        <v>10</v>
      </c>
      <c r="I48" s="22" t="n"/>
      <c r="J48" s="22" t="inlineStr">
        <is>
          <t>CARGUEROS</t>
        </is>
      </c>
      <c r="K48" s="23" t="n"/>
      <c r="L48" s="17" t="n"/>
      <c r="M48" s="24" t="n"/>
    </row>
    <row r="49" ht="15.75" customHeight="1">
      <c r="A49" s="9" t="n">
        <v>45666</v>
      </c>
      <c r="B49" s="10" t="n">
        <v>2</v>
      </c>
      <c r="C49" s="21" t="inlineStr">
        <is>
          <t>SAN JOSE</t>
        </is>
      </c>
      <c r="D49" s="12" t="n">
        <v>3175</v>
      </c>
      <c r="E49" s="12" t="n">
        <v>324</v>
      </c>
      <c r="F49" s="13">
        <f>+D49/E49</f>
        <v/>
      </c>
      <c r="G49" s="14" t="n">
        <v>0.25</v>
      </c>
      <c r="H49" s="22" t="n">
        <v>10</v>
      </c>
      <c r="I49" s="22" t="n"/>
      <c r="J49" s="22" t="inlineStr">
        <is>
          <t>CARGUEROS</t>
        </is>
      </c>
      <c r="K49" s="23" t="n"/>
      <c r="L49" s="17" t="n"/>
      <c r="M49" s="24" t="n"/>
    </row>
    <row r="50" ht="15.75" customHeight="1">
      <c r="A50" s="9" t="n">
        <v>45666</v>
      </c>
      <c r="B50" s="10" t="n">
        <v>3</v>
      </c>
      <c r="C50" s="21" t="inlineStr">
        <is>
          <t>SAN JOSE</t>
        </is>
      </c>
      <c r="D50" s="12" t="n">
        <v>3175</v>
      </c>
      <c r="E50" s="12" t="n">
        <v>324</v>
      </c>
      <c r="F50" s="13">
        <f>+D50/E50</f>
        <v/>
      </c>
      <c r="G50" s="14" t="n">
        <v>0.25</v>
      </c>
      <c r="H50" s="22" t="n">
        <v>10</v>
      </c>
      <c r="I50" s="22" t="n"/>
      <c r="J50" s="22" t="inlineStr">
        <is>
          <t>CARGUEROS</t>
        </is>
      </c>
      <c r="K50" s="23" t="n"/>
      <c r="L50" s="17" t="n"/>
      <c r="M50" s="24" t="n"/>
    </row>
    <row r="51" ht="15.75" customHeight="1">
      <c r="A51" s="9" t="n">
        <v>45666</v>
      </c>
      <c r="B51" s="10" t="n">
        <v>4</v>
      </c>
      <c r="C51" s="21" t="inlineStr">
        <is>
          <t>SAN JOSE</t>
        </is>
      </c>
      <c r="D51" s="12" t="n">
        <v>3175</v>
      </c>
      <c r="E51" s="12" t="n">
        <v>324</v>
      </c>
      <c r="F51" s="13">
        <f>+D51/E51</f>
        <v/>
      </c>
      <c r="G51" s="14" t="n">
        <v>0.25</v>
      </c>
      <c r="H51" s="22" t="n">
        <v>10</v>
      </c>
      <c r="I51" s="22" t="n"/>
      <c r="J51" s="22" t="inlineStr">
        <is>
          <t>CARGUEROS</t>
        </is>
      </c>
      <c r="K51" s="23" t="n"/>
      <c r="L51" s="17" t="n"/>
      <c r="M51" s="24" t="n"/>
    </row>
    <row r="52" ht="15.75" customHeight="1">
      <c r="A52" s="9" t="n">
        <v>45666</v>
      </c>
      <c r="B52" s="10" t="n">
        <v>5</v>
      </c>
      <c r="C52" s="21" t="inlineStr">
        <is>
          <t>SAN JOSE</t>
        </is>
      </c>
      <c r="D52" s="12" t="n">
        <v>3175</v>
      </c>
      <c r="E52" s="12" t="n">
        <v>324</v>
      </c>
      <c r="F52" s="13">
        <f>+D52/E52</f>
        <v/>
      </c>
      <c r="G52" s="14" t="n">
        <v>0.25</v>
      </c>
      <c r="H52" s="22" t="n">
        <v>10</v>
      </c>
      <c r="I52" s="22" t="n"/>
      <c r="J52" s="22" t="inlineStr">
        <is>
          <t>CARGUEROS</t>
        </is>
      </c>
      <c r="K52" s="23" t="n"/>
      <c r="L52" s="17" t="n"/>
      <c r="M52" s="24" t="n"/>
    </row>
    <row r="53" ht="15.75" customHeight="1">
      <c r="A53" s="9" t="n">
        <v>45670</v>
      </c>
      <c r="B53" s="10" t="n">
        <v>1</v>
      </c>
      <c r="C53" s="21" t="inlineStr">
        <is>
          <t>MALAGUEÑA</t>
        </is>
      </c>
      <c r="D53" s="12" t="n">
        <v>2895</v>
      </c>
      <c r="E53" s="12" t="n">
        <v>324</v>
      </c>
      <c r="F53" s="13">
        <f>+D53/E53</f>
        <v/>
      </c>
      <c r="G53" s="25" t="n">
        <v>0.9583333333333334</v>
      </c>
      <c r="H53" s="22" t="n">
        <v>12</v>
      </c>
      <c r="I53" s="22" t="n"/>
      <c r="J53" s="22" t="inlineStr">
        <is>
          <t>CARGUEROS</t>
        </is>
      </c>
      <c r="K53" s="23" t="n"/>
      <c r="L53" s="17" t="n"/>
      <c r="M53" s="24" t="n"/>
    </row>
    <row r="54" ht="15.75" customHeight="1">
      <c r="A54" s="9" t="n">
        <v>45670</v>
      </c>
      <c r="B54" s="10" t="n">
        <v>2</v>
      </c>
      <c r="C54" s="21" t="inlineStr">
        <is>
          <t>MALAGUEÑA</t>
        </is>
      </c>
      <c r="D54" s="12" t="n">
        <v>2895</v>
      </c>
      <c r="E54" s="12" t="n">
        <v>324</v>
      </c>
      <c r="F54" s="13">
        <f>+D54/E54</f>
        <v/>
      </c>
      <c r="G54" s="25" t="n">
        <v>0.9583333333333334</v>
      </c>
      <c r="H54" s="22" t="n">
        <v>12</v>
      </c>
      <c r="I54" s="22" t="n"/>
      <c r="J54" s="22" t="inlineStr">
        <is>
          <t>CARGUEROS</t>
        </is>
      </c>
      <c r="K54" s="23" t="n"/>
      <c r="L54" s="17" t="n"/>
      <c r="M54" s="24" t="n"/>
    </row>
    <row r="55" ht="15.75" customHeight="1">
      <c r="A55" s="9" t="n">
        <v>45670</v>
      </c>
      <c r="B55" s="10" t="n">
        <v>3</v>
      </c>
      <c r="C55" s="21" t="inlineStr">
        <is>
          <t>MALAGUEÑA</t>
        </is>
      </c>
      <c r="D55" s="12" t="n">
        <v>3201</v>
      </c>
      <c r="E55" s="12" t="n">
        <v>324</v>
      </c>
      <c r="F55" s="13">
        <f>+D55/E55</f>
        <v/>
      </c>
      <c r="G55" s="25" t="n">
        <v>0.9583333333333334</v>
      </c>
      <c r="H55" s="22" t="n">
        <v>12</v>
      </c>
      <c r="I55" s="22" t="n"/>
      <c r="J55" s="22" t="inlineStr">
        <is>
          <t>CARGUEROS</t>
        </is>
      </c>
      <c r="K55" s="23" t="n"/>
      <c r="L55" s="17" t="n"/>
      <c r="M55" s="24" t="n"/>
    </row>
    <row r="56" ht="15.75" customHeight="1">
      <c r="A56" s="9" t="n">
        <v>45670</v>
      </c>
      <c r="B56" s="10" t="n">
        <v>4</v>
      </c>
      <c r="C56" s="21" t="inlineStr">
        <is>
          <t>MALAGUEÑA</t>
        </is>
      </c>
      <c r="D56" s="12" t="n">
        <v>3201</v>
      </c>
      <c r="E56" s="12" t="n">
        <v>360</v>
      </c>
      <c r="F56" s="13">
        <f>+D56/E56</f>
        <v/>
      </c>
      <c r="G56" s="25" t="n">
        <v>0.9583333333333334</v>
      </c>
      <c r="H56" s="22" t="n">
        <v>12</v>
      </c>
      <c r="I56" s="22" t="n"/>
      <c r="J56" s="22" t="inlineStr">
        <is>
          <t>CARGUEROS</t>
        </is>
      </c>
      <c r="K56" s="23" t="n"/>
      <c r="L56" s="17" t="n"/>
      <c r="M56" s="24" t="n"/>
    </row>
    <row r="57" ht="15.75" customHeight="1">
      <c r="A57" s="9" t="n">
        <v>45670</v>
      </c>
      <c r="B57" s="10" t="n">
        <v>5</v>
      </c>
      <c r="C57" s="21" t="inlineStr">
        <is>
          <t>MALAGUEÑA</t>
        </is>
      </c>
      <c r="D57" s="12" t="n">
        <v>3201</v>
      </c>
      <c r="E57" s="12" t="n">
        <v>324</v>
      </c>
      <c r="F57" s="13">
        <f>+D57/E57</f>
        <v/>
      </c>
      <c r="G57" s="25" t="n">
        <v>0.9583333333333334</v>
      </c>
      <c r="H57" s="22" t="n">
        <v>12</v>
      </c>
      <c r="I57" s="22" t="n"/>
      <c r="J57" s="22" t="inlineStr">
        <is>
          <t>CARGUEROS</t>
        </is>
      </c>
      <c r="K57" s="23" t="n"/>
      <c r="L57" s="17" t="n"/>
      <c r="M57" s="24" t="n"/>
    </row>
    <row r="58" ht="15.75" customHeight="1">
      <c r="A58" s="9" t="n">
        <v>45670</v>
      </c>
      <c r="B58" s="10" t="n">
        <v>6</v>
      </c>
      <c r="C58" s="21" t="inlineStr">
        <is>
          <t>MALAGUEÑA</t>
        </is>
      </c>
      <c r="D58" s="12" t="n">
        <v>3400</v>
      </c>
      <c r="E58" s="12" t="n">
        <v>360</v>
      </c>
      <c r="F58" s="13">
        <f>+D58/E58</f>
        <v/>
      </c>
      <c r="G58" s="25" t="n">
        <v>0.9583333333333334</v>
      </c>
      <c r="H58" s="22" t="n">
        <v>10</v>
      </c>
      <c r="I58" s="22" t="n"/>
      <c r="J58" s="22" t="inlineStr">
        <is>
          <t>CARGUEROS</t>
        </is>
      </c>
      <c r="K58" s="23" t="n"/>
      <c r="L58" s="17" t="n"/>
      <c r="M58" s="24" t="n"/>
    </row>
    <row r="59" ht="15.75" customHeight="1">
      <c r="A59" s="9" t="n">
        <v>45670</v>
      </c>
      <c r="B59" s="10" t="n">
        <v>7</v>
      </c>
      <c r="C59" s="21" t="inlineStr">
        <is>
          <t>MALAGUEÑA</t>
        </is>
      </c>
      <c r="D59" s="12" t="n">
        <v>3400</v>
      </c>
      <c r="E59" s="12" t="n">
        <v>324</v>
      </c>
      <c r="F59" s="13">
        <f>+D59/E59</f>
        <v/>
      </c>
      <c r="G59" s="25" t="n">
        <v>0.9583333333333334</v>
      </c>
      <c r="H59" s="22" t="n">
        <v>10</v>
      </c>
      <c r="I59" s="22" t="n"/>
      <c r="J59" s="22" t="inlineStr">
        <is>
          <t>ABONEROS</t>
        </is>
      </c>
      <c r="K59" s="23" t="n"/>
      <c r="L59" s="17" t="n"/>
      <c r="M59" s="24" t="n"/>
    </row>
    <row r="60" ht="15.75" customHeight="1">
      <c r="A60" s="9" t="n">
        <v>45670</v>
      </c>
      <c r="B60" s="10" t="n">
        <v>8</v>
      </c>
      <c r="C60" s="21" t="inlineStr">
        <is>
          <t>SAN JOSE</t>
        </is>
      </c>
      <c r="D60" s="12" t="n">
        <v>2927</v>
      </c>
      <c r="E60" s="12" t="n">
        <v>324</v>
      </c>
      <c r="F60" s="13">
        <f>+D60/E60</f>
        <v/>
      </c>
      <c r="G60" s="25" t="n">
        <v>0.25</v>
      </c>
      <c r="H60" s="22" t="n">
        <v>10</v>
      </c>
      <c r="I60" s="22" t="n"/>
      <c r="J60" s="22" t="inlineStr">
        <is>
          <t>CARGUEROS</t>
        </is>
      </c>
      <c r="K60" s="23" t="n"/>
      <c r="L60" s="17" t="n"/>
      <c r="M60" s="24" t="n"/>
    </row>
    <row r="61" ht="15.75" customHeight="1">
      <c r="A61" s="9" t="n">
        <v>45671</v>
      </c>
      <c r="B61" s="10" t="n">
        <v>1</v>
      </c>
      <c r="C61" s="21" t="inlineStr">
        <is>
          <t>MALAGUEÑA</t>
        </is>
      </c>
      <c r="D61" s="12" t="n">
        <v>3341</v>
      </c>
      <c r="E61" s="12" t="n">
        <v>360</v>
      </c>
      <c r="F61" s="13">
        <f>+D61/E61</f>
        <v/>
      </c>
      <c r="G61" s="25" t="n">
        <v>0.08333333333333333</v>
      </c>
      <c r="H61" s="22" t="n">
        <v>10</v>
      </c>
      <c r="I61" s="22" t="n"/>
      <c r="J61" s="22" t="inlineStr">
        <is>
          <t>ABONEROS</t>
        </is>
      </c>
      <c r="K61" s="23" t="n"/>
      <c r="L61" s="17" t="n"/>
      <c r="M61" s="24" t="n"/>
    </row>
    <row r="62" ht="15.75" customHeight="1">
      <c r="A62" s="9" t="n">
        <v>45671</v>
      </c>
      <c r="B62" s="10" t="n">
        <v>2</v>
      </c>
      <c r="C62" s="21" t="inlineStr">
        <is>
          <t>MALAGUEÑA</t>
        </is>
      </c>
      <c r="D62" s="12" t="n">
        <v>3341</v>
      </c>
      <c r="E62" s="12" t="n">
        <v>324</v>
      </c>
      <c r="F62" s="13">
        <f>+D62/E62</f>
        <v/>
      </c>
      <c r="G62" s="25" t="n">
        <v>0.08333333333333333</v>
      </c>
      <c r="H62" s="22" t="n">
        <v>10</v>
      </c>
      <c r="I62" s="22" t="n"/>
      <c r="J62" s="22" t="inlineStr">
        <is>
          <t>ABONEROS</t>
        </is>
      </c>
      <c r="K62" s="23" t="n"/>
      <c r="L62" s="17" t="n"/>
      <c r="M62" s="24" t="n"/>
    </row>
    <row r="63" ht="15.75" customHeight="1">
      <c r="A63" s="9" t="n">
        <v>45671</v>
      </c>
      <c r="B63" s="10" t="n">
        <v>3</v>
      </c>
      <c r="C63" s="21" t="inlineStr">
        <is>
          <t>MALAGUEÑA</t>
        </is>
      </c>
      <c r="D63" s="12" t="n">
        <v>3341</v>
      </c>
      <c r="E63" s="12" t="n">
        <v>324</v>
      </c>
      <c r="F63" s="13">
        <f>+D63/E63</f>
        <v/>
      </c>
      <c r="G63" s="25" t="n">
        <v>0.08333333333333333</v>
      </c>
      <c r="H63" s="22" t="n">
        <v>10</v>
      </c>
      <c r="I63" s="22" t="n"/>
      <c r="J63" s="22" t="inlineStr">
        <is>
          <t>ABONEROS</t>
        </is>
      </c>
      <c r="K63" s="23" t="n"/>
      <c r="L63" s="17" t="n"/>
      <c r="M63" s="24" t="n"/>
    </row>
    <row r="64" ht="15.75" customHeight="1">
      <c r="A64" s="9" t="n">
        <v>45671</v>
      </c>
      <c r="B64" s="10" t="n">
        <v>1</v>
      </c>
      <c r="C64" s="21" t="inlineStr">
        <is>
          <t>SAN JOSE</t>
        </is>
      </c>
      <c r="D64" s="12" t="n">
        <v>3015</v>
      </c>
      <c r="E64" s="12" t="n">
        <v>360</v>
      </c>
      <c r="F64" s="13">
        <f>+D64/E64</f>
        <v/>
      </c>
      <c r="G64" s="25" t="n">
        <v>0.1041666666666667</v>
      </c>
      <c r="H64" s="22" t="n">
        <v>10</v>
      </c>
      <c r="I64" s="22" t="n"/>
      <c r="J64" s="22" t="inlineStr">
        <is>
          <t>CARGUEROS</t>
        </is>
      </c>
      <c r="K64" s="23" t="n"/>
      <c r="L64" s="17" t="n"/>
      <c r="M64" s="24" t="n"/>
    </row>
    <row r="65" ht="15.75" customHeight="1">
      <c r="A65" s="9" t="n">
        <v>45671</v>
      </c>
      <c r="B65" s="10" t="n">
        <v>2</v>
      </c>
      <c r="C65" s="21" t="inlineStr">
        <is>
          <t>SAN JOSE</t>
        </is>
      </c>
      <c r="D65" s="12" t="n">
        <v>3685</v>
      </c>
      <c r="E65" s="12" t="n">
        <v>324</v>
      </c>
      <c r="F65" s="13">
        <f>+D65/E65</f>
        <v/>
      </c>
      <c r="G65" s="25" t="n">
        <v>0.1041666666666667</v>
      </c>
      <c r="H65" s="22" t="n">
        <v>10</v>
      </c>
      <c r="I65" s="22" t="n"/>
      <c r="J65" s="22" t="inlineStr">
        <is>
          <t>CARGUEROS</t>
        </is>
      </c>
      <c r="K65" s="23" t="n"/>
      <c r="L65" s="17" t="n"/>
      <c r="M65" s="24" t="n"/>
    </row>
    <row r="66" ht="15.75" customHeight="1">
      <c r="A66" s="9" t="n">
        <v>45671</v>
      </c>
      <c r="B66" s="10" t="n">
        <v>3</v>
      </c>
      <c r="C66" s="21" t="inlineStr">
        <is>
          <t>SAN JOSE</t>
        </is>
      </c>
      <c r="D66" s="12" t="n">
        <v>3685</v>
      </c>
      <c r="E66" s="12" t="n">
        <v>324</v>
      </c>
      <c r="F66" s="13">
        <f>+D66/E66</f>
        <v/>
      </c>
      <c r="G66" s="25" t="n">
        <v>0.1041666666666667</v>
      </c>
      <c r="H66" s="22" t="n">
        <v>10</v>
      </c>
      <c r="I66" s="22" t="n"/>
      <c r="J66" s="22" t="inlineStr">
        <is>
          <t>CARGUEROS</t>
        </is>
      </c>
      <c r="K66" s="23" t="n"/>
      <c r="L66" s="17" t="n"/>
      <c r="M66" s="24" t="n"/>
    </row>
    <row r="67" ht="15.75" customHeight="1">
      <c r="A67" s="9" t="n">
        <v>45671</v>
      </c>
      <c r="B67" s="10" t="n">
        <v>4</v>
      </c>
      <c r="C67" s="21" t="inlineStr">
        <is>
          <t>SAN JOSE</t>
        </is>
      </c>
      <c r="D67" s="12" t="n">
        <v>3685</v>
      </c>
      <c r="E67" s="12" t="n">
        <v>324</v>
      </c>
      <c r="F67" s="13">
        <f>+D67/E67</f>
        <v/>
      </c>
      <c r="G67" s="25" t="n">
        <v>0.1041666666666667</v>
      </c>
      <c r="H67" s="22" t="n">
        <v>10</v>
      </c>
      <c r="I67" s="22" t="n"/>
      <c r="J67" s="22" t="inlineStr">
        <is>
          <t>CARGUEROS</t>
        </is>
      </c>
      <c r="K67" s="23" t="n"/>
      <c r="L67" s="17" t="n"/>
      <c r="M67" s="24" t="n"/>
    </row>
    <row r="68" ht="15.75" customHeight="1">
      <c r="A68" s="9" t="n">
        <v>45671</v>
      </c>
      <c r="B68" s="10" t="n">
        <v>5</v>
      </c>
      <c r="C68" s="21" t="inlineStr">
        <is>
          <t>SAN JOSE</t>
        </is>
      </c>
      <c r="D68" s="12" t="n">
        <v>3685</v>
      </c>
      <c r="E68" s="12" t="n">
        <v>324</v>
      </c>
      <c r="F68" s="13">
        <f>+D68/E68</f>
        <v/>
      </c>
      <c r="G68" s="25" t="n">
        <v>0.1041666666666667</v>
      </c>
      <c r="H68" s="22" t="n">
        <v>10</v>
      </c>
      <c r="I68" s="22" t="n"/>
      <c r="J68" s="22" t="inlineStr">
        <is>
          <t>CARGUEROS</t>
        </is>
      </c>
      <c r="K68" s="23" t="n"/>
      <c r="L68" s="17" t="n"/>
      <c r="M68" s="24" t="n"/>
    </row>
    <row r="69" ht="15.75" customHeight="1">
      <c r="A69" s="9" t="n">
        <v>45671</v>
      </c>
      <c r="B69" s="10" t="n">
        <v>6</v>
      </c>
      <c r="C69" s="21" t="inlineStr">
        <is>
          <t>SAN JOSE</t>
        </is>
      </c>
      <c r="D69" s="12" t="n">
        <v>3370</v>
      </c>
      <c r="E69" s="12" t="n">
        <v>360</v>
      </c>
      <c r="F69" s="13">
        <f>+D69/E69</f>
        <v/>
      </c>
      <c r="G69" s="25" t="n">
        <v>0.1041666666666667</v>
      </c>
      <c r="H69" s="22" t="n">
        <v>10</v>
      </c>
      <c r="I69" s="22" t="n"/>
      <c r="J69" s="22" t="inlineStr">
        <is>
          <t>CARGUEROS</t>
        </is>
      </c>
      <c r="K69" s="23" t="n"/>
      <c r="L69" s="17" t="n"/>
      <c r="M69" s="24" t="n"/>
    </row>
    <row r="70" ht="15.75" customHeight="1">
      <c r="A70" s="9" t="n">
        <v>45672</v>
      </c>
      <c r="B70" s="10" t="n">
        <v>1</v>
      </c>
      <c r="C70" s="21" t="inlineStr">
        <is>
          <t>MALAGUEÑA</t>
        </is>
      </c>
      <c r="D70" s="12" t="n">
        <v>3431</v>
      </c>
      <c r="E70" s="12" t="n">
        <v>324</v>
      </c>
      <c r="F70" s="13">
        <f>+D70/E70</f>
        <v/>
      </c>
      <c r="G70" s="25" t="n">
        <v>0.9583333333333334</v>
      </c>
      <c r="H70" s="22" t="n">
        <v>101</v>
      </c>
      <c r="I70" s="22" t="n"/>
      <c r="J70" s="22" t="inlineStr">
        <is>
          <t>ABONEROS</t>
        </is>
      </c>
      <c r="K70" s="23" t="n"/>
      <c r="L70" s="17" t="n"/>
      <c r="M70" s="24" t="n"/>
    </row>
    <row r="71" ht="15.75" customHeight="1">
      <c r="A71" s="9" t="n">
        <v>45672</v>
      </c>
      <c r="B71" s="10" t="n">
        <v>2</v>
      </c>
      <c r="C71" s="21" t="inlineStr">
        <is>
          <t>MALAGUEÑA</t>
        </is>
      </c>
      <c r="D71" s="12" t="n">
        <v>3133</v>
      </c>
      <c r="E71" s="12" t="n">
        <v>360</v>
      </c>
      <c r="F71" s="13">
        <f>+D71/E71</f>
        <v/>
      </c>
      <c r="G71" s="25" t="n">
        <v>0.9583333333333334</v>
      </c>
      <c r="H71" s="22" t="n">
        <v>10</v>
      </c>
      <c r="I71" s="22" t="n"/>
      <c r="J71" s="22" t="inlineStr">
        <is>
          <t>ABONEROS</t>
        </is>
      </c>
      <c r="K71" s="23" t="n"/>
      <c r="L71" s="17" t="n"/>
      <c r="M71" s="24" t="n"/>
    </row>
    <row r="72" ht="15.75" customHeight="1">
      <c r="A72" s="9" t="n">
        <v>45672</v>
      </c>
      <c r="B72" s="10" t="n">
        <v>3</v>
      </c>
      <c r="C72" s="21" t="inlineStr">
        <is>
          <t>MALAGUEÑA</t>
        </is>
      </c>
      <c r="D72" s="12" t="n">
        <v>3567</v>
      </c>
      <c r="E72" s="12" t="n">
        <v>360</v>
      </c>
      <c r="F72" s="13">
        <f>+D72/E72</f>
        <v/>
      </c>
      <c r="G72" s="25" t="n">
        <v>0.9583333333333334</v>
      </c>
      <c r="H72" s="22" t="n">
        <v>10</v>
      </c>
      <c r="I72" s="22" t="n"/>
      <c r="J72" s="22" t="inlineStr">
        <is>
          <t>ABONEROS</t>
        </is>
      </c>
      <c r="K72" s="23" t="n"/>
      <c r="L72" s="17" t="n"/>
      <c r="M72" s="24" t="n"/>
    </row>
    <row r="73" ht="15.75" customHeight="1">
      <c r="A73" s="9" t="n">
        <v>45672</v>
      </c>
      <c r="B73" s="10" t="n">
        <v>4</v>
      </c>
      <c r="C73" s="21" t="inlineStr">
        <is>
          <t>MALAGUEÑA</t>
        </is>
      </c>
      <c r="D73" s="12" t="n">
        <v>3567</v>
      </c>
      <c r="E73" s="12" t="n">
        <v>324</v>
      </c>
      <c r="F73" s="13">
        <f>+D73/E73</f>
        <v/>
      </c>
      <c r="G73" s="25" t="n">
        <v>0.9583333333333334</v>
      </c>
      <c r="H73" s="22" t="n">
        <v>10</v>
      </c>
      <c r="I73" s="22" t="n"/>
      <c r="J73" s="22" t="inlineStr">
        <is>
          <t>ABONEROS</t>
        </is>
      </c>
      <c r="K73" s="23" t="n"/>
      <c r="L73" s="17" t="n"/>
      <c r="M73" s="24" t="n"/>
    </row>
    <row r="74" ht="15.75" customHeight="1">
      <c r="A74" s="9" t="n">
        <v>45672</v>
      </c>
      <c r="B74" s="10" t="n">
        <v>5</v>
      </c>
      <c r="C74" s="21" t="inlineStr">
        <is>
          <t>MALAGUEÑA</t>
        </is>
      </c>
      <c r="D74" s="12" t="n">
        <v>3567</v>
      </c>
      <c r="E74" s="12" t="n">
        <v>324</v>
      </c>
      <c r="F74" s="13">
        <f>+D74/E74</f>
        <v/>
      </c>
      <c r="G74" s="25" t="n">
        <v>0.9583333333333334</v>
      </c>
      <c r="H74" s="22" t="n">
        <v>10</v>
      </c>
      <c r="I74" s="22" t="n"/>
      <c r="J74" s="22" t="inlineStr">
        <is>
          <t>ABONEROS</t>
        </is>
      </c>
      <c r="K74" s="23" t="n"/>
      <c r="L74" s="17" t="n"/>
      <c r="M74" s="24" t="n"/>
    </row>
    <row r="75" ht="15.75" customHeight="1">
      <c r="A75" s="9" t="n">
        <v>45672</v>
      </c>
      <c r="B75" s="10" t="n">
        <v>6</v>
      </c>
      <c r="C75" s="21" t="inlineStr">
        <is>
          <t>MALAGUEÑA</t>
        </is>
      </c>
      <c r="D75" s="12" t="n">
        <v>3567</v>
      </c>
      <c r="E75" s="12" t="n">
        <v>324</v>
      </c>
      <c r="F75" s="13">
        <f>+D75/E75</f>
        <v/>
      </c>
      <c r="G75" s="25" t="n">
        <v>0.9583333333333334</v>
      </c>
      <c r="H75" s="22" t="n">
        <v>10</v>
      </c>
      <c r="I75" s="22" t="n"/>
      <c r="J75" s="22" t="inlineStr">
        <is>
          <t>ABONEROS</t>
        </is>
      </c>
      <c r="K75" s="23" t="n"/>
      <c r="L75" s="17" t="n"/>
      <c r="M75" s="24" t="n"/>
    </row>
    <row r="76" ht="15.75" customHeight="1">
      <c r="A76" s="9" t="n">
        <v>45672</v>
      </c>
      <c r="B76" s="10" t="n">
        <v>1</v>
      </c>
      <c r="C76" s="21" t="inlineStr">
        <is>
          <t>SAN JOSE</t>
        </is>
      </c>
      <c r="D76" s="12" t="n">
        <v>3321</v>
      </c>
      <c r="E76" s="12" t="n">
        <v>324</v>
      </c>
      <c r="F76" s="13">
        <f>+D76/E76</f>
        <v/>
      </c>
      <c r="G76" s="25" t="n">
        <v>0.1666666666666667</v>
      </c>
      <c r="H76" s="22" t="n">
        <v>10</v>
      </c>
      <c r="I76" s="22" t="n"/>
      <c r="J76" s="22" t="inlineStr">
        <is>
          <t>CARGUEROS</t>
        </is>
      </c>
      <c r="K76" s="23" t="n"/>
      <c r="L76" s="17" t="n"/>
      <c r="M76" s="24" t="n"/>
    </row>
    <row r="77" ht="15.75" customHeight="1">
      <c r="A77" s="9" t="n">
        <v>45672</v>
      </c>
      <c r="B77" s="10" t="n">
        <v>2</v>
      </c>
      <c r="C77" s="21" t="inlineStr">
        <is>
          <t>SAN JOSE</t>
        </is>
      </c>
      <c r="D77" s="12" t="n">
        <v>3668</v>
      </c>
      <c r="E77" s="12" t="n">
        <v>324</v>
      </c>
      <c r="F77" s="13">
        <f>+D77/E77</f>
        <v/>
      </c>
      <c r="G77" s="25" t="n">
        <v>0.1666666666666667</v>
      </c>
      <c r="H77" s="22" t="n">
        <v>10</v>
      </c>
      <c r="I77" s="22" t="n"/>
      <c r="J77" s="22" t="inlineStr">
        <is>
          <t>CARGUEROS</t>
        </is>
      </c>
      <c r="K77" s="23" t="n"/>
      <c r="L77" s="17" t="n"/>
      <c r="M77" s="24" t="n"/>
    </row>
    <row r="78" ht="15.75" customHeight="1">
      <c r="A78" s="9" t="n">
        <v>45672</v>
      </c>
      <c r="B78" s="10" t="n">
        <v>3</v>
      </c>
      <c r="C78" s="21" t="inlineStr">
        <is>
          <t>SAN JOSE</t>
        </is>
      </c>
      <c r="D78" s="12" t="n">
        <v>3169</v>
      </c>
      <c r="E78" s="12" t="n">
        <v>324</v>
      </c>
      <c r="F78" s="13">
        <f>+D78/E78</f>
        <v/>
      </c>
      <c r="G78" s="25" t="n">
        <v>0.1666666666666667</v>
      </c>
      <c r="H78" s="22" t="n">
        <v>10</v>
      </c>
      <c r="I78" s="22" t="n"/>
      <c r="J78" s="22" t="inlineStr">
        <is>
          <t>CARGUEROS</t>
        </is>
      </c>
      <c r="K78" s="23" t="n"/>
      <c r="L78" s="17" t="n"/>
      <c r="M78" s="24" t="n"/>
    </row>
    <row r="79" ht="15.75" customHeight="1">
      <c r="A79" s="9" t="n">
        <v>45672</v>
      </c>
      <c r="B79" s="10" t="n">
        <v>4</v>
      </c>
      <c r="C79" s="21" t="inlineStr">
        <is>
          <t>SAN JOSE</t>
        </is>
      </c>
      <c r="D79" s="12" t="n">
        <v>3169</v>
      </c>
      <c r="E79" s="12" t="n">
        <v>360</v>
      </c>
      <c r="F79" s="13">
        <f>+D79/E79</f>
        <v/>
      </c>
      <c r="G79" s="25" t="n">
        <v>0.1666666666666667</v>
      </c>
      <c r="H79" s="22" t="n">
        <v>10</v>
      </c>
      <c r="I79" s="22" t="n"/>
      <c r="J79" s="22" t="inlineStr">
        <is>
          <t>CARGUEROS</t>
        </is>
      </c>
      <c r="K79" s="23" t="n"/>
      <c r="L79" s="17" t="n"/>
      <c r="M79" s="24" t="n"/>
    </row>
    <row r="80" ht="15.75" customHeight="1">
      <c r="A80" s="9" t="n">
        <v>45672</v>
      </c>
      <c r="B80" s="10" t="n">
        <v>5</v>
      </c>
      <c r="C80" s="21" t="inlineStr">
        <is>
          <t>SAN JOSE</t>
        </is>
      </c>
      <c r="D80" s="12" t="n">
        <v>3169</v>
      </c>
      <c r="E80" s="12" t="n">
        <v>360</v>
      </c>
      <c r="F80" s="13">
        <f>+D80/E80</f>
        <v/>
      </c>
      <c r="G80" s="25" t="n">
        <v>0.1666666666666667</v>
      </c>
      <c r="H80" s="22" t="n">
        <v>10</v>
      </c>
      <c r="I80" s="22" t="n"/>
      <c r="J80" s="22" t="inlineStr">
        <is>
          <t>CARGUEROS</t>
        </is>
      </c>
      <c r="K80" s="23" t="n"/>
      <c r="L80" s="17" t="n"/>
      <c r="M80" s="24" t="n"/>
    </row>
    <row r="81" ht="15.75" customHeight="1">
      <c r="A81" s="9" t="n">
        <v>45672</v>
      </c>
      <c r="B81" s="10" t="n">
        <v>6</v>
      </c>
      <c r="C81" s="21" t="inlineStr">
        <is>
          <t>SAN JOSE</t>
        </is>
      </c>
      <c r="D81" s="12" t="n">
        <v>3169</v>
      </c>
      <c r="E81" s="12" t="n">
        <v>324</v>
      </c>
      <c r="F81" s="13">
        <f>+D81/E81</f>
        <v/>
      </c>
      <c r="G81" s="25" t="n">
        <v>0.1666666666666667</v>
      </c>
      <c r="H81" s="22" t="n">
        <v>10</v>
      </c>
      <c r="I81" s="22" t="n"/>
      <c r="J81" s="22" t="inlineStr">
        <is>
          <t>CARGUEROS</t>
        </is>
      </c>
      <c r="K81" s="23" t="n"/>
      <c r="L81" s="17" t="n"/>
      <c r="M81" s="24" t="n"/>
    </row>
    <row r="82" ht="15.75" customHeight="1">
      <c r="A82" s="9" t="n">
        <v>45672</v>
      </c>
      <c r="B82" s="10" t="n">
        <v>7</v>
      </c>
      <c r="C82" s="21" t="inlineStr">
        <is>
          <t>SAN JOSE</t>
        </is>
      </c>
      <c r="D82" s="12" t="n">
        <v>3169</v>
      </c>
      <c r="E82" s="12" t="n">
        <v>324</v>
      </c>
      <c r="F82" s="13">
        <f>+D82/E82</f>
        <v/>
      </c>
      <c r="G82" s="25" t="n">
        <v>0.1666666666666667</v>
      </c>
      <c r="H82" s="22" t="n">
        <v>10</v>
      </c>
      <c r="I82" s="22" t="n"/>
      <c r="J82" s="22" t="inlineStr">
        <is>
          <t>CARGUEROS</t>
        </is>
      </c>
      <c r="K82" s="23" t="n"/>
      <c r="L82" s="17" t="n"/>
      <c r="M82" s="24" t="n"/>
    </row>
    <row r="83" ht="15.75" customHeight="1">
      <c r="A83" s="9" t="n">
        <v>45672</v>
      </c>
      <c r="B83" s="10" t="n">
        <v>8</v>
      </c>
      <c r="C83" s="21" t="inlineStr">
        <is>
          <t>SAN JOSE</t>
        </is>
      </c>
      <c r="D83" s="12" t="n">
        <v>3521</v>
      </c>
      <c r="E83" s="12" t="n">
        <v>324</v>
      </c>
      <c r="F83" s="13">
        <f>+D83/E83</f>
        <v/>
      </c>
      <c r="G83" s="25" t="n">
        <v>0.1666666666666667</v>
      </c>
      <c r="H83" s="22" t="n">
        <v>10</v>
      </c>
      <c r="I83" s="22" t="n"/>
      <c r="J83" s="22" t="inlineStr">
        <is>
          <t>CARGUEROS</t>
        </is>
      </c>
      <c r="K83" s="23" t="n"/>
      <c r="L83" s="17" t="n"/>
      <c r="M83" s="24" t="n"/>
    </row>
    <row r="84" ht="15.75" customHeight="1">
      <c r="A84" s="9" t="n">
        <v>45672</v>
      </c>
      <c r="B84" s="10" t="n">
        <v>9</v>
      </c>
      <c r="C84" s="21" t="inlineStr">
        <is>
          <t>SAN JOSE</t>
        </is>
      </c>
      <c r="D84" s="12" t="n">
        <v>3521</v>
      </c>
      <c r="E84" s="12" t="n">
        <v>360</v>
      </c>
      <c r="F84" s="13">
        <f>+D84/E84</f>
        <v/>
      </c>
      <c r="G84" s="25" t="n">
        <v>0.1666666666666667</v>
      </c>
      <c r="H84" s="22" t="n">
        <v>10</v>
      </c>
      <c r="I84" s="22" t="n"/>
      <c r="J84" s="22" t="inlineStr">
        <is>
          <t>CARGUEROS</t>
        </is>
      </c>
      <c r="K84" s="23" t="n"/>
      <c r="L84" s="17" t="n"/>
      <c r="M84" s="24" t="n"/>
    </row>
    <row r="85" ht="15.75" customHeight="1">
      <c r="A85" s="9" t="n">
        <v>45673</v>
      </c>
      <c r="B85" s="10" t="n">
        <v>1</v>
      </c>
      <c r="C85" s="21" t="inlineStr">
        <is>
          <t>MALAGUEÑA</t>
        </is>
      </c>
      <c r="D85" s="12" t="n">
        <v>3082</v>
      </c>
      <c r="E85" s="12" t="n">
        <v>324</v>
      </c>
      <c r="F85" s="13">
        <f>+D85/E85</f>
        <v/>
      </c>
      <c r="G85" s="25" t="n">
        <v>0.08333333333333333</v>
      </c>
      <c r="H85" s="22" t="n">
        <v>10</v>
      </c>
      <c r="I85" s="22" t="n"/>
      <c r="J85" s="22" t="inlineStr">
        <is>
          <t>ABONEROS</t>
        </is>
      </c>
      <c r="K85" s="23" t="n"/>
      <c r="L85" s="17" t="n"/>
      <c r="M85" s="24" t="n"/>
    </row>
    <row r="86" ht="15.75" customHeight="1">
      <c r="A86" s="9" t="n">
        <v>45673</v>
      </c>
      <c r="B86" s="10" t="n">
        <v>2</v>
      </c>
      <c r="C86" s="21" t="inlineStr">
        <is>
          <t>MALAGUEÑA</t>
        </is>
      </c>
      <c r="D86" s="12" t="n">
        <v>3082</v>
      </c>
      <c r="E86" s="12" t="n">
        <v>324</v>
      </c>
      <c r="F86" s="13">
        <f>+D86/E86</f>
        <v/>
      </c>
      <c r="G86" s="25" t="n">
        <v>0.08333333333333333</v>
      </c>
      <c r="H86" s="22" t="n">
        <v>10</v>
      </c>
      <c r="I86" s="22" t="n"/>
      <c r="J86" s="22" t="inlineStr">
        <is>
          <t>ABONEROS</t>
        </is>
      </c>
      <c r="K86" s="23" t="n"/>
      <c r="L86" s="17" t="n"/>
      <c r="M86" s="24" t="n"/>
    </row>
    <row r="87" ht="15.75" customHeight="1">
      <c r="A87" s="9" t="n">
        <v>45673</v>
      </c>
      <c r="B87" s="10" t="n">
        <v>1</v>
      </c>
      <c r="C87" s="21" t="inlineStr">
        <is>
          <t>SAN JOSE</t>
        </is>
      </c>
      <c r="D87" s="12" t="n">
        <v>3114</v>
      </c>
      <c r="E87" s="12" t="n">
        <v>324</v>
      </c>
      <c r="F87" s="13">
        <f>+D87/E87</f>
        <v/>
      </c>
      <c r="G87" s="25" t="n">
        <v>0.9791666666666666</v>
      </c>
      <c r="H87" s="22" t="n">
        <v>11</v>
      </c>
      <c r="I87" s="22" t="n"/>
      <c r="J87" s="22" t="inlineStr">
        <is>
          <t>CARGUEROS</t>
        </is>
      </c>
      <c r="K87" s="23" t="n"/>
      <c r="L87" s="17" t="n"/>
      <c r="M87" s="24" t="n"/>
    </row>
    <row r="88" ht="15.75" customHeight="1">
      <c r="A88" s="9" t="n">
        <v>45673</v>
      </c>
      <c r="B88" s="10" t="n">
        <v>2</v>
      </c>
      <c r="C88" s="21" t="inlineStr">
        <is>
          <t>SAN JOSE</t>
        </is>
      </c>
      <c r="D88" s="12" t="n">
        <v>3112</v>
      </c>
      <c r="E88" s="12" t="n">
        <v>324</v>
      </c>
      <c r="F88" s="13">
        <f>+D88/E88</f>
        <v/>
      </c>
      <c r="G88" s="25" t="n">
        <v>0.9791666666666666</v>
      </c>
      <c r="H88" s="22" t="n">
        <v>11</v>
      </c>
      <c r="I88" s="22" t="n"/>
      <c r="J88" s="22" t="inlineStr">
        <is>
          <t>CARGUEROS</t>
        </is>
      </c>
      <c r="K88" s="23" t="n"/>
      <c r="L88" s="17" t="n"/>
      <c r="M88" s="24" t="n"/>
    </row>
    <row r="89" ht="15.75" customHeight="1">
      <c r="A89" s="9" t="n">
        <v>45673</v>
      </c>
      <c r="B89" s="10" t="n">
        <v>3</v>
      </c>
      <c r="C89" s="21" t="inlineStr">
        <is>
          <t>SAN JOSE</t>
        </is>
      </c>
      <c r="D89" s="12" t="n">
        <v>3520</v>
      </c>
      <c r="E89" s="12" t="n">
        <v>360</v>
      </c>
      <c r="F89" s="13">
        <f>+D89/E89</f>
        <v/>
      </c>
      <c r="G89" s="25" t="n">
        <v>0.9791666666666666</v>
      </c>
      <c r="H89" s="22" t="n">
        <v>11</v>
      </c>
      <c r="I89" s="22" t="n"/>
      <c r="J89" s="22" t="inlineStr">
        <is>
          <t>CARGUEROS</t>
        </is>
      </c>
      <c r="K89" s="23" t="n"/>
      <c r="L89" s="17" t="n"/>
      <c r="M89" s="24" t="n"/>
    </row>
    <row r="90" ht="15.75" customHeight="1">
      <c r="A90" s="9" t="n">
        <v>45673</v>
      </c>
      <c r="B90" s="10" t="n">
        <v>4</v>
      </c>
      <c r="C90" s="21" t="inlineStr">
        <is>
          <t>SAN JOSE</t>
        </is>
      </c>
      <c r="D90" s="12" t="n">
        <v>3520</v>
      </c>
      <c r="E90" s="12" t="n">
        <v>360</v>
      </c>
      <c r="F90" s="13">
        <f>+D90/E90</f>
        <v/>
      </c>
      <c r="G90" s="25" t="n">
        <v>0.9791666666666666</v>
      </c>
      <c r="H90" s="22" t="n">
        <v>11</v>
      </c>
      <c r="I90" s="22" t="n"/>
      <c r="J90" s="22" t="inlineStr">
        <is>
          <t>CARGUEROS</t>
        </is>
      </c>
      <c r="K90" s="23" t="n"/>
      <c r="L90" s="17" t="n"/>
      <c r="M90" s="24" t="n"/>
    </row>
    <row r="91" ht="15.75" customHeight="1">
      <c r="A91" s="9" t="n">
        <v>45673</v>
      </c>
      <c r="B91" s="10" t="n">
        <v>5</v>
      </c>
      <c r="C91" s="21" t="inlineStr">
        <is>
          <t>SAN JOSE</t>
        </is>
      </c>
      <c r="D91" s="12" t="n">
        <v>3520</v>
      </c>
      <c r="E91" s="12" t="n">
        <v>324</v>
      </c>
      <c r="F91" s="13">
        <f>+D91/E91</f>
        <v/>
      </c>
      <c r="G91" s="25" t="n">
        <v>0.9791666666666666</v>
      </c>
      <c r="H91" s="22" t="n">
        <v>11</v>
      </c>
      <c r="I91" s="22" t="n"/>
      <c r="J91" s="22" t="inlineStr">
        <is>
          <t>CARGUEROS</t>
        </is>
      </c>
      <c r="K91" s="23" t="n"/>
      <c r="L91" s="17" t="n"/>
      <c r="M91" s="24" t="n"/>
    </row>
    <row r="92" ht="15.75" customHeight="1">
      <c r="A92" s="9" t="n">
        <v>45673</v>
      </c>
      <c r="B92" s="10" t="n">
        <v>6</v>
      </c>
      <c r="C92" s="21" t="inlineStr">
        <is>
          <t>SAN JOSE</t>
        </is>
      </c>
      <c r="D92" s="12" t="n">
        <v>3621</v>
      </c>
      <c r="E92" s="12" t="n">
        <v>324</v>
      </c>
      <c r="F92" s="13">
        <f>+D92/E92</f>
        <v/>
      </c>
      <c r="G92" s="25" t="n">
        <v>0.9791666666666666</v>
      </c>
      <c r="H92" s="22" t="n">
        <v>11</v>
      </c>
      <c r="I92" s="22" t="n"/>
      <c r="J92" s="22" t="inlineStr">
        <is>
          <t>CARGUEROS</t>
        </is>
      </c>
      <c r="K92" s="23" t="n"/>
      <c r="L92" s="17" t="n"/>
      <c r="M92" s="24" t="n"/>
    </row>
    <row r="93" ht="15.75" customHeight="1">
      <c r="A93" s="9" t="n">
        <v>45673</v>
      </c>
      <c r="B93" s="10" t="n">
        <v>7</v>
      </c>
      <c r="C93" s="21" t="inlineStr">
        <is>
          <t>SAN JOSE</t>
        </is>
      </c>
      <c r="D93" s="12" t="n">
        <v>3621</v>
      </c>
      <c r="E93" s="12" t="n">
        <v>324</v>
      </c>
      <c r="F93" s="13">
        <f>+D93/E93</f>
        <v/>
      </c>
      <c r="G93" s="25" t="n">
        <v>0.9791666666666666</v>
      </c>
      <c r="H93" s="22" t="n">
        <v>11</v>
      </c>
      <c r="I93" s="22" t="n"/>
      <c r="J93" s="22" t="inlineStr">
        <is>
          <t>CARGUEROS</t>
        </is>
      </c>
      <c r="K93" s="23" t="n"/>
      <c r="L93" s="17" t="n"/>
      <c r="M93" s="24" t="n"/>
    </row>
    <row r="94" ht="15.75" customHeight="1">
      <c r="A94" s="9" t="n">
        <v>45673</v>
      </c>
      <c r="B94" s="10" t="n">
        <v>8</v>
      </c>
      <c r="C94" s="21" t="inlineStr">
        <is>
          <t>SAN JOSE</t>
        </is>
      </c>
      <c r="D94" s="12" t="n">
        <v>3780</v>
      </c>
      <c r="E94" s="12" t="n">
        <v>324</v>
      </c>
      <c r="F94" s="13">
        <f>+D94/E94</f>
        <v/>
      </c>
      <c r="G94" s="25" t="n">
        <v>0.9791666666666666</v>
      </c>
      <c r="H94" s="22" t="n">
        <v>11</v>
      </c>
      <c r="I94" s="22" t="n"/>
      <c r="J94" s="22" t="inlineStr">
        <is>
          <t>CARGUEROS</t>
        </is>
      </c>
      <c r="K94" s="23" t="n"/>
      <c r="L94" s="17" t="n"/>
      <c r="M94" s="24" t="n"/>
    </row>
    <row r="95" ht="15.75" customHeight="1">
      <c r="A95" s="9" t="n">
        <v>45673</v>
      </c>
      <c r="B95" s="10" t="n">
        <v>9</v>
      </c>
      <c r="C95" s="21" t="inlineStr">
        <is>
          <t>SAN JOSE</t>
        </is>
      </c>
      <c r="D95" s="12" t="n">
        <v>3780</v>
      </c>
      <c r="E95" s="12" t="n">
        <v>324</v>
      </c>
      <c r="F95" s="13">
        <f>+D95/E95</f>
        <v/>
      </c>
      <c r="G95" s="25" t="n">
        <v>0.9791666666666666</v>
      </c>
      <c r="H95" s="22" t="n">
        <v>11</v>
      </c>
      <c r="I95" s="22" t="n"/>
      <c r="J95" s="22" t="inlineStr">
        <is>
          <t>CARGUEROS</t>
        </is>
      </c>
      <c r="K95" s="23" t="n"/>
      <c r="L95" s="17" t="n"/>
      <c r="M95" s="24" t="n"/>
    </row>
    <row r="96" ht="15.75" customHeight="1">
      <c r="A96" s="9" t="n">
        <v>45673</v>
      </c>
      <c r="B96" s="10" t="n">
        <v>10</v>
      </c>
      <c r="C96" s="21" t="inlineStr">
        <is>
          <t>SAN JOSE</t>
        </is>
      </c>
      <c r="D96" s="12" t="n">
        <v>3309</v>
      </c>
      <c r="E96" s="12" t="n">
        <v>324</v>
      </c>
      <c r="F96" s="13">
        <f>+D96/E96</f>
        <v/>
      </c>
      <c r="G96" s="25" t="n">
        <v>0.9791666666666666</v>
      </c>
      <c r="H96" s="22" t="n">
        <v>11</v>
      </c>
      <c r="I96" s="22" t="n"/>
      <c r="J96" s="22" t="inlineStr">
        <is>
          <t>CARGUEROS</t>
        </is>
      </c>
      <c r="K96" s="23" t="n"/>
      <c r="L96" s="17" t="n"/>
      <c r="M96" s="24" t="n"/>
    </row>
    <row r="97" ht="15.75" customHeight="1">
      <c r="A97" s="9" t="n">
        <v>45673</v>
      </c>
      <c r="B97" s="10" t="n">
        <v>11</v>
      </c>
      <c r="C97" s="21" t="inlineStr">
        <is>
          <t>SAN JOSE</t>
        </is>
      </c>
      <c r="D97" s="12" t="n">
        <v>3137</v>
      </c>
      <c r="E97" s="12" t="n">
        <v>360</v>
      </c>
      <c r="F97" s="13">
        <f>+D97/E97</f>
        <v/>
      </c>
      <c r="G97" s="25" t="n">
        <v>0.9791666666666666</v>
      </c>
      <c r="H97" s="22" t="n">
        <v>11</v>
      </c>
      <c r="I97" s="22" t="n"/>
      <c r="J97" s="22" t="inlineStr">
        <is>
          <t>CARGUEROS</t>
        </is>
      </c>
      <c r="K97" s="23" t="n"/>
      <c r="L97" s="17" t="n"/>
      <c r="M97" s="24" t="n"/>
    </row>
    <row r="98" ht="15.75" customHeight="1">
      <c r="A98" s="9" t="n">
        <v>45673</v>
      </c>
      <c r="B98" s="10" t="n">
        <v>12</v>
      </c>
      <c r="C98" s="21" t="inlineStr">
        <is>
          <t>SAN JOSE</t>
        </is>
      </c>
      <c r="D98" s="12" t="n">
        <v>3137</v>
      </c>
      <c r="E98" s="12" t="n">
        <v>360</v>
      </c>
      <c r="F98" s="13">
        <f>+D98/E98</f>
        <v/>
      </c>
      <c r="G98" s="25" t="n">
        <v>0.9791666666666666</v>
      </c>
      <c r="H98" s="22" t="n">
        <v>11</v>
      </c>
      <c r="I98" s="22" t="n"/>
      <c r="J98" s="22" t="inlineStr">
        <is>
          <t>CARGUEROS</t>
        </is>
      </c>
      <c r="K98" s="23" t="n"/>
      <c r="L98" s="17" t="n"/>
      <c r="M98" s="24" t="n"/>
    </row>
    <row r="99" ht="15.75" customHeight="1">
      <c r="A99" s="9" t="n">
        <v>45673</v>
      </c>
      <c r="B99" s="10" t="n">
        <v>13</v>
      </c>
      <c r="C99" s="21" t="inlineStr">
        <is>
          <t>SAN JOSE</t>
        </is>
      </c>
      <c r="D99" s="12" t="n">
        <v>3137</v>
      </c>
      <c r="E99" s="12" t="n">
        <v>324</v>
      </c>
      <c r="F99" s="13">
        <f>+D99/E99</f>
        <v/>
      </c>
      <c r="G99" s="25" t="n">
        <v>0.9791666666666666</v>
      </c>
      <c r="H99" s="22" t="n">
        <v>11</v>
      </c>
      <c r="I99" s="22" t="n"/>
      <c r="J99" s="22" t="inlineStr">
        <is>
          <t>CARGUEROS</t>
        </is>
      </c>
      <c r="K99" s="23" t="n"/>
      <c r="L99" s="17" t="n"/>
      <c r="M99" s="24" t="n"/>
    </row>
    <row r="100" ht="15.75" customHeight="1">
      <c r="A100" s="9" t="n">
        <v>45673</v>
      </c>
      <c r="B100" s="10" t="n">
        <v>14</v>
      </c>
      <c r="C100" s="21" t="inlineStr">
        <is>
          <t>SAN JOSE</t>
        </is>
      </c>
      <c r="D100" s="12" t="n">
        <v>3137</v>
      </c>
      <c r="E100" s="12" t="n">
        <v>324</v>
      </c>
      <c r="F100" s="13">
        <f>+D100/E100</f>
        <v/>
      </c>
      <c r="G100" s="25" t="n">
        <v>0.9791666666666666</v>
      </c>
      <c r="H100" s="22" t="n">
        <v>11</v>
      </c>
      <c r="I100" s="22" t="n"/>
      <c r="J100" s="22" t="inlineStr">
        <is>
          <t>CARGUEROS</t>
        </is>
      </c>
      <c r="K100" s="23" t="n"/>
      <c r="L100" s="17" t="n"/>
      <c r="M100" s="24" t="n"/>
    </row>
    <row r="101" ht="15.75" customHeight="1">
      <c r="A101" s="9" t="n">
        <v>45674</v>
      </c>
      <c r="B101" s="10" t="n">
        <v>1</v>
      </c>
      <c r="C101" s="21" t="inlineStr">
        <is>
          <t>SAN JOSE</t>
        </is>
      </c>
      <c r="D101" s="12" t="n">
        <v>3120</v>
      </c>
      <c r="E101" s="12" t="n">
        <v>324</v>
      </c>
      <c r="F101" s="13">
        <f>+D101/E101</f>
        <v/>
      </c>
      <c r="G101" s="25" t="n">
        <v>0.02083333333333333</v>
      </c>
      <c r="H101" s="22" t="n">
        <v>11</v>
      </c>
      <c r="I101" s="22" t="n"/>
      <c r="J101" s="22" t="inlineStr">
        <is>
          <t>CARGUEROS</t>
        </is>
      </c>
      <c r="K101" s="23" t="n"/>
      <c r="L101" s="17" t="n"/>
      <c r="M101" s="24" t="n"/>
    </row>
    <row r="102" ht="15.75" customHeight="1">
      <c r="A102" s="9" t="n">
        <v>45674</v>
      </c>
      <c r="B102" s="10" t="n">
        <v>2</v>
      </c>
      <c r="C102" s="21" t="inlineStr">
        <is>
          <t>SAN JOSE</t>
        </is>
      </c>
      <c r="D102" s="12" t="n">
        <v>3764</v>
      </c>
      <c r="E102" s="12" t="n">
        <v>360</v>
      </c>
      <c r="F102" s="13">
        <f>+D102/E102</f>
        <v/>
      </c>
      <c r="G102" s="25" t="n">
        <v>0.02083333333333333</v>
      </c>
      <c r="H102" s="22" t="n">
        <v>11</v>
      </c>
      <c r="I102" s="22" t="n"/>
      <c r="J102" s="22" t="inlineStr">
        <is>
          <t>CARGUEROS</t>
        </is>
      </c>
      <c r="K102" s="23" t="n"/>
      <c r="L102" s="17" t="n"/>
      <c r="M102" s="24" t="n"/>
    </row>
    <row r="103" ht="15.75" customHeight="1">
      <c r="A103" s="9" t="n">
        <v>45674</v>
      </c>
      <c r="B103" s="10" t="n">
        <v>3</v>
      </c>
      <c r="C103" s="21" t="inlineStr">
        <is>
          <t>SAN JOSE</t>
        </is>
      </c>
      <c r="D103" s="12" t="n">
        <v>3464</v>
      </c>
      <c r="E103" s="12" t="n">
        <v>324</v>
      </c>
      <c r="F103" s="13">
        <f>+D103/E103</f>
        <v/>
      </c>
      <c r="G103" s="25" t="n">
        <v>0.02083333333333333</v>
      </c>
      <c r="H103" s="22" t="n">
        <v>11</v>
      </c>
      <c r="I103" s="22" t="n"/>
      <c r="J103" s="22" t="inlineStr">
        <is>
          <t>CARGUEROS</t>
        </is>
      </c>
      <c r="K103" s="23" t="n"/>
      <c r="L103" s="17" t="n"/>
      <c r="M103" s="24" t="n"/>
    </row>
    <row r="104" ht="15.75" customHeight="1">
      <c r="A104" s="9" t="n">
        <v>45674</v>
      </c>
      <c r="B104" s="10" t="n">
        <v>4</v>
      </c>
      <c r="C104" s="21" t="inlineStr">
        <is>
          <t>SAN JOSE</t>
        </is>
      </c>
      <c r="D104" s="12" t="n">
        <v>3519</v>
      </c>
      <c r="E104" s="12" t="n">
        <v>324</v>
      </c>
      <c r="F104" s="13">
        <f>+D104/E104</f>
        <v/>
      </c>
      <c r="G104" s="25" t="n">
        <v>0.02083333333333333</v>
      </c>
      <c r="H104" s="22" t="n">
        <v>11</v>
      </c>
      <c r="I104" s="22" t="n"/>
      <c r="J104" s="22" t="inlineStr">
        <is>
          <t>CARGUEROS</t>
        </is>
      </c>
      <c r="K104" s="23" t="n"/>
      <c r="L104" s="17" t="n"/>
      <c r="M104" s="24" t="n"/>
    </row>
    <row r="105" ht="15.75" customHeight="1">
      <c r="A105" s="9" t="n">
        <v>45674</v>
      </c>
      <c r="B105" s="10" t="n">
        <v>5</v>
      </c>
      <c r="C105" s="21" t="inlineStr">
        <is>
          <t>SAN JOSE</t>
        </is>
      </c>
      <c r="D105" s="12" t="n">
        <v>3519</v>
      </c>
      <c r="E105" s="12" t="n">
        <v>324</v>
      </c>
      <c r="F105" s="13">
        <f>+D105/E105</f>
        <v/>
      </c>
      <c r="G105" s="25" t="n">
        <v>0.02083333333333333</v>
      </c>
      <c r="H105" s="22" t="n">
        <v>11</v>
      </c>
      <c r="I105" s="22" t="n"/>
      <c r="J105" s="22" t="inlineStr">
        <is>
          <t>CARGUEROS</t>
        </is>
      </c>
      <c r="K105" s="23" t="n"/>
      <c r="L105" s="17" t="n"/>
      <c r="M105" s="24" t="n"/>
    </row>
    <row r="106" ht="15.75" customHeight="1">
      <c r="A106" s="9" t="n">
        <v>45674</v>
      </c>
      <c r="B106" s="10" t="n">
        <v>6</v>
      </c>
      <c r="C106" s="21" t="inlineStr">
        <is>
          <t>SAN JOSE</t>
        </is>
      </c>
      <c r="D106" s="12" t="n">
        <v>3462</v>
      </c>
      <c r="E106" s="12" t="n">
        <v>324</v>
      </c>
      <c r="F106" s="13">
        <f>+D106/E106</f>
        <v/>
      </c>
      <c r="G106" s="25" t="n">
        <v>0.02083333333333333</v>
      </c>
      <c r="H106" s="22" t="n">
        <v>11</v>
      </c>
      <c r="I106" s="22" t="n"/>
      <c r="J106" s="22" t="inlineStr">
        <is>
          <t>CARGUEROS</t>
        </is>
      </c>
      <c r="K106" s="23" t="n"/>
      <c r="L106" s="17" t="n"/>
      <c r="M106" s="24" t="n"/>
    </row>
    <row r="107" ht="15.75" customHeight="1">
      <c r="A107" s="9" t="n">
        <v>45674</v>
      </c>
      <c r="B107" s="10" t="n">
        <v>7</v>
      </c>
      <c r="C107" s="21" t="inlineStr">
        <is>
          <t>SAN JOSE</t>
        </is>
      </c>
      <c r="D107" s="12" t="n">
        <v>3762</v>
      </c>
      <c r="E107" s="12" t="n">
        <v>324</v>
      </c>
      <c r="F107" s="13">
        <f>+D107/E107</f>
        <v/>
      </c>
      <c r="G107" s="25" t="n">
        <v>0.02083333333333333</v>
      </c>
      <c r="H107" s="22" t="n">
        <v>11</v>
      </c>
      <c r="I107" s="22" t="n"/>
      <c r="J107" s="22" t="inlineStr">
        <is>
          <t>CARGUEROS</t>
        </is>
      </c>
      <c r="K107" s="23" t="n"/>
      <c r="L107" s="17" t="n"/>
      <c r="M107" s="24" t="n"/>
    </row>
    <row r="108" ht="15.75" customHeight="1">
      <c r="A108" s="9" t="n">
        <v>45675</v>
      </c>
      <c r="B108" s="10" t="n">
        <v>1</v>
      </c>
      <c r="C108" s="21" t="inlineStr">
        <is>
          <t>SAN JOSE</t>
        </is>
      </c>
      <c r="D108" s="12" t="n">
        <v>3311</v>
      </c>
      <c r="E108" s="12" t="n">
        <v>324</v>
      </c>
      <c r="F108" s="13">
        <f>+D108/E108</f>
        <v/>
      </c>
      <c r="G108" s="25" t="n">
        <v>0</v>
      </c>
      <c r="H108" s="22" t="n">
        <v>10</v>
      </c>
      <c r="I108" s="22" t="n"/>
      <c r="J108" s="22" t="inlineStr">
        <is>
          <t>CARGUEROS</t>
        </is>
      </c>
      <c r="K108" s="23" t="n"/>
      <c r="L108" s="17" t="n"/>
      <c r="M108" s="24" t="n"/>
    </row>
    <row r="109" ht="15.75" customHeight="1">
      <c r="A109" s="9" t="n">
        <v>45675</v>
      </c>
      <c r="B109" s="10" t="n">
        <v>2</v>
      </c>
      <c r="C109" s="21" t="inlineStr">
        <is>
          <t>SAN JOSE</t>
        </is>
      </c>
      <c r="D109" s="12" t="n">
        <v>3311</v>
      </c>
      <c r="E109" s="12" t="n">
        <v>360</v>
      </c>
      <c r="F109" s="13">
        <f>+D109/E109</f>
        <v/>
      </c>
      <c r="G109" s="25" t="n">
        <v>0</v>
      </c>
      <c r="H109" s="22" t="n">
        <v>10</v>
      </c>
      <c r="I109" s="22" t="n"/>
      <c r="J109" s="22" t="inlineStr">
        <is>
          <t>CARGUEROS</t>
        </is>
      </c>
      <c r="K109" s="23" t="n"/>
      <c r="L109" s="17" t="n"/>
      <c r="M109" s="24" t="n"/>
    </row>
    <row r="110" ht="15.75" customHeight="1">
      <c r="A110" s="9" t="n">
        <v>45675</v>
      </c>
      <c r="B110" s="10" t="n">
        <v>3</v>
      </c>
      <c r="C110" s="21" t="inlineStr">
        <is>
          <t>SAN JOSE</t>
        </is>
      </c>
      <c r="D110" s="12" t="n">
        <v>3314</v>
      </c>
      <c r="E110" s="12" t="n">
        <v>324</v>
      </c>
      <c r="F110" s="13">
        <f>+D110/E110</f>
        <v/>
      </c>
      <c r="G110" s="25" t="n">
        <v>0</v>
      </c>
      <c r="H110" s="22" t="n">
        <v>10</v>
      </c>
      <c r="I110" s="22" t="n"/>
      <c r="J110" s="22" t="inlineStr">
        <is>
          <t>CARGUEROS</t>
        </is>
      </c>
      <c r="K110" s="23" t="n"/>
      <c r="L110" s="17" t="n"/>
      <c r="M110" s="24" t="n"/>
    </row>
    <row r="111" ht="15.75" customHeight="1">
      <c r="A111" s="26" t="n">
        <v>45675</v>
      </c>
      <c r="B111" s="27" t="n">
        <v>4</v>
      </c>
      <c r="C111" s="28" t="inlineStr">
        <is>
          <t>SAN JOSE</t>
        </is>
      </c>
      <c r="D111" s="29" t="n">
        <v>3314</v>
      </c>
      <c r="E111" s="29" t="n">
        <v>324</v>
      </c>
      <c r="F111" s="30">
        <f>+D111/E111</f>
        <v/>
      </c>
      <c r="G111" s="31" t="n">
        <v>0</v>
      </c>
      <c r="H111" s="32" t="n">
        <v>10</v>
      </c>
      <c r="I111" s="32" t="n"/>
      <c r="J111" s="32" t="inlineStr">
        <is>
          <t>CARGUEROS</t>
        </is>
      </c>
      <c r="K111" s="33" t="n"/>
      <c r="L111" s="34" t="n"/>
      <c r="M111" s="35" t="n"/>
    </row>
    <row r="112" ht="15.75" customHeight="1">
      <c r="A112" s="36" t="n">
        <v>45677</v>
      </c>
      <c r="B112" s="37" t="n">
        <v>1</v>
      </c>
      <c r="C112" s="38" t="inlineStr">
        <is>
          <t>HUERTAS</t>
        </is>
      </c>
      <c r="D112" s="39" t="n">
        <v>3574</v>
      </c>
      <c r="E112" s="39" t="n">
        <v>324</v>
      </c>
      <c r="F112" s="40">
        <f>+D112/E112</f>
        <v/>
      </c>
      <c r="G112" s="41" t="n">
        <v>0.9583333333333334</v>
      </c>
      <c r="H112" s="42" t="n">
        <v>12</v>
      </c>
      <c r="I112" s="42" t="inlineStr">
        <is>
          <t>MANIGUA</t>
        </is>
      </c>
      <c r="J112" s="42" t="inlineStr">
        <is>
          <t>CARGUEROS</t>
        </is>
      </c>
      <c r="K112" s="43" t="n">
        <v>0.03194444444444444</v>
      </c>
      <c r="L112" s="44" t="n"/>
      <c r="M112" s="45" t="n"/>
    </row>
    <row r="113" ht="15.75" customHeight="1">
      <c r="A113" s="46" t="n">
        <v>45677</v>
      </c>
      <c r="B113" s="10" t="n">
        <v>2</v>
      </c>
      <c r="C113" s="21" t="inlineStr">
        <is>
          <t>HUERTAS</t>
        </is>
      </c>
      <c r="D113" s="12" t="n">
        <v>3574</v>
      </c>
      <c r="E113" s="12" t="n">
        <v>324</v>
      </c>
      <c r="F113" s="13">
        <f>+D113/E113</f>
        <v/>
      </c>
      <c r="G113" s="25" t="n">
        <v>0.9583333333333334</v>
      </c>
      <c r="H113" s="22" t="n">
        <v>12</v>
      </c>
      <c r="I113" s="22" t="inlineStr">
        <is>
          <t>MANIGUA</t>
        </is>
      </c>
      <c r="J113" s="22" t="inlineStr">
        <is>
          <t>CARGUEROS</t>
        </is>
      </c>
      <c r="K113" s="47" t="n">
        <v>0.075</v>
      </c>
      <c r="L113" s="17">
        <f>+K113-K112</f>
        <v/>
      </c>
      <c r="M113" s="48" t="n"/>
    </row>
    <row r="114" ht="15.75" customHeight="1">
      <c r="A114" s="46" t="n">
        <v>45677</v>
      </c>
      <c r="B114" s="10" t="n">
        <v>3</v>
      </c>
      <c r="C114" s="21" t="inlineStr">
        <is>
          <t>HUERTAS</t>
        </is>
      </c>
      <c r="D114" s="12" t="n">
        <v>3262</v>
      </c>
      <c r="E114" s="12" t="n">
        <v>360</v>
      </c>
      <c r="F114" s="13">
        <f>+D114/E114</f>
        <v/>
      </c>
      <c r="G114" s="25" t="n">
        <v>0.9583333333333334</v>
      </c>
      <c r="H114" s="22" t="n">
        <v>12</v>
      </c>
      <c r="I114" s="22" t="inlineStr">
        <is>
          <t>MANIGUA</t>
        </is>
      </c>
      <c r="J114" s="22" t="inlineStr">
        <is>
          <t>CARGUEROS</t>
        </is>
      </c>
      <c r="K114" s="47" t="n">
        <v>0.1222222222222222</v>
      </c>
      <c r="L114" s="17">
        <f>+K114-K113</f>
        <v/>
      </c>
      <c r="M114" s="48" t="n"/>
    </row>
    <row r="115" ht="15.75" customHeight="1">
      <c r="A115" s="46" t="n">
        <v>45677</v>
      </c>
      <c r="B115" s="10" t="n">
        <v>4</v>
      </c>
      <c r="C115" s="21" t="inlineStr">
        <is>
          <t>HUERTAS</t>
        </is>
      </c>
      <c r="D115" s="12" t="n">
        <v>3262</v>
      </c>
      <c r="E115" s="12" t="n">
        <v>324</v>
      </c>
      <c r="F115" s="13">
        <f>+D115/E115</f>
        <v/>
      </c>
      <c r="G115" s="25" t="n">
        <v>0.9583333333333334</v>
      </c>
      <c r="H115" s="22" t="n">
        <v>12</v>
      </c>
      <c r="I115" s="22" t="inlineStr">
        <is>
          <t>MANIGUA</t>
        </is>
      </c>
      <c r="J115" s="22" t="inlineStr">
        <is>
          <t>CARGUEROS</t>
        </is>
      </c>
      <c r="K115" s="47" t="n">
        <v>0.16875</v>
      </c>
      <c r="L115" s="17">
        <f>+K115-K114</f>
        <v/>
      </c>
      <c r="M115" s="48" t="n"/>
    </row>
    <row r="116" ht="15.75" customHeight="1">
      <c r="A116" s="46" t="n">
        <v>45677</v>
      </c>
      <c r="B116" s="10" t="n">
        <v>5</v>
      </c>
      <c r="C116" s="21" t="inlineStr">
        <is>
          <t>HUERTAS</t>
        </is>
      </c>
      <c r="D116" s="12" t="n">
        <v>3262</v>
      </c>
      <c r="E116" s="12" t="n">
        <v>324</v>
      </c>
      <c r="F116" s="13">
        <f>+D116/E116</f>
        <v/>
      </c>
      <c r="G116" s="25" t="n">
        <v>0.9583333333333334</v>
      </c>
      <c r="H116" s="22" t="n">
        <v>12</v>
      </c>
      <c r="I116" s="22" t="inlineStr">
        <is>
          <t>MANIGUA</t>
        </is>
      </c>
      <c r="J116" s="22" t="inlineStr">
        <is>
          <t>CARGUEROS</t>
        </is>
      </c>
      <c r="K116" s="47" t="n">
        <v>0.2083333333333333</v>
      </c>
      <c r="L116" s="17">
        <f>+K116-K115</f>
        <v/>
      </c>
      <c r="M116" s="48" t="n"/>
    </row>
    <row r="117" ht="15.75" customHeight="1">
      <c r="A117" s="46" t="n">
        <v>45677</v>
      </c>
      <c r="B117" s="10" t="n">
        <v>1</v>
      </c>
      <c r="C117" s="21" t="inlineStr">
        <is>
          <t>SAN JOSE</t>
        </is>
      </c>
      <c r="D117" s="12" t="n">
        <v>3215</v>
      </c>
      <c r="E117" s="12" t="n">
        <v>324</v>
      </c>
      <c r="F117" s="13">
        <f>+D117/E117</f>
        <v/>
      </c>
      <c r="G117" s="25" t="n">
        <v>0.25</v>
      </c>
      <c r="H117" s="22" t="n">
        <v>10</v>
      </c>
      <c r="I117" s="22" t="inlineStr">
        <is>
          <t>MANIGUA</t>
        </is>
      </c>
      <c r="J117" s="22" t="inlineStr">
        <is>
          <t>CARGUEROS</t>
        </is>
      </c>
      <c r="K117" s="47" t="n"/>
      <c r="L117" s="17" t="n"/>
      <c r="M117" s="49" t="inlineStr">
        <is>
          <t>SALDEO GALPONES SOBRE ESFUERZO Y RETRASO CARGUES san jose 2</t>
        </is>
      </c>
    </row>
    <row r="118" ht="15.75" customHeight="1">
      <c r="A118" s="46" t="n">
        <v>45677</v>
      </c>
      <c r="B118" s="10" t="n">
        <v>2</v>
      </c>
      <c r="C118" s="21" t="inlineStr">
        <is>
          <t>SAN JOSE</t>
        </is>
      </c>
      <c r="D118" s="12" t="n">
        <v>3551</v>
      </c>
      <c r="E118" s="12" t="n">
        <v>324</v>
      </c>
      <c r="F118" s="13">
        <f>+D118/E118</f>
        <v/>
      </c>
      <c r="G118" s="25" t="n">
        <v>0.25</v>
      </c>
      <c r="H118" s="22" t="n">
        <v>10</v>
      </c>
      <c r="I118" s="22" t="inlineStr">
        <is>
          <t>MANIGUA</t>
        </is>
      </c>
      <c r="J118" s="22" t="inlineStr">
        <is>
          <t>CARGUEROS</t>
        </is>
      </c>
      <c r="K118" s="47" t="n"/>
      <c r="L118" s="17" t="n"/>
      <c r="M118" s="49" t="inlineStr">
        <is>
          <t>3 GALPONES POLLO DISPAREJO Y PROBLEMAS DE SALDOS DE AVES</t>
        </is>
      </c>
    </row>
    <row r="119" ht="15.75" customHeight="1">
      <c r="A119" s="46" t="n">
        <v>45677</v>
      </c>
      <c r="B119" s="10" t="n">
        <v>3</v>
      </c>
      <c r="C119" s="21" t="inlineStr">
        <is>
          <t>SAN JOSE</t>
        </is>
      </c>
      <c r="D119" s="12" t="n">
        <v>3256</v>
      </c>
      <c r="E119" s="12" t="n">
        <v>360</v>
      </c>
      <c r="F119" s="13">
        <f>+D119/E119</f>
        <v/>
      </c>
      <c r="G119" s="25" t="n">
        <v>0.25</v>
      </c>
      <c r="H119" s="22" t="n">
        <v>10</v>
      </c>
      <c r="I119" s="22" t="inlineStr">
        <is>
          <t>MANIGUA</t>
        </is>
      </c>
      <c r="J119" s="22" t="inlineStr">
        <is>
          <t>CARGUEROS</t>
        </is>
      </c>
      <c r="K119" s="47" t="n"/>
      <c r="L119" s="17" t="n"/>
      <c r="M119" s="48" t="n"/>
    </row>
    <row r="120" ht="15.75" customHeight="1">
      <c r="A120" s="46" t="n">
        <v>45677</v>
      </c>
      <c r="B120" s="10" t="n">
        <v>4</v>
      </c>
      <c r="C120" s="21" t="inlineStr">
        <is>
          <t>SAN JOSE</t>
        </is>
      </c>
      <c r="D120" s="12" t="n">
        <v>3256</v>
      </c>
      <c r="E120" s="12" t="n">
        <v>324</v>
      </c>
      <c r="F120" s="13">
        <f>+D120/E120</f>
        <v/>
      </c>
      <c r="G120" s="25" t="n">
        <v>0.25</v>
      </c>
      <c r="H120" s="22" t="n">
        <v>10</v>
      </c>
      <c r="I120" s="22" t="inlineStr">
        <is>
          <t>MANIGUA</t>
        </is>
      </c>
      <c r="J120" s="22" t="inlineStr">
        <is>
          <t>CARGUEROS</t>
        </is>
      </c>
      <c r="K120" s="47" t="n"/>
      <c r="L120" s="17" t="n"/>
      <c r="M120" s="48" t="n"/>
    </row>
    <row r="121" ht="15.75" customHeight="1">
      <c r="A121" s="46" t="n">
        <v>45677</v>
      </c>
      <c r="B121" s="10" t="n">
        <v>5</v>
      </c>
      <c r="C121" s="21" t="inlineStr">
        <is>
          <t>SAN JOSE</t>
        </is>
      </c>
      <c r="D121" s="12" t="n">
        <v>3256</v>
      </c>
      <c r="E121" s="12" t="n">
        <v>360</v>
      </c>
      <c r="F121" s="13">
        <f>+D121/E121</f>
        <v/>
      </c>
      <c r="G121" s="25" t="n">
        <v>0.25</v>
      </c>
      <c r="H121" s="22" t="n">
        <v>10</v>
      </c>
      <c r="I121" s="22" t="inlineStr">
        <is>
          <t>MANIGUA</t>
        </is>
      </c>
      <c r="J121" s="22" t="inlineStr">
        <is>
          <t>CARGUEROS</t>
        </is>
      </c>
      <c r="K121" s="47" t="n"/>
      <c r="L121" s="17" t="n"/>
      <c r="M121" s="48" t="n"/>
    </row>
    <row r="122" ht="15.75" customHeight="1">
      <c r="A122" s="46" t="n">
        <v>45677</v>
      </c>
      <c r="B122" s="10" t="n">
        <v>6</v>
      </c>
      <c r="C122" s="21" t="inlineStr">
        <is>
          <t>SAN JOSE</t>
        </is>
      </c>
      <c r="D122" s="12" t="n">
        <v>3256</v>
      </c>
      <c r="E122" s="12" t="n">
        <v>324</v>
      </c>
      <c r="F122" s="13">
        <f>+D122/E122</f>
        <v/>
      </c>
      <c r="G122" s="25" t="n">
        <v>0.25</v>
      </c>
      <c r="H122" s="22" t="n">
        <v>10</v>
      </c>
      <c r="I122" s="22" t="inlineStr">
        <is>
          <t>MANIGUA</t>
        </is>
      </c>
      <c r="J122" s="22" t="inlineStr">
        <is>
          <t>CARGUEROS</t>
        </is>
      </c>
      <c r="K122" s="47" t="n"/>
      <c r="L122" s="17" t="n"/>
      <c r="M122" s="48" t="n"/>
    </row>
    <row r="123" ht="15.75" customHeight="1">
      <c r="A123" s="50" t="n">
        <v>45677</v>
      </c>
      <c r="B123" s="51" t="n">
        <v>7</v>
      </c>
      <c r="C123" s="52" t="inlineStr">
        <is>
          <t>SAN JOSE</t>
        </is>
      </c>
      <c r="D123" s="53" t="n">
        <v>3256</v>
      </c>
      <c r="E123" s="53" t="n">
        <v>324</v>
      </c>
      <c r="F123" s="54">
        <f>+D123/E123</f>
        <v/>
      </c>
      <c r="G123" s="55" t="n">
        <v>0.25</v>
      </c>
      <c r="H123" s="56" t="n">
        <v>10</v>
      </c>
      <c r="I123" s="56" t="inlineStr">
        <is>
          <t>MANIGUA</t>
        </is>
      </c>
      <c r="J123" s="56" t="inlineStr">
        <is>
          <t>CARGUEROS</t>
        </is>
      </c>
      <c r="K123" s="57" t="n"/>
      <c r="L123" s="58" t="n"/>
      <c r="M123" s="59" t="n"/>
    </row>
    <row r="124" ht="15.75" customHeight="1">
      <c r="A124" s="36" t="n">
        <v>45678</v>
      </c>
      <c r="B124" s="37" t="n">
        <v>1</v>
      </c>
      <c r="C124" s="38" t="inlineStr">
        <is>
          <t>HUERTAS</t>
        </is>
      </c>
      <c r="D124" s="39" t="n">
        <v>2970</v>
      </c>
      <c r="E124" s="39" t="n">
        <v>360</v>
      </c>
      <c r="F124" s="40">
        <f>+D124/E124</f>
        <v/>
      </c>
      <c r="G124" s="41" t="n">
        <v>0</v>
      </c>
      <c r="H124" s="42" t="n">
        <v>10</v>
      </c>
      <c r="I124" s="42" t="inlineStr">
        <is>
          <t>MANIGUA</t>
        </is>
      </c>
      <c r="J124" s="42" t="inlineStr">
        <is>
          <t>ABONEROS</t>
        </is>
      </c>
      <c r="K124" s="43" t="n"/>
      <c r="L124" s="44" t="n"/>
      <c r="M124" s="45" t="n"/>
    </row>
    <row r="125" ht="15.75" customHeight="1">
      <c r="A125" s="46" t="n">
        <v>45678</v>
      </c>
      <c r="B125" s="10" t="n">
        <v>2</v>
      </c>
      <c r="C125" s="21" t="inlineStr">
        <is>
          <t>HUERTAS</t>
        </is>
      </c>
      <c r="D125" s="12" t="n">
        <v>2970</v>
      </c>
      <c r="E125" s="12" t="n">
        <v>360</v>
      </c>
      <c r="F125" s="13">
        <f>+D125/E125</f>
        <v/>
      </c>
      <c r="G125" s="25" t="n">
        <v>0</v>
      </c>
      <c r="H125" s="22" t="n">
        <v>10</v>
      </c>
      <c r="I125" s="22" t="inlineStr">
        <is>
          <t>MANIGUA</t>
        </is>
      </c>
      <c r="J125" s="22" t="inlineStr">
        <is>
          <t>ABONEROS</t>
        </is>
      </c>
      <c r="K125" s="47" t="n"/>
      <c r="L125" s="17" t="n"/>
      <c r="M125" s="48" t="n"/>
    </row>
    <row r="126" ht="15.75" customHeight="1">
      <c r="A126" s="46" t="n">
        <v>45678</v>
      </c>
      <c r="B126" s="10" t="n">
        <v>1</v>
      </c>
      <c r="C126" s="21" t="inlineStr">
        <is>
          <t>SAN JOSE</t>
        </is>
      </c>
      <c r="D126" s="12" t="n">
        <v>2643</v>
      </c>
      <c r="E126" s="12" t="n">
        <v>324</v>
      </c>
      <c r="F126" s="13">
        <f>+D126/E126</f>
        <v/>
      </c>
      <c r="G126" s="25" t="n">
        <v>0.125</v>
      </c>
      <c r="H126" s="22" t="n">
        <v>10</v>
      </c>
      <c r="I126" s="22" t="inlineStr">
        <is>
          <t>MANIGUA</t>
        </is>
      </c>
      <c r="J126" s="22" t="inlineStr">
        <is>
          <t>CARGUEROS</t>
        </is>
      </c>
      <c r="K126" s="47" t="n"/>
      <c r="L126" s="17" t="n"/>
      <c r="M126" s="24" t="n"/>
    </row>
    <row r="127" ht="15.75" customHeight="1">
      <c r="A127" s="46" t="n">
        <v>45678</v>
      </c>
      <c r="B127" s="10" t="n">
        <v>2</v>
      </c>
      <c r="C127" s="21" t="inlineStr">
        <is>
          <t>SAN JOSE</t>
        </is>
      </c>
      <c r="D127" s="12" t="n">
        <v>2643</v>
      </c>
      <c r="E127" s="12" t="n">
        <v>324</v>
      </c>
      <c r="F127" s="13">
        <f>+D127/E127</f>
        <v/>
      </c>
      <c r="G127" s="25" t="n">
        <v>0.125</v>
      </c>
      <c r="H127" s="22" t="n">
        <v>10</v>
      </c>
      <c r="I127" s="22" t="inlineStr">
        <is>
          <t>MANIGUA</t>
        </is>
      </c>
      <c r="J127" s="22" t="inlineStr">
        <is>
          <t>CARGUEROS</t>
        </is>
      </c>
      <c r="K127" s="23" t="n"/>
      <c r="L127" s="17" t="n"/>
      <c r="M127" s="60" t="inlineStr">
        <is>
          <t xml:space="preserve">PROBLEMAS DE SALDOS DE AVES POR PARTE ADMINISTRADOR  </t>
        </is>
      </c>
    </row>
    <row r="128" ht="15.75" customHeight="1">
      <c r="A128" s="46" t="n">
        <v>45678</v>
      </c>
      <c r="B128" s="10" t="n">
        <v>3</v>
      </c>
      <c r="C128" s="21" t="inlineStr">
        <is>
          <t>SAN JOSE</t>
        </is>
      </c>
      <c r="D128" s="12" t="n">
        <v>2643</v>
      </c>
      <c r="E128" s="12" t="n">
        <v>324</v>
      </c>
      <c r="F128" s="13">
        <f>+D128/E128</f>
        <v/>
      </c>
      <c r="G128" s="25" t="n">
        <v>0.125</v>
      </c>
      <c r="H128" s="22" t="n">
        <v>10</v>
      </c>
      <c r="I128" s="22" t="inlineStr">
        <is>
          <t>MANIGUA</t>
        </is>
      </c>
      <c r="J128" s="22" t="inlineStr">
        <is>
          <t>CARGUEROS</t>
        </is>
      </c>
      <c r="K128" s="23" t="n"/>
      <c r="L128" s="17" t="n"/>
      <c r="M128" s="60" t="inlineStr">
        <is>
          <t>CAUSANDO DEMORAS SAN JOSE 2</t>
        </is>
      </c>
    </row>
    <row r="129" ht="15.75" customHeight="1">
      <c r="A129" s="46" t="n">
        <v>45678</v>
      </c>
      <c r="B129" s="10" t="n">
        <v>4</v>
      </c>
      <c r="C129" s="21" t="inlineStr">
        <is>
          <t>SAN JOSE</t>
        </is>
      </c>
      <c r="D129" s="12" t="n">
        <v>3366</v>
      </c>
      <c r="E129" s="12" t="n">
        <v>324</v>
      </c>
      <c r="F129" s="13">
        <f>+D129/E129</f>
        <v/>
      </c>
      <c r="G129" s="25" t="n">
        <v>0.125</v>
      </c>
      <c r="H129" s="22" t="n">
        <v>10</v>
      </c>
      <c r="I129" s="22" t="inlineStr">
        <is>
          <t>MANIGUA</t>
        </is>
      </c>
      <c r="J129" s="22" t="inlineStr">
        <is>
          <t>CARGUEROS</t>
        </is>
      </c>
      <c r="K129" s="23" t="n"/>
      <c r="L129" s="17" t="n"/>
      <c r="M129" s="24" t="n"/>
    </row>
    <row r="130" ht="15.75" customHeight="1">
      <c r="A130" s="46" t="n">
        <v>45678</v>
      </c>
      <c r="B130" s="10" t="n">
        <v>5</v>
      </c>
      <c r="C130" s="21" t="inlineStr">
        <is>
          <t>SAN JOSE</t>
        </is>
      </c>
      <c r="D130" s="12" t="n">
        <v>3204</v>
      </c>
      <c r="E130" s="12" t="n">
        <v>324</v>
      </c>
      <c r="F130" s="13">
        <f>+D130/E130</f>
        <v/>
      </c>
      <c r="G130" s="25" t="n">
        <v>0.125</v>
      </c>
      <c r="H130" s="22" t="n">
        <v>10</v>
      </c>
      <c r="I130" s="22" t="inlineStr">
        <is>
          <t>MANIGUA</t>
        </is>
      </c>
      <c r="J130" s="22" t="inlineStr">
        <is>
          <t>CARGUEROS</t>
        </is>
      </c>
      <c r="K130" s="23" t="n"/>
      <c r="L130" s="17" t="n"/>
      <c r="M130" s="24" t="n"/>
    </row>
    <row r="131" ht="15.75" customHeight="1">
      <c r="A131" s="46" t="n">
        <v>45678</v>
      </c>
      <c r="B131" s="10" t="n">
        <v>6</v>
      </c>
      <c r="C131" s="21" t="inlineStr">
        <is>
          <t>SAN JOSE</t>
        </is>
      </c>
      <c r="D131" s="12" t="n">
        <v>3204</v>
      </c>
      <c r="E131" s="12" t="n">
        <v>360</v>
      </c>
      <c r="F131" s="13">
        <f>+D131/E131</f>
        <v/>
      </c>
      <c r="G131" s="25" t="n">
        <v>0.125</v>
      </c>
      <c r="H131" s="22" t="n">
        <v>10</v>
      </c>
      <c r="I131" s="22" t="inlineStr">
        <is>
          <t>MANIGUA</t>
        </is>
      </c>
      <c r="J131" s="22" t="inlineStr">
        <is>
          <t>CARGUEROS</t>
        </is>
      </c>
      <c r="K131" s="23" t="n"/>
      <c r="L131" s="17" t="n"/>
      <c r="M131" s="48" t="n"/>
    </row>
    <row r="132" ht="15.75" customHeight="1">
      <c r="A132" s="46" t="n">
        <v>45678</v>
      </c>
      <c r="B132" s="10" t="n">
        <v>7</v>
      </c>
      <c r="C132" s="21" t="inlineStr">
        <is>
          <t>SAN JOSE</t>
        </is>
      </c>
      <c r="D132" s="12" t="n">
        <v>3311</v>
      </c>
      <c r="E132" s="12" t="n">
        <v>324</v>
      </c>
      <c r="F132" s="13">
        <f>+D132/E132</f>
        <v/>
      </c>
      <c r="G132" s="25" t="n">
        <v>0.125</v>
      </c>
      <c r="H132" s="22" t="n">
        <v>10</v>
      </c>
      <c r="I132" s="22" t="inlineStr">
        <is>
          <t>MANIGUA</t>
        </is>
      </c>
      <c r="J132" s="22" t="inlineStr">
        <is>
          <t>CARGUEROS</t>
        </is>
      </c>
      <c r="K132" s="23" t="n"/>
      <c r="L132" s="17" t="n"/>
      <c r="M132" s="48" t="n"/>
    </row>
    <row r="133" ht="15.75" customHeight="1">
      <c r="A133" s="46" t="n">
        <v>45678</v>
      </c>
      <c r="B133" s="10" t="n">
        <v>8</v>
      </c>
      <c r="C133" s="21" t="inlineStr">
        <is>
          <t>SAN JOSE</t>
        </is>
      </c>
      <c r="D133" s="12" t="n">
        <v>3311</v>
      </c>
      <c r="E133" s="12" t="n">
        <v>360</v>
      </c>
      <c r="F133" s="13">
        <f>+D133/E133</f>
        <v/>
      </c>
      <c r="G133" s="25" t="n">
        <v>0.125</v>
      </c>
      <c r="H133" s="22" t="n">
        <v>10</v>
      </c>
      <c r="I133" s="22" t="inlineStr">
        <is>
          <t>MANIGUA</t>
        </is>
      </c>
      <c r="J133" s="22" t="inlineStr">
        <is>
          <t>CARGUEROS</t>
        </is>
      </c>
      <c r="K133" s="23" t="n"/>
      <c r="L133" s="17" t="n"/>
      <c r="M133" s="48" t="n"/>
    </row>
    <row r="134" ht="15.75" customHeight="1">
      <c r="A134" s="46" t="n">
        <v>45678</v>
      </c>
      <c r="B134" s="10" t="n">
        <v>9</v>
      </c>
      <c r="C134" s="21" t="inlineStr">
        <is>
          <t>SAN JOSE</t>
        </is>
      </c>
      <c r="D134" s="12" t="n">
        <v>3256</v>
      </c>
      <c r="E134" s="12" t="n">
        <v>324</v>
      </c>
      <c r="F134" s="13">
        <f>+D134/E134</f>
        <v/>
      </c>
      <c r="G134" s="25" t="n">
        <v>0.125</v>
      </c>
      <c r="H134" s="22" t="n">
        <v>10</v>
      </c>
      <c r="I134" s="22" t="inlineStr">
        <is>
          <t>MANIGUA</t>
        </is>
      </c>
      <c r="J134" s="22" t="inlineStr">
        <is>
          <t>CARGUEROS</t>
        </is>
      </c>
      <c r="K134" s="23" t="n"/>
      <c r="L134" s="17" t="n"/>
      <c r="M134" s="48" t="n"/>
    </row>
    <row r="135" ht="15.75" customHeight="1">
      <c r="A135" s="50" t="n">
        <v>45678</v>
      </c>
      <c r="B135" s="51" t="n">
        <v>10</v>
      </c>
      <c r="C135" s="52" t="inlineStr">
        <is>
          <t>SAN JOSE</t>
        </is>
      </c>
      <c r="D135" s="53" t="n">
        <v>2356</v>
      </c>
      <c r="E135" s="53" t="n">
        <v>324</v>
      </c>
      <c r="F135" s="54">
        <f>+D135/E135</f>
        <v/>
      </c>
      <c r="G135" s="55" t="n">
        <v>0.125</v>
      </c>
      <c r="H135" s="56" t="n">
        <v>10</v>
      </c>
      <c r="I135" s="56" t="inlineStr">
        <is>
          <t>MANIGUA</t>
        </is>
      </c>
      <c r="J135" s="56" t="inlineStr">
        <is>
          <t>CARGUEROS</t>
        </is>
      </c>
      <c r="K135" s="61" t="n"/>
      <c r="L135" s="58" t="n"/>
      <c r="M135" s="59" t="n"/>
    </row>
    <row r="136" ht="15.75" customHeight="1">
      <c r="A136" s="36" t="n">
        <v>45679</v>
      </c>
      <c r="B136" s="37" t="n">
        <v>1</v>
      </c>
      <c r="C136" s="38" t="inlineStr">
        <is>
          <t>HUERTAS</t>
        </is>
      </c>
      <c r="D136" s="39" t="n">
        <v>3736</v>
      </c>
      <c r="E136" s="39" t="n">
        <v>360</v>
      </c>
      <c r="F136" s="40">
        <f>+D136/E136</f>
        <v/>
      </c>
      <c r="G136" s="41" t="n">
        <v>0.875</v>
      </c>
      <c r="H136" s="42" t="n">
        <v>12</v>
      </c>
      <c r="I136" s="42" t="inlineStr">
        <is>
          <t>MANIGUA</t>
        </is>
      </c>
      <c r="J136" s="42" t="inlineStr">
        <is>
          <t>CARGUEROS</t>
        </is>
      </c>
      <c r="K136" s="43" t="n"/>
      <c r="L136" s="44" t="n"/>
      <c r="M136" s="45" t="n"/>
    </row>
    <row r="137" ht="15.75" customHeight="1">
      <c r="A137" s="46" t="n">
        <v>45679</v>
      </c>
      <c r="B137" s="10" t="n">
        <v>2</v>
      </c>
      <c r="C137" s="21" t="inlineStr">
        <is>
          <t>HUERTAS</t>
        </is>
      </c>
      <c r="D137" s="12" t="n">
        <v>3736</v>
      </c>
      <c r="E137" s="12" t="n">
        <v>324</v>
      </c>
      <c r="F137" s="13">
        <f>+D137/E137</f>
        <v/>
      </c>
      <c r="G137" s="25" t="n">
        <v>0.875</v>
      </c>
      <c r="H137" s="22" t="n">
        <v>12</v>
      </c>
      <c r="I137" s="22" t="inlineStr">
        <is>
          <t>MANIGUA</t>
        </is>
      </c>
      <c r="J137" s="22" t="inlineStr">
        <is>
          <t>CARGUEROS</t>
        </is>
      </c>
      <c r="K137" s="47" t="n"/>
      <c r="L137" s="17" t="n"/>
      <c r="M137" s="48" t="n"/>
    </row>
    <row r="138" ht="15.75" customHeight="1">
      <c r="A138" s="46" t="n">
        <v>45679</v>
      </c>
      <c r="B138" s="10" t="n">
        <v>3</v>
      </c>
      <c r="C138" s="21" t="inlineStr">
        <is>
          <t>HUERTAS</t>
        </is>
      </c>
      <c r="D138" s="12" t="n">
        <v>2400</v>
      </c>
      <c r="E138" s="12" t="n">
        <v>324</v>
      </c>
      <c r="F138" s="13">
        <f>+D138/E138</f>
        <v/>
      </c>
      <c r="G138" s="25" t="n">
        <v>0.875</v>
      </c>
      <c r="H138" s="22" t="n">
        <v>12</v>
      </c>
      <c r="I138" s="22" t="inlineStr">
        <is>
          <t>MANIGUA</t>
        </is>
      </c>
      <c r="J138" s="22" t="inlineStr">
        <is>
          <t>CARGUEROS</t>
        </is>
      </c>
      <c r="K138" s="47" t="n"/>
      <c r="L138" s="17" t="n"/>
      <c r="M138" s="48" t="n"/>
    </row>
    <row r="139" ht="15.75" customHeight="1">
      <c r="A139" s="46" t="n">
        <v>45679</v>
      </c>
      <c r="B139" s="10" t="n">
        <v>4</v>
      </c>
      <c r="C139" s="21" t="inlineStr">
        <is>
          <t>HUERTAS</t>
        </is>
      </c>
      <c r="D139" s="12" t="n">
        <v>2400</v>
      </c>
      <c r="E139" s="12" t="n">
        <v>360</v>
      </c>
      <c r="F139" s="13">
        <f>+D139/E139</f>
        <v/>
      </c>
      <c r="G139" s="25" t="n">
        <v>0.875</v>
      </c>
      <c r="H139" s="22" t="n">
        <v>12</v>
      </c>
      <c r="I139" s="22" t="inlineStr">
        <is>
          <t>MANIGUA</t>
        </is>
      </c>
      <c r="J139" s="22" t="inlineStr">
        <is>
          <t>CARGUEROS</t>
        </is>
      </c>
      <c r="K139" s="47" t="n"/>
      <c r="L139" s="17" t="n"/>
      <c r="M139" s="48" t="n"/>
    </row>
    <row r="140" ht="15.75" customHeight="1">
      <c r="A140" s="46" t="n">
        <v>45679</v>
      </c>
      <c r="B140" s="10" t="n">
        <v>5</v>
      </c>
      <c r="C140" s="21" t="inlineStr">
        <is>
          <t>HUERTAS</t>
        </is>
      </c>
      <c r="D140" s="12" t="n">
        <v>3736</v>
      </c>
      <c r="E140" s="12" t="n">
        <v>324</v>
      </c>
      <c r="F140" s="13">
        <f>+D140/E140</f>
        <v/>
      </c>
      <c r="G140" s="25" t="n">
        <v>0.875</v>
      </c>
      <c r="H140" s="22" t="n">
        <v>12</v>
      </c>
      <c r="I140" s="22" t="inlineStr">
        <is>
          <t>MANIGUA</t>
        </is>
      </c>
      <c r="J140" s="22" t="inlineStr">
        <is>
          <t>CARGUEROS</t>
        </is>
      </c>
      <c r="K140" s="47" t="n"/>
      <c r="L140" s="17" t="n"/>
      <c r="M140" s="48" t="n"/>
    </row>
    <row r="141" ht="15.75" customHeight="1">
      <c r="A141" s="46" t="n">
        <v>45679</v>
      </c>
      <c r="B141" s="10" t="n">
        <v>6</v>
      </c>
      <c r="C141" s="21" t="inlineStr">
        <is>
          <t>HUERTAS</t>
        </is>
      </c>
      <c r="D141" s="12" t="n">
        <v>3736</v>
      </c>
      <c r="E141" s="12" t="n">
        <v>324</v>
      </c>
      <c r="F141" s="13">
        <f>+D141/E141</f>
        <v/>
      </c>
      <c r="G141" s="25" t="n">
        <v>0.875</v>
      </c>
      <c r="H141" s="22" t="n">
        <v>12</v>
      </c>
      <c r="I141" s="22" t="inlineStr">
        <is>
          <t>MANIGUA</t>
        </is>
      </c>
      <c r="J141" s="22" t="inlineStr">
        <is>
          <t>CARGUEROS</t>
        </is>
      </c>
      <c r="K141" s="47" t="n"/>
      <c r="L141" s="17" t="n"/>
      <c r="M141" s="48" t="n"/>
    </row>
    <row r="142" ht="15.75" customHeight="1">
      <c r="A142" s="46" t="n">
        <v>45679</v>
      </c>
      <c r="B142" s="10" t="n">
        <v>7</v>
      </c>
      <c r="C142" s="21" t="inlineStr">
        <is>
          <t>HUERTAS</t>
        </is>
      </c>
      <c r="D142" s="12" t="n">
        <v>3763</v>
      </c>
      <c r="E142" s="12" t="n">
        <v>324</v>
      </c>
      <c r="F142" s="13">
        <f>+D142/E142</f>
        <v/>
      </c>
      <c r="G142" s="25" t="n">
        <v>0.875</v>
      </c>
      <c r="H142" s="22" t="n">
        <v>12</v>
      </c>
      <c r="I142" s="22" t="inlineStr">
        <is>
          <t>MANIGUA</t>
        </is>
      </c>
      <c r="J142" s="22" t="inlineStr">
        <is>
          <t>CARGUEROS</t>
        </is>
      </c>
      <c r="K142" s="47" t="n"/>
      <c r="L142" s="17" t="n"/>
      <c r="M142" s="48" t="n"/>
    </row>
    <row r="143" ht="15.75" customHeight="1">
      <c r="A143" s="46" t="n">
        <v>45679</v>
      </c>
      <c r="B143" s="10" t="n">
        <v>8</v>
      </c>
      <c r="C143" s="21" t="inlineStr">
        <is>
          <t>HUERTAS</t>
        </is>
      </c>
      <c r="D143" s="12" t="n">
        <v>3133</v>
      </c>
      <c r="E143" s="12" t="n">
        <v>324</v>
      </c>
      <c r="F143" s="13">
        <f>+D143/E143</f>
        <v/>
      </c>
      <c r="G143" s="25" t="n">
        <v>0.875</v>
      </c>
      <c r="H143" s="22" t="n">
        <v>12</v>
      </c>
      <c r="I143" s="22" t="inlineStr">
        <is>
          <t>MANIGUA</t>
        </is>
      </c>
      <c r="J143" s="22" t="inlineStr">
        <is>
          <t>CARGUEROS</t>
        </is>
      </c>
      <c r="K143" s="47" t="n"/>
      <c r="L143" s="17" t="n"/>
      <c r="M143" s="49" t="inlineStr">
        <is>
          <t xml:space="preserve"> DOS HORAS  ADICIONALES , ESPERA DE CARGUEROS DE TRABAJO DE DOBLETES </t>
        </is>
      </c>
    </row>
    <row r="144" ht="15.75" customHeight="1">
      <c r="A144" s="46" t="n">
        <v>45679</v>
      </c>
      <c r="B144" s="10" t="n">
        <v>9</v>
      </c>
      <c r="C144" s="21" t="inlineStr">
        <is>
          <t>HUERTAS</t>
        </is>
      </c>
      <c r="D144" s="12" t="n">
        <v>3133</v>
      </c>
      <c r="E144" s="12" t="n">
        <v>324</v>
      </c>
      <c r="F144" s="13">
        <f>+D144/E144</f>
        <v/>
      </c>
      <c r="G144" s="25" t="n">
        <v>0.875</v>
      </c>
      <c r="H144" s="22" t="n">
        <v>12</v>
      </c>
      <c r="I144" s="22" t="inlineStr">
        <is>
          <t>MANIGUA</t>
        </is>
      </c>
      <c r="J144" s="22" t="inlineStr">
        <is>
          <t>CARGUEROS</t>
        </is>
      </c>
      <c r="K144" s="23" t="n"/>
      <c r="L144" s="17" t="n"/>
      <c r="M144" s="49" t="inlineStr">
        <is>
          <t>TRANSAVINCO</t>
        </is>
      </c>
    </row>
    <row r="145" ht="15.75" customHeight="1">
      <c r="A145" s="46" t="n">
        <v>45679</v>
      </c>
      <c r="B145" s="10" t="n">
        <v>10</v>
      </c>
      <c r="C145" s="21" t="inlineStr">
        <is>
          <t>HUERTAS</t>
        </is>
      </c>
      <c r="D145" s="12" t="n">
        <v>3133</v>
      </c>
      <c r="E145" s="12" t="n">
        <v>324</v>
      </c>
      <c r="F145" s="13">
        <f>+D145/E145</f>
        <v/>
      </c>
      <c r="G145" s="25" t="n">
        <v>0.875</v>
      </c>
      <c r="H145" s="22" t="n">
        <v>12</v>
      </c>
      <c r="I145" s="22" t="inlineStr">
        <is>
          <t>MANIGUA</t>
        </is>
      </c>
      <c r="J145" s="22" t="inlineStr">
        <is>
          <t>CARGUEROS</t>
        </is>
      </c>
      <c r="K145" s="23" t="n"/>
      <c r="L145" s="17" t="n"/>
      <c r="M145" s="48" t="n"/>
    </row>
    <row r="146" ht="15.75" customHeight="1">
      <c r="A146" s="46" t="n">
        <v>45679</v>
      </c>
      <c r="B146" s="10" t="n">
        <v>1</v>
      </c>
      <c r="C146" s="21" t="inlineStr">
        <is>
          <t>SAN JOSE</t>
        </is>
      </c>
      <c r="D146" s="12" t="n">
        <v>3590</v>
      </c>
      <c r="E146" s="12" t="n">
        <v>360</v>
      </c>
      <c r="F146" s="13">
        <f>+D146/E146</f>
        <v/>
      </c>
      <c r="G146" s="25" t="n">
        <v>0.25</v>
      </c>
      <c r="H146" s="22" t="n">
        <v>10</v>
      </c>
      <c r="I146" s="22" t="inlineStr">
        <is>
          <t>MANIGUA</t>
        </is>
      </c>
      <c r="J146" s="22" t="inlineStr">
        <is>
          <t>ABONEROS</t>
        </is>
      </c>
      <c r="K146" s="23" t="n"/>
      <c r="L146" s="17" t="n"/>
      <c r="M146" s="48" t="n"/>
    </row>
    <row r="147" ht="15.75" customHeight="1">
      <c r="A147" s="46" t="n">
        <v>45679</v>
      </c>
      <c r="B147" s="10" t="n">
        <v>2</v>
      </c>
      <c r="C147" s="21" t="inlineStr">
        <is>
          <t>SAN JOSE</t>
        </is>
      </c>
      <c r="D147" s="12" t="n">
        <v>3590</v>
      </c>
      <c r="E147" s="12" t="n">
        <v>324</v>
      </c>
      <c r="F147" s="13">
        <f>+D147/E147</f>
        <v/>
      </c>
      <c r="G147" s="25" t="n">
        <v>0.25</v>
      </c>
      <c r="H147" s="22" t="n">
        <v>10</v>
      </c>
      <c r="I147" s="22" t="inlineStr">
        <is>
          <t>MANIGUA</t>
        </is>
      </c>
      <c r="J147" s="22" t="inlineStr">
        <is>
          <t>ABONEROS</t>
        </is>
      </c>
      <c r="K147" s="23" t="n"/>
      <c r="L147" s="17" t="n"/>
      <c r="M147" s="48" t="n"/>
    </row>
    <row r="148" ht="15.75" customHeight="1">
      <c r="A148" s="50" t="n">
        <v>45679</v>
      </c>
      <c r="B148" s="51" t="n">
        <v>3</v>
      </c>
      <c r="C148" s="52" t="inlineStr">
        <is>
          <t>SAN JOSE</t>
        </is>
      </c>
      <c r="D148" s="53" t="n">
        <v>3590</v>
      </c>
      <c r="E148" s="53" t="n">
        <v>324</v>
      </c>
      <c r="F148" s="54">
        <f>+D148/E148</f>
        <v/>
      </c>
      <c r="G148" s="55" t="n">
        <v>0.25</v>
      </c>
      <c r="H148" s="56" t="n">
        <v>10</v>
      </c>
      <c r="I148" s="56" t="inlineStr">
        <is>
          <t>MANIGUA</t>
        </is>
      </c>
      <c r="J148" s="56" t="inlineStr">
        <is>
          <t>ABONEROS</t>
        </is>
      </c>
      <c r="K148" s="61" t="n"/>
      <c r="L148" s="58" t="n"/>
      <c r="M148" s="59" t="inlineStr">
        <is>
          <t> </t>
        </is>
      </c>
    </row>
    <row r="149" ht="15.75" customHeight="1">
      <c r="A149" s="36" t="n">
        <v>45680</v>
      </c>
      <c r="B149" s="37" t="n">
        <v>1</v>
      </c>
      <c r="C149" s="38" t="inlineStr">
        <is>
          <t>SAN JOSE</t>
        </is>
      </c>
      <c r="D149" s="39" t="n">
        <v>3533</v>
      </c>
      <c r="E149" s="39" t="n">
        <v>324</v>
      </c>
      <c r="F149" s="40">
        <f>+D149/E149</f>
        <v/>
      </c>
      <c r="G149" s="41" t="n">
        <v>0.04166666666666666</v>
      </c>
      <c r="H149" s="42" t="n">
        <v>11</v>
      </c>
      <c r="I149" s="42" t="inlineStr">
        <is>
          <t>MANIGUA</t>
        </is>
      </c>
      <c r="J149" s="42" t="inlineStr">
        <is>
          <t>CARGUEROS</t>
        </is>
      </c>
      <c r="K149" s="62" t="n"/>
      <c r="L149" s="44" t="n"/>
      <c r="M149" s="63" t="inlineStr">
        <is>
          <t xml:space="preserve">PROBLEMAS DE SALDOS DE AVES POR PARTE ADMINISTRADOR  </t>
        </is>
      </c>
    </row>
    <row r="150" ht="15.75" customHeight="1">
      <c r="A150" s="46" t="n">
        <v>45680</v>
      </c>
      <c r="B150" s="10" t="n">
        <v>2</v>
      </c>
      <c r="C150" s="21" t="inlineStr">
        <is>
          <t>SAN JOSE</t>
        </is>
      </c>
      <c r="D150" s="12" t="n">
        <v>3533</v>
      </c>
      <c r="E150" s="12" t="n">
        <v>324</v>
      </c>
      <c r="F150" s="13">
        <f>+D150/E150</f>
        <v/>
      </c>
      <c r="G150" s="25" t="n">
        <v>0.04166666666666666</v>
      </c>
      <c r="H150" s="22" t="n">
        <v>11</v>
      </c>
      <c r="I150" s="22" t="inlineStr">
        <is>
          <t>MANIGUA</t>
        </is>
      </c>
      <c r="J150" s="22" t="inlineStr">
        <is>
          <t>CARGUEROS</t>
        </is>
      </c>
      <c r="K150" s="23" t="n"/>
      <c r="L150" s="17" t="n"/>
      <c r="M150" s="49" t="inlineStr">
        <is>
          <t>CAUSANDO DEMORAS SAN JOSE 2</t>
        </is>
      </c>
    </row>
    <row r="151" ht="15.75" customHeight="1">
      <c r="A151" s="46" t="n">
        <v>45680</v>
      </c>
      <c r="B151" s="10" t="n">
        <v>3</v>
      </c>
      <c r="C151" s="21" t="inlineStr">
        <is>
          <t>SAN JOSE</t>
        </is>
      </c>
      <c r="D151" s="12" t="n">
        <v>3533</v>
      </c>
      <c r="E151" s="12" t="n">
        <v>324</v>
      </c>
      <c r="F151" s="13">
        <f>+D151/E151</f>
        <v/>
      </c>
      <c r="G151" s="25" t="n">
        <v>0.04166666666666666</v>
      </c>
      <c r="H151" s="22" t="n">
        <v>11</v>
      </c>
      <c r="I151" s="22" t="inlineStr">
        <is>
          <t>MANIGUA</t>
        </is>
      </c>
      <c r="J151" s="22" t="inlineStr">
        <is>
          <t>CARGUEROS</t>
        </is>
      </c>
      <c r="K151" s="23" t="n"/>
      <c r="L151" s="17" t="n"/>
      <c r="M151" s="48" t="n"/>
    </row>
    <row r="152" ht="15.75" customHeight="1">
      <c r="A152" s="46" t="n">
        <v>45680</v>
      </c>
      <c r="B152" s="10" t="n">
        <v>4</v>
      </c>
      <c r="C152" s="21" t="inlineStr">
        <is>
          <t>SAN JOSE</t>
        </is>
      </c>
      <c r="D152" s="12" t="n">
        <v>3758</v>
      </c>
      <c r="E152" s="12" t="n">
        <v>324</v>
      </c>
      <c r="F152" s="13">
        <f>+D152/E152</f>
        <v/>
      </c>
      <c r="G152" s="25" t="n">
        <v>0.04166666666666666</v>
      </c>
      <c r="H152" s="22" t="n">
        <v>11</v>
      </c>
      <c r="I152" s="22" t="inlineStr">
        <is>
          <t>MANIGUA</t>
        </is>
      </c>
      <c r="J152" s="22" t="inlineStr">
        <is>
          <t>CARGUEROS</t>
        </is>
      </c>
      <c r="K152" s="23" t="n"/>
      <c r="L152" s="17" t="n"/>
      <c r="M152" s="48" t="n"/>
    </row>
    <row r="153" ht="15.75" customHeight="1">
      <c r="A153" s="46" t="n">
        <v>45680</v>
      </c>
      <c r="B153" s="10" t="n">
        <v>5</v>
      </c>
      <c r="C153" s="21" t="inlineStr">
        <is>
          <t>SAN JOSE</t>
        </is>
      </c>
      <c r="D153" s="12" t="n">
        <v>3199</v>
      </c>
      <c r="E153" s="12" t="n">
        <v>360</v>
      </c>
      <c r="F153" s="13">
        <f>+D153/E153</f>
        <v/>
      </c>
      <c r="G153" s="25" t="n">
        <v>0.04166666666666666</v>
      </c>
      <c r="H153" s="22" t="n">
        <v>11</v>
      </c>
      <c r="I153" s="22" t="inlineStr">
        <is>
          <t>MANIGUA</t>
        </is>
      </c>
      <c r="J153" s="22" t="inlineStr">
        <is>
          <t>CARGUEROS</t>
        </is>
      </c>
      <c r="K153" s="23" t="n"/>
      <c r="L153" s="17" t="n"/>
      <c r="M153" s="48" t="n"/>
    </row>
    <row r="154" ht="15.75" customHeight="1">
      <c r="A154" s="46" t="n">
        <v>45680</v>
      </c>
      <c r="B154" s="10" t="n">
        <v>6</v>
      </c>
      <c r="C154" s="21" t="inlineStr">
        <is>
          <t>SAN JOSE</t>
        </is>
      </c>
      <c r="D154" s="12" t="n">
        <v>3199</v>
      </c>
      <c r="E154" s="12" t="n">
        <v>324</v>
      </c>
      <c r="F154" s="13">
        <f>+D154/E154</f>
        <v/>
      </c>
      <c r="G154" s="25" t="n">
        <v>0.04166666666666666</v>
      </c>
      <c r="H154" s="22" t="n">
        <v>11</v>
      </c>
      <c r="I154" s="22" t="inlineStr">
        <is>
          <t>MANIGUA</t>
        </is>
      </c>
      <c r="J154" s="22" t="inlineStr">
        <is>
          <t>CARGUEROS</t>
        </is>
      </c>
      <c r="K154" s="23" t="n"/>
      <c r="L154" s="17" t="n"/>
      <c r="M154" s="48" t="n"/>
    </row>
    <row r="155" ht="15.75" customHeight="1">
      <c r="A155" s="46" t="n">
        <v>45680</v>
      </c>
      <c r="B155" s="10" t="n">
        <v>7</v>
      </c>
      <c r="C155" s="21" t="inlineStr">
        <is>
          <t>SAN JOSE</t>
        </is>
      </c>
      <c r="D155" s="12" t="n">
        <v>3199</v>
      </c>
      <c r="E155" s="12" t="n">
        <v>324</v>
      </c>
      <c r="F155" s="13">
        <f>+D155/E155</f>
        <v/>
      </c>
      <c r="G155" s="25" t="n">
        <v>0.04166666666666666</v>
      </c>
      <c r="H155" s="22" t="n">
        <v>11</v>
      </c>
      <c r="I155" s="22" t="inlineStr">
        <is>
          <t>MANIGUA</t>
        </is>
      </c>
      <c r="J155" s="22" t="inlineStr">
        <is>
          <t>CARGUEROS</t>
        </is>
      </c>
      <c r="K155" s="23" t="n"/>
      <c r="L155" s="17" t="n"/>
      <c r="M155" s="48" t="n"/>
    </row>
    <row r="156" ht="15.75" customHeight="1">
      <c r="A156" s="46" t="n">
        <v>45680</v>
      </c>
      <c r="B156" s="10" t="n">
        <v>8</v>
      </c>
      <c r="C156" s="21" t="inlineStr">
        <is>
          <t>SAN JOSE</t>
        </is>
      </c>
      <c r="D156" s="12" t="n">
        <v>3199</v>
      </c>
      <c r="E156" s="12" t="n">
        <v>360</v>
      </c>
      <c r="F156" s="13">
        <f>+D156/E156</f>
        <v/>
      </c>
      <c r="G156" s="25" t="n">
        <v>0.04166666666666666</v>
      </c>
      <c r="H156" s="22" t="n">
        <v>11</v>
      </c>
      <c r="I156" s="22" t="inlineStr">
        <is>
          <t>MANIGUA</t>
        </is>
      </c>
      <c r="J156" s="22" t="inlineStr">
        <is>
          <t>CARGUEROS</t>
        </is>
      </c>
      <c r="K156" s="23" t="n"/>
      <c r="L156" s="17" t="n"/>
      <c r="M156" s="48" t="n"/>
    </row>
    <row r="157" ht="15.75" customHeight="1">
      <c r="A157" s="46" t="n">
        <v>45680</v>
      </c>
      <c r="B157" s="10" t="n">
        <v>1</v>
      </c>
      <c r="C157" s="21" t="inlineStr">
        <is>
          <t>HUERTAS</t>
        </is>
      </c>
      <c r="D157" s="12" t="n"/>
      <c r="E157" s="12" t="n"/>
      <c r="F157" s="13" t="n"/>
      <c r="G157" s="25" t="n">
        <v>0.625</v>
      </c>
      <c r="H157" s="22" t="n">
        <v>12</v>
      </c>
      <c r="I157" s="22" t="inlineStr">
        <is>
          <t>BOGOTA</t>
        </is>
      </c>
      <c r="J157" s="22" t="inlineStr">
        <is>
          <t>CARGUEROS</t>
        </is>
      </c>
      <c r="K157" s="47" t="n">
        <v>0.7284722222222222</v>
      </c>
      <c r="L157" s="17" t="n">
        <v>0.06180555555555556</v>
      </c>
      <c r="M157" s="49" t="inlineStr">
        <is>
          <t>DEMORA POR HUACALES SIN TAPAS SE SALEN LOS POLLOS AL ENHUACALAR</t>
        </is>
      </c>
    </row>
    <row r="158" ht="15.75" customHeight="1">
      <c r="A158" s="46" t="n">
        <v>45680</v>
      </c>
      <c r="B158" s="10" t="n">
        <v>2</v>
      </c>
      <c r="C158" s="21" t="inlineStr">
        <is>
          <t>HUERTAS</t>
        </is>
      </c>
      <c r="D158" s="12" t="n"/>
      <c r="E158" s="12" t="n"/>
      <c r="F158" s="13" t="n"/>
      <c r="G158" s="25" t="n">
        <v>0.625</v>
      </c>
      <c r="H158" s="22" t="n">
        <v>12</v>
      </c>
      <c r="I158" s="22" t="inlineStr">
        <is>
          <t>BOGOTA</t>
        </is>
      </c>
      <c r="J158" s="22" t="inlineStr">
        <is>
          <t>CARGUEROS</t>
        </is>
      </c>
      <c r="K158" s="47" t="n">
        <v>0.7715277777777778</v>
      </c>
      <c r="L158" s="17">
        <f>+K158-K157</f>
        <v/>
      </c>
      <c r="M158" s="49" t="inlineStr">
        <is>
          <t>EN EL CAMION Y ADEMAS SE SALEN EN EL CAMINO</t>
        </is>
      </c>
    </row>
    <row r="159" ht="15.75" customHeight="1">
      <c r="A159" s="46" t="n">
        <v>45680</v>
      </c>
      <c r="B159" s="10" t="n">
        <v>3</v>
      </c>
      <c r="C159" s="21" t="inlineStr">
        <is>
          <t>HUERTAS</t>
        </is>
      </c>
      <c r="D159" s="12" t="n"/>
      <c r="E159" s="12" t="n"/>
      <c r="F159" s="13" t="n"/>
      <c r="G159" s="25" t="n">
        <v>0.625</v>
      </c>
      <c r="H159" s="22" t="n">
        <v>12</v>
      </c>
      <c r="I159" s="22" t="inlineStr">
        <is>
          <t>BOGOTA</t>
        </is>
      </c>
      <c r="J159" s="22" t="inlineStr">
        <is>
          <t>CARGUEROS</t>
        </is>
      </c>
      <c r="K159" s="47" t="n">
        <v>0.8180555555555555</v>
      </c>
      <c r="L159" s="17">
        <f>+K159-K158</f>
        <v/>
      </c>
      <c r="M159" s="49" t="inlineStr">
        <is>
          <t>DEMORA POR AUSENCIA DE VARILLAS PARA SUBIR EQUIPOS SOLUCION TALADRO</t>
        </is>
      </c>
    </row>
    <row r="160" ht="15.75" customHeight="1">
      <c r="A160" s="46" t="n">
        <v>45680</v>
      </c>
      <c r="B160" s="10" t="n">
        <v>3</v>
      </c>
      <c r="C160" s="21" t="inlineStr">
        <is>
          <t>HUERTAS</t>
        </is>
      </c>
      <c r="D160" s="12" t="n"/>
      <c r="E160" s="12" t="n"/>
      <c r="F160" s="13" t="n"/>
      <c r="G160" s="25" t="n">
        <v>0.625</v>
      </c>
      <c r="H160" s="22" t="n">
        <v>12</v>
      </c>
      <c r="I160" s="22" t="inlineStr">
        <is>
          <t>BOGOTA</t>
        </is>
      </c>
      <c r="J160" s="22" t="inlineStr">
        <is>
          <t>CARGUEROS</t>
        </is>
      </c>
      <c r="K160" s="47" t="n">
        <v>0.8743055555555556</v>
      </c>
      <c r="L160" s="17">
        <f>+K160-K159</f>
        <v/>
      </c>
      <c r="M160" s="48" t="n"/>
    </row>
    <row r="161" ht="15.75" customHeight="1">
      <c r="A161" s="46" t="n">
        <v>45680</v>
      </c>
      <c r="B161" s="10" t="n">
        <v>3</v>
      </c>
      <c r="C161" s="21" t="inlineStr">
        <is>
          <t>HUERTAS</t>
        </is>
      </c>
      <c r="D161" s="12" t="n"/>
      <c r="E161" s="12" t="n"/>
      <c r="F161" s="13" t="n"/>
      <c r="G161" s="25" t="n">
        <v>0.625</v>
      </c>
      <c r="H161" s="22" t="n">
        <v>12</v>
      </c>
      <c r="I161" s="22" t="inlineStr">
        <is>
          <t>BOGOTA</t>
        </is>
      </c>
      <c r="J161" s="22" t="inlineStr">
        <is>
          <t>CARGUEROS</t>
        </is>
      </c>
      <c r="K161" s="47" t="n">
        <v>0.9173611111111111</v>
      </c>
      <c r="L161" s="17">
        <f>+K161-K160</f>
        <v/>
      </c>
      <c r="M161" s="48" t="n"/>
    </row>
    <row r="162" ht="15.75" customHeight="1">
      <c r="A162" s="46" t="n">
        <v>45680</v>
      </c>
      <c r="B162" s="10" t="n">
        <v>5</v>
      </c>
      <c r="C162" s="21" t="inlineStr">
        <is>
          <t>HUERTAS</t>
        </is>
      </c>
      <c r="D162" s="12" t="n"/>
      <c r="E162" s="12" t="n"/>
      <c r="F162" s="13" t="n"/>
      <c r="G162" s="25" t="n">
        <v>0.625</v>
      </c>
      <c r="H162" s="22" t="n">
        <v>12</v>
      </c>
      <c r="I162" s="22" t="inlineStr">
        <is>
          <t>BOGOTA</t>
        </is>
      </c>
      <c r="J162" s="22" t="inlineStr">
        <is>
          <t>CARGUEROS</t>
        </is>
      </c>
      <c r="K162" s="47" t="n">
        <v>0.9708333333333333</v>
      </c>
      <c r="L162" s="17">
        <f>+K162-K161</f>
        <v/>
      </c>
      <c r="M162" s="48" t="n"/>
    </row>
    <row r="163" ht="15.75" customHeight="1">
      <c r="A163" s="50" t="n">
        <v>45680</v>
      </c>
      <c r="B163" s="51" t="n">
        <v>6</v>
      </c>
      <c r="C163" s="52" t="inlineStr">
        <is>
          <t>HUERTAS</t>
        </is>
      </c>
      <c r="D163" s="53" t="n"/>
      <c r="E163" s="53" t="n"/>
      <c r="F163" s="54" t="n"/>
      <c r="G163" s="55" t="n">
        <v>0.625</v>
      </c>
      <c r="H163" s="56" t="n">
        <v>12</v>
      </c>
      <c r="I163" s="56" t="inlineStr">
        <is>
          <t>BOGOTA</t>
        </is>
      </c>
      <c r="J163" s="56" t="inlineStr">
        <is>
          <t>CARGUEROS</t>
        </is>
      </c>
      <c r="K163" s="64" t="n"/>
      <c r="L163" s="58" t="n"/>
      <c r="M163" s="65" t="inlineStr">
        <is>
          <t>CANCELADO POR PROGRAMACION TECNICA MUY CORTA</t>
        </is>
      </c>
    </row>
    <row r="164" ht="15.75" customHeight="1">
      <c r="A164" s="36" t="n">
        <v>45681</v>
      </c>
      <c r="B164" s="37" t="n">
        <v>1</v>
      </c>
      <c r="C164" s="38" t="inlineStr">
        <is>
          <t>SAN JOSE</t>
        </is>
      </c>
      <c r="D164" s="39" t="n">
        <v>3595</v>
      </c>
      <c r="E164" s="39" t="n">
        <v>324</v>
      </c>
      <c r="F164" s="40">
        <f>+D164/E164</f>
        <v/>
      </c>
      <c r="G164" s="41" t="n">
        <v>0.9791666666666666</v>
      </c>
      <c r="H164" s="42" t="n">
        <v>9</v>
      </c>
      <c r="I164" s="42" t="inlineStr">
        <is>
          <t>MANIGUA</t>
        </is>
      </c>
      <c r="J164" s="42" t="inlineStr">
        <is>
          <t>ABONEROS</t>
        </is>
      </c>
      <c r="K164" s="62" t="n"/>
      <c r="L164" s="44" t="n"/>
      <c r="M164" s="45" t="n"/>
    </row>
    <row r="165" ht="15.75" customHeight="1">
      <c r="A165" s="46" t="n">
        <v>45681</v>
      </c>
      <c r="B165" s="10" t="n">
        <v>2</v>
      </c>
      <c r="C165" s="21" t="inlineStr">
        <is>
          <t>SAN JOSE</t>
        </is>
      </c>
      <c r="D165" s="12" t="n">
        <v>3595</v>
      </c>
      <c r="E165" s="12" t="n">
        <v>324</v>
      </c>
      <c r="F165" s="13">
        <f>+D165/E165</f>
        <v/>
      </c>
      <c r="G165" s="25" t="n">
        <v>0.9791666666666666</v>
      </c>
      <c r="H165" s="22" t="n">
        <v>9</v>
      </c>
      <c r="I165" s="22" t="inlineStr">
        <is>
          <t>MANIGUA</t>
        </is>
      </c>
      <c r="J165" s="22" t="inlineStr">
        <is>
          <t>ABONEROS</t>
        </is>
      </c>
      <c r="K165" s="23" t="n"/>
      <c r="L165" s="17" t="n"/>
      <c r="M165" s="48" t="n"/>
    </row>
    <row r="166" ht="15.75" customHeight="1">
      <c r="A166" s="46" t="n">
        <v>45681</v>
      </c>
      <c r="B166" s="10" t="n">
        <v>3</v>
      </c>
      <c r="C166" s="21" t="inlineStr">
        <is>
          <t>SAN JOSE</t>
        </is>
      </c>
      <c r="D166" s="12" t="n">
        <v>3101</v>
      </c>
      <c r="E166" s="12" t="n">
        <v>324</v>
      </c>
      <c r="F166" s="13">
        <f>+D166/E166</f>
        <v/>
      </c>
      <c r="G166" s="25" t="n">
        <v>0.9791666666666666</v>
      </c>
      <c r="H166" s="22" t="n">
        <v>9</v>
      </c>
      <c r="I166" s="22" t="inlineStr">
        <is>
          <t>MANIGUA</t>
        </is>
      </c>
      <c r="J166" s="22" t="inlineStr">
        <is>
          <t>ABONEROS</t>
        </is>
      </c>
      <c r="K166" s="23" t="n"/>
      <c r="L166" s="17" t="n"/>
      <c r="M166" s="48" t="n"/>
    </row>
    <row r="167" ht="15.75" customHeight="1">
      <c r="A167" s="46" t="n">
        <v>45681</v>
      </c>
      <c r="B167" s="10" t="n">
        <v>4</v>
      </c>
      <c r="C167" s="21" t="inlineStr">
        <is>
          <t>SAN JOSE</t>
        </is>
      </c>
      <c r="D167" s="12" t="n">
        <v>3101</v>
      </c>
      <c r="E167" s="12" t="n">
        <v>324</v>
      </c>
      <c r="F167" s="13">
        <f>+D167/E167</f>
        <v/>
      </c>
      <c r="G167" s="25" t="n">
        <v>0.9791666666666666</v>
      </c>
      <c r="H167" s="22" t="n">
        <v>9</v>
      </c>
      <c r="I167" s="22" t="inlineStr">
        <is>
          <t>MANIGUA</t>
        </is>
      </c>
      <c r="J167" s="22" t="inlineStr">
        <is>
          <t>ABONEROS</t>
        </is>
      </c>
      <c r="K167" s="23" t="n"/>
      <c r="L167" s="17" t="n"/>
      <c r="M167" s="48" t="n"/>
    </row>
    <row r="168" ht="15.75" customHeight="1">
      <c r="A168" s="46" t="n">
        <v>45681</v>
      </c>
      <c r="B168" s="10" t="n">
        <v>5</v>
      </c>
      <c r="C168" s="21" t="inlineStr">
        <is>
          <t>SAN JOSE</t>
        </is>
      </c>
      <c r="D168" s="12" t="n">
        <v>3101</v>
      </c>
      <c r="E168" s="12" t="n">
        <v>324</v>
      </c>
      <c r="F168" s="13">
        <f>+D168/E168</f>
        <v/>
      </c>
      <c r="G168" s="25" t="n">
        <v>0.9791666666666666</v>
      </c>
      <c r="H168" s="22" t="n">
        <v>9</v>
      </c>
      <c r="I168" s="22" t="inlineStr">
        <is>
          <t>MANIGUA</t>
        </is>
      </c>
      <c r="J168" s="22" t="inlineStr">
        <is>
          <t>ABONEROS</t>
        </is>
      </c>
      <c r="K168" s="23" t="n"/>
      <c r="L168" s="17" t="n"/>
      <c r="M168" s="48" t="n"/>
    </row>
    <row r="169" ht="15.75" customHeight="1">
      <c r="A169" s="46" t="n">
        <v>45681</v>
      </c>
      <c r="B169" s="10" t="n">
        <v>6</v>
      </c>
      <c r="C169" s="21" t="inlineStr">
        <is>
          <t>SAN JOSE</t>
        </is>
      </c>
      <c r="D169" s="12" t="n">
        <v>3297</v>
      </c>
      <c r="E169" s="12" t="n">
        <v>360</v>
      </c>
      <c r="F169" s="13">
        <f>+D169/E169</f>
        <v/>
      </c>
      <c r="G169" s="25" t="n">
        <v>0.9791666666666666</v>
      </c>
      <c r="H169" s="22" t="n">
        <v>9</v>
      </c>
      <c r="I169" s="22" t="inlineStr">
        <is>
          <t>MANIGUA</t>
        </is>
      </c>
      <c r="J169" s="22" t="inlineStr">
        <is>
          <t>ABONEROS</t>
        </is>
      </c>
      <c r="K169" s="23" t="n"/>
      <c r="L169" s="17" t="n"/>
      <c r="M169" s="48" t="n"/>
    </row>
    <row r="170" ht="15.75" customHeight="1">
      <c r="A170" s="46" t="n">
        <v>45681</v>
      </c>
      <c r="B170" s="10" t="n">
        <v>1</v>
      </c>
      <c r="C170" s="21" t="inlineStr">
        <is>
          <t>HUERTAS</t>
        </is>
      </c>
      <c r="D170" s="12" t="n">
        <v>3111</v>
      </c>
      <c r="E170" s="12" t="n"/>
      <c r="F170" s="13">
        <f>+D170/E170</f>
        <v/>
      </c>
      <c r="G170" s="25" t="n">
        <v>0.5416666666666666</v>
      </c>
      <c r="H170" s="22" t="n">
        <v>12</v>
      </c>
      <c r="I170" s="22" t="inlineStr">
        <is>
          <t>BOGOTA</t>
        </is>
      </c>
      <c r="J170" s="22" t="inlineStr">
        <is>
          <t>CARGUEROS</t>
        </is>
      </c>
      <c r="K170" s="47" t="n">
        <v>0.64375</v>
      </c>
      <c r="L170" s="17" t="n">
        <v>0.06041666666666667</v>
      </c>
      <c r="M170" s="48" t="n"/>
    </row>
    <row r="171" ht="15.75" customHeight="1">
      <c r="A171" s="46" t="n">
        <v>45681</v>
      </c>
      <c r="B171" s="10" t="n">
        <v>2</v>
      </c>
      <c r="C171" s="21" t="inlineStr">
        <is>
          <t>HUERTAS</t>
        </is>
      </c>
      <c r="D171" s="12" t="n">
        <v>2632</v>
      </c>
      <c r="E171" s="12" t="n"/>
      <c r="F171" s="13">
        <f>+D171/E171</f>
        <v/>
      </c>
      <c r="G171" s="25" t="n">
        <v>0.5416666666666666</v>
      </c>
      <c r="H171" s="22" t="n">
        <v>12</v>
      </c>
      <c r="I171" s="22" t="inlineStr">
        <is>
          <t>BOGOTA</t>
        </is>
      </c>
      <c r="J171" s="22" t="inlineStr">
        <is>
          <t>CARGUEROS</t>
        </is>
      </c>
      <c r="K171" s="47" t="n">
        <v>0.68125</v>
      </c>
      <c r="L171" s="17">
        <f>+K171-K170</f>
        <v/>
      </c>
      <c r="M171" s="48" t="n"/>
    </row>
    <row r="172" ht="15.75" customHeight="1">
      <c r="A172" s="46" t="n">
        <v>45681</v>
      </c>
      <c r="B172" s="10" t="n">
        <v>3</v>
      </c>
      <c r="C172" s="21" t="inlineStr">
        <is>
          <t>HUERTAS</t>
        </is>
      </c>
      <c r="D172" s="12" t="n">
        <v>2632</v>
      </c>
      <c r="E172" s="12" t="n"/>
      <c r="F172" s="13">
        <f>+D172/E172</f>
        <v/>
      </c>
      <c r="G172" s="25" t="n">
        <v>0.5416666666666666</v>
      </c>
      <c r="H172" s="22" t="n">
        <v>12</v>
      </c>
      <c r="I172" s="22" t="inlineStr">
        <is>
          <t>BOGOTA</t>
        </is>
      </c>
      <c r="J172" s="22" t="inlineStr">
        <is>
          <t>CARGUEROS</t>
        </is>
      </c>
      <c r="K172" s="47" t="n">
        <v>0.7097222222222223</v>
      </c>
      <c r="L172" s="17">
        <f>+K172-K171</f>
        <v/>
      </c>
      <c r="M172" s="48" t="n"/>
    </row>
    <row r="173" ht="15.75" customHeight="1">
      <c r="A173" s="46" t="n">
        <v>45681</v>
      </c>
      <c r="B173" s="10" t="n">
        <v>4</v>
      </c>
      <c r="C173" s="21" t="inlineStr">
        <is>
          <t>HUERTAS</t>
        </is>
      </c>
      <c r="D173" s="12" t="n">
        <v>2500</v>
      </c>
      <c r="E173" s="12" t="n"/>
      <c r="F173" s="13">
        <f>+D173/E173</f>
        <v/>
      </c>
      <c r="G173" s="25" t="n">
        <v>8</v>
      </c>
      <c r="H173" s="22" t="n">
        <v>12</v>
      </c>
      <c r="I173" s="22" t="inlineStr">
        <is>
          <t>BOGOTA</t>
        </is>
      </c>
      <c r="J173" s="22" t="inlineStr">
        <is>
          <t>CARGUEROS</t>
        </is>
      </c>
      <c r="K173" s="47" t="n">
        <v>0.7493055555555556</v>
      </c>
      <c r="L173" s="17">
        <f>+K173-K172</f>
        <v/>
      </c>
      <c r="M173" s="48" t="n"/>
    </row>
    <row r="174" ht="15.75" customHeight="1">
      <c r="A174" s="46" t="n">
        <v>45681</v>
      </c>
      <c r="B174" s="10" t="n">
        <v>5</v>
      </c>
      <c r="C174" s="21" t="inlineStr">
        <is>
          <t>HUERTAS</t>
        </is>
      </c>
      <c r="D174" s="12" t="n">
        <v>2500</v>
      </c>
      <c r="E174" s="12" t="n"/>
      <c r="F174" s="13">
        <f>+D174/E174</f>
        <v/>
      </c>
      <c r="G174" s="25" t="n">
        <v>0.5416666666666666</v>
      </c>
      <c r="H174" s="22" t="n">
        <v>12</v>
      </c>
      <c r="I174" s="22" t="inlineStr">
        <is>
          <t>BOGOTA</t>
        </is>
      </c>
      <c r="J174" s="22" t="inlineStr">
        <is>
          <t>CARGUEROS</t>
        </is>
      </c>
      <c r="K174" s="47" t="n">
        <v>0.7881944444444444</v>
      </c>
      <c r="L174" s="17">
        <f>+K174-K173</f>
        <v/>
      </c>
      <c r="M174" s="48" t="n"/>
    </row>
    <row r="175" ht="15.75" customHeight="1">
      <c r="A175" s="46" t="n">
        <v>45681</v>
      </c>
      <c r="B175" s="10" t="n">
        <v>6</v>
      </c>
      <c r="C175" s="21" t="inlineStr">
        <is>
          <t>HUERTAS</t>
        </is>
      </c>
      <c r="D175" s="12" t="n">
        <v>3111</v>
      </c>
      <c r="E175" s="12" t="n"/>
      <c r="F175" s="13">
        <f>+D175/E175</f>
        <v/>
      </c>
      <c r="G175" s="25" t="n">
        <v>0.5416666666666666</v>
      </c>
      <c r="H175" s="22" t="n">
        <v>16</v>
      </c>
      <c r="I175" s="22" t="inlineStr">
        <is>
          <t>BOGOTA</t>
        </is>
      </c>
      <c r="J175" s="22" t="inlineStr">
        <is>
          <t>CARGUEROS</t>
        </is>
      </c>
      <c r="K175" s="47" t="n">
        <v>0.8333333333333334</v>
      </c>
      <c r="L175" s="17">
        <f>+K175-K174</f>
        <v/>
      </c>
      <c r="M175" s="48" t="n"/>
    </row>
    <row r="176" ht="15.75" customHeight="1">
      <c r="A176" s="50" t="n">
        <v>45681</v>
      </c>
      <c r="B176" s="51" t="n">
        <v>7</v>
      </c>
      <c r="C176" s="52" t="inlineStr">
        <is>
          <t>HUERTAS</t>
        </is>
      </c>
      <c r="D176" s="53" t="n">
        <v>3111</v>
      </c>
      <c r="E176" s="53" t="n"/>
      <c r="F176" s="54">
        <f>+D176/E176</f>
        <v/>
      </c>
      <c r="G176" s="55" t="n">
        <v>0.5416666666666666</v>
      </c>
      <c r="H176" s="56" t="n">
        <v>16</v>
      </c>
      <c r="I176" s="56" t="inlineStr">
        <is>
          <t>BOGOTA</t>
        </is>
      </c>
      <c r="J176" s="56" t="inlineStr">
        <is>
          <t>CARGUEROS</t>
        </is>
      </c>
      <c r="K176" s="57" t="n">
        <v>0.8618055555555556</v>
      </c>
      <c r="L176" s="58">
        <f>+K176-K175</f>
        <v/>
      </c>
      <c r="M176" s="59" t="n"/>
    </row>
    <row r="177" ht="15.75" customHeight="1">
      <c r="A177" s="36" t="n">
        <v>45682</v>
      </c>
      <c r="B177" s="37" t="n">
        <v>8</v>
      </c>
      <c r="C177" s="38" t="inlineStr">
        <is>
          <t>HUERTAS</t>
        </is>
      </c>
      <c r="D177" s="39" t="n">
        <v>3387</v>
      </c>
      <c r="E177" s="39" t="n">
        <v>324</v>
      </c>
      <c r="F177" s="40">
        <f>+D177/E177</f>
        <v/>
      </c>
      <c r="G177" s="41" t="n">
        <v>0.9166666666666666</v>
      </c>
      <c r="H177" s="42" t="n">
        <v>16</v>
      </c>
      <c r="I177" s="42" t="inlineStr">
        <is>
          <t>MANIGUA</t>
        </is>
      </c>
      <c r="J177" s="42" t="inlineStr">
        <is>
          <t>CARGUEROS</t>
        </is>
      </c>
      <c r="K177" s="43" t="n">
        <v>0.9263888888888889</v>
      </c>
      <c r="L177" s="44">
        <f>+K177-K176</f>
        <v/>
      </c>
      <c r="M177" s="45" t="n"/>
    </row>
    <row r="178" ht="15.75" customHeight="1">
      <c r="A178" s="46" t="n">
        <v>45682</v>
      </c>
      <c r="B178" s="10" t="n">
        <v>9</v>
      </c>
      <c r="C178" s="21" t="inlineStr">
        <is>
          <t>HUERTAS</t>
        </is>
      </c>
      <c r="D178" s="12" t="n">
        <v>3387</v>
      </c>
      <c r="E178" s="12" t="n">
        <v>360</v>
      </c>
      <c r="F178" s="13">
        <f>+D178/E178</f>
        <v/>
      </c>
      <c r="G178" s="25" t="n">
        <v>0.9166666666666666</v>
      </c>
      <c r="H178" s="22" t="n">
        <v>16</v>
      </c>
      <c r="I178" s="22" t="inlineStr">
        <is>
          <t>MANIGUA</t>
        </is>
      </c>
      <c r="J178" s="22" t="inlineStr">
        <is>
          <t>CARGUEROS</t>
        </is>
      </c>
      <c r="K178" s="47" t="n">
        <v>0.975</v>
      </c>
      <c r="L178" s="17">
        <f>+K178-K177</f>
        <v/>
      </c>
      <c r="M178" s="49" t="inlineStr">
        <is>
          <t>LLEGADA CAMIONES TARDE ATRASANDO EL CARGUE,PERSONAL AGOTADO</t>
        </is>
      </c>
    </row>
    <row r="179" ht="15.75" customHeight="1">
      <c r="A179" s="46" t="n">
        <v>45682</v>
      </c>
      <c r="B179" s="10" t="n">
        <v>10</v>
      </c>
      <c r="C179" s="21" t="inlineStr">
        <is>
          <t>HUERTAS</t>
        </is>
      </c>
      <c r="D179" s="12" t="n">
        <v>3387</v>
      </c>
      <c r="E179" s="12" t="n">
        <v>324</v>
      </c>
      <c r="F179" s="13">
        <f>+D179/E179</f>
        <v/>
      </c>
      <c r="G179" s="25" t="n">
        <v>0.9166666666666666</v>
      </c>
      <c r="H179" s="22" t="n">
        <v>16</v>
      </c>
      <c r="I179" s="22" t="inlineStr">
        <is>
          <t>MANIGUA</t>
        </is>
      </c>
      <c r="J179" s="22" t="inlineStr">
        <is>
          <t>CARGUEROS</t>
        </is>
      </c>
      <c r="K179" s="47" t="n">
        <v>0.02291666666666667</v>
      </c>
      <c r="L179" s="17" t="n">
        <v>0.04444444444444445</v>
      </c>
      <c r="M179" s="49" t="inlineStr">
        <is>
          <t>14 HORAS DE TRABAJO DE CARGUE Y LE TOCO A ELBER LLAMAR CONDUCTORES</t>
        </is>
      </c>
    </row>
    <row r="180" ht="15.75" customHeight="1">
      <c r="A180" s="46" t="n">
        <v>45682</v>
      </c>
      <c r="B180" s="10" t="n">
        <v>11</v>
      </c>
      <c r="C180" s="21" t="inlineStr">
        <is>
          <t>HUERTAS</t>
        </is>
      </c>
      <c r="D180" s="12" t="n">
        <v>3110</v>
      </c>
      <c r="E180" s="12" t="n">
        <v>324</v>
      </c>
      <c r="F180" s="13">
        <f>+D180/E180</f>
        <v/>
      </c>
      <c r="G180" s="25" t="n">
        <v>0.9166666666666666</v>
      </c>
      <c r="H180" s="22" t="n">
        <v>16</v>
      </c>
      <c r="I180" s="22" t="inlineStr">
        <is>
          <t>MANIGUA</t>
        </is>
      </c>
      <c r="J180" s="22" t="inlineStr">
        <is>
          <t>CARGUEROS</t>
        </is>
      </c>
      <c r="K180" s="47" t="n">
        <v>0.05486111111111111</v>
      </c>
      <c r="L180" s="17">
        <f>+K180-K179</f>
        <v/>
      </c>
      <c r="M180" s="49" t="inlineStr">
        <is>
          <t>PARA QUE LLEGARAN A TIEMPO</t>
        </is>
      </c>
    </row>
    <row r="181" ht="15.75" customHeight="1">
      <c r="A181" s="46" t="n">
        <v>45682</v>
      </c>
      <c r="B181" s="10" t="n">
        <v>12</v>
      </c>
      <c r="C181" s="21" t="inlineStr">
        <is>
          <t>HUERTAS</t>
        </is>
      </c>
      <c r="D181" s="12" t="n">
        <v>3110</v>
      </c>
      <c r="E181" s="12" t="n">
        <v>324</v>
      </c>
      <c r="F181" s="13">
        <f>+D181/E181</f>
        <v/>
      </c>
      <c r="G181" s="25" t="n">
        <v>0.9166666666666666</v>
      </c>
      <c r="H181" s="22" t="n">
        <v>16</v>
      </c>
      <c r="I181" s="22" t="inlineStr">
        <is>
          <t>MANIGUA</t>
        </is>
      </c>
      <c r="J181" s="22" t="inlineStr">
        <is>
          <t>CARGUEROS</t>
        </is>
      </c>
      <c r="K181" s="47" t="n">
        <v>0.07916666666666666</v>
      </c>
      <c r="L181" s="17">
        <f>+K181-K180</f>
        <v/>
      </c>
      <c r="M181" s="48" t="n"/>
    </row>
    <row r="182" ht="15.75" customHeight="1">
      <c r="A182" s="46" t="n">
        <v>45682</v>
      </c>
      <c r="B182" s="10" t="n">
        <v>13</v>
      </c>
      <c r="C182" s="21" t="inlineStr">
        <is>
          <t>HUERTAS</t>
        </is>
      </c>
      <c r="D182" s="12" t="n">
        <v>3110</v>
      </c>
      <c r="E182" s="12" t="n">
        <v>324</v>
      </c>
      <c r="F182" s="13">
        <f>+D182/E182</f>
        <v/>
      </c>
      <c r="G182" s="25" t="n">
        <v>0.9166666666666666</v>
      </c>
      <c r="H182" s="22" t="n">
        <v>16</v>
      </c>
      <c r="I182" s="22" t="inlineStr">
        <is>
          <t>MANIGUA</t>
        </is>
      </c>
      <c r="J182" s="22" t="inlineStr">
        <is>
          <t>CARGUEROS</t>
        </is>
      </c>
      <c r="K182" s="47" t="n">
        <v>0.1083333333333333</v>
      </c>
      <c r="L182" s="17">
        <f>+K182-K181</f>
        <v/>
      </c>
      <c r="M182" s="48" t="n"/>
    </row>
    <row r="183" ht="15.75" customHeight="1">
      <c r="A183" s="46" t="n">
        <v>45682</v>
      </c>
      <c r="B183" s="10" t="n">
        <v>14</v>
      </c>
      <c r="C183" s="21" t="inlineStr">
        <is>
          <t>HUERTAS</t>
        </is>
      </c>
      <c r="D183" s="12" t="n">
        <v>3110</v>
      </c>
      <c r="E183" s="12" t="n">
        <v>324</v>
      </c>
      <c r="F183" s="13">
        <f>+D183/E183</f>
        <v/>
      </c>
      <c r="G183" s="25" t="n">
        <v>0.9166666666666666</v>
      </c>
      <c r="H183" s="22" t="n">
        <v>12</v>
      </c>
      <c r="I183" s="22" t="inlineStr">
        <is>
          <t>MANIGUA</t>
        </is>
      </c>
      <c r="J183" s="22" t="inlineStr">
        <is>
          <t>CARGUEROS</t>
        </is>
      </c>
      <c r="K183" s="47" t="n">
        <v>0.1465277777777778</v>
      </c>
      <c r="L183" s="17">
        <f>+K183-K182</f>
        <v/>
      </c>
      <c r="M183" s="48" t="n"/>
    </row>
    <row r="184" ht="15.75" customHeight="1">
      <c r="A184" s="46" t="n">
        <v>45682</v>
      </c>
      <c r="B184" s="10" t="n">
        <v>1</v>
      </c>
      <c r="C184" s="21" t="inlineStr">
        <is>
          <t>SAN JOSE</t>
        </is>
      </c>
      <c r="D184" s="12" t="n">
        <v>3092</v>
      </c>
      <c r="E184" s="12" t="n">
        <v>324</v>
      </c>
      <c r="F184" s="13">
        <f>+D184/E184</f>
        <v/>
      </c>
      <c r="G184" s="25" t="n">
        <v>0.1875</v>
      </c>
      <c r="H184" s="22" t="n">
        <v>10</v>
      </c>
      <c r="I184" s="22" t="inlineStr">
        <is>
          <t>MANIGUA</t>
        </is>
      </c>
      <c r="J184" s="22" t="inlineStr">
        <is>
          <t>ABONEROS</t>
        </is>
      </c>
      <c r="K184" s="47" t="n">
        <v>0.2583333333333334</v>
      </c>
      <c r="L184" s="17" t="n"/>
      <c r="M184" s="48" t="n"/>
    </row>
    <row r="185" ht="15.75" customHeight="1">
      <c r="A185" s="46" t="n">
        <v>45682</v>
      </c>
      <c r="B185" s="10" t="n">
        <v>2</v>
      </c>
      <c r="C185" s="21" t="inlineStr">
        <is>
          <t>SAN JOSE</t>
        </is>
      </c>
      <c r="D185" s="12" t="n">
        <v>3048</v>
      </c>
      <c r="E185" s="12" t="n">
        <v>324</v>
      </c>
      <c r="F185" s="13">
        <f>+D185/E185</f>
        <v/>
      </c>
      <c r="G185" s="25" t="n">
        <v>0.1875</v>
      </c>
      <c r="H185" s="22" t="n">
        <v>10</v>
      </c>
      <c r="I185" s="22" t="inlineStr">
        <is>
          <t>MANIGUA</t>
        </is>
      </c>
      <c r="J185" s="22" t="inlineStr">
        <is>
          <t>ABONEROS</t>
        </is>
      </c>
      <c r="K185" s="47" t="n">
        <v>0.29375</v>
      </c>
      <c r="L185" s="17" t="n"/>
      <c r="M185" s="48" t="n"/>
    </row>
    <row r="186" ht="15.75" customHeight="1">
      <c r="A186" s="50" t="n">
        <v>45682</v>
      </c>
      <c r="B186" s="51" t="n">
        <v>3</v>
      </c>
      <c r="C186" s="52" t="inlineStr">
        <is>
          <t>SAN JOSE</t>
        </is>
      </c>
      <c r="D186" s="53" t="n">
        <v>3048</v>
      </c>
      <c r="E186" s="53" t="n">
        <v>360</v>
      </c>
      <c r="F186" s="54">
        <f>+D186/E186</f>
        <v/>
      </c>
      <c r="G186" s="55" t="n">
        <v>0.1875</v>
      </c>
      <c r="H186" s="56" t="n">
        <v>10</v>
      </c>
      <c r="I186" s="56" t="inlineStr">
        <is>
          <t>MANIGUA</t>
        </is>
      </c>
      <c r="J186" s="56" t="inlineStr">
        <is>
          <t>ABONEROS</t>
        </is>
      </c>
      <c r="K186" s="57" t="n">
        <v>0.3388888888888889</v>
      </c>
      <c r="L186" s="58" t="n"/>
      <c r="M186" s="59" t="n"/>
    </row>
    <row r="187" ht="15.75" customHeight="1">
      <c r="A187" s="36" t="n">
        <v>45684</v>
      </c>
      <c r="B187" s="37" t="n">
        <v>1</v>
      </c>
      <c r="C187" s="38" t="inlineStr">
        <is>
          <t>SAN JOSE</t>
        </is>
      </c>
      <c r="D187" s="39" t="n">
        <v>3046</v>
      </c>
      <c r="E187" s="39" t="n">
        <v>324</v>
      </c>
      <c r="F187" s="40">
        <f>+D187/E187</f>
        <v/>
      </c>
      <c r="G187" s="41" t="n">
        <v>0.0625</v>
      </c>
      <c r="H187" s="42" t="n">
        <v>10</v>
      </c>
      <c r="I187" s="42" t="inlineStr">
        <is>
          <t>MANIGUA</t>
        </is>
      </c>
      <c r="J187" s="42" t="inlineStr">
        <is>
          <t>CARGUEROS</t>
        </is>
      </c>
      <c r="K187" s="43" t="n">
        <v>0.1506944444444444</v>
      </c>
      <c r="L187" s="44" t="n">
        <v>0.04652777777777778</v>
      </c>
      <c r="M187" s="45" t="n"/>
    </row>
    <row r="188" ht="15.75" customHeight="1">
      <c r="A188" s="46" t="n">
        <v>45684</v>
      </c>
      <c r="B188" s="10" t="n">
        <v>2</v>
      </c>
      <c r="C188" s="21" t="inlineStr">
        <is>
          <t>SAN JOSE</t>
        </is>
      </c>
      <c r="D188" s="12" t="n">
        <v>3046</v>
      </c>
      <c r="E188" s="12" t="n">
        <v>324</v>
      </c>
      <c r="F188" s="13">
        <f>+D188/E188</f>
        <v/>
      </c>
      <c r="G188" s="25" t="n">
        <v>0.0625</v>
      </c>
      <c r="H188" s="22" t="n">
        <v>10</v>
      </c>
      <c r="I188" s="22" t="inlineStr">
        <is>
          <t>MANIGUA</t>
        </is>
      </c>
      <c r="J188" s="22" t="inlineStr">
        <is>
          <t>CARGUEROS</t>
        </is>
      </c>
      <c r="K188" s="47" t="n">
        <v>0.1847222222222222</v>
      </c>
      <c r="L188" s="17">
        <f>+K188-K187</f>
        <v/>
      </c>
      <c r="M188" s="48" t="n"/>
    </row>
    <row r="189" ht="15.75" customHeight="1">
      <c r="A189" s="46" t="n">
        <v>45684</v>
      </c>
      <c r="B189" s="10" t="n">
        <v>3</v>
      </c>
      <c r="C189" s="21" t="inlineStr">
        <is>
          <t>SAN JOSE</t>
        </is>
      </c>
      <c r="D189" s="12" t="n">
        <v>3063</v>
      </c>
      <c r="E189" s="12" t="n">
        <v>360</v>
      </c>
      <c r="F189" s="13">
        <f>+D189/E189</f>
        <v/>
      </c>
      <c r="G189" s="66" t="n">
        <v>0.0625</v>
      </c>
      <c r="H189" s="22" t="n">
        <v>10</v>
      </c>
      <c r="I189" s="22" t="inlineStr">
        <is>
          <t>MANIGUA</t>
        </is>
      </c>
      <c r="J189" s="22" t="inlineStr">
        <is>
          <t>CARGUEROS</t>
        </is>
      </c>
      <c r="K189" s="47" t="n">
        <v>0.2319444444444445</v>
      </c>
      <c r="L189" s="17">
        <f>+K189-K188</f>
        <v/>
      </c>
      <c r="M189" s="48" t="n"/>
    </row>
    <row r="190" ht="15.75" customHeight="1">
      <c r="A190" s="67" t="n">
        <v>45684</v>
      </c>
      <c r="B190" s="27" t="n">
        <v>4</v>
      </c>
      <c r="C190" s="28" t="inlineStr">
        <is>
          <t>SAN JOSE</t>
        </is>
      </c>
      <c r="D190" s="29" t="n">
        <v>3063</v>
      </c>
      <c r="E190" s="29" t="n">
        <v>360</v>
      </c>
      <c r="F190" s="30">
        <f>+D190/E190</f>
        <v/>
      </c>
      <c r="G190" s="31" t="n">
        <v>0.0625</v>
      </c>
      <c r="H190" s="32" t="n">
        <v>10</v>
      </c>
      <c r="I190" s="32" t="inlineStr">
        <is>
          <t>MANIGUA</t>
        </is>
      </c>
      <c r="J190" s="32" t="inlineStr">
        <is>
          <t>CARGUEROS</t>
        </is>
      </c>
      <c r="K190" s="68" t="n">
        <v>0.275</v>
      </c>
      <c r="L190" s="34">
        <f>+K190-K189</f>
        <v/>
      </c>
      <c r="M190" s="69" t="n"/>
    </row>
    <row r="191" ht="15.75" customHeight="1">
      <c r="A191" s="36" t="n">
        <v>45686</v>
      </c>
      <c r="B191" s="37" t="n">
        <v>1</v>
      </c>
      <c r="C191" s="38" t="inlineStr">
        <is>
          <t>SAN JOSE</t>
        </is>
      </c>
      <c r="D191" s="39" t="n">
        <v>2683</v>
      </c>
      <c r="E191" s="39" t="n">
        <v>324</v>
      </c>
      <c r="F191" s="40">
        <f>+D191/E191</f>
        <v/>
      </c>
      <c r="G191" s="41" t="n">
        <v>0.08333333333333333</v>
      </c>
      <c r="H191" s="42" t="n">
        <v>10</v>
      </c>
      <c r="I191" s="42" t="inlineStr">
        <is>
          <t>MANIGUA</t>
        </is>
      </c>
      <c r="J191" s="42" t="inlineStr">
        <is>
          <t>CARGUEROS</t>
        </is>
      </c>
      <c r="K191" s="43" t="n">
        <v>0.1736111111111111</v>
      </c>
      <c r="L191" s="44" t="n">
        <v>0.04861111111111111</v>
      </c>
      <c r="M191" s="45" t="n"/>
    </row>
    <row r="192" ht="15.75" customHeight="1">
      <c r="A192" s="46" t="n">
        <v>45686</v>
      </c>
      <c r="B192" s="10" t="n">
        <v>2</v>
      </c>
      <c r="C192" s="21" t="inlineStr">
        <is>
          <t>SAN JOSE</t>
        </is>
      </c>
      <c r="D192" s="12" t="n">
        <v>2683</v>
      </c>
      <c r="E192" s="12" t="n">
        <v>324</v>
      </c>
      <c r="F192" s="13">
        <f>+D192/E192</f>
        <v/>
      </c>
      <c r="G192" s="25" t="n">
        <v>0.08333333333333333</v>
      </c>
      <c r="H192" s="22" t="n">
        <v>10</v>
      </c>
      <c r="I192" s="22" t="inlineStr">
        <is>
          <t>MANIGUA</t>
        </is>
      </c>
      <c r="J192" s="22" t="inlineStr">
        <is>
          <t>CARGUEROS</t>
        </is>
      </c>
      <c r="K192" s="47" t="n">
        <v>0.2125</v>
      </c>
      <c r="L192" s="17">
        <f>+K192-K191</f>
        <v/>
      </c>
      <c r="M192" s="48" t="n"/>
    </row>
    <row r="193" ht="15.75" customHeight="1">
      <c r="A193" s="46" t="n">
        <v>45686</v>
      </c>
      <c r="B193" s="10" t="n">
        <v>3</v>
      </c>
      <c r="C193" s="21" t="inlineStr">
        <is>
          <t>SAN JOSE</t>
        </is>
      </c>
      <c r="D193" s="12" t="n">
        <v>2683</v>
      </c>
      <c r="E193" s="12" t="n">
        <v>324</v>
      </c>
      <c r="F193" s="13">
        <f>+D193/E193</f>
        <v/>
      </c>
      <c r="G193" s="25" t="n">
        <v>0.08333333333333333</v>
      </c>
      <c r="H193" s="22" t="n">
        <v>10</v>
      </c>
      <c r="I193" s="22" t="inlineStr">
        <is>
          <t>MANIGUA</t>
        </is>
      </c>
      <c r="J193" s="22" t="inlineStr">
        <is>
          <t>CARGUEROS</t>
        </is>
      </c>
      <c r="K193" s="47" t="n">
        <v>0.25</v>
      </c>
      <c r="L193" s="17">
        <f>+K193-K192</f>
        <v/>
      </c>
      <c r="M193" s="48" t="n"/>
    </row>
    <row r="194" ht="15.75" customHeight="1">
      <c r="A194" s="46" t="n">
        <v>45686</v>
      </c>
      <c r="B194" s="10" t="n">
        <v>1</v>
      </c>
      <c r="C194" s="21" t="inlineStr">
        <is>
          <t>HUERTAS</t>
        </is>
      </c>
      <c r="D194" s="12" t="n">
        <v>2683</v>
      </c>
      <c r="E194" s="12" t="n">
        <v>324</v>
      </c>
      <c r="F194" s="13">
        <f>+D194/E194</f>
        <v/>
      </c>
      <c r="G194" s="25" t="n">
        <v>0.625</v>
      </c>
      <c r="H194" s="22" t="n">
        <v>12</v>
      </c>
      <c r="I194" s="22" t="inlineStr">
        <is>
          <t>BOGOTA</t>
        </is>
      </c>
      <c r="J194" s="22" t="inlineStr">
        <is>
          <t>CARGUEROS</t>
        </is>
      </c>
      <c r="K194" s="47" t="n"/>
      <c r="L194" s="17" t="n"/>
      <c r="M194" s="48" t="n"/>
    </row>
    <row r="195" ht="15.75" customHeight="1">
      <c r="A195" s="46" t="n">
        <v>45686</v>
      </c>
      <c r="B195" s="10" t="n">
        <v>2</v>
      </c>
      <c r="C195" s="21" t="inlineStr">
        <is>
          <t>HUERTAS</t>
        </is>
      </c>
      <c r="D195" s="12" t="n">
        <v>2683</v>
      </c>
      <c r="E195" s="12" t="n">
        <v>324</v>
      </c>
      <c r="F195" s="13">
        <f>+D195/E195</f>
        <v/>
      </c>
      <c r="G195" s="25" t="n">
        <v>0.625</v>
      </c>
      <c r="H195" s="22" t="n">
        <v>12</v>
      </c>
      <c r="I195" s="22" t="inlineStr">
        <is>
          <t>BOGOTA</t>
        </is>
      </c>
      <c r="J195" s="22" t="inlineStr">
        <is>
          <t>CARGUEROS</t>
        </is>
      </c>
      <c r="K195" s="47" t="n"/>
      <c r="L195" s="17" t="n"/>
      <c r="M195" s="48" t="n"/>
    </row>
    <row r="196" ht="15.75" customHeight="1">
      <c r="A196" s="50" t="n">
        <v>45686</v>
      </c>
      <c r="B196" s="51" t="n">
        <v>3</v>
      </c>
      <c r="C196" s="52" t="inlineStr">
        <is>
          <t>HUERTAS</t>
        </is>
      </c>
      <c r="D196" s="53" t="n">
        <v>2683</v>
      </c>
      <c r="E196" s="53" t="n">
        <v>324</v>
      </c>
      <c r="F196" s="54">
        <f>+D196/E196</f>
        <v/>
      </c>
      <c r="G196" s="55" t="n">
        <v>0.625</v>
      </c>
      <c r="H196" s="56" t="n">
        <v>12</v>
      </c>
      <c r="I196" s="56" t="inlineStr">
        <is>
          <t>BOGOTA</t>
        </is>
      </c>
      <c r="J196" s="56" t="inlineStr">
        <is>
          <t>CARGUEROS</t>
        </is>
      </c>
      <c r="K196" s="57" t="n"/>
      <c r="L196" s="58" t="n"/>
      <c r="M196" s="59" t="n"/>
    </row>
    <row r="197" ht="15.75" customHeight="1">
      <c r="A197" s="36" t="n">
        <v>45687</v>
      </c>
      <c r="B197" s="37" t="n">
        <v>1</v>
      </c>
      <c r="C197" s="38" t="inlineStr">
        <is>
          <t>SAN JOSE</t>
        </is>
      </c>
      <c r="D197" s="39" t="n">
        <v>3505</v>
      </c>
      <c r="E197" s="39" t="n">
        <v>324</v>
      </c>
      <c r="F197" s="40">
        <f>+D197/E197</f>
        <v/>
      </c>
      <c r="G197" s="41" t="n">
        <v>0.04166666666666666</v>
      </c>
      <c r="H197" s="42" t="n">
        <v>10</v>
      </c>
      <c r="I197" s="42" t="inlineStr">
        <is>
          <t>MANIGUA</t>
        </is>
      </c>
      <c r="J197" s="42" t="inlineStr">
        <is>
          <t>CARGUEROS</t>
        </is>
      </c>
      <c r="K197" s="43" t="n"/>
      <c r="L197" s="44" t="n"/>
      <c r="M197" s="45" t="n"/>
    </row>
    <row r="198" ht="15.75" customHeight="1">
      <c r="A198" s="46" t="n">
        <v>45687</v>
      </c>
      <c r="B198" s="10" t="n">
        <v>2</v>
      </c>
      <c r="C198" s="21" t="inlineStr">
        <is>
          <t>SAN JOSE</t>
        </is>
      </c>
      <c r="D198" s="12" t="n">
        <v>3505</v>
      </c>
      <c r="E198" s="12" t="n">
        <v>360</v>
      </c>
      <c r="F198" s="13">
        <f>+D198/E198</f>
        <v/>
      </c>
      <c r="G198" s="25" t="n">
        <v>0.04166666666666666</v>
      </c>
      <c r="H198" s="22" t="n">
        <v>10</v>
      </c>
      <c r="I198" s="22" t="inlineStr">
        <is>
          <t>MANIGUA</t>
        </is>
      </c>
      <c r="J198" s="22" t="inlineStr">
        <is>
          <t>CARGUEROS</t>
        </is>
      </c>
      <c r="K198" s="47" t="n"/>
      <c r="L198" s="17" t="n"/>
      <c r="M198" s="48" t="n"/>
    </row>
    <row r="199" ht="15.75" customHeight="1">
      <c r="A199" s="46" t="n">
        <v>45687</v>
      </c>
      <c r="B199" s="10" t="n">
        <v>3</v>
      </c>
      <c r="C199" s="21" t="inlineStr">
        <is>
          <t>SAN JOSE</t>
        </is>
      </c>
      <c r="D199" s="12" t="n">
        <v>3238</v>
      </c>
      <c r="E199" s="12" t="n">
        <v>324</v>
      </c>
      <c r="F199" s="13">
        <f>+D199/E199</f>
        <v/>
      </c>
      <c r="G199" s="25" t="n">
        <v>0.04166666666666666</v>
      </c>
      <c r="H199" s="22" t="n">
        <v>10</v>
      </c>
      <c r="I199" s="22" t="inlineStr">
        <is>
          <t>MANIGUA</t>
        </is>
      </c>
      <c r="J199" s="22" t="inlineStr">
        <is>
          <t>CARGUEROS</t>
        </is>
      </c>
      <c r="K199" s="47" t="n"/>
      <c r="L199" s="17" t="n"/>
      <c r="M199" s="48" t="n"/>
    </row>
    <row r="200" ht="15.75" customHeight="1">
      <c r="A200" s="46" t="n">
        <v>45687</v>
      </c>
      <c r="B200" s="10" t="n">
        <v>4</v>
      </c>
      <c r="C200" s="21" t="inlineStr">
        <is>
          <t>SAN JOSE</t>
        </is>
      </c>
      <c r="D200" s="12" t="n">
        <v>3238</v>
      </c>
      <c r="E200" s="12" t="n">
        <v>324</v>
      </c>
      <c r="F200" s="13">
        <f>+D200/E200</f>
        <v/>
      </c>
      <c r="G200" s="25" t="n">
        <v>0.04166666666666666</v>
      </c>
      <c r="H200" s="22" t="n">
        <v>10</v>
      </c>
      <c r="I200" s="22" t="inlineStr">
        <is>
          <t>MANIGUA</t>
        </is>
      </c>
      <c r="J200" s="22" t="inlineStr">
        <is>
          <t>CARGUEROS</t>
        </is>
      </c>
      <c r="K200" s="47" t="n"/>
      <c r="L200" s="17" t="n"/>
      <c r="M200" s="48" t="n"/>
    </row>
    <row r="201" ht="15.75" customHeight="1">
      <c r="A201" s="46" t="n">
        <v>45687</v>
      </c>
      <c r="B201" s="10" t="n">
        <v>1</v>
      </c>
      <c r="C201" s="21" t="inlineStr">
        <is>
          <t>HUERTAS</t>
        </is>
      </c>
      <c r="D201" s="12" t="n"/>
      <c r="E201" s="12" t="n"/>
      <c r="F201" s="13" t="n"/>
      <c r="G201" s="25" t="n">
        <v>0.625</v>
      </c>
      <c r="H201" s="22" t="n">
        <v>12</v>
      </c>
      <c r="I201" s="22" t="inlineStr">
        <is>
          <t>BOGOTA</t>
        </is>
      </c>
      <c r="J201" s="22" t="inlineStr">
        <is>
          <t>CARGUEROS</t>
        </is>
      </c>
      <c r="K201" s="47" t="n">
        <v>0.7520833333333333</v>
      </c>
      <c r="L201" s="17" t="n">
        <v>0.04375</v>
      </c>
      <c r="M201" s="48" t="n"/>
    </row>
    <row r="202" ht="15.75" customHeight="1">
      <c r="A202" s="46" t="n">
        <v>45687</v>
      </c>
      <c r="B202" s="10" t="n">
        <v>2</v>
      </c>
      <c r="C202" s="21" t="inlineStr">
        <is>
          <t>HUERTAS</t>
        </is>
      </c>
      <c r="D202" s="12" t="n"/>
      <c r="E202" s="12" t="n"/>
      <c r="F202" s="13" t="n"/>
      <c r="G202" s="25" t="n">
        <v>0.625</v>
      </c>
      <c r="H202" s="22" t="n">
        <v>12</v>
      </c>
      <c r="I202" s="22" t="inlineStr">
        <is>
          <t>BOGOTA</t>
        </is>
      </c>
      <c r="J202" s="22" t="inlineStr">
        <is>
          <t>CARGUEROS</t>
        </is>
      </c>
      <c r="K202" s="47" t="n">
        <v>0.8027777777777778</v>
      </c>
      <c r="L202" s="17" t="n"/>
      <c r="M202" s="48" t="n"/>
    </row>
    <row r="203" ht="15.75" customHeight="1">
      <c r="A203" s="46" t="n">
        <v>45687</v>
      </c>
      <c r="B203" s="10" t="n">
        <v>3</v>
      </c>
      <c r="C203" s="21" t="inlineStr">
        <is>
          <t>HUERTAS</t>
        </is>
      </c>
      <c r="D203" s="12" t="n"/>
      <c r="E203" s="12" t="n"/>
      <c r="F203" s="13" t="n"/>
      <c r="G203" s="25" t="n">
        <v>0.625</v>
      </c>
      <c r="H203" s="22" t="n">
        <v>12</v>
      </c>
      <c r="I203" s="22" t="inlineStr">
        <is>
          <t>BOGOTA</t>
        </is>
      </c>
      <c r="J203" s="22" t="inlineStr">
        <is>
          <t>CARGUEROS</t>
        </is>
      </c>
      <c r="K203" s="47" t="n">
        <v>0.8354166666666667</v>
      </c>
      <c r="L203" s="17" t="n"/>
      <c r="M203" s="49" t="inlineStr">
        <is>
          <t>LLEGADA CAMIONES TARDE ATRASANDO EL CARGUE 1 HORA</t>
        </is>
      </c>
    </row>
    <row r="204" ht="15.75" customHeight="1">
      <c r="A204" s="50" t="n">
        <v>45687</v>
      </c>
      <c r="B204" s="51" t="n">
        <v>4</v>
      </c>
      <c r="C204" s="52" t="inlineStr">
        <is>
          <t>HUERTAS</t>
        </is>
      </c>
      <c r="D204" s="53" t="n"/>
      <c r="E204" s="53" t="n"/>
      <c r="F204" s="54" t="n"/>
      <c r="G204" s="55" t="n">
        <v>0.625</v>
      </c>
      <c r="H204" s="56" t="n">
        <v>12</v>
      </c>
      <c r="I204" s="56" t="inlineStr">
        <is>
          <t>BOGOTA</t>
        </is>
      </c>
      <c r="J204" s="56" t="inlineStr">
        <is>
          <t>CARGUEROS</t>
        </is>
      </c>
      <c r="K204" s="57" t="n">
        <v>0.8770833333333333</v>
      </c>
      <c r="L204" s="58" t="n"/>
      <c r="M204" s="70" t="inlineStr">
        <is>
          <t xml:space="preserve">ESTABAN PROGRAMADOS 3 Y SALIERON 4 </t>
        </is>
      </c>
    </row>
    <row r="205" ht="15.75" customHeight="1">
      <c r="A205" s="36" t="n">
        <v>45688</v>
      </c>
      <c r="B205" s="37" t="n">
        <v>1</v>
      </c>
      <c r="C205" s="38" t="inlineStr">
        <is>
          <t>SAN JOSE</t>
        </is>
      </c>
      <c r="D205" s="39" t="n">
        <v>3239</v>
      </c>
      <c r="E205" s="39" t="n">
        <v>324</v>
      </c>
      <c r="F205" s="40">
        <f>+D205/E205</f>
        <v/>
      </c>
      <c r="G205" s="41" t="n">
        <v>0.9375</v>
      </c>
      <c r="H205" s="42" t="n">
        <v>12</v>
      </c>
      <c r="I205" s="42" t="inlineStr">
        <is>
          <t>MANIGUA</t>
        </is>
      </c>
      <c r="J205" s="41" t="inlineStr">
        <is>
          <t>CARGUEROS</t>
        </is>
      </c>
      <c r="K205" s="43" t="n">
        <v>0.02013888888888889</v>
      </c>
      <c r="L205" s="44" t="n">
        <v>0.04097222222222222</v>
      </c>
      <c r="M205" s="45" t="n"/>
    </row>
    <row r="206" ht="15.75" customHeight="1">
      <c r="A206" s="46" t="n">
        <v>45688</v>
      </c>
      <c r="B206" s="10" t="n">
        <v>2</v>
      </c>
      <c r="C206" s="21" t="inlineStr">
        <is>
          <t>SAN JOSE</t>
        </is>
      </c>
      <c r="D206" s="12" t="n">
        <v>3239</v>
      </c>
      <c r="E206" s="12" t="n">
        <v>324</v>
      </c>
      <c r="F206" s="13">
        <f>+D206/E206</f>
        <v/>
      </c>
      <c r="G206" s="25" t="n">
        <v>0.9375</v>
      </c>
      <c r="H206" s="22" t="n">
        <v>12</v>
      </c>
      <c r="I206" s="22" t="inlineStr">
        <is>
          <t>MANIGUA</t>
        </is>
      </c>
      <c r="J206" s="22" t="inlineStr">
        <is>
          <t>CARGUEROS</t>
        </is>
      </c>
      <c r="K206" s="47" t="n">
        <v>0.05069444444444444</v>
      </c>
      <c r="L206" s="17">
        <f>+K206-K205</f>
        <v/>
      </c>
      <c r="M206" s="48" t="n"/>
    </row>
    <row r="207" ht="15.75" customHeight="1">
      <c r="A207" s="46" t="n">
        <v>45688</v>
      </c>
      <c r="B207" s="10" t="n">
        <v>3</v>
      </c>
      <c r="C207" s="21" t="inlineStr">
        <is>
          <t>SAN JOSE</t>
        </is>
      </c>
      <c r="D207" s="12" t="n">
        <v>3239</v>
      </c>
      <c r="E207" s="12" t="n">
        <v>324</v>
      </c>
      <c r="F207" s="13">
        <f>+D207/E207</f>
        <v/>
      </c>
      <c r="G207" s="25" t="n">
        <v>0.9375</v>
      </c>
      <c r="H207" s="22" t="n">
        <v>12</v>
      </c>
      <c r="I207" s="22" t="inlineStr">
        <is>
          <t>MANIGUA</t>
        </is>
      </c>
      <c r="J207" s="22" t="inlineStr">
        <is>
          <t>CARGUEROS</t>
        </is>
      </c>
      <c r="K207" s="47" t="n">
        <v>0.08333333333333333</v>
      </c>
      <c r="L207" s="17">
        <f>+K207-K206</f>
        <v/>
      </c>
      <c r="M207" s="48" t="n"/>
    </row>
    <row r="208" ht="15.75" customHeight="1">
      <c r="A208" s="46" t="n">
        <v>45688</v>
      </c>
      <c r="B208" s="10" t="n">
        <v>4</v>
      </c>
      <c r="C208" s="21" t="inlineStr">
        <is>
          <t>SAN JOSE</t>
        </is>
      </c>
      <c r="D208" s="12" t="n">
        <v>3239</v>
      </c>
      <c r="E208" s="12" t="n">
        <v>324</v>
      </c>
      <c r="F208" s="13">
        <f>+D208/E208</f>
        <v/>
      </c>
      <c r="G208" s="25" t="n">
        <v>0.9375</v>
      </c>
      <c r="H208" s="22" t="n">
        <v>12</v>
      </c>
      <c r="I208" s="22" t="inlineStr">
        <is>
          <t>MANIGUA</t>
        </is>
      </c>
      <c r="J208" s="22" t="inlineStr">
        <is>
          <t>CARGUEROS</t>
        </is>
      </c>
      <c r="K208" s="47" t="n">
        <v>0.1215277777777778</v>
      </c>
      <c r="L208" s="17">
        <f>+K208-K207</f>
        <v/>
      </c>
      <c r="M208" s="48" t="n"/>
    </row>
    <row r="209" ht="15.75" customHeight="1">
      <c r="A209" s="46" t="n">
        <v>45688</v>
      </c>
      <c r="B209" s="10" t="n">
        <v>5</v>
      </c>
      <c r="C209" s="21" t="inlineStr">
        <is>
          <t>SAN JOSE</t>
        </is>
      </c>
      <c r="D209" s="12" t="n">
        <v>3239</v>
      </c>
      <c r="E209" s="12" t="n">
        <v>324</v>
      </c>
      <c r="F209" s="13">
        <f>+D209/E209</f>
        <v/>
      </c>
      <c r="G209" s="25" t="n">
        <v>0.9375</v>
      </c>
      <c r="H209" s="22" t="n">
        <v>12</v>
      </c>
      <c r="I209" s="22" t="inlineStr">
        <is>
          <t>MANIGUA</t>
        </is>
      </c>
      <c r="J209" s="22" t="inlineStr">
        <is>
          <t>CARGUEROS</t>
        </is>
      </c>
      <c r="K209" s="47" t="n">
        <v>0.1548611111111111</v>
      </c>
      <c r="L209" s="17">
        <f>+K209-K208</f>
        <v/>
      </c>
      <c r="M209" s="48" t="n"/>
    </row>
    <row r="210" ht="15.75" customHeight="1">
      <c r="A210" s="46" t="n">
        <v>45688</v>
      </c>
      <c r="B210" s="10" t="n">
        <v>6</v>
      </c>
      <c r="C210" s="21" t="inlineStr">
        <is>
          <t>SAN JOSE</t>
        </is>
      </c>
      <c r="D210" s="12" t="n">
        <v>3239</v>
      </c>
      <c r="E210" s="12" t="n">
        <v>324</v>
      </c>
      <c r="F210" s="13">
        <f>+D210/E210</f>
        <v/>
      </c>
      <c r="G210" s="25" t="n">
        <v>0.9375</v>
      </c>
      <c r="H210" s="22" t="n">
        <v>12</v>
      </c>
      <c r="I210" s="22" t="inlineStr">
        <is>
          <t>MANIGUA</t>
        </is>
      </c>
      <c r="J210" s="22" t="inlineStr">
        <is>
          <t>CARGUEROS</t>
        </is>
      </c>
      <c r="K210" s="47" t="n">
        <v>0.1930555555555556</v>
      </c>
      <c r="L210" s="17">
        <f>+K210-K209</f>
        <v/>
      </c>
      <c r="M210" s="48" t="n"/>
    </row>
    <row r="211" ht="15.75" customHeight="1">
      <c r="A211" s="46" t="n">
        <v>45688</v>
      </c>
      <c r="B211" s="10" t="n">
        <v>7</v>
      </c>
      <c r="C211" s="21" t="inlineStr">
        <is>
          <t>SAN JOSE</t>
        </is>
      </c>
      <c r="D211" s="12" t="n">
        <v>3023</v>
      </c>
      <c r="E211" s="12" t="n">
        <v>360</v>
      </c>
      <c r="F211" s="13">
        <f>+D211/E211</f>
        <v/>
      </c>
      <c r="G211" s="25" t="n">
        <v>0.9375</v>
      </c>
      <c r="H211" s="22" t="n">
        <v>12</v>
      </c>
      <c r="I211" s="22" t="inlineStr">
        <is>
          <t>MANIGUA</t>
        </is>
      </c>
      <c r="J211" s="22" t="inlineStr">
        <is>
          <t>CARGUEROS</t>
        </is>
      </c>
      <c r="K211" s="47" t="n">
        <v>0.2388888888888889</v>
      </c>
      <c r="L211" s="17">
        <f>+K211-K210</f>
        <v/>
      </c>
      <c r="M211" s="48" t="n"/>
    </row>
    <row r="212" ht="15.75" customHeight="1">
      <c r="A212" s="46" t="n">
        <v>45688</v>
      </c>
      <c r="B212" s="10" t="n">
        <v>8</v>
      </c>
      <c r="C212" s="21" t="inlineStr">
        <is>
          <t>SAN JOSE</t>
        </is>
      </c>
      <c r="D212" s="12" t="n">
        <v>3023</v>
      </c>
      <c r="E212" s="12" t="n">
        <v>360</v>
      </c>
      <c r="F212" s="13">
        <f>+D212/E212</f>
        <v/>
      </c>
      <c r="G212" s="25" t="n">
        <v>0.9375</v>
      </c>
      <c r="H212" s="22" t="n">
        <v>12</v>
      </c>
      <c r="I212" s="22" t="inlineStr">
        <is>
          <t>MANIGUA</t>
        </is>
      </c>
      <c r="J212" s="22" t="inlineStr">
        <is>
          <t>CARGUEROS</t>
        </is>
      </c>
      <c r="K212" s="47" t="n">
        <v>0.2736111111111111</v>
      </c>
      <c r="L212" s="17">
        <f>+K212-K211</f>
        <v/>
      </c>
      <c r="M212" s="48" t="n"/>
    </row>
    <row r="213" ht="15.75" customHeight="1">
      <c r="A213" s="50" t="n">
        <v>45688</v>
      </c>
      <c r="B213" s="51" t="n">
        <v>9</v>
      </c>
      <c r="C213" s="52" t="inlineStr">
        <is>
          <t>SAN JOSE</t>
        </is>
      </c>
      <c r="D213" s="53" t="n">
        <v>3218</v>
      </c>
      <c r="E213" s="53" t="n">
        <v>324</v>
      </c>
      <c r="F213" s="54">
        <f>+D213/E213</f>
        <v/>
      </c>
      <c r="G213" s="55" t="n">
        <v>0.9375</v>
      </c>
      <c r="H213" s="56" t="n">
        <v>12</v>
      </c>
      <c r="I213" s="56" t="inlineStr">
        <is>
          <t>MANIGUA</t>
        </is>
      </c>
      <c r="J213" s="56" t="inlineStr">
        <is>
          <t>CARGUEROS</t>
        </is>
      </c>
      <c r="K213" s="57" t="n">
        <v>0.3097222222222222</v>
      </c>
      <c r="L213" s="58">
        <f>+K213-K212</f>
        <v/>
      </c>
      <c r="M213" s="59" t="n"/>
    </row>
    <row r="214" ht="15.75" customHeight="1">
      <c r="A214" s="71" t="n"/>
      <c r="B214" s="72" t="n"/>
      <c r="C214" s="73" t="n"/>
      <c r="D214" s="74" t="n"/>
      <c r="E214" s="74" t="n"/>
      <c r="F214" s="75" t="n"/>
      <c r="G214" s="76" t="n"/>
      <c r="H214" s="77" t="n"/>
      <c r="I214" s="77" t="n"/>
      <c r="J214" s="77" t="n"/>
      <c r="K214" s="78" t="n"/>
      <c r="L214" s="79" t="n"/>
      <c r="M214" s="80" t="n"/>
    </row>
    <row r="215" ht="15.75" customHeight="1">
      <c r="A215" s="36" t="n">
        <v>45689</v>
      </c>
      <c r="B215" s="37" t="n">
        <v>1</v>
      </c>
      <c r="C215" s="38" t="inlineStr">
        <is>
          <t>SAN JOSE</t>
        </is>
      </c>
      <c r="D215" s="39" t="n">
        <v>3121</v>
      </c>
      <c r="E215" s="39" t="n">
        <v>324</v>
      </c>
      <c r="F215" s="40">
        <f>+D215/E215</f>
        <v/>
      </c>
      <c r="G215" s="41" t="n">
        <v>0.9375</v>
      </c>
      <c r="H215" s="42" t="n">
        <v>12</v>
      </c>
      <c r="I215" s="42" t="inlineStr">
        <is>
          <t>MANIGUA</t>
        </is>
      </c>
      <c r="J215" s="42" t="inlineStr">
        <is>
          <t>CARGUEROS</t>
        </is>
      </c>
      <c r="K215" s="43" t="n">
        <v>0.03541666666666667</v>
      </c>
      <c r="L215" s="44" t="n">
        <v>0.04861111111111111</v>
      </c>
      <c r="M215" s="45" t="n"/>
    </row>
    <row r="216" ht="15.75" customHeight="1">
      <c r="A216" s="46" t="n">
        <v>45689</v>
      </c>
      <c r="B216" s="10" t="n">
        <v>2</v>
      </c>
      <c r="C216" s="21" t="inlineStr">
        <is>
          <t>SAN JOSE</t>
        </is>
      </c>
      <c r="D216" s="12" t="n">
        <v>3121</v>
      </c>
      <c r="E216" s="81" t="n">
        <v>324</v>
      </c>
      <c r="F216" s="13">
        <f>+D216/E216</f>
        <v/>
      </c>
      <c r="G216" s="66" t="n">
        <v>0.9375</v>
      </c>
      <c r="H216" s="22" t="n">
        <v>12</v>
      </c>
      <c r="I216" s="22" t="inlineStr">
        <is>
          <t>MANIGUA</t>
        </is>
      </c>
      <c r="J216" s="22" t="inlineStr">
        <is>
          <t>CARGUEROS</t>
        </is>
      </c>
      <c r="K216" s="47" t="n">
        <v>0.06666666666666667</v>
      </c>
      <c r="L216" s="17">
        <f>+K216-K215</f>
        <v/>
      </c>
      <c r="M216" s="48" t="n"/>
    </row>
    <row r="217" ht="15.75" customHeight="1">
      <c r="A217" s="46" t="n">
        <v>45689</v>
      </c>
      <c r="B217" s="10" t="n">
        <v>3</v>
      </c>
      <c r="C217" s="21" t="inlineStr">
        <is>
          <t>SAN JOSE</t>
        </is>
      </c>
      <c r="D217" s="12" t="n">
        <v>3121</v>
      </c>
      <c r="E217" s="81" t="n">
        <v>324</v>
      </c>
      <c r="F217" s="13">
        <f>+D217/E217</f>
        <v/>
      </c>
      <c r="G217" s="66" t="n">
        <v>0.9375</v>
      </c>
      <c r="H217" s="22" t="n">
        <v>12</v>
      </c>
      <c r="I217" s="22" t="inlineStr">
        <is>
          <t>MANIGUA</t>
        </is>
      </c>
      <c r="J217" s="22" t="inlineStr">
        <is>
          <t>CARGUEROS</t>
        </is>
      </c>
      <c r="K217" s="47" t="n">
        <v>0.1076388888888889</v>
      </c>
      <c r="L217" s="17">
        <f>+K217-K216</f>
        <v/>
      </c>
      <c r="M217" s="48" t="n"/>
    </row>
    <row r="218" ht="15.75" customHeight="1">
      <c r="A218" s="46" t="n">
        <v>45689</v>
      </c>
      <c r="B218" s="10" t="n">
        <v>4</v>
      </c>
      <c r="C218" s="21" t="inlineStr">
        <is>
          <t>SAN JOSE</t>
        </is>
      </c>
      <c r="D218" s="12" t="n">
        <v>3288</v>
      </c>
      <c r="E218" s="81" t="n">
        <v>324</v>
      </c>
      <c r="F218" s="13">
        <f>+D218/E218</f>
        <v/>
      </c>
      <c r="G218" s="66" t="n">
        <v>0.9375</v>
      </c>
      <c r="H218" s="22" t="n">
        <v>12</v>
      </c>
      <c r="I218" s="22" t="inlineStr">
        <is>
          <t>MANIGUA</t>
        </is>
      </c>
      <c r="J218" s="22" t="inlineStr">
        <is>
          <t>CARGUEROS</t>
        </is>
      </c>
      <c r="K218" s="47" t="n">
        <v>0.1534722222222222</v>
      </c>
      <c r="L218" s="17">
        <f>+K218-K217</f>
        <v/>
      </c>
      <c r="M218" s="48" t="n"/>
    </row>
    <row r="219" ht="15.75" customHeight="1">
      <c r="A219" s="46" t="n">
        <v>45689</v>
      </c>
      <c r="B219" s="10" t="n">
        <v>5</v>
      </c>
      <c r="C219" s="21" t="inlineStr">
        <is>
          <t>SAN JOSE</t>
        </is>
      </c>
      <c r="D219" s="12" t="n">
        <v>3288</v>
      </c>
      <c r="E219" s="81" t="n">
        <v>324</v>
      </c>
      <c r="F219" s="13">
        <f>+D219/E219</f>
        <v/>
      </c>
      <c r="G219" s="66" t="n">
        <v>0.9375</v>
      </c>
      <c r="H219" s="22" t="n">
        <v>12</v>
      </c>
      <c r="I219" s="22" t="inlineStr">
        <is>
          <t>MANIGUA</t>
        </is>
      </c>
      <c r="J219" s="22" t="inlineStr">
        <is>
          <t>CARGUEROS</t>
        </is>
      </c>
      <c r="K219" s="47" t="n">
        <v>0.1958333333333333</v>
      </c>
      <c r="L219" s="17">
        <f>+K219-K218</f>
        <v/>
      </c>
      <c r="M219" s="48" t="n"/>
    </row>
    <row r="220" ht="15.75" customHeight="1">
      <c r="A220" s="46" t="n">
        <v>45689</v>
      </c>
      <c r="B220" s="10" t="n">
        <v>6</v>
      </c>
      <c r="C220" s="21" t="inlineStr">
        <is>
          <t>SAN JOSE</t>
        </is>
      </c>
      <c r="D220" s="12" t="n">
        <v>2676</v>
      </c>
      <c r="E220" s="12" t="n">
        <v>360</v>
      </c>
      <c r="F220" s="13">
        <f>+D220/E220</f>
        <v/>
      </c>
      <c r="G220" s="66" t="n">
        <v>0.9375</v>
      </c>
      <c r="H220" s="22" t="n">
        <v>12</v>
      </c>
      <c r="I220" s="22" t="inlineStr">
        <is>
          <t>MANIGUA</t>
        </is>
      </c>
      <c r="J220" s="22" t="inlineStr">
        <is>
          <t>CARGUEROS</t>
        </is>
      </c>
      <c r="K220" s="47" t="n">
        <v>0.2215277777777778</v>
      </c>
      <c r="L220" s="17">
        <f>+K220-K219</f>
        <v/>
      </c>
      <c r="M220" s="48" t="n"/>
    </row>
    <row r="221" ht="15.75" customHeight="1">
      <c r="A221" s="50" t="n">
        <v>45689</v>
      </c>
      <c r="B221" s="51" t="n">
        <v>7</v>
      </c>
      <c r="C221" s="52" t="inlineStr">
        <is>
          <t>SAN JOSE</t>
        </is>
      </c>
      <c r="D221" s="53" t="n">
        <v>2676</v>
      </c>
      <c r="E221" s="53" t="n">
        <v>324</v>
      </c>
      <c r="F221" s="54">
        <f>+D221/E221</f>
        <v/>
      </c>
      <c r="G221" s="82" t="n">
        <v>0.9375</v>
      </c>
      <c r="H221" s="56" t="n">
        <v>12</v>
      </c>
      <c r="I221" s="56" t="inlineStr">
        <is>
          <t>MANIGUA</t>
        </is>
      </c>
      <c r="J221" s="56" t="inlineStr">
        <is>
          <t>CARGUEROS</t>
        </is>
      </c>
      <c r="K221" s="57" t="n">
        <v>0.2625</v>
      </c>
      <c r="L221" s="58">
        <f>+K221-K220</f>
        <v/>
      </c>
      <c r="M221" s="59" t="n"/>
    </row>
    <row r="222" ht="15.75" customHeight="1">
      <c r="A222" s="36" t="n">
        <v>45691</v>
      </c>
      <c r="B222" s="37" t="n">
        <v>1</v>
      </c>
      <c r="C222" s="38" t="inlineStr">
        <is>
          <t>HUERTAS</t>
        </is>
      </c>
      <c r="D222" s="39" t="n">
        <v>3200</v>
      </c>
      <c r="E222" s="39" t="n">
        <v>324</v>
      </c>
      <c r="F222" s="40">
        <f>+D222/E222</f>
        <v/>
      </c>
      <c r="G222" s="41" t="n">
        <v>0</v>
      </c>
      <c r="H222" s="42" t="n">
        <v>8</v>
      </c>
      <c r="I222" s="42" t="inlineStr">
        <is>
          <t>MANIGUA</t>
        </is>
      </c>
      <c r="J222" s="42" t="inlineStr">
        <is>
          <t>ABONEROS</t>
        </is>
      </c>
      <c r="K222" s="43" t="n">
        <v>0.1145833333333333</v>
      </c>
      <c r="L222" s="83" t="n">
        <v>0.07291666666666667</v>
      </c>
      <c r="M222" s="63" t="inlineStr">
        <is>
          <t>2 horas extras por pollo disparejo, mal separacion de pollo, toco manoteo o</t>
        </is>
      </c>
    </row>
    <row r="223" ht="15.75" customHeight="1">
      <c r="A223" s="46" t="n">
        <v>45691</v>
      </c>
      <c r="B223" s="10" t="n">
        <v>2</v>
      </c>
      <c r="C223" s="21" t="inlineStr">
        <is>
          <t>HUERTAS</t>
        </is>
      </c>
      <c r="D223" s="12" t="n">
        <v>3200</v>
      </c>
      <c r="E223" s="12" t="n">
        <v>324</v>
      </c>
      <c r="F223" s="13">
        <f>+D223/E223</f>
        <v/>
      </c>
      <c r="G223" s="25" t="n">
        <v>0</v>
      </c>
      <c r="H223" s="22" t="n">
        <v>8</v>
      </c>
      <c r="I223" s="22" t="inlineStr">
        <is>
          <t>MANIGUA</t>
        </is>
      </c>
      <c r="J223" s="22" t="inlineStr">
        <is>
          <t>ABONEROS</t>
        </is>
      </c>
      <c r="K223" s="47" t="n">
        <v>0.1875</v>
      </c>
      <c r="L223" s="84">
        <f>+K223-K222</f>
        <v/>
      </c>
      <c r="M223" s="49" t="inlineStr">
        <is>
          <t>selección</t>
        </is>
      </c>
    </row>
    <row r="224" ht="15.75" customHeight="1">
      <c r="A224" s="46" t="n">
        <v>45691</v>
      </c>
      <c r="B224" s="10" t="n">
        <v>1</v>
      </c>
      <c r="C224" s="21" t="inlineStr">
        <is>
          <t>SAN JOSE</t>
        </is>
      </c>
      <c r="D224" s="12" t="n">
        <v>2833</v>
      </c>
      <c r="E224" s="12" t="n">
        <v>324</v>
      </c>
      <c r="F224" s="13">
        <f>+D224/E224</f>
        <v/>
      </c>
      <c r="G224" s="25" t="n">
        <v>0.875</v>
      </c>
      <c r="H224" s="22" t="n">
        <v>10</v>
      </c>
      <c r="I224" s="22" t="inlineStr">
        <is>
          <t>MANIGUA</t>
        </is>
      </c>
      <c r="J224" s="22" t="inlineStr">
        <is>
          <t>CARGUEROS</t>
        </is>
      </c>
      <c r="K224" s="85" t="n">
        <v>0.9513888888888888</v>
      </c>
      <c r="L224" s="17" t="n">
        <v>0.03472222222222222</v>
      </c>
      <c r="M224" s="48" t="n"/>
    </row>
    <row r="225" ht="15.75" customHeight="1">
      <c r="A225" s="46" t="n">
        <v>45691</v>
      </c>
      <c r="B225" s="10" t="n">
        <v>2</v>
      </c>
      <c r="C225" s="21" t="inlineStr">
        <is>
          <t>SAN JOSE</t>
        </is>
      </c>
      <c r="D225" s="12" t="n">
        <v>2833</v>
      </c>
      <c r="E225" s="12" t="n">
        <v>360</v>
      </c>
      <c r="F225" s="13">
        <f>+D225/E225</f>
        <v/>
      </c>
      <c r="G225" s="25" t="n">
        <v>0.875</v>
      </c>
      <c r="H225" s="22" t="n">
        <v>10</v>
      </c>
      <c r="I225" s="22" t="inlineStr">
        <is>
          <t>MANIGUA</t>
        </is>
      </c>
      <c r="J225" s="22" t="inlineStr">
        <is>
          <t>CARGUEROS</t>
        </is>
      </c>
      <c r="K225" s="85" t="n">
        <v>0.9868055555555556</v>
      </c>
      <c r="L225" s="17">
        <f>+K225-K224</f>
        <v/>
      </c>
      <c r="M225" s="48" t="n"/>
    </row>
    <row r="226" ht="15.75" customHeight="1">
      <c r="A226" s="46" t="n">
        <v>45691</v>
      </c>
      <c r="B226" s="10" t="n">
        <v>3</v>
      </c>
      <c r="C226" s="21" t="inlineStr">
        <is>
          <t>SAN JOSE</t>
        </is>
      </c>
      <c r="D226" s="12" t="n">
        <v>2833</v>
      </c>
      <c r="E226" s="12" t="n">
        <v>324</v>
      </c>
      <c r="F226" s="13">
        <f>+D226/E226</f>
        <v/>
      </c>
      <c r="G226" s="25" t="n">
        <v>0.875</v>
      </c>
      <c r="H226" s="22" t="n">
        <v>10</v>
      </c>
      <c r="I226" s="22" t="inlineStr">
        <is>
          <t>MANIGUA</t>
        </is>
      </c>
      <c r="J226" s="22" t="inlineStr">
        <is>
          <t>CARGUEROS</t>
        </is>
      </c>
      <c r="K226" s="47" t="n">
        <v>0.01736111111111111</v>
      </c>
      <c r="L226" s="17" t="n">
        <v>0.03125</v>
      </c>
      <c r="M226" s="48" t="n"/>
    </row>
    <row r="227" ht="15.75" customHeight="1">
      <c r="A227" s="46" t="n">
        <v>45691</v>
      </c>
      <c r="B227" s="10" t="n">
        <v>4</v>
      </c>
      <c r="C227" s="21" t="inlineStr">
        <is>
          <t>SAN JOSE</t>
        </is>
      </c>
      <c r="D227" s="12" t="n">
        <v>2833</v>
      </c>
      <c r="E227" s="12" t="n">
        <v>360</v>
      </c>
      <c r="F227" s="13">
        <f>+D227/E227</f>
        <v/>
      </c>
      <c r="G227" s="25" t="n">
        <v>0.875</v>
      </c>
      <c r="H227" s="22" t="n">
        <v>10</v>
      </c>
      <c r="I227" s="22" t="inlineStr">
        <is>
          <t>MANIGUA</t>
        </is>
      </c>
      <c r="J227" s="22" t="inlineStr">
        <is>
          <t>CARGUEROS</t>
        </is>
      </c>
      <c r="K227" s="47" t="n">
        <v>0.04166666666666666</v>
      </c>
      <c r="L227" s="17">
        <f>+K227-K226</f>
        <v/>
      </c>
      <c r="M227" s="48" t="n"/>
    </row>
    <row r="228" ht="15.75" customHeight="1">
      <c r="A228" s="46" t="n">
        <v>45691</v>
      </c>
      <c r="B228" s="10" t="n">
        <v>5</v>
      </c>
      <c r="C228" s="21" t="inlineStr">
        <is>
          <t>SAN JOSE</t>
        </is>
      </c>
      <c r="D228" s="12" t="n">
        <v>3582</v>
      </c>
      <c r="E228" s="12" t="n">
        <v>324</v>
      </c>
      <c r="F228" s="13">
        <f>+D228/E228</f>
        <v/>
      </c>
      <c r="G228" s="25" t="n">
        <v>0.875</v>
      </c>
      <c r="H228" s="22" t="n">
        <v>10</v>
      </c>
      <c r="I228" s="22" t="inlineStr">
        <is>
          <t>MANIGUA</t>
        </is>
      </c>
      <c r="J228" s="22" t="inlineStr">
        <is>
          <t>CARGUEROS</t>
        </is>
      </c>
      <c r="K228" s="47" t="n">
        <v>0.08680555555555555</v>
      </c>
      <c r="L228" s="17">
        <f>+K228-K227</f>
        <v/>
      </c>
      <c r="M228" s="48" t="n"/>
    </row>
    <row r="229" ht="15.75" customHeight="1">
      <c r="A229" s="46" t="n">
        <v>45691</v>
      </c>
      <c r="B229" s="10" t="n">
        <v>6</v>
      </c>
      <c r="C229" s="21" t="inlineStr">
        <is>
          <t>SAN JOSE</t>
        </is>
      </c>
      <c r="D229" s="12" t="n">
        <v>3582</v>
      </c>
      <c r="E229" s="12" t="n">
        <v>324</v>
      </c>
      <c r="F229" s="13">
        <f>+D229/E229</f>
        <v/>
      </c>
      <c r="G229" s="25" t="n">
        <v>0.875</v>
      </c>
      <c r="H229" s="22" t="n">
        <v>10</v>
      </c>
      <c r="I229" s="22" t="inlineStr">
        <is>
          <t>MANIGUA</t>
        </is>
      </c>
      <c r="J229" s="22" t="inlineStr">
        <is>
          <t>CARGUEROS</t>
        </is>
      </c>
      <c r="K229" s="47" t="n">
        <v>0.1215277777777778</v>
      </c>
      <c r="L229" s="17">
        <f>+K229-K228</f>
        <v/>
      </c>
      <c r="M229" s="48" t="n"/>
    </row>
    <row r="230" ht="15.75" customHeight="1">
      <c r="A230" s="46" t="n">
        <v>45691</v>
      </c>
      <c r="B230" s="10" t="n">
        <v>7</v>
      </c>
      <c r="C230" s="21" t="inlineStr">
        <is>
          <t>SAN JOSE</t>
        </is>
      </c>
      <c r="D230" s="12" t="n">
        <v>2702</v>
      </c>
      <c r="E230" s="12" t="n">
        <v>324</v>
      </c>
      <c r="F230" s="13">
        <f>+D230/E230</f>
        <v/>
      </c>
      <c r="G230" s="25" t="n">
        <v>0.875</v>
      </c>
      <c r="H230" s="22" t="n">
        <v>10</v>
      </c>
      <c r="I230" s="22" t="inlineStr">
        <is>
          <t>MANIGUA</t>
        </is>
      </c>
      <c r="J230" s="22" t="inlineStr">
        <is>
          <t>CARGUEROS</t>
        </is>
      </c>
      <c r="K230" s="47" t="n">
        <v>0.1555555555555556</v>
      </c>
      <c r="L230" s="17">
        <f>+K230-K229</f>
        <v/>
      </c>
      <c r="M230" s="48" t="n"/>
    </row>
    <row r="231" ht="15.75" customHeight="1">
      <c r="A231" s="50" t="n">
        <v>45691</v>
      </c>
      <c r="B231" s="51" t="n">
        <v>2</v>
      </c>
      <c r="C231" s="52" t="inlineStr">
        <is>
          <t>SAN JOSE</t>
        </is>
      </c>
      <c r="D231" s="53" t="n">
        <v>2702</v>
      </c>
      <c r="E231" s="53" t="n">
        <v>324</v>
      </c>
      <c r="F231" s="54">
        <f>+D231/E231</f>
        <v/>
      </c>
      <c r="G231" s="55" t="n">
        <v>0.875</v>
      </c>
      <c r="H231" s="56" t="n">
        <v>10</v>
      </c>
      <c r="I231" s="56" t="inlineStr">
        <is>
          <t>MANIGUA</t>
        </is>
      </c>
      <c r="J231" s="56" t="inlineStr">
        <is>
          <t>CARGUEROS</t>
        </is>
      </c>
      <c r="K231" s="57" t="n">
        <v>0.1972222222222222</v>
      </c>
      <c r="L231" s="58">
        <f>+K231-K230</f>
        <v/>
      </c>
      <c r="M231" s="59" t="n"/>
    </row>
    <row r="232" ht="15.75" customHeight="1">
      <c r="A232" s="36" t="n">
        <v>45692</v>
      </c>
      <c r="B232" s="37" t="n">
        <v>1</v>
      </c>
      <c r="C232" s="38" t="inlineStr">
        <is>
          <t>GARCERAS</t>
        </is>
      </c>
      <c r="D232" s="39" t="n">
        <v>3633</v>
      </c>
      <c r="E232" s="39" t="n">
        <v>324</v>
      </c>
      <c r="F232" s="40">
        <f>+D232/E232</f>
        <v/>
      </c>
      <c r="G232" s="41" t="n">
        <v>0.125</v>
      </c>
      <c r="H232" s="42" t="n">
        <v>10</v>
      </c>
      <c r="I232" s="42" t="inlineStr">
        <is>
          <t>MANIGUA</t>
        </is>
      </c>
      <c r="J232" s="42" t="inlineStr">
        <is>
          <t>CARGUEROS</t>
        </is>
      </c>
      <c r="K232" s="62" t="n"/>
      <c r="L232" s="44" t="n"/>
      <c r="M232" s="45" t="n"/>
    </row>
    <row r="233" ht="15.75" customHeight="1">
      <c r="A233" s="86" t="n">
        <v>45692</v>
      </c>
      <c r="B233" s="87" t="n">
        <v>2</v>
      </c>
      <c r="C233" s="88" t="inlineStr">
        <is>
          <t>GARCERAS</t>
        </is>
      </c>
      <c r="D233" s="81" t="n">
        <v>3025</v>
      </c>
      <c r="E233" s="81" t="n">
        <v>324</v>
      </c>
      <c r="F233" s="13">
        <f>+D233/E233</f>
        <v/>
      </c>
      <c r="G233" s="66" t="n">
        <v>0.125</v>
      </c>
      <c r="H233" s="89" t="n">
        <v>10</v>
      </c>
      <c r="I233" s="89" t="inlineStr">
        <is>
          <t>MANIGUA</t>
        </is>
      </c>
      <c r="J233" s="89" t="inlineStr">
        <is>
          <t>CARGUEROS</t>
        </is>
      </c>
      <c r="K233" s="90" t="n"/>
      <c r="L233" s="91" t="n"/>
      <c r="M233" s="92" t="n"/>
    </row>
    <row r="234" ht="15.75" customHeight="1">
      <c r="A234" s="86" t="n">
        <v>45692</v>
      </c>
      <c r="B234" s="87" t="n">
        <v>1</v>
      </c>
      <c r="C234" s="88" t="inlineStr">
        <is>
          <t>HUERTAS</t>
        </is>
      </c>
      <c r="D234" s="81" t="n">
        <v>3253</v>
      </c>
      <c r="E234" s="81" t="n">
        <v>324</v>
      </c>
      <c r="F234" s="13">
        <f>+D234/E234</f>
        <v/>
      </c>
      <c r="G234" s="66" t="n">
        <v>0.04166666666666666</v>
      </c>
      <c r="H234" s="89" t="n">
        <v>12</v>
      </c>
      <c r="I234" s="89" t="inlineStr">
        <is>
          <t>MANIGUA</t>
        </is>
      </c>
      <c r="J234" s="89" t="inlineStr">
        <is>
          <t>ABONEROS</t>
        </is>
      </c>
      <c r="K234" s="90" t="n"/>
      <c r="L234" s="91" t="n"/>
      <c r="M234" s="92" t="n"/>
    </row>
    <row r="235" ht="15.75" customHeight="1">
      <c r="A235" s="86" t="n">
        <v>45692</v>
      </c>
      <c r="B235" s="87" t="n">
        <v>2</v>
      </c>
      <c r="C235" s="88" t="inlineStr">
        <is>
          <t>HUERTAS</t>
        </is>
      </c>
      <c r="D235" s="81" t="n">
        <v>3253</v>
      </c>
      <c r="E235" s="81" t="n">
        <v>324</v>
      </c>
      <c r="F235" s="13">
        <f>+D235/E235</f>
        <v/>
      </c>
      <c r="G235" s="66" t="n">
        <v>0.04166666666666666</v>
      </c>
      <c r="H235" s="89" t="n">
        <v>12</v>
      </c>
      <c r="I235" s="89" t="inlineStr">
        <is>
          <t>MANIGUA</t>
        </is>
      </c>
      <c r="J235" s="89" t="inlineStr">
        <is>
          <t>ABONEROS</t>
        </is>
      </c>
      <c r="K235" s="90" t="n"/>
      <c r="L235" s="91" t="n"/>
      <c r="M235" s="92" t="n"/>
    </row>
    <row r="236" ht="15.75" customHeight="1">
      <c r="A236" s="86" t="n">
        <v>45692</v>
      </c>
      <c r="B236" s="87" t="n">
        <v>3</v>
      </c>
      <c r="C236" s="88" t="inlineStr">
        <is>
          <t>HUERTAS</t>
        </is>
      </c>
      <c r="D236" s="81" t="n">
        <v>3253</v>
      </c>
      <c r="E236" s="81" t="n">
        <v>360</v>
      </c>
      <c r="F236" s="13">
        <f>+D236/E236</f>
        <v/>
      </c>
      <c r="G236" s="66" t="n">
        <v>0.04166666666666666</v>
      </c>
      <c r="H236" s="89" t="n">
        <v>12</v>
      </c>
      <c r="I236" s="89" t="inlineStr">
        <is>
          <t>MANIGUA</t>
        </is>
      </c>
      <c r="J236" s="89" t="inlineStr">
        <is>
          <t>ABONEROS</t>
        </is>
      </c>
      <c r="K236" s="90" t="n"/>
      <c r="L236" s="91" t="n"/>
      <c r="M236" s="92" t="n"/>
    </row>
    <row r="237" ht="15.75" customHeight="1">
      <c r="A237" s="86" t="n">
        <v>45692</v>
      </c>
      <c r="B237" s="87" t="n">
        <v>4</v>
      </c>
      <c r="C237" s="88" t="inlineStr">
        <is>
          <t>HUERTAS</t>
        </is>
      </c>
      <c r="D237" s="81" t="n">
        <v>3253</v>
      </c>
      <c r="E237" s="81" t="n">
        <v>324</v>
      </c>
      <c r="F237" s="13">
        <f>+D237/E237</f>
        <v/>
      </c>
      <c r="G237" s="66" t="n">
        <v>0.04166666666666666</v>
      </c>
      <c r="H237" s="89" t="n">
        <v>12</v>
      </c>
      <c r="I237" s="89" t="inlineStr">
        <is>
          <t>MANIGUA</t>
        </is>
      </c>
      <c r="J237" s="89" t="inlineStr">
        <is>
          <t>ABONEROS</t>
        </is>
      </c>
      <c r="K237" s="90" t="n"/>
      <c r="L237" s="91" t="n"/>
      <c r="M237" s="92" t="n"/>
    </row>
    <row r="238" ht="15.75" customHeight="1">
      <c r="A238" s="86" t="n">
        <v>45692</v>
      </c>
      <c r="B238" s="10" t="n">
        <v>5</v>
      </c>
      <c r="C238" s="21" t="inlineStr">
        <is>
          <t>HUERTAS</t>
        </is>
      </c>
      <c r="D238" s="81" t="n">
        <v>3253</v>
      </c>
      <c r="E238" s="12" t="n">
        <v>324</v>
      </c>
      <c r="F238" s="13">
        <f>+D238/E238</f>
        <v/>
      </c>
      <c r="G238" s="66" t="n">
        <v>0.04166666666666666</v>
      </c>
      <c r="H238" s="22" t="n">
        <v>12</v>
      </c>
      <c r="I238" s="22" t="inlineStr">
        <is>
          <t>MANIGUA</t>
        </is>
      </c>
      <c r="J238" s="22" t="inlineStr">
        <is>
          <t>ABONEROS</t>
        </is>
      </c>
      <c r="K238" s="23" t="n"/>
      <c r="L238" s="17" t="n"/>
      <c r="M238" s="48" t="n"/>
    </row>
    <row r="239" ht="15.75" customHeight="1">
      <c r="A239" s="86" t="n">
        <v>45692</v>
      </c>
      <c r="B239" s="10" t="n">
        <v>6</v>
      </c>
      <c r="C239" s="21" t="inlineStr">
        <is>
          <t>HUERTAS</t>
        </is>
      </c>
      <c r="D239" s="81" t="n">
        <v>3253</v>
      </c>
      <c r="E239" s="12" t="n">
        <v>324</v>
      </c>
      <c r="F239" s="13">
        <f>+D239/E239</f>
        <v/>
      </c>
      <c r="G239" s="66" t="n">
        <v>0.04166666666666666</v>
      </c>
      <c r="H239" s="22" t="n">
        <v>12</v>
      </c>
      <c r="I239" s="22" t="inlineStr">
        <is>
          <t>MANIGUA</t>
        </is>
      </c>
      <c r="J239" s="22" t="inlineStr">
        <is>
          <t>ABONEROS</t>
        </is>
      </c>
      <c r="K239" s="23" t="n"/>
      <c r="L239" s="17" t="n"/>
      <c r="M239" s="48" t="n"/>
    </row>
    <row r="240" ht="15.75" customHeight="1">
      <c r="A240" s="86" t="n">
        <v>45692</v>
      </c>
      <c r="B240" s="10" t="n">
        <v>1</v>
      </c>
      <c r="C240" s="21" t="inlineStr">
        <is>
          <t>SAN JOSE</t>
        </is>
      </c>
      <c r="D240" s="81" t="n">
        <v>2847</v>
      </c>
      <c r="E240" s="12" t="n">
        <v>324</v>
      </c>
      <c r="F240" s="13">
        <f>+D240/E240</f>
        <v/>
      </c>
      <c r="G240" s="25" t="n">
        <v>0.2916666666666667</v>
      </c>
      <c r="H240" s="22" t="n">
        <v>10</v>
      </c>
      <c r="I240" s="22" t="inlineStr">
        <is>
          <t>MANIGUA</t>
        </is>
      </c>
      <c r="J240" s="22" t="inlineStr">
        <is>
          <t>CARGUEROS</t>
        </is>
      </c>
      <c r="K240" s="23" t="n"/>
      <c r="L240" s="17" t="n"/>
      <c r="M240" s="48" t="n"/>
    </row>
    <row r="241" ht="15.75" customHeight="1">
      <c r="A241" s="86" t="n">
        <v>45692</v>
      </c>
      <c r="B241" s="10" t="n">
        <v>2</v>
      </c>
      <c r="C241" s="21" t="inlineStr">
        <is>
          <t>SAN JOSE</t>
        </is>
      </c>
      <c r="D241" s="81" t="n">
        <v>2847</v>
      </c>
      <c r="E241" s="12" t="n">
        <v>324</v>
      </c>
      <c r="F241" s="13">
        <f>+D241/E241</f>
        <v/>
      </c>
      <c r="G241" s="25" t="n">
        <v>0.2916666666666667</v>
      </c>
      <c r="H241" s="22" t="n">
        <v>10</v>
      </c>
      <c r="I241" s="22" t="inlineStr">
        <is>
          <t>MANIGUA</t>
        </is>
      </c>
      <c r="J241" s="22" t="inlineStr">
        <is>
          <t>CARGUEROS</t>
        </is>
      </c>
      <c r="K241" s="23" t="n"/>
      <c r="L241" s="17" t="n"/>
      <c r="M241" s="48" t="n"/>
    </row>
    <row r="242" ht="15.75" customHeight="1">
      <c r="A242" s="86" t="n">
        <v>45692</v>
      </c>
      <c r="B242" s="10" t="n">
        <v>3</v>
      </c>
      <c r="C242" s="21" t="inlineStr">
        <is>
          <t>SAN JOSE</t>
        </is>
      </c>
      <c r="D242" s="81" t="n">
        <v>2847</v>
      </c>
      <c r="E242" s="12" t="n">
        <v>324</v>
      </c>
      <c r="F242" s="13">
        <f>+D242/E242</f>
        <v/>
      </c>
      <c r="G242" s="25" t="n">
        <v>0.2916666666666667</v>
      </c>
      <c r="H242" s="22" t="n">
        <v>10</v>
      </c>
      <c r="I242" s="22" t="inlineStr">
        <is>
          <t>MANIGUA</t>
        </is>
      </c>
      <c r="J242" s="22" t="inlineStr">
        <is>
          <t>CARGUEROS</t>
        </is>
      </c>
      <c r="K242" s="23" t="n"/>
      <c r="L242" s="17" t="n"/>
      <c r="M242" s="48" t="n"/>
    </row>
    <row r="243" ht="15.75" customHeight="1">
      <c r="A243" s="86" t="n">
        <v>45692</v>
      </c>
      <c r="B243" s="10" t="n">
        <v>4</v>
      </c>
      <c r="C243" s="21" t="inlineStr">
        <is>
          <t>SAN JOSE</t>
        </is>
      </c>
      <c r="D243" s="81" t="n">
        <v>3471</v>
      </c>
      <c r="E243" s="12" t="n">
        <v>324</v>
      </c>
      <c r="F243" s="13">
        <f>+D243/E243</f>
        <v/>
      </c>
      <c r="G243" s="25" t="n">
        <v>0.2916666666666667</v>
      </c>
      <c r="H243" s="22" t="n">
        <v>10</v>
      </c>
      <c r="I243" s="22" t="inlineStr">
        <is>
          <t>MANIGUA</t>
        </is>
      </c>
      <c r="J243" s="22" t="inlineStr">
        <is>
          <t>CARGUEROS</t>
        </is>
      </c>
      <c r="K243" s="23" t="n"/>
      <c r="L243" s="17" t="n"/>
      <c r="M243" s="48" t="n"/>
    </row>
    <row r="244" ht="15.75" customHeight="1">
      <c r="A244" s="86" t="n">
        <v>45692</v>
      </c>
      <c r="B244" s="10" t="n">
        <v>5</v>
      </c>
      <c r="C244" s="21" t="inlineStr">
        <is>
          <t>SAN JOSE</t>
        </is>
      </c>
      <c r="D244" s="81" t="n">
        <v>3471</v>
      </c>
      <c r="E244" s="12" t="n">
        <v>360</v>
      </c>
      <c r="F244" s="13">
        <f>+D244/E244</f>
        <v/>
      </c>
      <c r="G244" s="25" t="n">
        <v>0.2916666666666667</v>
      </c>
      <c r="H244" s="22" t="n">
        <v>10</v>
      </c>
      <c r="I244" s="22" t="inlineStr">
        <is>
          <t>MANIGUA</t>
        </is>
      </c>
      <c r="J244" s="22" t="inlineStr">
        <is>
          <t>CARGUEROS</t>
        </is>
      </c>
      <c r="K244" s="23" t="n"/>
      <c r="L244" s="17" t="n"/>
      <c r="M244" s="48" t="n"/>
    </row>
    <row r="245" ht="15.75" customHeight="1">
      <c r="A245" s="86" t="n">
        <v>45692</v>
      </c>
      <c r="B245" s="10" t="n">
        <v>6</v>
      </c>
      <c r="C245" s="21" t="inlineStr">
        <is>
          <t>SAN JOSE</t>
        </is>
      </c>
      <c r="D245" s="81" t="n">
        <v>3471</v>
      </c>
      <c r="E245" s="12" t="n">
        <v>324</v>
      </c>
      <c r="F245" s="13">
        <f>+D245/E245</f>
        <v/>
      </c>
      <c r="G245" s="25" t="n">
        <v>0.2916666666666667</v>
      </c>
      <c r="H245" s="22" t="n">
        <v>10</v>
      </c>
      <c r="I245" s="22" t="inlineStr">
        <is>
          <t>MANIGUA</t>
        </is>
      </c>
      <c r="J245" s="22" t="inlineStr">
        <is>
          <t>CARGUEROS</t>
        </is>
      </c>
      <c r="K245" s="23" t="n"/>
      <c r="L245" s="17" t="n"/>
      <c r="M245" s="49" t="inlineStr">
        <is>
          <t>ACCIDENTE CESAR PRIETO POR HUACALES LISOS</t>
        </is>
      </c>
    </row>
    <row r="246" ht="15.75" customHeight="1">
      <c r="A246" s="93" t="n">
        <v>45692</v>
      </c>
      <c r="B246" s="51" t="n">
        <v>7</v>
      </c>
      <c r="C246" s="52" t="inlineStr">
        <is>
          <t>SAN JOSE</t>
        </is>
      </c>
      <c r="D246" s="94" t="n">
        <v>3471</v>
      </c>
      <c r="E246" s="53" t="n">
        <v>324</v>
      </c>
      <c r="F246" s="54">
        <f>+D246/E246</f>
        <v/>
      </c>
      <c r="G246" s="55" t="n">
        <v>0.2916666666666667</v>
      </c>
      <c r="H246" s="56" t="n">
        <v>10</v>
      </c>
      <c r="I246" s="56" t="inlineStr">
        <is>
          <t>MANIGUA</t>
        </is>
      </c>
      <c r="J246" s="56" t="inlineStr">
        <is>
          <t>CARGUEROS</t>
        </is>
      </c>
      <c r="K246" s="61" t="n"/>
      <c r="L246" s="58" t="n"/>
      <c r="M246" s="59" t="n"/>
    </row>
    <row r="247" ht="15.75" customHeight="1">
      <c r="A247" s="36" t="n">
        <v>45693</v>
      </c>
      <c r="B247" s="37" t="n">
        <v>1</v>
      </c>
      <c r="C247" s="38" t="inlineStr">
        <is>
          <t>HUERTAS</t>
        </is>
      </c>
      <c r="D247" s="39" t="n">
        <v>3739</v>
      </c>
      <c r="E247" s="39" t="n">
        <v>360</v>
      </c>
      <c r="F247" s="40">
        <f>+D247/E247</f>
        <v/>
      </c>
      <c r="G247" s="41" t="n">
        <v>0.125</v>
      </c>
      <c r="H247" s="42" t="n">
        <v>10</v>
      </c>
      <c r="I247" s="42" t="inlineStr">
        <is>
          <t>MANIGUA</t>
        </is>
      </c>
      <c r="J247" s="42" t="inlineStr">
        <is>
          <t>ABONEROS</t>
        </is>
      </c>
      <c r="K247" s="43" t="n">
        <v>0.2125</v>
      </c>
      <c r="L247" s="44" t="n"/>
      <c r="M247" s="45" t="n"/>
    </row>
    <row r="248" ht="15.75" customHeight="1">
      <c r="A248" s="46" t="n">
        <v>45693</v>
      </c>
      <c r="B248" s="10" t="n">
        <v>2</v>
      </c>
      <c r="C248" s="21" t="inlineStr">
        <is>
          <t>HUERTAS</t>
        </is>
      </c>
      <c r="D248" s="12" t="n">
        <v>3739</v>
      </c>
      <c r="E248" s="12" t="n">
        <v>324</v>
      </c>
      <c r="F248" s="13">
        <f>+D248/E248</f>
        <v/>
      </c>
      <c r="G248" s="25" t="n">
        <v>0.125</v>
      </c>
      <c r="H248" s="22" t="n">
        <v>10</v>
      </c>
      <c r="I248" s="22" t="inlineStr">
        <is>
          <t>MANIGUA</t>
        </is>
      </c>
      <c r="J248" s="22" t="inlineStr">
        <is>
          <t>ABONEROS</t>
        </is>
      </c>
      <c r="K248" s="47" t="n">
        <v>0.2680555555555555</v>
      </c>
      <c r="L248" s="17">
        <f>+K248-K247</f>
        <v/>
      </c>
      <c r="M248" s="49" t="inlineStr">
        <is>
          <t>DEMORA POR TENER QUE ESCOGER EN EL GALPON 6 POLLO</t>
        </is>
      </c>
    </row>
    <row r="249" ht="15.75" customHeight="1">
      <c r="A249" s="46" t="n">
        <v>45693</v>
      </c>
      <c r="B249" s="10" t="n">
        <v>1</v>
      </c>
      <c r="C249" s="21" t="inlineStr">
        <is>
          <t>GARCERAS</t>
        </is>
      </c>
      <c r="D249" s="12" t="n">
        <v>3023</v>
      </c>
      <c r="E249" s="12" t="n">
        <v>324</v>
      </c>
      <c r="F249" s="13">
        <f>+D249/E249</f>
        <v/>
      </c>
      <c r="G249" s="25" t="n">
        <v>0</v>
      </c>
      <c r="H249" s="22" t="n">
        <v>10</v>
      </c>
      <c r="I249" s="22" t="inlineStr">
        <is>
          <t>MANIGUA</t>
        </is>
      </c>
      <c r="J249" s="22" t="inlineStr">
        <is>
          <t>CARGUEROS</t>
        </is>
      </c>
      <c r="K249" s="47" t="n">
        <v>0.07847222222222222</v>
      </c>
      <c r="L249" s="17" t="n"/>
      <c r="M249" s="48" t="n"/>
    </row>
    <row r="250" ht="15.75" customHeight="1">
      <c r="A250" s="46" t="n">
        <v>45693</v>
      </c>
      <c r="B250" s="10" t="n">
        <v>2</v>
      </c>
      <c r="C250" s="21" t="inlineStr">
        <is>
          <t>GARCERAS</t>
        </is>
      </c>
      <c r="D250" s="12" t="n">
        <v>3023</v>
      </c>
      <c r="E250" s="12" t="n">
        <v>324</v>
      </c>
      <c r="F250" s="13">
        <f>+D250/E250</f>
        <v/>
      </c>
      <c r="G250" s="25" t="n">
        <v>0</v>
      </c>
      <c r="H250" s="22" t="n">
        <v>10</v>
      </c>
      <c r="I250" s="22" t="inlineStr">
        <is>
          <t>MANIGUA</t>
        </is>
      </c>
      <c r="J250" s="22" t="inlineStr">
        <is>
          <t>CARGUEROS</t>
        </is>
      </c>
      <c r="K250" s="47" t="n">
        <v>0.1090277777777778</v>
      </c>
      <c r="L250" s="17">
        <f>+K250-K249</f>
        <v/>
      </c>
      <c r="M250" s="48" t="n"/>
    </row>
    <row r="251" ht="15.75" customHeight="1">
      <c r="A251" s="46" t="n">
        <v>45693</v>
      </c>
      <c r="B251" s="10" t="n">
        <v>3</v>
      </c>
      <c r="C251" s="21" t="inlineStr">
        <is>
          <t>GARCERAS</t>
        </is>
      </c>
      <c r="D251" s="12" t="n">
        <v>3023</v>
      </c>
      <c r="E251" s="12" t="n">
        <v>324</v>
      </c>
      <c r="F251" s="13">
        <f>+D251/E251</f>
        <v/>
      </c>
      <c r="G251" s="25" t="n">
        <v>0</v>
      </c>
      <c r="H251" s="22" t="n">
        <v>10</v>
      </c>
      <c r="I251" s="22" t="inlineStr">
        <is>
          <t>MANIGUA</t>
        </is>
      </c>
      <c r="J251" s="22" t="inlineStr">
        <is>
          <t>CARGUEROS</t>
        </is>
      </c>
      <c r="K251" s="47" t="n">
        <v>0.1416666666666667</v>
      </c>
      <c r="L251" s="17">
        <f>+K251-K250</f>
        <v/>
      </c>
      <c r="M251" s="48" t="n"/>
    </row>
    <row r="252" ht="15.75" customHeight="1">
      <c r="A252" s="46" t="n">
        <v>45693</v>
      </c>
      <c r="B252" s="10" t="n">
        <v>4</v>
      </c>
      <c r="C252" s="21" t="inlineStr">
        <is>
          <t>GARCERAS</t>
        </is>
      </c>
      <c r="D252" s="12" t="n">
        <v>3023</v>
      </c>
      <c r="E252" s="12" t="n">
        <v>324</v>
      </c>
      <c r="F252" s="13">
        <f>+D252/E252</f>
        <v/>
      </c>
      <c r="G252" s="25" t="n">
        <v>0</v>
      </c>
      <c r="H252" s="22" t="n">
        <v>10</v>
      </c>
      <c r="I252" s="22" t="inlineStr">
        <is>
          <t>MANIGUA</t>
        </is>
      </c>
      <c r="J252" s="22" t="inlineStr">
        <is>
          <t>CARGUEROS</t>
        </is>
      </c>
      <c r="K252" s="47" t="n">
        <v>0.1819444444444444</v>
      </c>
      <c r="L252" s="17">
        <f>+K252-K251</f>
        <v/>
      </c>
      <c r="M252" s="48" t="n"/>
    </row>
    <row r="253" ht="15.75" customHeight="1">
      <c r="A253" s="46" t="n">
        <v>45693</v>
      </c>
      <c r="B253" s="10" t="n">
        <v>5</v>
      </c>
      <c r="C253" s="21" t="inlineStr">
        <is>
          <t>GARCERAS</t>
        </is>
      </c>
      <c r="D253" s="12" t="n">
        <v>2969</v>
      </c>
      <c r="E253" s="12" t="n">
        <v>324</v>
      </c>
      <c r="F253" s="13">
        <f>+D253/E253</f>
        <v/>
      </c>
      <c r="G253" s="25" t="n">
        <v>0</v>
      </c>
      <c r="H253" s="22" t="n">
        <v>10</v>
      </c>
      <c r="I253" s="22" t="inlineStr">
        <is>
          <t>MANIGUA</t>
        </is>
      </c>
      <c r="J253" s="22" t="inlineStr">
        <is>
          <t>CARGUEROS</t>
        </is>
      </c>
      <c r="K253" s="47" t="n">
        <v>0.21875</v>
      </c>
      <c r="L253" s="17" t="n"/>
      <c r="M253" s="48" t="n"/>
    </row>
    <row r="254" ht="15.75" customHeight="1">
      <c r="A254" s="46" t="n">
        <v>45693</v>
      </c>
      <c r="B254" s="10" t="n">
        <v>6</v>
      </c>
      <c r="C254" s="21" t="inlineStr">
        <is>
          <t>GARCERAS</t>
        </is>
      </c>
      <c r="D254" s="12" t="n">
        <v>2969</v>
      </c>
      <c r="E254" s="12" t="n">
        <v>360</v>
      </c>
      <c r="F254" s="13">
        <f>+D254/E254</f>
        <v/>
      </c>
      <c r="G254" s="25" t="n">
        <v>0</v>
      </c>
      <c r="H254" s="22" t="n">
        <v>10</v>
      </c>
      <c r="I254" s="22" t="inlineStr">
        <is>
          <t>MANIGUA</t>
        </is>
      </c>
      <c r="J254" s="22" t="inlineStr">
        <is>
          <t>CARGUEROS</t>
        </is>
      </c>
      <c r="K254" s="47" t="n">
        <v>0.25</v>
      </c>
      <c r="L254" s="17" t="n"/>
      <c r="M254" s="48" t="n"/>
    </row>
    <row r="255" ht="15.75" customHeight="1">
      <c r="A255" s="46" t="n">
        <v>45693</v>
      </c>
      <c r="B255" s="10" t="n">
        <v>7</v>
      </c>
      <c r="C255" s="21" t="inlineStr">
        <is>
          <t>GARCERAS</t>
        </is>
      </c>
      <c r="D255" s="12" t="n">
        <v>2969</v>
      </c>
      <c r="E255" s="12" t="n">
        <v>324</v>
      </c>
      <c r="F255" s="13">
        <f>+D255/E255</f>
        <v/>
      </c>
      <c r="G255" s="25" t="n">
        <v>0</v>
      </c>
      <c r="H255" s="22" t="n">
        <v>10</v>
      </c>
      <c r="I255" s="22" t="inlineStr">
        <is>
          <t>MANIGUA</t>
        </is>
      </c>
      <c r="J255" s="22" t="inlineStr">
        <is>
          <t>CARGUEROS</t>
        </is>
      </c>
      <c r="K255" s="47" t="n">
        <v>0.33125</v>
      </c>
      <c r="L255" s="17" t="n"/>
      <c r="M255" s="48" t="n"/>
    </row>
    <row r="256" ht="15.75" customHeight="1">
      <c r="A256" s="67" t="n">
        <v>45693</v>
      </c>
      <c r="B256" s="27" t="n">
        <v>8</v>
      </c>
      <c r="C256" s="28" t="inlineStr">
        <is>
          <t>GARCERAS</t>
        </is>
      </c>
      <c r="D256" s="29" t="n">
        <v>2969</v>
      </c>
      <c r="E256" s="29" t="n">
        <v>360</v>
      </c>
      <c r="F256" s="30">
        <f>+D256/E256</f>
        <v/>
      </c>
      <c r="G256" s="31" t="n">
        <v>0</v>
      </c>
      <c r="H256" s="32" t="n">
        <v>10</v>
      </c>
      <c r="I256" s="32" t="inlineStr">
        <is>
          <t>MANIGUA</t>
        </is>
      </c>
      <c r="J256" s="32" t="inlineStr">
        <is>
          <t>CARGUEROS</t>
        </is>
      </c>
      <c r="K256" s="68" t="n">
        <v>0.3645833333333333</v>
      </c>
      <c r="L256" s="34" t="n"/>
      <c r="M256" s="69" t="n"/>
    </row>
    <row r="257" ht="15.75" customHeight="1">
      <c r="A257" s="36" t="n">
        <v>45694</v>
      </c>
      <c r="B257" s="37" t="n">
        <v>1</v>
      </c>
      <c r="C257" s="38" t="inlineStr">
        <is>
          <t>HUERTAS</t>
        </is>
      </c>
      <c r="D257" s="39" t="n">
        <v>3135</v>
      </c>
      <c r="E257" s="39" t="n">
        <v>360</v>
      </c>
      <c r="F257" s="40">
        <f>+D257/E257</f>
        <v/>
      </c>
      <c r="G257" s="41" t="n">
        <v>0.04166666666666666</v>
      </c>
      <c r="H257" s="42" t="n">
        <v>8</v>
      </c>
      <c r="I257" s="42" t="inlineStr">
        <is>
          <t>MANIGUA</t>
        </is>
      </c>
      <c r="J257" s="42" t="inlineStr">
        <is>
          <t>CARGUEROS</t>
        </is>
      </c>
      <c r="K257" s="62" t="n"/>
      <c r="L257" s="44" t="n"/>
      <c r="M257" s="45" t="n"/>
    </row>
    <row r="258" ht="15.75" customHeight="1">
      <c r="A258" s="46" t="n">
        <v>45694</v>
      </c>
      <c r="B258" s="10" t="n">
        <v>2</v>
      </c>
      <c r="C258" s="21" t="inlineStr">
        <is>
          <t>HUERTAS</t>
        </is>
      </c>
      <c r="D258" s="12" t="n">
        <v>3135</v>
      </c>
      <c r="E258" s="12" t="n">
        <v>324</v>
      </c>
      <c r="F258" s="13">
        <f>+D258/E258</f>
        <v/>
      </c>
      <c r="G258" s="25" t="n">
        <v>0.04166666666666666</v>
      </c>
      <c r="H258" s="22" t="n">
        <v>8</v>
      </c>
      <c r="I258" s="22" t="inlineStr">
        <is>
          <t>MANIGUA</t>
        </is>
      </c>
      <c r="J258" s="22" t="inlineStr">
        <is>
          <t>CARGUEROS</t>
        </is>
      </c>
      <c r="K258" s="23" t="n"/>
      <c r="L258" s="17" t="n"/>
      <c r="M258" s="48" t="n"/>
    </row>
    <row r="259" ht="15.75" customHeight="1">
      <c r="A259" s="46" t="n">
        <v>45694</v>
      </c>
      <c r="B259" s="10" t="n">
        <v>3</v>
      </c>
      <c r="C259" s="21" t="inlineStr">
        <is>
          <t>HUERTAS</t>
        </is>
      </c>
      <c r="D259" s="12" t="n">
        <v>3135</v>
      </c>
      <c r="E259" s="12" t="n">
        <v>324</v>
      </c>
      <c r="F259" s="13">
        <f>+D259/E259</f>
        <v/>
      </c>
      <c r="G259" s="25" t="n">
        <v>0.04166666666666666</v>
      </c>
      <c r="H259" s="22" t="n">
        <v>8</v>
      </c>
      <c r="I259" s="22" t="inlineStr">
        <is>
          <t>MANIGUA</t>
        </is>
      </c>
      <c r="J259" s="22" t="inlineStr">
        <is>
          <t>CARGUEROS</t>
        </is>
      </c>
      <c r="K259" s="23" t="n"/>
      <c r="L259" s="17" t="n"/>
      <c r="M259" s="48" t="n"/>
    </row>
    <row r="260" ht="15.75" customHeight="1">
      <c r="A260" s="46" t="n">
        <v>45694</v>
      </c>
      <c r="B260" s="10" t="n">
        <v>4</v>
      </c>
      <c r="C260" s="21" t="inlineStr">
        <is>
          <t>HUERTAS</t>
        </is>
      </c>
      <c r="D260" s="12" t="n">
        <v>3135</v>
      </c>
      <c r="E260" s="12" t="n">
        <v>324</v>
      </c>
      <c r="F260" s="13">
        <f>+D260/E260</f>
        <v/>
      </c>
      <c r="G260" s="25" t="n">
        <v>0.04166666666666666</v>
      </c>
      <c r="H260" s="22" t="n">
        <v>8</v>
      </c>
      <c r="I260" s="22" t="inlineStr">
        <is>
          <t>MANIGUA</t>
        </is>
      </c>
      <c r="J260" s="22" t="inlineStr">
        <is>
          <t>CARGUEROS</t>
        </is>
      </c>
      <c r="K260" s="23" t="n"/>
      <c r="L260" s="17" t="n"/>
      <c r="M260" s="48" t="n"/>
    </row>
    <row r="261" ht="15.75" customHeight="1">
      <c r="A261" s="46" t="n">
        <v>45694</v>
      </c>
      <c r="B261" s="10" t="n">
        <v>5</v>
      </c>
      <c r="C261" s="21" t="inlineStr">
        <is>
          <t>HUERTAS</t>
        </is>
      </c>
      <c r="D261" s="12" t="n">
        <v>3135</v>
      </c>
      <c r="E261" s="12" t="n">
        <v>324</v>
      </c>
      <c r="F261" s="13">
        <f>+D261/E261</f>
        <v/>
      </c>
      <c r="G261" s="25" t="n">
        <v>0.04166666666666666</v>
      </c>
      <c r="H261" s="22" t="n">
        <v>8</v>
      </c>
      <c r="I261" s="22" t="inlineStr">
        <is>
          <t>MANIGUA</t>
        </is>
      </c>
      <c r="J261" s="22" t="inlineStr">
        <is>
          <t>CARGUEROS</t>
        </is>
      </c>
      <c r="K261" s="23" t="n"/>
      <c r="L261" s="17" t="n"/>
      <c r="M261" s="48" t="n"/>
    </row>
    <row r="262" ht="15.75" customHeight="1">
      <c r="A262" s="46" t="n">
        <v>45694</v>
      </c>
      <c r="B262" s="10" t="n">
        <v>6</v>
      </c>
      <c r="C262" s="21" t="inlineStr">
        <is>
          <t>HUERTAS</t>
        </is>
      </c>
      <c r="D262" s="12" t="n">
        <v>3135</v>
      </c>
      <c r="E262" s="12" t="n">
        <v>360</v>
      </c>
      <c r="F262" s="13">
        <f>+D262/E262</f>
        <v/>
      </c>
      <c r="G262" s="25" t="n">
        <v>0.04166666666666666</v>
      </c>
      <c r="H262" s="22" t="n">
        <v>8</v>
      </c>
      <c r="I262" s="22" t="inlineStr">
        <is>
          <t>MANIGUA</t>
        </is>
      </c>
      <c r="J262" s="22" t="inlineStr">
        <is>
          <t>CARGUEROS</t>
        </is>
      </c>
      <c r="K262" s="23" t="n"/>
      <c r="L262" s="17" t="n"/>
      <c r="M262" s="49" t="inlineStr">
        <is>
          <t>4 CARGUEROS COMPARENDO POR PAPELES NO PUDIERON CARGAR</t>
        </is>
      </c>
    </row>
    <row r="263" ht="15.75" customHeight="1">
      <c r="A263" s="46" t="n">
        <v>45694</v>
      </c>
      <c r="B263" s="10" t="n">
        <v>1</v>
      </c>
      <c r="C263" s="21" t="inlineStr">
        <is>
          <t>SAN JOSE</t>
        </is>
      </c>
      <c r="D263" s="12" t="n">
        <v>3150</v>
      </c>
      <c r="E263" s="12" t="n">
        <v>360</v>
      </c>
      <c r="F263" s="13">
        <f>+D263/E263</f>
        <v/>
      </c>
      <c r="G263" s="25" t="n">
        <v>0.4583333333333333</v>
      </c>
      <c r="H263" s="22" t="n">
        <v>8</v>
      </c>
      <c r="I263" s="22" t="inlineStr">
        <is>
          <t>MANIGUA</t>
        </is>
      </c>
      <c r="J263" s="22" t="inlineStr">
        <is>
          <t>CARGUEROS</t>
        </is>
      </c>
      <c r="K263" s="23" t="n"/>
      <c r="L263" s="17" t="n"/>
      <c r="M263" s="48" t="n"/>
    </row>
    <row r="264" ht="15.75" customHeight="1">
      <c r="A264" s="67" t="n">
        <v>45694</v>
      </c>
      <c r="B264" s="27" t="n">
        <v>2</v>
      </c>
      <c r="C264" s="28" t="inlineStr">
        <is>
          <t>SAN JOSE</t>
        </is>
      </c>
      <c r="D264" s="29" t="n">
        <v>3150</v>
      </c>
      <c r="E264" s="29" t="n">
        <v>360</v>
      </c>
      <c r="F264" s="30">
        <f>+D264/E264</f>
        <v/>
      </c>
      <c r="G264" s="31" t="n">
        <v>0.4583333333333333</v>
      </c>
      <c r="H264" s="32" t="n">
        <v>8</v>
      </c>
      <c r="I264" s="32" t="inlineStr">
        <is>
          <t>MANIGUA</t>
        </is>
      </c>
      <c r="J264" s="32" t="inlineStr">
        <is>
          <t>CARGUEROS</t>
        </is>
      </c>
      <c r="K264" s="33" t="n"/>
      <c r="L264" s="34" t="n"/>
      <c r="M264" s="69" t="n"/>
    </row>
    <row r="265" ht="15.75" customHeight="1">
      <c r="A265" s="36" t="n">
        <v>45695</v>
      </c>
      <c r="B265" s="37" t="n">
        <v>1</v>
      </c>
      <c r="C265" s="38" t="inlineStr">
        <is>
          <t>GARCERAS</t>
        </is>
      </c>
      <c r="D265" s="39" t="n">
        <v>3311</v>
      </c>
      <c r="E265" s="39" t="n">
        <v>324</v>
      </c>
      <c r="F265" s="40">
        <f>+D265/E265</f>
        <v/>
      </c>
      <c r="G265" s="41" t="n">
        <v>0.04166666666666666</v>
      </c>
      <c r="H265" s="42" t="n">
        <v>10</v>
      </c>
      <c r="I265" s="42" t="inlineStr">
        <is>
          <t>MANIGUA</t>
        </is>
      </c>
      <c r="J265" s="42" t="inlineStr">
        <is>
          <t>CARGUEROS</t>
        </is>
      </c>
      <c r="K265" s="43" t="n">
        <v>0.1111111111111111</v>
      </c>
      <c r="L265" s="44" t="n">
        <v>0.02777777777777778</v>
      </c>
      <c r="M265" s="45" t="n"/>
    </row>
    <row r="266" ht="15.75" customHeight="1">
      <c r="A266" s="46" t="n">
        <v>45695</v>
      </c>
      <c r="B266" s="10" t="n">
        <v>2</v>
      </c>
      <c r="C266" s="21" t="inlineStr">
        <is>
          <t>GARCERAS</t>
        </is>
      </c>
      <c r="D266" s="12" t="n">
        <v>3311</v>
      </c>
      <c r="E266" s="12" t="n">
        <v>360</v>
      </c>
      <c r="F266" s="13">
        <f>+D266/E266</f>
        <v/>
      </c>
      <c r="G266" s="25" t="n">
        <v>0.04166666666666666</v>
      </c>
      <c r="H266" s="22" t="n">
        <v>10</v>
      </c>
      <c r="I266" s="22" t="inlineStr">
        <is>
          <t>MANIGUA</t>
        </is>
      </c>
      <c r="J266" s="22" t="inlineStr">
        <is>
          <t>ABONEROS</t>
        </is>
      </c>
      <c r="K266" s="47" t="n"/>
      <c r="L266" s="17" t="n"/>
      <c r="M266" s="48" t="n"/>
    </row>
    <row r="267" ht="15.75" customHeight="1">
      <c r="A267" s="46" t="n">
        <v>45695</v>
      </c>
      <c r="B267" s="10" t="n">
        <v>3</v>
      </c>
      <c r="C267" s="21" t="inlineStr">
        <is>
          <t>GARCERAS</t>
        </is>
      </c>
      <c r="D267" s="12" t="n">
        <v>3311</v>
      </c>
      <c r="E267" s="12" t="n">
        <v>324</v>
      </c>
      <c r="F267" s="13">
        <f>+D267/E267</f>
        <v/>
      </c>
      <c r="G267" s="25" t="n">
        <v>0.04166666666666666</v>
      </c>
      <c r="H267" s="22" t="n">
        <v>10</v>
      </c>
      <c r="I267" s="22" t="inlineStr">
        <is>
          <t>MANIGUA</t>
        </is>
      </c>
      <c r="J267" s="22" t="inlineStr">
        <is>
          <t>CARGUEROS</t>
        </is>
      </c>
      <c r="K267" s="47" t="n"/>
      <c r="L267" s="17" t="n"/>
      <c r="M267" s="48" t="n"/>
    </row>
    <row r="268" ht="15.75" customHeight="1">
      <c r="A268" s="46" t="n">
        <v>45695</v>
      </c>
      <c r="B268" s="10" t="n">
        <v>4</v>
      </c>
      <c r="C268" s="21" t="inlineStr">
        <is>
          <t>GARCERAS</t>
        </is>
      </c>
      <c r="D268" s="12" t="n">
        <v>3311</v>
      </c>
      <c r="E268" s="12" t="n">
        <v>324</v>
      </c>
      <c r="F268" s="13">
        <f>+D268/E268</f>
        <v/>
      </c>
      <c r="G268" s="25" t="n">
        <v>0.04166666666666666</v>
      </c>
      <c r="H268" s="22" t="n">
        <v>10</v>
      </c>
      <c r="I268" s="22" t="inlineStr">
        <is>
          <t>MANIGUA</t>
        </is>
      </c>
      <c r="J268" s="22" t="inlineStr">
        <is>
          <t>ABONEROS</t>
        </is>
      </c>
      <c r="K268" s="47" t="n"/>
      <c r="L268" s="17" t="n"/>
      <c r="M268" s="48" t="n"/>
    </row>
    <row r="269" ht="15.75" customHeight="1">
      <c r="A269" s="46" t="n">
        <v>45695</v>
      </c>
      <c r="B269" s="10" t="n">
        <v>5</v>
      </c>
      <c r="C269" s="21" t="inlineStr">
        <is>
          <t>GARCERAS</t>
        </is>
      </c>
      <c r="D269" s="12" t="n">
        <v>3311</v>
      </c>
      <c r="E269" s="12" t="n">
        <v>324</v>
      </c>
      <c r="F269" s="13">
        <f>+D269/E269</f>
        <v/>
      </c>
      <c r="G269" s="25" t="n">
        <v>0.04166666666666666</v>
      </c>
      <c r="H269" s="22" t="n">
        <v>10</v>
      </c>
      <c r="I269" s="22" t="inlineStr">
        <is>
          <t>MANIGUA</t>
        </is>
      </c>
      <c r="J269" s="22" t="inlineStr">
        <is>
          <t>CARGUEROS</t>
        </is>
      </c>
      <c r="K269" s="47" t="n"/>
      <c r="L269" s="17" t="n"/>
      <c r="M269" s="48" t="n"/>
    </row>
    <row r="270" ht="15.75" customHeight="1">
      <c r="A270" s="46" t="n">
        <v>45695</v>
      </c>
      <c r="B270" s="10" t="n">
        <v>6</v>
      </c>
      <c r="C270" s="21" t="inlineStr">
        <is>
          <t>GARCERAS</t>
        </is>
      </c>
      <c r="D270" s="12" t="n">
        <v>3311</v>
      </c>
      <c r="E270" s="12" t="n">
        <v>324</v>
      </c>
      <c r="F270" s="13">
        <f>+D270/E270</f>
        <v/>
      </c>
      <c r="G270" s="25" t="n">
        <v>0.04166666666666666</v>
      </c>
      <c r="H270" s="22" t="n">
        <v>10</v>
      </c>
      <c r="I270" s="22" t="inlineStr">
        <is>
          <t>MANIGUA</t>
        </is>
      </c>
      <c r="J270" s="22" t="inlineStr">
        <is>
          <t>ABONEROS</t>
        </is>
      </c>
      <c r="K270" s="47" t="n"/>
      <c r="L270" s="17" t="n"/>
      <c r="M270" s="48" t="n"/>
    </row>
    <row r="271" ht="15.75" customHeight="1">
      <c r="A271" s="46" t="n">
        <v>45695</v>
      </c>
      <c r="B271" s="10" t="n">
        <v>7</v>
      </c>
      <c r="C271" s="21" t="inlineStr">
        <is>
          <t>GARCERAS</t>
        </is>
      </c>
      <c r="D271" s="12" t="n">
        <v>3311</v>
      </c>
      <c r="E271" s="12" t="n">
        <v>324</v>
      </c>
      <c r="F271" s="13">
        <f>+D271/E271</f>
        <v/>
      </c>
      <c r="G271" s="25" t="n">
        <v>0.04166666666666666</v>
      </c>
      <c r="H271" s="22" t="n">
        <v>10</v>
      </c>
      <c r="I271" s="22" t="inlineStr">
        <is>
          <t>MANIGUA</t>
        </is>
      </c>
      <c r="J271" s="22" t="inlineStr">
        <is>
          <t>CARGUEROS</t>
        </is>
      </c>
      <c r="K271" s="23" t="n"/>
      <c r="L271" s="17" t="n"/>
      <c r="M271" s="48" t="n"/>
    </row>
    <row r="272" ht="15.75" customHeight="1">
      <c r="A272" s="46" t="n">
        <v>45695</v>
      </c>
      <c r="B272" s="10" t="n">
        <v>8</v>
      </c>
      <c r="C272" s="21" t="inlineStr">
        <is>
          <t>GARCERAS</t>
        </is>
      </c>
      <c r="D272" s="12" t="n">
        <v>3311</v>
      </c>
      <c r="E272" s="12" t="n">
        <v>360</v>
      </c>
      <c r="F272" s="13">
        <f>+D272/E272</f>
        <v/>
      </c>
      <c r="G272" s="25" t="n">
        <v>0.04166666666666666</v>
      </c>
      <c r="H272" s="22" t="n">
        <v>10</v>
      </c>
      <c r="I272" s="22" t="inlineStr">
        <is>
          <t>MANIGUA</t>
        </is>
      </c>
      <c r="J272" s="22" t="inlineStr">
        <is>
          <t>ABONEROS</t>
        </is>
      </c>
      <c r="K272" s="47" t="n">
        <v>0.2326388888888889</v>
      </c>
      <c r="L272" s="17" t="n"/>
      <c r="M272" s="49" t="n"/>
    </row>
    <row r="273" ht="15.75" customHeight="1">
      <c r="A273" s="46" t="n">
        <v>45695</v>
      </c>
      <c r="B273" s="10" t="n">
        <v>9</v>
      </c>
      <c r="C273" s="21" t="inlineStr">
        <is>
          <t>GARCERAS</t>
        </is>
      </c>
      <c r="D273" s="12" t="n">
        <v>3311</v>
      </c>
      <c r="E273" s="12" t="n">
        <v>324</v>
      </c>
      <c r="F273" s="13">
        <f>+D273/E273</f>
        <v/>
      </c>
      <c r="G273" s="25" t="n">
        <v>0.04166666666666666</v>
      </c>
      <c r="H273" s="22" t="n">
        <v>10</v>
      </c>
      <c r="I273" s="22" t="inlineStr">
        <is>
          <t>MANIGUA</t>
        </is>
      </c>
      <c r="J273" s="22" t="inlineStr">
        <is>
          <t>CARGUEROS</t>
        </is>
      </c>
      <c r="K273" s="47" t="n">
        <v>0.2743055555555556</v>
      </c>
      <c r="L273" s="17" t="n"/>
      <c r="M273" s="48" t="n"/>
    </row>
    <row r="274" ht="15.75" customHeight="1">
      <c r="A274" s="46" t="n">
        <v>45695</v>
      </c>
      <c r="B274" s="10" t="n">
        <v>10</v>
      </c>
      <c r="C274" s="21" t="inlineStr">
        <is>
          <t>GARCERAS</t>
        </is>
      </c>
      <c r="D274" s="12" t="n">
        <v>3792</v>
      </c>
      <c r="E274" s="12" t="n">
        <v>324</v>
      </c>
      <c r="F274" s="13">
        <f>+D274/E274</f>
        <v/>
      </c>
      <c r="G274" s="25" t="n">
        <v>0.04166666666666666</v>
      </c>
      <c r="H274" s="22" t="n">
        <v>10</v>
      </c>
      <c r="I274" s="22" t="inlineStr">
        <is>
          <t>MANIGUA</t>
        </is>
      </c>
      <c r="J274" s="22" t="inlineStr">
        <is>
          <t>ABONEROS</t>
        </is>
      </c>
      <c r="K274" s="47" t="n">
        <v>0.3611111111111111</v>
      </c>
      <c r="L274" s="17" t="n"/>
      <c r="M274" s="48" t="n"/>
    </row>
    <row r="275" ht="15.75" customHeight="1">
      <c r="A275" s="46" t="n">
        <v>45695</v>
      </c>
      <c r="B275" s="10" t="n">
        <v>11</v>
      </c>
      <c r="C275" s="21" t="inlineStr">
        <is>
          <t>GARCERAS</t>
        </is>
      </c>
      <c r="D275" s="12" t="n">
        <v>3106</v>
      </c>
      <c r="E275" s="12" t="n">
        <v>324</v>
      </c>
      <c r="F275" s="13">
        <f>+D275/E275</f>
        <v/>
      </c>
      <c r="G275" s="25" t="n">
        <v>0.04166666666666666</v>
      </c>
      <c r="H275" s="22" t="n">
        <v>10</v>
      </c>
      <c r="I275" s="22" t="inlineStr">
        <is>
          <t>MANIGUA</t>
        </is>
      </c>
      <c r="J275" s="22" t="inlineStr">
        <is>
          <t>CARGUEROS</t>
        </is>
      </c>
      <c r="K275" s="47" t="n">
        <v>0.4097222222222222</v>
      </c>
      <c r="L275" s="17" t="n"/>
      <c r="M275" s="48" t="n"/>
    </row>
    <row r="276" ht="15.75" customHeight="1">
      <c r="A276" s="46" t="n">
        <v>45695</v>
      </c>
      <c r="B276" s="10" t="n">
        <v>12</v>
      </c>
      <c r="C276" s="21" t="inlineStr">
        <is>
          <t>GARCERAS</t>
        </is>
      </c>
      <c r="D276" s="12" t="n">
        <v>3106</v>
      </c>
      <c r="E276" s="12" t="n">
        <v>324</v>
      </c>
      <c r="F276" s="13">
        <f>+D276/E276</f>
        <v/>
      </c>
      <c r="G276" s="25" t="n">
        <v>0.04166666666666666</v>
      </c>
      <c r="H276" s="22" t="n">
        <v>10</v>
      </c>
      <c r="I276" s="22" t="inlineStr">
        <is>
          <t>MANIGUA</t>
        </is>
      </c>
      <c r="J276" s="22" t="inlineStr">
        <is>
          <t>ABONEROS</t>
        </is>
      </c>
      <c r="K276" s="47" t="n">
        <v>0.4513888888888889</v>
      </c>
      <c r="L276" s="17" t="n"/>
      <c r="M276" s="48" t="n"/>
    </row>
    <row r="277" ht="15.75" customHeight="1">
      <c r="A277" s="46" t="n">
        <v>45695</v>
      </c>
      <c r="B277" s="10" t="n">
        <v>13</v>
      </c>
      <c r="C277" s="21" t="inlineStr">
        <is>
          <t>GARCERAS</t>
        </is>
      </c>
      <c r="D277" s="12" t="n">
        <v>3106</v>
      </c>
      <c r="E277" s="12" t="n">
        <v>360</v>
      </c>
      <c r="F277" s="13">
        <f>+D277/E277</f>
        <v/>
      </c>
      <c r="G277" s="25" t="n">
        <v>0.04166666666666666</v>
      </c>
      <c r="H277" s="22" t="n">
        <v>10</v>
      </c>
      <c r="I277" s="22" t="inlineStr">
        <is>
          <t>MANIGUA</t>
        </is>
      </c>
      <c r="J277" s="22" t="inlineStr">
        <is>
          <t>CARGUEROS</t>
        </is>
      </c>
      <c r="K277" s="23" t="n"/>
      <c r="L277" s="17" t="n"/>
      <c r="M277" s="48" t="n"/>
    </row>
    <row r="278" ht="15.75" customHeight="1">
      <c r="A278" s="50" t="n">
        <v>45695</v>
      </c>
      <c r="B278" s="51" t="n">
        <v>14</v>
      </c>
      <c r="C278" s="52" t="inlineStr">
        <is>
          <t>GARCERAS</t>
        </is>
      </c>
      <c r="D278" s="53" t="n">
        <v>3106</v>
      </c>
      <c r="E278" s="53" t="n">
        <v>360</v>
      </c>
      <c r="F278" s="54">
        <f>+D278/E278</f>
        <v/>
      </c>
      <c r="G278" s="55" t="n">
        <v>0.04166666666666666</v>
      </c>
      <c r="H278" s="56" t="n">
        <v>10</v>
      </c>
      <c r="I278" s="56" t="inlineStr">
        <is>
          <t>MANIGUA</t>
        </is>
      </c>
      <c r="J278" s="56" t="inlineStr">
        <is>
          <t>ABONEROS</t>
        </is>
      </c>
      <c r="K278" s="61" t="n"/>
      <c r="L278" s="58" t="n"/>
      <c r="M278" s="59" t="n"/>
    </row>
    <row r="279" ht="15.75" customHeight="1">
      <c r="A279" s="86" t="n">
        <v>45698</v>
      </c>
      <c r="B279" s="87" t="n">
        <v>1</v>
      </c>
      <c r="C279" s="88" t="inlineStr">
        <is>
          <t>GARCERAS</t>
        </is>
      </c>
      <c r="D279" s="81" t="n">
        <v>3184</v>
      </c>
      <c r="E279" s="81" t="n">
        <v>324</v>
      </c>
      <c r="F279" s="95">
        <f>+D279/E279</f>
        <v/>
      </c>
      <c r="G279" s="66" t="n">
        <v>0.8958333333333334</v>
      </c>
      <c r="H279" s="89" t="n">
        <v>11</v>
      </c>
      <c r="I279" s="89" t="inlineStr">
        <is>
          <t>MANIGUA</t>
        </is>
      </c>
      <c r="J279" s="89" t="inlineStr">
        <is>
          <t>CARGUEROS</t>
        </is>
      </c>
      <c r="K279" s="90" t="n"/>
      <c r="L279" s="91" t="n"/>
      <c r="M279" s="92" t="n"/>
    </row>
    <row r="280" ht="15.75" customHeight="1">
      <c r="A280" s="46" t="n">
        <v>45698</v>
      </c>
      <c r="B280" s="10" t="n">
        <v>2</v>
      </c>
      <c r="C280" s="21" t="inlineStr">
        <is>
          <t>GARCERAS</t>
        </is>
      </c>
      <c r="D280" s="12" t="n">
        <v>3184</v>
      </c>
      <c r="E280" s="12" t="n">
        <v>360</v>
      </c>
      <c r="F280" s="13">
        <f>+D280/E280</f>
        <v/>
      </c>
      <c r="G280" s="25" t="n">
        <v>0.8958333333333334</v>
      </c>
      <c r="H280" s="22" t="n">
        <v>11</v>
      </c>
      <c r="I280" s="22" t="inlineStr">
        <is>
          <t>MANIGUA</t>
        </is>
      </c>
      <c r="J280" s="22" t="inlineStr">
        <is>
          <t>CARGUEROS</t>
        </is>
      </c>
      <c r="K280" s="23" t="n"/>
      <c r="L280" s="17" t="n"/>
      <c r="M280" s="48" t="n"/>
    </row>
    <row r="281" ht="15.75" customHeight="1">
      <c r="A281" s="46" t="n">
        <v>45698</v>
      </c>
      <c r="B281" s="10" t="n">
        <v>3</v>
      </c>
      <c r="C281" s="21" t="inlineStr">
        <is>
          <t>GARCERAS</t>
        </is>
      </c>
      <c r="D281" s="12" t="n">
        <v>3184</v>
      </c>
      <c r="E281" s="12" t="n">
        <v>324</v>
      </c>
      <c r="F281" s="13">
        <f>+D281/E281</f>
        <v/>
      </c>
      <c r="G281" s="25" t="n">
        <v>0.8958333333333334</v>
      </c>
      <c r="H281" s="22" t="n">
        <v>11</v>
      </c>
      <c r="I281" s="22" t="inlineStr">
        <is>
          <t>MANIGUA</t>
        </is>
      </c>
      <c r="J281" s="22" t="inlineStr">
        <is>
          <t>CARGUEROS</t>
        </is>
      </c>
      <c r="K281" s="23" t="n"/>
      <c r="L281" s="17" t="n"/>
      <c r="M281" s="48" t="n"/>
    </row>
    <row r="282" ht="15.75" customHeight="1">
      <c r="A282" s="46" t="n">
        <v>45698</v>
      </c>
      <c r="B282" s="10" t="n">
        <v>4</v>
      </c>
      <c r="C282" s="21" t="inlineStr">
        <is>
          <t>GARCERAS</t>
        </is>
      </c>
      <c r="D282" s="12" t="n">
        <v>3184</v>
      </c>
      <c r="E282" s="12" t="n">
        <v>324</v>
      </c>
      <c r="F282" s="13">
        <f>+D282/E282</f>
        <v/>
      </c>
      <c r="G282" s="25" t="n">
        <v>0.8958333333333334</v>
      </c>
      <c r="H282" s="22" t="n">
        <v>11</v>
      </c>
      <c r="I282" s="22" t="inlineStr">
        <is>
          <t>MANIGUA</t>
        </is>
      </c>
      <c r="J282" s="22" t="inlineStr">
        <is>
          <t>CARGUEROS</t>
        </is>
      </c>
      <c r="K282" s="23" t="n"/>
      <c r="L282" s="17" t="n"/>
      <c r="M282" s="48" t="n"/>
    </row>
    <row r="283" ht="15.75" customHeight="1">
      <c r="A283" s="46" t="n">
        <v>45698</v>
      </c>
      <c r="B283" s="10" t="n">
        <v>5</v>
      </c>
      <c r="C283" s="21" t="inlineStr">
        <is>
          <t>GARCERAS</t>
        </is>
      </c>
      <c r="D283" s="12" t="n">
        <v>3184</v>
      </c>
      <c r="E283" s="12" t="n">
        <v>324</v>
      </c>
      <c r="F283" s="13">
        <f>+D283/E283</f>
        <v/>
      </c>
      <c r="G283" s="25" t="n">
        <v>0.8958333333333334</v>
      </c>
      <c r="H283" s="22" t="n">
        <v>11</v>
      </c>
      <c r="I283" s="22" t="inlineStr">
        <is>
          <t>MANIGUA</t>
        </is>
      </c>
      <c r="J283" s="22" t="inlineStr">
        <is>
          <t>CARGUEROS</t>
        </is>
      </c>
      <c r="K283" s="23" t="n"/>
      <c r="L283" s="17" t="n"/>
      <c r="M283" s="48" t="n"/>
    </row>
    <row r="284" ht="15.75" customHeight="1">
      <c r="A284" s="46" t="n">
        <v>45698</v>
      </c>
      <c r="B284" s="10" t="n">
        <v>6</v>
      </c>
      <c r="C284" s="21" t="inlineStr">
        <is>
          <t>GARCERAS</t>
        </is>
      </c>
      <c r="D284" s="12" t="n">
        <v>3625</v>
      </c>
      <c r="E284" s="12" t="n">
        <v>324</v>
      </c>
      <c r="F284" s="13">
        <f>+D284/E284</f>
        <v/>
      </c>
      <c r="G284" s="25" t="n">
        <v>0.8958333333333334</v>
      </c>
      <c r="H284" s="22" t="n">
        <v>11</v>
      </c>
      <c r="I284" s="22" t="inlineStr">
        <is>
          <t>MANIGUA</t>
        </is>
      </c>
      <c r="J284" s="22" t="inlineStr">
        <is>
          <t>CARGUEROS</t>
        </is>
      </c>
      <c r="K284" s="23" t="n"/>
      <c r="L284" s="17" t="n"/>
      <c r="M284" s="48" t="n"/>
    </row>
    <row r="285" ht="15.75" customHeight="1">
      <c r="A285" s="46" t="n">
        <v>45698</v>
      </c>
      <c r="B285" s="10" t="n">
        <v>7</v>
      </c>
      <c r="C285" s="21" t="inlineStr">
        <is>
          <t>GARCERAS</t>
        </is>
      </c>
      <c r="D285" s="12" t="n">
        <v>3762</v>
      </c>
      <c r="E285" s="12" t="n">
        <v>324</v>
      </c>
      <c r="F285" s="13">
        <f>+D285/E285</f>
        <v/>
      </c>
      <c r="G285" s="25" t="n">
        <v>0.8958333333333334</v>
      </c>
      <c r="H285" s="22" t="n">
        <v>11</v>
      </c>
      <c r="I285" s="22" t="inlineStr">
        <is>
          <t>MANIGUA</t>
        </is>
      </c>
      <c r="J285" s="22" t="inlineStr">
        <is>
          <t>CARGUEROS</t>
        </is>
      </c>
      <c r="K285" s="23" t="n"/>
      <c r="L285" s="17" t="n"/>
      <c r="M285" s="48" t="n"/>
    </row>
    <row r="286" ht="15.75" customHeight="1">
      <c r="A286" s="46" t="n">
        <v>45698</v>
      </c>
      <c r="B286" s="10" t="n">
        <v>8</v>
      </c>
      <c r="C286" s="21" t="inlineStr">
        <is>
          <t>GARCERAS</t>
        </is>
      </c>
      <c r="D286" s="12" t="n">
        <v>3762</v>
      </c>
      <c r="E286" s="12" t="n">
        <v>360</v>
      </c>
      <c r="F286" s="13">
        <f>+D286/E286</f>
        <v/>
      </c>
      <c r="G286" s="25" t="n">
        <v>0.8958333333333334</v>
      </c>
      <c r="H286" s="22" t="n">
        <v>11</v>
      </c>
      <c r="I286" s="22" t="inlineStr">
        <is>
          <t>MANIGUA</t>
        </is>
      </c>
      <c r="J286" s="22" t="inlineStr">
        <is>
          <t>CARGUEROS</t>
        </is>
      </c>
      <c r="K286" s="23" t="n"/>
      <c r="L286" s="17" t="n"/>
      <c r="M286" s="48" t="n"/>
    </row>
    <row r="287" ht="15.75" customHeight="1">
      <c r="A287" s="46" t="n">
        <v>45698</v>
      </c>
      <c r="B287" s="10" t="n">
        <v>9</v>
      </c>
      <c r="C287" s="21" t="inlineStr">
        <is>
          <t>GARCERAS</t>
        </is>
      </c>
      <c r="D287" s="12" t="n">
        <v>3762</v>
      </c>
      <c r="E287" s="12" t="n">
        <v>324</v>
      </c>
      <c r="F287" s="13">
        <f>+D287/E287</f>
        <v/>
      </c>
      <c r="G287" s="25" t="n">
        <v>0.8958333333333334</v>
      </c>
      <c r="H287" s="22" t="n">
        <v>11</v>
      </c>
      <c r="I287" s="22" t="inlineStr">
        <is>
          <t>MANIGUA</t>
        </is>
      </c>
      <c r="J287" s="22" t="inlineStr">
        <is>
          <t>CARGUEROS</t>
        </is>
      </c>
      <c r="K287" s="23" t="n"/>
      <c r="L287" s="17" t="n"/>
      <c r="M287" s="48" t="n"/>
    </row>
    <row r="288" ht="15.75" customHeight="1">
      <c r="A288" s="46" t="n">
        <v>45698</v>
      </c>
      <c r="B288" s="10" t="n">
        <v>10</v>
      </c>
      <c r="C288" s="21" t="inlineStr">
        <is>
          <t>GARCERAS</t>
        </is>
      </c>
      <c r="D288" s="12" t="n">
        <v>3762</v>
      </c>
      <c r="E288" s="12" t="n">
        <v>324</v>
      </c>
      <c r="F288" s="13">
        <f>+D288/E288</f>
        <v/>
      </c>
      <c r="G288" s="25" t="n">
        <v>0.8958333333333334</v>
      </c>
      <c r="H288" s="22" t="n">
        <v>11</v>
      </c>
      <c r="I288" s="22" t="inlineStr">
        <is>
          <t>MANIGUA</t>
        </is>
      </c>
      <c r="J288" s="22" t="inlineStr">
        <is>
          <t>CARGUEROS</t>
        </is>
      </c>
      <c r="K288" s="23" t="n"/>
      <c r="L288" s="17" t="n"/>
      <c r="M288" s="48" t="n"/>
    </row>
    <row r="289" ht="15.75" customHeight="1">
      <c r="A289" s="46" t="n">
        <v>45698</v>
      </c>
      <c r="B289" s="10" t="n">
        <v>1</v>
      </c>
      <c r="C289" s="21" t="inlineStr">
        <is>
          <t>HUERTAS</t>
        </is>
      </c>
      <c r="D289" s="12" t="n">
        <v>3240</v>
      </c>
      <c r="E289" s="12" t="n">
        <v>324</v>
      </c>
      <c r="F289" s="13">
        <f>+D289/E289</f>
        <v/>
      </c>
      <c r="G289" s="25" t="n">
        <v>0.6666666666666666</v>
      </c>
      <c r="H289" s="22" t="n">
        <v>11</v>
      </c>
      <c r="I289" s="22" t="inlineStr">
        <is>
          <t>BOGOTA</t>
        </is>
      </c>
      <c r="J289" s="22" t="inlineStr">
        <is>
          <t>ABONEROS</t>
        </is>
      </c>
      <c r="K289" s="23" t="n"/>
      <c r="L289" s="17" t="n"/>
      <c r="M289" s="49" t="inlineStr">
        <is>
          <t>HUACALES APLASTADOS Y SIN TAPAS</t>
        </is>
      </c>
    </row>
    <row r="290" ht="15.75" customHeight="1">
      <c r="A290" s="46" t="n">
        <v>45698</v>
      </c>
      <c r="B290" s="10" t="n">
        <v>2</v>
      </c>
      <c r="C290" s="21" t="inlineStr">
        <is>
          <t>HUERTAS</t>
        </is>
      </c>
      <c r="D290" s="12" t="n">
        <v>2916</v>
      </c>
      <c r="E290" s="12" t="n">
        <v>324</v>
      </c>
      <c r="F290" s="13">
        <f>+D290/E290</f>
        <v/>
      </c>
      <c r="G290" s="25" t="n">
        <v>0.6666666666666666</v>
      </c>
      <c r="H290" s="22" t="n">
        <v>11</v>
      </c>
      <c r="I290" s="22" t="inlineStr">
        <is>
          <t>BOGOTA</t>
        </is>
      </c>
      <c r="J290" s="22" t="inlineStr">
        <is>
          <t>ABONEROS</t>
        </is>
      </c>
      <c r="K290" s="23" t="n"/>
      <c r="L290" s="17" t="n"/>
      <c r="M290" s="48" t="n"/>
    </row>
    <row r="291" ht="15.75" customHeight="1">
      <c r="A291" s="67" t="n">
        <v>45698</v>
      </c>
      <c r="B291" s="27" t="n">
        <v>3</v>
      </c>
      <c r="C291" s="28" t="inlineStr">
        <is>
          <t>HUERTAS</t>
        </is>
      </c>
      <c r="D291" s="29" t="n">
        <v>2826</v>
      </c>
      <c r="E291" s="29" t="n">
        <v>324</v>
      </c>
      <c r="F291" s="30">
        <f>+D291/E291</f>
        <v/>
      </c>
      <c r="G291" s="31" t="n">
        <v>0.6666666666666666</v>
      </c>
      <c r="H291" s="32" t="n">
        <v>11</v>
      </c>
      <c r="I291" s="32" t="inlineStr">
        <is>
          <t>BOGOTA</t>
        </is>
      </c>
      <c r="J291" s="32" t="inlineStr">
        <is>
          <t>ABONEROS</t>
        </is>
      </c>
      <c r="K291" s="33" t="n"/>
      <c r="L291" s="34" t="n"/>
      <c r="M291" s="69" t="n"/>
    </row>
    <row r="292" ht="15.75" customHeight="1">
      <c r="A292" s="36" t="n">
        <v>45699</v>
      </c>
      <c r="B292" s="37" t="n">
        <v>1</v>
      </c>
      <c r="C292" s="38" t="inlineStr">
        <is>
          <t>GARCERAS</t>
        </is>
      </c>
      <c r="D292" s="39" t="n">
        <v>3762</v>
      </c>
      <c r="E292" s="39" t="n">
        <v>324</v>
      </c>
      <c r="F292" s="40">
        <f>+D292/E292</f>
        <v/>
      </c>
      <c r="G292" s="41" t="n">
        <v>0.9375</v>
      </c>
      <c r="H292" s="42" t="n">
        <v>11</v>
      </c>
      <c r="I292" s="42" t="inlineStr">
        <is>
          <t>MANIGUA</t>
        </is>
      </c>
      <c r="J292" s="42" t="inlineStr">
        <is>
          <t>CARGUEROS</t>
        </is>
      </c>
      <c r="K292" s="62" t="n"/>
      <c r="L292" s="44" t="n"/>
      <c r="M292" s="45" t="n"/>
    </row>
    <row r="293" ht="15.75" customHeight="1">
      <c r="A293" s="46" t="n">
        <v>45699</v>
      </c>
      <c r="B293" s="10" t="n">
        <v>2</v>
      </c>
      <c r="C293" s="21" t="inlineStr">
        <is>
          <t>GARCERAS</t>
        </is>
      </c>
      <c r="D293" s="12" t="n">
        <v>3141</v>
      </c>
      <c r="E293" s="12" t="n">
        <v>324</v>
      </c>
      <c r="F293" s="13">
        <f>+D293/E293</f>
        <v/>
      </c>
      <c r="G293" s="25" t="n">
        <v>0.9375</v>
      </c>
      <c r="H293" s="22" t="n">
        <v>11</v>
      </c>
      <c r="I293" s="22" t="inlineStr">
        <is>
          <t>MANIGUA</t>
        </is>
      </c>
      <c r="J293" s="22" t="inlineStr">
        <is>
          <t>CARGUEROS</t>
        </is>
      </c>
      <c r="K293" s="23" t="n"/>
      <c r="L293" s="17" t="n"/>
      <c r="M293" s="48" t="n"/>
    </row>
    <row r="294" ht="15.75" customHeight="1">
      <c r="A294" s="46" t="n">
        <v>45699</v>
      </c>
      <c r="B294" s="10" t="n">
        <v>3</v>
      </c>
      <c r="C294" s="21" t="inlineStr">
        <is>
          <t>GARCERAS</t>
        </is>
      </c>
      <c r="D294" s="12" t="n">
        <v>3141</v>
      </c>
      <c r="E294" s="12" t="n">
        <v>324</v>
      </c>
      <c r="F294" s="13">
        <f>+D294/E294</f>
        <v/>
      </c>
      <c r="G294" s="25" t="n">
        <v>0.9375</v>
      </c>
      <c r="H294" s="22" t="n">
        <v>11</v>
      </c>
      <c r="I294" s="22" t="inlineStr">
        <is>
          <t>MANIGUA</t>
        </is>
      </c>
      <c r="J294" s="22" t="inlineStr">
        <is>
          <t>CARGUEROS</t>
        </is>
      </c>
      <c r="K294" s="23" t="n"/>
      <c r="L294" s="17" t="n"/>
      <c r="M294" s="48" t="n"/>
    </row>
    <row r="295" ht="15.75" customHeight="1">
      <c r="A295" s="46" t="n">
        <v>45699</v>
      </c>
      <c r="B295" s="10" t="n">
        <v>4</v>
      </c>
      <c r="C295" s="21" t="inlineStr">
        <is>
          <t>GARCERAS</t>
        </is>
      </c>
      <c r="D295" s="12" t="n">
        <v>3141</v>
      </c>
      <c r="E295" s="12" t="n">
        <v>324</v>
      </c>
      <c r="F295" s="13">
        <f>+D295/E295</f>
        <v/>
      </c>
      <c r="G295" s="25" t="n">
        <v>0.9375</v>
      </c>
      <c r="H295" s="22" t="n">
        <v>11</v>
      </c>
      <c r="I295" s="22" t="inlineStr">
        <is>
          <t>MANIGUA</t>
        </is>
      </c>
      <c r="J295" s="22" t="inlineStr">
        <is>
          <t>CARGUEROS</t>
        </is>
      </c>
      <c r="K295" s="23" t="n"/>
      <c r="L295" s="17" t="n"/>
      <c r="M295" s="48" t="n"/>
    </row>
    <row r="296" ht="15.75" customHeight="1">
      <c r="A296" s="46" t="n">
        <v>45699</v>
      </c>
      <c r="B296" s="10" t="n">
        <v>5</v>
      </c>
      <c r="C296" s="21" t="inlineStr">
        <is>
          <t>GARCERAS</t>
        </is>
      </c>
      <c r="D296" s="12" t="n">
        <v>3141</v>
      </c>
      <c r="E296" s="12" t="n">
        <v>324</v>
      </c>
      <c r="F296" s="13">
        <f>+D296/E296</f>
        <v/>
      </c>
      <c r="G296" s="25" t="n">
        <v>0.9375</v>
      </c>
      <c r="H296" s="22" t="n">
        <v>11</v>
      </c>
      <c r="I296" s="22" t="inlineStr">
        <is>
          <t>MANIGUA</t>
        </is>
      </c>
      <c r="J296" s="22" t="inlineStr">
        <is>
          <t>CARGUEROS</t>
        </is>
      </c>
      <c r="K296" s="23" t="n"/>
      <c r="L296" s="17" t="n"/>
      <c r="M296" s="48" t="n"/>
    </row>
    <row r="297" ht="15.75" customHeight="1">
      <c r="A297" s="46" t="n">
        <v>45699</v>
      </c>
      <c r="B297" s="10" t="n">
        <v>6</v>
      </c>
      <c r="C297" s="21" t="inlineStr">
        <is>
          <t>GARCERAS</t>
        </is>
      </c>
      <c r="D297" s="12" t="n">
        <v>3141</v>
      </c>
      <c r="E297" s="12" t="n">
        <v>324</v>
      </c>
      <c r="F297" s="13">
        <f>+D297/E297</f>
        <v/>
      </c>
      <c r="G297" s="25" t="n">
        <v>0.9375</v>
      </c>
      <c r="H297" s="22" t="n">
        <v>11</v>
      </c>
      <c r="I297" s="22" t="inlineStr">
        <is>
          <t>MANIGUA</t>
        </is>
      </c>
      <c r="J297" s="22" t="inlineStr">
        <is>
          <t>CARGUEROS</t>
        </is>
      </c>
      <c r="K297" s="23" t="n"/>
      <c r="L297" s="17" t="n"/>
      <c r="M297" s="48" t="n"/>
    </row>
    <row r="298" ht="15.75" customHeight="1">
      <c r="A298" s="46" t="n">
        <v>45699</v>
      </c>
      <c r="B298" s="10" t="n">
        <v>7</v>
      </c>
      <c r="C298" s="21" t="inlineStr">
        <is>
          <t>GARCERAS</t>
        </is>
      </c>
      <c r="D298" s="12" t="n">
        <v>3081</v>
      </c>
      <c r="E298" s="12" t="n">
        <v>324</v>
      </c>
      <c r="F298" s="13">
        <f>+D298/E298</f>
        <v/>
      </c>
      <c r="G298" s="25" t="n">
        <v>0.9375</v>
      </c>
      <c r="H298" s="22" t="n">
        <v>11</v>
      </c>
      <c r="I298" s="22" t="inlineStr">
        <is>
          <t>MANIGUA</t>
        </is>
      </c>
      <c r="J298" s="22" t="inlineStr">
        <is>
          <t>CARGUEROS</t>
        </is>
      </c>
      <c r="K298" s="23" t="n"/>
      <c r="L298" s="17" t="n"/>
      <c r="M298" s="48" t="n"/>
    </row>
    <row r="299" ht="15.75" customHeight="1">
      <c r="A299" s="46" t="n">
        <v>45699</v>
      </c>
      <c r="B299" s="10" t="n">
        <v>8</v>
      </c>
      <c r="C299" s="21" t="inlineStr">
        <is>
          <t>GARCERAS</t>
        </is>
      </c>
      <c r="D299" s="12" t="n">
        <v>3081</v>
      </c>
      <c r="E299" s="12" t="n">
        <v>324</v>
      </c>
      <c r="F299" s="13">
        <f>+D299/E299</f>
        <v/>
      </c>
      <c r="G299" s="25" t="n">
        <v>0.9375</v>
      </c>
      <c r="H299" s="22" t="n">
        <v>11</v>
      </c>
      <c r="I299" s="22" t="inlineStr">
        <is>
          <t>MANIGUA</t>
        </is>
      </c>
      <c r="J299" s="22" t="inlineStr">
        <is>
          <t>CARGUEROS</t>
        </is>
      </c>
      <c r="K299" s="23" t="n"/>
      <c r="L299" s="17" t="n"/>
      <c r="M299" s="48" t="n"/>
    </row>
    <row r="300" ht="15.75" customHeight="1">
      <c r="A300" s="67" t="n">
        <v>45699</v>
      </c>
      <c r="B300" s="27" t="n">
        <v>9</v>
      </c>
      <c r="C300" s="28" t="inlineStr">
        <is>
          <t>GARCERAS</t>
        </is>
      </c>
      <c r="D300" s="29" t="n">
        <v>3081</v>
      </c>
      <c r="E300" s="29" t="n">
        <v>324</v>
      </c>
      <c r="F300" s="30">
        <f>+D300/E300</f>
        <v/>
      </c>
      <c r="G300" s="31" t="n">
        <v>0.9375</v>
      </c>
      <c r="H300" s="32" t="n">
        <v>11</v>
      </c>
      <c r="I300" s="32" t="inlineStr">
        <is>
          <t>MANIGUA</t>
        </is>
      </c>
      <c r="J300" s="32" t="inlineStr">
        <is>
          <t>CARGUEROS</t>
        </is>
      </c>
      <c r="K300" s="33" t="n"/>
      <c r="L300" s="34" t="n"/>
      <c r="M300" s="69" t="n"/>
    </row>
    <row r="301" ht="15.75" customHeight="1">
      <c r="A301" s="36" t="n">
        <v>45700</v>
      </c>
      <c r="B301" s="37" t="n">
        <v>1</v>
      </c>
      <c r="C301" s="38" t="inlineStr">
        <is>
          <t>HUERTAS</t>
        </is>
      </c>
      <c r="D301" s="39" t="n">
        <v>2949</v>
      </c>
      <c r="E301" s="39" t="n">
        <v>324</v>
      </c>
      <c r="F301" s="40">
        <f>+D301/E301</f>
        <v/>
      </c>
      <c r="G301" s="41" t="n">
        <v>0.9583333333333334</v>
      </c>
      <c r="H301" s="42" t="n">
        <v>8</v>
      </c>
      <c r="I301" s="42" t="inlineStr">
        <is>
          <t>MANIGUA</t>
        </is>
      </c>
      <c r="J301" s="41" t="inlineStr">
        <is>
          <t>ABONEROS</t>
        </is>
      </c>
      <c r="K301" s="62" t="n"/>
      <c r="L301" s="44" t="n"/>
      <c r="M301" s="45" t="n"/>
    </row>
    <row r="302" ht="15.75" customHeight="1">
      <c r="A302" s="46" t="n">
        <v>45700</v>
      </c>
      <c r="B302" s="10" t="n">
        <v>2</v>
      </c>
      <c r="C302" s="21" t="inlineStr">
        <is>
          <t>HUERTAS</t>
        </is>
      </c>
      <c r="D302" s="12" t="n">
        <v>2949</v>
      </c>
      <c r="E302" s="12" t="n">
        <v>324</v>
      </c>
      <c r="F302" s="13">
        <f>+D302/E302</f>
        <v/>
      </c>
      <c r="G302" s="25" t="n">
        <v>0.9583333333333334</v>
      </c>
      <c r="H302" s="22" t="n">
        <v>8</v>
      </c>
      <c r="I302" s="22" t="inlineStr">
        <is>
          <t>MANIGUA</t>
        </is>
      </c>
      <c r="J302" s="25" t="inlineStr">
        <is>
          <t>ABONEROS</t>
        </is>
      </c>
      <c r="K302" s="23" t="n"/>
      <c r="L302" s="17" t="n"/>
      <c r="M302" s="48" t="n"/>
    </row>
    <row r="303" ht="15.75" customHeight="1">
      <c r="A303" s="46" t="n">
        <v>45700</v>
      </c>
      <c r="B303" s="10" t="n">
        <v>3</v>
      </c>
      <c r="C303" s="21" t="inlineStr">
        <is>
          <t>HUERTAS</t>
        </is>
      </c>
      <c r="D303" s="12" t="n">
        <v>2949</v>
      </c>
      <c r="E303" s="12" t="n">
        <v>324</v>
      </c>
      <c r="F303" s="13">
        <f>+D303/E303</f>
        <v/>
      </c>
      <c r="G303" s="25" t="n">
        <v>0.9583333333333334</v>
      </c>
      <c r="H303" s="22" t="n">
        <v>8</v>
      </c>
      <c r="I303" s="22" t="inlineStr">
        <is>
          <t>MANIGUA</t>
        </is>
      </c>
      <c r="J303" s="25" t="inlineStr">
        <is>
          <t>ABONEROS</t>
        </is>
      </c>
      <c r="K303" s="23" t="n"/>
      <c r="L303" s="17" t="n"/>
      <c r="M303" s="48" t="n"/>
    </row>
    <row r="304" ht="15.75" customHeight="1">
      <c r="A304" s="46" t="n">
        <v>45700</v>
      </c>
      <c r="B304" s="10" t="n">
        <v>4</v>
      </c>
      <c r="C304" s="21" t="inlineStr">
        <is>
          <t>HUERTAS</t>
        </is>
      </c>
      <c r="D304" s="12" t="n">
        <v>2949</v>
      </c>
      <c r="E304" s="12" t="n">
        <v>324</v>
      </c>
      <c r="F304" s="13">
        <f>+D304/E304</f>
        <v/>
      </c>
      <c r="G304" s="25" t="n">
        <v>0.9583333333333334</v>
      </c>
      <c r="H304" s="22" t="n">
        <v>8</v>
      </c>
      <c r="I304" s="22" t="inlineStr">
        <is>
          <t>MANIGUA</t>
        </is>
      </c>
      <c r="J304" s="25" t="inlineStr">
        <is>
          <t>ABONEROS</t>
        </is>
      </c>
      <c r="K304" s="23" t="n"/>
      <c r="L304" s="17" t="n"/>
      <c r="M304" s="48" t="n"/>
    </row>
    <row r="305" ht="15.75" customHeight="1">
      <c r="A305" s="46" t="n">
        <v>45700</v>
      </c>
      <c r="B305" s="10" t="n">
        <v>1</v>
      </c>
      <c r="C305" s="21" t="inlineStr">
        <is>
          <t>GARCERAS</t>
        </is>
      </c>
      <c r="D305" s="12" t="n">
        <v>3669</v>
      </c>
      <c r="E305" s="12" t="n">
        <v>324</v>
      </c>
      <c r="F305" s="13">
        <f>+D305/E305</f>
        <v/>
      </c>
      <c r="G305" s="25" t="n">
        <v>0.1041666666666667</v>
      </c>
      <c r="H305" s="22" t="n">
        <v>10</v>
      </c>
      <c r="I305" s="22" t="inlineStr">
        <is>
          <t>MANIGUA</t>
        </is>
      </c>
      <c r="J305" s="25" t="inlineStr">
        <is>
          <t>CARGUEROS</t>
        </is>
      </c>
      <c r="K305" s="23" t="n"/>
      <c r="L305" s="17" t="n"/>
      <c r="M305" s="48" t="n"/>
    </row>
    <row r="306" ht="15.75" customHeight="1">
      <c r="A306" s="46" t="n">
        <v>45700</v>
      </c>
      <c r="B306" s="10" t="n">
        <v>2</v>
      </c>
      <c r="C306" s="21" t="inlineStr">
        <is>
          <t>GARCERAS</t>
        </is>
      </c>
      <c r="D306" s="12" t="n">
        <v>3669</v>
      </c>
      <c r="E306" s="12" t="n">
        <v>324</v>
      </c>
      <c r="F306" s="13">
        <f>+D306/E306</f>
        <v/>
      </c>
      <c r="G306" s="25" t="n">
        <v>0.1041666666666667</v>
      </c>
      <c r="H306" s="22" t="n">
        <v>10</v>
      </c>
      <c r="I306" s="22" t="inlineStr">
        <is>
          <t>MANIGUA</t>
        </is>
      </c>
      <c r="J306" s="25" t="inlineStr">
        <is>
          <t>CARGUEROS</t>
        </is>
      </c>
      <c r="K306" s="23" t="n"/>
      <c r="L306" s="17" t="n"/>
      <c r="M306" s="48" t="n"/>
    </row>
    <row r="307" ht="15.75" customHeight="1">
      <c r="A307" s="46" t="n">
        <v>45700</v>
      </c>
      <c r="B307" s="10" t="n">
        <v>3</v>
      </c>
      <c r="C307" s="21" t="inlineStr">
        <is>
          <t>GARCERAS</t>
        </is>
      </c>
      <c r="D307" s="12" t="n">
        <v>3669</v>
      </c>
      <c r="E307" s="12" t="n">
        <v>324</v>
      </c>
      <c r="F307" s="13">
        <f>+D307/E307</f>
        <v/>
      </c>
      <c r="G307" s="25" t="n">
        <v>0.1041666666666667</v>
      </c>
      <c r="H307" s="22" t="n">
        <v>10</v>
      </c>
      <c r="I307" s="22" t="inlineStr">
        <is>
          <t>MANIGUA</t>
        </is>
      </c>
      <c r="J307" s="25" t="inlineStr">
        <is>
          <t>CARGUEROS</t>
        </is>
      </c>
      <c r="K307" s="23" t="n"/>
      <c r="L307" s="17" t="n"/>
      <c r="M307" s="48" t="n"/>
    </row>
    <row r="308" ht="15.75" customHeight="1">
      <c r="A308" s="46" t="n">
        <v>45700</v>
      </c>
      <c r="B308" s="10" t="n">
        <v>4</v>
      </c>
      <c r="C308" s="21" t="inlineStr">
        <is>
          <t>GARCERAS</t>
        </is>
      </c>
      <c r="D308" s="12" t="n">
        <v>3669</v>
      </c>
      <c r="E308" s="12" t="n">
        <v>324</v>
      </c>
      <c r="F308" s="13">
        <f>+D308/E308</f>
        <v/>
      </c>
      <c r="G308" s="25" t="n">
        <v>0.1041666666666667</v>
      </c>
      <c r="H308" s="22" t="n">
        <v>10</v>
      </c>
      <c r="I308" s="22" t="inlineStr">
        <is>
          <t>MANIGUA</t>
        </is>
      </c>
      <c r="J308" s="25" t="inlineStr">
        <is>
          <t>CARGUEROS</t>
        </is>
      </c>
      <c r="K308" s="23" t="n"/>
      <c r="L308" s="17" t="n"/>
      <c r="M308" s="48" t="n"/>
    </row>
    <row r="309" ht="15.75" customHeight="1">
      <c r="A309" s="46" t="n">
        <v>45700</v>
      </c>
      <c r="B309" s="10" t="n">
        <v>5</v>
      </c>
      <c r="C309" s="21" t="inlineStr">
        <is>
          <t>GARCERAS</t>
        </is>
      </c>
      <c r="D309" s="12" t="n">
        <v>3047</v>
      </c>
      <c r="E309" s="12" t="n">
        <v>324</v>
      </c>
      <c r="F309" s="13">
        <f>+D309/E309</f>
        <v/>
      </c>
      <c r="G309" s="25" t="n">
        <v>0.1041666666666667</v>
      </c>
      <c r="H309" s="22" t="n">
        <v>10</v>
      </c>
      <c r="I309" s="22" t="inlineStr">
        <is>
          <t>MANIGUA</t>
        </is>
      </c>
      <c r="J309" s="25" t="inlineStr">
        <is>
          <t>CARGUEROS</t>
        </is>
      </c>
      <c r="K309" s="23" t="n"/>
      <c r="L309" s="17" t="n"/>
      <c r="M309" s="48" t="n"/>
    </row>
    <row r="310" ht="15.75" customHeight="1">
      <c r="A310" s="67" t="n">
        <v>45700</v>
      </c>
      <c r="B310" s="27" t="n">
        <v>6</v>
      </c>
      <c r="C310" s="28" t="inlineStr">
        <is>
          <t>GARCERAS</t>
        </is>
      </c>
      <c r="D310" s="29" t="n">
        <v>3047</v>
      </c>
      <c r="E310" s="29" t="n">
        <v>324</v>
      </c>
      <c r="F310" s="30">
        <f>+D310/E310</f>
        <v/>
      </c>
      <c r="G310" s="31" t="n">
        <v>0.1041666666666667</v>
      </c>
      <c r="H310" s="32" t="n">
        <v>10</v>
      </c>
      <c r="I310" s="32" t="inlineStr">
        <is>
          <t>MANIGUA</t>
        </is>
      </c>
      <c r="J310" s="31" t="inlineStr">
        <is>
          <t>CARGUEROS</t>
        </is>
      </c>
      <c r="K310" s="33" t="n"/>
      <c r="L310" s="34" t="n"/>
      <c r="M310" s="69" t="n"/>
    </row>
    <row r="311" ht="15.75" customHeight="1">
      <c r="A311" s="96" t="n">
        <v>45701</v>
      </c>
      <c r="B311" s="97" t="inlineStr">
        <is>
          <t>NO CARGUE</t>
        </is>
      </c>
      <c r="C311" s="98" t="n"/>
      <c r="D311" s="99" t="n"/>
      <c r="E311" s="99" t="n"/>
      <c r="F311" s="100" t="n"/>
      <c r="G311" s="101" t="n"/>
      <c r="H311" s="101" t="n"/>
      <c r="I311" s="101" t="n"/>
      <c r="J311" s="101" t="n"/>
      <c r="K311" s="102" t="n"/>
      <c r="L311" s="103" t="n"/>
      <c r="M311" s="104" t="n"/>
    </row>
    <row r="312" ht="15.75" customHeight="1">
      <c r="A312" s="36" t="n">
        <v>45702</v>
      </c>
      <c r="B312" s="37" t="n">
        <v>1</v>
      </c>
      <c r="C312" s="38" t="inlineStr">
        <is>
          <t>HUERTAS</t>
        </is>
      </c>
      <c r="D312" s="39" t="n">
        <v>3309</v>
      </c>
      <c r="E312" s="39" t="n">
        <v>324</v>
      </c>
      <c r="F312" s="40">
        <f>+D312/E312</f>
        <v/>
      </c>
      <c r="G312" s="41" t="n">
        <v>0.9375</v>
      </c>
      <c r="H312" s="42" t="n">
        <v>8</v>
      </c>
      <c r="I312" s="42" t="inlineStr">
        <is>
          <t>MANIGUA</t>
        </is>
      </c>
      <c r="J312" s="42" t="inlineStr">
        <is>
          <t>ABONEROS</t>
        </is>
      </c>
      <c r="K312" s="43" t="n">
        <v>0.1430555555555555</v>
      </c>
      <c r="L312" s="44" t="n">
        <v>0.1652777777777778</v>
      </c>
      <c r="M312" s="45" t="n"/>
    </row>
    <row r="313" ht="15.75" customHeight="1">
      <c r="A313" s="46" t="n">
        <v>45702</v>
      </c>
      <c r="B313" s="10" t="n">
        <v>2</v>
      </c>
      <c r="C313" s="21" t="inlineStr">
        <is>
          <t>HUERTAS</t>
        </is>
      </c>
      <c r="D313" s="12" t="n">
        <v>3309</v>
      </c>
      <c r="E313" s="12" t="n">
        <v>324</v>
      </c>
      <c r="F313" s="13">
        <f>+D313/E313</f>
        <v/>
      </c>
      <c r="G313" s="25" t="n">
        <v>0.9375</v>
      </c>
      <c r="H313" s="22" t="n">
        <v>8</v>
      </c>
      <c r="I313" s="22" t="inlineStr">
        <is>
          <t>MANIGUA</t>
        </is>
      </c>
      <c r="J313" s="22" t="inlineStr">
        <is>
          <t>ABONEROS</t>
        </is>
      </c>
      <c r="K313" s="47" t="n">
        <v>0.2666666666666667</v>
      </c>
      <c r="L313" s="17">
        <f>+K313-K312</f>
        <v/>
      </c>
      <c r="M313" s="49" t="inlineStr">
        <is>
          <t>7 HORAS DE CARGUE PARA DOS VIAJES RECOGER SALDOS DE CINCO GALPONES , DESGASTE PERSONAL E INCORFORMIDAD</t>
        </is>
      </c>
    </row>
    <row r="314" ht="15.75" customHeight="1">
      <c r="A314" s="46" t="n">
        <v>45702</v>
      </c>
      <c r="B314" s="10" t="n">
        <v>1</v>
      </c>
      <c r="C314" s="21" t="inlineStr">
        <is>
          <t>GARCERAS</t>
        </is>
      </c>
      <c r="D314" s="12" t="n">
        <v>3164</v>
      </c>
      <c r="E314" s="12" t="n">
        <v>324</v>
      </c>
      <c r="F314" s="13">
        <f>+D314/E314</f>
        <v/>
      </c>
      <c r="G314" s="25" t="n">
        <v>0</v>
      </c>
      <c r="H314" s="22" t="n">
        <v>10</v>
      </c>
      <c r="I314" s="22" t="inlineStr">
        <is>
          <t>MANIGUA</t>
        </is>
      </c>
      <c r="J314" s="22" t="inlineStr">
        <is>
          <t>CARGUEROS</t>
        </is>
      </c>
      <c r="K314" s="23" t="n"/>
      <c r="L314" s="17" t="n"/>
      <c r="M314" s="48" t="n"/>
    </row>
    <row r="315" ht="15.75" customHeight="1">
      <c r="A315" s="46" t="n">
        <v>45702</v>
      </c>
      <c r="B315" s="10" t="n">
        <v>2</v>
      </c>
      <c r="C315" s="21" t="inlineStr">
        <is>
          <t>GARCERAS</t>
        </is>
      </c>
      <c r="D315" s="12" t="n">
        <v>3164</v>
      </c>
      <c r="E315" s="12" t="n">
        <v>360</v>
      </c>
      <c r="F315" s="13">
        <f>+D315/E315</f>
        <v/>
      </c>
      <c r="G315" s="25" t="n">
        <v>0</v>
      </c>
      <c r="H315" s="22" t="n">
        <v>10</v>
      </c>
      <c r="I315" s="22" t="inlineStr">
        <is>
          <t>MANIGUA</t>
        </is>
      </c>
      <c r="J315" s="22" t="inlineStr">
        <is>
          <t>CARGUEROS</t>
        </is>
      </c>
      <c r="K315" s="23" t="n"/>
      <c r="L315" s="17" t="n"/>
      <c r="M315" s="48" t="n"/>
    </row>
    <row r="316" ht="15.75" customHeight="1">
      <c r="A316" s="46" t="n">
        <v>45702</v>
      </c>
      <c r="B316" s="10" t="n">
        <v>3</v>
      </c>
      <c r="C316" s="21" t="inlineStr">
        <is>
          <t>GARCERAS</t>
        </is>
      </c>
      <c r="D316" s="12" t="n">
        <v>3164</v>
      </c>
      <c r="E316" s="12" t="n">
        <v>360</v>
      </c>
      <c r="F316" s="13">
        <f>+D316/E316</f>
        <v/>
      </c>
      <c r="G316" s="25" t="n">
        <v>0</v>
      </c>
      <c r="H316" s="22" t="n">
        <v>10</v>
      </c>
      <c r="I316" s="22" t="inlineStr">
        <is>
          <t>MANIGUA</t>
        </is>
      </c>
      <c r="J316" s="22" t="inlineStr">
        <is>
          <t>CARGUEROS</t>
        </is>
      </c>
      <c r="K316" s="23" t="n"/>
      <c r="L316" s="17" t="n"/>
      <c r="M316" s="48" t="n"/>
    </row>
    <row r="317" ht="15.75" customHeight="1">
      <c r="A317" s="46" t="n">
        <v>45702</v>
      </c>
      <c r="B317" s="10" t="n">
        <v>4</v>
      </c>
      <c r="C317" s="21" t="inlineStr">
        <is>
          <t>GARCERAS</t>
        </is>
      </c>
      <c r="D317" s="12" t="n">
        <v>3164</v>
      </c>
      <c r="E317" s="12" t="n">
        <v>324</v>
      </c>
      <c r="F317" s="13">
        <f>+D317/E317</f>
        <v/>
      </c>
      <c r="G317" s="25" t="n">
        <v>0</v>
      </c>
      <c r="H317" s="22" t="n">
        <v>10</v>
      </c>
      <c r="I317" s="22" t="inlineStr">
        <is>
          <t>MANIGUA</t>
        </is>
      </c>
      <c r="J317" s="22" t="inlineStr">
        <is>
          <t>CARGUEROS</t>
        </is>
      </c>
      <c r="K317" s="23" t="n"/>
      <c r="L317" s="17" t="n"/>
      <c r="M317" s="48" t="n"/>
    </row>
    <row r="318" ht="15.75" customHeight="1">
      <c r="A318" s="46" t="n">
        <v>45702</v>
      </c>
      <c r="B318" s="10" t="n">
        <v>5</v>
      </c>
      <c r="C318" s="21" t="inlineStr">
        <is>
          <t>GARCERAS</t>
        </is>
      </c>
      <c r="D318" s="12" t="n">
        <v>3164</v>
      </c>
      <c r="E318" s="12" t="n">
        <v>324</v>
      </c>
      <c r="F318" s="13">
        <f>+D318/E318</f>
        <v/>
      </c>
      <c r="G318" s="25" t="n">
        <v>0</v>
      </c>
      <c r="H318" s="22" t="n">
        <v>10</v>
      </c>
      <c r="I318" s="22" t="inlineStr">
        <is>
          <t>MANIGUA</t>
        </is>
      </c>
      <c r="J318" s="22" t="inlineStr">
        <is>
          <t>CARGUEROS</t>
        </is>
      </c>
      <c r="K318" s="23" t="n"/>
      <c r="L318" s="17" t="n"/>
      <c r="M318" s="48" t="n"/>
    </row>
    <row r="319" ht="15.75" customHeight="1">
      <c r="A319" s="46" t="n">
        <v>45702</v>
      </c>
      <c r="B319" s="10" t="n">
        <v>6</v>
      </c>
      <c r="C319" s="21" t="inlineStr">
        <is>
          <t>GARCERAS</t>
        </is>
      </c>
      <c r="D319" s="12" t="n">
        <v>3655</v>
      </c>
      <c r="E319" s="12" t="n">
        <v>360</v>
      </c>
      <c r="F319" s="13">
        <f>+D319/E319</f>
        <v/>
      </c>
      <c r="G319" s="25" t="n">
        <v>0</v>
      </c>
      <c r="H319" s="22" t="n">
        <v>10</v>
      </c>
      <c r="I319" s="22" t="inlineStr">
        <is>
          <t>MANIGUA</t>
        </is>
      </c>
      <c r="J319" s="22" t="inlineStr">
        <is>
          <t>CARGUEROS</t>
        </is>
      </c>
      <c r="K319" s="23" t="n"/>
      <c r="L319" s="17" t="n"/>
      <c r="M319" s="48" t="n"/>
    </row>
    <row r="320" ht="15.75" customHeight="1">
      <c r="A320" s="46" t="n">
        <v>45702</v>
      </c>
      <c r="B320" s="10" t="n">
        <v>7</v>
      </c>
      <c r="C320" s="21" t="inlineStr">
        <is>
          <t>GARCERAS</t>
        </is>
      </c>
      <c r="D320" s="12" t="n">
        <v>3226</v>
      </c>
      <c r="E320" s="12" t="n">
        <v>324</v>
      </c>
      <c r="F320" s="13">
        <f>+D320/E320</f>
        <v/>
      </c>
      <c r="G320" s="25" t="n">
        <v>0</v>
      </c>
      <c r="H320" s="22" t="n">
        <v>10</v>
      </c>
      <c r="I320" s="22" t="inlineStr">
        <is>
          <t>MANIGUA</t>
        </is>
      </c>
      <c r="J320" s="22" t="inlineStr">
        <is>
          <t>CARGUEROS</t>
        </is>
      </c>
      <c r="K320" s="23" t="n"/>
      <c r="L320" s="17" t="n"/>
      <c r="M320" s="48" t="n"/>
    </row>
    <row r="321" ht="15.75" customHeight="1">
      <c r="A321" s="67" t="n">
        <v>45702</v>
      </c>
      <c r="B321" s="27" t="n">
        <v>8</v>
      </c>
      <c r="C321" s="28" t="inlineStr">
        <is>
          <t>GARCERAS</t>
        </is>
      </c>
      <c r="D321" s="29" t="n">
        <v>3226</v>
      </c>
      <c r="E321" s="29" t="n">
        <v>324</v>
      </c>
      <c r="F321" s="30">
        <f>+D321/E321</f>
        <v/>
      </c>
      <c r="G321" s="31" t="n">
        <v>0</v>
      </c>
      <c r="H321" s="32" t="n">
        <v>10</v>
      </c>
      <c r="I321" s="32" t="inlineStr">
        <is>
          <t>MANIGUA</t>
        </is>
      </c>
      <c r="J321" s="32" t="inlineStr">
        <is>
          <t>CARGUEROS</t>
        </is>
      </c>
      <c r="K321" s="33" t="n"/>
      <c r="L321" s="34" t="n"/>
      <c r="M321" s="69" t="n"/>
    </row>
    <row r="322" ht="15.75" customHeight="1">
      <c r="A322" s="36" t="n">
        <v>45703</v>
      </c>
      <c r="B322" s="37" t="n">
        <v>1</v>
      </c>
      <c r="C322" s="38" t="inlineStr">
        <is>
          <t>HUERTAS</t>
        </is>
      </c>
      <c r="D322" s="39" t="n">
        <v>3075</v>
      </c>
      <c r="E322" s="39" t="n">
        <v>324</v>
      </c>
      <c r="F322" s="40">
        <f>+D322/E322</f>
        <v/>
      </c>
      <c r="G322" s="41" t="n">
        <v>0.875</v>
      </c>
      <c r="H322" s="42" t="n">
        <v>10</v>
      </c>
      <c r="I322" s="42" t="inlineStr">
        <is>
          <t>MANIGUA</t>
        </is>
      </c>
      <c r="J322" s="42" t="inlineStr">
        <is>
          <t>CARGUEROS</t>
        </is>
      </c>
      <c r="K322" s="62" t="n"/>
      <c r="L322" s="44" t="n"/>
      <c r="M322" s="45" t="n"/>
    </row>
    <row r="323" ht="15.75" customHeight="1">
      <c r="A323" s="46" t="n">
        <v>45703</v>
      </c>
      <c r="B323" s="10" t="n">
        <v>2</v>
      </c>
      <c r="C323" s="21" t="inlineStr">
        <is>
          <t>HUERTAS</t>
        </is>
      </c>
      <c r="D323" s="12" t="n">
        <v>3075</v>
      </c>
      <c r="E323" s="12" t="n">
        <v>360</v>
      </c>
      <c r="F323" s="13">
        <f>+D323/E323</f>
        <v/>
      </c>
      <c r="G323" s="25" t="n">
        <v>0.875</v>
      </c>
      <c r="H323" s="22" t="n">
        <v>10</v>
      </c>
      <c r="I323" s="22" t="inlineStr">
        <is>
          <t>MANIGUA</t>
        </is>
      </c>
      <c r="J323" s="22" t="inlineStr">
        <is>
          <t>CARGUEROS</t>
        </is>
      </c>
      <c r="K323" s="23" t="n"/>
      <c r="L323" s="17" t="n"/>
      <c r="M323" s="48" t="n"/>
    </row>
    <row r="324" ht="15.75" customHeight="1">
      <c r="A324" s="46" t="n">
        <v>45703</v>
      </c>
      <c r="B324" s="10" t="n">
        <v>3</v>
      </c>
      <c r="C324" s="21" t="inlineStr">
        <is>
          <t>HUERTAS</t>
        </is>
      </c>
      <c r="D324" s="12" t="n">
        <v>3075</v>
      </c>
      <c r="E324" s="12" t="n">
        <v>324</v>
      </c>
      <c r="F324" s="13">
        <f>+D324/E324</f>
        <v/>
      </c>
      <c r="G324" s="25" t="n">
        <v>0.875</v>
      </c>
      <c r="H324" s="22" t="n">
        <v>10</v>
      </c>
      <c r="I324" s="22" t="inlineStr">
        <is>
          <t>MANIGUA</t>
        </is>
      </c>
      <c r="J324" s="22" t="inlineStr">
        <is>
          <t>CARGUEROS</t>
        </is>
      </c>
      <c r="K324" s="23" t="n"/>
      <c r="L324" s="17" t="n"/>
      <c r="M324" s="48" t="n"/>
    </row>
    <row r="325" ht="15.75" customHeight="1">
      <c r="A325" s="46" t="n">
        <v>45703</v>
      </c>
      <c r="B325" s="10" t="n">
        <v>4</v>
      </c>
      <c r="C325" s="21" t="inlineStr">
        <is>
          <t>HUERTAS</t>
        </is>
      </c>
      <c r="D325" s="12" t="n">
        <v>3719</v>
      </c>
      <c r="E325" s="12" t="n">
        <v>324</v>
      </c>
      <c r="F325" s="13">
        <f>+D325/E325</f>
        <v/>
      </c>
      <c r="G325" s="25" t="n">
        <v>0.875</v>
      </c>
      <c r="H325" s="22" t="n">
        <v>10</v>
      </c>
      <c r="I325" s="22" t="inlineStr">
        <is>
          <t>MANIGUA</t>
        </is>
      </c>
      <c r="J325" s="22" t="inlineStr">
        <is>
          <t>CARGUEROS</t>
        </is>
      </c>
      <c r="K325" s="23" t="n"/>
      <c r="L325" s="17" t="n"/>
      <c r="M325" s="48" t="n"/>
    </row>
    <row r="326" ht="15.75" customHeight="1">
      <c r="A326" s="46" t="n">
        <v>45703</v>
      </c>
      <c r="B326" s="10" t="n">
        <v>5</v>
      </c>
      <c r="C326" s="21" t="inlineStr">
        <is>
          <t>HUERTAS</t>
        </is>
      </c>
      <c r="D326" s="12" t="n">
        <v>3719</v>
      </c>
      <c r="E326" s="12" t="n">
        <v>324</v>
      </c>
      <c r="F326" s="13">
        <f>+D326/E326</f>
        <v/>
      </c>
      <c r="G326" s="25" t="n">
        <v>0.875</v>
      </c>
      <c r="H326" s="22" t="n">
        <v>10</v>
      </c>
      <c r="I326" s="22" t="inlineStr">
        <is>
          <t>MANIGUA</t>
        </is>
      </c>
      <c r="J326" s="22" t="inlineStr">
        <is>
          <t>CARGUEROS</t>
        </is>
      </c>
      <c r="K326" s="23" t="n"/>
      <c r="L326" s="17" t="n"/>
      <c r="M326" s="48" t="n"/>
    </row>
    <row r="327" ht="15.75" customHeight="1">
      <c r="A327" s="46" t="n">
        <v>45703</v>
      </c>
      <c r="B327" s="10" t="n">
        <v>6</v>
      </c>
      <c r="C327" s="21" t="inlineStr">
        <is>
          <t>HUERTAS</t>
        </is>
      </c>
      <c r="D327" s="12" t="n">
        <v>3719</v>
      </c>
      <c r="E327" s="12" t="n">
        <v>324</v>
      </c>
      <c r="F327" s="13">
        <f>+D327/E327</f>
        <v/>
      </c>
      <c r="G327" s="25" t="n">
        <v>0.875</v>
      </c>
      <c r="H327" s="22" t="n">
        <v>10</v>
      </c>
      <c r="I327" s="22" t="inlineStr">
        <is>
          <t>MANIGUA</t>
        </is>
      </c>
      <c r="J327" s="22" t="inlineStr">
        <is>
          <t>CARGUEROS</t>
        </is>
      </c>
      <c r="K327" s="23" t="n"/>
      <c r="L327" s="17" t="n"/>
      <c r="M327" s="48" t="n"/>
    </row>
    <row r="328" ht="15.75" customHeight="1">
      <c r="A328" s="67" t="n">
        <v>45703</v>
      </c>
      <c r="B328" s="27" t="n">
        <v>7</v>
      </c>
      <c r="C328" s="28" t="inlineStr">
        <is>
          <t>HUERTAS</t>
        </is>
      </c>
      <c r="D328" s="29" t="n">
        <v>3719</v>
      </c>
      <c r="E328" s="29" t="n">
        <v>324</v>
      </c>
      <c r="F328" s="30">
        <f>+D328/E328</f>
        <v/>
      </c>
      <c r="G328" s="31" t="n">
        <v>0.875</v>
      </c>
      <c r="H328" s="32" t="n">
        <v>10</v>
      </c>
      <c r="I328" s="32" t="inlineStr">
        <is>
          <t>MANIGUA</t>
        </is>
      </c>
      <c r="J328" s="32" t="inlineStr">
        <is>
          <t>CARGUEROS</t>
        </is>
      </c>
      <c r="K328" s="33" t="n"/>
      <c r="L328" s="34" t="n"/>
      <c r="M328" s="69" t="n"/>
    </row>
    <row r="329" ht="15.75" customHeight="1">
      <c r="A329" s="36" t="n">
        <v>45705</v>
      </c>
      <c r="B329" s="37" t="n">
        <v>1</v>
      </c>
      <c r="C329" s="38" t="inlineStr">
        <is>
          <t>GARCERAS</t>
        </is>
      </c>
      <c r="D329" s="39" t="n">
        <v>3111</v>
      </c>
      <c r="E329" s="39" t="n">
        <v>324</v>
      </c>
      <c r="F329" s="40">
        <f>+D329/E329</f>
        <v/>
      </c>
      <c r="G329" s="41" t="n">
        <v>0.9791666666666666</v>
      </c>
      <c r="H329" s="42" t="n">
        <v>10</v>
      </c>
      <c r="I329" s="42" t="inlineStr">
        <is>
          <t>MANIGUA</t>
        </is>
      </c>
      <c r="J329" s="42" t="inlineStr">
        <is>
          <t>CARGUEROS</t>
        </is>
      </c>
      <c r="K329" s="62" t="n"/>
      <c r="L329" s="44" t="n"/>
      <c r="M329" s="105" t="inlineStr">
        <is>
          <t>NO DEJARON ENTRAR A 4 MUCHACHOS UNO DE CARGUE Y DOS DE ABONO. AL DOCTOR JOYA YA SE LE HABIA ENVIADO CORREO DE AFILIACIONES</t>
        </is>
      </c>
    </row>
    <row r="330" ht="15.75" customHeight="1">
      <c r="A330" s="46" t="n">
        <v>45705</v>
      </c>
      <c r="B330" s="10" t="n">
        <v>2</v>
      </c>
      <c r="C330" s="21" t="inlineStr">
        <is>
          <t>GARCERAS</t>
        </is>
      </c>
      <c r="D330" s="12" t="n">
        <v>3111</v>
      </c>
      <c r="E330" s="12" t="n">
        <v>324</v>
      </c>
      <c r="F330" s="13">
        <f>+D330/E330</f>
        <v/>
      </c>
      <c r="G330" s="25" t="n">
        <v>0.9791666666666666</v>
      </c>
      <c r="H330" s="22" t="n">
        <v>10</v>
      </c>
      <c r="I330" s="22" t="inlineStr">
        <is>
          <t>MANIGUA</t>
        </is>
      </c>
      <c r="J330" s="22" t="inlineStr">
        <is>
          <t>CARGUEROS</t>
        </is>
      </c>
      <c r="K330" s="23" t="n"/>
      <c r="L330" s="17" t="n"/>
      <c r="M330" s="48" t="n"/>
    </row>
    <row r="331" ht="15.75" customHeight="1">
      <c r="A331" s="46" t="n">
        <v>45705</v>
      </c>
      <c r="B331" s="10" t="n">
        <v>3</v>
      </c>
      <c r="C331" s="21" t="inlineStr">
        <is>
          <t>GARCERAS</t>
        </is>
      </c>
      <c r="D331" s="12" t="n">
        <v>3111</v>
      </c>
      <c r="E331" s="12" t="n">
        <v>324</v>
      </c>
      <c r="F331" s="13">
        <f>+D331/E331</f>
        <v/>
      </c>
      <c r="G331" s="25" t="n">
        <v>0.9791666666666666</v>
      </c>
      <c r="H331" s="22" t="n">
        <v>10</v>
      </c>
      <c r="I331" s="22" t="inlineStr">
        <is>
          <t>MANIGUA</t>
        </is>
      </c>
      <c r="J331" s="22" t="inlineStr">
        <is>
          <t>CARGUEROS</t>
        </is>
      </c>
      <c r="K331" s="23" t="n"/>
      <c r="L331" s="17" t="n"/>
      <c r="M331" s="48" t="n"/>
    </row>
    <row r="332" ht="15.75" customHeight="1">
      <c r="A332" s="46" t="n">
        <v>45705</v>
      </c>
      <c r="B332" s="10" t="n">
        <v>4</v>
      </c>
      <c r="C332" s="21" t="inlineStr">
        <is>
          <t>GARCERAS</t>
        </is>
      </c>
      <c r="D332" s="12" t="n">
        <v>3288</v>
      </c>
      <c r="E332" s="12" t="n">
        <v>324</v>
      </c>
      <c r="F332" s="13">
        <f>+D332/E332</f>
        <v/>
      </c>
      <c r="G332" s="25" t="n">
        <v>0.9791666666666666</v>
      </c>
      <c r="H332" s="22" t="n">
        <v>10</v>
      </c>
      <c r="I332" s="22" t="inlineStr">
        <is>
          <t>MANIGUA</t>
        </is>
      </c>
      <c r="J332" s="22" t="inlineStr">
        <is>
          <t>CARGUEROS</t>
        </is>
      </c>
      <c r="K332" s="23" t="n"/>
      <c r="L332" s="17" t="n"/>
      <c r="M332" s="48" t="n"/>
    </row>
    <row r="333" ht="15.75" customHeight="1">
      <c r="A333" s="46" t="n">
        <v>45705</v>
      </c>
      <c r="B333" s="10" t="n">
        <v>5</v>
      </c>
      <c r="C333" s="21" t="inlineStr">
        <is>
          <t>GARCERAS</t>
        </is>
      </c>
      <c r="D333" s="12" t="n">
        <v>3288</v>
      </c>
      <c r="E333" s="12" t="n">
        <v>324</v>
      </c>
      <c r="F333" s="13">
        <f>+D333/E333</f>
        <v/>
      </c>
      <c r="G333" s="25" t="n">
        <v>0.9791666666666666</v>
      </c>
      <c r="H333" s="22" t="n">
        <v>10</v>
      </c>
      <c r="I333" s="22" t="inlineStr">
        <is>
          <t>MANIGUA</t>
        </is>
      </c>
      <c r="J333" s="22" t="inlineStr">
        <is>
          <t>CARGUEROS</t>
        </is>
      </c>
      <c r="K333" s="23" t="n"/>
      <c r="L333" s="17" t="n"/>
      <c r="M333" s="48" t="n"/>
    </row>
    <row r="334" ht="15.75" customHeight="1">
      <c r="A334" s="46" t="n">
        <v>45705</v>
      </c>
      <c r="B334" s="10" t="n">
        <v>6</v>
      </c>
      <c r="C334" s="21" t="inlineStr">
        <is>
          <t>GARCERAS</t>
        </is>
      </c>
      <c r="D334" s="12" t="n">
        <v>3288</v>
      </c>
      <c r="E334" s="12" t="n">
        <v>324</v>
      </c>
      <c r="F334" s="13">
        <f>+D334/E334</f>
        <v/>
      </c>
      <c r="G334" s="25" t="n">
        <v>0.9791666666666666</v>
      </c>
      <c r="H334" s="22" t="n">
        <v>10</v>
      </c>
      <c r="I334" s="22" t="inlineStr">
        <is>
          <t>MANIGUA</t>
        </is>
      </c>
      <c r="J334" s="22" t="inlineStr">
        <is>
          <t>CARGUEROS</t>
        </is>
      </c>
      <c r="K334" s="23" t="n"/>
      <c r="L334" s="17" t="n"/>
      <c r="M334" s="48" t="n"/>
    </row>
    <row r="335" ht="15.75" customHeight="1">
      <c r="A335" s="46" t="n">
        <v>45705</v>
      </c>
      <c r="B335" s="10" t="n">
        <v>1</v>
      </c>
      <c r="C335" s="21" t="inlineStr">
        <is>
          <t>MALAGUEÑA</t>
        </is>
      </c>
      <c r="D335" s="12" t="n">
        <v>3722</v>
      </c>
      <c r="E335" s="12" t="n">
        <v>324</v>
      </c>
      <c r="F335" s="13">
        <f>+D335/E335</f>
        <v/>
      </c>
      <c r="G335" s="25" t="n">
        <v>0.3333333333333333</v>
      </c>
      <c r="H335" s="22" t="n">
        <v>10</v>
      </c>
      <c r="I335" s="22" t="inlineStr">
        <is>
          <t>MANIGUA</t>
        </is>
      </c>
      <c r="J335" s="22" t="inlineStr">
        <is>
          <t>CARGUEROS</t>
        </is>
      </c>
      <c r="K335" s="23" t="n"/>
      <c r="L335" s="17" t="n"/>
      <c r="M335" s="48" t="n"/>
    </row>
    <row r="336" ht="15.75" customHeight="1">
      <c r="A336" s="46" t="n">
        <v>45705</v>
      </c>
      <c r="B336" s="10" t="n">
        <v>2</v>
      </c>
      <c r="C336" s="21" t="inlineStr">
        <is>
          <t>MALAGUEÑA</t>
        </is>
      </c>
      <c r="D336" s="12" t="n">
        <v>3722</v>
      </c>
      <c r="E336" s="12" t="n">
        <v>360</v>
      </c>
      <c r="F336" s="13">
        <f>+D336/E336</f>
        <v/>
      </c>
      <c r="G336" s="25" t="n">
        <v>0.3333333333333333</v>
      </c>
      <c r="H336" s="22" t="n">
        <v>10</v>
      </c>
      <c r="I336" s="22" t="inlineStr">
        <is>
          <t>MANIGUA</t>
        </is>
      </c>
      <c r="J336" s="22" t="inlineStr">
        <is>
          <t>CARGUEROS</t>
        </is>
      </c>
      <c r="K336" s="23" t="n"/>
      <c r="L336" s="17" t="n"/>
      <c r="M336" s="48" t="n"/>
    </row>
    <row r="337" ht="15.75" customHeight="1">
      <c r="A337" s="46" t="n">
        <v>45705</v>
      </c>
      <c r="B337" s="10" t="n">
        <v>3</v>
      </c>
      <c r="C337" s="21" t="inlineStr">
        <is>
          <t>MALAGUEÑA</t>
        </is>
      </c>
      <c r="D337" s="12" t="n">
        <v>3722</v>
      </c>
      <c r="E337" s="12" t="n">
        <v>360</v>
      </c>
      <c r="F337" s="13">
        <f>+D337/E337</f>
        <v/>
      </c>
      <c r="G337" s="25" t="n">
        <v>0.3333333333333333</v>
      </c>
      <c r="H337" s="22" t="n">
        <v>10</v>
      </c>
      <c r="I337" s="22" t="inlineStr">
        <is>
          <t>MANIGUA</t>
        </is>
      </c>
      <c r="J337" s="22" t="inlineStr">
        <is>
          <t>CARGUEROS</t>
        </is>
      </c>
      <c r="K337" s="23" t="n"/>
      <c r="L337" s="17" t="n"/>
      <c r="M337" s="48" t="n"/>
    </row>
    <row r="338" ht="15.75" customHeight="1">
      <c r="A338" s="67" t="n">
        <v>45705</v>
      </c>
      <c r="B338" s="27" t="n">
        <v>4</v>
      </c>
      <c r="C338" s="28" t="inlineStr">
        <is>
          <t>MALAGUEÑA</t>
        </is>
      </c>
      <c r="D338" s="29" t="n">
        <v>3722</v>
      </c>
      <c r="E338" s="29" t="n">
        <v>324</v>
      </c>
      <c r="F338" s="30">
        <f>+D338/E338</f>
        <v/>
      </c>
      <c r="G338" s="31" t="n">
        <v>0.3333333333333333</v>
      </c>
      <c r="H338" s="32" t="n">
        <v>10</v>
      </c>
      <c r="I338" s="32" t="inlineStr">
        <is>
          <t>MANIGUA</t>
        </is>
      </c>
      <c r="J338" s="32" t="inlineStr">
        <is>
          <t>CARGUEROS</t>
        </is>
      </c>
      <c r="K338" s="33" t="n"/>
      <c r="L338" s="34" t="n"/>
      <c r="M338" s="69" t="n"/>
    </row>
    <row r="339" ht="15.75" customHeight="1">
      <c r="A339" s="36" t="n">
        <v>45706</v>
      </c>
      <c r="B339" s="37" t="n">
        <v>1</v>
      </c>
      <c r="C339" s="38" t="inlineStr">
        <is>
          <t>GARCERAS</t>
        </is>
      </c>
      <c r="D339" s="39" t="n">
        <v>3279</v>
      </c>
      <c r="E339" s="39" t="n">
        <v>324</v>
      </c>
      <c r="F339" s="40">
        <f>+D339/E339</f>
        <v/>
      </c>
      <c r="G339" s="41" t="n">
        <v>0</v>
      </c>
      <c r="H339" s="42" t="n">
        <v>10</v>
      </c>
      <c r="I339" s="42" t="inlineStr">
        <is>
          <t>MANIGUA</t>
        </is>
      </c>
      <c r="J339" s="42" t="inlineStr">
        <is>
          <t>CARGUEROS</t>
        </is>
      </c>
      <c r="K339" s="62" t="n"/>
      <c r="L339" s="44" t="n"/>
      <c r="M339" s="45" t="n"/>
    </row>
    <row r="340" ht="15.75" customHeight="1">
      <c r="A340" s="46" t="n">
        <v>45706</v>
      </c>
      <c r="B340" s="10" t="n">
        <v>2</v>
      </c>
      <c r="C340" s="21" t="inlineStr">
        <is>
          <t>GARCERAS</t>
        </is>
      </c>
      <c r="D340" s="12" t="n">
        <v>3279</v>
      </c>
      <c r="E340" s="12" t="n">
        <v>324</v>
      </c>
      <c r="F340" s="13">
        <f>+D340/E340</f>
        <v/>
      </c>
      <c r="G340" s="25" t="n">
        <v>0</v>
      </c>
      <c r="H340" s="22" t="n">
        <v>10</v>
      </c>
      <c r="I340" s="22" t="inlineStr">
        <is>
          <t>MANIGUA</t>
        </is>
      </c>
      <c r="J340" s="22" t="inlineStr">
        <is>
          <t>CARGUEROS</t>
        </is>
      </c>
      <c r="K340" s="23" t="n"/>
      <c r="L340" s="17" t="n"/>
      <c r="M340" s="48" t="n"/>
    </row>
    <row r="341" ht="15.75" customHeight="1">
      <c r="A341" s="46" t="n">
        <v>45706</v>
      </c>
      <c r="B341" s="10" t="n">
        <v>3</v>
      </c>
      <c r="C341" s="21" t="inlineStr">
        <is>
          <t>GARCERAS</t>
        </is>
      </c>
      <c r="D341" s="12" t="n">
        <v>3279</v>
      </c>
      <c r="E341" s="12" t="n">
        <v>324</v>
      </c>
      <c r="F341" s="13">
        <f>+D341/E341</f>
        <v/>
      </c>
      <c r="G341" s="25" t="n">
        <v>0</v>
      </c>
      <c r="H341" s="22" t="n">
        <v>10</v>
      </c>
      <c r="I341" s="22" t="inlineStr">
        <is>
          <t>MANIGUA</t>
        </is>
      </c>
      <c r="J341" s="22" t="inlineStr">
        <is>
          <t>CARGUEROS</t>
        </is>
      </c>
      <c r="K341" s="23" t="n"/>
      <c r="L341" s="17" t="n"/>
      <c r="M341" s="48" t="n"/>
    </row>
    <row r="342" ht="15.75" customHeight="1">
      <c r="A342" s="46" t="n">
        <v>45706</v>
      </c>
      <c r="B342" s="10" t="n">
        <v>4</v>
      </c>
      <c r="C342" s="21" t="inlineStr">
        <is>
          <t>GARCERAS</t>
        </is>
      </c>
      <c r="D342" s="12" t="n">
        <v>3279</v>
      </c>
      <c r="E342" s="12" t="n">
        <v>324</v>
      </c>
      <c r="F342" s="13">
        <f>+D342/E342</f>
        <v/>
      </c>
      <c r="G342" s="25" t="n">
        <v>0</v>
      </c>
      <c r="H342" s="22" t="n">
        <v>10</v>
      </c>
      <c r="I342" s="22" t="inlineStr">
        <is>
          <t>MANIGUA</t>
        </is>
      </c>
      <c r="J342" s="22" t="inlineStr">
        <is>
          <t>CARGUEROS</t>
        </is>
      </c>
      <c r="K342" s="23" t="n"/>
      <c r="L342" s="17" t="n"/>
      <c r="M342" s="48" t="n"/>
    </row>
    <row r="343" ht="15.75" customHeight="1">
      <c r="A343" s="46" t="n">
        <v>45706</v>
      </c>
      <c r="B343" s="10" t="n">
        <v>5</v>
      </c>
      <c r="C343" s="21" t="inlineStr">
        <is>
          <t>GARCERAS</t>
        </is>
      </c>
      <c r="D343" s="12" t="n">
        <v>3279</v>
      </c>
      <c r="E343" s="12" t="n">
        <v>324</v>
      </c>
      <c r="F343" s="13">
        <f>+D343/E343</f>
        <v/>
      </c>
      <c r="G343" s="25" t="n">
        <v>0</v>
      </c>
      <c r="H343" s="22" t="n">
        <v>10</v>
      </c>
      <c r="I343" s="22" t="inlineStr">
        <is>
          <t>MANIGUA</t>
        </is>
      </c>
      <c r="J343" s="22" t="inlineStr">
        <is>
          <t>CARGUEROS</t>
        </is>
      </c>
      <c r="K343" s="23" t="n"/>
      <c r="L343" s="17" t="n"/>
      <c r="M343" s="48" t="n"/>
    </row>
    <row r="344" ht="15.75" customHeight="1">
      <c r="A344" s="46" t="n">
        <v>45706</v>
      </c>
      <c r="B344" s="10" t="n">
        <v>6</v>
      </c>
      <c r="C344" s="21" t="inlineStr">
        <is>
          <t>GARCERAS</t>
        </is>
      </c>
      <c r="D344" s="12" t="n">
        <v>3279</v>
      </c>
      <c r="E344" s="12" t="n">
        <v>324</v>
      </c>
      <c r="F344" s="13">
        <f>+D344/E344</f>
        <v/>
      </c>
      <c r="G344" s="25" t="n">
        <v>0</v>
      </c>
      <c r="H344" s="22" t="n">
        <v>10</v>
      </c>
      <c r="I344" s="22" t="inlineStr">
        <is>
          <t>MANIGUA</t>
        </is>
      </c>
      <c r="J344" s="22" t="inlineStr">
        <is>
          <t>CARGUEROS</t>
        </is>
      </c>
      <c r="K344" s="23" t="n"/>
      <c r="L344" s="17" t="n"/>
      <c r="M344" s="48" t="n"/>
    </row>
    <row r="345" ht="15.75" customHeight="1">
      <c r="A345" s="46" t="n">
        <v>45706</v>
      </c>
      <c r="B345" s="10" t="n">
        <v>7</v>
      </c>
      <c r="C345" s="21" t="inlineStr">
        <is>
          <t>GARCERAS</t>
        </is>
      </c>
      <c r="D345" s="12" t="n">
        <v>3362</v>
      </c>
      <c r="E345" s="12" t="n">
        <v>324</v>
      </c>
      <c r="F345" s="13">
        <f>+D345/E345</f>
        <v/>
      </c>
      <c r="G345" s="25" t="n">
        <v>0</v>
      </c>
      <c r="H345" s="22" t="n">
        <v>10</v>
      </c>
      <c r="I345" s="22" t="inlineStr">
        <is>
          <t>MANIGUA</t>
        </is>
      </c>
      <c r="J345" s="22" t="inlineStr">
        <is>
          <t>CARGUEROS</t>
        </is>
      </c>
      <c r="K345" s="23" t="n"/>
      <c r="L345" s="17" t="n"/>
      <c r="M345" s="48" t="n"/>
    </row>
    <row r="346" ht="15.75" customHeight="1">
      <c r="A346" s="46" t="n">
        <v>45706</v>
      </c>
      <c r="B346" s="10" t="n">
        <v>8</v>
      </c>
      <c r="C346" s="21" t="inlineStr">
        <is>
          <t>GARCERAS</t>
        </is>
      </c>
      <c r="D346" s="12" t="n">
        <v>3362</v>
      </c>
      <c r="E346" s="12" t="n">
        <v>324</v>
      </c>
      <c r="F346" s="13">
        <f>+D346/E346</f>
        <v/>
      </c>
      <c r="G346" s="25" t="n">
        <v>0</v>
      </c>
      <c r="H346" s="22" t="n">
        <v>10</v>
      </c>
      <c r="I346" s="22" t="inlineStr">
        <is>
          <t>MANIGUA</t>
        </is>
      </c>
      <c r="J346" s="22" t="inlineStr">
        <is>
          <t>CARGUEROS</t>
        </is>
      </c>
      <c r="K346" s="23" t="n"/>
      <c r="L346" s="17" t="n"/>
      <c r="M346" s="48" t="n"/>
    </row>
    <row r="347" ht="15.75" customHeight="1">
      <c r="A347" s="46" t="n">
        <v>45706</v>
      </c>
      <c r="B347" s="10" t="n">
        <v>9</v>
      </c>
      <c r="C347" s="21" t="inlineStr">
        <is>
          <t>GARCERAS</t>
        </is>
      </c>
      <c r="D347" s="12" t="n">
        <v>3362</v>
      </c>
      <c r="E347" s="12" t="n">
        <v>360</v>
      </c>
      <c r="F347" s="13">
        <f>+D347/E347</f>
        <v/>
      </c>
      <c r="G347" s="25" t="n">
        <v>0</v>
      </c>
      <c r="H347" s="22" t="n">
        <v>10</v>
      </c>
      <c r="I347" s="22" t="inlineStr">
        <is>
          <t>MANIGUA</t>
        </is>
      </c>
      <c r="J347" s="22" t="inlineStr">
        <is>
          <t>CARGUEROS</t>
        </is>
      </c>
      <c r="K347" s="23" t="n"/>
      <c r="L347" s="17" t="n"/>
      <c r="M347" s="48" t="n"/>
    </row>
    <row r="348" ht="15.75" customHeight="1">
      <c r="A348" s="46" t="n">
        <v>45706</v>
      </c>
      <c r="B348" s="10" t="n">
        <v>10</v>
      </c>
      <c r="C348" s="21" t="inlineStr">
        <is>
          <t>GARCERAS</t>
        </is>
      </c>
      <c r="D348" s="12" t="n">
        <v>3362</v>
      </c>
      <c r="E348" s="12" t="n">
        <v>360</v>
      </c>
      <c r="F348" s="13">
        <f>+D348/E348</f>
        <v/>
      </c>
      <c r="G348" s="25" t="n">
        <v>0</v>
      </c>
      <c r="H348" s="22" t="n">
        <v>10</v>
      </c>
      <c r="I348" s="22" t="inlineStr">
        <is>
          <t>MANIGUA</t>
        </is>
      </c>
      <c r="J348" s="22" t="inlineStr">
        <is>
          <t>CARGUEROS</t>
        </is>
      </c>
      <c r="K348" s="23" t="n"/>
      <c r="L348" s="17" t="n"/>
      <c r="M348" s="48" t="n"/>
    </row>
    <row r="349" ht="15.75" customHeight="1">
      <c r="A349" s="46" t="n">
        <v>45706</v>
      </c>
      <c r="B349" s="10" t="n">
        <v>1</v>
      </c>
      <c r="C349" s="21" t="inlineStr">
        <is>
          <t>MALAGUEÑA</t>
        </is>
      </c>
      <c r="D349" s="12" t="n">
        <v>3048</v>
      </c>
      <c r="E349" s="12" t="n">
        <v>324</v>
      </c>
      <c r="F349" s="13">
        <f>+D349/E349</f>
        <v/>
      </c>
      <c r="G349" s="25" t="n">
        <v>0.4583333333333333</v>
      </c>
      <c r="H349" s="22" t="n">
        <v>10</v>
      </c>
      <c r="I349" s="22" t="inlineStr">
        <is>
          <t>MANIGUA</t>
        </is>
      </c>
      <c r="J349" s="22" t="inlineStr">
        <is>
          <t>ABONEROS</t>
        </is>
      </c>
      <c r="K349" s="23" t="n"/>
      <c r="L349" s="17" t="n"/>
      <c r="M349" s="48" t="n"/>
    </row>
    <row r="350" ht="15.75" customHeight="1">
      <c r="A350" s="46" t="n">
        <v>45706</v>
      </c>
      <c r="B350" s="10" t="n">
        <v>2</v>
      </c>
      <c r="C350" s="21" t="inlineStr">
        <is>
          <t>MALAGUEÑA</t>
        </is>
      </c>
      <c r="D350" s="12" t="n">
        <v>3048</v>
      </c>
      <c r="E350" s="12" t="n">
        <v>324</v>
      </c>
      <c r="F350" s="13">
        <f>+D350/E350</f>
        <v/>
      </c>
      <c r="G350" s="25" t="n">
        <v>0.4583333333333333</v>
      </c>
      <c r="H350" s="22" t="n">
        <v>10</v>
      </c>
      <c r="I350" s="22" t="inlineStr">
        <is>
          <t>MANIGUA</t>
        </is>
      </c>
      <c r="J350" s="22" t="inlineStr">
        <is>
          <t>ABONEROS</t>
        </is>
      </c>
      <c r="K350" s="23" t="n"/>
      <c r="L350" s="17" t="n"/>
      <c r="M350" s="48" t="n"/>
    </row>
    <row r="351" ht="15.75" customHeight="1">
      <c r="A351" s="67" t="n">
        <v>45706</v>
      </c>
      <c r="B351" s="27" t="n">
        <v>3</v>
      </c>
      <c r="C351" s="28" t="inlineStr">
        <is>
          <t>MALAGUEÑA</t>
        </is>
      </c>
      <c r="D351" s="29" t="n">
        <v>3048</v>
      </c>
      <c r="E351" s="29" t="n">
        <v>324</v>
      </c>
      <c r="F351" s="30">
        <f>+D351/E351</f>
        <v/>
      </c>
      <c r="G351" s="31" t="n">
        <v>0.4583333333333333</v>
      </c>
      <c r="H351" s="32" t="n">
        <v>10</v>
      </c>
      <c r="I351" s="32" t="inlineStr">
        <is>
          <t>MANIGUA</t>
        </is>
      </c>
      <c r="J351" s="32" t="inlineStr">
        <is>
          <t>ABONEROS</t>
        </is>
      </c>
      <c r="K351" s="33" t="n"/>
      <c r="L351" s="34" t="n"/>
      <c r="M351" s="69" t="n"/>
    </row>
    <row r="352" ht="15.75" customHeight="1">
      <c r="A352" s="36" t="n">
        <v>45707</v>
      </c>
      <c r="B352" s="37" t="n">
        <v>1</v>
      </c>
      <c r="C352" s="38" t="inlineStr">
        <is>
          <t>SAN JOSE</t>
        </is>
      </c>
      <c r="D352" s="39" t="n">
        <v>3617</v>
      </c>
      <c r="E352" s="39" t="n">
        <v>324</v>
      </c>
      <c r="F352" s="40">
        <f>+D352/E352</f>
        <v/>
      </c>
      <c r="G352" s="41" t="n">
        <v>0.9375</v>
      </c>
      <c r="H352" s="42" t="n">
        <v>10</v>
      </c>
      <c r="I352" s="42" t="inlineStr">
        <is>
          <t>MANIGUA</t>
        </is>
      </c>
      <c r="J352" s="42" t="inlineStr">
        <is>
          <t>CARGUEROS</t>
        </is>
      </c>
      <c r="K352" s="62" t="n"/>
      <c r="L352" s="44" t="n"/>
      <c r="M352" s="45" t="n"/>
    </row>
    <row r="353" ht="15.75" customHeight="1">
      <c r="A353" s="46" t="n">
        <v>45707</v>
      </c>
      <c r="B353" s="10" t="n">
        <v>2</v>
      </c>
      <c r="C353" s="21" t="inlineStr">
        <is>
          <t>SAN JOSE</t>
        </is>
      </c>
      <c r="D353" s="12" t="n">
        <v>3617</v>
      </c>
      <c r="E353" s="12" t="n">
        <v>324</v>
      </c>
      <c r="F353" s="13">
        <f>+D353/E353</f>
        <v/>
      </c>
      <c r="G353" s="25" t="n">
        <v>0.9375</v>
      </c>
      <c r="H353" s="22" t="n">
        <v>10</v>
      </c>
      <c r="I353" s="22" t="inlineStr">
        <is>
          <t>MANIGUA</t>
        </is>
      </c>
      <c r="J353" s="22" t="inlineStr">
        <is>
          <t>CARGUEROS</t>
        </is>
      </c>
      <c r="K353" s="23" t="n"/>
      <c r="L353" s="17" t="n"/>
      <c r="M353" s="48" t="n"/>
    </row>
    <row r="354" ht="15.75" customHeight="1">
      <c r="A354" s="46" t="n">
        <v>45707</v>
      </c>
      <c r="B354" s="10" t="n">
        <v>3</v>
      </c>
      <c r="C354" s="21" t="inlineStr">
        <is>
          <t>SAN JOSE</t>
        </is>
      </c>
      <c r="D354" s="12" t="n">
        <v>3617</v>
      </c>
      <c r="E354" s="12" t="n">
        <v>324</v>
      </c>
      <c r="F354" s="13">
        <f>+D354/E354</f>
        <v/>
      </c>
      <c r="G354" s="25" t="n">
        <v>0.9375</v>
      </c>
      <c r="H354" s="22" t="n">
        <v>10</v>
      </c>
      <c r="I354" s="22" t="inlineStr">
        <is>
          <t>MANIGUA</t>
        </is>
      </c>
      <c r="J354" s="22" t="inlineStr">
        <is>
          <t>CARGUEROS</t>
        </is>
      </c>
      <c r="K354" s="23" t="n"/>
      <c r="L354" s="17" t="n"/>
      <c r="M354" s="48" t="n"/>
    </row>
    <row r="355" ht="15.75" customHeight="1">
      <c r="A355" s="46" t="n">
        <v>45707</v>
      </c>
      <c r="B355" s="10" t="n">
        <v>4</v>
      </c>
      <c r="C355" s="21" t="inlineStr">
        <is>
          <t>SAN JOSE</t>
        </is>
      </c>
      <c r="D355" s="12" t="n">
        <v>3617</v>
      </c>
      <c r="E355" s="12" t="n">
        <v>324</v>
      </c>
      <c r="F355" s="13">
        <f>+D355/E355</f>
        <v/>
      </c>
      <c r="G355" s="25" t="n">
        <v>0.9375</v>
      </c>
      <c r="H355" s="22" t="n">
        <v>10</v>
      </c>
      <c r="I355" s="22" t="inlineStr">
        <is>
          <t>MANIGUA</t>
        </is>
      </c>
      <c r="J355" s="22" t="inlineStr">
        <is>
          <t>CARGUEROS</t>
        </is>
      </c>
      <c r="K355" s="23" t="n"/>
      <c r="L355" s="17" t="n"/>
      <c r="M355" s="48" t="n"/>
    </row>
    <row r="356" ht="15.75" customHeight="1">
      <c r="A356" s="46" t="n">
        <v>45707</v>
      </c>
      <c r="B356" s="10" t="n">
        <v>5</v>
      </c>
      <c r="C356" s="21" t="inlineStr">
        <is>
          <t>SAN JOSE</t>
        </is>
      </c>
      <c r="D356" s="12" t="n">
        <v>3617</v>
      </c>
      <c r="E356" s="12" t="n">
        <v>324</v>
      </c>
      <c r="F356" s="13">
        <f>+D356/E356</f>
        <v/>
      </c>
      <c r="G356" s="25" t="n">
        <v>0.9375</v>
      </c>
      <c r="H356" s="22" t="n">
        <v>10</v>
      </c>
      <c r="I356" s="22" t="inlineStr">
        <is>
          <t>MANIGUA</t>
        </is>
      </c>
      <c r="J356" s="22" t="inlineStr">
        <is>
          <t>CARGUEROS</t>
        </is>
      </c>
      <c r="K356" s="23" t="n"/>
      <c r="L356" s="17" t="n"/>
      <c r="M356" s="48" t="n"/>
    </row>
    <row r="357" ht="15.75" customHeight="1">
      <c r="A357" s="46" t="n">
        <v>45707</v>
      </c>
      <c r="B357" s="10" t="n">
        <v>1</v>
      </c>
      <c r="C357" s="21" t="inlineStr">
        <is>
          <t>GARCERAS</t>
        </is>
      </c>
      <c r="D357" s="12" t="n">
        <v>3198</v>
      </c>
      <c r="E357" s="12" t="n">
        <v>360</v>
      </c>
      <c r="F357" s="13">
        <f>+D357/E357</f>
        <v/>
      </c>
      <c r="G357" s="25" t="n">
        <v>0.08333333333333333</v>
      </c>
      <c r="H357" s="22" t="n">
        <v>10</v>
      </c>
      <c r="I357" s="22" t="inlineStr">
        <is>
          <t>MANIGUA</t>
        </is>
      </c>
      <c r="J357" s="22" t="inlineStr">
        <is>
          <t>ABONEROS</t>
        </is>
      </c>
      <c r="K357" s="23" t="n"/>
      <c r="L357" s="17" t="n"/>
      <c r="M357" s="48" t="n"/>
    </row>
    <row r="358" ht="15.75" customHeight="1">
      <c r="A358" s="46" t="n">
        <v>45707</v>
      </c>
      <c r="B358" s="10" t="n">
        <v>2</v>
      </c>
      <c r="C358" s="21" t="inlineStr">
        <is>
          <t>GARCERAS</t>
        </is>
      </c>
      <c r="D358" s="12" t="n">
        <v>3198</v>
      </c>
      <c r="E358" s="12" t="n">
        <v>324</v>
      </c>
      <c r="F358" s="13">
        <f>+D358/E358</f>
        <v/>
      </c>
      <c r="G358" s="25" t="n">
        <v>0.08333333333333333</v>
      </c>
      <c r="H358" s="22" t="n">
        <v>10</v>
      </c>
      <c r="I358" s="22" t="inlineStr">
        <is>
          <t>MANIGUA</t>
        </is>
      </c>
      <c r="J358" s="22" t="inlineStr">
        <is>
          <t>ABONEROS</t>
        </is>
      </c>
      <c r="K358" s="23" t="n"/>
      <c r="L358" s="17" t="n"/>
      <c r="M358" s="48" t="n"/>
    </row>
    <row r="359" ht="15.75" customHeight="1">
      <c r="A359" s="46" t="n">
        <v>45707</v>
      </c>
      <c r="B359" s="10" t="n">
        <v>3</v>
      </c>
      <c r="C359" s="21" t="inlineStr">
        <is>
          <t>GARCERAS</t>
        </is>
      </c>
      <c r="D359" s="12" t="n">
        <v>3198</v>
      </c>
      <c r="E359" s="12" t="n">
        <v>324</v>
      </c>
      <c r="F359" s="13">
        <f>+D359/E359</f>
        <v/>
      </c>
      <c r="G359" s="25" t="n">
        <v>0.08333333333333333</v>
      </c>
      <c r="H359" s="22" t="n">
        <v>10</v>
      </c>
      <c r="I359" s="22" t="inlineStr">
        <is>
          <t>MANIGUA</t>
        </is>
      </c>
      <c r="J359" s="22" t="inlineStr">
        <is>
          <t>ABONEROS</t>
        </is>
      </c>
      <c r="K359" s="23" t="n"/>
      <c r="L359" s="17" t="n"/>
      <c r="M359" s="48" t="n"/>
    </row>
    <row r="360" ht="15.75" customHeight="1">
      <c r="A360" s="46" t="n">
        <v>45707</v>
      </c>
      <c r="B360" s="10" t="n">
        <v>1</v>
      </c>
      <c r="C360" s="21" t="inlineStr">
        <is>
          <t>MALAGUEÑA</t>
        </is>
      </c>
      <c r="D360" s="12" t="n">
        <v>3108</v>
      </c>
      <c r="E360" s="12" t="n">
        <v>324</v>
      </c>
      <c r="F360" s="13">
        <f>+D360/E360</f>
        <v/>
      </c>
      <c r="G360" s="25" t="n">
        <v>0.2083333333333333</v>
      </c>
      <c r="H360" s="22" t="n">
        <v>10</v>
      </c>
      <c r="I360" s="22" t="inlineStr">
        <is>
          <t>MANIGUA</t>
        </is>
      </c>
      <c r="J360" s="22" t="inlineStr">
        <is>
          <t>CARGUEROS</t>
        </is>
      </c>
      <c r="K360" s="23" t="n"/>
      <c r="L360" s="17" t="n"/>
      <c r="M360" s="48" t="n"/>
    </row>
    <row r="361" ht="15.75" customHeight="1">
      <c r="A361" s="46" t="n">
        <v>45707</v>
      </c>
      <c r="B361" s="10" t="n">
        <v>2</v>
      </c>
      <c r="C361" s="21" t="inlineStr">
        <is>
          <t>MALAGUEÑA</t>
        </is>
      </c>
      <c r="D361" s="12" t="n">
        <v>3108</v>
      </c>
      <c r="E361" s="12" t="n">
        <v>324</v>
      </c>
      <c r="F361" s="13">
        <f>+D361/E361</f>
        <v/>
      </c>
      <c r="G361" s="25" t="n">
        <v>0.2083333333333333</v>
      </c>
      <c r="H361" s="22" t="n">
        <v>10</v>
      </c>
      <c r="I361" s="22" t="inlineStr">
        <is>
          <t>MANIGUA</t>
        </is>
      </c>
      <c r="J361" s="22" t="inlineStr">
        <is>
          <t>CARGUEROS</t>
        </is>
      </c>
      <c r="K361" s="23" t="n"/>
      <c r="L361" s="17" t="n"/>
      <c r="M361" s="48" t="n"/>
    </row>
    <row r="362" ht="15.75" customHeight="1">
      <c r="A362" s="46" t="n">
        <v>45707</v>
      </c>
      <c r="B362" s="10" t="n">
        <v>3</v>
      </c>
      <c r="C362" s="21" t="inlineStr">
        <is>
          <t>MALAGUEÑA</t>
        </is>
      </c>
      <c r="D362" s="12" t="n">
        <v>3108</v>
      </c>
      <c r="E362" s="12" t="n">
        <v>360</v>
      </c>
      <c r="F362" s="13">
        <f>+D362/E362</f>
        <v/>
      </c>
      <c r="G362" s="25" t="n">
        <v>0.2083333333333333</v>
      </c>
      <c r="H362" s="22" t="n">
        <v>10</v>
      </c>
      <c r="I362" s="22" t="inlineStr">
        <is>
          <t>MANIGUA</t>
        </is>
      </c>
      <c r="J362" s="22" t="inlineStr">
        <is>
          <t>CARGUEROS</t>
        </is>
      </c>
      <c r="K362" s="23" t="n"/>
      <c r="L362" s="17" t="n"/>
      <c r="M362" s="48" t="n"/>
    </row>
    <row r="363" ht="15.75" customHeight="1">
      <c r="A363" s="67" t="n">
        <v>45707</v>
      </c>
      <c r="B363" s="27" t="n">
        <v>4</v>
      </c>
      <c r="C363" s="28" t="inlineStr">
        <is>
          <t>MALAGUEÑA</t>
        </is>
      </c>
      <c r="D363" s="29" t="n">
        <v>3079</v>
      </c>
      <c r="E363" s="29" t="n">
        <v>360</v>
      </c>
      <c r="F363" s="30">
        <f>+D363/E363</f>
        <v/>
      </c>
      <c r="G363" s="31" t="n">
        <v>0.2083333333333333</v>
      </c>
      <c r="H363" s="32" t="n">
        <v>10</v>
      </c>
      <c r="I363" s="32" t="inlineStr">
        <is>
          <t>MANIGUA</t>
        </is>
      </c>
      <c r="J363" s="32" t="inlineStr">
        <is>
          <t>CARGUEROS</t>
        </is>
      </c>
      <c r="K363" s="33" t="n"/>
      <c r="L363" s="34" t="n"/>
      <c r="M363" s="69" t="n"/>
    </row>
    <row r="364" ht="15.75" customHeight="1">
      <c r="A364" s="36" t="n">
        <v>45708</v>
      </c>
      <c r="B364" s="37" t="n">
        <v>1</v>
      </c>
      <c r="C364" s="38" t="inlineStr">
        <is>
          <t>MALAGUEÑA</t>
        </is>
      </c>
      <c r="D364" s="39" t="n">
        <v>3065</v>
      </c>
      <c r="E364" s="39" t="n">
        <v>324</v>
      </c>
      <c r="F364" s="40">
        <f>+D364/E364</f>
        <v/>
      </c>
      <c r="G364" s="41" t="n">
        <v>0.4166666666666667</v>
      </c>
      <c r="H364" s="42" t="n">
        <v>10</v>
      </c>
      <c r="I364" s="42" t="inlineStr">
        <is>
          <t>MANIGUA</t>
        </is>
      </c>
      <c r="J364" s="42" t="inlineStr">
        <is>
          <t>CARGUEROS</t>
        </is>
      </c>
      <c r="K364" s="62" t="n"/>
      <c r="L364" s="44" t="n"/>
      <c r="M364" s="45" t="n"/>
    </row>
    <row r="365" ht="15.75" customHeight="1">
      <c r="A365" s="46" t="n">
        <v>45708</v>
      </c>
      <c r="B365" s="10" t="n">
        <v>2</v>
      </c>
      <c r="C365" s="21" t="inlineStr">
        <is>
          <t>MALAGUEÑA</t>
        </is>
      </c>
      <c r="D365" s="12" t="n">
        <v>3065</v>
      </c>
      <c r="E365" s="12" t="n">
        <v>324</v>
      </c>
      <c r="F365" s="13">
        <f>+D365/E365</f>
        <v/>
      </c>
      <c r="G365" s="22" t="n"/>
      <c r="H365" s="22" t="n">
        <v>10</v>
      </c>
      <c r="I365" s="22" t="inlineStr">
        <is>
          <t>MANIGUA</t>
        </is>
      </c>
      <c r="J365" s="22" t="inlineStr">
        <is>
          <t>CARGUEROS</t>
        </is>
      </c>
      <c r="K365" s="23" t="n"/>
      <c r="L365" s="17" t="n"/>
      <c r="M365" s="24" t="n"/>
    </row>
    <row r="366" ht="15.75" customHeight="1">
      <c r="A366" s="46" t="n">
        <v>45708</v>
      </c>
      <c r="B366" s="10" t="n">
        <v>3</v>
      </c>
      <c r="C366" s="21" t="inlineStr">
        <is>
          <t>MALAGUEÑA</t>
        </is>
      </c>
      <c r="D366" s="12" t="n">
        <v>3065</v>
      </c>
      <c r="E366" s="12" t="n">
        <v>324</v>
      </c>
      <c r="F366" s="13">
        <f>+D366/E366</f>
        <v/>
      </c>
      <c r="G366" s="22" t="n"/>
      <c r="H366" s="22" t="n">
        <v>10</v>
      </c>
      <c r="I366" s="22" t="inlineStr">
        <is>
          <t>MANIGUA</t>
        </is>
      </c>
      <c r="J366" s="22" t="inlineStr">
        <is>
          <t>CARGUEROS</t>
        </is>
      </c>
      <c r="K366" s="23" t="n"/>
      <c r="L366" s="17" t="n"/>
      <c r="M366" s="24" t="n"/>
    </row>
    <row r="367" ht="15.75" customHeight="1">
      <c r="A367" s="46" t="n">
        <v>45708</v>
      </c>
      <c r="B367" s="10" t="n">
        <v>1</v>
      </c>
      <c r="C367" s="21" t="inlineStr">
        <is>
          <t>SAN JOSE</t>
        </is>
      </c>
      <c r="D367" s="12" t="n">
        <v>3100</v>
      </c>
      <c r="E367" s="12" t="n">
        <v>324</v>
      </c>
      <c r="F367" s="13">
        <f>+D367/E367</f>
        <v/>
      </c>
      <c r="G367" s="25" t="n">
        <v>0.04166666666666666</v>
      </c>
      <c r="H367" s="22" t="n">
        <v>10</v>
      </c>
      <c r="I367" s="22" t="inlineStr">
        <is>
          <t>MANIGUA</t>
        </is>
      </c>
      <c r="J367" s="22" t="inlineStr">
        <is>
          <t>CARGUEROS</t>
        </is>
      </c>
      <c r="K367" s="23" t="n"/>
      <c r="L367" s="17" t="n"/>
      <c r="M367" s="24" t="inlineStr">
        <is>
          <t>SOLICITUD Y CAMBIO ENHUACALADA 3700 A 3100</t>
        </is>
      </c>
    </row>
    <row r="368" ht="15.75" customHeight="1">
      <c r="A368" s="46" t="n">
        <v>45708</v>
      </c>
      <c r="B368" s="10" t="n">
        <v>2</v>
      </c>
      <c r="C368" s="21" t="inlineStr">
        <is>
          <t>SAN JOSE</t>
        </is>
      </c>
      <c r="D368" s="12" t="n">
        <v>3100</v>
      </c>
      <c r="E368" s="12" t="n">
        <v>324</v>
      </c>
      <c r="F368" s="13">
        <f>+D368/E368</f>
        <v/>
      </c>
      <c r="G368" s="22" t="n"/>
      <c r="H368" s="22" t="n">
        <v>10</v>
      </c>
      <c r="I368" s="22" t="inlineStr">
        <is>
          <t>MANIGUA</t>
        </is>
      </c>
      <c r="J368" s="22" t="inlineStr">
        <is>
          <t>CARGUEROS</t>
        </is>
      </c>
      <c r="K368" s="23" t="n"/>
      <c r="L368" s="17" t="n"/>
      <c r="M368" s="24" t="n"/>
    </row>
    <row r="369" ht="15.75" customHeight="1">
      <c r="A369" s="46" t="n">
        <v>45708</v>
      </c>
      <c r="B369" s="10" t="n">
        <v>3</v>
      </c>
      <c r="C369" s="21" t="inlineStr">
        <is>
          <t>SAN JOSE</t>
        </is>
      </c>
      <c r="D369" s="12" t="n">
        <v>3100</v>
      </c>
      <c r="E369" s="12" t="n">
        <v>324</v>
      </c>
      <c r="F369" s="13">
        <f>+D369/E369</f>
        <v/>
      </c>
      <c r="G369" s="22" t="n"/>
      <c r="H369" s="22" t="n">
        <v>10</v>
      </c>
      <c r="I369" s="22" t="inlineStr">
        <is>
          <t>MANIGUA</t>
        </is>
      </c>
      <c r="J369" s="22" t="inlineStr">
        <is>
          <t>CARGUEROS</t>
        </is>
      </c>
      <c r="K369" s="23" t="n"/>
      <c r="L369" s="17" t="n"/>
      <c r="M369" s="24" t="n"/>
    </row>
    <row r="370" ht="15.75" customHeight="1">
      <c r="A370" s="46" t="n">
        <v>45708</v>
      </c>
      <c r="B370" s="10" t="n">
        <v>4</v>
      </c>
      <c r="C370" s="21" t="inlineStr">
        <is>
          <t>SAN JOSE</t>
        </is>
      </c>
      <c r="D370" s="12" t="n">
        <v>3100</v>
      </c>
      <c r="E370" s="12" t="n">
        <v>324</v>
      </c>
      <c r="F370" s="13">
        <f>+D370/E370</f>
        <v/>
      </c>
      <c r="G370" s="22" t="n"/>
      <c r="H370" s="22" t="n">
        <v>10</v>
      </c>
      <c r="I370" s="22" t="inlineStr">
        <is>
          <t>MANIGUA</t>
        </is>
      </c>
      <c r="J370" s="22" t="inlineStr">
        <is>
          <t>CARGUEROS</t>
        </is>
      </c>
      <c r="K370" s="23" t="n"/>
      <c r="L370" s="17" t="n"/>
      <c r="M370" s="48" t="n"/>
    </row>
    <row r="371" ht="15.75" customHeight="1">
      <c r="A371" s="46" t="n">
        <v>45708</v>
      </c>
      <c r="B371" s="10" t="n">
        <v>5</v>
      </c>
      <c r="C371" s="21" t="inlineStr">
        <is>
          <t>SAN JOSE</t>
        </is>
      </c>
      <c r="D371" s="12" t="n">
        <v>3100</v>
      </c>
      <c r="E371" s="12" t="n">
        <v>324</v>
      </c>
      <c r="F371" s="13">
        <f>+D371/E371</f>
        <v/>
      </c>
      <c r="G371" s="22" t="n"/>
      <c r="H371" s="22" t="n">
        <v>10</v>
      </c>
      <c r="I371" s="22" t="inlineStr">
        <is>
          <t>MANIGUA</t>
        </is>
      </c>
      <c r="J371" s="22" t="inlineStr">
        <is>
          <t>CARGUEROS</t>
        </is>
      </c>
      <c r="K371" s="23" t="n"/>
      <c r="L371" s="17" t="n"/>
      <c r="M371" s="48" t="n"/>
    </row>
    <row r="372" ht="15.75" customHeight="1">
      <c r="A372" s="67" t="n">
        <v>45708</v>
      </c>
      <c r="B372" s="27" t="n">
        <v>6</v>
      </c>
      <c r="C372" s="28" t="inlineStr">
        <is>
          <t>SAN JOSE</t>
        </is>
      </c>
      <c r="D372" s="29" t="n">
        <v>3100</v>
      </c>
      <c r="E372" s="29" t="n">
        <v>324</v>
      </c>
      <c r="F372" s="30">
        <f>+D372/E372</f>
        <v/>
      </c>
      <c r="G372" s="32" t="n"/>
      <c r="H372" s="32" t="n">
        <v>10</v>
      </c>
      <c r="I372" s="32" t="inlineStr">
        <is>
          <t>MANIGUA</t>
        </is>
      </c>
      <c r="J372" s="32" t="inlineStr">
        <is>
          <t>CARGUEROS</t>
        </is>
      </c>
      <c r="K372" s="33" t="n"/>
      <c r="L372" s="34" t="n"/>
      <c r="M372" s="69" t="n"/>
    </row>
    <row r="373" ht="15.75" customHeight="1">
      <c r="A373" s="36" t="n">
        <v>45709</v>
      </c>
      <c r="B373" s="37" t="n">
        <v>1</v>
      </c>
      <c r="C373" s="38" t="inlineStr">
        <is>
          <t>MALAGUEÑA</t>
        </is>
      </c>
      <c r="D373" s="39" t="n">
        <v>3550</v>
      </c>
      <c r="E373" s="39" t="n">
        <v>324</v>
      </c>
      <c r="F373" s="40">
        <f>+D373/E373</f>
        <v/>
      </c>
      <c r="G373" s="41" t="n">
        <v>0</v>
      </c>
      <c r="H373" s="42" t="n">
        <v>10</v>
      </c>
      <c r="I373" s="42" t="inlineStr">
        <is>
          <t>MANIGUA</t>
        </is>
      </c>
      <c r="J373" s="42" t="inlineStr">
        <is>
          <t>CARGUEROS</t>
        </is>
      </c>
      <c r="K373" s="62" t="n"/>
      <c r="L373" s="44" t="n"/>
      <c r="M373" s="45" t="n"/>
    </row>
    <row r="374" ht="15.75" customHeight="1">
      <c r="A374" s="46" t="n">
        <v>45709</v>
      </c>
      <c r="B374" s="10" t="n">
        <v>2</v>
      </c>
      <c r="C374" s="21" t="inlineStr">
        <is>
          <t>MALAGUEÑA</t>
        </is>
      </c>
      <c r="D374" s="12" t="n">
        <v>3550</v>
      </c>
      <c r="E374" s="12" t="n">
        <v>360</v>
      </c>
      <c r="F374" s="13">
        <f>+D374/E374</f>
        <v/>
      </c>
      <c r="G374" s="22" t="n"/>
      <c r="H374" s="22" t="n">
        <v>10</v>
      </c>
      <c r="I374" s="22" t="inlineStr">
        <is>
          <t>MANIGUA</t>
        </is>
      </c>
      <c r="J374" s="22" t="inlineStr">
        <is>
          <t>CARGUEROS</t>
        </is>
      </c>
      <c r="K374" s="23" t="n"/>
      <c r="L374" s="17" t="n"/>
      <c r="M374" s="48" t="n"/>
    </row>
    <row r="375" ht="15.75" customHeight="1">
      <c r="A375" s="46" t="n">
        <v>45709</v>
      </c>
      <c r="B375" s="10" t="n">
        <v>3</v>
      </c>
      <c r="C375" s="21" t="inlineStr">
        <is>
          <t>MALAGUEÑA</t>
        </is>
      </c>
      <c r="D375" s="12" t="n">
        <v>3550</v>
      </c>
      <c r="E375" s="12" t="n">
        <v>324</v>
      </c>
      <c r="F375" s="13">
        <f>+D375/E375</f>
        <v/>
      </c>
      <c r="G375" s="22" t="n"/>
      <c r="H375" s="22" t="n">
        <v>10</v>
      </c>
      <c r="I375" s="22" t="inlineStr">
        <is>
          <t>MANIGUA</t>
        </is>
      </c>
      <c r="J375" s="22" t="inlineStr">
        <is>
          <t>CARGUEROS</t>
        </is>
      </c>
      <c r="K375" s="23" t="n"/>
      <c r="L375" s="17" t="n"/>
      <c r="M375" s="48" t="n"/>
    </row>
    <row r="376" ht="15.75" customHeight="1">
      <c r="A376" s="46" t="n">
        <v>45709</v>
      </c>
      <c r="B376" s="10" t="n">
        <v>4</v>
      </c>
      <c r="C376" s="21" t="inlineStr">
        <is>
          <t>MALAGUEÑA</t>
        </is>
      </c>
      <c r="D376" s="12" t="n">
        <v>3550</v>
      </c>
      <c r="E376" s="12" t="n">
        <v>324</v>
      </c>
      <c r="F376" s="13">
        <f>+D376/E376</f>
        <v/>
      </c>
      <c r="G376" s="22" t="n"/>
      <c r="H376" s="22" t="n">
        <v>10</v>
      </c>
      <c r="I376" s="22" t="inlineStr">
        <is>
          <t>MANIGUA</t>
        </is>
      </c>
      <c r="J376" s="22" t="inlineStr">
        <is>
          <t>CARGUEROS</t>
        </is>
      </c>
      <c r="K376" s="23" t="n"/>
      <c r="L376" s="17" t="n"/>
      <c r="M376" s="48" t="n"/>
    </row>
    <row r="377" ht="15.75" customHeight="1">
      <c r="A377" s="46" t="n">
        <v>45709</v>
      </c>
      <c r="B377" s="10" t="n">
        <v>5</v>
      </c>
      <c r="C377" s="21" t="inlineStr">
        <is>
          <t>MALAGUEÑA</t>
        </is>
      </c>
      <c r="D377" s="12" t="n">
        <v>3550</v>
      </c>
      <c r="E377" s="12" t="n">
        <v>324</v>
      </c>
      <c r="F377" s="13">
        <f>+D377/E377</f>
        <v/>
      </c>
      <c r="G377" s="22" t="n"/>
      <c r="H377" s="22" t="n">
        <v>10</v>
      </c>
      <c r="I377" s="22" t="inlineStr">
        <is>
          <t>MANIGUA</t>
        </is>
      </c>
      <c r="J377" s="22" t="inlineStr">
        <is>
          <t>CARGUEROS</t>
        </is>
      </c>
      <c r="K377" s="23" t="n"/>
      <c r="L377" s="17" t="n"/>
      <c r="M377" s="48" t="n"/>
    </row>
    <row r="378" ht="15.75" customHeight="1">
      <c r="A378" s="46" t="n">
        <v>45709</v>
      </c>
      <c r="B378" s="10" t="n">
        <v>6</v>
      </c>
      <c r="C378" s="21" t="inlineStr">
        <is>
          <t>MALAGUEÑA</t>
        </is>
      </c>
      <c r="D378" s="12" t="n">
        <v>3550</v>
      </c>
      <c r="E378" s="12" t="n">
        <v>360</v>
      </c>
      <c r="F378" s="13">
        <f>+D378/E378</f>
        <v/>
      </c>
      <c r="G378" s="22" t="n"/>
      <c r="H378" s="22" t="n">
        <v>10</v>
      </c>
      <c r="I378" s="22" t="inlineStr">
        <is>
          <t>MANIGUA</t>
        </is>
      </c>
      <c r="J378" s="22" t="inlineStr">
        <is>
          <t>CARGUEROS</t>
        </is>
      </c>
      <c r="K378" s="23" t="n"/>
      <c r="L378" s="17" t="n"/>
      <c r="M378" s="48" t="n"/>
    </row>
    <row r="379" ht="15.75" customHeight="1">
      <c r="A379" s="46" t="n">
        <v>45709</v>
      </c>
      <c r="B379" s="10" t="n">
        <v>7</v>
      </c>
      <c r="C379" s="21" t="inlineStr">
        <is>
          <t>MALAGUEÑA</t>
        </is>
      </c>
      <c r="D379" s="12" t="n">
        <v>3214</v>
      </c>
      <c r="E379" s="12" t="n">
        <v>324</v>
      </c>
      <c r="F379" s="13">
        <f>+D379/E379</f>
        <v/>
      </c>
      <c r="G379" s="22" t="n"/>
      <c r="H379" s="22" t="n">
        <v>10</v>
      </c>
      <c r="I379" s="22" t="inlineStr">
        <is>
          <t>MANIGUA</t>
        </is>
      </c>
      <c r="J379" s="22" t="inlineStr">
        <is>
          <t>CARGUEROS</t>
        </is>
      </c>
      <c r="K379" s="23" t="n"/>
      <c r="L379" s="17" t="n"/>
      <c r="M379" s="48" t="n"/>
    </row>
    <row r="380" ht="15.75" customHeight="1">
      <c r="A380" s="46" t="n">
        <v>45709</v>
      </c>
      <c r="B380" s="10" t="n">
        <v>8</v>
      </c>
      <c r="C380" s="21" t="inlineStr">
        <is>
          <t>MALAGUEÑA</t>
        </is>
      </c>
      <c r="D380" s="12" t="n">
        <v>3214</v>
      </c>
      <c r="E380" s="12" t="n">
        <v>324</v>
      </c>
      <c r="F380" s="13">
        <f>+D380/E380</f>
        <v/>
      </c>
      <c r="G380" s="22" t="n"/>
      <c r="H380" s="22" t="n">
        <v>10</v>
      </c>
      <c r="I380" s="22" t="inlineStr">
        <is>
          <t>MANIGUA</t>
        </is>
      </c>
      <c r="J380" s="22" t="inlineStr">
        <is>
          <t>CARGUEROS</t>
        </is>
      </c>
      <c r="K380" s="23" t="n"/>
      <c r="L380" s="17" t="n"/>
      <c r="M380" s="48" t="n"/>
    </row>
    <row r="381" ht="15.75" customHeight="1">
      <c r="A381" s="46" t="n">
        <v>45709</v>
      </c>
      <c r="B381" s="10" t="n">
        <v>1</v>
      </c>
      <c r="C381" s="21" t="inlineStr">
        <is>
          <t>SAN JOSE</t>
        </is>
      </c>
      <c r="D381" s="12" t="n">
        <v>3447</v>
      </c>
      <c r="E381" s="12" t="n">
        <v>324</v>
      </c>
      <c r="F381" s="13">
        <f>+D381/E381</f>
        <v/>
      </c>
      <c r="G381" s="25" t="n">
        <v>0.1458333333333333</v>
      </c>
      <c r="H381" s="22" t="n">
        <v>10</v>
      </c>
      <c r="I381" s="22" t="inlineStr">
        <is>
          <t>MANIGUA</t>
        </is>
      </c>
      <c r="J381" s="22" t="inlineStr">
        <is>
          <t>ABONEROS</t>
        </is>
      </c>
      <c r="K381" s="23" t="n"/>
      <c r="L381" s="17" t="n"/>
      <c r="M381" s="48" t="n"/>
    </row>
    <row r="382" ht="15.75" customHeight="1">
      <c r="A382" s="46" t="n">
        <v>45709</v>
      </c>
      <c r="B382" s="10" t="n">
        <v>2</v>
      </c>
      <c r="C382" s="21" t="inlineStr">
        <is>
          <t>SAN JOSE</t>
        </is>
      </c>
      <c r="D382" s="12" t="n">
        <v>3447</v>
      </c>
      <c r="E382" s="12" t="n">
        <v>360</v>
      </c>
      <c r="F382" s="13">
        <f>+D382/E382</f>
        <v/>
      </c>
      <c r="G382" s="22" t="n"/>
      <c r="H382" s="22" t="n">
        <v>10</v>
      </c>
      <c r="I382" s="22" t="inlineStr">
        <is>
          <t>MANIGUA</t>
        </is>
      </c>
      <c r="J382" s="22" t="inlineStr">
        <is>
          <t>ABONEROS</t>
        </is>
      </c>
      <c r="K382" s="23" t="n"/>
      <c r="L382" s="17" t="n"/>
      <c r="M382" s="48" t="n"/>
    </row>
    <row r="383" ht="15.75" customHeight="1">
      <c r="A383" s="46" t="n">
        <v>45709</v>
      </c>
      <c r="B383" s="10" t="n">
        <v>3</v>
      </c>
      <c r="C383" s="21" t="inlineStr">
        <is>
          <t>SAN JOSE</t>
        </is>
      </c>
      <c r="D383" s="12" t="n">
        <v>3447</v>
      </c>
      <c r="E383" s="12" t="n">
        <v>324</v>
      </c>
      <c r="F383" s="13">
        <f>+D383/E383</f>
        <v/>
      </c>
      <c r="G383" s="22" t="n"/>
      <c r="H383" s="22" t="n">
        <v>10</v>
      </c>
      <c r="I383" s="22" t="inlineStr">
        <is>
          <t>MANIGUA</t>
        </is>
      </c>
      <c r="J383" s="22" t="inlineStr">
        <is>
          <t>ABONEROS</t>
        </is>
      </c>
      <c r="K383" s="23" t="n"/>
      <c r="L383" s="17" t="n"/>
      <c r="M383" s="48" t="n"/>
    </row>
    <row r="384" ht="15.75" customHeight="1">
      <c r="A384" s="46" t="n">
        <v>45709</v>
      </c>
      <c r="B384" s="10" t="n">
        <v>4</v>
      </c>
      <c r="C384" s="21" t="inlineStr">
        <is>
          <t>SAN JOSE</t>
        </is>
      </c>
      <c r="D384" s="12" t="n">
        <v>3341</v>
      </c>
      <c r="E384" s="12" t="n">
        <v>324</v>
      </c>
      <c r="F384" s="13">
        <f>+D384/E384</f>
        <v/>
      </c>
      <c r="G384" s="22" t="n"/>
      <c r="H384" s="22" t="n">
        <v>10</v>
      </c>
      <c r="I384" s="22" t="inlineStr">
        <is>
          <t>MANIGUA</t>
        </is>
      </c>
      <c r="J384" s="22" t="inlineStr">
        <is>
          <t>ABONEROS</t>
        </is>
      </c>
      <c r="K384" s="23" t="n"/>
      <c r="L384" s="17" t="n"/>
      <c r="M384" s="48" t="n"/>
    </row>
    <row r="385" ht="15.75" customHeight="1">
      <c r="A385" s="46" t="n">
        <v>45709</v>
      </c>
      <c r="B385" s="10" t="n">
        <v>5</v>
      </c>
      <c r="C385" s="21" t="inlineStr">
        <is>
          <t>SAN JOSE</t>
        </is>
      </c>
      <c r="D385" s="12" t="n">
        <v>3341</v>
      </c>
      <c r="E385" s="12" t="n">
        <v>324</v>
      </c>
      <c r="F385" s="13">
        <f>+D385/E385</f>
        <v/>
      </c>
      <c r="G385" s="22" t="n"/>
      <c r="H385" s="22" t="n">
        <v>10</v>
      </c>
      <c r="I385" s="22" t="inlineStr">
        <is>
          <t>MANIGUA</t>
        </is>
      </c>
      <c r="J385" s="22" t="inlineStr">
        <is>
          <t>ABONEROS</t>
        </is>
      </c>
      <c r="K385" s="23" t="n"/>
      <c r="L385" s="17" t="n"/>
      <c r="M385" s="48" t="n"/>
    </row>
    <row r="386" ht="15.75" customHeight="1">
      <c r="A386" s="46" t="n">
        <v>45709</v>
      </c>
      <c r="B386" s="10" t="n">
        <v>6</v>
      </c>
      <c r="C386" s="21" t="inlineStr">
        <is>
          <t>SAN JOSE</t>
        </is>
      </c>
      <c r="D386" s="12" t="n">
        <v>3176</v>
      </c>
      <c r="E386" s="12" t="n">
        <v>324</v>
      </c>
      <c r="F386" s="13">
        <f>+D386/E386</f>
        <v/>
      </c>
      <c r="G386" s="22" t="n"/>
      <c r="H386" s="22" t="n">
        <v>10</v>
      </c>
      <c r="I386" s="22" t="inlineStr">
        <is>
          <t>MANIGUA</t>
        </is>
      </c>
      <c r="J386" s="22" t="inlineStr">
        <is>
          <t>ABONEROS</t>
        </is>
      </c>
      <c r="K386" s="23" t="n"/>
      <c r="L386" s="17" t="n"/>
      <c r="M386" s="48" t="n"/>
    </row>
    <row r="387" ht="15.75" customHeight="1">
      <c r="A387" s="46" t="n">
        <v>45709</v>
      </c>
      <c r="B387" s="10" t="n">
        <v>7</v>
      </c>
      <c r="C387" s="21" t="inlineStr">
        <is>
          <t>SAN JOSE</t>
        </is>
      </c>
      <c r="D387" s="12" t="n">
        <v>3176</v>
      </c>
      <c r="E387" s="12" t="n">
        <v>324</v>
      </c>
      <c r="F387" s="13">
        <f>+D387/E387</f>
        <v/>
      </c>
      <c r="G387" s="22" t="n"/>
      <c r="H387" s="22" t="n">
        <v>10</v>
      </c>
      <c r="I387" s="22" t="inlineStr">
        <is>
          <t>MANIGUA</t>
        </is>
      </c>
      <c r="J387" s="22" t="inlineStr">
        <is>
          <t>ABONEROS</t>
        </is>
      </c>
      <c r="K387" s="23" t="n"/>
      <c r="L387" s="17" t="n"/>
      <c r="M387" s="48" t="n"/>
    </row>
    <row r="388" ht="15.75" customHeight="1">
      <c r="A388" s="67" t="n">
        <v>45709</v>
      </c>
      <c r="B388" s="27" t="n">
        <v>8</v>
      </c>
      <c r="C388" s="28" t="inlineStr">
        <is>
          <t>SAN JOSE</t>
        </is>
      </c>
      <c r="D388" s="29" t="n">
        <v>3176</v>
      </c>
      <c r="E388" s="29" t="n">
        <v>324</v>
      </c>
      <c r="F388" s="30">
        <f>+D388/E388</f>
        <v/>
      </c>
      <c r="G388" s="32" t="n"/>
      <c r="H388" s="22" t="n">
        <v>10</v>
      </c>
      <c r="I388" s="32" t="inlineStr">
        <is>
          <t>MANIGUA</t>
        </is>
      </c>
      <c r="J388" s="32" t="inlineStr">
        <is>
          <t>ABONEROS</t>
        </is>
      </c>
      <c r="K388" s="33" t="n"/>
      <c r="L388" s="34" t="n"/>
      <c r="M388" s="69" t="n"/>
    </row>
    <row r="389" ht="15.75" customHeight="1">
      <c r="A389" s="36" t="n">
        <v>45710</v>
      </c>
      <c r="B389" s="37" t="n">
        <v>1</v>
      </c>
      <c r="C389" s="38" t="inlineStr">
        <is>
          <t>MALAGUEÑA</t>
        </is>
      </c>
      <c r="D389" s="39" t="n">
        <v>3105</v>
      </c>
      <c r="E389" s="39" t="n">
        <v>324</v>
      </c>
      <c r="F389" s="40">
        <f>+D389/E389</f>
        <v/>
      </c>
      <c r="G389" s="41" t="n">
        <v>0.9166666666666666</v>
      </c>
      <c r="H389" s="42" t="n">
        <v>10</v>
      </c>
      <c r="I389" s="42" t="inlineStr">
        <is>
          <t>MANIGUA</t>
        </is>
      </c>
      <c r="J389" s="42" t="inlineStr">
        <is>
          <t>CARGUEROS</t>
        </is>
      </c>
      <c r="K389" s="62" t="n"/>
      <c r="L389" s="44" t="n"/>
      <c r="M389" s="45" t="n"/>
    </row>
    <row r="390" ht="15.75" customHeight="1">
      <c r="A390" s="46" t="n">
        <v>45710</v>
      </c>
      <c r="B390" s="10" t="n">
        <v>2</v>
      </c>
      <c r="C390" s="21" t="inlineStr">
        <is>
          <t>MALAGUEÑA</t>
        </is>
      </c>
      <c r="D390" s="12" t="n">
        <v>3105</v>
      </c>
      <c r="E390" s="12" t="n">
        <v>324</v>
      </c>
      <c r="F390" s="13">
        <f>+D390/E390</f>
        <v/>
      </c>
      <c r="G390" s="22" t="n"/>
      <c r="H390" s="22" t="n">
        <v>10</v>
      </c>
      <c r="I390" s="22" t="inlineStr">
        <is>
          <t>MANIGUA</t>
        </is>
      </c>
      <c r="J390" s="22" t="inlineStr">
        <is>
          <t>CARGUEROS</t>
        </is>
      </c>
      <c r="K390" s="23" t="n"/>
      <c r="L390" s="17" t="n"/>
      <c r="M390" s="48" t="n"/>
    </row>
    <row r="391" ht="15.75" customHeight="1">
      <c r="A391" s="46" t="n">
        <v>45710</v>
      </c>
      <c r="B391" s="10" t="n">
        <v>3</v>
      </c>
      <c r="C391" s="21" t="inlineStr">
        <is>
          <t>MALAGUEÑA</t>
        </is>
      </c>
      <c r="D391" s="12" t="n">
        <v>3105</v>
      </c>
      <c r="E391" s="12" t="n">
        <v>324</v>
      </c>
      <c r="F391" s="13">
        <f>+D391/E391</f>
        <v/>
      </c>
      <c r="G391" s="22" t="n"/>
      <c r="H391" s="22" t="n">
        <v>10</v>
      </c>
      <c r="I391" s="22" t="inlineStr">
        <is>
          <t>MANIGUA</t>
        </is>
      </c>
      <c r="J391" s="22" t="inlineStr">
        <is>
          <t>CARGUEROS</t>
        </is>
      </c>
      <c r="K391" s="23" t="n"/>
      <c r="L391" s="17" t="n"/>
      <c r="M391" s="48" t="n"/>
    </row>
    <row r="392" ht="15.75" customHeight="1">
      <c r="A392" s="46" t="n">
        <v>45710</v>
      </c>
      <c r="B392" s="10" t="n">
        <v>4</v>
      </c>
      <c r="C392" s="21" t="inlineStr">
        <is>
          <t>MALAGUEÑA</t>
        </is>
      </c>
      <c r="D392" s="12" t="n">
        <v>3105</v>
      </c>
      <c r="E392" s="12" t="n">
        <v>324</v>
      </c>
      <c r="F392" s="13">
        <f>+D392/E392</f>
        <v/>
      </c>
      <c r="G392" s="22" t="n"/>
      <c r="H392" s="22" t="n">
        <v>10</v>
      </c>
      <c r="I392" s="22" t="inlineStr">
        <is>
          <t>MANIGUA</t>
        </is>
      </c>
      <c r="J392" s="22" t="inlineStr">
        <is>
          <t>CARGUEROS</t>
        </is>
      </c>
      <c r="K392" s="23" t="n"/>
      <c r="L392" s="17" t="n"/>
      <c r="M392" s="48" t="n"/>
    </row>
    <row r="393" ht="15.75" customHeight="1">
      <c r="A393" s="46" t="n">
        <v>45710</v>
      </c>
      <c r="B393" s="10" t="n">
        <v>5</v>
      </c>
      <c r="C393" s="21" t="inlineStr">
        <is>
          <t>MALAGUEÑA</t>
        </is>
      </c>
      <c r="D393" s="12" t="n">
        <v>3467</v>
      </c>
      <c r="E393" s="12" t="n">
        <v>324</v>
      </c>
      <c r="F393" s="13">
        <f>+D393/E393</f>
        <v/>
      </c>
      <c r="G393" s="22" t="n"/>
      <c r="H393" s="22" t="n">
        <v>10</v>
      </c>
      <c r="I393" s="22" t="inlineStr">
        <is>
          <t>MANIGUA</t>
        </is>
      </c>
      <c r="J393" s="22" t="inlineStr">
        <is>
          <t>CARGUEROS</t>
        </is>
      </c>
      <c r="K393" s="23" t="n"/>
      <c r="L393" s="17" t="n"/>
      <c r="M393" s="48" t="n"/>
    </row>
    <row r="394" ht="15.75" customHeight="1">
      <c r="A394" s="46" t="n">
        <v>45710</v>
      </c>
      <c r="B394" s="10" t="n">
        <v>6</v>
      </c>
      <c r="C394" s="21" t="inlineStr">
        <is>
          <t>MALAGUEÑA</t>
        </is>
      </c>
      <c r="D394" s="12" t="n">
        <v>3467</v>
      </c>
      <c r="E394" s="12" t="n">
        <v>324</v>
      </c>
      <c r="F394" s="13">
        <f>+D394/E394</f>
        <v/>
      </c>
      <c r="G394" s="22" t="n"/>
      <c r="H394" s="22" t="n">
        <v>10</v>
      </c>
      <c r="I394" s="22" t="inlineStr">
        <is>
          <t>MANIGUA</t>
        </is>
      </c>
      <c r="J394" s="22" t="inlineStr">
        <is>
          <t>CARGUEROS</t>
        </is>
      </c>
      <c r="K394" s="23" t="n"/>
      <c r="L394" s="17" t="n"/>
      <c r="M394" s="48" t="n"/>
    </row>
    <row r="395" ht="15.75" customHeight="1">
      <c r="A395" s="46" t="n">
        <v>45710</v>
      </c>
      <c r="B395" s="10" t="n">
        <v>7</v>
      </c>
      <c r="C395" s="21" t="inlineStr">
        <is>
          <t>MALAGUEÑA</t>
        </is>
      </c>
      <c r="D395" s="12" t="n">
        <v>3467</v>
      </c>
      <c r="E395" s="12" t="n">
        <v>360</v>
      </c>
      <c r="F395" s="13">
        <f>+D395/E395</f>
        <v/>
      </c>
      <c r="G395" s="22" t="n"/>
      <c r="H395" s="22" t="n">
        <v>10</v>
      </c>
      <c r="I395" s="22" t="inlineStr">
        <is>
          <t>MANIGUA</t>
        </is>
      </c>
      <c r="J395" s="22" t="inlineStr">
        <is>
          <t>CARGUEROS</t>
        </is>
      </c>
      <c r="K395" s="23" t="n"/>
      <c r="L395" s="17" t="n"/>
      <c r="M395" s="48" t="n"/>
    </row>
    <row r="396" ht="15.75" customHeight="1">
      <c r="A396" s="46" t="n">
        <v>45710</v>
      </c>
      <c r="B396" s="10" t="n">
        <v>1</v>
      </c>
      <c r="C396" s="21" t="inlineStr">
        <is>
          <t>SAN JOSE</t>
        </is>
      </c>
      <c r="D396" s="12" t="n">
        <v>3631</v>
      </c>
      <c r="E396" s="12" t="n">
        <v>324</v>
      </c>
      <c r="F396" s="13">
        <f>+D396/E396</f>
        <v/>
      </c>
      <c r="G396" s="25" t="n">
        <v>0.1041666666666667</v>
      </c>
      <c r="H396" s="22" t="n">
        <v>10</v>
      </c>
      <c r="I396" s="22" t="inlineStr">
        <is>
          <t>MANIGUA</t>
        </is>
      </c>
      <c r="J396" s="22" t="inlineStr">
        <is>
          <t>ABONEROS</t>
        </is>
      </c>
      <c r="K396" s="23" t="n"/>
      <c r="L396" s="17" t="n"/>
      <c r="M396" s="48" t="n"/>
    </row>
    <row r="397" ht="15.75" customHeight="1">
      <c r="A397" s="46" t="n">
        <v>45710</v>
      </c>
      <c r="B397" s="10" t="n">
        <v>2</v>
      </c>
      <c r="C397" s="21" t="inlineStr">
        <is>
          <t>SAN JOSE</t>
        </is>
      </c>
      <c r="D397" s="12" t="n">
        <v>3631</v>
      </c>
      <c r="E397" s="12" t="n">
        <v>324</v>
      </c>
      <c r="F397" s="13">
        <f>+D397/E397</f>
        <v/>
      </c>
      <c r="G397" s="22" t="n"/>
      <c r="H397" s="22" t="n">
        <v>10</v>
      </c>
      <c r="I397" s="22" t="inlineStr">
        <is>
          <t>MANIGUA</t>
        </is>
      </c>
      <c r="J397" s="22" t="inlineStr">
        <is>
          <t>ABONEROS</t>
        </is>
      </c>
      <c r="K397" s="23" t="n"/>
      <c r="L397" s="17" t="n"/>
      <c r="M397" s="48" t="n"/>
    </row>
    <row r="398" ht="15.75" customHeight="1">
      <c r="A398" s="46" t="n">
        <v>45710</v>
      </c>
      <c r="B398" s="10" t="n">
        <v>3</v>
      </c>
      <c r="C398" s="21" t="inlineStr">
        <is>
          <t>SAN JOSE</t>
        </is>
      </c>
      <c r="D398" s="12" t="n">
        <v>3631</v>
      </c>
      <c r="E398" s="12" t="n">
        <v>360</v>
      </c>
      <c r="F398" s="13">
        <f>+D398/E398</f>
        <v/>
      </c>
      <c r="G398" s="22" t="n"/>
      <c r="H398" s="22" t="n">
        <v>10</v>
      </c>
      <c r="I398" s="22" t="inlineStr">
        <is>
          <t>MANIGUA</t>
        </is>
      </c>
      <c r="J398" s="22" t="inlineStr">
        <is>
          <t>ABONEROS</t>
        </is>
      </c>
      <c r="K398" s="23" t="n"/>
      <c r="L398" s="17" t="n"/>
      <c r="M398" s="48" t="n"/>
    </row>
    <row r="399" ht="15.75" customHeight="1">
      <c r="A399" s="46" t="n">
        <v>45710</v>
      </c>
      <c r="B399" s="10" t="n">
        <v>4</v>
      </c>
      <c r="C399" s="21" t="inlineStr">
        <is>
          <t>SAN JOSE</t>
        </is>
      </c>
      <c r="D399" s="12" t="n">
        <v>3631</v>
      </c>
      <c r="E399" s="12" t="n">
        <v>324</v>
      </c>
      <c r="F399" s="13">
        <f>+D399/E399</f>
        <v/>
      </c>
      <c r="G399" s="22" t="n"/>
      <c r="H399" s="22" t="n">
        <v>10</v>
      </c>
      <c r="I399" s="22" t="inlineStr">
        <is>
          <t>MANIGUA</t>
        </is>
      </c>
      <c r="J399" s="22" t="inlineStr">
        <is>
          <t>ABONEROS</t>
        </is>
      </c>
      <c r="K399" s="23" t="n"/>
      <c r="L399" s="17" t="n"/>
      <c r="M399" s="48" t="n"/>
    </row>
    <row r="400" ht="15.75" customHeight="1">
      <c r="A400" s="67" t="n">
        <v>45710</v>
      </c>
      <c r="B400" s="27" t="n">
        <v>5</v>
      </c>
      <c r="C400" s="28" t="inlineStr">
        <is>
          <t>SAN JOSE</t>
        </is>
      </c>
      <c r="D400" s="29" t="n">
        <v>3631</v>
      </c>
      <c r="E400" s="29" t="n">
        <v>324</v>
      </c>
      <c r="F400" s="30">
        <f>+D400/E400</f>
        <v/>
      </c>
      <c r="G400" s="32" t="n"/>
      <c r="H400" s="32" t="n">
        <v>10</v>
      </c>
      <c r="I400" s="32" t="inlineStr">
        <is>
          <t>MANIGUA</t>
        </is>
      </c>
      <c r="J400" s="32" t="inlineStr">
        <is>
          <t>ABONEROS</t>
        </is>
      </c>
      <c r="K400" s="33" t="n"/>
      <c r="L400" s="34" t="n"/>
      <c r="M400" s="69" t="n"/>
    </row>
    <row r="401" ht="15.75" customHeight="1">
      <c r="A401" s="36" t="n">
        <v>45712</v>
      </c>
      <c r="B401" s="37" t="n">
        <v>1</v>
      </c>
      <c r="C401" s="38" t="inlineStr">
        <is>
          <t>MALAGUEÑA</t>
        </is>
      </c>
      <c r="D401" s="39" t="n">
        <v>3570</v>
      </c>
      <c r="E401" s="39" t="n">
        <v>324</v>
      </c>
      <c r="F401" s="40">
        <f>+D401/E401</f>
        <v/>
      </c>
      <c r="G401" s="41" t="n">
        <v>0.9583333333333334</v>
      </c>
      <c r="H401" s="42" t="n">
        <v>10</v>
      </c>
      <c r="I401" s="42" t="inlineStr">
        <is>
          <t>MANIGUA</t>
        </is>
      </c>
      <c r="J401" s="42" t="inlineStr">
        <is>
          <t>CARGUEROS</t>
        </is>
      </c>
      <c r="K401" s="62" t="n"/>
      <c r="L401" s="44" t="n"/>
      <c r="M401" s="45" t="n"/>
    </row>
    <row r="402" ht="15.75" customHeight="1">
      <c r="A402" s="46" t="n">
        <v>45712</v>
      </c>
      <c r="B402" s="10" t="n">
        <v>2</v>
      </c>
      <c r="C402" s="21" t="inlineStr">
        <is>
          <t>MALAGUEÑA</t>
        </is>
      </c>
      <c r="D402" s="12" t="n">
        <v>3570</v>
      </c>
      <c r="E402" s="12" t="n">
        <v>324</v>
      </c>
      <c r="F402" s="13">
        <f>+D402/E402</f>
        <v/>
      </c>
      <c r="G402" s="22" t="n"/>
      <c r="H402" s="22" t="n">
        <v>10</v>
      </c>
      <c r="I402" s="22" t="inlineStr">
        <is>
          <t>MANIGUA</t>
        </is>
      </c>
      <c r="J402" s="22" t="inlineStr">
        <is>
          <t>CARGUEROS</t>
        </is>
      </c>
      <c r="K402" s="23" t="n"/>
      <c r="L402" s="17" t="n"/>
      <c r="M402" s="48" t="n"/>
    </row>
    <row r="403" ht="15.75" customHeight="1">
      <c r="A403" s="46" t="n">
        <v>45712</v>
      </c>
      <c r="B403" s="10" t="n">
        <v>3</v>
      </c>
      <c r="C403" s="21" t="inlineStr">
        <is>
          <t>MALAGUEÑA</t>
        </is>
      </c>
      <c r="D403" s="12" t="n">
        <v>3570</v>
      </c>
      <c r="E403" s="12" t="n">
        <v>324</v>
      </c>
      <c r="F403" s="13">
        <f>+D403/E403</f>
        <v/>
      </c>
      <c r="G403" s="22" t="n"/>
      <c r="H403" s="22" t="n">
        <v>10</v>
      </c>
      <c r="I403" s="22" t="inlineStr">
        <is>
          <t>MANIGUA</t>
        </is>
      </c>
      <c r="J403" s="22" t="inlineStr">
        <is>
          <t>CARGUEROS</t>
        </is>
      </c>
      <c r="K403" s="23" t="n"/>
      <c r="L403" s="17" t="n"/>
      <c r="M403" s="48" t="n"/>
    </row>
    <row r="404" ht="15.75" customHeight="1">
      <c r="A404" s="46" t="n">
        <v>45712</v>
      </c>
      <c r="B404" s="10" t="n">
        <v>4</v>
      </c>
      <c r="C404" s="21" t="inlineStr">
        <is>
          <t>MALAGUEÑA</t>
        </is>
      </c>
      <c r="D404" s="12" t="n">
        <v>3541</v>
      </c>
      <c r="E404" s="12" t="n">
        <v>324</v>
      </c>
      <c r="F404" s="13">
        <f>+D404/E404</f>
        <v/>
      </c>
      <c r="G404" s="22" t="n"/>
      <c r="H404" s="22" t="n">
        <v>10</v>
      </c>
      <c r="I404" s="22" t="inlineStr">
        <is>
          <t>MANIGUA</t>
        </is>
      </c>
      <c r="J404" s="22" t="inlineStr">
        <is>
          <t>CARGUEROS</t>
        </is>
      </c>
      <c r="K404" s="23" t="n"/>
      <c r="L404" s="17" t="n"/>
      <c r="M404" s="48" t="n"/>
    </row>
    <row r="405" ht="15.75" customHeight="1">
      <c r="A405" s="46" t="n">
        <v>45712</v>
      </c>
      <c r="B405" s="10" t="n">
        <v>5</v>
      </c>
      <c r="C405" s="21" t="inlineStr">
        <is>
          <t>MALAGUEÑA</t>
        </is>
      </c>
      <c r="D405" s="12" t="n">
        <v>3158</v>
      </c>
      <c r="E405" s="12" t="n">
        <v>324</v>
      </c>
      <c r="F405" s="13">
        <f>+D405/E405</f>
        <v/>
      </c>
      <c r="G405" s="22" t="n"/>
      <c r="H405" s="22" t="n">
        <v>10</v>
      </c>
      <c r="I405" s="22" t="inlineStr">
        <is>
          <t>MANIGUA</t>
        </is>
      </c>
      <c r="J405" s="22" t="inlineStr">
        <is>
          <t>CARGUEROS</t>
        </is>
      </c>
      <c r="K405" s="23" t="n"/>
      <c r="L405" s="17" t="n"/>
      <c r="M405" s="48" t="n"/>
    </row>
    <row r="406" ht="15.75" customHeight="1">
      <c r="A406" s="46" t="n">
        <v>45712</v>
      </c>
      <c r="B406" s="10" t="n">
        <v>6</v>
      </c>
      <c r="C406" s="21" t="inlineStr">
        <is>
          <t>MALAGUEÑA</t>
        </is>
      </c>
      <c r="D406" s="12" t="n">
        <v>3158</v>
      </c>
      <c r="E406" s="12" t="n">
        <v>360</v>
      </c>
      <c r="F406" s="13">
        <f>+D406/E406</f>
        <v/>
      </c>
      <c r="G406" s="22" t="n"/>
      <c r="H406" s="22" t="n">
        <v>10</v>
      </c>
      <c r="I406" s="22" t="inlineStr">
        <is>
          <t>MANIGUA</t>
        </is>
      </c>
      <c r="J406" s="22" t="inlineStr">
        <is>
          <t>CARGUEROS</t>
        </is>
      </c>
      <c r="K406" s="23" t="n"/>
      <c r="L406" s="17" t="n"/>
      <c r="M406" s="48" t="n"/>
    </row>
    <row r="407" ht="15.75" customHeight="1">
      <c r="A407" s="46" t="n">
        <v>45712</v>
      </c>
      <c r="B407" s="10" t="n">
        <v>7</v>
      </c>
      <c r="C407" s="21" t="inlineStr">
        <is>
          <t>MALAGUEÑA</t>
        </is>
      </c>
      <c r="D407" s="12" t="n">
        <v>3158</v>
      </c>
      <c r="E407" s="12" t="n">
        <v>360</v>
      </c>
      <c r="F407" s="13">
        <f>+D407/E407</f>
        <v/>
      </c>
      <c r="G407" s="22" t="n"/>
      <c r="H407" s="22" t="n">
        <v>10</v>
      </c>
      <c r="I407" s="22" t="inlineStr">
        <is>
          <t>MANIGUA</t>
        </is>
      </c>
      <c r="J407" s="22" t="inlineStr">
        <is>
          <t>CARGUEROS</t>
        </is>
      </c>
      <c r="K407" s="23" t="n"/>
      <c r="L407" s="17" t="n"/>
      <c r="M407" s="48" t="n"/>
    </row>
    <row r="408" ht="15.75" customHeight="1">
      <c r="A408" s="46" t="n">
        <v>45712</v>
      </c>
      <c r="B408" s="10" t="n">
        <v>8</v>
      </c>
      <c r="C408" s="21" t="inlineStr">
        <is>
          <t>MALAGUEÑA</t>
        </is>
      </c>
      <c r="D408" s="12" t="n">
        <v>3410</v>
      </c>
      <c r="E408" s="12" t="n">
        <v>324</v>
      </c>
      <c r="F408" s="13">
        <f>+D408/E408</f>
        <v/>
      </c>
      <c r="G408" s="22" t="n"/>
      <c r="H408" s="22" t="n">
        <v>10</v>
      </c>
      <c r="I408" s="22" t="inlineStr">
        <is>
          <t>MANIGUA</t>
        </is>
      </c>
      <c r="J408" s="22" t="inlineStr">
        <is>
          <t>CARGUEROS</t>
        </is>
      </c>
      <c r="K408" s="23" t="n"/>
      <c r="L408" s="17" t="n"/>
      <c r="M408" s="48" t="n"/>
    </row>
    <row r="409" ht="15.75" customHeight="1">
      <c r="A409" s="46" t="n">
        <v>45712</v>
      </c>
      <c r="B409" s="10" t="n">
        <v>9</v>
      </c>
      <c r="C409" s="21" t="inlineStr">
        <is>
          <t>MALAGUEÑA</t>
        </is>
      </c>
      <c r="D409" s="12" t="n">
        <v>3410</v>
      </c>
      <c r="E409" s="12" t="n">
        <v>324</v>
      </c>
      <c r="F409" s="13">
        <f>+D409/E409</f>
        <v/>
      </c>
      <c r="G409" s="22" t="n"/>
      <c r="H409" s="22" t="n">
        <v>10</v>
      </c>
      <c r="I409" s="22" t="inlineStr">
        <is>
          <t>MANIGUA</t>
        </is>
      </c>
      <c r="J409" s="22" t="inlineStr">
        <is>
          <t>CARGUEROS</t>
        </is>
      </c>
      <c r="K409" s="23" t="n"/>
      <c r="L409" s="17" t="n"/>
      <c r="M409" s="48" t="n"/>
    </row>
    <row r="410" ht="15.75" customHeight="1">
      <c r="A410" s="46" t="n">
        <v>45712</v>
      </c>
      <c r="B410" s="10" t="n">
        <v>10</v>
      </c>
      <c r="C410" s="21" t="inlineStr">
        <is>
          <t>MALAGUEÑA</t>
        </is>
      </c>
      <c r="D410" s="12" t="n">
        <v>3410</v>
      </c>
      <c r="E410" s="12" t="n">
        <v>324</v>
      </c>
      <c r="F410" s="13">
        <f>+D410/E410</f>
        <v/>
      </c>
      <c r="G410" s="22" t="n"/>
      <c r="H410" s="22" t="n">
        <v>10</v>
      </c>
      <c r="I410" s="22" t="inlineStr">
        <is>
          <t>MANIGUA</t>
        </is>
      </c>
      <c r="J410" s="22" t="inlineStr">
        <is>
          <t>CARGUEROS</t>
        </is>
      </c>
      <c r="K410" s="23" t="n"/>
      <c r="L410" s="17" t="n"/>
      <c r="M410" s="48" t="n"/>
    </row>
    <row r="411" ht="15.75" customHeight="1">
      <c r="A411" s="46" t="n">
        <v>45712</v>
      </c>
      <c r="B411" s="10" t="n">
        <v>1</v>
      </c>
      <c r="C411" s="21" t="inlineStr">
        <is>
          <t>SAN JOSE</t>
        </is>
      </c>
      <c r="D411" s="12" t="n">
        <v>3600</v>
      </c>
      <c r="E411" s="12" t="n">
        <v>324</v>
      </c>
      <c r="F411" s="13">
        <f>+D411/E411</f>
        <v/>
      </c>
      <c r="G411" s="25" t="n">
        <v>0.3333333333333333</v>
      </c>
      <c r="H411" s="22" t="n">
        <v>10</v>
      </c>
      <c r="I411" s="22" t="inlineStr">
        <is>
          <t>MANIGUA</t>
        </is>
      </c>
      <c r="J411" s="22" t="inlineStr">
        <is>
          <t>ABONEROS</t>
        </is>
      </c>
      <c r="K411" s="23" t="n"/>
      <c r="L411" s="17" t="n"/>
      <c r="M411" s="48" t="n"/>
    </row>
    <row r="412" ht="15.75" customHeight="1">
      <c r="A412" s="46" t="n">
        <v>45712</v>
      </c>
      <c r="B412" s="10" t="n">
        <v>2</v>
      </c>
      <c r="C412" s="21" t="inlineStr">
        <is>
          <t>SAN JOSE</t>
        </is>
      </c>
      <c r="D412" s="12" t="n">
        <v>3600</v>
      </c>
      <c r="E412" s="12" t="n">
        <v>324</v>
      </c>
      <c r="F412" s="13">
        <f>+D412/E412</f>
        <v/>
      </c>
      <c r="G412" s="22" t="n"/>
      <c r="H412" s="22" t="n">
        <v>10</v>
      </c>
      <c r="I412" s="22" t="inlineStr">
        <is>
          <t>MANIGUA</t>
        </is>
      </c>
      <c r="J412" s="22" t="inlineStr">
        <is>
          <t>ABONEROS</t>
        </is>
      </c>
      <c r="K412" s="23" t="n"/>
      <c r="L412" s="17" t="n"/>
      <c r="M412" s="48" t="n"/>
    </row>
    <row r="413" ht="15.75" customHeight="1">
      <c r="A413" s="46" t="n">
        <v>45712</v>
      </c>
      <c r="B413" s="10" t="n">
        <v>3</v>
      </c>
      <c r="C413" s="21" t="inlineStr">
        <is>
          <t>SAN JOSE</t>
        </is>
      </c>
      <c r="D413" s="12" t="n">
        <v>2726</v>
      </c>
      <c r="E413" s="12" t="n">
        <v>324</v>
      </c>
      <c r="F413" s="13">
        <f>+D413/E413</f>
        <v/>
      </c>
      <c r="G413" s="22" t="n"/>
      <c r="H413" s="22" t="n">
        <v>10</v>
      </c>
      <c r="I413" s="22" t="inlineStr">
        <is>
          <t>MANIGUA</t>
        </is>
      </c>
      <c r="J413" s="22" t="inlineStr">
        <is>
          <t>ABONEROS</t>
        </is>
      </c>
      <c r="K413" s="23" t="n"/>
      <c r="L413" s="17" t="n"/>
      <c r="M413" s="48" t="n"/>
    </row>
    <row r="414" ht="15.75" customHeight="1">
      <c r="A414" s="46" t="n">
        <v>45712</v>
      </c>
      <c r="B414" s="10" t="n">
        <v>4</v>
      </c>
      <c r="C414" s="21" t="inlineStr">
        <is>
          <t>SAN JOSE</t>
        </is>
      </c>
      <c r="D414" s="12" t="n">
        <v>2726</v>
      </c>
      <c r="E414" s="12" t="n">
        <v>360</v>
      </c>
      <c r="F414" s="13">
        <f>+D414/E414</f>
        <v/>
      </c>
      <c r="G414" s="22" t="n"/>
      <c r="H414" s="22" t="n">
        <v>10</v>
      </c>
      <c r="I414" s="22" t="inlineStr">
        <is>
          <t>MANIGUA</t>
        </is>
      </c>
      <c r="J414" s="22" t="inlineStr">
        <is>
          <t>ABONEROS</t>
        </is>
      </c>
      <c r="K414" s="23" t="n"/>
      <c r="L414" s="17" t="n"/>
      <c r="M414" s="48" t="n"/>
    </row>
    <row r="415" ht="15.75" customHeight="1">
      <c r="A415" s="67" t="n">
        <v>45712</v>
      </c>
      <c r="B415" s="27" t="n">
        <v>5</v>
      </c>
      <c r="C415" s="28" t="inlineStr">
        <is>
          <t>SAN JOSE</t>
        </is>
      </c>
      <c r="D415" s="29" t="n">
        <v>2784</v>
      </c>
      <c r="E415" s="29" t="n">
        <v>360</v>
      </c>
      <c r="F415" s="30">
        <f>+D415/E415</f>
        <v/>
      </c>
      <c r="G415" s="32" t="n"/>
      <c r="H415" s="32" t="n">
        <v>10</v>
      </c>
      <c r="I415" s="32" t="inlineStr">
        <is>
          <t>MANIGUA</t>
        </is>
      </c>
      <c r="J415" s="32" t="inlineStr">
        <is>
          <t>ABONEROS</t>
        </is>
      </c>
      <c r="K415" s="33" t="n"/>
      <c r="L415" s="34" t="n"/>
      <c r="M415" s="69" t="n"/>
    </row>
    <row r="416" ht="15.75" customHeight="1">
      <c r="A416" s="36" t="n">
        <v>45713</v>
      </c>
      <c r="B416" s="37" t="n">
        <v>1</v>
      </c>
      <c r="C416" s="38" t="inlineStr">
        <is>
          <t>MALAGUEÑA</t>
        </is>
      </c>
      <c r="D416" s="39" t="n">
        <v>3126</v>
      </c>
      <c r="E416" s="39" t="n">
        <v>324</v>
      </c>
      <c r="F416" s="40">
        <f>+D416/E416</f>
        <v/>
      </c>
      <c r="G416" s="41" t="n">
        <v>0.9583333333333334</v>
      </c>
      <c r="H416" s="42" t="n">
        <v>10</v>
      </c>
      <c r="I416" s="42" t="inlineStr">
        <is>
          <t>MANIGUA</t>
        </is>
      </c>
      <c r="J416" s="42" t="inlineStr">
        <is>
          <t>CARGUEROS</t>
        </is>
      </c>
      <c r="K416" s="43" t="n">
        <v>0.04375</v>
      </c>
      <c r="L416" s="44" t="n"/>
      <c r="M416" s="45" t="n"/>
    </row>
    <row r="417" ht="15.75" customHeight="1">
      <c r="A417" s="46" t="n">
        <v>45713</v>
      </c>
      <c r="B417" s="10" t="n">
        <v>2</v>
      </c>
      <c r="C417" s="21" t="inlineStr">
        <is>
          <t>MALAGUEÑA</t>
        </is>
      </c>
      <c r="D417" s="12" t="n">
        <v>3126</v>
      </c>
      <c r="E417" s="12" t="n">
        <v>324</v>
      </c>
      <c r="F417" s="13">
        <f>+D417/E417</f>
        <v/>
      </c>
      <c r="G417" s="22" t="n"/>
      <c r="H417" s="22" t="n">
        <v>10</v>
      </c>
      <c r="I417" s="22" t="inlineStr">
        <is>
          <t>MANIGUA</t>
        </is>
      </c>
      <c r="J417" s="22" t="inlineStr">
        <is>
          <t>CARGUEROS</t>
        </is>
      </c>
      <c r="K417" s="47" t="n">
        <v>0.07152777777777777</v>
      </c>
      <c r="L417" s="17">
        <f>+K417-K416</f>
        <v/>
      </c>
      <c r="M417" s="48" t="n"/>
    </row>
    <row r="418" ht="15.75" customHeight="1">
      <c r="A418" s="46" t="n">
        <v>45713</v>
      </c>
      <c r="B418" s="10" t="n">
        <v>3</v>
      </c>
      <c r="C418" s="21" t="inlineStr">
        <is>
          <t>MALAGUEÑA</t>
        </is>
      </c>
      <c r="D418" s="12" t="n">
        <v>3126</v>
      </c>
      <c r="E418" s="12" t="n">
        <v>324</v>
      </c>
      <c r="F418" s="13">
        <f>+D418/E418</f>
        <v/>
      </c>
      <c r="G418" s="22" t="n"/>
      <c r="H418" s="22" t="n">
        <v>10</v>
      </c>
      <c r="I418" s="22" t="inlineStr">
        <is>
          <t>MANIGUA</t>
        </is>
      </c>
      <c r="J418" s="22" t="inlineStr">
        <is>
          <t>CARGUEROS</t>
        </is>
      </c>
      <c r="K418" s="47" t="n">
        <v>0.1104166666666667</v>
      </c>
      <c r="L418" s="17">
        <f>+K418-K417</f>
        <v/>
      </c>
      <c r="M418" s="48" t="n"/>
    </row>
    <row r="419" ht="15.75" customHeight="1">
      <c r="A419" s="46" t="n">
        <v>45713</v>
      </c>
      <c r="B419" s="10" t="n">
        <v>4</v>
      </c>
      <c r="C419" s="21" t="inlineStr">
        <is>
          <t>MALAGUEÑA</t>
        </is>
      </c>
      <c r="D419" s="12" t="n">
        <v>3126</v>
      </c>
      <c r="E419" s="12" t="n">
        <v>324</v>
      </c>
      <c r="F419" s="13">
        <f>+D419/E419</f>
        <v/>
      </c>
      <c r="G419" s="22" t="n"/>
      <c r="H419" s="22" t="n">
        <v>10</v>
      </c>
      <c r="I419" s="22" t="inlineStr">
        <is>
          <t>MANIGUA</t>
        </is>
      </c>
      <c r="J419" s="22" t="inlineStr">
        <is>
          <t>CARGUEROS</t>
        </is>
      </c>
      <c r="K419" s="47" t="n">
        <v>0.1701388888888889</v>
      </c>
      <c r="L419" s="17">
        <f>+K419-K418</f>
        <v/>
      </c>
      <c r="M419" s="48" t="inlineStr">
        <is>
          <t>LLEGADA TARDE DOBLETES</t>
        </is>
      </c>
    </row>
    <row r="420" ht="15.75" customHeight="1">
      <c r="A420" s="46" t="n">
        <v>45713</v>
      </c>
      <c r="B420" s="10" t="n">
        <v>5</v>
      </c>
      <c r="C420" s="21" t="inlineStr">
        <is>
          <t>MALAGUEÑA</t>
        </is>
      </c>
      <c r="D420" s="12" t="n">
        <v>3449</v>
      </c>
      <c r="E420" s="12" t="n">
        <v>324</v>
      </c>
      <c r="F420" s="13">
        <f>+D420/E420</f>
        <v/>
      </c>
      <c r="G420" s="22" t="n"/>
      <c r="H420" s="22" t="n">
        <v>10</v>
      </c>
      <c r="I420" s="22" t="inlineStr">
        <is>
          <t>MANIGUA</t>
        </is>
      </c>
      <c r="J420" s="22" t="inlineStr">
        <is>
          <t>CARGUEROS</t>
        </is>
      </c>
      <c r="K420" s="47" t="n">
        <v>0.2256944444444444</v>
      </c>
      <c r="L420" s="17">
        <f>+K420-K419</f>
        <v/>
      </c>
      <c r="M420" s="48" t="n"/>
    </row>
    <row r="421" ht="15.75" customHeight="1">
      <c r="A421" s="46" t="n">
        <v>45713</v>
      </c>
      <c r="B421" s="10" t="n">
        <v>6</v>
      </c>
      <c r="C421" s="21" t="inlineStr">
        <is>
          <t>MALAGUEÑA</t>
        </is>
      </c>
      <c r="D421" s="12" t="n">
        <v>3449</v>
      </c>
      <c r="E421" s="12" t="n">
        <v>324</v>
      </c>
      <c r="F421" s="13">
        <f>+D421/E421</f>
        <v/>
      </c>
      <c r="G421" s="22" t="n"/>
      <c r="H421" s="22" t="n">
        <v>10</v>
      </c>
      <c r="I421" s="22" t="inlineStr">
        <is>
          <t>MANIGUA</t>
        </is>
      </c>
      <c r="J421" s="22" t="inlineStr">
        <is>
          <t>CARGUEROS</t>
        </is>
      </c>
      <c r="K421" s="47" t="n">
        <v>0.2638888888888889</v>
      </c>
      <c r="L421" s="17">
        <f>+K421-K420</f>
        <v/>
      </c>
      <c r="M421" s="48" t="n"/>
    </row>
    <row r="422" ht="15.75" customHeight="1">
      <c r="A422" s="46" t="n">
        <v>45713</v>
      </c>
      <c r="B422" s="10" t="n">
        <v>1</v>
      </c>
      <c r="C422" s="21" t="inlineStr">
        <is>
          <t>SAN JOSE</t>
        </is>
      </c>
      <c r="D422" s="12" t="n">
        <v>3103</v>
      </c>
      <c r="E422" s="12" t="n">
        <v>360</v>
      </c>
      <c r="F422" s="13">
        <f>+D422/E422</f>
        <v/>
      </c>
      <c r="G422" s="25" t="n">
        <v>0.3125</v>
      </c>
      <c r="H422" s="22" t="n">
        <v>10</v>
      </c>
      <c r="I422" s="22" t="inlineStr">
        <is>
          <t>MANIGUA</t>
        </is>
      </c>
      <c r="J422" s="22" t="inlineStr">
        <is>
          <t>CARGUEROS</t>
        </is>
      </c>
      <c r="K422" s="47" t="n">
        <v>0.3930555555555555</v>
      </c>
      <c r="L422" s="17" t="n"/>
      <c r="M422" s="48" t="n"/>
    </row>
    <row r="423" ht="15.75" customHeight="1">
      <c r="A423" s="46" t="n">
        <v>45713</v>
      </c>
      <c r="B423" s="10" t="n">
        <v>2</v>
      </c>
      <c r="C423" s="21" t="inlineStr">
        <is>
          <t>SAN JOSE</t>
        </is>
      </c>
      <c r="D423" s="12" t="n">
        <v>3103</v>
      </c>
      <c r="E423" s="12" t="n">
        <v>324</v>
      </c>
      <c r="F423" s="13">
        <f>+D423/E423</f>
        <v/>
      </c>
      <c r="G423" s="22" t="n"/>
      <c r="H423" s="22" t="n">
        <v>10</v>
      </c>
      <c r="I423" s="22" t="inlineStr">
        <is>
          <t>MANIGUA</t>
        </is>
      </c>
      <c r="J423" s="22" t="inlineStr">
        <is>
          <t>CARGUEROS</t>
        </is>
      </c>
      <c r="K423" s="47" t="n">
        <v>0.4263888888888889</v>
      </c>
      <c r="L423" s="17">
        <f>+K423-K422</f>
        <v/>
      </c>
      <c r="M423" s="48" t="n"/>
    </row>
    <row r="424" ht="15.75" customHeight="1">
      <c r="A424" s="67" t="n">
        <v>45713</v>
      </c>
      <c r="B424" s="27" t="n">
        <v>3</v>
      </c>
      <c r="C424" s="28" t="inlineStr">
        <is>
          <t>SAN JOSE</t>
        </is>
      </c>
      <c r="D424" s="29" t="n">
        <v>3103</v>
      </c>
      <c r="E424" s="29" t="n">
        <v>324</v>
      </c>
      <c r="F424" s="30">
        <f>+D424/E424</f>
        <v/>
      </c>
      <c r="G424" s="32" t="n"/>
      <c r="H424" s="32" t="n">
        <v>10</v>
      </c>
      <c r="I424" s="32" t="inlineStr">
        <is>
          <t>MANIGUA</t>
        </is>
      </c>
      <c r="J424" s="32" t="inlineStr">
        <is>
          <t>CARGUEROS</t>
        </is>
      </c>
      <c r="K424" s="68" t="n">
        <v>0.4576388888888889</v>
      </c>
      <c r="L424" s="34">
        <f>+K424-K423</f>
        <v/>
      </c>
      <c r="M424" s="69" t="n"/>
    </row>
    <row r="425" ht="15.75" customHeight="1">
      <c r="A425" s="36" t="n">
        <v>45714</v>
      </c>
      <c r="B425" s="37" t="n">
        <v>1</v>
      </c>
      <c r="C425" s="38" t="inlineStr">
        <is>
          <t>MALAGUEÑA</t>
        </is>
      </c>
      <c r="D425" s="39" t="n">
        <v>3557</v>
      </c>
      <c r="E425" s="39" t="n">
        <v>324</v>
      </c>
      <c r="F425" s="40">
        <f>+D425/E425</f>
        <v/>
      </c>
      <c r="G425" s="41" t="n">
        <v>0.04166666666666666</v>
      </c>
      <c r="H425" s="42" t="n">
        <v>11</v>
      </c>
      <c r="I425" s="42" t="inlineStr">
        <is>
          <t>MANIGUA</t>
        </is>
      </c>
      <c r="J425" s="42" t="inlineStr">
        <is>
          <t>ABONEROS</t>
        </is>
      </c>
      <c r="K425" s="43" t="n"/>
      <c r="L425" s="44" t="n"/>
      <c r="M425" s="45" t="n"/>
    </row>
    <row r="426" ht="15.75" customHeight="1">
      <c r="A426" s="46" t="n">
        <v>45714</v>
      </c>
      <c r="B426" s="10" t="n">
        <v>2</v>
      </c>
      <c r="C426" s="21" t="inlineStr">
        <is>
          <t>MALAGUEÑA</t>
        </is>
      </c>
      <c r="D426" s="12" t="n">
        <v>3503</v>
      </c>
      <c r="E426" s="12" t="n">
        <v>360</v>
      </c>
      <c r="F426" s="13">
        <f>+D426/E426</f>
        <v/>
      </c>
      <c r="G426" s="22" t="n"/>
      <c r="H426" s="22" t="n">
        <v>11</v>
      </c>
      <c r="I426" s="22" t="inlineStr">
        <is>
          <t>MANIGUA</t>
        </is>
      </c>
      <c r="J426" s="22" t="inlineStr">
        <is>
          <t>ABONEROS</t>
        </is>
      </c>
      <c r="K426" s="23" t="n"/>
      <c r="L426" s="17" t="n"/>
      <c r="M426" s="48" t="n"/>
    </row>
    <row r="427" ht="15.75" customHeight="1">
      <c r="A427" s="46" t="n">
        <v>45714</v>
      </c>
      <c r="B427" s="10" t="n">
        <v>1</v>
      </c>
      <c r="C427" s="21" t="inlineStr">
        <is>
          <t>SAN JOSE</t>
        </is>
      </c>
      <c r="D427" s="12" t="n">
        <v>3003</v>
      </c>
      <c r="E427" s="12" t="n">
        <v>324</v>
      </c>
      <c r="F427" s="13">
        <f>+D427/E427</f>
        <v/>
      </c>
      <c r="G427" s="25" t="n">
        <v>0.08333333333333333</v>
      </c>
      <c r="H427" s="22" t="n">
        <v>11</v>
      </c>
      <c r="I427" s="22" t="inlineStr">
        <is>
          <t>MANIGUA</t>
        </is>
      </c>
      <c r="J427" s="22" t="inlineStr">
        <is>
          <t>CARGUEROS</t>
        </is>
      </c>
      <c r="K427" s="47" t="n"/>
      <c r="L427" s="17" t="n"/>
      <c r="M427" s="48" t="n"/>
    </row>
    <row r="428" ht="15.75" customHeight="1">
      <c r="A428" s="46" t="n">
        <v>45714</v>
      </c>
      <c r="B428" s="10" t="n">
        <v>2</v>
      </c>
      <c r="C428" s="21" t="inlineStr">
        <is>
          <t>SAN JOSE</t>
        </is>
      </c>
      <c r="D428" s="12" t="n">
        <v>3003</v>
      </c>
      <c r="E428" s="12" t="n">
        <v>324</v>
      </c>
      <c r="F428" s="13">
        <f>+D428/E428</f>
        <v/>
      </c>
      <c r="G428" s="22" t="n"/>
      <c r="H428" s="22" t="n">
        <v>11</v>
      </c>
      <c r="I428" s="22" t="inlineStr">
        <is>
          <t>MANIGUA</t>
        </is>
      </c>
      <c r="J428" s="22" t="inlineStr">
        <is>
          <t>CARGUEROS</t>
        </is>
      </c>
      <c r="K428" s="23" t="n"/>
      <c r="L428" s="17" t="n"/>
      <c r="M428" s="48" t="n"/>
    </row>
    <row r="429" ht="15.75" customHeight="1">
      <c r="A429" s="46" t="n">
        <v>45714</v>
      </c>
      <c r="B429" s="10" t="n">
        <v>3</v>
      </c>
      <c r="C429" s="21" t="inlineStr">
        <is>
          <t>SAN JOSE</t>
        </is>
      </c>
      <c r="D429" s="12" t="n">
        <v>3003</v>
      </c>
      <c r="E429" s="12" t="n">
        <v>324</v>
      </c>
      <c r="F429" s="13">
        <f>+D429/E429</f>
        <v/>
      </c>
      <c r="G429" s="22" t="n"/>
      <c r="H429" s="22" t="n">
        <v>11</v>
      </c>
      <c r="I429" s="22" t="inlineStr">
        <is>
          <t>MANIGUA</t>
        </is>
      </c>
      <c r="J429" s="22" t="inlineStr">
        <is>
          <t>CARGUEROS</t>
        </is>
      </c>
      <c r="K429" s="23" t="n"/>
      <c r="L429" s="17" t="n"/>
      <c r="M429" s="48" t="n"/>
    </row>
    <row r="430" ht="15.75" customHeight="1">
      <c r="A430" s="67" t="n">
        <v>45714</v>
      </c>
      <c r="B430" s="27" t="n">
        <v>4</v>
      </c>
      <c r="C430" s="28" t="inlineStr">
        <is>
          <t>SAN JOSE</t>
        </is>
      </c>
      <c r="D430" s="29" t="n">
        <v>3140</v>
      </c>
      <c r="E430" s="29" t="n">
        <v>324</v>
      </c>
      <c r="F430" s="30">
        <f>+D430/E430</f>
        <v/>
      </c>
      <c r="G430" s="32" t="n"/>
      <c r="H430" s="32" t="n">
        <v>11</v>
      </c>
      <c r="I430" s="32" t="inlineStr">
        <is>
          <t>MANIGUA</t>
        </is>
      </c>
      <c r="J430" s="32" t="inlineStr">
        <is>
          <t>CARGUEROS</t>
        </is>
      </c>
      <c r="K430" s="33" t="n"/>
      <c r="L430" s="34" t="n"/>
      <c r="M430" s="69" t="n"/>
    </row>
    <row r="431" ht="15.75" customHeight="1">
      <c r="A431" s="36" t="n">
        <v>45715</v>
      </c>
      <c r="B431" s="37" t="n">
        <v>1</v>
      </c>
      <c r="C431" s="38" t="inlineStr">
        <is>
          <t>SAN JOSE</t>
        </is>
      </c>
      <c r="D431" s="39" t="n">
        <v>3113</v>
      </c>
      <c r="E431" s="39" t="n">
        <v>324</v>
      </c>
      <c r="F431" s="40">
        <f>+D431/E431</f>
        <v/>
      </c>
      <c r="G431" s="41" t="n">
        <v>0.9791666666666666</v>
      </c>
      <c r="H431" s="42" t="n">
        <v>11</v>
      </c>
      <c r="I431" s="42" t="inlineStr">
        <is>
          <t>MANIGUA</t>
        </is>
      </c>
      <c r="J431" s="42" t="inlineStr">
        <is>
          <t>CARGUEROS</t>
        </is>
      </c>
      <c r="K431" s="43" t="n">
        <v>0.05</v>
      </c>
      <c r="L431" s="44" t="n"/>
      <c r="M431" s="45" t="n"/>
    </row>
    <row r="432" ht="15.75" customHeight="1">
      <c r="A432" s="46" t="n">
        <v>45715</v>
      </c>
      <c r="B432" s="10" t="n">
        <v>2</v>
      </c>
      <c r="C432" s="21" t="inlineStr">
        <is>
          <t>SAN JOSE</t>
        </is>
      </c>
      <c r="D432" s="12" t="n">
        <v>3113</v>
      </c>
      <c r="E432" s="12" t="n">
        <v>324</v>
      </c>
      <c r="F432" s="13">
        <f>+D432/E432</f>
        <v/>
      </c>
      <c r="G432" s="22" t="n"/>
      <c r="H432" s="22" t="n">
        <v>11</v>
      </c>
      <c r="I432" s="22" t="inlineStr">
        <is>
          <t>MANIGUA</t>
        </is>
      </c>
      <c r="J432" s="22" t="inlineStr">
        <is>
          <t>CARGUEROS</t>
        </is>
      </c>
      <c r="K432" s="47" t="n">
        <v>0.07847222222222222</v>
      </c>
      <c r="L432" s="17">
        <f>+K432-K431</f>
        <v/>
      </c>
      <c r="M432" s="48" t="n"/>
    </row>
    <row r="433" ht="15.75" customHeight="1">
      <c r="A433" s="46" t="n">
        <v>45715</v>
      </c>
      <c r="B433" s="10" t="n">
        <v>3</v>
      </c>
      <c r="C433" s="21" t="inlineStr">
        <is>
          <t>SAN JOSE</t>
        </is>
      </c>
      <c r="D433" s="12" t="n">
        <v>3569</v>
      </c>
      <c r="E433" s="12" t="n">
        <v>324</v>
      </c>
      <c r="F433" s="13">
        <f>+D433/E433</f>
        <v/>
      </c>
      <c r="G433" s="22" t="n"/>
      <c r="H433" s="22" t="n">
        <v>11</v>
      </c>
      <c r="I433" s="22" t="inlineStr">
        <is>
          <t>MANIGUA</t>
        </is>
      </c>
      <c r="J433" s="22" t="inlineStr">
        <is>
          <t>CARGUEROS</t>
        </is>
      </c>
      <c r="K433" s="47" t="n">
        <v>0.1111111111111111</v>
      </c>
      <c r="L433" s="17">
        <f>+K433-K432</f>
        <v/>
      </c>
      <c r="M433" s="48" t="n"/>
    </row>
    <row r="434" ht="15.75" customHeight="1">
      <c r="A434" s="46" t="n">
        <v>45715</v>
      </c>
      <c r="B434" s="10" t="n">
        <v>4</v>
      </c>
      <c r="C434" s="21" t="inlineStr">
        <is>
          <t>SAN JOSE</t>
        </is>
      </c>
      <c r="D434" s="12" t="n">
        <v>3569</v>
      </c>
      <c r="E434" s="12" t="n">
        <v>324</v>
      </c>
      <c r="F434" s="13">
        <f>+D434/E434</f>
        <v/>
      </c>
      <c r="G434" s="22" t="n"/>
      <c r="H434" s="22" t="n">
        <v>11</v>
      </c>
      <c r="I434" s="22" t="inlineStr">
        <is>
          <t>MANIGUA</t>
        </is>
      </c>
      <c r="J434" s="22" t="inlineStr">
        <is>
          <t>CARGUEROS</t>
        </is>
      </c>
      <c r="K434" s="47" t="n">
        <v>0.1444444444444444</v>
      </c>
      <c r="L434" s="17">
        <f>+K434-K433</f>
        <v/>
      </c>
      <c r="M434" s="48" t="n"/>
    </row>
    <row r="435" ht="15.75" customHeight="1">
      <c r="A435" s="46" t="n">
        <v>45715</v>
      </c>
      <c r="B435" s="10" t="n">
        <v>5</v>
      </c>
      <c r="C435" s="21" t="inlineStr">
        <is>
          <t>SAN JOSE</t>
        </is>
      </c>
      <c r="D435" s="12" t="n">
        <v>3569</v>
      </c>
      <c r="E435" s="12" t="n">
        <v>324</v>
      </c>
      <c r="F435" s="13">
        <f>+D435/E435</f>
        <v/>
      </c>
      <c r="G435" s="22" t="n"/>
      <c r="H435" s="22" t="n">
        <v>11</v>
      </c>
      <c r="I435" s="22" t="inlineStr">
        <is>
          <t>MANIGUA</t>
        </is>
      </c>
      <c r="J435" s="22" t="inlineStr">
        <is>
          <t>CARGUEROS</t>
        </is>
      </c>
      <c r="K435" s="47" t="n">
        <v>0.1798611111111111</v>
      </c>
      <c r="L435" s="17">
        <f>+K435-K434</f>
        <v/>
      </c>
      <c r="M435" s="48" t="n"/>
    </row>
    <row r="436" ht="15.75" customHeight="1">
      <c r="A436" s="46" t="n">
        <v>45715</v>
      </c>
      <c r="B436" s="10" t="n">
        <v>6</v>
      </c>
      <c r="C436" s="21" t="inlineStr">
        <is>
          <t>SAN JOSE</t>
        </is>
      </c>
      <c r="D436" s="12" t="n">
        <v>2820</v>
      </c>
      <c r="E436" s="12" t="n">
        <v>360</v>
      </c>
      <c r="F436" s="13">
        <f>+D436/E436</f>
        <v/>
      </c>
      <c r="G436" s="22" t="n"/>
      <c r="H436" s="22" t="n">
        <v>11</v>
      </c>
      <c r="I436" s="22" t="inlineStr">
        <is>
          <t>MANIGUA</t>
        </is>
      </c>
      <c r="J436" s="22" t="inlineStr">
        <is>
          <t>CARGUEROS</t>
        </is>
      </c>
      <c r="K436" s="47" t="n">
        <v>0.2131944444444444</v>
      </c>
      <c r="L436" s="17">
        <f>+K436-K435</f>
        <v/>
      </c>
      <c r="M436" s="48" t="n"/>
    </row>
    <row r="437" ht="15.75" customHeight="1">
      <c r="A437" s="46" t="n">
        <v>45715</v>
      </c>
      <c r="B437" s="10" t="n">
        <v>1</v>
      </c>
      <c r="C437" s="21" t="inlineStr">
        <is>
          <t>MALAGUEÑA</t>
        </is>
      </c>
      <c r="D437" s="12" t="n">
        <v>3543</v>
      </c>
      <c r="E437" s="12" t="n">
        <v>324</v>
      </c>
      <c r="F437" s="13">
        <f>+D437/E437</f>
        <v/>
      </c>
      <c r="G437" s="25" t="n">
        <v>0.2916666666666667</v>
      </c>
      <c r="H437" s="22" t="n">
        <v>11</v>
      </c>
      <c r="I437" s="22" t="inlineStr">
        <is>
          <t>MANIGUA</t>
        </is>
      </c>
      <c r="J437" s="22" t="inlineStr">
        <is>
          <t>CARGUEROS</t>
        </is>
      </c>
      <c r="K437" s="47" t="n">
        <v>0.3680555555555556</v>
      </c>
      <c r="L437" s="17" t="n"/>
      <c r="M437" s="48" t="n"/>
    </row>
    <row r="438" ht="15.75" customHeight="1">
      <c r="A438" s="46" t="n">
        <v>45715</v>
      </c>
      <c r="B438" s="10" t="n">
        <v>2</v>
      </c>
      <c r="C438" s="21" t="inlineStr">
        <is>
          <t>MALAGUEÑA</t>
        </is>
      </c>
      <c r="D438" s="12" t="n">
        <v>3638</v>
      </c>
      <c r="E438" s="12" t="n">
        <v>324</v>
      </c>
      <c r="F438" s="13">
        <f>+D438/E438</f>
        <v/>
      </c>
      <c r="G438" s="22" t="n"/>
      <c r="H438" s="22" t="n">
        <v>11</v>
      </c>
      <c r="I438" s="22" t="inlineStr">
        <is>
          <t>MANIGUA</t>
        </is>
      </c>
      <c r="J438" s="22" t="inlineStr">
        <is>
          <t>CARGUEROS</t>
        </is>
      </c>
      <c r="K438" s="47" t="n">
        <v>0.3979166666666666</v>
      </c>
      <c r="L438" s="17">
        <f>+K438-K437</f>
        <v/>
      </c>
      <c r="M438" s="48" t="n"/>
    </row>
    <row r="439" ht="15.75" customHeight="1">
      <c r="A439" s="67" t="n">
        <v>45715</v>
      </c>
      <c r="B439" s="27" t="n">
        <v>3</v>
      </c>
      <c r="C439" s="28" t="inlineStr">
        <is>
          <t>MALAGUEÑA</t>
        </is>
      </c>
      <c r="D439" s="29" t="n">
        <v>3498</v>
      </c>
      <c r="E439" s="29" t="n">
        <v>360</v>
      </c>
      <c r="F439" s="30">
        <f>+D439/E439</f>
        <v/>
      </c>
      <c r="G439" s="32" t="n"/>
      <c r="H439" s="32" t="n">
        <v>11</v>
      </c>
      <c r="I439" s="32" t="inlineStr">
        <is>
          <t>MANIGUA</t>
        </is>
      </c>
      <c r="J439" s="32" t="inlineStr">
        <is>
          <t>CARGUEROS</t>
        </is>
      </c>
      <c r="K439" s="68" t="n">
        <v>0.4506944444444445</v>
      </c>
      <c r="L439" s="34">
        <f>+K439-K438</f>
        <v/>
      </c>
      <c r="M439" s="69" t="n"/>
    </row>
    <row r="440" ht="15.75" customHeight="1">
      <c r="A440" s="36" t="n">
        <v>45716</v>
      </c>
      <c r="B440" s="37" t="n">
        <v>1</v>
      </c>
      <c r="C440" s="38" t="inlineStr">
        <is>
          <t>MALAGUEÑA</t>
        </is>
      </c>
      <c r="D440" s="39" t="n">
        <v>3063</v>
      </c>
      <c r="E440" s="39" t="n">
        <v>360</v>
      </c>
      <c r="F440" s="40">
        <f>+D440/E440</f>
        <v/>
      </c>
      <c r="G440" s="41" t="n">
        <v>0.9583333333333334</v>
      </c>
      <c r="H440" s="42" t="n">
        <v>11</v>
      </c>
      <c r="I440" s="42" t="inlineStr">
        <is>
          <t>MANIGUA</t>
        </is>
      </c>
      <c r="J440" s="42" t="inlineStr">
        <is>
          <t>CARGUEROS</t>
        </is>
      </c>
      <c r="K440" s="62" t="n"/>
      <c r="L440" s="44" t="n"/>
      <c r="M440" s="45" t="n"/>
    </row>
    <row r="441" ht="15.75" customHeight="1">
      <c r="A441" s="46" t="n">
        <v>45716</v>
      </c>
      <c r="B441" s="10" t="n">
        <v>2</v>
      </c>
      <c r="C441" s="21" t="inlineStr">
        <is>
          <t>MALAGUEÑA</t>
        </is>
      </c>
      <c r="D441" s="12" t="n">
        <v>3063</v>
      </c>
      <c r="E441" s="12" t="n">
        <v>324</v>
      </c>
      <c r="F441" s="13">
        <f>+D441/E441</f>
        <v/>
      </c>
      <c r="G441" s="22" t="n"/>
      <c r="H441" s="22" t="n">
        <v>11</v>
      </c>
      <c r="I441" s="22" t="inlineStr">
        <is>
          <t>MANIGUA</t>
        </is>
      </c>
      <c r="J441" s="22" t="inlineStr">
        <is>
          <t>CARGUEROS</t>
        </is>
      </c>
      <c r="K441" s="23" t="n"/>
      <c r="L441" s="17" t="n"/>
      <c r="M441" s="48" t="n"/>
    </row>
    <row r="442" ht="15.75" customHeight="1">
      <c r="A442" s="46" t="n">
        <v>45716</v>
      </c>
      <c r="B442" s="10" t="n">
        <v>3</v>
      </c>
      <c r="C442" s="21" t="inlineStr">
        <is>
          <t>MALAGUEÑA</t>
        </is>
      </c>
      <c r="D442" s="12" t="n">
        <v>3063</v>
      </c>
      <c r="E442" s="12" t="n">
        <v>324</v>
      </c>
      <c r="F442" s="13">
        <f>+D442/E442</f>
        <v/>
      </c>
      <c r="G442" s="22" t="n"/>
      <c r="H442" s="22" t="n">
        <v>11</v>
      </c>
      <c r="I442" s="22" t="inlineStr">
        <is>
          <t>MANIGUA</t>
        </is>
      </c>
      <c r="J442" s="22" t="inlineStr">
        <is>
          <t>CARGUEROS</t>
        </is>
      </c>
      <c r="K442" s="23" t="n"/>
      <c r="L442" s="17" t="n"/>
      <c r="M442" s="48" t="n"/>
    </row>
    <row r="443" ht="15.75" customHeight="1">
      <c r="A443" s="46" t="n">
        <v>45716</v>
      </c>
      <c r="B443" s="10" t="n">
        <v>4</v>
      </c>
      <c r="C443" s="21" t="inlineStr">
        <is>
          <t>MALAGUEÑA</t>
        </is>
      </c>
      <c r="D443" s="12" t="n">
        <v>3063</v>
      </c>
      <c r="E443" s="12" t="n">
        <v>324</v>
      </c>
      <c r="F443" s="13">
        <f>+D443/E443</f>
        <v/>
      </c>
      <c r="G443" s="22" t="n"/>
      <c r="H443" s="22" t="n">
        <v>11</v>
      </c>
      <c r="I443" s="22" t="inlineStr">
        <is>
          <t>MANIGUA</t>
        </is>
      </c>
      <c r="J443" s="22" t="inlineStr">
        <is>
          <t>CARGUEROS</t>
        </is>
      </c>
      <c r="K443" s="23" t="n"/>
      <c r="L443" s="17" t="n"/>
      <c r="M443" s="48" t="n"/>
    </row>
    <row r="444" ht="15.75" customHeight="1">
      <c r="A444" s="46" t="n">
        <v>45716</v>
      </c>
      <c r="B444" s="27" t="n">
        <v>5</v>
      </c>
      <c r="C444" s="28" t="inlineStr">
        <is>
          <t>MALAGUEÑA</t>
        </is>
      </c>
      <c r="D444" s="29" t="n">
        <v>3256</v>
      </c>
      <c r="E444" s="29" t="n">
        <v>324</v>
      </c>
      <c r="F444" s="30">
        <f>+D444/E444</f>
        <v/>
      </c>
      <c r="G444" s="32" t="n"/>
      <c r="H444" s="32" t="n">
        <v>11</v>
      </c>
      <c r="I444" s="32" t="inlineStr">
        <is>
          <t>MANIGUA</t>
        </is>
      </c>
      <c r="J444" s="32" t="inlineStr">
        <is>
          <t>CARGUEROS</t>
        </is>
      </c>
      <c r="K444" s="33" t="n"/>
      <c r="L444" s="34" t="n"/>
      <c r="M444" s="69" t="n"/>
    </row>
    <row r="445" ht="15.75" customHeight="1">
      <c r="A445" s="36" t="n">
        <v>45717</v>
      </c>
      <c r="B445" s="37" t="n">
        <v>1</v>
      </c>
      <c r="C445" s="38" t="inlineStr">
        <is>
          <t>SAN JOSE</t>
        </is>
      </c>
      <c r="D445" s="39" t="n">
        <v>3530</v>
      </c>
      <c r="E445" s="39" t="n">
        <v>324</v>
      </c>
      <c r="F445" s="40">
        <f>+D445/E445</f>
        <v/>
      </c>
      <c r="G445" s="41" t="n">
        <v>0.08333333333333333</v>
      </c>
      <c r="H445" s="42" t="n">
        <v>11</v>
      </c>
      <c r="I445" s="42" t="inlineStr">
        <is>
          <t>MANIGUA</t>
        </is>
      </c>
      <c r="J445" s="42" t="inlineStr">
        <is>
          <t>CARGUEROS</t>
        </is>
      </c>
      <c r="K445" s="62" t="n"/>
      <c r="L445" s="44" t="n"/>
      <c r="M445" s="45" t="n"/>
    </row>
    <row r="446" ht="15.75" customHeight="1">
      <c r="A446" s="46" t="n">
        <v>45717</v>
      </c>
      <c r="B446" s="10" t="n">
        <v>2</v>
      </c>
      <c r="C446" s="21" t="inlineStr">
        <is>
          <t>SAN JOSE</t>
        </is>
      </c>
      <c r="D446" s="12" t="n">
        <v>3530</v>
      </c>
      <c r="E446" s="12" t="n">
        <v>324</v>
      </c>
      <c r="F446" s="13">
        <f>+D446/E446</f>
        <v/>
      </c>
      <c r="G446" s="22" t="n"/>
      <c r="H446" s="22" t="n">
        <v>11</v>
      </c>
      <c r="I446" s="22" t="inlineStr">
        <is>
          <t>MANIGUA</t>
        </is>
      </c>
      <c r="J446" s="22" t="inlineStr">
        <is>
          <t>CARGUEROS</t>
        </is>
      </c>
      <c r="K446" s="23" t="n"/>
      <c r="L446" s="17" t="n"/>
      <c r="M446" s="48" t="n"/>
    </row>
    <row r="447" ht="15.75" customHeight="1">
      <c r="A447" s="67" t="n">
        <v>45717</v>
      </c>
      <c r="B447" s="27" t="n">
        <v>3</v>
      </c>
      <c r="C447" s="28" t="inlineStr">
        <is>
          <t>SAN JOSE</t>
        </is>
      </c>
      <c r="D447" s="29" t="n">
        <v>3530</v>
      </c>
      <c r="E447" s="29" t="n">
        <v>324</v>
      </c>
      <c r="F447" s="30">
        <f>+D447/E447</f>
        <v/>
      </c>
      <c r="G447" s="32" t="n"/>
      <c r="H447" s="32" t="n">
        <v>11</v>
      </c>
      <c r="I447" s="32" t="inlineStr">
        <is>
          <t>MANIGUA</t>
        </is>
      </c>
      <c r="J447" s="32" t="inlineStr">
        <is>
          <t>CARGUEROS</t>
        </is>
      </c>
      <c r="K447" s="33" t="n"/>
      <c r="L447" s="34" t="n"/>
      <c r="M447" s="69" t="n"/>
    </row>
    <row r="448" ht="15.75" customHeight="1">
      <c r="A448" s="36" t="n">
        <v>45691</v>
      </c>
      <c r="B448" s="37" t="n">
        <v>1</v>
      </c>
      <c r="C448" s="38" t="inlineStr">
        <is>
          <t>MALAGUEÑA</t>
        </is>
      </c>
      <c r="D448" s="39" t="n">
        <v>3389</v>
      </c>
      <c r="E448" s="39" t="n">
        <v>324</v>
      </c>
      <c r="F448" s="40">
        <f>+D448/E448</f>
        <v/>
      </c>
      <c r="G448" s="41" t="n">
        <v>0.9166666666666666</v>
      </c>
      <c r="H448" s="42" t="n">
        <v>11</v>
      </c>
      <c r="I448" s="42" t="inlineStr">
        <is>
          <t>MANIGUA</t>
        </is>
      </c>
      <c r="J448" s="42" t="inlineStr">
        <is>
          <t>CARGUEROS</t>
        </is>
      </c>
      <c r="K448" s="62" t="n"/>
      <c r="L448" s="44" t="n"/>
      <c r="M448" s="45" t="n"/>
    </row>
    <row r="449" ht="15.75" customHeight="1">
      <c r="A449" s="46" t="n">
        <v>45691</v>
      </c>
      <c r="B449" s="10" t="n">
        <v>2</v>
      </c>
      <c r="C449" s="21" t="inlineStr">
        <is>
          <t>MALAGUEÑA</t>
        </is>
      </c>
      <c r="D449" s="12" t="n">
        <v>3389</v>
      </c>
      <c r="E449" s="12" t="n">
        <v>324</v>
      </c>
      <c r="F449" s="13">
        <f>+D449/E449</f>
        <v/>
      </c>
      <c r="G449" s="22" t="n"/>
      <c r="H449" s="22" t="n">
        <v>11</v>
      </c>
      <c r="I449" s="22" t="inlineStr">
        <is>
          <t>MANIGUA</t>
        </is>
      </c>
      <c r="J449" s="22" t="inlineStr">
        <is>
          <t>CARGUEROS</t>
        </is>
      </c>
      <c r="K449" s="23" t="n"/>
      <c r="L449" s="17" t="n"/>
      <c r="M449" s="48" t="n"/>
    </row>
    <row r="450" ht="15.75" customHeight="1">
      <c r="A450" s="46" t="n">
        <v>45691</v>
      </c>
      <c r="B450" s="10" t="n">
        <v>3</v>
      </c>
      <c r="C450" s="21" t="inlineStr">
        <is>
          <t>MALAGUEÑA</t>
        </is>
      </c>
      <c r="D450" s="12" t="n">
        <v>3389</v>
      </c>
      <c r="E450" s="12" t="n">
        <v>324</v>
      </c>
      <c r="F450" s="13">
        <f>+D450/E450</f>
        <v/>
      </c>
      <c r="G450" s="22" t="n"/>
      <c r="H450" s="22" t="n">
        <v>11</v>
      </c>
      <c r="I450" s="22" t="inlineStr">
        <is>
          <t>MANIGUA</t>
        </is>
      </c>
      <c r="J450" s="22" t="inlineStr">
        <is>
          <t>CARGUEROS</t>
        </is>
      </c>
      <c r="K450" s="23" t="n"/>
      <c r="L450" s="17" t="n"/>
      <c r="M450" s="48" t="n"/>
    </row>
    <row r="451" ht="15.75" customHeight="1">
      <c r="A451" s="46" t="n">
        <v>45691</v>
      </c>
      <c r="B451" s="10" t="n">
        <v>4</v>
      </c>
      <c r="C451" s="21" t="inlineStr">
        <is>
          <t>MALAGUEÑA</t>
        </is>
      </c>
      <c r="D451" s="12" t="n">
        <v>3389</v>
      </c>
      <c r="E451" s="12" t="n">
        <v>324</v>
      </c>
      <c r="F451" s="13">
        <f>+D451/E451</f>
        <v/>
      </c>
      <c r="G451" s="22" t="n"/>
      <c r="H451" s="22" t="n">
        <v>11</v>
      </c>
      <c r="I451" s="22" t="inlineStr">
        <is>
          <t>MANIGUA</t>
        </is>
      </c>
      <c r="J451" s="22" t="inlineStr">
        <is>
          <t>CARGUEROS</t>
        </is>
      </c>
      <c r="K451" s="23" t="n"/>
      <c r="L451" s="17" t="n"/>
      <c r="M451" s="48" t="n"/>
    </row>
    <row r="452" ht="15.75" customHeight="1">
      <c r="A452" s="46" t="n">
        <v>45691</v>
      </c>
      <c r="B452" s="10" t="n">
        <v>5</v>
      </c>
      <c r="C452" s="21" t="inlineStr">
        <is>
          <t>MALAGUEÑA</t>
        </is>
      </c>
      <c r="D452" s="12" t="n">
        <v>3025</v>
      </c>
      <c r="E452" s="12" t="n">
        <v>324</v>
      </c>
      <c r="F452" s="13">
        <f>+D452/E452</f>
        <v/>
      </c>
      <c r="G452" s="22" t="n"/>
      <c r="H452" s="22" t="n">
        <v>11</v>
      </c>
      <c r="I452" s="22" t="inlineStr">
        <is>
          <t>MANIGUA</t>
        </is>
      </c>
      <c r="J452" s="22" t="inlineStr">
        <is>
          <t>CARGUEROS</t>
        </is>
      </c>
      <c r="K452" s="23" t="n"/>
      <c r="L452" s="17" t="n"/>
      <c r="M452" s="48" t="n"/>
    </row>
    <row r="453" ht="15.75" customHeight="1">
      <c r="A453" s="46" t="n">
        <v>45691</v>
      </c>
      <c r="B453" s="10" t="n">
        <v>6</v>
      </c>
      <c r="C453" s="21" t="inlineStr">
        <is>
          <t>MALAGUEÑA</t>
        </is>
      </c>
      <c r="D453" s="12" t="n">
        <v>3025</v>
      </c>
      <c r="E453" s="12" t="n">
        <v>324</v>
      </c>
      <c r="F453" s="13">
        <f>+D453/E453</f>
        <v/>
      </c>
      <c r="G453" s="22" t="n"/>
      <c r="H453" s="22" t="n">
        <v>11</v>
      </c>
      <c r="I453" s="22" t="inlineStr">
        <is>
          <t>MANIGUA</t>
        </is>
      </c>
      <c r="J453" s="22" t="inlineStr">
        <is>
          <t>CARGUEROS</t>
        </is>
      </c>
      <c r="K453" s="23" t="n"/>
      <c r="L453" s="17" t="n"/>
      <c r="M453" s="48" t="n"/>
    </row>
    <row r="454" ht="15.75" customHeight="1">
      <c r="A454" s="46" t="n">
        <v>45691</v>
      </c>
      <c r="B454" s="10" t="n">
        <v>7</v>
      </c>
      <c r="C454" s="21" t="inlineStr">
        <is>
          <t>MALAGUEÑA</t>
        </is>
      </c>
      <c r="D454" s="12" t="n">
        <v>3389</v>
      </c>
      <c r="E454" s="12" t="n">
        <v>324</v>
      </c>
      <c r="F454" s="13">
        <f>+D454/E454</f>
        <v/>
      </c>
      <c r="G454" s="22" t="n"/>
      <c r="H454" s="22" t="n">
        <v>11</v>
      </c>
      <c r="I454" s="22" t="inlineStr">
        <is>
          <t>MANIGUA</t>
        </is>
      </c>
      <c r="J454" s="22" t="inlineStr">
        <is>
          <t>CARGUEROS</t>
        </is>
      </c>
      <c r="K454" s="23" t="n"/>
      <c r="L454" s="17" t="n"/>
      <c r="M454" s="48" t="n"/>
    </row>
    <row r="455" ht="15.75" customHeight="1">
      <c r="A455" s="46" t="n">
        <v>45691</v>
      </c>
      <c r="B455" s="10" t="n">
        <v>8</v>
      </c>
      <c r="C455" s="21" t="inlineStr">
        <is>
          <t>MALAGUEÑA</t>
        </is>
      </c>
      <c r="D455" s="12" t="n">
        <v>3389</v>
      </c>
      <c r="E455" s="12" t="n">
        <v>324</v>
      </c>
      <c r="F455" s="13">
        <f>+D455/E455</f>
        <v/>
      </c>
      <c r="G455" s="22" t="n"/>
      <c r="H455" s="22" t="n">
        <v>11</v>
      </c>
      <c r="I455" s="22" t="inlineStr">
        <is>
          <t>MANIGUA</t>
        </is>
      </c>
      <c r="J455" s="22" t="inlineStr">
        <is>
          <t>CARGUEROS</t>
        </is>
      </c>
      <c r="K455" s="23" t="n"/>
      <c r="L455" s="17" t="n"/>
      <c r="M455" s="48" t="n"/>
    </row>
    <row r="456" ht="15.75" customHeight="1">
      <c r="A456" s="46" t="n">
        <v>45691</v>
      </c>
      <c r="B456" s="10" t="n">
        <v>1</v>
      </c>
      <c r="C456" s="21" t="inlineStr">
        <is>
          <t>SAN JOSE 2</t>
        </is>
      </c>
      <c r="D456" s="12" t="n">
        <v>3229</v>
      </c>
      <c r="E456" s="12" t="n">
        <v>324</v>
      </c>
      <c r="F456" s="13">
        <f>+D456/E456</f>
        <v/>
      </c>
      <c r="G456" s="25" t="n">
        <v>0.08333333333333333</v>
      </c>
      <c r="H456" s="22" t="n">
        <v>10</v>
      </c>
      <c r="I456" s="22" t="inlineStr">
        <is>
          <t>MANIGUA</t>
        </is>
      </c>
      <c r="J456" s="22" t="inlineStr">
        <is>
          <t>ABONEROS</t>
        </is>
      </c>
      <c r="K456" s="23" t="n"/>
      <c r="L456" s="17" t="n"/>
      <c r="M456" s="48" t="n"/>
    </row>
    <row r="457" ht="15.75" customHeight="1">
      <c r="A457" s="46" t="n">
        <v>45691</v>
      </c>
      <c r="B457" s="10" t="n">
        <v>2</v>
      </c>
      <c r="C457" s="21" t="inlineStr">
        <is>
          <t>SAN JOSE 2</t>
        </is>
      </c>
      <c r="D457" s="12" t="n">
        <v>3229</v>
      </c>
      <c r="E457" s="12" t="n">
        <v>324</v>
      </c>
      <c r="F457" s="13">
        <f>+D457/E457</f>
        <v/>
      </c>
      <c r="G457" s="22" t="n"/>
      <c r="H457" s="22" t="n">
        <v>10</v>
      </c>
      <c r="I457" s="22" t="inlineStr">
        <is>
          <t>MANIGUA</t>
        </is>
      </c>
      <c r="J457" s="22" t="inlineStr">
        <is>
          <t>ABONEROS</t>
        </is>
      </c>
      <c r="K457" s="23" t="n"/>
      <c r="L457" s="17" t="n"/>
      <c r="M457" s="48" t="n"/>
    </row>
    <row r="458" ht="15.75" customHeight="1">
      <c r="A458" s="46" t="n">
        <v>45691</v>
      </c>
      <c r="B458" s="10" t="n">
        <v>3</v>
      </c>
      <c r="C458" s="21" t="inlineStr">
        <is>
          <t>SAN JOSE 2</t>
        </is>
      </c>
      <c r="D458" s="12" t="n">
        <v>3229</v>
      </c>
      <c r="E458" s="12" t="n">
        <v>360</v>
      </c>
      <c r="F458" s="13">
        <f>+D458/E458</f>
        <v/>
      </c>
      <c r="G458" s="22" t="n"/>
      <c r="H458" s="22" t="n">
        <v>10</v>
      </c>
      <c r="I458" s="22" t="inlineStr">
        <is>
          <t>MANIGUA</t>
        </is>
      </c>
      <c r="J458" s="22" t="inlineStr">
        <is>
          <t>ABONEROS</t>
        </is>
      </c>
      <c r="K458" s="23" t="n"/>
      <c r="L458" s="17" t="n"/>
      <c r="M458" s="48" t="n"/>
    </row>
    <row r="459" ht="15.75" customHeight="1">
      <c r="A459" s="46" t="n">
        <v>45691</v>
      </c>
      <c r="B459" s="10" t="n">
        <v>4</v>
      </c>
      <c r="C459" s="21" t="inlineStr">
        <is>
          <t>SAN JOSE 2</t>
        </is>
      </c>
      <c r="D459" s="12" t="n">
        <v>3229</v>
      </c>
      <c r="E459" s="12" t="n">
        <v>324</v>
      </c>
      <c r="F459" s="13">
        <f>+D459/E459</f>
        <v/>
      </c>
      <c r="G459" s="22" t="n"/>
      <c r="H459" s="22" t="n">
        <v>10</v>
      </c>
      <c r="I459" s="22" t="inlineStr">
        <is>
          <t>MANIGUA</t>
        </is>
      </c>
      <c r="J459" s="22" t="inlineStr">
        <is>
          <t>ABONEROS</t>
        </is>
      </c>
      <c r="K459" s="23" t="n"/>
      <c r="L459" s="17" t="n"/>
      <c r="M459" s="48" t="n"/>
    </row>
    <row r="460" ht="15.75" customHeight="1">
      <c r="A460" s="46" t="n">
        <v>45691</v>
      </c>
      <c r="B460" s="10" t="n">
        <v>5</v>
      </c>
      <c r="C460" s="21" t="inlineStr">
        <is>
          <t>SAN JOSE 2</t>
        </is>
      </c>
      <c r="D460" s="12" t="n">
        <v>3229</v>
      </c>
      <c r="E460" s="12" t="n">
        <v>360</v>
      </c>
      <c r="F460" s="13">
        <f>+D460/E460</f>
        <v/>
      </c>
      <c r="G460" s="22" t="n"/>
      <c r="H460" s="22" t="n">
        <v>10</v>
      </c>
      <c r="I460" s="22" t="inlineStr">
        <is>
          <t>MANIGUA</t>
        </is>
      </c>
      <c r="J460" s="22" t="inlineStr">
        <is>
          <t>ABONEROS</t>
        </is>
      </c>
      <c r="K460" s="23" t="n"/>
      <c r="L460" s="17" t="n"/>
      <c r="M460" s="48" t="n"/>
    </row>
    <row r="461" ht="15.75" customHeight="1">
      <c r="A461" s="46" t="n">
        <v>45691</v>
      </c>
      <c r="B461" s="10" t="n">
        <v>6</v>
      </c>
      <c r="C461" s="21" t="inlineStr">
        <is>
          <t>SAN JOSE 2</t>
        </is>
      </c>
      <c r="D461" s="12" t="n">
        <v>3554</v>
      </c>
      <c r="E461" s="12" t="n">
        <v>360</v>
      </c>
      <c r="F461" s="13">
        <f>+D461/E461</f>
        <v/>
      </c>
      <c r="G461" s="22" t="n"/>
      <c r="H461" s="22" t="n">
        <v>10</v>
      </c>
      <c r="I461" s="22" t="inlineStr">
        <is>
          <t>MANIGUA</t>
        </is>
      </c>
      <c r="J461" s="22" t="inlineStr">
        <is>
          <t>ABONEROS</t>
        </is>
      </c>
      <c r="K461" s="23" t="n"/>
      <c r="L461" s="17" t="n"/>
      <c r="M461" s="48" t="n"/>
    </row>
    <row r="462" ht="15.75" customHeight="1">
      <c r="A462" s="67" t="n">
        <v>45691</v>
      </c>
      <c r="B462" s="27" t="n">
        <v>7</v>
      </c>
      <c r="C462" s="21" t="inlineStr">
        <is>
          <t>SAN JOSE 2</t>
        </is>
      </c>
      <c r="D462" s="29" t="n">
        <v>3554</v>
      </c>
      <c r="E462" s="29" t="n">
        <v>324</v>
      </c>
      <c r="F462" s="30">
        <f>+D462/E462</f>
        <v/>
      </c>
      <c r="G462" s="32" t="n"/>
      <c r="H462" s="22" t="n">
        <v>10</v>
      </c>
      <c r="I462" s="32" t="inlineStr">
        <is>
          <t>MANIGUA</t>
        </is>
      </c>
      <c r="J462" s="32" t="inlineStr">
        <is>
          <t>ABONEROS</t>
        </is>
      </c>
      <c r="K462" s="33" t="n"/>
      <c r="L462" s="34" t="n"/>
      <c r="M462" s="69" t="n"/>
    </row>
    <row r="463" ht="15.75" customHeight="1">
      <c r="A463" s="36" t="n">
        <v>45692</v>
      </c>
      <c r="B463" s="37" t="n">
        <v>1</v>
      </c>
      <c r="C463" s="38" t="inlineStr">
        <is>
          <t>MALAGUEÑA</t>
        </is>
      </c>
      <c r="D463" s="39" t="n">
        <v>2723</v>
      </c>
      <c r="E463" s="39" t="n">
        <v>324</v>
      </c>
      <c r="F463" s="40">
        <f>+D463/E463</f>
        <v/>
      </c>
      <c r="G463" s="41" t="n">
        <v>0.02083333333333333</v>
      </c>
      <c r="H463" s="42" t="n">
        <v>11</v>
      </c>
      <c r="I463" s="42" t="inlineStr">
        <is>
          <t>MANIGUA</t>
        </is>
      </c>
      <c r="J463" s="41" t="inlineStr">
        <is>
          <t>CARGUEROS</t>
        </is>
      </c>
      <c r="K463" s="43" t="n">
        <v>0.1027777777777778</v>
      </c>
      <c r="L463" s="44" t="n"/>
      <c r="M463" s="45" t="n"/>
    </row>
    <row r="464" ht="15.75" customHeight="1">
      <c r="A464" s="46" t="n">
        <v>45692</v>
      </c>
      <c r="B464" s="10" t="n">
        <v>2</v>
      </c>
      <c r="C464" s="21" t="inlineStr">
        <is>
          <t>MALAGUEÑA</t>
        </is>
      </c>
      <c r="D464" s="12" t="n">
        <v>2723</v>
      </c>
      <c r="E464" s="12" t="n">
        <v>324</v>
      </c>
      <c r="F464" s="13">
        <f>+D464/E464</f>
        <v/>
      </c>
      <c r="G464" s="22" t="n"/>
      <c r="H464" s="22" t="n">
        <v>11</v>
      </c>
      <c r="I464" s="22" t="inlineStr">
        <is>
          <t>MANIGUA</t>
        </is>
      </c>
      <c r="J464" s="25" t="inlineStr">
        <is>
          <t>CARGUEROS</t>
        </is>
      </c>
      <c r="K464" s="47" t="n">
        <v>0.1340277777777778</v>
      </c>
      <c r="L464" s="17" t="n"/>
      <c r="M464" s="48" t="n"/>
    </row>
    <row r="465" ht="15.75" customHeight="1">
      <c r="A465" s="46" t="n">
        <v>45692</v>
      </c>
      <c r="B465" s="10" t="n">
        <v>3</v>
      </c>
      <c r="C465" s="21" t="inlineStr">
        <is>
          <t>MALAGUEÑA</t>
        </is>
      </c>
      <c r="D465" s="12" t="n">
        <v>3266</v>
      </c>
      <c r="E465" s="12" t="n">
        <v>324</v>
      </c>
      <c r="F465" s="13">
        <f>+D465/E465</f>
        <v/>
      </c>
      <c r="G465" s="22" t="n"/>
      <c r="H465" s="22" t="n">
        <v>11</v>
      </c>
      <c r="I465" s="22" t="inlineStr">
        <is>
          <t>MANIGUA</t>
        </is>
      </c>
      <c r="J465" s="25" t="inlineStr">
        <is>
          <t>CARGUEROS</t>
        </is>
      </c>
      <c r="K465" s="47" t="n">
        <v>0.1715277777777778</v>
      </c>
      <c r="L465" s="17" t="n"/>
      <c r="M465" s="48" t="n"/>
    </row>
    <row r="466" ht="15.75" customHeight="1">
      <c r="A466" s="46" t="n">
        <v>45692</v>
      </c>
      <c r="B466" s="10" t="n">
        <v>4</v>
      </c>
      <c r="C466" s="21" t="inlineStr">
        <is>
          <t>MALAGUEÑA</t>
        </is>
      </c>
      <c r="D466" s="12" t="n">
        <v>3266</v>
      </c>
      <c r="E466" s="12" t="n">
        <v>324</v>
      </c>
      <c r="F466" s="13">
        <f>+D466/E466</f>
        <v/>
      </c>
      <c r="G466" s="22" t="n"/>
      <c r="H466" s="22" t="n">
        <v>11</v>
      </c>
      <c r="I466" s="22" t="inlineStr">
        <is>
          <t>MANIGUA</t>
        </is>
      </c>
      <c r="J466" s="25" t="inlineStr">
        <is>
          <t>CARGUEROS</t>
        </is>
      </c>
      <c r="K466" s="47" t="n">
        <v>0.2027777777777778</v>
      </c>
      <c r="L466" s="17" t="n"/>
      <c r="M466" s="48" t="n"/>
    </row>
    <row r="467" ht="15.75" customHeight="1">
      <c r="A467" s="46" t="n">
        <v>45692</v>
      </c>
      <c r="B467" s="10" t="n">
        <v>5</v>
      </c>
      <c r="C467" s="21" t="inlineStr">
        <is>
          <t>MALAGUEÑA</t>
        </is>
      </c>
      <c r="D467" s="12" t="n">
        <v>3266</v>
      </c>
      <c r="E467" s="12" t="n">
        <v>324</v>
      </c>
      <c r="F467" s="13">
        <f>+D467/E467</f>
        <v/>
      </c>
      <c r="G467" s="22" t="n"/>
      <c r="H467" s="22" t="n">
        <v>11</v>
      </c>
      <c r="I467" s="22" t="inlineStr">
        <is>
          <t>MANIGUA</t>
        </is>
      </c>
      <c r="J467" s="25" t="inlineStr">
        <is>
          <t>CARGUEROS</t>
        </is>
      </c>
      <c r="K467" s="47" t="n">
        <v>0.2347222222222222</v>
      </c>
      <c r="L467" s="17" t="n"/>
      <c r="M467" s="48" t="n"/>
    </row>
    <row r="468" ht="15.75" customHeight="1">
      <c r="A468" s="46" t="n">
        <v>45692</v>
      </c>
      <c r="B468" s="10" t="n">
        <v>6</v>
      </c>
      <c r="C468" s="21" t="inlineStr">
        <is>
          <t>MALAGUEÑA</t>
        </is>
      </c>
      <c r="D468" s="12" t="n">
        <v>3266</v>
      </c>
      <c r="E468" s="12" t="n">
        <v>324</v>
      </c>
      <c r="F468" s="13">
        <f>+D468/E468</f>
        <v/>
      </c>
      <c r="G468" s="22" t="n"/>
      <c r="H468" s="22" t="n">
        <v>10</v>
      </c>
      <c r="I468" s="22" t="inlineStr">
        <is>
          <t>MANIGUA</t>
        </is>
      </c>
      <c r="J468" s="25" t="inlineStr">
        <is>
          <t>ABONEROS</t>
        </is>
      </c>
      <c r="K468" s="47" t="n">
        <v>0.2743055555555556</v>
      </c>
      <c r="L468" s="17" t="n"/>
      <c r="M468" s="48" t="n"/>
    </row>
    <row r="469" ht="15.75" customHeight="1">
      <c r="A469" s="46" t="n">
        <v>45692</v>
      </c>
      <c r="B469" s="10" t="n">
        <v>7</v>
      </c>
      <c r="C469" s="21" t="inlineStr">
        <is>
          <t>MALAGUEÑA</t>
        </is>
      </c>
      <c r="D469" s="12" t="n">
        <v>3266</v>
      </c>
      <c r="E469" s="12" t="n">
        <v>360</v>
      </c>
      <c r="F469" s="13">
        <f>+D469/E469</f>
        <v/>
      </c>
      <c r="G469" s="22" t="n"/>
      <c r="H469" s="22" t="n">
        <v>10</v>
      </c>
      <c r="I469" s="22" t="inlineStr">
        <is>
          <t>MANIGUA</t>
        </is>
      </c>
      <c r="J469" s="25" t="inlineStr">
        <is>
          <t>ABONEROS</t>
        </is>
      </c>
      <c r="K469" s="47" t="n">
        <v>0.3020833333333333</v>
      </c>
      <c r="L469" s="17" t="n"/>
      <c r="M469" s="48" t="n"/>
    </row>
    <row r="470" ht="15.75" customHeight="1">
      <c r="A470" s="46" t="n">
        <v>45692</v>
      </c>
      <c r="B470" s="10" t="n">
        <v>1</v>
      </c>
      <c r="C470" s="21" t="inlineStr">
        <is>
          <t>SAN JOSE</t>
        </is>
      </c>
      <c r="D470" s="12" t="n">
        <v>3487</v>
      </c>
      <c r="E470" s="12" t="n">
        <v>324</v>
      </c>
      <c r="F470" s="13">
        <f>+D470/E470</f>
        <v/>
      </c>
      <c r="G470" s="25" t="n">
        <v>0.2708333333333333</v>
      </c>
      <c r="H470" s="22" t="n">
        <v>11</v>
      </c>
      <c r="I470" s="22" t="inlineStr">
        <is>
          <t>MANIGUA</t>
        </is>
      </c>
      <c r="J470" s="22" t="inlineStr">
        <is>
          <t>CARGUEROS</t>
        </is>
      </c>
      <c r="K470" s="47" t="n">
        <v>0.4222222222222222</v>
      </c>
      <c r="L470" s="17" t="n"/>
      <c r="M470" s="48" t="n"/>
    </row>
    <row r="471" ht="15.75" customHeight="1">
      <c r="A471" s="46" t="n">
        <v>45692</v>
      </c>
      <c r="B471" s="10" t="n">
        <v>2</v>
      </c>
      <c r="C471" s="21" t="inlineStr">
        <is>
          <t>SAN JOSE</t>
        </is>
      </c>
      <c r="D471" s="12" t="n">
        <v>3150</v>
      </c>
      <c r="E471" s="12" t="n">
        <v>360</v>
      </c>
      <c r="F471" s="13">
        <f>+D471/E471</f>
        <v/>
      </c>
      <c r="G471" s="22" t="n"/>
      <c r="H471" s="22" t="n">
        <v>11</v>
      </c>
      <c r="I471" s="22" t="inlineStr">
        <is>
          <t>MANIGUA</t>
        </is>
      </c>
      <c r="J471" s="22" t="inlineStr">
        <is>
          <t>CARGUEROS</t>
        </is>
      </c>
      <c r="K471" s="23" t="n"/>
      <c r="L471" s="17" t="n"/>
      <c r="M471" s="48" t="n"/>
    </row>
    <row r="472" ht="15.75" customHeight="1">
      <c r="A472" s="46" t="n">
        <v>45692</v>
      </c>
      <c r="B472" s="10" t="n">
        <v>3</v>
      </c>
      <c r="C472" s="21" t="inlineStr">
        <is>
          <t>SAN JOSE</t>
        </is>
      </c>
      <c r="D472" s="12" t="n">
        <v>3150</v>
      </c>
      <c r="E472" s="12" t="n">
        <v>324</v>
      </c>
      <c r="F472" s="13">
        <f>+D472/E472</f>
        <v/>
      </c>
      <c r="G472" s="22" t="n"/>
      <c r="H472" s="22" t="n">
        <v>11</v>
      </c>
      <c r="I472" s="22" t="inlineStr">
        <is>
          <t>MANIGUA</t>
        </is>
      </c>
      <c r="J472" s="22" t="inlineStr">
        <is>
          <t>CARGUEROS</t>
        </is>
      </c>
      <c r="K472" s="23" t="n"/>
      <c r="L472" s="17" t="n"/>
      <c r="M472" s="48" t="n"/>
    </row>
    <row r="473" ht="15.75" customHeight="1">
      <c r="A473" s="46" t="n">
        <v>45692</v>
      </c>
      <c r="B473" s="10" t="n">
        <v>4</v>
      </c>
      <c r="C473" s="21" t="inlineStr">
        <is>
          <t>SAN JOSE</t>
        </is>
      </c>
      <c r="D473" s="12" t="n">
        <v>3150</v>
      </c>
      <c r="E473" s="12" t="n">
        <v>324</v>
      </c>
      <c r="F473" s="13">
        <f>+D473/E473</f>
        <v/>
      </c>
      <c r="G473" s="22" t="n"/>
      <c r="H473" s="22" t="n">
        <v>11</v>
      </c>
      <c r="I473" s="22" t="inlineStr">
        <is>
          <t>MANIGUA</t>
        </is>
      </c>
      <c r="J473" s="22" t="inlineStr">
        <is>
          <t>CARGUEROS</t>
        </is>
      </c>
      <c r="K473" s="23" t="n"/>
      <c r="L473" s="17" t="n"/>
      <c r="M473" s="48" t="n"/>
    </row>
    <row r="474" ht="15.75" customHeight="1">
      <c r="A474" s="46" t="n">
        <v>45692</v>
      </c>
      <c r="B474" s="10" t="n">
        <v>5</v>
      </c>
      <c r="C474" s="21" t="inlineStr">
        <is>
          <t>SAN JOSE</t>
        </is>
      </c>
      <c r="D474" s="12" t="n">
        <v>3169</v>
      </c>
      <c r="E474" s="12" t="n">
        <v>324</v>
      </c>
      <c r="F474" s="13">
        <f>+D474/E474</f>
        <v/>
      </c>
      <c r="G474" s="22" t="n"/>
      <c r="H474" s="22" t="n">
        <v>11</v>
      </c>
      <c r="I474" s="22" t="inlineStr">
        <is>
          <t>MANIGUA</t>
        </is>
      </c>
      <c r="J474" s="22" t="inlineStr">
        <is>
          <t>CARGUEROS</t>
        </is>
      </c>
      <c r="K474" s="23" t="n"/>
      <c r="L474" s="17" t="n"/>
      <c r="M474" s="48" t="n"/>
    </row>
    <row r="475" ht="15.75" customHeight="1">
      <c r="A475" s="46" t="n">
        <v>45692</v>
      </c>
      <c r="B475" s="10" t="n">
        <v>6</v>
      </c>
      <c r="C475" s="21" t="inlineStr">
        <is>
          <t>SAN JOSE</t>
        </is>
      </c>
      <c r="D475" s="12" t="n">
        <v>3169</v>
      </c>
      <c r="E475" s="12" t="n">
        <v>324</v>
      </c>
      <c r="F475" s="13">
        <f>+D475/E475</f>
        <v/>
      </c>
      <c r="G475" s="22" t="n"/>
      <c r="H475" s="22" t="n">
        <v>11</v>
      </c>
      <c r="I475" s="22" t="inlineStr">
        <is>
          <t>MANIGUA</t>
        </is>
      </c>
      <c r="J475" s="22" t="inlineStr">
        <is>
          <t>CARGUEROS</t>
        </is>
      </c>
      <c r="K475" s="23" t="n"/>
      <c r="L475" s="17" t="n"/>
      <c r="M475" s="48" t="n"/>
    </row>
    <row r="476" ht="15.75" customHeight="1">
      <c r="A476" s="46" t="n">
        <v>45692</v>
      </c>
      <c r="B476" s="10" t="n">
        <v>7</v>
      </c>
      <c r="C476" s="21" t="inlineStr">
        <is>
          <t>SAN JOSE</t>
        </is>
      </c>
      <c r="D476" s="12" t="n">
        <v>3232</v>
      </c>
      <c r="E476" s="12" t="n">
        <v>324</v>
      </c>
      <c r="F476" s="13">
        <f>+D476/E476</f>
        <v/>
      </c>
      <c r="G476" s="22" t="n"/>
      <c r="H476" s="22" t="n">
        <v>11</v>
      </c>
      <c r="I476" s="22" t="inlineStr">
        <is>
          <t>MANIGUA</t>
        </is>
      </c>
      <c r="J476" s="22" t="inlineStr">
        <is>
          <t>CARGUEROS</t>
        </is>
      </c>
      <c r="K476" s="23" t="n"/>
      <c r="L476" s="17" t="n"/>
      <c r="M476" s="48" t="n"/>
    </row>
    <row r="477" ht="15.75" customHeight="1">
      <c r="A477" s="67" t="n">
        <v>45692</v>
      </c>
      <c r="B477" s="27" t="n">
        <v>8</v>
      </c>
      <c r="C477" s="28" t="inlineStr">
        <is>
          <t>SAN JOSE</t>
        </is>
      </c>
      <c r="D477" s="29" t="n">
        <v>3232</v>
      </c>
      <c r="E477" s="29" t="n">
        <v>324</v>
      </c>
      <c r="F477" s="30">
        <f>+D477/E477</f>
        <v/>
      </c>
      <c r="G477" s="32" t="n"/>
      <c r="H477" s="32" t="n">
        <v>11</v>
      </c>
      <c r="I477" s="32" t="inlineStr">
        <is>
          <t>MANIGUA</t>
        </is>
      </c>
      <c r="J477" s="32" t="inlineStr">
        <is>
          <t>CARGUEROS</t>
        </is>
      </c>
      <c r="K477" s="68" t="n">
        <v>0.6131944444444445</v>
      </c>
      <c r="L477" s="34" t="n"/>
      <c r="M477" s="69" t="inlineStr">
        <is>
          <t>TERMINARON CARGUE A HORA PROGRAMADA</t>
        </is>
      </c>
    </row>
    <row r="478" ht="15.75" customHeight="1">
      <c r="A478" s="36" t="n">
        <v>45721</v>
      </c>
      <c r="B478" s="37" t="n">
        <v>1</v>
      </c>
      <c r="C478" s="38" t="inlineStr">
        <is>
          <t>MALAGUEÑA</t>
        </is>
      </c>
      <c r="D478" s="39" t="n">
        <v>3535</v>
      </c>
      <c r="E478" s="39" t="n">
        <v>324</v>
      </c>
      <c r="F478" s="40">
        <f>+D478/E478</f>
        <v/>
      </c>
      <c r="G478" s="41" t="n">
        <v>0.02083333333333333</v>
      </c>
      <c r="H478" s="42" t="n">
        <v>10</v>
      </c>
      <c r="I478" s="42" t="inlineStr">
        <is>
          <t>MANIGUA</t>
        </is>
      </c>
      <c r="J478" s="42" t="inlineStr">
        <is>
          <t>ABONEROS</t>
        </is>
      </c>
      <c r="K478" s="62" t="n"/>
      <c r="L478" s="44" t="n"/>
      <c r="M478" s="45" t="n"/>
    </row>
    <row r="479" ht="15.75" customHeight="1">
      <c r="A479" s="46" t="n">
        <v>45721</v>
      </c>
      <c r="B479" s="10" t="n">
        <v>2</v>
      </c>
      <c r="C479" s="21" t="inlineStr">
        <is>
          <t>MALAGUEÑA</t>
        </is>
      </c>
      <c r="D479" s="12" t="n">
        <v>3535</v>
      </c>
      <c r="E479" s="12" t="n">
        <v>324</v>
      </c>
      <c r="F479" s="13">
        <f>+D479/E479</f>
        <v/>
      </c>
      <c r="G479" s="22" t="n"/>
      <c r="H479" s="22" t="n">
        <v>10</v>
      </c>
      <c r="I479" s="22" t="inlineStr">
        <is>
          <t>MANIGUA</t>
        </is>
      </c>
      <c r="J479" s="22" t="inlineStr">
        <is>
          <t>ABONEROS</t>
        </is>
      </c>
      <c r="K479" s="23" t="n"/>
      <c r="L479" s="17" t="n"/>
      <c r="M479" s="48" t="n"/>
    </row>
    <row r="480" ht="15.75" customHeight="1">
      <c r="A480" s="46" t="n">
        <v>45721</v>
      </c>
      <c r="B480" s="10" t="n">
        <v>3</v>
      </c>
      <c r="C480" s="21" t="inlineStr">
        <is>
          <t>MALAGUEÑA</t>
        </is>
      </c>
      <c r="D480" s="12" t="n">
        <v>3535</v>
      </c>
      <c r="E480" s="12" t="n">
        <v>324</v>
      </c>
      <c r="F480" s="13">
        <f>+D480/E480</f>
        <v/>
      </c>
      <c r="G480" s="22" t="n"/>
      <c r="H480" s="22" t="n">
        <v>10</v>
      </c>
      <c r="I480" s="22" t="inlineStr">
        <is>
          <t>MANIGUA</t>
        </is>
      </c>
      <c r="J480" s="22" t="inlineStr">
        <is>
          <t>ABONEROS</t>
        </is>
      </c>
      <c r="K480" s="23" t="n"/>
      <c r="L480" s="17" t="n"/>
      <c r="M480" s="48" t="n"/>
    </row>
    <row r="481" ht="15.75" customHeight="1">
      <c r="A481" s="46" t="n">
        <v>45721</v>
      </c>
      <c r="B481" s="10" t="n">
        <v>4</v>
      </c>
      <c r="C481" s="21" t="inlineStr">
        <is>
          <t>MALAGUEÑA</t>
        </is>
      </c>
      <c r="D481" s="12" t="n">
        <v>3535</v>
      </c>
      <c r="E481" s="12" t="n">
        <v>324</v>
      </c>
      <c r="F481" s="13">
        <f>+D481/E481</f>
        <v/>
      </c>
      <c r="G481" s="22" t="n"/>
      <c r="H481" s="22" t="n">
        <v>10</v>
      </c>
      <c r="I481" s="22" t="inlineStr">
        <is>
          <t>MANIGUA</t>
        </is>
      </c>
      <c r="J481" s="22" t="inlineStr">
        <is>
          <t>ABONEROS</t>
        </is>
      </c>
      <c r="K481" s="23" t="n"/>
      <c r="L481" s="17" t="n"/>
      <c r="M481" s="48" t="n"/>
    </row>
    <row r="482" ht="15.75" customHeight="1">
      <c r="A482" s="46" t="n">
        <v>45721</v>
      </c>
      <c r="B482" s="10" t="n">
        <v>5</v>
      </c>
      <c r="C482" s="21" t="inlineStr">
        <is>
          <t>MALAGUEÑA</t>
        </is>
      </c>
      <c r="D482" s="12" t="n">
        <v>3535</v>
      </c>
      <c r="E482" s="12" t="n">
        <v>360</v>
      </c>
      <c r="F482" s="13">
        <f>+D482/E482</f>
        <v/>
      </c>
      <c r="G482" s="22" t="n"/>
      <c r="H482" s="22" t="n">
        <v>10</v>
      </c>
      <c r="I482" s="22" t="inlineStr">
        <is>
          <t>MANIGUA</t>
        </is>
      </c>
      <c r="J482" s="22" t="inlineStr">
        <is>
          <t>ABONEROS</t>
        </is>
      </c>
      <c r="K482" s="23" t="n"/>
      <c r="L482" s="17" t="n"/>
      <c r="M482" s="48" t="n"/>
    </row>
    <row r="483" ht="15.75" customHeight="1">
      <c r="A483" s="46" t="n">
        <v>45721</v>
      </c>
      <c r="B483" s="10" t="n">
        <v>6</v>
      </c>
      <c r="C483" s="21" t="inlineStr">
        <is>
          <t>MALAGUEÑA</t>
        </is>
      </c>
      <c r="D483" s="12" t="n">
        <v>3535</v>
      </c>
      <c r="E483" s="12" t="n">
        <v>360</v>
      </c>
      <c r="F483" s="13">
        <f>+D483/E483</f>
        <v/>
      </c>
      <c r="G483" s="22" t="n"/>
      <c r="H483" s="22" t="n">
        <v>10</v>
      </c>
      <c r="I483" s="22" t="inlineStr">
        <is>
          <t>MANIGUA</t>
        </is>
      </c>
      <c r="J483" s="22" t="inlineStr">
        <is>
          <t>ABONEROS</t>
        </is>
      </c>
      <c r="K483" s="23" t="n"/>
      <c r="L483" s="17" t="n"/>
      <c r="M483" s="48" t="n"/>
    </row>
    <row r="484" ht="15.75" customHeight="1">
      <c r="A484" s="46" t="n">
        <v>45721</v>
      </c>
      <c r="B484" s="10" t="n">
        <v>7</v>
      </c>
      <c r="C484" s="21" t="inlineStr">
        <is>
          <t>MALAGUEÑA</t>
        </is>
      </c>
      <c r="D484" s="12" t="n">
        <v>3535</v>
      </c>
      <c r="E484" s="12" t="n">
        <v>324</v>
      </c>
      <c r="F484" s="13">
        <f>+D484/E484</f>
        <v/>
      </c>
      <c r="G484" s="22" t="n"/>
      <c r="H484" s="22" t="n">
        <v>10</v>
      </c>
      <c r="I484" s="22" t="inlineStr">
        <is>
          <t>MANIGUA</t>
        </is>
      </c>
      <c r="J484" s="22" t="inlineStr">
        <is>
          <t>ABONEROS</t>
        </is>
      </c>
      <c r="K484" s="23" t="n"/>
      <c r="L484" s="17" t="n"/>
      <c r="M484" s="48" t="n"/>
    </row>
    <row r="485" ht="15.75" customHeight="1">
      <c r="A485" s="46" t="n">
        <v>45721</v>
      </c>
      <c r="B485" s="10" t="n">
        <v>1</v>
      </c>
      <c r="C485" s="21" t="inlineStr">
        <is>
          <t>SAN JOSE</t>
        </is>
      </c>
      <c r="D485" s="12" t="n">
        <v>3012</v>
      </c>
      <c r="E485" s="12" t="n">
        <v>324</v>
      </c>
      <c r="F485" s="13">
        <f>+D485/E485</f>
        <v/>
      </c>
      <c r="G485" s="25" t="n">
        <v>0.2708333333333333</v>
      </c>
      <c r="H485" s="22" t="n">
        <v>11</v>
      </c>
      <c r="I485" s="22" t="inlineStr">
        <is>
          <t>MANIGUA</t>
        </is>
      </c>
      <c r="J485" s="22" t="inlineStr">
        <is>
          <t>CARGUEROS</t>
        </is>
      </c>
      <c r="K485" s="23" t="n"/>
      <c r="L485" s="17" t="n"/>
      <c r="M485" s="48" t="n"/>
    </row>
    <row r="486" ht="15.75" customHeight="1">
      <c r="A486" s="46" t="n">
        <v>45721</v>
      </c>
      <c r="B486" s="10" t="n">
        <v>2</v>
      </c>
      <c r="C486" s="21" t="inlineStr">
        <is>
          <t>SAN JOSE</t>
        </is>
      </c>
      <c r="D486" s="12" t="n">
        <v>3596</v>
      </c>
      <c r="E486" s="12" t="n">
        <v>324</v>
      </c>
      <c r="F486" s="13">
        <f>+D486/E486</f>
        <v/>
      </c>
      <c r="G486" s="22" t="n"/>
      <c r="H486" s="22" t="n">
        <v>11</v>
      </c>
      <c r="I486" s="22" t="inlineStr">
        <is>
          <t>MANIGUA</t>
        </is>
      </c>
      <c r="J486" s="22" t="inlineStr">
        <is>
          <t>CARGUEROS</t>
        </is>
      </c>
      <c r="K486" s="23" t="n"/>
      <c r="L486" s="17" t="n"/>
      <c r="M486" s="48" t="n"/>
    </row>
    <row r="487" ht="15.75" customHeight="1">
      <c r="A487" s="46" t="n">
        <v>45721</v>
      </c>
      <c r="B487" s="10" t="n">
        <v>3</v>
      </c>
      <c r="C487" s="21" t="inlineStr">
        <is>
          <t>SAN JOSE</t>
        </is>
      </c>
      <c r="D487" s="12" t="n">
        <v>3596</v>
      </c>
      <c r="E487" s="12" t="n">
        <v>324</v>
      </c>
      <c r="F487" s="13">
        <f>+D487/E487</f>
        <v/>
      </c>
      <c r="G487" s="22" t="n"/>
      <c r="H487" s="22" t="n">
        <v>11</v>
      </c>
      <c r="I487" s="22" t="inlineStr">
        <is>
          <t>MANIGUA</t>
        </is>
      </c>
      <c r="J487" s="22" t="inlineStr">
        <is>
          <t>CARGUEROS</t>
        </is>
      </c>
      <c r="K487" s="23" t="n"/>
      <c r="L487" s="17" t="n"/>
      <c r="M487" s="48" t="n"/>
    </row>
    <row r="488" ht="15.75" customHeight="1">
      <c r="A488" s="46" t="n">
        <v>45721</v>
      </c>
      <c r="B488" s="10" t="n">
        <v>4</v>
      </c>
      <c r="C488" s="21" t="inlineStr">
        <is>
          <t>SAN JOSE</t>
        </is>
      </c>
      <c r="D488" s="12" t="n">
        <v>3528</v>
      </c>
      <c r="E488" s="12" t="n">
        <v>324</v>
      </c>
      <c r="F488" s="13">
        <f>+D488/E488</f>
        <v/>
      </c>
      <c r="G488" s="22" t="n"/>
      <c r="H488" s="22" t="n">
        <v>11</v>
      </c>
      <c r="I488" s="22" t="inlineStr">
        <is>
          <t>MANIGUA</t>
        </is>
      </c>
      <c r="J488" s="22" t="inlineStr">
        <is>
          <t>CARGUEROS</t>
        </is>
      </c>
      <c r="K488" s="23" t="n"/>
      <c r="L488" s="17" t="n"/>
      <c r="M488" s="48" t="n"/>
    </row>
    <row r="489" ht="15.75" customHeight="1">
      <c r="A489" s="46" t="n">
        <v>45721</v>
      </c>
      <c r="B489" s="10" t="n">
        <v>5</v>
      </c>
      <c r="C489" s="21" t="inlineStr">
        <is>
          <t>SAN JOSE</t>
        </is>
      </c>
      <c r="D489" s="12" t="n">
        <v>3528</v>
      </c>
      <c r="E489" s="12" t="n">
        <v>324</v>
      </c>
      <c r="F489" s="13">
        <f>+D489/E489</f>
        <v/>
      </c>
      <c r="G489" s="22" t="n"/>
      <c r="H489" s="22" t="n">
        <v>11</v>
      </c>
      <c r="I489" s="22" t="inlineStr">
        <is>
          <t>MANIGUA</t>
        </is>
      </c>
      <c r="J489" s="22" t="inlineStr">
        <is>
          <t>CARGUEROS</t>
        </is>
      </c>
      <c r="K489" s="23" t="n"/>
      <c r="L489" s="17" t="n"/>
      <c r="M489" s="48" t="n"/>
    </row>
    <row r="490" ht="15.75" customHeight="1">
      <c r="A490" s="46" t="n">
        <v>45721</v>
      </c>
      <c r="B490" s="10" t="n">
        <v>6</v>
      </c>
      <c r="C490" s="21" t="inlineStr">
        <is>
          <t>SAN JOSE</t>
        </is>
      </c>
      <c r="D490" s="12" t="n">
        <v>3150</v>
      </c>
      <c r="E490" s="12" t="n">
        <v>324</v>
      </c>
      <c r="F490" s="13">
        <f>+D490/E490</f>
        <v/>
      </c>
      <c r="G490" s="22" t="n"/>
      <c r="H490" s="22" t="n">
        <v>11</v>
      </c>
      <c r="I490" s="22" t="inlineStr">
        <is>
          <t>MANIGUA</t>
        </is>
      </c>
      <c r="J490" s="22" t="inlineStr">
        <is>
          <t>CARGUEROS</t>
        </is>
      </c>
      <c r="K490" s="23" t="n"/>
      <c r="L490" s="17" t="n"/>
      <c r="M490" s="48" t="n"/>
    </row>
    <row r="491" ht="15.75" customHeight="1">
      <c r="A491" s="50" t="n">
        <v>45721</v>
      </c>
      <c r="B491" s="51" t="n">
        <v>7</v>
      </c>
      <c r="C491" s="52" t="inlineStr">
        <is>
          <t>SAN JOSE</t>
        </is>
      </c>
      <c r="D491" s="53" t="n">
        <v>3150</v>
      </c>
      <c r="E491" s="53" t="n">
        <v>360</v>
      </c>
      <c r="F491" s="54">
        <f>+D491/E491</f>
        <v/>
      </c>
      <c r="G491" s="56" t="n"/>
      <c r="H491" s="56" t="n">
        <v>11</v>
      </c>
      <c r="I491" s="56" t="inlineStr">
        <is>
          <t>MANIGUA</t>
        </is>
      </c>
      <c r="J491" s="56" t="inlineStr">
        <is>
          <t>CARGUEROS</t>
        </is>
      </c>
      <c r="K491" s="61" t="n"/>
      <c r="L491" s="58" t="n"/>
      <c r="M491" s="59" t="n"/>
    </row>
    <row r="492" ht="15.75" customHeight="1">
      <c r="A492" s="36" t="n">
        <v>45722</v>
      </c>
      <c r="B492" s="37" t="n">
        <v>1</v>
      </c>
      <c r="C492" s="38" t="inlineStr">
        <is>
          <t>MALAGUEÑA</t>
        </is>
      </c>
      <c r="D492" s="39" t="n">
        <v>3564</v>
      </c>
      <c r="E492" s="39" t="n">
        <v>324</v>
      </c>
      <c r="F492" s="40">
        <f>+D492/E492</f>
        <v/>
      </c>
      <c r="G492" s="41" t="n">
        <v>0.125</v>
      </c>
      <c r="H492" s="42" t="n">
        <v>10</v>
      </c>
      <c r="I492" s="42" t="inlineStr">
        <is>
          <t>MANIGUA</t>
        </is>
      </c>
      <c r="J492" s="42" t="inlineStr">
        <is>
          <t>ABONEROS</t>
        </is>
      </c>
      <c r="K492" s="62" t="n"/>
      <c r="L492" s="44" t="n"/>
      <c r="M492" s="45" t="n"/>
    </row>
    <row r="493" ht="15.75" customHeight="1">
      <c r="A493" s="46" t="n">
        <v>45722</v>
      </c>
      <c r="B493" s="10" t="n">
        <v>2</v>
      </c>
      <c r="C493" s="21" t="inlineStr">
        <is>
          <t>MALAGUEÑA</t>
        </is>
      </c>
      <c r="D493" s="12" t="n">
        <v>3564</v>
      </c>
      <c r="E493" s="12" t="n">
        <v>324</v>
      </c>
      <c r="F493" s="13">
        <f>+D493/E493</f>
        <v/>
      </c>
      <c r="G493" s="22" t="n"/>
      <c r="H493" s="22" t="n">
        <v>10</v>
      </c>
      <c r="I493" s="22" t="inlineStr">
        <is>
          <t>MANIGUA</t>
        </is>
      </c>
      <c r="J493" s="22" t="inlineStr">
        <is>
          <t>ABONEROS</t>
        </is>
      </c>
      <c r="K493" s="23" t="n"/>
      <c r="L493" s="17" t="n"/>
      <c r="M493" s="48" t="n"/>
    </row>
    <row r="494" ht="15.75" customHeight="1">
      <c r="A494" s="46" t="n">
        <v>45722</v>
      </c>
      <c r="B494" s="10" t="n">
        <v>3</v>
      </c>
      <c r="C494" s="21" t="inlineStr">
        <is>
          <t>MALAGUEÑA</t>
        </is>
      </c>
      <c r="D494" s="12" t="n">
        <v>3564</v>
      </c>
      <c r="E494" s="12" t="n">
        <v>324</v>
      </c>
      <c r="F494" s="13">
        <f>+D494/E494</f>
        <v/>
      </c>
      <c r="G494" s="22" t="n"/>
      <c r="H494" s="22" t="n">
        <v>10</v>
      </c>
      <c r="I494" s="22" t="inlineStr">
        <is>
          <t>MANIGUA</t>
        </is>
      </c>
      <c r="J494" s="22" t="inlineStr">
        <is>
          <t>ABONEROS</t>
        </is>
      </c>
      <c r="K494" s="23" t="n"/>
      <c r="L494" s="17" t="n"/>
      <c r="M494" s="48" t="n"/>
    </row>
    <row r="495" ht="15.75" customHeight="1">
      <c r="A495" s="46" t="n">
        <v>45722</v>
      </c>
      <c r="B495" s="10" t="n">
        <v>1</v>
      </c>
      <c r="C495" s="21" t="inlineStr">
        <is>
          <t>SAN JOSE</t>
        </is>
      </c>
      <c r="D495" s="12" t="n">
        <v>3688</v>
      </c>
      <c r="E495" s="12" t="n">
        <v>360</v>
      </c>
      <c r="F495" s="13">
        <f>+D495/E495</f>
        <v/>
      </c>
      <c r="G495" s="25" t="n">
        <v>0.0625</v>
      </c>
      <c r="H495" s="22" t="n"/>
      <c r="I495" s="22" t="inlineStr">
        <is>
          <t>MANIGUA</t>
        </is>
      </c>
      <c r="J495" s="22" t="inlineStr">
        <is>
          <t>CARGUEROS</t>
        </is>
      </c>
      <c r="K495" s="23" t="n"/>
      <c r="L495" s="17" t="n"/>
      <c r="M495" s="48" t="n"/>
    </row>
    <row r="496" ht="15.75" customHeight="1">
      <c r="A496" s="46" t="n">
        <v>45722</v>
      </c>
      <c r="B496" s="10" t="n">
        <v>2</v>
      </c>
      <c r="C496" s="21" t="inlineStr">
        <is>
          <t>SAN JOSE</t>
        </is>
      </c>
      <c r="D496" s="12" t="n">
        <v>3688</v>
      </c>
      <c r="E496" s="12" t="n">
        <v>324</v>
      </c>
      <c r="F496" s="13">
        <f>+D496/E496</f>
        <v/>
      </c>
      <c r="G496" s="22" t="n"/>
      <c r="H496" s="22" t="n"/>
      <c r="I496" s="22" t="inlineStr">
        <is>
          <t>MANIGUA</t>
        </is>
      </c>
      <c r="J496" s="22" t="inlineStr">
        <is>
          <t>CARGUEROS</t>
        </is>
      </c>
      <c r="K496" s="23" t="n"/>
      <c r="L496" s="17" t="n"/>
      <c r="M496" s="48" t="n"/>
    </row>
    <row r="497" ht="15.75" customHeight="1">
      <c r="A497" s="46" t="n">
        <v>45722</v>
      </c>
      <c r="B497" s="10" t="n">
        <v>3</v>
      </c>
      <c r="C497" s="21" t="inlineStr">
        <is>
          <t>SAN JOSE</t>
        </is>
      </c>
      <c r="D497" s="12" t="n">
        <v>3688</v>
      </c>
      <c r="E497" s="12" t="n">
        <v>360</v>
      </c>
      <c r="F497" s="13">
        <f>+D497/E497</f>
        <v/>
      </c>
      <c r="G497" s="22" t="n"/>
      <c r="H497" s="22" t="n"/>
      <c r="I497" s="22" t="inlineStr">
        <is>
          <t>MANIGUA</t>
        </is>
      </c>
      <c r="J497" s="22" t="inlineStr">
        <is>
          <t>CARGUEROS</t>
        </is>
      </c>
      <c r="K497" s="23" t="n"/>
      <c r="L497" s="17" t="n"/>
      <c r="M497" s="48" t="n"/>
    </row>
    <row r="498" ht="15.75" customHeight="1">
      <c r="A498" s="46" t="n">
        <v>45722</v>
      </c>
      <c r="B498" s="10" t="n">
        <v>4</v>
      </c>
      <c r="C498" s="21" t="inlineStr">
        <is>
          <t>SAN JOSE</t>
        </is>
      </c>
      <c r="D498" s="12" t="n">
        <v>2617</v>
      </c>
      <c r="E498" s="12" t="n">
        <v>324</v>
      </c>
      <c r="F498" s="13">
        <f>+D498/E498</f>
        <v/>
      </c>
      <c r="G498" s="22" t="n"/>
      <c r="H498" s="22" t="n"/>
      <c r="I498" s="22" t="inlineStr">
        <is>
          <t>MANIGUA</t>
        </is>
      </c>
      <c r="J498" s="22" t="inlineStr">
        <is>
          <t>CARGUEROS</t>
        </is>
      </c>
      <c r="K498" s="23" t="n"/>
      <c r="L498" s="17" t="n"/>
      <c r="M498" s="48" t="n"/>
    </row>
    <row r="499" ht="15.75" customHeight="1">
      <c r="A499" s="46" t="n">
        <v>45722</v>
      </c>
      <c r="B499" s="10" t="n">
        <v>5</v>
      </c>
      <c r="C499" s="21" t="inlineStr">
        <is>
          <t>SAN JOSE</t>
        </is>
      </c>
      <c r="D499" s="12" t="n">
        <v>3504</v>
      </c>
      <c r="E499" s="12" t="n">
        <v>324</v>
      </c>
      <c r="F499" s="13">
        <f>+D499/E499</f>
        <v/>
      </c>
      <c r="G499" s="22" t="n"/>
      <c r="H499" s="22" t="n"/>
      <c r="I499" s="22" t="inlineStr">
        <is>
          <t>MANIGUA</t>
        </is>
      </c>
      <c r="J499" s="22" t="inlineStr">
        <is>
          <t>CARGUEROS</t>
        </is>
      </c>
      <c r="K499" s="23" t="n"/>
      <c r="L499" s="17" t="n"/>
      <c r="M499" s="48" t="n"/>
    </row>
    <row r="500" ht="15.75" customHeight="1">
      <c r="A500" s="46" t="n">
        <v>45722</v>
      </c>
      <c r="B500" s="10" t="n">
        <v>6</v>
      </c>
      <c r="C500" s="21" t="inlineStr">
        <is>
          <t>SAN JOSE</t>
        </is>
      </c>
      <c r="D500" s="12" t="n">
        <v>3504</v>
      </c>
      <c r="E500" s="12" t="n">
        <v>360</v>
      </c>
      <c r="F500" s="13">
        <f>+D500/E500</f>
        <v/>
      </c>
      <c r="G500" s="22" t="n"/>
      <c r="H500" s="22" t="n"/>
      <c r="I500" s="22" t="inlineStr">
        <is>
          <t>MANIGUA</t>
        </is>
      </c>
      <c r="J500" s="22" t="inlineStr">
        <is>
          <t>CARGUEROS</t>
        </is>
      </c>
      <c r="K500" s="23" t="n"/>
      <c r="L500" s="17" t="n"/>
      <c r="M500" s="48" t="n"/>
    </row>
    <row r="501" ht="15.75" customHeight="1">
      <c r="A501" s="46" t="n">
        <v>45722</v>
      </c>
      <c r="B501" s="10" t="n">
        <v>7</v>
      </c>
      <c r="C501" s="21" t="inlineStr">
        <is>
          <t>SAN JOSE</t>
        </is>
      </c>
      <c r="D501" s="12" t="n">
        <v>3504</v>
      </c>
      <c r="E501" s="12" t="n">
        <v>324</v>
      </c>
      <c r="F501" s="13">
        <f>+D501/E501</f>
        <v/>
      </c>
      <c r="G501" s="22" t="n"/>
      <c r="H501" s="22" t="n"/>
      <c r="I501" s="22" t="inlineStr">
        <is>
          <t>MANIGUA</t>
        </is>
      </c>
      <c r="J501" s="22" t="inlineStr">
        <is>
          <t>CARGUEROS</t>
        </is>
      </c>
      <c r="K501" s="23" t="n"/>
      <c r="L501" s="17" t="n"/>
      <c r="M501" s="48" t="n"/>
    </row>
    <row r="502" ht="15.75" customHeight="1">
      <c r="A502" s="50" t="n">
        <v>45722</v>
      </c>
      <c r="B502" s="51" t="n">
        <v>8</v>
      </c>
      <c r="C502" s="52" t="inlineStr">
        <is>
          <t>SAN JOSE</t>
        </is>
      </c>
      <c r="D502" s="53" t="n">
        <v>3504</v>
      </c>
      <c r="E502" s="53" t="n">
        <v>324</v>
      </c>
      <c r="F502" s="54">
        <f>+D502/E502</f>
        <v/>
      </c>
      <c r="G502" s="56" t="n"/>
      <c r="H502" s="56" t="n"/>
      <c r="I502" s="56" t="inlineStr">
        <is>
          <t>MANIGUA</t>
        </is>
      </c>
      <c r="J502" s="56" t="inlineStr">
        <is>
          <t>CARGUEROS</t>
        </is>
      </c>
      <c r="K502" s="61" t="n"/>
      <c r="L502" s="58" t="n"/>
      <c r="M502" s="59" t="n"/>
    </row>
    <row r="503" ht="15.75" customHeight="1">
      <c r="A503" s="36" t="n">
        <v>45723</v>
      </c>
      <c r="B503" s="37" t="n">
        <v>1</v>
      </c>
      <c r="C503" s="38" t="inlineStr">
        <is>
          <t>MALAGUEÑA</t>
        </is>
      </c>
      <c r="D503" s="39" t="n">
        <v>3383</v>
      </c>
      <c r="E503" s="39" t="n">
        <v>360</v>
      </c>
      <c r="F503" s="40">
        <f>+D503/E503</f>
        <v/>
      </c>
      <c r="G503" s="41" t="n">
        <v>0.0625</v>
      </c>
      <c r="H503" s="42" t="n"/>
      <c r="I503" s="42" t="inlineStr">
        <is>
          <t>MANIGUA</t>
        </is>
      </c>
      <c r="J503" s="42" t="inlineStr">
        <is>
          <t>ABONEROS</t>
        </is>
      </c>
      <c r="K503" s="62" t="n"/>
      <c r="L503" s="44" t="n"/>
      <c r="M503" s="45" t="n"/>
    </row>
    <row r="504" ht="15.75" customHeight="1">
      <c r="A504" s="46" t="n">
        <v>45723</v>
      </c>
      <c r="B504" s="10" t="n">
        <v>2</v>
      </c>
      <c r="C504" s="21" t="inlineStr">
        <is>
          <t>MALAGUEÑA</t>
        </is>
      </c>
      <c r="D504" s="12" t="n">
        <v>3383</v>
      </c>
      <c r="E504" s="12" t="n">
        <v>324</v>
      </c>
      <c r="F504" s="13">
        <f>+D504/E504</f>
        <v/>
      </c>
      <c r="G504" s="22" t="n"/>
      <c r="H504" s="22" t="n"/>
      <c r="I504" s="22" t="inlineStr">
        <is>
          <t>MANIGUA</t>
        </is>
      </c>
      <c r="J504" s="22" t="inlineStr">
        <is>
          <t>ABONEROS</t>
        </is>
      </c>
      <c r="K504" s="23" t="n"/>
      <c r="L504" s="17" t="n"/>
      <c r="M504" s="48" t="n"/>
    </row>
    <row r="505" ht="15.75" customHeight="1">
      <c r="A505" s="46" t="n">
        <v>45723</v>
      </c>
      <c r="B505" s="10" t="n">
        <v>3</v>
      </c>
      <c r="C505" s="21" t="inlineStr">
        <is>
          <t>MALAGUEÑA</t>
        </is>
      </c>
      <c r="D505" s="12" t="n">
        <v>3383</v>
      </c>
      <c r="E505" s="12" t="n">
        <v>324</v>
      </c>
      <c r="F505" s="13">
        <f>+D505/E505</f>
        <v/>
      </c>
      <c r="G505" s="22" t="n"/>
      <c r="H505" s="22" t="n"/>
      <c r="I505" s="22" t="inlineStr">
        <is>
          <t>MANIGUA</t>
        </is>
      </c>
      <c r="J505" s="22" t="inlineStr">
        <is>
          <t>ABONEROS</t>
        </is>
      </c>
      <c r="K505" s="23" t="n"/>
      <c r="L505" s="17" t="n"/>
      <c r="M505" s="48" t="n"/>
    </row>
    <row r="506" ht="15.75" customHeight="1">
      <c r="A506" s="46" t="n">
        <v>45723</v>
      </c>
      <c r="B506" s="10" t="n">
        <v>1</v>
      </c>
      <c r="C506" s="21" t="inlineStr">
        <is>
          <t>SAN JOSE</t>
        </is>
      </c>
      <c r="D506" s="12" t="n">
        <v>3506</v>
      </c>
      <c r="E506" s="12" t="n">
        <v>324</v>
      </c>
      <c r="F506" s="13">
        <f>+D506/E506</f>
        <v/>
      </c>
      <c r="G506" s="25" t="n">
        <v>0.1041666666666667</v>
      </c>
      <c r="H506" s="22" t="n"/>
      <c r="I506" s="22" t="inlineStr">
        <is>
          <t>MANIGUA</t>
        </is>
      </c>
      <c r="J506" s="22" t="inlineStr">
        <is>
          <t>CARGUEROS</t>
        </is>
      </c>
      <c r="K506" s="23" t="n"/>
      <c r="L506" s="17" t="n"/>
      <c r="M506" s="48" t="n"/>
    </row>
    <row r="507" ht="15.75" customHeight="1">
      <c r="A507" s="46" t="n">
        <v>45723</v>
      </c>
      <c r="B507" s="10" t="n">
        <v>2</v>
      </c>
      <c r="C507" s="21" t="inlineStr">
        <is>
          <t>SAN JOSE</t>
        </is>
      </c>
      <c r="D507" s="12" t="n">
        <v>3506</v>
      </c>
      <c r="E507" s="12" t="n">
        <v>324</v>
      </c>
      <c r="F507" s="13">
        <f>+D507/E507</f>
        <v/>
      </c>
      <c r="G507" s="22" t="n"/>
      <c r="H507" s="22" t="n"/>
      <c r="I507" s="22" t="inlineStr">
        <is>
          <t>MANIGUA</t>
        </is>
      </c>
      <c r="J507" s="22" t="inlineStr">
        <is>
          <t>CARGUEROS</t>
        </is>
      </c>
      <c r="K507" s="23" t="n"/>
      <c r="L507" s="17" t="n"/>
      <c r="M507" s="48" t="n"/>
    </row>
    <row r="508" ht="15.75" customHeight="1">
      <c r="A508" s="46" t="n">
        <v>45723</v>
      </c>
      <c r="B508" s="10" t="n">
        <v>3</v>
      </c>
      <c r="C508" s="21" t="inlineStr">
        <is>
          <t>SAN JOSE</t>
        </is>
      </c>
      <c r="D508" s="12" t="n">
        <v>3193</v>
      </c>
      <c r="E508" s="12" t="n">
        <v>324</v>
      </c>
      <c r="F508" s="13">
        <f>+D508/E508</f>
        <v/>
      </c>
      <c r="G508" s="22" t="n"/>
      <c r="H508" s="22" t="n"/>
      <c r="I508" s="22" t="inlineStr">
        <is>
          <t>MANIGUA</t>
        </is>
      </c>
      <c r="J508" s="22" t="inlineStr">
        <is>
          <t>CARGUEROS</t>
        </is>
      </c>
      <c r="K508" s="23" t="n"/>
      <c r="L508" s="17" t="n"/>
      <c r="M508" s="48" t="n"/>
    </row>
    <row r="509" ht="15.75" customHeight="1">
      <c r="A509" s="50" t="n">
        <v>45723</v>
      </c>
      <c r="B509" s="51" t="n">
        <v>4</v>
      </c>
      <c r="C509" s="52" t="inlineStr">
        <is>
          <t>SAN JOSE</t>
        </is>
      </c>
      <c r="D509" s="53" t="n">
        <v>3193</v>
      </c>
      <c r="E509" s="53" t="n">
        <v>324</v>
      </c>
      <c r="F509" s="54">
        <f>+D509/E509</f>
        <v/>
      </c>
      <c r="G509" s="56" t="n"/>
      <c r="H509" s="56" t="n"/>
      <c r="I509" s="56" t="inlineStr">
        <is>
          <t>MANIGUA</t>
        </is>
      </c>
      <c r="J509" s="56" t="inlineStr">
        <is>
          <t>CARGUEROS</t>
        </is>
      </c>
      <c r="K509" s="61" t="n"/>
      <c r="L509" s="58" t="n"/>
      <c r="M509" s="59" t="n"/>
    </row>
    <row r="510" ht="15.75" customHeight="1">
      <c r="A510" s="36" t="n">
        <v>45724</v>
      </c>
      <c r="B510" s="37" t="n">
        <v>1</v>
      </c>
      <c r="C510" s="38" t="inlineStr">
        <is>
          <t>SAN JOSE</t>
        </is>
      </c>
      <c r="D510" s="39" t="n">
        <v>3171</v>
      </c>
      <c r="E510" s="39" t="n">
        <v>360</v>
      </c>
      <c r="F510" s="40">
        <f>+D510/E510</f>
        <v/>
      </c>
      <c r="G510" s="41" t="n">
        <v>0.2083333333333333</v>
      </c>
      <c r="H510" s="42" t="n"/>
      <c r="I510" s="42" t="inlineStr">
        <is>
          <t>MANIGUA</t>
        </is>
      </c>
      <c r="J510" s="42" t="inlineStr">
        <is>
          <t>CARGUEROS</t>
        </is>
      </c>
      <c r="K510" s="62" t="n"/>
      <c r="L510" s="44" t="n"/>
      <c r="M510" s="45" t="n"/>
    </row>
    <row r="511" ht="15.75" customHeight="1">
      <c r="A511" s="46" t="n">
        <v>45724</v>
      </c>
      <c r="B511" s="10" t="n">
        <v>2</v>
      </c>
      <c r="C511" s="21" t="inlineStr">
        <is>
          <t>SAN JOSE</t>
        </is>
      </c>
      <c r="D511" s="12" t="n">
        <v>3171</v>
      </c>
      <c r="E511" s="12" t="n">
        <v>324</v>
      </c>
      <c r="F511" s="13">
        <f>+D511/E511</f>
        <v/>
      </c>
      <c r="G511" s="22" t="n"/>
      <c r="H511" s="22" t="n"/>
      <c r="I511" s="22" t="inlineStr">
        <is>
          <t>MANIGUA</t>
        </is>
      </c>
      <c r="J511" s="22" t="inlineStr">
        <is>
          <t>CARGUEROS</t>
        </is>
      </c>
      <c r="K511" s="23" t="n"/>
      <c r="L511" s="17" t="n"/>
      <c r="M511" s="48" t="n"/>
    </row>
    <row r="512" ht="15.75" customHeight="1">
      <c r="A512" s="50" t="n">
        <v>45724</v>
      </c>
      <c r="B512" s="51" t="n">
        <v>3</v>
      </c>
      <c r="C512" s="52" t="inlineStr">
        <is>
          <t>SAN JOSE</t>
        </is>
      </c>
      <c r="D512" s="53" t="n">
        <v>2994</v>
      </c>
      <c r="E512" s="53" t="n">
        <v>324</v>
      </c>
      <c r="F512" s="54">
        <f>+D512/E512</f>
        <v/>
      </c>
      <c r="G512" s="56" t="n"/>
      <c r="H512" s="56" t="n"/>
      <c r="I512" s="56" t="inlineStr">
        <is>
          <t>MANIGUA</t>
        </is>
      </c>
      <c r="J512" s="56" t="inlineStr">
        <is>
          <t>CARGUEROS</t>
        </is>
      </c>
      <c r="K512" s="61" t="n"/>
      <c r="L512" s="58" t="n"/>
      <c r="M512" s="59" t="n"/>
    </row>
    <row r="513" ht="15.75" customHeight="1">
      <c r="A513" s="86" t="n">
        <v>45726</v>
      </c>
      <c r="B513" s="87" t="n">
        <v>1</v>
      </c>
      <c r="C513" s="88" t="inlineStr">
        <is>
          <t>SAN JOSE</t>
        </is>
      </c>
      <c r="D513" s="81" t="n">
        <v>2994</v>
      </c>
      <c r="E513" s="81" t="n">
        <v>324</v>
      </c>
      <c r="F513" s="95">
        <f>+D513/E513</f>
        <v/>
      </c>
      <c r="G513" s="66" t="n">
        <v>0.125</v>
      </c>
      <c r="H513" s="89" t="n"/>
      <c r="I513" s="89" t="inlineStr">
        <is>
          <t>MANIGUA</t>
        </is>
      </c>
      <c r="J513" s="89" t="inlineStr">
        <is>
          <t>CARGUEROS</t>
        </is>
      </c>
      <c r="K513" s="90" t="n"/>
      <c r="L513" s="91" t="n"/>
      <c r="M513" s="92" t="n"/>
    </row>
    <row r="514" ht="15.75" customHeight="1">
      <c r="A514" s="46" t="n">
        <v>45726</v>
      </c>
      <c r="B514" s="10" t="n">
        <v>2</v>
      </c>
      <c r="C514" s="21" t="inlineStr">
        <is>
          <t>SAN JOSE</t>
        </is>
      </c>
      <c r="D514" s="12" t="n">
        <v>2994</v>
      </c>
      <c r="E514" s="12" t="n">
        <v>360</v>
      </c>
      <c r="F514" s="13">
        <f>+D514/E514</f>
        <v/>
      </c>
      <c r="G514" s="22" t="n"/>
      <c r="H514" s="22" t="n"/>
      <c r="I514" s="22" t="inlineStr">
        <is>
          <t>MANIGUA</t>
        </is>
      </c>
      <c r="J514" s="22" t="inlineStr">
        <is>
          <t>CARGUEROS</t>
        </is>
      </c>
      <c r="K514" s="23" t="n"/>
      <c r="L514" s="17" t="n"/>
      <c r="M514" s="48" t="n"/>
    </row>
    <row r="515" ht="15.75" customHeight="1">
      <c r="A515" s="46" t="n">
        <v>45726</v>
      </c>
      <c r="B515" s="10" t="n">
        <v>3</v>
      </c>
      <c r="C515" s="21" t="inlineStr">
        <is>
          <t>SAN JOSE</t>
        </is>
      </c>
      <c r="D515" s="12" t="n">
        <v>3507</v>
      </c>
      <c r="E515" s="12" t="n">
        <v>324</v>
      </c>
      <c r="F515" s="13">
        <f>+D515/E515</f>
        <v/>
      </c>
      <c r="G515" s="22" t="n"/>
      <c r="H515" s="22" t="n"/>
      <c r="I515" s="22" t="inlineStr">
        <is>
          <t>MANIGUA</t>
        </is>
      </c>
      <c r="J515" s="22" t="inlineStr">
        <is>
          <t>CARGUEROS</t>
        </is>
      </c>
      <c r="K515" s="23" t="n"/>
      <c r="L515" s="17" t="n"/>
      <c r="M515" s="48" t="n"/>
    </row>
    <row r="516" ht="15.75" customHeight="1">
      <c r="A516" s="46" t="n">
        <v>45726</v>
      </c>
      <c r="B516" s="10" t="n">
        <v>4</v>
      </c>
      <c r="C516" s="21" t="inlineStr">
        <is>
          <t>SAN JOSE</t>
        </is>
      </c>
      <c r="D516" s="12" t="n">
        <v>3507</v>
      </c>
      <c r="E516" s="12" t="n">
        <v>324</v>
      </c>
      <c r="F516" s="13">
        <f>+D516/E516</f>
        <v/>
      </c>
      <c r="G516" s="22" t="n"/>
      <c r="H516" s="22" t="n"/>
      <c r="I516" s="22" t="inlineStr">
        <is>
          <t>MANIGUA</t>
        </is>
      </c>
      <c r="J516" s="22" t="inlineStr">
        <is>
          <t>CARGUEROS</t>
        </is>
      </c>
      <c r="K516" s="23" t="n"/>
      <c r="L516" s="17" t="n"/>
      <c r="M516" s="48" t="n"/>
    </row>
    <row r="517" ht="15.75" customHeight="1">
      <c r="A517" s="46" t="n">
        <v>45726</v>
      </c>
      <c r="B517" s="10" t="n">
        <v>5</v>
      </c>
      <c r="C517" s="21" t="inlineStr">
        <is>
          <t>SAN JOSE</t>
        </is>
      </c>
      <c r="D517" s="12" t="n">
        <v>3507</v>
      </c>
      <c r="E517" s="12" t="n">
        <v>324</v>
      </c>
      <c r="F517" s="13">
        <f>+D517/E517</f>
        <v/>
      </c>
      <c r="G517" s="22" t="n"/>
      <c r="H517" s="22" t="n"/>
      <c r="I517" s="22" t="inlineStr">
        <is>
          <t>MANIGUA</t>
        </is>
      </c>
      <c r="J517" s="22" t="inlineStr">
        <is>
          <t>CARGUEROS</t>
        </is>
      </c>
      <c r="K517" s="23" t="n"/>
      <c r="L517" s="17" t="n"/>
      <c r="M517" s="48" t="n"/>
    </row>
    <row r="518" ht="15.75" customHeight="1">
      <c r="A518" s="46" t="n">
        <v>45726</v>
      </c>
      <c r="B518" s="10" t="n">
        <v>6</v>
      </c>
      <c r="C518" s="21" t="inlineStr">
        <is>
          <t>SAN JOSE</t>
        </is>
      </c>
      <c r="D518" s="12" t="n">
        <v>3507</v>
      </c>
      <c r="E518" s="12" t="n">
        <v>324</v>
      </c>
      <c r="F518" s="13">
        <f>+D518/E518</f>
        <v/>
      </c>
      <c r="G518" s="22" t="n"/>
      <c r="H518" s="22" t="n"/>
      <c r="I518" s="22" t="inlineStr">
        <is>
          <t>MANIGUA</t>
        </is>
      </c>
      <c r="J518" s="22" t="inlineStr">
        <is>
          <t>CARGUEROS</t>
        </is>
      </c>
      <c r="K518" s="23" t="n"/>
      <c r="L518" s="17" t="n"/>
      <c r="M518" s="48" t="n"/>
    </row>
    <row r="519" ht="15.75" customHeight="1">
      <c r="A519" s="46" t="n">
        <v>45726</v>
      </c>
      <c r="B519" s="10" t="n">
        <v>7</v>
      </c>
      <c r="C519" s="21" t="inlineStr">
        <is>
          <t>SAN JOSE</t>
        </is>
      </c>
      <c r="D519" s="12" t="n">
        <v>3232</v>
      </c>
      <c r="E519" s="12" t="n">
        <v>324</v>
      </c>
      <c r="F519" s="13">
        <f>+D519/E519</f>
        <v/>
      </c>
      <c r="G519" s="22" t="n"/>
      <c r="H519" s="22" t="n"/>
      <c r="I519" s="22" t="inlineStr">
        <is>
          <t>MANIGUA</t>
        </is>
      </c>
      <c r="J519" s="22" t="inlineStr">
        <is>
          <t>CARGUEROS</t>
        </is>
      </c>
      <c r="K519" s="23" t="n"/>
      <c r="L519" s="17" t="n"/>
      <c r="M519" s="48" t="n"/>
    </row>
    <row r="520" ht="15.75" customHeight="1">
      <c r="A520" s="46" t="n">
        <v>45726</v>
      </c>
      <c r="B520" s="10" t="n">
        <v>8</v>
      </c>
      <c r="C520" s="21" t="inlineStr">
        <is>
          <t>SAN JOSE</t>
        </is>
      </c>
      <c r="D520" s="12" t="n">
        <v>3232</v>
      </c>
      <c r="E520" s="12" t="n">
        <v>360</v>
      </c>
      <c r="F520" s="13">
        <f>+D520/E520</f>
        <v/>
      </c>
      <c r="G520" s="22" t="n"/>
      <c r="H520" s="22" t="n"/>
      <c r="I520" s="22" t="inlineStr">
        <is>
          <t>MANIGUA</t>
        </is>
      </c>
      <c r="J520" s="22" t="inlineStr">
        <is>
          <t>CARGUEROS</t>
        </is>
      </c>
      <c r="K520" s="23" t="n"/>
      <c r="L520" s="17" t="n"/>
      <c r="M520" s="48" t="n"/>
    </row>
    <row r="521" ht="15.75" customHeight="1">
      <c r="A521" s="46" t="n">
        <v>45726</v>
      </c>
      <c r="B521" s="10" t="n">
        <v>9</v>
      </c>
      <c r="C521" s="21" t="inlineStr">
        <is>
          <t>SAN JOSE</t>
        </is>
      </c>
      <c r="D521" s="12" t="n">
        <v>3232</v>
      </c>
      <c r="E521" s="12" t="n">
        <v>360</v>
      </c>
      <c r="F521" s="13">
        <f>+D521/E521</f>
        <v/>
      </c>
      <c r="G521" s="22" t="n"/>
      <c r="H521" s="22" t="n"/>
      <c r="I521" s="22" t="inlineStr">
        <is>
          <t>MANIGUA</t>
        </is>
      </c>
      <c r="J521" s="22" t="inlineStr">
        <is>
          <t>CARGUEROS</t>
        </is>
      </c>
      <c r="K521" s="23" t="n"/>
      <c r="L521" s="17" t="n"/>
      <c r="M521" s="48" t="n"/>
    </row>
    <row r="522" ht="15.75" customHeight="1">
      <c r="A522" s="50" t="n">
        <v>45726</v>
      </c>
      <c r="B522" s="51" t="n">
        <v>10</v>
      </c>
      <c r="C522" s="52" t="inlineStr">
        <is>
          <t>SAN JOSE</t>
        </is>
      </c>
      <c r="D522" s="53" t="n">
        <v>3232</v>
      </c>
      <c r="E522" s="53" t="n">
        <v>324</v>
      </c>
      <c r="F522" s="54">
        <f>+D522/E522</f>
        <v/>
      </c>
      <c r="G522" s="56" t="n"/>
      <c r="H522" s="56" t="n"/>
      <c r="I522" s="56" t="inlineStr">
        <is>
          <t>MANIGUA</t>
        </is>
      </c>
      <c r="J522" s="56" t="inlineStr">
        <is>
          <t>CARGUEROS</t>
        </is>
      </c>
      <c r="K522" s="61" t="n"/>
      <c r="L522" s="58" t="n"/>
      <c r="M522" s="59" t="n"/>
    </row>
    <row r="523" ht="15.75" customHeight="1">
      <c r="A523" s="36" t="n">
        <v>45727</v>
      </c>
      <c r="B523" s="37" t="n">
        <v>1</v>
      </c>
      <c r="C523" s="38" t="inlineStr">
        <is>
          <t>SAN JOSE</t>
        </is>
      </c>
      <c r="D523" s="39" t="n">
        <v>2640</v>
      </c>
      <c r="E523" s="39" t="n">
        <v>324</v>
      </c>
      <c r="F523" s="40">
        <f>+D523/E523</f>
        <v/>
      </c>
      <c r="G523" s="41" t="n">
        <v>0.04166666666666666</v>
      </c>
      <c r="H523" s="42" t="n"/>
      <c r="I523" s="42" t="inlineStr">
        <is>
          <t>MANIGUA</t>
        </is>
      </c>
      <c r="J523" s="42" t="inlineStr">
        <is>
          <t>CARGUEROS</t>
        </is>
      </c>
      <c r="K523" s="62" t="n"/>
      <c r="L523" s="44" t="n"/>
      <c r="M523" s="45" t="n"/>
    </row>
    <row r="524" ht="15.75" customHeight="1">
      <c r="A524" s="46" t="n">
        <v>45727</v>
      </c>
      <c r="B524" s="10" t="n">
        <v>2</v>
      </c>
      <c r="C524" s="21" t="inlineStr">
        <is>
          <t>SAN JOSE</t>
        </is>
      </c>
      <c r="D524" s="12" t="n">
        <v>2640</v>
      </c>
      <c r="E524" s="12" t="n">
        <v>324</v>
      </c>
      <c r="F524" s="13">
        <f>+D524/E524</f>
        <v/>
      </c>
      <c r="G524" s="22" t="n"/>
      <c r="H524" s="22" t="n"/>
      <c r="I524" s="22" t="inlineStr">
        <is>
          <t>MANIGUA</t>
        </is>
      </c>
      <c r="J524" s="22" t="inlineStr">
        <is>
          <t>CARGUEROS</t>
        </is>
      </c>
      <c r="K524" s="23" t="n"/>
      <c r="L524" s="17" t="n"/>
      <c r="M524" s="48" t="n"/>
    </row>
    <row r="525" ht="15.75" customHeight="1">
      <c r="A525" s="46" t="n">
        <v>45727</v>
      </c>
      <c r="B525" s="10" t="n">
        <v>3</v>
      </c>
      <c r="C525" s="21" t="inlineStr">
        <is>
          <t>SAN JOSE</t>
        </is>
      </c>
      <c r="D525" s="12" t="n">
        <v>2640</v>
      </c>
      <c r="E525" s="12" t="n">
        <v>324</v>
      </c>
      <c r="F525" s="13">
        <f>+D525/E525</f>
        <v/>
      </c>
      <c r="G525" s="22" t="n"/>
      <c r="H525" s="22" t="n"/>
      <c r="I525" s="22" t="inlineStr">
        <is>
          <t>MANIGUA</t>
        </is>
      </c>
      <c r="J525" s="22" t="inlineStr">
        <is>
          <t>CARGUEROS</t>
        </is>
      </c>
      <c r="K525" s="23" t="n"/>
      <c r="L525" s="17" t="n"/>
      <c r="M525" s="48" t="n"/>
    </row>
    <row r="526" ht="15.75" customHeight="1">
      <c r="A526" s="46" t="n">
        <v>45727</v>
      </c>
      <c r="B526" s="10" t="n">
        <v>4</v>
      </c>
      <c r="C526" s="21" t="inlineStr">
        <is>
          <t>SAN JOSE</t>
        </is>
      </c>
      <c r="D526" s="12" t="n">
        <v>2640</v>
      </c>
      <c r="E526" s="12" t="n">
        <v>360</v>
      </c>
      <c r="F526" s="13">
        <f>+D526/E526</f>
        <v/>
      </c>
      <c r="G526" s="22" t="n"/>
      <c r="H526" s="22" t="n"/>
      <c r="I526" s="22" t="inlineStr">
        <is>
          <t>MANIGUA</t>
        </is>
      </c>
      <c r="J526" s="22" t="inlineStr">
        <is>
          <t>CARGUEROS</t>
        </is>
      </c>
      <c r="K526" s="23" t="n"/>
      <c r="L526" s="17" t="n"/>
      <c r="M526" s="48" t="n"/>
    </row>
    <row r="527" ht="15.75" customHeight="1">
      <c r="A527" s="46" t="n">
        <v>45727</v>
      </c>
      <c r="B527" s="10" t="n">
        <v>5</v>
      </c>
      <c r="C527" s="21" t="inlineStr">
        <is>
          <t>SAN JOSE</t>
        </is>
      </c>
      <c r="D527" s="12" t="n">
        <v>2721</v>
      </c>
      <c r="E527" s="12" t="n">
        <v>360</v>
      </c>
      <c r="F527" s="13">
        <f>+D527/E527</f>
        <v/>
      </c>
      <c r="G527" s="22" t="n"/>
      <c r="H527" s="22" t="n"/>
      <c r="I527" s="22" t="inlineStr">
        <is>
          <t>MANIGUA</t>
        </is>
      </c>
      <c r="J527" s="22" t="inlineStr">
        <is>
          <t>CARGUEROS</t>
        </is>
      </c>
      <c r="K527" s="23" t="n"/>
      <c r="L527" s="17" t="n"/>
      <c r="M527" s="48" t="n"/>
    </row>
    <row r="528" ht="15.75" customHeight="1">
      <c r="A528" s="50" t="n">
        <v>45727</v>
      </c>
      <c r="B528" s="51" t="n">
        <v>6</v>
      </c>
      <c r="C528" s="52" t="inlineStr">
        <is>
          <t>SAN JOSE</t>
        </is>
      </c>
      <c r="D528" s="53" t="n">
        <v>2721</v>
      </c>
      <c r="E528" s="53" t="n">
        <v>324</v>
      </c>
      <c r="F528" s="54">
        <f>+D528/E528</f>
        <v/>
      </c>
      <c r="G528" s="56" t="n"/>
      <c r="H528" s="56" t="n"/>
      <c r="I528" s="56" t="inlineStr">
        <is>
          <t>MANIGUA</t>
        </is>
      </c>
      <c r="J528" s="56" t="inlineStr">
        <is>
          <t>CARGUEROS</t>
        </is>
      </c>
      <c r="K528" s="61" t="n"/>
      <c r="L528" s="58" t="n"/>
      <c r="M528" s="59" t="n"/>
    </row>
    <row r="529" ht="15.75" customHeight="1">
      <c r="A529" s="106" t="n">
        <v>45728</v>
      </c>
      <c r="B529" s="87" t="n">
        <v>1</v>
      </c>
      <c r="C529" s="88" t="inlineStr">
        <is>
          <t>SAN JOSE</t>
        </is>
      </c>
      <c r="D529" s="81" t="n">
        <v>3107</v>
      </c>
      <c r="E529" s="81" t="n">
        <v>324</v>
      </c>
      <c r="F529" s="95">
        <f>+D529/E529</f>
        <v/>
      </c>
      <c r="G529" s="66" t="n">
        <v>0.0625</v>
      </c>
      <c r="H529" s="89" t="n"/>
      <c r="I529" s="89" t="inlineStr">
        <is>
          <t>MANIGUA</t>
        </is>
      </c>
      <c r="J529" s="89" t="inlineStr">
        <is>
          <t>CARGUEROS</t>
        </is>
      </c>
      <c r="K529" s="90" t="n"/>
      <c r="L529" s="91" t="n"/>
      <c r="M529" s="107" t="n"/>
    </row>
    <row r="530" ht="15.75" customHeight="1">
      <c r="A530" s="9" t="n">
        <v>45728</v>
      </c>
      <c r="B530" s="10" t="n">
        <v>2</v>
      </c>
      <c r="C530" s="21" t="inlineStr">
        <is>
          <t>SAN JOSE</t>
        </is>
      </c>
      <c r="D530" s="12" t="n">
        <v>3107</v>
      </c>
      <c r="E530" s="12" t="n">
        <v>324</v>
      </c>
      <c r="F530" s="13">
        <f>+D530/E530</f>
        <v/>
      </c>
      <c r="G530" s="22" t="n"/>
      <c r="H530" s="22" t="n"/>
      <c r="I530" s="22" t="inlineStr">
        <is>
          <t>MANIGUA</t>
        </is>
      </c>
      <c r="J530" s="22" t="inlineStr">
        <is>
          <t>CARGUEROS</t>
        </is>
      </c>
      <c r="K530" s="23" t="n"/>
      <c r="L530" s="17" t="n"/>
      <c r="M530" s="24" t="n"/>
    </row>
    <row r="531" ht="15.75" customHeight="1">
      <c r="A531" s="26" t="n">
        <v>45728</v>
      </c>
      <c r="B531" s="27" t="n">
        <v>3</v>
      </c>
      <c r="C531" s="28" t="inlineStr">
        <is>
          <t>SAN JOSE</t>
        </is>
      </c>
      <c r="D531" s="29" t="n">
        <v>3107</v>
      </c>
      <c r="E531" s="29" t="n">
        <v>324</v>
      </c>
      <c r="F531" s="30">
        <f>+D531/E531</f>
        <v/>
      </c>
      <c r="G531" s="32" t="n"/>
      <c r="H531" s="32" t="n"/>
      <c r="I531" s="32" t="inlineStr">
        <is>
          <t>MANIGUA</t>
        </is>
      </c>
      <c r="J531" s="32" t="inlineStr">
        <is>
          <t>CARGUEROS</t>
        </is>
      </c>
      <c r="K531" s="33" t="n"/>
      <c r="L531" s="34" t="n"/>
      <c r="M531" s="35" t="n"/>
    </row>
    <row r="532" ht="15.75" customHeight="1">
      <c r="A532" s="36" t="n">
        <v>45729</v>
      </c>
      <c r="B532" s="37" t="n">
        <v>1</v>
      </c>
      <c r="C532" s="38" t="inlineStr">
        <is>
          <t>HUERTAS</t>
        </is>
      </c>
      <c r="D532" s="39" t="n">
        <v>3434</v>
      </c>
      <c r="E532" s="39" t="n">
        <v>324</v>
      </c>
      <c r="F532" s="40">
        <f>+D532/E532</f>
        <v/>
      </c>
      <c r="G532" s="41" t="n">
        <v>0.9583333333333334</v>
      </c>
      <c r="H532" s="42" t="n"/>
      <c r="I532" s="42" t="inlineStr">
        <is>
          <t>MANIGUA</t>
        </is>
      </c>
      <c r="J532" s="42" t="inlineStr">
        <is>
          <t>CARGUEROS</t>
        </is>
      </c>
      <c r="K532" s="62" t="n"/>
      <c r="L532" s="44" t="n"/>
      <c r="M532" s="45" t="n"/>
    </row>
    <row r="533" ht="15.75" customHeight="1">
      <c r="A533" s="46" t="n">
        <v>45729</v>
      </c>
      <c r="B533" s="10" t="n">
        <v>2</v>
      </c>
      <c r="C533" s="21" t="inlineStr">
        <is>
          <t>HUERTAS</t>
        </is>
      </c>
      <c r="D533" s="12" t="n">
        <v>3434</v>
      </c>
      <c r="E533" s="12" t="n">
        <v>360</v>
      </c>
      <c r="F533" s="13">
        <f>+D533/E533</f>
        <v/>
      </c>
      <c r="G533" s="22" t="n"/>
      <c r="H533" s="22" t="n"/>
      <c r="I533" s="22" t="inlineStr">
        <is>
          <t>MANIGUA</t>
        </is>
      </c>
      <c r="J533" s="22" t="inlineStr">
        <is>
          <t>CARGUEROS</t>
        </is>
      </c>
      <c r="K533" s="23" t="n"/>
      <c r="L533" s="17" t="n"/>
      <c r="M533" s="48" t="n"/>
    </row>
    <row r="534" ht="15.75" customHeight="1">
      <c r="A534" s="46" t="n">
        <v>45729</v>
      </c>
      <c r="B534" s="10" t="n">
        <v>3</v>
      </c>
      <c r="C534" s="21" t="inlineStr">
        <is>
          <t>HUERTAS</t>
        </is>
      </c>
      <c r="D534" s="12" t="n">
        <v>3434</v>
      </c>
      <c r="E534" s="12" t="n">
        <v>324</v>
      </c>
      <c r="F534" s="13">
        <f>+D534/E534</f>
        <v/>
      </c>
      <c r="G534" s="22" t="n"/>
      <c r="H534" s="22" t="n"/>
      <c r="I534" s="22" t="inlineStr">
        <is>
          <t>MANIGUA</t>
        </is>
      </c>
      <c r="J534" s="22" t="inlineStr">
        <is>
          <t>CARGUEROS</t>
        </is>
      </c>
      <c r="K534" s="23" t="n"/>
      <c r="L534" s="17" t="n"/>
      <c r="M534" s="48" t="n"/>
    </row>
    <row r="535" ht="15.75" customHeight="1">
      <c r="A535" s="46" t="n">
        <v>45729</v>
      </c>
      <c r="B535" s="10" t="n">
        <v>4</v>
      </c>
      <c r="C535" s="21" t="inlineStr">
        <is>
          <t>HUERTAS</t>
        </is>
      </c>
      <c r="D535" s="12" t="n">
        <v>3512</v>
      </c>
      <c r="E535" s="12" t="n">
        <v>324</v>
      </c>
      <c r="F535" s="13">
        <f>+D535/E535</f>
        <v/>
      </c>
      <c r="G535" s="22" t="n"/>
      <c r="H535" s="22" t="n"/>
      <c r="I535" s="22" t="inlineStr">
        <is>
          <t>MANIGUA</t>
        </is>
      </c>
      <c r="J535" s="22" t="inlineStr">
        <is>
          <t>CARGUEROS</t>
        </is>
      </c>
      <c r="K535" s="23" t="n"/>
      <c r="L535" s="17" t="n"/>
      <c r="M535" s="48" t="n"/>
    </row>
    <row r="536" ht="15.75" customHeight="1">
      <c r="A536" s="46" t="n">
        <v>45729</v>
      </c>
      <c r="B536" s="10" t="n">
        <v>5</v>
      </c>
      <c r="C536" s="21" t="inlineStr">
        <is>
          <t>HUERTAS</t>
        </is>
      </c>
      <c r="D536" s="12" t="n">
        <v>3512</v>
      </c>
      <c r="E536" s="12" t="n">
        <v>324</v>
      </c>
      <c r="F536" s="13">
        <f>+D536/E536</f>
        <v/>
      </c>
      <c r="G536" s="22" t="n"/>
      <c r="H536" s="22" t="n"/>
      <c r="I536" s="22" t="inlineStr">
        <is>
          <t>MANIGUA</t>
        </is>
      </c>
      <c r="J536" s="22" t="inlineStr">
        <is>
          <t>CARGUEROS</t>
        </is>
      </c>
      <c r="K536" s="23" t="n"/>
      <c r="L536" s="17" t="n"/>
      <c r="M536" s="48" t="n"/>
    </row>
    <row r="537" ht="15.75" customHeight="1">
      <c r="A537" s="46" t="n">
        <v>45729</v>
      </c>
      <c r="B537" s="10" t="n">
        <v>1</v>
      </c>
      <c r="C537" s="21" t="inlineStr">
        <is>
          <t>SAN JOSE</t>
        </is>
      </c>
      <c r="D537" s="12" t="n">
        <v>3265</v>
      </c>
      <c r="E537" s="12" t="n">
        <v>324</v>
      </c>
      <c r="F537" s="13">
        <f>+D537/E537</f>
        <v/>
      </c>
      <c r="G537" s="25" t="n">
        <v>0.1875</v>
      </c>
      <c r="H537" s="22" t="n"/>
      <c r="I537" s="22" t="inlineStr">
        <is>
          <t>MANIGUA</t>
        </is>
      </c>
      <c r="J537" s="22" t="inlineStr">
        <is>
          <t>ABONEROS</t>
        </is>
      </c>
      <c r="K537" s="23" t="n"/>
      <c r="L537" s="17" t="n"/>
      <c r="M537" s="48" t="n"/>
    </row>
    <row r="538" ht="15.75" customHeight="1">
      <c r="A538" s="46" t="n">
        <v>45729</v>
      </c>
      <c r="B538" s="10" t="n">
        <v>2</v>
      </c>
      <c r="C538" s="21" t="inlineStr">
        <is>
          <t>SAN JOSE</t>
        </is>
      </c>
      <c r="D538" s="12" t="n">
        <v>3265</v>
      </c>
      <c r="E538" s="12" t="n">
        <v>360</v>
      </c>
      <c r="F538" s="13">
        <f>+D538/E538</f>
        <v/>
      </c>
      <c r="G538" s="22" t="n"/>
      <c r="H538" s="22" t="n"/>
      <c r="I538" s="22" t="inlineStr">
        <is>
          <t>MANIGUA</t>
        </is>
      </c>
      <c r="J538" s="22" t="inlineStr">
        <is>
          <t>ABONEROS</t>
        </is>
      </c>
      <c r="K538" s="23" t="n"/>
      <c r="L538" s="17" t="n"/>
      <c r="M538" s="48" t="n"/>
    </row>
    <row r="539" ht="15.75" customHeight="1">
      <c r="A539" s="67" t="n">
        <v>45729</v>
      </c>
      <c r="B539" s="27" t="n">
        <v>3</v>
      </c>
      <c r="C539" s="28" t="inlineStr">
        <is>
          <t>SAN JOSE</t>
        </is>
      </c>
      <c r="D539" s="29" t="n">
        <v>3265</v>
      </c>
      <c r="E539" s="29" t="n">
        <v>324</v>
      </c>
      <c r="F539" s="30">
        <f>+D539/E539</f>
        <v/>
      </c>
      <c r="G539" s="32" t="n"/>
      <c r="H539" s="32" t="n"/>
      <c r="I539" s="32" t="inlineStr">
        <is>
          <t>MANIGUA</t>
        </is>
      </c>
      <c r="J539" s="32" t="inlineStr">
        <is>
          <t>ABONEROS</t>
        </is>
      </c>
      <c r="K539" s="33" t="n"/>
      <c r="L539" s="34" t="n"/>
      <c r="M539" s="69" t="n"/>
    </row>
    <row r="540" ht="15.75" customHeight="1">
      <c r="A540" s="36" t="n">
        <v>45730</v>
      </c>
      <c r="B540" s="37" t="n">
        <v>1</v>
      </c>
      <c r="C540" s="38" t="inlineStr">
        <is>
          <t>HUERTAS</t>
        </is>
      </c>
      <c r="D540" s="39" t="n">
        <v>3793</v>
      </c>
      <c r="E540" s="39" t="n">
        <v>324</v>
      </c>
      <c r="F540" s="40">
        <f>+D540/E540</f>
        <v/>
      </c>
      <c r="G540" s="41" t="n">
        <v>0.8125</v>
      </c>
      <c r="H540" s="42" t="n"/>
      <c r="I540" s="42" t="inlineStr">
        <is>
          <t>BOGOTA</t>
        </is>
      </c>
      <c r="J540" s="42" t="inlineStr">
        <is>
          <t>CARGUEROS</t>
        </is>
      </c>
      <c r="K540" s="62" t="n"/>
      <c r="L540" s="44" t="n"/>
      <c r="M540" s="45" t="n"/>
    </row>
    <row r="541" ht="15.75" customHeight="1">
      <c r="A541" s="9" t="n">
        <v>45730</v>
      </c>
      <c r="B541" s="10" t="n">
        <v>2</v>
      </c>
      <c r="C541" s="21" t="inlineStr">
        <is>
          <t>HUERTAS</t>
        </is>
      </c>
      <c r="D541" s="12" t="n">
        <v>3165</v>
      </c>
      <c r="E541" s="12" t="n">
        <v>324</v>
      </c>
      <c r="F541" s="13">
        <f>+D541/E541</f>
        <v/>
      </c>
      <c r="G541" s="22" t="n"/>
      <c r="H541" s="22" t="n"/>
      <c r="I541" s="22" t="inlineStr">
        <is>
          <t>BOGOTA</t>
        </is>
      </c>
      <c r="J541" s="22" t="inlineStr">
        <is>
          <t>CARGUEROS</t>
        </is>
      </c>
      <c r="K541" s="23" t="n"/>
      <c r="L541" s="17" t="n"/>
      <c r="M541" s="24" t="n"/>
    </row>
    <row r="542" ht="15.75" customHeight="1">
      <c r="A542" s="9" t="n">
        <v>45730</v>
      </c>
      <c r="B542" s="10" t="n">
        <v>1</v>
      </c>
      <c r="C542" s="21" t="inlineStr">
        <is>
          <t>HUERTAS</t>
        </is>
      </c>
      <c r="D542" s="12" t="n">
        <v>3793</v>
      </c>
      <c r="E542" s="12" t="n">
        <v>324</v>
      </c>
      <c r="F542" s="13">
        <f>+D542/E542</f>
        <v/>
      </c>
      <c r="G542" s="25" t="n">
        <v>0.9166666666666666</v>
      </c>
      <c r="H542" s="22" t="n"/>
      <c r="I542" s="22" t="inlineStr">
        <is>
          <t>MANIGUA</t>
        </is>
      </c>
      <c r="J542" s="22" t="inlineStr">
        <is>
          <t>CARGUEROS</t>
        </is>
      </c>
      <c r="K542" s="23" t="n"/>
      <c r="L542" s="17" t="n"/>
      <c r="M542" s="24" t="n"/>
    </row>
    <row r="543" ht="15.75" customHeight="1">
      <c r="A543" s="9" t="n">
        <v>45730</v>
      </c>
      <c r="B543" s="10" t="n">
        <v>2</v>
      </c>
      <c r="C543" s="21" t="inlineStr">
        <is>
          <t>HUERTAS</t>
        </is>
      </c>
      <c r="D543" s="12" t="n">
        <v>3165</v>
      </c>
      <c r="E543" s="12" t="n">
        <v>324</v>
      </c>
      <c r="F543" s="13">
        <f>+D543/E543</f>
        <v/>
      </c>
      <c r="G543" s="22" t="n"/>
      <c r="H543" s="22" t="n"/>
      <c r="I543" s="22" t="inlineStr">
        <is>
          <t>MANIGUA</t>
        </is>
      </c>
      <c r="J543" s="22" t="inlineStr">
        <is>
          <t>CARGUEROS</t>
        </is>
      </c>
      <c r="K543" s="23" t="n"/>
      <c r="L543" s="17" t="n"/>
      <c r="M543" s="24" t="n"/>
    </row>
    <row r="544" ht="15.75" customHeight="1">
      <c r="A544" s="9" t="n">
        <v>45730</v>
      </c>
      <c r="B544" s="10" t="n">
        <v>3</v>
      </c>
      <c r="C544" s="21" t="inlineStr">
        <is>
          <t>HUERTAS</t>
        </is>
      </c>
      <c r="D544" s="12" t="n">
        <v>3165</v>
      </c>
      <c r="E544" s="12" t="n">
        <v>324</v>
      </c>
      <c r="F544" s="13">
        <f>+D544/E544</f>
        <v/>
      </c>
      <c r="G544" s="22" t="n"/>
      <c r="H544" s="22" t="n"/>
      <c r="I544" s="22" t="inlineStr">
        <is>
          <t>MANIGUA</t>
        </is>
      </c>
      <c r="J544" s="22" t="inlineStr">
        <is>
          <t>CARGUEROS</t>
        </is>
      </c>
      <c r="K544" s="23" t="n"/>
      <c r="L544" s="17" t="n"/>
      <c r="M544" s="24" t="n"/>
    </row>
    <row r="545" ht="15.75" customHeight="1">
      <c r="A545" s="9" t="n">
        <v>45730</v>
      </c>
      <c r="B545" s="10" t="n">
        <v>4</v>
      </c>
      <c r="C545" s="21" t="inlineStr">
        <is>
          <t>HUERTAS</t>
        </is>
      </c>
      <c r="D545" s="12" t="n">
        <v>3165</v>
      </c>
      <c r="E545" s="12" t="n">
        <v>324</v>
      </c>
      <c r="F545" s="13">
        <f>+D545/E545</f>
        <v/>
      </c>
      <c r="G545" s="22" t="n"/>
      <c r="H545" s="22" t="n"/>
      <c r="I545" s="22" t="inlineStr">
        <is>
          <t>MANIGUA</t>
        </is>
      </c>
      <c r="J545" s="22" t="inlineStr">
        <is>
          <t>CARGUEROS</t>
        </is>
      </c>
      <c r="K545" s="23" t="n"/>
      <c r="L545" s="17" t="n"/>
      <c r="M545" s="24" t="n"/>
    </row>
    <row r="546" ht="15.75" customHeight="1">
      <c r="A546" s="46" t="n">
        <v>45730</v>
      </c>
      <c r="B546" s="10" t="n">
        <v>5</v>
      </c>
      <c r="C546" s="21" t="inlineStr">
        <is>
          <t>HUERTAS</t>
        </is>
      </c>
      <c r="D546" s="12" t="n">
        <v>3165</v>
      </c>
      <c r="E546" s="12" t="n">
        <v>324</v>
      </c>
      <c r="F546" s="13">
        <f>+D546/E546</f>
        <v/>
      </c>
      <c r="G546" s="22" t="n"/>
      <c r="H546" s="22" t="n"/>
      <c r="I546" s="22" t="inlineStr">
        <is>
          <t>MANIGUA</t>
        </is>
      </c>
      <c r="J546" s="22" t="inlineStr">
        <is>
          <t>CARGUEROS</t>
        </is>
      </c>
      <c r="K546" s="23" t="n"/>
      <c r="L546" s="17" t="n"/>
      <c r="M546" s="48" t="n"/>
    </row>
    <row r="547" ht="15.75" customHeight="1">
      <c r="A547" s="46" t="n">
        <v>45730</v>
      </c>
      <c r="B547" s="10" t="n">
        <v>6</v>
      </c>
      <c r="C547" s="21" t="inlineStr">
        <is>
          <t>HUERTAS</t>
        </is>
      </c>
      <c r="D547" s="12" t="n">
        <v>3165</v>
      </c>
      <c r="E547" s="12" t="n">
        <v>324</v>
      </c>
      <c r="F547" s="13">
        <f>+D547/E547</f>
        <v/>
      </c>
      <c r="G547" s="22" t="n"/>
      <c r="H547" s="22" t="n"/>
      <c r="I547" s="22" t="inlineStr">
        <is>
          <t>MANIGUA</t>
        </is>
      </c>
      <c r="J547" s="22" t="inlineStr">
        <is>
          <t>CARGUEROS</t>
        </is>
      </c>
      <c r="K547" s="23" t="n"/>
      <c r="L547" s="17" t="n"/>
      <c r="M547" s="48" t="n"/>
    </row>
    <row r="548" ht="15.75" customHeight="1">
      <c r="A548" s="46" t="n">
        <v>45730</v>
      </c>
      <c r="B548" s="10" t="n">
        <v>7</v>
      </c>
      <c r="C548" s="21" t="inlineStr">
        <is>
          <t>HUERTAS</t>
        </is>
      </c>
      <c r="D548" s="12" t="n">
        <v>3677</v>
      </c>
      <c r="E548" s="12" t="n">
        <v>324</v>
      </c>
      <c r="F548" s="13">
        <f>+D548/E548</f>
        <v/>
      </c>
      <c r="G548" s="22" t="n"/>
      <c r="H548" s="22" t="n"/>
      <c r="I548" s="22" t="inlineStr">
        <is>
          <t>MANIGUA</t>
        </is>
      </c>
      <c r="J548" s="22" t="inlineStr">
        <is>
          <t>CARGUEROS</t>
        </is>
      </c>
      <c r="K548" s="23" t="n"/>
      <c r="L548" s="17" t="n"/>
      <c r="M548" s="48" t="n"/>
    </row>
    <row r="549" ht="15.75" customHeight="1">
      <c r="A549" s="46" t="n">
        <v>45730</v>
      </c>
      <c r="B549" s="10" t="n">
        <v>8</v>
      </c>
      <c r="C549" s="21" t="inlineStr">
        <is>
          <t>HUERTAS</t>
        </is>
      </c>
      <c r="D549" s="12" t="n">
        <v>3677</v>
      </c>
      <c r="E549" s="12" t="n">
        <v>360</v>
      </c>
      <c r="F549" s="13">
        <f>+D549/E549</f>
        <v/>
      </c>
      <c r="G549" s="22" t="n"/>
      <c r="H549" s="22" t="n"/>
      <c r="I549" s="22" t="inlineStr">
        <is>
          <t>MANIGUA</t>
        </is>
      </c>
      <c r="J549" s="22" t="inlineStr">
        <is>
          <t>CARGUEROS</t>
        </is>
      </c>
      <c r="K549" s="23" t="n"/>
      <c r="L549" s="17" t="n"/>
      <c r="M549" s="48" t="n"/>
    </row>
    <row r="550" ht="15.75" customHeight="1">
      <c r="A550" s="46" t="n">
        <v>45730</v>
      </c>
      <c r="B550" s="10" t="n">
        <v>1</v>
      </c>
      <c r="C550" s="21" t="inlineStr">
        <is>
          <t>SAN JOSE</t>
        </is>
      </c>
      <c r="D550" s="12" t="n">
        <v>3408</v>
      </c>
      <c r="E550" s="12" t="n">
        <v>324</v>
      </c>
      <c r="F550" s="13">
        <f>+D550/E550</f>
        <v/>
      </c>
      <c r="G550" s="25" t="n">
        <v>0.2291666666666667</v>
      </c>
      <c r="H550" s="22" t="n"/>
      <c r="I550" s="22" t="inlineStr">
        <is>
          <t>MANIGUA</t>
        </is>
      </c>
      <c r="J550" s="22" t="inlineStr">
        <is>
          <t>ABONEROS</t>
        </is>
      </c>
      <c r="K550" s="23" t="n"/>
      <c r="L550" s="17" t="n"/>
      <c r="M550" s="48" t="n"/>
    </row>
    <row r="551" ht="15.75" customHeight="1">
      <c r="A551" s="46" t="n">
        <v>45730</v>
      </c>
      <c r="B551" s="10" t="n">
        <v>2</v>
      </c>
      <c r="C551" s="21" t="inlineStr">
        <is>
          <t>SAN JOSE</t>
        </is>
      </c>
      <c r="D551" s="12" t="n">
        <v>3408</v>
      </c>
      <c r="E551" s="12" t="n">
        <v>360</v>
      </c>
      <c r="F551" s="13">
        <f>+D551/E551</f>
        <v/>
      </c>
      <c r="G551" s="22" t="n"/>
      <c r="H551" s="22" t="n"/>
      <c r="I551" s="22" t="inlineStr">
        <is>
          <t>MANIGUA</t>
        </is>
      </c>
      <c r="J551" s="22" t="inlineStr">
        <is>
          <t>ABONEROS</t>
        </is>
      </c>
      <c r="K551" s="23" t="n"/>
      <c r="L551" s="17" t="n"/>
      <c r="M551" s="48" t="n"/>
    </row>
    <row r="552" ht="15.75" customHeight="1">
      <c r="A552" s="46" t="n">
        <v>45730</v>
      </c>
      <c r="B552" s="10" t="n">
        <v>3</v>
      </c>
      <c r="C552" s="21" t="inlineStr">
        <is>
          <t>SAN JOSE</t>
        </is>
      </c>
      <c r="D552" s="12" t="n">
        <v>3408</v>
      </c>
      <c r="E552" s="12" t="n">
        <v>324</v>
      </c>
      <c r="F552" s="13">
        <f>+D552/E552</f>
        <v/>
      </c>
      <c r="G552" s="22" t="n"/>
      <c r="H552" s="22" t="n"/>
      <c r="I552" s="22" t="inlineStr">
        <is>
          <t>MANIGUA</t>
        </is>
      </c>
      <c r="J552" s="22" t="inlineStr">
        <is>
          <t>ABONEROS</t>
        </is>
      </c>
      <c r="K552" s="23" t="n"/>
      <c r="L552" s="17" t="n"/>
      <c r="M552" s="48" t="n"/>
    </row>
    <row r="553" ht="15.75" customHeight="1">
      <c r="A553" s="46" t="n">
        <v>45730</v>
      </c>
      <c r="B553" s="10" t="n">
        <v>4</v>
      </c>
      <c r="C553" s="21" t="inlineStr">
        <is>
          <t>SAN JOSE</t>
        </is>
      </c>
      <c r="D553" s="12" t="n">
        <v>3160</v>
      </c>
      <c r="E553" s="12" t="n">
        <v>324</v>
      </c>
      <c r="F553" s="13">
        <f>+D553/E553</f>
        <v/>
      </c>
      <c r="G553" s="22" t="n"/>
      <c r="H553" s="22" t="n"/>
      <c r="I553" s="22" t="inlineStr">
        <is>
          <t>MANIGUA</t>
        </is>
      </c>
      <c r="J553" s="22" t="inlineStr">
        <is>
          <t>ABONEROS</t>
        </is>
      </c>
      <c r="K553" s="23" t="n"/>
      <c r="L553" s="17" t="n"/>
      <c r="M553" s="48" t="n"/>
    </row>
    <row r="554" ht="15.75" customHeight="1">
      <c r="A554" s="67" t="n">
        <v>45730</v>
      </c>
      <c r="B554" s="27" t="n">
        <v>5</v>
      </c>
      <c r="C554" s="28" t="inlineStr">
        <is>
          <t>SAN JOSE</t>
        </is>
      </c>
      <c r="D554" s="29" t="n">
        <v>3160</v>
      </c>
      <c r="E554" s="29" t="n">
        <v>324</v>
      </c>
      <c r="F554" s="30">
        <f>+D554/E554</f>
        <v/>
      </c>
      <c r="G554" s="32" t="n"/>
      <c r="H554" s="32" t="n"/>
      <c r="I554" s="32" t="inlineStr">
        <is>
          <t>MANIGUA</t>
        </is>
      </c>
      <c r="J554" s="32" t="inlineStr">
        <is>
          <t>ABONEROS</t>
        </is>
      </c>
      <c r="K554" s="33" t="n"/>
      <c r="L554" s="34" t="n"/>
      <c r="M554" s="69" t="n"/>
    </row>
    <row r="555" ht="15.75" customHeight="1">
      <c r="A555" s="36" t="n">
        <v>45731</v>
      </c>
      <c r="B555" s="37" t="n">
        <v>1</v>
      </c>
      <c r="C555" s="38" t="inlineStr">
        <is>
          <t>HUERTAS</t>
        </is>
      </c>
      <c r="D555" s="39" t="n">
        <v>2795</v>
      </c>
      <c r="E555" s="39" t="n">
        <v>324</v>
      </c>
      <c r="F555" s="40">
        <f>+D555/E555</f>
        <v/>
      </c>
      <c r="G555" s="41" t="n">
        <v>0</v>
      </c>
      <c r="H555" s="42" t="n"/>
      <c r="I555" s="42" t="inlineStr">
        <is>
          <t>MANIGUA</t>
        </is>
      </c>
      <c r="J555" s="42" t="inlineStr">
        <is>
          <t>CARGUEROS</t>
        </is>
      </c>
      <c r="K555" s="62" t="n"/>
      <c r="L555" s="44" t="n"/>
      <c r="M555" s="45" t="n"/>
    </row>
    <row r="556" ht="15.75" customHeight="1">
      <c r="A556" s="46" t="n">
        <v>45731</v>
      </c>
      <c r="B556" s="10" t="n">
        <v>2</v>
      </c>
      <c r="C556" s="21" t="inlineStr">
        <is>
          <t>HUERTAS</t>
        </is>
      </c>
      <c r="D556" s="12" t="n">
        <v>2795</v>
      </c>
      <c r="E556" s="12" t="n">
        <v>360</v>
      </c>
      <c r="F556" s="13">
        <f>+D556/E556</f>
        <v/>
      </c>
      <c r="G556" s="22" t="n"/>
      <c r="H556" s="22" t="n"/>
      <c r="I556" s="22" t="inlineStr">
        <is>
          <t>MANIGUA</t>
        </is>
      </c>
      <c r="J556" s="22" t="inlineStr">
        <is>
          <t>CARGUEROS</t>
        </is>
      </c>
      <c r="K556" s="23" t="n"/>
      <c r="L556" s="17" t="n"/>
      <c r="M556" s="48" t="n"/>
    </row>
    <row r="557" ht="15.75" customHeight="1">
      <c r="A557" s="46" t="n">
        <v>45731</v>
      </c>
      <c r="B557" s="10" t="n">
        <v>3</v>
      </c>
      <c r="C557" s="21" t="inlineStr">
        <is>
          <t>HUERTAS</t>
        </is>
      </c>
      <c r="D557" s="12" t="n">
        <v>2795</v>
      </c>
      <c r="E557" s="12" t="n">
        <v>324</v>
      </c>
      <c r="F557" s="13">
        <f>+D557/E557</f>
        <v/>
      </c>
      <c r="G557" s="22" t="n"/>
      <c r="H557" s="22" t="n"/>
      <c r="I557" s="22" t="inlineStr">
        <is>
          <t>MANIGUA</t>
        </is>
      </c>
      <c r="J557" s="22" t="inlineStr">
        <is>
          <t>CARGUEROS</t>
        </is>
      </c>
      <c r="K557" s="23" t="n"/>
      <c r="L557" s="17" t="n"/>
      <c r="M557" s="48" t="n"/>
    </row>
    <row r="558" ht="15.75" customHeight="1">
      <c r="A558" s="46" t="n">
        <v>45731</v>
      </c>
      <c r="B558" s="10" t="n">
        <v>4</v>
      </c>
      <c r="C558" s="21" t="inlineStr">
        <is>
          <t>HUERTAS</t>
        </is>
      </c>
      <c r="D558" s="12" t="n">
        <v>2962</v>
      </c>
      <c r="E558" s="12" t="n">
        <v>324</v>
      </c>
      <c r="F558" s="13">
        <f>+D558/E558</f>
        <v/>
      </c>
      <c r="G558" s="22" t="n"/>
      <c r="H558" s="22" t="n"/>
      <c r="I558" s="22" t="inlineStr">
        <is>
          <t>MANIGUA</t>
        </is>
      </c>
      <c r="J558" s="22" t="inlineStr">
        <is>
          <t>CARGUEROS</t>
        </is>
      </c>
      <c r="K558" s="23" t="n"/>
      <c r="L558" s="17" t="n"/>
      <c r="M558" s="48" t="n"/>
    </row>
    <row r="559" ht="15.75" customHeight="1">
      <c r="A559" s="46" t="n">
        <v>45731</v>
      </c>
      <c r="B559" s="10" t="n">
        <v>5</v>
      </c>
      <c r="C559" s="21" t="inlineStr">
        <is>
          <t>HUERTAS</t>
        </is>
      </c>
      <c r="D559" s="12" t="n">
        <v>2962</v>
      </c>
      <c r="E559" s="12" t="n">
        <v>324</v>
      </c>
      <c r="F559" s="13">
        <f>+D559/E559</f>
        <v/>
      </c>
      <c r="G559" s="22" t="n"/>
      <c r="H559" s="22" t="n"/>
      <c r="I559" s="22" t="inlineStr">
        <is>
          <t>MANIGUA</t>
        </is>
      </c>
      <c r="J559" s="22" t="inlineStr">
        <is>
          <t>CARGUEROS</t>
        </is>
      </c>
      <c r="K559" s="23" t="n"/>
      <c r="L559" s="17" t="n"/>
      <c r="M559" s="48" t="n"/>
    </row>
    <row r="560" ht="15.75" customHeight="1">
      <c r="A560" s="67" t="n">
        <v>45731</v>
      </c>
      <c r="B560" s="27" t="n">
        <v>6</v>
      </c>
      <c r="C560" s="28" t="inlineStr">
        <is>
          <t>HUERTAS</t>
        </is>
      </c>
      <c r="D560" s="29" t="n">
        <v>2960</v>
      </c>
      <c r="E560" s="29" t="n">
        <v>324</v>
      </c>
      <c r="F560" s="30">
        <f>+D560/E560</f>
        <v/>
      </c>
      <c r="G560" s="32" t="n"/>
      <c r="H560" s="32" t="n"/>
      <c r="I560" s="32" t="inlineStr">
        <is>
          <t>MANIGUA</t>
        </is>
      </c>
      <c r="J560" s="32" t="inlineStr">
        <is>
          <t>CARGUEROS</t>
        </is>
      </c>
      <c r="K560" s="33" t="n"/>
      <c r="L560" s="34" t="n"/>
      <c r="M560" s="69" t="n"/>
    </row>
    <row r="561" ht="15.75" customHeight="1">
      <c r="A561" s="36" t="n">
        <v>45732</v>
      </c>
      <c r="B561" s="37" t="n">
        <v>1</v>
      </c>
      <c r="C561" s="38" t="inlineStr">
        <is>
          <t>HUERTAS</t>
        </is>
      </c>
      <c r="D561" s="39" t="n">
        <v>3490</v>
      </c>
      <c r="E561" s="39" t="n"/>
      <c r="F561" s="40" t="n"/>
      <c r="G561" s="41" t="n">
        <v>0.8333333333333334</v>
      </c>
      <c r="H561" s="42" t="n"/>
      <c r="I561" s="42" t="inlineStr">
        <is>
          <t>BOGOTA</t>
        </is>
      </c>
      <c r="J561" s="42" t="inlineStr">
        <is>
          <t>ABONEROS</t>
        </is>
      </c>
      <c r="K561" s="62" t="n"/>
      <c r="L561" s="44" t="n"/>
      <c r="M561" s="45" t="n"/>
    </row>
    <row r="562" ht="15.75" customHeight="1">
      <c r="A562" s="46" t="n">
        <v>45732</v>
      </c>
      <c r="B562" s="10" t="n">
        <v>2</v>
      </c>
      <c r="C562" s="21" t="inlineStr">
        <is>
          <t>HUERTAS</t>
        </is>
      </c>
      <c r="D562" s="12" t="n">
        <v>3490</v>
      </c>
      <c r="E562" s="12" t="n"/>
      <c r="F562" s="13" t="n"/>
      <c r="G562" s="22" t="n"/>
      <c r="H562" s="22" t="n"/>
      <c r="I562" s="22" t="inlineStr">
        <is>
          <t>BOGOTA</t>
        </is>
      </c>
      <c r="J562" s="22" t="inlineStr">
        <is>
          <t>ABONEROS</t>
        </is>
      </c>
      <c r="K562" s="23" t="n"/>
      <c r="L562" s="17" t="n"/>
      <c r="M562" s="48" t="n"/>
    </row>
    <row r="563" ht="15.75" customHeight="1">
      <c r="A563" s="46" t="n">
        <v>45733</v>
      </c>
      <c r="B563" s="10" t="n">
        <v>1</v>
      </c>
      <c r="C563" s="21" t="inlineStr">
        <is>
          <t>SAN JOSE</t>
        </is>
      </c>
      <c r="D563" s="12" t="n">
        <v>3233</v>
      </c>
      <c r="E563" s="12" t="n">
        <v>324</v>
      </c>
      <c r="F563" s="13" t="n"/>
      <c r="G563" s="25" t="n">
        <v>0.1875</v>
      </c>
      <c r="H563" s="22" t="n"/>
      <c r="I563" s="22" t="inlineStr">
        <is>
          <t>MANIGUA</t>
        </is>
      </c>
      <c r="J563" s="22" t="inlineStr">
        <is>
          <t>CARGUEROS</t>
        </is>
      </c>
      <c r="K563" s="23" t="n"/>
      <c r="L563" s="17" t="n"/>
      <c r="M563" s="48" t="n"/>
    </row>
    <row r="564" ht="15.75" customHeight="1">
      <c r="A564" s="46" t="n">
        <v>45733</v>
      </c>
      <c r="B564" s="10" t="n">
        <v>2</v>
      </c>
      <c r="C564" s="21" t="inlineStr">
        <is>
          <t>SAN JOSE</t>
        </is>
      </c>
      <c r="D564" s="12" t="n">
        <v>3233</v>
      </c>
      <c r="E564" s="12" t="n">
        <v>324</v>
      </c>
      <c r="F564" s="13" t="n"/>
      <c r="G564" s="22" t="n"/>
      <c r="H564" s="22" t="n"/>
      <c r="I564" s="22" t="inlineStr">
        <is>
          <t>MANIGUA</t>
        </is>
      </c>
      <c r="J564" s="22" t="inlineStr">
        <is>
          <t>CARGUEROS</t>
        </is>
      </c>
      <c r="K564" s="23" t="n"/>
      <c r="L564" s="17" t="n"/>
      <c r="M564" s="48" t="n"/>
    </row>
    <row r="565" ht="15.75" customHeight="1">
      <c r="A565" s="46" t="n">
        <v>45733</v>
      </c>
      <c r="B565" s="10" t="n">
        <v>3</v>
      </c>
      <c r="C565" s="21" t="inlineStr">
        <is>
          <t>SAN JOSE</t>
        </is>
      </c>
      <c r="D565" s="12" t="n">
        <v>3233</v>
      </c>
      <c r="E565" s="12" t="n">
        <v>360</v>
      </c>
      <c r="F565" s="13" t="n"/>
      <c r="G565" s="22" t="n"/>
      <c r="H565" s="22" t="n"/>
      <c r="I565" s="22" t="inlineStr">
        <is>
          <t>MANIGUA</t>
        </is>
      </c>
      <c r="J565" s="22" t="inlineStr">
        <is>
          <t>CARGUEROS</t>
        </is>
      </c>
      <c r="K565" s="23" t="n"/>
      <c r="L565" s="17" t="n"/>
      <c r="M565" s="48" t="n"/>
    </row>
    <row r="566" ht="15.75" customHeight="1">
      <c r="A566" s="46" t="n">
        <v>45733</v>
      </c>
      <c r="B566" s="10" t="n">
        <v>4</v>
      </c>
      <c r="C566" s="21" t="inlineStr">
        <is>
          <t>SAN JOSE</t>
        </is>
      </c>
      <c r="D566" s="12" t="n">
        <v>3245</v>
      </c>
      <c r="E566" s="12" t="n">
        <v>324</v>
      </c>
      <c r="F566" s="13" t="n"/>
      <c r="G566" s="22" t="n"/>
      <c r="H566" s="22" t="n"/>
      <c r="I566" s="22" t="inlineStr">
        <is>
          <t>MANIGUA</t>
        </is>
      </c>
      <c r="J566" s="22" t="inlineStr">
        <is>
          <t>CARGUEROS</t>
        </is>
      </c>
      <c r="K566" s="23" t="n"/>
      <c r="L566" s="17" t="n"/>
      <c r="M566" s="48" t="n"/>
    </row>
    <row r="567" ht="15.75" customHeight="1">
      <c r="A567" s="46" t="n">
        <v>45733</v>
      </c>
      <c r="B567" s="10" t="n">
        <v>5</v>
      </c>
      <c r="C567" s="21" t="inlineStr">
        <is>
          <t>SAN JOSE</t>
        </is>
      </c>
      <c r="D567" s="12" t="n">
        <v>3245</v>
      </c>
      <c r="E567" s="12" t="n">
        <v>324</v>
      </c>
      <c r="F567" s="13" t="n"/>
      <c r="G567" s="22" t="n"/>
      <c r="H567" s="22" t="n"/>
      <c r="I567" s="22" t="inlineStr">
        <is>
          <t>MANIGUA</t>
        </is>
      </c>
      <c r="J567" s="22" t="inlineStr">
        <is>
          <t>CARGUEROS</t>
        </is>
      </c>
      <c r="K567" s="23" t="n"/>
      <c r="L567" s="17" t="n"/>
      <c r="M567" s="48" t="n"/>
    </row>
    <row r="568" ht="15.75" customHeight="1">
      <c r="A568" s="46" t="n">
        <v>45733</v>
      </c>
      <c r="B568" s="10" t="n">
        <v>6</v>
      </c>
      <c r="C568" s="21" t="inlineStr">
        <is>
          <t>SAN JOSE</t>
        </is>
      </c>
      <c r="D568" s="12" t="n">
        <v>3245</v>
      </c>
      <c r="E568" s="12" t="n">
        <v>324</v>
      </c>
      <c r="F568" s="13" t="n"/>
      <c r="G568" s="22" t="n"/>
      <c r="H568" s="22" t="n"/>
      <c r="I568" s="22" t="inlineStr">
        <is>
          <t>MANIGUA</t>
        </is>
      </c>
      <c r="J568" s="22" t="inlineStr">
        <is>
          <t>CARGUEROS</t>
        </is>
      </c>
      <c r="K568" s="23" t="n"/>
      <c r="L568" s="17" t="n"/>
      <c r="M568" s="48" t="n"/>
    </row>
    <row r="569" ht="15.75" customHeight="1">
      <c r="A569" s="46" t="n">
        <v>45733</v>
      </c>
      <c r="B569" s="10" t="n">
        <v>7</v>
      </c>
      <c r="C569" s="21" t="inlineStr">
        <is>
          <t>SAN JOSE</t>
        </is>
      </c>
      <c r="D569" s="12" t="n">
        <v>3460</v>
      </c>
      <c r="E569" s="12" t="n">
        <v>324</v>
      </c>
      <c r="F569" s="13" t="n"/>
      <c r="G569" s="22" t="n"/>
      <c r="H569" s="22" t="n"/>
      <c r="I569" s="22" t="inlineStr">
        <is>
          <t>MANIGUA</t>
        </is>
      </c>
      <c r="J569" s="22" t="inlineStr">
        <is>
          <t>CARGUEROS</t>
        </is>
      </c>
      <c r="K569" s="23" t="n"/>
      <c r="L569" s="17" t="n"/>
      <c r="M569" s="48" t="n"/>
    </row>
    <row r="570" ht="15.75" customHeight="1">
      <c r="A570" s="46" t="n">
        <v>45733</v>
      </c>
      <c r="B570" s="10" t="n">
        <v>8</v>
      </c>
      <c r="C570" s="21" t="inlineStr">
        <is>
          <t>SAN JOSE</t>
        </is>
      </c>
      <c r="D570" s="12" t="n">
        <v>3460</v>
      </c>
      <c r="E570" s="12" t="n">
        <v>324</v>
      </c>
      <c r="F570" s="13" t="n"/>
      <c r="G570" s="22" t="n"/>
      <c r="H570" s="22" t="n"/>
      <c r="I570" s="22" t="inlineStr">
        <is>
          <t>MANIGUA</t>
        </is>
      </c>
      <c r="J570" s="22" t="inlineStr">
        <is>
          <t>CARGUEROS</t>
        </is>
      </c>
      <c r="K570" s="23" t="n"/>
      <c r="L570" s="17" t="n"/>
      <c r="M570" s="48" t="n"/>
    </row>
    <row r="571" ht="15.75" customHeight="1">
      <c r="A571" s="46" t="n">
        <v>45733</v>
      </c>
      <c r="B571" s="10" t="n">
        <v>9</v>
      </c>
      <c r="C571" s="21" t="inlineStr">
        <is>
          <t>SAN JOSE</t>
        </is>
      </c>
      <c r="D571" s="12" t="n">
        <v>3448</v>
      </c>
      <c r="E571" s="12" t="n">
        <v>324</v>
      </c>
      <c r="F571" s="13" t="n"/>
      <c r="G571" s="22" t="n"/>
      <c r="H571" s="22" t="n"/>
      <c r="I571" s="22" t="inlineStr">
        <is>
          <t>MANIGUA</t>
        </is>
      </c>
      <c r="J571" s="22" t="inlineStr">
        <is>
          <t>CARGUEROS</t>
        </is>
      </c>
      <c r="K571" s="23" t="n"/>
      <c r="L571" s="17" t="n"/>
      <c r="M571" s="48" t="n"/>
    </row>
    <row r="572" ht="15.75" customHeight="1">
      <c r="A572" s="67" t="n">
        <v>45733</v>
      </c>
      <c r="B572" s="27" t="n">
        <v>10</v>
      </c>
      <c r="C572" s="28" t="inlineStr">
        <is>
          <t>SAN JOSE</t>
        </is>
      </c>
      <c r="D572" s="29" t="n">
        <v>3448</v>
      </c>
      <c r="E572" s="29" t="n">
        <v>324</v>
      </c>
      <c r="F572" s="30" t="n"/>
      <c r="G572" s="32" t="n"/>
      <c r="H572" s="32" t="n"/>
      <c r="I572" s="32" t="inlineStr">
        <is>
          <t>MANIGUA</t>
        </is>
      </c>
      <c r="J572" s="32" t="inlineStr">
        <is>
          <t>CARGUEROS</t>
        </is>
      </c>
      <c r="K572" s="33" t="n"/>
      <c r="L572" s="34" t="n"/>
      <c r="M572" s="69" t="n"/>
    </row>
    <row r="573" ht="15.75" customHeight="1">
      <c r="A573" s="36" t="n">
        <v>45734</v>
      </c>
      <c r="B573" s="37" t="n">
        <v>1</v>
      </c>
      <c r="C573" s="38" t="inlineStr">
        <is>
          <t>HUERTAS</t>
        </is>
      </c>
      <c r="D573" s="39" t="n">
        <v>3232</v>
      </c>
      <c r="E573" s="39" t="n">
        <v>324</v>
      </c>
      <c r="F573" s="40" t="n"/>
      <c r="G573" s="42" t="n"/>
      <c r="H573" s="42" t="n"/>
      <c r="I573" s="42" t="inlineStr">
        <is>
          <t>MANIGUA</t>
        </is>
      </c>
      <c r="J573" s="108" t="inlineStr">
        <is>
          <t>CARGUEROS</t>
        </is>
      </c>
      <c r="K573" s="109" t="n"/>
      <c r="L573" s="44" t="n"/>
      <c r="M573" s="45" t="n"/>
    </row>
    <row r="574" ht="15.75" customHeight="1">
      <c r="A574" s="46" t="n">
        <v>45734</v>
      </c>
      <c r="B574" s="10" t="n">
        <v>2</v>
      </c>
      <c r="C574" s="21" t="inlineStr">
        <is>
          <t>HUERTAS</t>
        </is>
      </c>
      <c r="D574" s="12" t="n">
        <v>3232</v>
      </c>
      <c r="E574" s="12" t="n">
        <v>360</v>
      </c>
      <c r="F574" s="13" t="n"/>
      <c r="G574" s="22" t="n"/>
      <c r="H574" s="22" t="n"/>
      <c r="I574" s="22" t="inlineStr">
        <is>
          <t>MANIGUA</t>
        </is>
      </c>
      <c r="J574" s="110" t="inlineStr">
        <is>
          <t>CARGUEROS</t>
        </is>
      </c>
      <c r="K574" s="111" t="n"/>
      <c r="L574" s="17" t="n"/>
      <c r="M574" s="48" t="n"/>
    </row>
    <row r="575" ht="15.75" customHeight="1">
      <c r="A575" s="46" t="n">
        <v>45734</v>
      </c>
      <c r="B575" s="10" t="n">
        <v>3</v>
      </c>
      <c r="C575" s="21" t="inlineStr">
        <is>
          <t>HUERTAS</t>
        </is>
      </c>
      <c r="D575" s="12" t="n">
        <v>3232</v>
      </c>
      <c r="E575" s="12" t="n">
        <v>324</v>
      </c>
      <c r="F575" s="13" t="n"/>
      <c r="G575" s="22" t="n"/>
      <c r="H575" s="22" t="n"/>
      <c r="I575" s="22" t="inlineStr">
        <is>
          <t>MANIGUA</t>
        </is>
      </c>
      <c r="J575" s="110" t="inlineStr">
        <is>
          <t>CARGUEROS</t>
        </is>
      </c>
      <c r="K575" s="111" t="n"/>
      <c r="L575" s="17" t="n"/>
      <c r="M575" s="48" t="n"/>
    </row>
    <row r="576" ht="15.75" customHeight="1">
      <c r="A576" s="46" t="n">
        <v>45734</v>
      </c>
      <c r="B576" s="10" t="n">
        <v>4</v>
      </c>
      <c r="C576" s="21" t="inlineStr">
        <is>
          <t>HUERTAS</t>
        </is>
      </c>
      <c r="D576" s="12" t="n">
        <v>2937</v>
      </c>
      <c r="E576" s="12" t="n">
        <v>324</v>
      </c>
      <c r="F576" s="13" t="n"/>
      <c r="G576" s="22" t="n"/>
      <c r="H576" s="22" t="n"/>
      <c r="I576" s="22" t="inlineStr">
        <is>
          <t>MANIGUA</t>
        </is>
      </c>
      <c r="J576" s="110" t="inlineStr">
        <is>
          <t>CARGUEROS</t>
        </is>
      </c>
      <c r="K576" s="111" t="n"/>
      <c r="L576" s="17" t="n"/>
      <c r="M576" s="48" t="n"/>
    </row>
    <row r="577" ht="15.75" customHeight="1">
      <c r="A577" s="46" t="n">
        <v>45734</v>
      </c>
      <c r="B577" s="10" t="n">
        <v>5</v>
      </c>
      <c r="C577" s="21" t="inlineStr">
        <is>
          <t>HUERTAS</t>
        </is>
      </c>
      <c r="D577" s="12" t="n">
        <v>2937</v>
      </c>
      <c r="E577" s="12" t="n">
        <v>324</v>
      </c>
      <c r="F577" s="13" t="n"/>
      <c r="G577" s="22" t="n"/>
      <c r="H577" s="22" t="n"/>
      <c r="I577" s="22" t="inlineStr">
        <is>
          <t>MANIGUA</t>
        </is>
      </c>
      <c r="J577" s="110" t="inlineStr">
        <is>
          <t>CARGUEROS</t>
        </is>
      </c>
      <c r="K577" s="111" t="n"/>
      <c r="L577" s="17" t="n"/>
      <c r="M577" s="48" t="n"/>
    </row>
    <row r="578" ht="15.75" customHeight="1">
      <c r="A578" s="46" t="n">
        <v>45734</v>
      </c>
      <c r="B578" s="10" t="n">
        <v>6</v>
      </c>
      <c r="C578" s="21" t="inlineStr">
        <is>
          <t>HUERTAS</t>
        </is>
      </c>
      <c r="D578" s="12" t="n">
        <v>2937</v>
      </c>
      <c r="E578" s="12" t="n">
        <v>360</v>
      </c>
      <c r="F578" s="13" t="n"/>
      <c r="G578" s="22" t="n"/>
      <c r="H578" s="22" t="n"/>
      <c r="I578" s="22" t="inlineStr">
        <is>
          <t>MANIGUA</t>
        </is>
      </c>
      <c r="J578" s="110" t="inlineStr">
        <is>
          <t>CARGUEROS</t>
        </is>
      </c>
      <c r="K578" s="111" t="n"/>
      <c r="L578" s="17" t="n"/>
      <c r="M578" s="48" t="n"/>
    </row>
    <row r="579" ht="15.75" customHeight="1">
      <c r="A579" s="46" t="n">
        <v>45734</v>
      </c>
      <c r="B579" s="10" t="n">
        <v>7</v>
      </c>
      <c r="C579" s="21" t="inlineStr">
        <is>
          <t>HUERTAS</t>
        </is>
      </c>
      <c r="D579" s="12" t="n">
        <v>2959</v>
      </c>
      <c r="E579" s="12" t="n">
        <v>360</v>
      </c>
      <c r="F579" s="13" t="n"/>
      <c r="G579" s="22" t="n"/>
      <c r="H579" s="22" t="n"/>
      <c r="I579" s="22" t="inlineStr">
        <is>
          <t>MANIGUA</t>
        </is>
      </c>
      <c r="J579" s="110" t="inlineStr">
        <is>
          <t>CARGUEROS</t>
        </is>
      </c>
      <c r="K579" s="111" t="n"/>
      <c r="L579" s="17" t="n"/>
      <c r="M579" s="48" t="n"/>
    </row>
    <row r="580" ht="15.75" customHeight="1">
      <c r="A580" s="46" t="n">
        <v>45734</v>
      </c>
      <c r="B580" s="10" t="n">
        <v>8</v>
      </c>
      <c r="C580" s="21" t="inlineStr">
        <is>
          <t>HUERTAS</t>
        </is>
      </c>
      <c r="D580" s="12" t="n">
        <v>2959</v>
      </c>
      <c r="E580" s="12" t="n">
        <v>324</v>
      </c>
      <c r="F580" s="13" t="n"/>
      <c r="G580" s="22" t="n"/>
      <c r="H580" s="22" t="n"/>
      <c r="I580" s="22" t="inlineStr">
        <is>
          <t>MANIGUA</t>
        </is>
      </c>
      <c r="J580" s="110" t="inlineStr">
        <is>
          <t>CARGUEROS</t>
        </is>
      </c>
      <c r="K580" s="111" t="n"/>
      <c r="L580" s="17" t="n"/>
      <c r="M580" s="48" t="n"/>
    </row>
    <row r="581" ht="15.75" customHeight="1">
      <c r="A581" s="46" t="n">
        <v>45734</v>
      </c>
      <c r="B581" s="10" t="n">
        <v>9</v>
      </c>
      <c r="C581" s="21" t="inlineStr">
        <is>
          <t>HUERTAS</t>
        </is>
      </c>
      <c r="D581" s="12" t="n">
        <v>2959</v>
      </c>
      <c r="E581" s="12" t="n">
        <v>324</v>
      </c>
      <c r="F581" s="13" t="n"/>
      <c r="G581" s="22" t="n"/>
      <c r="H581" s="22" t="n"/>
      <c r="I581" s="22" t="inlineStr">
        <is>
          <t>MANIGUA</t>
        </is>
      </c>
      <c r="J581" s="110" t="inlineStr">
        <is>
          <t>CARGUEROS</t>
        </is>
      </c>
      <c r="K581" s="111" t="n"/>
      <c r="L581" s="17" t="n"/>
      <c r="M581" s="48" t="n"/>
    </row>
    <row r="582" ht="15.75" customHeight="1">
      <c r="A582" s="46" t="n">
        <v>45734</v>
      </c>
      <c r="B582" s="10" t="n">
        <v>10</v>
      </c>
      <c r="C582" s="21" t="inlineStr">
        <is>
          <t>HUERTAS</t>
        </is>
      </c>
      <c r="D582" s="12" t="n">
        <v>2959</v>
      </c>
      <c r="E582" s="12" t="n">
        <v>324</v>
      </c>
      <c r="F582" s="13" t="n"/>
      <c r="G582" s="22" t="n"/>
      <c r="H582" s="22" t="n"/>
      <c r="I582" s="22" t="inlineStr">
        <is>
          <t>MANIGUA</t>
        </is>
      </c>
      <c r="J582" s="110" t="inlineStr">
        <is>
          <t>CARGUEROS</t>
        </is>
      </c>
      <c r="K582" s="112" t="n"/>
      <c r="L582" s="58" t="n"/>
      <c r="M582" s="59" t="n"/>
    </row>
    <row r="583" ht="15.75" customHeight="1">
      <c r="A583" s="46" t="n">
        <v>45734</v>
      </c>
      <c r="B583" s="10" t="n">
        <v>1</v>
      </c>
      <c r="C583" s="21" t="inlineStr">
        <is>
          <t>sAN JOSE</t>
        </is>
      </c>
      <c r="D583" s="12" t="n">
        <v>3284</v>
      </c>
      <c r="E583" s="12" t="n">
        <v>324</v>
      </c>
      <c r="F583" s="13" t="n"/>
      <c r="G583" s="22" t="n"/>
      <c r="H583" s="22" t="n"/>
      <c r="I583" s="22" t="inlineStr">
        <is>
          <t>MANIGUA</t>
        </is>
      </c>
      <c r="J583" s="110" t="inlineStr">
        <is>
          <t>ABONEROS</t>
        </is>
      </c>
      <c r="K583" s="113" t="n"/>
      <c r="L583" s="114" t="n"/>
      <c r="M583" s="115" t="n"/>
    </row>
    <row r="584" ht="15.75" customHeight="1">
      <c r="A584" s="46" t="n">
        <v>45734</v>
      </c>
      <c r="B584" s="10" t="n">
        <v>2</v>
      </c>
      <c r="C584" s="21" t="inlineStr">
        <is>
          <t>sAN JOSE</t>
        </is>
      </c>
      <c r="D584" s="12" t="n">
        <v>3284</v>
      </c>
      <c r="E584" s="12" t="n">
        <v>324</v>
      </c>
      <c r="F584" s="13" t="n"/>
      <c r="G584" s="22" t="n"/>
      <c r="H584" s="22" t="n"/>
      <c r="I584" s="22" t="inlineStr">
        <is>
          <t>MANIGUA</t>
        </is>
      </c>
      <c r="J584" s="110" t="inlineStr">
        <is>
          <t>ABONEROS</t>
        </is>
      </c>
      <c r="K584" s="113" t="n"/>
      <c r="L584" s="114" t="n"/>
      <c r="M584" s="115" t="n"/>
    </row>
    <row r="585" ht="15.75" customHeight="1">
      <c r="A585" s="67" t="n">
        <v>45734</v>
      </c>
      <c r="B585" s="27" t="n">
        <v>3</v>
      </c>
      <c r="C585" s="28" t="inlineStr">
        <is>
          <t>sAN JOSE</t>
        </is>
      </c>
      <c r="D585" s="29" t="n">
        <v>3284</v>
      </c>
      <c r="E585" s="29" t="n">
        <v>360</v>
      </c>
      <c r="F585" s="30" t="n"/>
      <c r="G585" s="32" t="n"/>
      <c r="H585" s="32" t="n"/>
      <c r="I585" s="32" t="inlineStr">
        <is>
          <t>MANIGUA</t>
        </is>
      </c>
      <c r="J585" s="116" t="inlineStr">
        <is>
          <t>ABONEROS</t>
        </is>
      </c>
      <c r="K585" s="113" t="n"/>
      <c r="L585" s="114" t="n"/>
      <c r="M585" s="115" t="n"/>
    </row>
    <row r="586" ht="15.75" customHeight="1">
      <c r="A586" s="36" t="n">
        <v>45735</v>
      </c>
      <c r="B586" s="37" t="n">
        <v>1</v>
      </c>
      <c r="C586" s="38" t="inlineStr">
        <is>
          <t>HUERTAS</t>
        </is>
      </c>
      <c r="D586" s="39" t="n">
        <v>2977</v>
      </c>
      <c r="E586" s="39" t="n">
        <v>324</v>
      </c>
      <c r="F586" s="40" t="n"/>
      <c r="G586" s="42" t="n"/>
      <c r="H586" s="42" t="n"/>
      <c r="I586" s="42" t="inlineStr">
        <is>
          <t>MANIGUA</t>
        </is>
      </c>
      <c r="J586" s="108" t="inlineStr">
        <is>
          <t>ABONEROS</t>
        </is>
      </c>
      <c r="K586" s="113" t="n"/>
      <c r="L586" s="114" t="n"/>
      <c r="M586" s="115" t="n"/>
    </row>
    <row r="587" ht="15.75" customHeight="1">
      <c r="A587" s="46" t="n">
        <v>45735</v>
      </c>
      <c r="B587" s="10" t="n">
        <v>2</v>
      </c>
      <c r="C587" s="21" t="inlineStr">
        <is>
          <t>HUERTAS</t>
        </is>
      </c>
      <c r="D587" s="12" t="n">
        <v>2977</v>
      </c>
      <c r="E587" s="12" t="n">
        <v>324</v>
      </c>
      <c r="F587" s="13" t="n"/>
      <c r="G587" s="22" t="n"/>
      <c r="H587" s="22" t="n"/>
      <c r="I587" s="22" t="inlineStr">
        <is>
          <t>MANIGUA</t>
        </is>
      </c>
      <c r="J587" s="110" t="inlineStr">
        <is>
          <t>ABONEROS</t>
        </is>
      </c>
      <c r="K587" s="113" t="n"/>
      <c r="L587" s="114" t="n"/>
      <c r="M587" s="115" t="n"/>
    </row>
    <row r="588" ht="15.75" customHeight="1">
      <c r="A588" s="46" t="n">
        <v>45735</v>
      </c>
      <c r="B588" s="10" t="n">
        <v>3</v>
      </c>
      <c r="C588" s="21" t="inlineStr">
        <is>
          <t>HUERTAS</t>
        </is>
      </c>
      <c r="D588" s="12" t="n">
        <v>2977</v>
      </c>
      <c r="E588" s="12" t="n">
        <v>324</v>
      </c>
      <c r="F588" s="13" t="n"/>
      <c r="G588" s="22" t="n"/>
      <c r="H588" s="22" t="n"/>
      <c r="I588" s="22" t="inlineStr">
        <is>
          <t>MANIGUA</t>
        </is>
      </c>
      <c r="J588" s="110" t="inlineStr">
        <is>
          <t>ABONEROS</t>
        </is>
      </c>
      <c r="K588" s="113" t="n"/>
      <c r="L588" s="114" t="n"/>
      <c r="M588" s="115" t="n"/>
    </row>
    <row r="589" ht="15.75" customHeight="1">
      <c r="A589" s="46" t="n">
        <v>45735</v>
      </c>
      <c r="B589" s="10" t="n">
        <v>1</v>
      </c>
      <c r="C589" s="21" t="inlineStr">
        <is>
          <t>SAN JOSE</t>
        </is>
      </c>
      <c r="D589" s="12" t="n">
        <v>3271</v>
      </c>
      <c r="E589" s="12" t="n">
        <v>324</v>
      </c>
      <c r="F589" s="13" t="n"/>
      <c r="G589" s="22" t="n"/>
      <c r="H589" s="22" t="n"/>
      <c r="I589" s="22" t="inlineStr">
        <is>
          <t>MANIGUA</t>
        </is>
      </c>
      <c r="J589" s="110" t="inlineStr">
        <is>
          <t>CARGUEROS</t>
        </is>
      </c>
      <c r="K589" s="113" t="n"/>
      <c r="L589" s="114" t="n"/>
      <c r="M589" s="115" t="n"/>
    </row>
    <row r="590" ht="15.75" customHeight="1">
      <c r="A590" s="46" t="n">
        <v>45735</v>
      </c>
      <c r="B590" s="10" t="n">
        <v>2</v>
      </c>
      <c r="C590" s="21" t="inlineStr">
        <is>
          <t>SAN JOSE</t>
        </is>
      </c>
      <c r="D590" s="12" t="n">
        <v>3271</v>
      </c>
      <c r="E590" s="12" t="n">
        <v>324</v>
      </c>
      <c r="F590" s="13" t="n"/>
      <c r="G590" s="22" t="n"/>
      <c r="H590" s="22" t="n"/>
      <c r="I590" s="22" t="inlineStr">
        <is>
          <t>MANIGUA</t>
        </is>
      </c>
      <c r="J590" s="110" t="inlineStr">
        <is>
          <t>CARGUEROS</t>
        </is>
      </c>
      <c r="K590" s="113" t="n"/>
      <c r="L590" s="114" t="n"/>
      <c r="M590" s="115" t="n"/>
    </row>
    <row r="591" ht="15.75" customHeight="1">
      <c r="A591" s="46" t="n">
        <v>45735</v>
      </c>
      <c r="B591" s="10" t="n">
        <v>3</v>
      </c>
      <c r="C591" s="21" t="inlineStr">
        <is>
          <t>SAN JOSE</t>
        </is>
      </c>
      <c r="D591" s="12" t="n">
        <v>3271</v>
      </c>
      <c r="E591" s="12" t="n">
        <v>324</v>
      </c>
      <c r="F591" s="13" t="n"/>
      <c r="G591" s="22" t="n"/>
      <c r="H591" s="22" t="n"/>
      <c r="I591" s="22" t="inlineStr">
        <is>
          <t>MANIGUA</t>
        </is>
      </c>
      <c r="J591" s="110" t="inlineStr">
        <is>
          <t>CARGUEROS</t>
        </is>
      </c>
      <c r="K591" s="113" t="n"/>
      <c r="L591" s="114" t="n"/>
      <c r="M591" s="115" t="n"/>
    </row>
    <row r="592" ht="15.75" customHeight="1">
      <c r="A592" s="46" t="n">
        <v>45735</v>
      </c>
      <c r="B592" s="10" t="n">
        <v>4</v>
      </c>
      <c r="C592" s="21" t="inlineStr">
        <is>
          <t>SAN JOSE</t>
        </is>
      </c>
      <c r="D592" s="12" t="n">
        <v>3580</v>
      </c>
      <c r="E592" s="12" t="n">
        <v>324</v>
      </c>
      <c r="F592" s="13" t="n"/>
      <c r="G592" s="22" t="n"/>
      <c r="H592" s="22" t="n"/>
      <c r="I592" s="22" t="inlineStr">
        <is>
          <t>MANIGUA</t>
        </is>
      </c>
      <c r="J592" s="110" t="inlineStr">
        <is>
          <t>CARGUEROS</t>
        </is>
      </c>
      <c r="K592" s="113" t="n"/>
      <c r="L592" s="114" t="n"/>
      <c r="M592" s="115" t="n"/>
    </row>
    <row r="593" ht="15.75" customHeight="1">
      <c r="A593" s="46" t="n">
        <v>45735</v>
      </c>
      <c r="B593" s="10" t="n">
        <v>5</v>
      </c>
      <c r="C593" s="21" t="inlineStr">
        <is>
          <t>SAN JOSE</t>
        </is>
      </c>
      <c r="D593" s="12" t="n">
        <v>3580</v>
      </c>
      <c r="E593" s="12" t="n">
        <v>324</v>
      </c>
      <c r="F593" s="13" t="n"/>
      <c r="G593" s="22" t="n"/>
      <c r="H593" s="22" t="n"/>
      <c r="I593" s="22" t="inlineStr">
        <is>
          <t>MANIGUA</t>
        </is>
      </c>
      <c r="J593" s="110" t="inlineStr">
        <is>
          <t>CARGUEROS</t>
        </is>
      </c>
      <c r="K593" s="113" t="n"/>
      <c r="L593" s="114" t="n"/>
      <c r="M593" s="115" t="n"/>
    </row>
    <row r="594" ht="15.75" customHeight="1">
      <c r="A594" s="46" t="n">
        <v>45735</v>
      </c>
      <c r="B594" s="10" t="n">
        <v>6</v>
      </c>
      <c r="C594" s="21" t="inlineStr">
        <is>
          <t>SAN JOSE</t>
        </is>
      </c>
      <c r="D594" s="12" t="n">
        <v>3581</v>
      </c>
      <c r="E594" s="12" t="n">
        <v>324</v>
      </c>
      <c r="F594" s="13" t="n"/>
      <c r="G594" s="22" t="n"/>
      <c r="H594" s="22" t="n"/>
      <c r="I594" s="22" t="inlineStr">
        <is>
          <t>MANIGUA</t>
        </is>
      </c>
      <c r="J594" s="110" t="inlineStr">
        <is>
          <t>CARGUEROS</t>
        </is>
      </c>
      <c r="K594" s="113" t="n"/>
      <c r="L594" s="114" t="n"/>
      <c r="M594" s="115" t="n"/>
    </row>
    <row r="595" ht="15.75" customHeight="1">
      <c r="A595" s="67" t="n">
        <v>45735</v>
      </c>
      <c r="B595" s="27" t="n">
        <v>7</v>
      </c>
      <c r="C595" s="28" t="inlineStr">
        <is>
          <t>SAN JOSE</t>
        </is>
      </c>
      <c r="D595" s="29" t="n">
        <v>3581</v>
      </c>
      <c r="E595" s="29" t="n">
        <v>324</v>
      </c>
      <c r="F595" s="30" t="n"/>
      <c r="G595" s="32" t="n"/>
      <c r="H595" s="32" t="n"/>
      <c r="I595" s="32" t="inlineStr">
        <is>
          <t>MANIGUA</t>
        </is>
      </c>
      <c r="J595" s="116" t="inlineStr">
        <is>
          <t>CARGUEROS</t>
        </is>
      </c>
      <c r="K595" s="113" t="n"/>
      <c r="L595" s="114" t="n"/>
      <c r="M595" s="115" t="n"/>
    </row>
    <row r="596" ht="15.75" customHeight="1">
      <c r="A596" s="36" t="n">
        <v>45736</v>
      </c>
      <c r="B596" s="37" t="n">
        <v>1</v>
      </c>
      <c r="C596" s="38" t="inlineStr">
        <is>
          <t>SAN JOSE</t>
        </is>
      </c>
      <c r="D596" s="39" t="n">
        <v>3159</v>
      </c>
      <c r="E596" s="39" t="n">
        <v>360</v>
      </c>
      <c r="F596" s="40" t="n"/>
      <c r="G596" s="42" t="n"/>
      <c r="H596" s="42" t="n"/>
      <c r="I596" s="42" t="inlineStr">
        <is>
          <t>MANIGUA</t>
        </is>
      </c>
      <c r="J596" s="108" t="inlineStr">
        <is>
          <t>CARGUEROS</t>
        </is>
      </c>
      <c r="K596" s="113" t="n"/>
      <c r="L596" s="114" t="n"/>
      <c r="M596" s="115" t="n"/>
    </row>
    <row r="597" ht="15.75" customHeight="1">
      <c r="A597" s="46" t="n">
        <v>45736</v>
      </c>
      <c r="B597" s="10" t="n">
        <v>2</v>
      </c>
      <c r="C597" s="21" t="inlineStr">
        <is>
          <t>SAN JOSE</t>
        </is>
      </c>
      <c r="D597" s="12" t="n">
        <v>3159</v>
      </c>
      <c r="E597" s="12" t="n">
        <v>324</v>
      </c>
      <c r="F597" s="13" t="n"/>
      <c r="G597" s="22" t="n"/>
      <c r="H597" s="22" t="n"/>
      <c r="I597" s="22" t="inlineStr">
        <is>
          <t>MANIGUA</t>
        </is>
      </c>
      <c r="J597" s="110" t="inlineStr">
        <is>
          <t>CARGUEROS</t>
        </is>
      </c>
      <c r="K597" s="113" t="n"/>
      <c r="L597" s="114" t="n"/>
      <c r="M597" s="115" t="n"/>
    </row>
    <row r="598" ht="15.75" customHeight="1">
      <c r="A598" s="46" t="n">
        <v>45736</v>
      </c>
      <c r="B598" s="10" t="n">
        <v>3</v>
      </c>
      <c r="C598" s="21" t="inlineStr">
        <is>
          <t>SAN JOSE</t>
        </is>
      </c>
      <c r="D598" s="12" t="n">
        <v>3159</v>
      </c>
      <c r="E598" s="12" t="n">
        <v>360</v>
      </c>
      <c r="F598" s="13" t="n"/>
      <c r="G598" s="22" t="n"/>
      <c r="H598" s="22" t="n"/>
      <c r="I598" s="22" t="inlineStr">
        <is>
          <t>MANIGUA</t>
        </is>
      </c>
      <c r="J598" s="110" t="inlineStr">
        <is>
          <t>CARGUEROS</t>
        </is>
      </c>
      <c r="K598" s="113" t="n"/>
      <c r="L598" s="114" t="n"/>
      <c r="M598" s="115" t="n"/>
    </row>
    <row r="599" ht="15.75" customHeight="1">
      <c r="A599" s="67" t="n">
        <v>45736</v>
      </c>
      <c r="B599" s="27" t="n">
        <v>4</v>
      </c>
      <c r="C599" s="28" t="inlineStr">
        <is>
          <t>SAN JOSE</t>
        </is>
      </c>
      <c r="D599" s="29" t="n">
        <v>3159</v>
      </c>
      <c r="E599" s="29" t="n">
        <v>324</v>
      </c>
      <c r="F599" s="30" t="n"/>
      <c r="G599" s="32" t="n"/>
      <c r="H599" s="32" t="n"/>
      <c r="I599" s="32" t="inlineStr">
        <is>
          <t>MANIGUA</t>
        </is>
      </c>
      <c r="J599" s="116" t="inlineStr">
        <is>
          <t>CARGUEROS</t>
        </is>
      </c>
      <c r="K599" s="113" t="n"/>
      <c r="L599" s="114" t="n"/>
      <c r="M599" s="115" t="n"/>
    </row>
    <row r="600" ht="15.75" customHeight="1">
      <c r="A600" s="36" t="n">
        <v>45737</v>
      </c>
      <c r="B600" s="37" t="n">
        <v>1</v>
      </c>
      <c r="C600" s="38" t="inlineStr">
        <is>
          <t>SAN JOSE</t>
        </is>
      </c>
      <c r="D600" s="39" t="n">
        <v>3395</v>
      </c>
      <c r="E600" s="39" t="n">
        <v>324</v>
      </c>
      <c r="F600" s="40" t="n"/>
      <c r="G600" s="42" t="n"/>
      <c r="H600" s="42" t="n"/>
      <c r="I600" s="42" t="inlineStr">
        <is>
          <t>MANIGUA</t>
        </is>
      </c>
      <c r="J600" s="108" t="inlineStr">
        <is>
          <t>CARGUEROS</t>
        </is>
      </c>
      <c r="K600" s="113" t="n"/>
      <c r="L600" s="114" t="n"/>
      <c r="M600" s="115" t="n"/>
    </row>
    <row r="601" ht="15.75" customHeight="1">
      <c r="A601" s="46" t="n">
        <v>45737</v>
      </c>
      <c r="B601" s="10" t="n">
        <v>2</v>
      </c>
      <c r="C601" s="21" t="inlineStr">
        <is>
          <t>SAN JOSE</t>
        </is>
      </c>
      <c r="D601" s="12" t="n">
        <v>3395</v>
      </c>
      <c r="E601" s="12" t="n">
        <v>324</v>
      </c>
      <c r="F601" s="13" t="n"/>
      <c r="G601" s="22" t="n"/>
      <c r="H601" s="22" t="n"/>
      <c r="I601" s="22" t="inlineStr">
        <is>
          <t>MANIGUA</t>
        </is>
      </c>
      <c r="J601" s="110" t="inlineStr">
        <is>
          <t>CARGUEROS</t>
        </is>
      </c>
      <c r="K601" s="113" t="n"/>
      <c r="L601" s="114" t="n"/>
      <c r="M601" s="115" t="n"/>
    </row>
    <row r="602" ht="15.75" customHeight="1">
      <c r="A602" s="46" t="n">
        <v>45737</v>
      </c>
      <c r="B602" s="10" t="n">
        <v>3</v>
      </c>
      <c r="C602" s="21" t="inlineStr">
        <is>
          <t>SAN JOSE</t>
        </is>
      </c>
      <c r="D602" s="12" t="n">
        <v>3395</v>
      </c>
      <c r="E602" s="12" t="n">
        <v>324</v>
      </c>
      <c r="F602" s="13" t="n"/>
      <c r="G602" s="22" t="n"/>
      <c r="H602" s="22" t="n"/>
      <c r="I602" s="22" t="inlineStr">
        <is>
          <t>MANIGUA</t>
        </is>
      </c>
      <c r="J602" s="110" t="inlineStr">
        <is>
          <t>CARGUEROS</t>
        </is>
      </c>
      <c r="K602" s="113" t="n"/>
      <c r="L602" s="114" t="n"/>
      <c r="M602" s="115" t="n"/>
    </row>
    <row r="603" ht="15.75" customHeight="1">
      <c r="A603" s="46" t="n">
        <v>45737</v>
      </c>
      <c r="B603" s="10" t="n">
        <v>4</v>
      </c>
      <c r="C603" s="21" t="inlineStr">
        <is>
          <t>SAN JOSE</t>
        </is>
      </c>
      <c r="D603" s="12" t="n">
        <v>3008</v>
      </c>
      <c r="E603" s="12" t="n">
        <v>324</v>
      </c>
      <c r="F603" s="13" t="n"/>
      <c r="G603" s="22" t="n"/>
      <c r="H603" s="22" t="n"/>
      <c r="I603" s="22" t="inlineStr">
        <is>
          <t>MANIGUA</t>
        </is>
      </c>
      <c r="J603" s="110" t="inlineStr">
        <is>
          <t>CARGUEROS</t>
        </is>
      </c>
      <c r="K603" s="113" t="n"/>
      <c r="L603" s="114" t="n"/>
      <c r="M603" s="115" t="n"/>
    </row>
    <row r="604" ht="15.75" customHeight="1">
      <c r="A604" s="46" t="n">
        <v>45737</v>
      </c>
      <c r="B604" s="10" t="n">
        <v>5</v>
      </c>
      <c r="C604" s="21" t="inlineStr">
        <is>
          <t>SAN JOSE</t>
        </is>
      </c>
      <c r="D604" s="12" t="n">
        <v>3008</v>
      </c>
      <c r="E604" s="12" t="n">
        <v>360</v>
      </c>
      <c r="F604" s="13" t="n"/>
      <c r="G604" s="22" t="n"/>
      <c r="H604" s="22" t="n"/>
      <c r="I604" s="22" t="inlineStr">
        <is>
          <t>MANIGUA</t>
        </is>
      </c>
      <c r="J604" s="110" t="inlineStr">
        <is>
          <t>CARGUEROS</t>
        </is>
      </c>
      <c r="K604" s="113" t="n"/>
      <c r="L604" s="114" t="n"/>
      <c r="M604" s="115" t="n"/>
    </row>
    <row r="605" ht="15.75" customHeight="1">
      <c r="A605" s="67" t="n">
        <v>45737</v>
      </c>
      <c r="B605" s="27" t="n">
        <v>6</v>
      </c>
      <c r="C605" s="28" t="inlineStr">
        <is>
          <t>SAN JOSE</t>
        </is>
      </c>
      <c r="D605" s="29" t="n">
        <v>3008</v>
      </c>
      <c r="E605" s="29" t="n">
        <v>324</v>
      </c>
      <c r="F605" s="30" t="n"/>
      <c r="G605" s="32" t="n"/>
      <c r="H605" s="32" t="n"/>
      <c r="I605" s="32" t="inlineStr">
        <is>
          <t>MANIGUA</t>
        </is>
      </c>
      <c r="J605" s="116" t="inlineStr">
        <is>
          <t>CARGUEROS</t>
        </is>
      </c>
      <c r="K605" s="113" t="n"/>
      <c r="L605" s="114" t="n"/>
      <c r="M605" s="115" t="n"/>
    </row>
    <row r="606" ht="15.75" customHeight="1">
      <c r="A606" s="36" t="n">
        <v>45739</v>
      </c>
      <c r="B606" s="37" t="n">
        <v>1</v>
      </c>
      <c r="C606" s="38" t="inlineStr">
        <is>
          <t>SAN JOSE</t>
        </is>
      </c>
      <c r="D606" s="39" t="n">
        <v>3012</v>
      </c>
      <c r="E606" s="39" t="n">
        <v>324</v>
      </c>
      <c r="F606" s="40" t="n"/>
      <c r="G606" s="41" t="n">
        <v>0.875</v>
      </c>
      <c r="H606" s="42" t="n"/>
      <c r="I606" s="42" t="inlineStr">
        <is>
          <t>MANIGUA</t>
        </is>
      </c>
      <c r="J606" s="108" t="inlineStr">
        <is>
          <t>CARGUEROS</t>
        </is>
      </c>
      <c r="K606" s="113" t="n"/>
      <c r="L606" s="114" t="n"/>
      <c r="M606" s="115" t="n"/>
    </row>
    <row r="607" ht="15.75" customHeight="1">
      <c r="A607" s="46" t="n">
        <v>45739</v>
      </c>
      <c r="B607" s="10" t="n">
        <v>2</v>
      </c>
      <c r="C607" s="21" t="inlineStr">
        <is>
          <t>SAN JOSE</t>
        </is>
      </c>
      <c r="D607" s="12" t="n">
        <v>3012</v>
      </c>
      <c r="E607" s="12" t="n">
        <v>324</v>
      </c>
      <c r="F607" s="13" t="n"/>
      <c r="G607" s="22" t="n"/>
      <c r="H607" s="22" t="n"/>
      <c r="I607" s="22" t="inlineStr">
        <is>
          <t>MANIGUA</t>
        </is>
      </c>
      <c r="J607" s="110" t="inlineStr">
        <is>
          <t>CARGUEROS</t>
        </is>
      </c>
      <c r="K607" s="113" t="n"/>
      <c r="L607" s="114" t="n"/>
      <c r="M607" s="115" t="n"/>
    </row>
    <row r="608" ht="15.75" customHeight="1">
      <c r="A608" s="46" t="n">
        <v>45739</v>
      </c>
      <c r="B608" s="10" t="n">
        <v>3</v>
      </c>
      <c r="C608" s="21" t="inlineStr">
        <is>
          <t>SAN JOSE</t>
        </is>
      </c>
      <c r="D608" s="12" t="n">
        <v>3012</v>
      </c>
      <c r="E608" s="12" t="n">
        <v>324</v>
      </c>
      <c r="F608" s="13" t="n"/>
      <c r="G608" s="22" t="n"/>
      <c r="H608" s="22" t="n"/>
      <c r="I608" s="22" t="inlineStr">
        <is>
          <t>MANIGUA</t>
        </is>
      </c>
      <c r="J608" s="110" t="inlineStr">
        <is>
          <t>CARGUEROS</t>
        </is>
      </c>
      <c r="K608" s="113" t="n"/>
      <c r="L608" s="114" t="n"/>
      <c r="M608" s="115" t="n"/>
    </row>
    <row r="609" ht="15.75" customHeight="1">
      <c r="A609" s="46" t="n">
        <v>45739</v>
      </c>
      <c r="B609" s="10" t="n">
        <v>4</v>
      </c>
      <c r="C609" s="21" t="inlineStr">
        <is>
          <t>SAN JOSE</t>
        </is>
      </c>
      <c r="D609" s="12" t="n">
        <v>3309</v>
      </c>
      <c r="E609" s="12" t="n">
        <v>324</v>
      </c>
      <c r="F609" s="13" t="n"/>
      <c r="G609" s="22" t="n"/>
      <c r="H609" s="22" t="n"/>
      <c r="I609" s="22" t="inlineStr">
        <is>
          <t>MANIGUA</t>
        </is>
      </c>
      <c r="J609" s="110" t="inlineStr">
        <is>
          <t>CARGUEROS</t>
        </is>
      </c>
      <c r="K609" s="113" t="n"/>
      <c r="L609" s="114" t="n"/>
      <c r="M609" s="115" t="n"/>
    </row>
    <row r="610" ht="15.75" customHeight="1">
      <c r="A610" s="46" t="n">
        <v>45739</v>
      </c>
      <c r="B610" s="10" t="n">
        <v>5</v>
      </c>
      <c r="C610" s="21" t="inlineStr">
        <is>
          <t>SAN JOSE</t>
        </is>
      </c>
      <c r="D610" s="12" t="n">
        <v>3309</v>
      </c>
      <c r="E610" s="12" t="n">
        <v>324</v>
      </c>
      <c r="F610" s="13" t="n"/>
      <c r="G610" s="22" t="n"/>
      <c r="H610" s="22" t="n"/>
      <c r="I610" s="22" t="inlineStr">
        <is>
          <t>MANIGUA</t>
        </is>
      </c>
      <c r="J610" s="110" t="inlineStr">
        <is>
          <t>CARGUEROS</t>
        </is>
      </c>
      <c r="K610" s="113" t="n"/>
      <c r="L610" s="114" t="n"/>
      <c r="M610" s="115" t="n"/>
    </row>
    <row r="611" ht="15.75" customHeight="1">
      <c r="A611" s="46" t="n">
        <v>45739</v>
      </c>
      <c r="B611" s="10" t="n">
        <v>6</v>
      </c>
      <c r="C611" s="21" t="inlineStr">
        <is>
          <t>SAN JOSE</t>
        </is>
      </c>
      <c r="D611" s="12" t="n">
        <v>3309</v>
      </c>
      <c r="E611" s="12" t="n">
        <v>360</v>
      </c>
      <c r="F611" s="13" t="n"/>
      <c r="G611" s="22" t="n"/>
      <c r="H611" s="22" t="n"/>
      <c r="I611" s="22" t="inlineStr">
        <is>
          <t>MANIGUA</t>
        </is>
      </c>
      <c r="J611" s="110" t="inlineStr">
        <is>
          <t>CARGUEROS</t>
        </is>
      </c>
      <c r="K611" s="113" t="n"/>
      <c r="L611" s="114" t="n"/>
      <c r="M611" s="115" t="n"/>
    </row>
    <row r="612" ht="15.75" customHeight="1">
      <c r="A612" s="46" t="n">
        <v>45739</v>
      </c>
      <c r="B612" s="10" t="n">
        <v>7</v>
      </c>
      <c r="C612" s="21" t="inlineStr">
        <is>
          <t>SAN JOSE</t>
        </is>
      </c>
      <c r="D612" s="12" t="n">
        <v>3348</v>
      </c>
      <c r="E612" s="12" t="n">
        <v>360</v>
      </c>
      <c r="F612" s="13" t="n"/>
      <c r="G612" s="22" t="n"/>
      <c r="H612" s="22" t="n"/>
      <c r="I612" s="22" t="inlineStr">
        <is>
          <t>MANIGUA</t>
        </is>
      </c>
      <c r="J612" s="110" t="inlineStr">
        <is>
          <t>CARGUEROS</t>
        </is>
      </c>
      <c r="K612" s="113" t="n"/>
      <c r="L612" s="114" t="n"/>
      <c r="M612" s="115" t="n"/>
    </row>
    <row r="613" ht="15.75" customHeight="1">
      <c r="A613" s="46" t="n">
        <v>45739</v>
      </c>
      <c r="B613" s="10" t="n">
        <v>8</v>
      </c>
      <c r="C613" s="21" t="inlineStr">
        <is>
          <t>SAN JOSE</t>
        </is>
      </c>
      <c r="D613" s="12" t="n">
        <v>3354</v>
      </c>
      <c r="E613" s="12" t="n">
        <v>324</v>
      </c>
      <c r="F613" s="13" t="n"/>
      <c r="G613" s="22" t="n"/>
      <c r="H613" s="22" t="n"/>
      <c r="I613" s="22" t="inlineStr">
        <is>
          <t>MANIGUA</t>
        </is>
      </c>
      <c r="J613" s="110" t="inlineStr">
        <is>
          <t>CARGUEROS</t>
        </is>
      </c>
      <c r="K613" s="113" t="n"/>
      <c r="L613" s="114" t="n"/>
      <c r="M613" s="115" t="n"/>
    </row>
    <row r="614" ht="15.75" customHeight="1">
      <c r="A614" s="67" t="n">
        <v>45739</v>
      </c>
      <c r="B614" s="27" t="n">
        <v>9</v>
      </c>
      <c r="C614" s="28" t="inlineStr">
        <is>
          <t>SAN JOSE</t>
        </is>
      </c>
      <c r="D614" s="29" t="n">
        <v>3354</v>
      </c>
      <c r="E614" s="29" t="n">
        <v>324</v>
      </c>
      <c r="F614" s="30" t="n"/>
      <c r="G614" s="32" t="n"/>
      <c r="H614" s="32" t="n"/>
      <c r="I614" s="32" t="inlineStr">
        <is>
          <t>MANIGUA</t>
        </is>
      </c>
      <c r="J614" s="116" t="inlineStr">
        <is>
          <t>CARGUEROS</t>
        </is>
      </c>
      <c r="K614" s="113" t="n"/>
      <c r="L614" s="114" t="n"/>
      <c r="M614" s="115" t="n"/>
    </row>
    <row r="615" ht="15.75" customHeight="1">
      <c r="A615" s="36" t="n">
        <v>45741</v>
      </c>
      <c r="B615" s="37" t="n">
        <v>1</v>
      </c>
      <c r="C615" s="38" t="inlineStr">
        <is>
          <t>SAN JOSE</t>
        </is>
      </c>
      <c r="D615" s="39" t="n">
        <v>3256</v>
      </c>
      <c r="E615" s="39" t="n">
        <v>324</v>
      </c>
      <c r="F615" s="40" t="n"/>
      <c r="G615" s="41" t="n">
        <v>0.02083333333333333</v>
      </c>
      <c r="H615" s="42" t="n"/>
      <c r="I615" s="42" t="inlineStr">
        <is>
          <t>MANIGUA</t>
        </is>
      </c>
      <c r="J615" s="108" t="inlineStr">
        <is>
          <t>CARGUEROS</t>
        </is>
      </c>
      <c r="K615" s="113" t="n"/>
      <c r="L615" s="114" t="n"/>
      <c r="M615" s="115" t="n"/>
    </row>
    <row r="616" ht="15.75" customHeight="1">
      <c r="A616" s="46" t="n">
        <v>45741</v>
      </c>
      <c r="B616" s="10" t="n">
        <v>2</v>
      </c>
      <c r="C616" s="21" t="inlineStr">
        <is>
          <t>SAN JOSE</t>
        </is>
      </c>
      <c r="D616" s="12" t="n">
        <v>3256</v>
      </c>
      <c r="E616" s="12" t="n">
        <v>324</v>
      </c>
      <c r="F616" s="13" t="n"/>
      <c r="G616" s="22" t="n"/>
      <c r="H616" s="22" t="n"/>
      <c r="I616" s="22" t="inlineStr">
        <is>
          <t>MANIGUA</t>
        </is>
      </c>
      <c r="J616" s="110" t="inlineStr">
        <is>
          <t>CARGUEROS</t>
        </is>
      </c>
      <c r="K616" s="113" t="n"/>
      <c r="L616" s="114" t="n"/>
      <c r="M616" s="115" t="n"/>
    </row>
    <row r="617" ht="15.75" customHeight="1">
      <c r="A617" s="46" t="n">
        <v>45741</v>
      </c>
      <c r="B617" s="10" t="n">
        <v>3</v>
      </c>
      <c r="C617" s="21" t="inlineStr">
        <is>
          <t>SAN JOSE</t>
        </is>
      </c>
      <c r="D617" s="12" t="n">
        <v>3256</v>
      </c>
      <c r="E617" s="12" t="n">
        <v>324</v>
      </c>
      <c r="F617" s="13" t="n"/>
      <c r="G617" s="22" t="n"/>
      <c r="H617" s="22" t="n"/>
      <c r="I617" s="22" t="inlineStr">
        <is>
          <t>MANIGUA</t>
        </is>
      </c>
      <c r="J617" s="110" t="inlineStr">
        <is>
          <t>CARGUEROS</t>
        </is>
      </c>
      <c r="K617" s="113" t="n"/>
      <c r="L617" s="114" t="n"/>
      <c r="M617" s="115" t="n"/>
    </row>
    <row r="618" ht="15.75" customHeight="1">
      <c r="A618" s="46" t="n">
        <v>45741</v>
      </c>
      <c r="B618" s="10" t="n">
        <v>4</v>
      </c>
      <c r="C618" s="21" t="inlineStr">
        <is>
          <t>SAN JOSE</t>
        </is>
      </c>
      <c r="D618" s="12" t="n">
        <v>3256</v>
      </c>
      <c r="E618" s="12" t="n">
        <v>360</v>
      </c>
      <c r="F618" s="13" t="n"/>
      <c r="G618" s="22" t="n"/>
      <c r="H618" s="22" t="n"/>
      <c r="I618" s="22" t="inlineStr">
        <is>
          <t>MANIGUA</t>
        </is>
      </c>
      <c r="J618" s="110" t="inlineStr">
        <is>
          <t>CARGUEROS</t>
        </is>
      </c>
      <c r="K618" s="113" t="n"/>
      <c r="L618" s="114" t="n"/>
      <c r="M618" s="115" t="n"/>
    </row>
    <row r="619" ht="15.75" customHeight="1">
      <c r="A619" s="46" t="n">
        <v>45741</v>
      </c>
      <c r="B619" s="10" t="n">
        <v>5</v>
      </c>
      <c r="C619" s="21" t="inlineStr">
        <is>
          <t>SAN JOSE</t>
        </is>
      </c>
      <c r="D619" s="12" t="n">
        <v>3354</v>
      </c>
      <c r="E619" s="12" t="n">
        <v>324</v>
      </c>
      <c r="F619" s="13" t="n"/>
      <c r="G619" s="22" t="n"/>
      <c r="H619" s="22" t="n"/>
      <c r="I619" s="22" t="inlineStr">
        <is>
          <t>MANIGUA</t>
        </is>
      </c>
      <c r="J619" s="110" t="inlineStr">
        <is>
          <t>CARGUEROS</t>
        </is>
      </c>
      <c r="K619" s="113" t="n"/>
      <c r="L619" s="114" t="n"/>
      <c r="M619" s="115" t="n"/>
    </row>
    <row r="620" ht="15.75" customHeight="1">
      <c r="A620" s="46" t="n">
        <v>45741</v>
      </c>
      <c r="B620" s="10" t="n">
        <v>6</v>
      </c>
      <c r="C620" s="21" t="inlineStr">
        <is>
          <t>SAN JOSE</t>
        </is>
      </c>
      <c r="D620" s="12" t="n">
        <v>3354</v>
      </c>
      <c r="E620" s="12" t="n">
        <v>360</v>
      </c>
      <c r="F620" s="13" t="n"/>
      <c r="G620" s="22" t="n"/>
      <c r="H620" s="22" t="n"/>
      <c r="I620" s="22" t="inlineStr">
        <is>
          <t>MANIGUA</t>
        </is>
      </c>
      <c r="J620" s="110" t="inlineStr">
        <is>
          <t>CARGUEROS</t>
        </is>
      </c>
      <c r="K620" s="113" t="n"/>
      <c r="L620" s="114" t="n"/>
      <c r="M620" s="115" t="n"/>
    </row>
    <row r="621" ht="15.75" customHeight="1">
      <c r="A621" s="46" t="n">
        <v>45741</v>
      </c>
      <c r="B621" s="10" t="n">
        <v>7</v>
      </c>
      <c r="C621" s="21" t="inlineStr">
        <is>
          <t>SAN JOSE</t>
        </is>
      </c>
      <c r="D621" s="12" t="n">
        <v>3348</v>
      </c>
      <c r="E621" s="12" t="n">
        <v>324</v>
      </c>
      <c r="F621" s="13" t="n"/>
      <c r="G621" s="22" t="n"/>
      <c r="H621" s="22" t="n"/>
      <c r="I621" s="22" t="inlineStr">
        <is>
          <t>MANIGUA</t>
        </is>
      </c>
      <c r="J621" s="110" t="inlineStr">
        <is>
          <t>CARGUEROS</t>
        </is>
      </c>
      <c r="K621" s="113" t="n"/>
      <c r="L621" s="114" t="n"/>
      <c r="M621" s="115" t="n"/>
    </row>
    <row r="622" ht="15.75" customHeight="1">
      <c r="A622" s="46" t="n">
        <v>45741</v>
      </c>
      <c r="B622" s="10" t="n">
        <v>8</v>
      </c>
      <c r="C622" s="21" t="inlineStr">
        <is>
          <t>SAN JOSE</t>
        </is>
      </c>
      <c r="D622" s="12" t="n">
        <v>3348</v>
      </c>
      <c r="E622" s="12" t="n">
        <v>324</v>
      </c>
      <c r="F622" s="13" t="n"/>
      <c r="G622" s="22" t="n"/>
      <c r="H622" s="22" t="n"/>
      <c r="I622" s="22" t="inlineStr">
        <is>
          <t>MANIGUA</t>
        </is>
      </c>
      <c r="J622" s="110" t="inlineStr">
        <is>
          <t>CARGUEROS</t>
        </is>
      </c>
      <c r="K622" s="113" t="n"/>
      <c r="L622" s="114" t="n"/>
      <c r="M622" s="115" t="n"/>
    </row>
    <row r="623" ht="15.75" customHeight="1">
      <c r="A623" s="46" t="n">
        <v>45741</v>
      </c>
      <c r="B623" s="10" t="n">
        <v>9</v>
      </c>
      <c r="C623" s="21" t="inlineStr">
        <is>
          <t>SAN JOSE</t>
        </is>
      </c>
      <c r="D623" s="12" t="n">
        <v>2805</v>
      </c>
      <c r="E623" s="12" t="n">
        <v>324</v>
      </c>
      <c r="F623" s="13" t="n"/>
      <c r="G623" s="22" t="n"/>
      <c r="H623" s="22" t="n"/>
      <c r="I623" s="22" t="inlineStr">
        <is>
          <t>MANIGUA</t>
        </is>
      </c>
      <c r="J623" s="110" t="inlineStr">
        <is>
          <t>CARGUEROS</t>
        </is>
      </c>
      <c r="K623" s="113" t="n"/>
      <c r="L623" s="114" t="n"/>
      <c r="M623" s="115" t="n"/>
    </row>
    <row r="624" ht="15.75" customHeight="1">
      <c r="A624" s="46" t="n">
        <v>45741</v>
      </c>
      <c r="B624" s="10" t="n">
        <v>10</v>
      </c>
      <c r="C624" s="21" t="inlineStr">
        <is>
          <t>SAN JOSE</t>
        </is>
      </c>
      <c r="D624" s="12" t="n">
        <v>3102</v>
      </c>
      <c r="E624" s="12" t="n">
        <v>324</v>
      </c>
      <c r="F624" s="13" t="n"/>
      <c r="G624" s="22" t="n"/>
      <c r="H624" s="22" t="n"/>
      <c r="I624" s="22" t="inlineStr">
        <is>
          <t>MANIGUA</t>
        </is>
      </c>
      <c r="J624" s="110" t="inlineStr">
        <is>
          <t>CARGUEROS</t>
        </is>
      </c>
      <c r="K624" s="113" t="n"/>
      <c r="L624" s="114" t="n"/>
      <c r="M624" s="115" t="n"/>
    </row>
    <row r="625" ht="15.75" customHeight="1">
      <c r="A625" s="46" t="n">
        <v>45741</v>
      </c>
      <c r="B625" s="10" t="n">
        <v>11</v>
      </c>
      <c r="C625" s="21" t="inlineStr">
        <is>
          <t>SAN JOSE</t>
        </is>
      </c>
      <c r="D625" s="12" t="n">
        <v>3012</v>
      </c>
      <c r="E625" s="12" t="n">
        <v>360</v>
      </c>
      <c r="F625" s="13" t="n"/>
      <c r="G625" s="22" t="n"/>
      <c r="H625" s="22" t="n"/>
      <c r="I625" s="22" t="inlineStr">
        <is>
          <t>MANIGUA</t>
        </is>
      </c>
      <c r="J625" s="110" t="inlineStr">
        <is>
          <t>CARGUEROS</t>
        </is>
      </c>
      <c r="K625" s="113" t="n"/>
      <c r="L625" s="114" t="n"/>
      <c r="M625" s="115" t="n"/>
    </row>
    <row r="626" ht="15.75" customHeight="1">
      <c r="A626" s="46" t="n">
        <v>45741</v>
      </c>
      <c r="B626" s="10" t="n">
        <v>12</v>
      </c>
      <c r="C626" s="21" t="inlineStr">
        <is>
          <t>SAN JOSE</t>
        </is>
      </c>
      <c r="D626" s="12" t="n">
        <v>3012</v>
      </c>
      <c r="E626" s="12" t="n">
        <v>324</v>
      </c>
      <c r="F626" s="13" t="n"/>
      <c r="G626" s="22" t="n"/>
      <c r="H626" s="22" t="n"/>
      <c r="I626" s="22" t="inlineStr">
        <is>
          <t>MANIGUA</t>
        </is>
      </c>
      <c r="J626" s="110" t="inlineStr">
        <is>
          <t>CARGUEROS</t>
        </is>
      </c>
      <c r="K626" s="113" t="n"/>
      <c r="L626" s="114" t="n"/>
      <c r="M626" s="115" t="n"/>
    </row>
    <row r="627" ht="15.75" customHeight="1">
      <c r="A627" s="46" t="n">
        <v>45741</v>
      </c>
      <c r="B627" s="10" t="n">
        <v>13</v>
      </c>
      <c r="C627" s="21" t="inlineStr">
        <is>
          <t>SAN JOSE</t>
        </is>
      </c>
      <c r="D627" s="12" t="n">
        <v>2805</v>
      </c>
      <c r="E627" s="12" t="n">
        <v>360</v>
      </c>
      <c r="F627" s="13" t="n"/>
      <c r="G627" s="22" t="n"/>
      <c r="H627" s="22" t="n"/>
      <c r="I627" s="22" t="inlineStr">
        <is>
          <t>MANIGUA</t>
        </is>
      </c>
      <c r="J627" s="110" t="inlineStr">
        <is>
          <t>CARGUEROS</t>
        </is>
      </c>
      <c r="K627" s="113" t="n"/>
      <c r="L627" s="114" t="n"/>
      <c r="M627" s="115" t="n"/>
    </row>
    <row r="628" ht="15.75" customHeight="1">
      <c r="A628" s="46" t="n">
        <v>45741</v>
      </c>
      <c r="B628" s="10" t="n">
        <v>14</v>
      </c>
      <c r="C628" s="21" t="inlineStr">
        <is>
          <t>SAN JOSE</t>
        </is>
      </c>
      <c r="D628" s="12" t="n">
        <v>2805</v>
      </c>
      <c r="E628" s="12" t="n">
        <v>324</v>
      </c>
      <c r="F628" s="13" t="n"/>
      <c r="G628" s="22" t="n"/>
      <c r="H628" s="22" t="n"/>
      <c r="I628" s="22" t="inlineStr">
        <is>
          <t>MANIGUA</t>
        </is>
      </c>
      <c r="J628" s="110" t="inlineStr">
        <is>
          <t>CARGUEROS</t>
        </is>
      </c>
      <c r="K628" s="113" t="n"/>
      <c r="L628" s="114" t="n"/>
      <c r="M628" s="115" t="n"/>
    </row>
    <row r="629" ht="15.75" customHeight="1">
      <c r="A629" s="67" t="n">
        <v>45741</v>
      </c>
      <c r="B629" s="27" t="n">
        <v>15</v>
      </c>
      <c r="C629" s="28" t="inlineStr">
        <is>
          <t>SAN JOSE</t>
        </is>
      </c>
      <c r="D629" s="29" t="n">
        <v>2805</v>
      </c>
      <c r="E629" s="29" t="n">
        <v>324</v>
      </c>
      <c r="F629" s="30" t="n"/>
      <c r="G629" s="32" t="n"/>
      <c r="H629" s="32" t="n"/>
      <c r="I629" s="32" t="inlineStr">
        <is>
          <t>MANIGUA</t>
        </is>
      </c>
      <c r="J629" s="116" t="inlineStr">
        <is>
          <t>CARGUEROS</t>
        </is>
      </c>
      <c r="K629" s="113" t="n"/>
      <c r="L629" s="114" t="n"/>
      <c r="M629" s="115" t="n"/>
    </row>
    <row r="630" ht="15.75" customHeight="1">
      <c r="A630" s="117" t="n">
        <v>45742</v>
      </c>
      <c r="B630" s="37" t="n">
        <v>1</v>
      </c>
      <c r="C630" s="38" t="inlineStr">
        <is>
          <t>HUERTAS</t>
        </is>
      </c>
      <c r="D630" s="39" t="n">
        <v>2979</v>
      </c>
      <c r="E630" s="39" t="n">
        <v>360</v>
      </c>
      <c r="F630" s="40" t="n"/>
      <c r="G630" s="41" t="n">
        <v>0.0625</v>
      </c>
      <c r="H630" s="42" t="n"/>
      <c r="I630" s="42" t="inlineStr">
        <is>
          <t>MANIGUA</t>
        </is>
      </c>
      <c r="J630" s="108" t="inlineStr">
        <is>
          <t>ABONEROS</t>
        </is>
      </c>
      <c r="K630" s="113" t="n"/>
      <c r="L630" s="114" t="n"/>
      <c r="M630" s="115" t="n"/>
    </row>
    <row r="631" ht="15.75" customHeight="1">
      <c r="A631" s="46" t="n">
        <v>45742</v>
      </c>
      <c r="B631" s="10" t="n">
        <v>2</v>
      </c>
      <c r="C631" s="21" t="inlineStr">
        <is>
          <t>HUERTAS</t>
        </is>
      </c>
      <c r="D631" s="12" t="n">
        <v>2979</v>
      </c>
      <c r="E631" s="12" t="n">
        <v>324</v>
      </c>
      <c r="F631" s="13" t="n"/>
      <c r="G631" s="22" t="n"/>
      <c r="H631" s="22" t="n"/>
      <c r="I631" s="22" t="inlineStr">
        <is>
          <t>MANIGUA</t>
        </is>
      </c>
      <c r="J631" s="110" t="inlineStr">
        <is>
          <t>ABONEROS</t>
        </is>
      </c>
      <c r="K631" s="113" t="n"/>
      <c r="L631" s="114" t="n"/>
      <c r="M631" s="115" t="n"/>
    </row>
    <row r="632" ht="15.75" customHeight="1">
      <c r="A632" s="46" t="n">
        <v>45742</v>
      </c>
      <c r="B632" s="10" t="n">
        <v>3</v>
      </c>
      <c r="C632" s="21" t="inlineStr">
        <is>
          <t>HUERTAS</t>
        </is>
      </c>
      <c r="D632" s="12" t="n">
        <v>2979</v>
      </c>
      <c r="E632" s="12" t="n">
        <v>324</v>
      </c>
      <c r="F632" s="13" t="n"/>
      <c r="G632" s="22" t="n"/>
      <c r="H632" s="22" t="n"/>
      <c r="I632" s="22" t="inlineStr">
        <is>
          <t>MANIGUA</t>
        </is>
      </c>
      <c r="J632" s="110" t="inlineStr">
        <is>
          <t>ABONEROS</t>
        </is>
      </c>
      <c r="K632" s="113" t="n"/>
      <c r="L632" s="114" t="n"/>
      <c r="M632" s="115" t="n"/>
    </row>
    <row r="633" ht="15.75" customHeight="1">
      <c r="A633" s="46" t="n">
        <v>45742</v>
      </c>
      <c r="B633" s="10" t="n">
        <v>1</v>
      </c>
      <c r="C633" s="21" t="inlineStr">
        <is>
          <t>SAN JOSE</t>
        </is>
      </c>
      <c r="D633" s="12" t="n">
        <v>3167</v>
      </c>
      <c r="E633" s="12" t="n">
        <v>324</v>
      </c>
      <c r="F633" s="13" t="n"/>
      <c r="G633" s="25" t="n">
        <v>0.1041666666666667</v>
      </c>
      <c r="H633" s="22" t="n"/>
      <c r="I633" s="22" t="inlineStr">
        <is>
          <t>MANIGUA</t>
        </is>
      </c>
      <c r="J633" s="110" t="inlineStr">
        <is>
          <t>CARGUEROS</t>
        </is>
      </c>
      <c r="K633" s="113" t="n"/>
      <c r="L633" s="114" t="n"/>
      <c r="M633" s="115" t="n"/>
    </row>
    <row r="634" ht="15.75" customHeight="1">
      <c r="A634" s="46" t="n">
        <v>45742</v>
      </c>
      <c r="B634" s="10" t="n">
        <v>2</v>
      </c>
      <c r="C634" s="21" t="inlineStr">
        <is>
          <t>SAN JOSE</t>
        </is>
      </c>
      <c r="D634" s="12" t="n">
        <v>3167</v>
      </c>
      <c r="E634" s="12" t="n">
        <v>324</v>
      </c>
      <c r="F634" s="13" t="n"/>
      <c r="G634" s="22" t="n"/>
      <c r="H634" s="22" t="n"/>
      <c r="I634" s="22" t="inlineStr">
        <is>
          <t>MANIGUA</t>
        </is>
      </c>
      <c r="J634" s="110" t="inlineStr">
        <is>
          <t>CARGUEROS</t>
        </is>
      </c>
      <c r="K634" s="113" t="n"/>
      <c r="L634" s="114" t="n"/>
      <c r="M634" s="115" t="n"/>
    </row>
    <row r="635" ht="15.75" customHeight="1">
      <c r="A635" s="46" t="n">
        <v>45742</v>
      </c>
      <c r="B635" s="10" t="n">
        <v>3</v>
      </c>
      <c r="C635" s="21" t="inlineStr">
        <is>
          <t>SAN JOSE</t>
        </is>
      </c>
      <c r="D635" s="12" t="n">
        <v>3167</v>
      </c>
      <c r="E635" s="12" t="n">
        <v>324</v>
      </c>
      <c r="F635" s="13" t="n"/>
      <c r="G635" s="22" t="n"/>
      <c r="H635" s="22" t="n"/>
      <c r="I635" s="22" t="inlineStr">
        <is>
          <t>MANIGUA</t>
        </is>
      </c>
      <c r="J635" s="110" t="inlineStr">
        <is>
          <t>CARGUEROS</t>
        </is>
      </c>
      <c r="K635" s="113" t="n"/>
      <c r="L635" s="114" t="n"/>
      <c r="M635" s="115" t="n"/>
    </row>
    <row r="636" ht="15.75" customHeight="1">
      <c r="A636" s="46" t="n">
        <v>45742</v>
      </c>
      <c r="B636" s="10" t="n">
        <v>4</v>
      </c>
      <c r="C636" s="21" t="inlineStr">
        <is>
          <t>SAN JOSE</t>
        </is>
      </c>
      <c r="D636" s="12" t="n">
        <v>3068</v>
      </c>
      <c r="E636" s="12" t="n">
        <v>324</v>
      </c>
      <c r="F636" s="13" t="n"/>
      <c r="G636" s="22" t="n"/>
      <c r="H636" s="22" t="n"/>
      <c r="I636" s="22" t="inlineStr">
        <is>
          <t>MANIGUA</t>
        </is>
      </c>
      <c r="J636" s="110" t="inlineStr">
        <is>
          <t>CARGUEROS</t>
        </is>
      </c>
      <c r="K636" s="113" t="n"/>
      <c r="L636" s="114" t="n"/>
      <c r="M636" s="115" t="n"/>
    </row>
    <row r="637" ht="15.75" customHeight="1">
      <c r="A637" s="46" t="n">
        <v>45742</v>
      </c>
      <c r="B637" s="10" t="n">
        <v>5</v>
      </c>
      <c r="C637" s="21" t="inlineStr">
        <is>
          <t>SAN JOSE</t>
        </is>
      </c>
      <c r="D637" s="12" t="n">
        <v>3068</v>
      </c>
      <c r="E637" s="12" t="n">
        <v>360</v>
      </c>
      <c r="F637" s="13" t="n"/>
      <c r="G637" s="22" t="n"/>
      <c r="H637" s="22" t="n"/>
      <c r="I637" s="22" t="inlineStr">
        <is>
          <t>MANIGUA</t>
        </is>
      </c>
      <c r="J637" s="110" t="inlineStr">
        <is>
          <t>CARGUEROS</t>
        </is>
      </c>
      <c r="K637" s="113" t="n"/>
      <c r="L637" s="114" t="n"/>
      <c r="M637" s="115" t="n"/>
    </row>
    <row r="638" ht="15.75" customHeight="1">
      <c r="A638" s="67" t="n">
        <v>45742</v>
      </c>
      <c r="B638" s="27" t="n">
        <v>6</v>
      </c>
      <c r="C638" s="28" t="inlineStr">
        <is>
          <t>SAN JOSE</t>
        </is>
      </c>
      <c r="D638" s="29" t="n">
        <v>3068</v>
      </c>
      <c r="E638" s="29" t="n">
        <v>324</v>
      </c>
      <c r="F638" s="30" t="n"/>
      <c r="G638" s="32" t="n"/>
      <c r="H638" s="32" t="n"/>
      <c r="I638" s="32" t="inlineStr">
        <is>
          <t>MANIGUA</t>
        </is>
      </c>
      <c r="J638" s="116" t="inlineStr">
        <is>
          <t>CARGUEROS</t>
        </is>
      </c>
      <c r="K638" s="113" t="n"/>
      <c r="L638" s="114" t="n"/>
      <c r="M638" s="115" t="n"/>
    </row>
    <row r="639" ht="15.75" customHeight="1">
      <c r="A639" s="36" t="n">
        <v>45744</v>
      </c>
      <c r="B639" s="37" t="n">
        <v>1</v>
      </c>
      <c r="C639" s="38" t="inlineStr">
        <is>
          <t>HUERTAS</t>
        </is>
      </c>
      <c r="D639" s="39" t="n">
        <v>3062</v>
      </c>
      <c r="E639" s="39" t="n">
        <v>324</v>
      </c>
      <c r="F639" s="40" t="n"/>
      <c r="G639" s="41" t="n">
        <v>0.9791666666666666</v>
      </c>
      <c r="H639" s="42" t="n"/>
      <c r="I639" s="42" t="inlineStr">
        <is>
          <t>MANIGUA</t>
        </is>
      </c>
      <c r="J639" s="108" t="inlineStr">
        <is>
          <t>ABONEROS</t>
        </is>
      </c>
      <c r="K639" s="113" t="n"/>
      <c r="L639" s="114" t="n"/>
      <c r="M639" s="115" t="n"/>
    </row>
    <row r="640" ht="15.75" customHeight="1">
      <c r="A640" s="46" t="n">
        <v>45744</v>
      </c>
      <c r="B640" s="10" t="n">
        <v>2</v>
      </c>
      <c r="C640" s="21" t="inlineStr">
        <is>
          <t>HUERTAS</t>
        </is>
      </c>
      <c r="D640" s="12" t="n">
        <v>3062</v>
      </c>
      <c r="E640" s="12" t="n">
        <v>324</v>
      </c>
      <c r="F640" s="13" t="n"/>
      <c r="G640" s="22" t="n"/>
      <c r="H640" s="22" t="n"/>
      <c r="I640" s="22" t="inlineStr">
        <is>
          <t>MANIGUA</t>
        </is>
      </c>
      <c r="J640" s="110" t="inlineStr">
        <is>
          <t>ABONEROS</t>
        </is>
      </c>
      <c r="K640" s="113" t="n"/>
      <c r="L640" s="114" t="n"/>
      <c r="M640" s="115" t="n"/>
    </row>
    <row r="641" ht="15.75" customHeight="1">
      <c r="A641" s="46" t="n">
        <v>45744</v>
      </c>
      <c r="B641" s="10" t="n">
        <v>3</v>
      </c>
      <c r="C641" s="21" t="inlineStr">
        <is>
          <t>HUERTAS</t>
        </is>
      </c>
      <c r="D641" s="12" t="n">
        <v>3062</v>
      </c>
      <c r="E641" s="12" t="n">
        <v>324</v>
      </c>
      <c r="F641" s="13" t="n"/>
      <c r="G641" s="22" t="n"/>
      <c r="H641" s="22" t="n"/>
      <c r="I641" s="22" t="inlineStr">
        <is>
          <t>MANIGUA</t>
        </is>
      </c>
      <c r="J641" s="110" t="inlineStr">
        <is>
          <t>ABONEROS</t>
        </is>
      </c>
      <c r="K641" s="113" t="n"/>
      <c r="L641" s="114" t="n"/>
      <c r="M641" s="115" t="n"/>
    </row>
    <row r="642" ht="15.75" customHeight="1">
      <c r="A642" s="46" t="n">
        <v>45744</v>
      </c>
      <c r="B642" s="10" t="n">
        <v>4</v>
      </c>
      <c r="C642" s="21" t="inlineStr">
        <is>
          <t>HUERTAS</t>
        </is>
      </c>
      <c r="D642" s="12" t="n">
        <v>3062</v>
      </c>
      <c r="E642" s="12" t="n">
        <v>324</v>
      </c>
      <c r="F642" s="13" t="n"/>
      <c r="G642" s="22" t="n"/>
      <c r="H642" s="22" t="n"/>
      <c r="I642" s="22" t="inlineStr">
        <is>
          <t>MANIGUA</t>
        </is>
      </c>
      <c r="J642" s="110" t="inlineStr">
        <is>
          <t>ABONEROS</t>
        </is>
      </c>
      <c r="K642" s="113" t="n"/>
      <c r="L642" s="114" t="n"/>
      <c r="M642" s="115" t="n"/>
    </row>
    <row r="643" ht="15.75" customHeight="1">
      <c r="A643" s="46" t="n">
        <v>45744</v>
      </c>
      <c r="B643" s="10" t="n">
        <v>1</v>
      </c>
      <c r="C643" s="21" t="inlineStr">
        <is>
          <t>GARCERAS</t>
        </is>
      </c>
      <c r="D643" s="12" t="n">
        <v>3609</v>
      </c>
      <c r="E643" s="12" t="n">
        <v>324</v>
      </c>
      <c r="F643" s="13" t="n"/>
      <c r="G643" s="25" t="n">
        <v>0.08333333333333333</v>
      </c>
      <c r="H643" s="22" t="n"/>
      <c r="I643" s="22" t="inlineStr">
        <is>
          <t>MANIGUA</t>
        </is>
      </c>
      <c r="J643" s="110" t="inlineStr">
        <is>
          <t>CARGUEROS</t>
        </is>
      </c>
      <c r="K643" s="113" t="n"/>
      <c r="L643" s="114" t="n"/>
      <c r="M643" s="115" t="n"/>
    </row>
    <row r="644" ht="15.75" customHeight="1">
      <c r="A644" s="46" t="n">
        <v>45744</v>
      </c>
      <c r="B644" s="10" t="n">
        <v>2</v>
      </c>
      <c r="C644" s="21" t="inlineStr">
        <is>
          <t>GARCERAS</t>
        </is>
      </c>
      <c r="D644" s="12" t="n">
        <v>3609</v>
      </c>
      <c r="E644" s="12" t="n">
        <v>360</v>
      </c>
      <c r="F644" s="13" t="n"/>
      <c r="G644" s="22" t="n"/>
      <c r="H644" s="22" t="n"/>
      <c r="I644" s="22" t="inlineStr">
        <is>
          <t>MANIGUA</t>
        </is>
      </c>
      <c r="J644" s="110" t="inlineStr">
        <is>
          <t>CARGUEROS</t>
        </is>
      </c>
      <c r="K644" s="113" t="n"/>
      <c r="L644" s="114" t="n"/>
      <c r="M644" s="115" t="n"/>
    </row>
    <row r="645" ht="15.75" customHeight="1">
      <c r="A645" s="46" t="n">
        <v>45744</v>
      </c>
      <c r="B645" s="10" t="n">
        <v>3</v>
      </c>
      <c r="C645" s="21" t="inlineStr">
        <is>
          <t>GARCERAS</t>
        </is>
      </c>
      <c r="D645" s="12" t="n">
        <v>3006</v>
      </c>
      <c r="E645" s="12" t="n">
        <v>324</v>
      </c>
      <c r="F645" s="13" t="n"/>
      <c r="G645" s="22" t="n"/>
      <c r="H645" s="22" t="n"/>
      <c r="I645" s="22" t="inlineStr">
        <is>
          <t>MANIGUA</t>
        </is>
      </c>
      <c r="J645" s="110" t="inlineStr">
        <is>
          <t>CARGUEROS</t>
        </is>
      </c>
      <c r="K645" s="113" t="n"/>
      <c r="L645" s="114" t="n"/>
      <c r="M645" s="115" t="n"/>
    </row>
    <row r="646" ht="15.75" customHeight="1">
      <c r="A646" s="46" t="n">
        <v>45744</v>
      </c>
      <c r="B646" s="10" t="n">
        <v>4</v>
      </c>
      <c r="C646" s="21" t="inlineStr">
        <is>
          <t>GARCERAS</t>
        </is>
      </c>
      <c r="D646" s="12" t="n">
        <v>3006</v>
      </c>
      <c r="E646" s="12" t="n">
        <v>324</v>
      </c>
      <c r="F646" s="13" t="n"/>
      <c r="G646" s="22" t="n"/>
      <c r="H646" s="22" t="n"/>
      <c r="I646" s="22" t="inlineStr">
        <is>
          <t>MANIGUA</t>
        </is>
      </c>
      <c r="J646" s="110" t="inlineStr">
        <is>
          <t>CARGUEROS</t>
        </is>
      </c>
      <c r="K646" s="113" t="n"/>
      <c r="L646" s="114" t="n"/>
      <c r="M646" s="115" t="n"/>
    </row>
    <row r="647" ht="15.75" customHeight="1">
      <c r="A647" s="50" t="n">
        <v>45744</v>
      </c>
      <c r="B647" s="51" t="n">
        <v>1</v>
      </c>
      <c r="C647" s="52" t="inlineStr">
        <is>
          <t>SAN JOSE</t>
        </is>
      </c>
      <c r="D647" s="53" t="n">
        <v>2860</v>
      </c>
      <c r="E647" s="53" t="n">
        <v>324</v>
      </c>
      <c r="F647" s="54" t="n"/>
      <c r="G647" s="55" t="n">
        <v>0.2916666666666667</v>
      </c>
      <c r="H647" s="56" t="n"/>
      <c r="I647" s="56" t="inlineStr">
        <is>
          <t>MANIGUA</t>
        </is>
      </c>
      <c r="J647" s="118" t="inlineStr">
        <is>
          <t>CARGUEROS</t>
        </is>
      </c>
      <c r="K647" s="113" t="n"/>
      <c r="L647" s="114" t="n"/>
      <c r="M647" s="115" t="n"/>
    </row>
    <row r="648" ht="15.75" customHeight="1">
      <c r="A648" s="106" t="n">
        <v>45745</v>
      </c>
      <c r="B648" s="87" t="n">
        <v>1</v>
      </c>
      <c r="C648" s="88" t="inlineStr">
        <is>
          <t>HUERTAS</t>
        </is>
      </c>
      <c r="D648" s="81" t="n">
        <v>3035</v>
      </c>
      <c r="E648" s="81" t="n"/>
      <c r="F648" s="95" t="n"/>
      <c r="G648" s="66" t="n"/>
      <c r="H648" s="89" t="n"/>
      <c r="I648" s="89" t="inlineStr">
        <is>
          <t>BOGOTA</t>
        </is>
      </c>
      <c r="J648" s="119" t="inlineStr">
        <is>
          <t>ABONEROS</t>
        </is>
      </c>
      <c r="K648" s="113" t="n"/>
      <c r="L648" s="114" t="n"/>
      <c r="M648" s="115" t="n"/>
    </row>
    <row r="649" ht="15.75" customHeight="1">
      <c r="A649" s="9" t="n">
        <v>45745</v>
      </c>
      <c r="B649" s="10" t="n">
        <v>2</v>
      </c>
      <c r="C649" s="21" t="inlineStr">
        <is>
          <t>HUERTAS</t>
        </is>
      </c>
      <c r="D649" s="12" t="n">
        <v>3035</v>
      </c>
      <c r="E649" s="12" t="n"/>
      <c r="F649" s="13" t="n"/>
      <c r="G649" s="22" t="n"/>
      <c r="H649" s="22" t="n"/>
      <c r="I649" s="22" t="inlineStr">
        <is>
          <t>BOGOTA</t>
        </is>
      </c>
      <c r="J649" s="22" t="inlineStr">
        <is>
          <t>ABONEROS</t>
        </is>
      </c>
      <c r="K649" s="113" t="n"/>
      <c r="L649" s="114" t="n"/>
      <c r="M649" s="115" t="n"/>
    </row>
    <row r="650" ht="15.75" customHeight="1">
      <c r="A650" s="9" t="n">
        <v>45745</v>
      </c>
      <c r="B650" s="10" t="n">
        <v>3</v>
      </c>
      <c r="C650" s="21" t="inlineStr">
        <is>
          <t>HUERTAS</t>
        </is>
      </c>
      <c r="D650" s="12" t="n">
        <v>3035</v>
      </c>
      <c r="E650" s="12" t="n"/>
      <c r="F650" s="13" t="n"/>
      <c r="G650" s="22" t="n"/>
      <c r="H650" s="22" t="n"/>
      <c r="I650" s="22" t="inlineStr">
        <is>
          <t>BOGOTA</t>
        </is>
      </c>
      <c r="J650" s="22" t="inlineStr">
        <is>
          <t>ABONEROS</t>
        </is>
      </c>
      <c r="K650" s="113" t="n"/>
      <c r="L650" s="114" t="n"/>
      <c r="M650" s="115" t="n"/>
    </row>
    <row r="651" ht="15.75" customHeight="1">
      <c r="A651" s="9" t="n">
        <v>45745</v>
      </c>
      <c r="B651" s="10" t="n">
        <v>4</v>
      </c>
      <c r="C651" s="21" t="inlineStr">
        <is>
          <t>HUERTAS</t>
        </is>
      </c>
      <c r="D651" s="12" t="n">
        <v>3035</v>
      </c>
      <c r="E651" s="12" t="n"/>
      <c r="F651" s="13" t="n"/>
      <c r="G651" s="22" t="n"/>
      <c r="H651" s="22" t="n"/>
      <c r="I651" s="22" t="inlineStr">
        <is>
          <t>BOGOTA</t>
        </is>
      </c>
      <c r="J651" s="22" t="inlineStr">
        <is>
          <t>ABONEROS</t>
        </is>
      </c>
      <c r="K651" s="113" t="n"/>
      <c r="L651" s="114" t="n"/>
      <c r="M651" s="115" t="n"/>
    </row>
    <row r="652" ht="15.75" customHeight="1">
      <c r="A652" s="9" t="n">
        <v>45745</v>
      </c>
      <c r="B652" s="10" t="n">
        <v>5</v>
      </c>
      <c r="C652" s="21" t="inlineStr">
        <is>
          <t>HUERTAS</t>
        </is>
      </c>
      <c r="D652" s="12" t="n">
        <v>3035</v>
      </c>
      <c r="E652" s="12" t="n"/>
      <c r="F652" s="13" t="n"/>
      <c r="G652" s="22" t="n"/>
      <c r="H652" s="22" t="n"/>
      <c r="I652" s="22" t="inlineStr">
        <is>
          <t>BOGOTA</t>
        </is>
      </c>
      <c r="J652" s="22" t="inlineStr">
        <is>
          <t>ABONEROS</t>
        </is>
      </c>
      <c r="K652" s="113" t="n"/>
      <c r="L652" s="114" t="n"/>
      <c r="M652" s="115" t="n"/>
    </row>
    <row r="653" ht="15.75" customHeight="1">
      <c r="A653" s="86" t="n">
        <v>45745</v>
      </c>
      <c r="B653" s="87" t="n">
        <v>1</v>
      </c>
      <c r="C653" s="88" t="inlineStr">
        <is>
          <t>HUERTAS</t>
        </is>
      </c>
      <c r="D653" s="81" t="n">
        <v>2727</v>
      </c>
      <c r="E653" s="81" t="n">
        <v>324</v>
      </c>
      <c r="F653" s="95" t="n"/>
      <c r="G653" s="66" t="n">
        <v>0.8958333333333334</v>
      </c>
      <c r="H653" s="89" t="n"/>
      <c r="I653" s="89" t="inlineStr">
        <is>
          <t>MANIGUA</t>
        </is>
      </c>
      <c r="J653" s="120" t="inlineStr">
        <is>
          <t>CARGUEROS</t>
        </is>
      </c>
      <c r="K653" s="113" t="n"/>
      <c r="L653" s="114" t="n"/>
      <c r="M653" s="115" t="n"/>
    </row>
    <row r="654" ht="15.75" customHeight="1">
      <c r="A654" s="46" t="n">
        <v>45745</v>
      </c>
      <c r="B654" s="10" t="n">
        <v>2</v>
      </c>
      <c r="C654" s="21" t="inlineStr">
        <is>
          <t>HUERTAS</t>
        </is>
      </c>
      <c r="D654" s="12" t="n">
        <v>2727</v>
      </c>
      <c r="E654" s="12" t="n">
        <v>324</v>
      </c>
      <c r="F654" s="13" t="n"/>
      <c r="G654" s="22" t="n"/>
      <c r="H654" s="22" t="n"/>
      <c r="I654" s="22" t="inlineStr">
        <is>
          <t>MANIGUA</t>
        </is>
      </c>
      <c r="J654" s="110" t="inlineStr">
        <is>
          <t>CARGUEROS</t>
        </is>
      </c>
      <c r="K654" s="113" t="n"/>
      <c r="L654" s="114" t="n"/>
      <c r="M654" s="115" t="n"/>
    </row>
    <row r="655" ht="15.75" customHeight="1">
      <c r="A655" s="46" t="n">
        <v>45745</v>
      </c>
      <c r="B655" s="10" t="n">
        <v>3</v>
      </c>
      <c r="C655" s="21" t="inlineStr">
        <is>
          <t>HUERTAS</t>
        </is>
      </c>
      <c r="D655" s="12" t="n">
        <v>2727</v>
      </c>
      <c r="E655" s="12" t="n">
        <v>324</v>
      </c>
      <c r="F655" s="13" t="n"/>
      <c r="G655" s="22" t="n"/>
      <c r="H655" s="22" t="n"/>
      <c r="I655" s="22" t="inlineStr">
        <is>
          <t>MANIGUA</t>
        </is>
      </c>
      <c r="J655" s="110" t="inlineStr">
        <is>
          <t>CARGUEROS</t>
        </is>
      </c>
      <c r="K655" s="113" t="n"/>
      <c r="L655" s="114" t="n"/>
      <c r="M655" s="115" t="n"/>
    </row>
    <row r="656" ht="15.75" customHeight="1">
      <c r="A656" s="46" t="n">
        <v>45745</v>
      </c>
      <c r="B656" s="10" t="n">
        <v>4</v>
      </c>
      <c r="C656" s="21" t="inlineStr">
        <is>
          <t>HUERTAS</t>
        </is>
      </c>
      <c r="D656" s="12" t="n">
        <v>3700</v>
      </c>
      <c r="E656" s="12" t="n">
        <v>324</v>
      </c>
      <c r="F656" s="13" t="n"/>
      <c r="G656" s="22" t="n"/>
      <c r="H656" s="22" t="n"/>
      <c r="I656" s="22" t="inlineStr">
        <is>
          <t>MANIGUA</t>
        </is>
      </c>
      <c r="J656" s="110" t="inlineStr">
        <is>
          <t>CARGUEROS</t>
        </is>
      </c>
      <c r="K656" s="113" t="n"/>
      <c r="L656" s="114" t="n"/>
      <c r="M656" s="115" t="n"/>
    </row>
    <row r="657" ht="15.75" customHeight="1">
      <c r="A657" s="46" t="n">
        <v>45745</v>
      </c>
      <c r="B657" s="10" t="n">
        <v>5</v>
      </c>
      <c r="C657" s="21" t="inlineStr">
        <is>
          <t>HUERTAS</t>
        </is>
      </c>
      <c r="D657" s="12" t="n">
        <v>3700</v>
      </c>
      <c r="E657" s="12" t="n">
        <v>324</v>
      </c>
      <c r="F657" s="13" t="n"/>
      <c r="G657" s="22" t="n"/>
      <c r="H657" s="22" t="n"/>
      <c r="I657" s="22" t="inlineStr">
        <is>
          <t>MANIGUA</t>
        </is>
      </c>
      <c r="J657" s="110" t="inlineStr">
        <is>
          <t>CARGUEROS</t>
        </is>
      </c>
      <c r="K657" s="113" t="n"/>
      <c r="L657" s="114" t="n"/>
      <c r="M657" s="115" t="n"/>
    </row>
    <row r="658" ht="15.75" customHeight="1">
      <c r="A658" s="46" t="n">
        <v>45745</v>
      </c>
      <c r="B658" s="10" t="n">
        <v>6</v>
      </c>
      <c r="C658" s="21" t="inlineStr">
        <is>
          <t>HUERTAS</t>
        </is>
      </c>
      <c r="D658" s="12" t="n">
        <v>3050</v>
      </c>
      <c r="E658" s="12" t="n">
        <v>324</v>
      </c>
      <c r="F658" s="13" t="n"/>
      <c r="G658" s="22" t="n"/>
      <c r="H658" s="22" t="n"/>
      <c r="I658" s="22" t="inlineStr">
        <is>
          <t>MANIGUA</t>
        </is>
      </c>
      <c r="J658" s="110" t="inlineStr">
        <is>
          <t>CARGUEROS</t>
        </is>
      </c>
      <c r="K658" s="113" t="n"/>
      <c r="L658" s="114" t="n"/>
      <c r="M658" s="115" t="n"/>
    </row>
    <row r="659" ht="15.75" customHeight="1">
      <c r="A659" s="67" t="n">
        <v>45745</v>
      </c>
      <c r="B659" s="27" t="n">
        <v>7</v>
      </c>
      <c r="C659" s="28" t="inlineStr">
        <is>
          <t>HUERTAS</t>
        </is>
      </c>
      <c r="D659" s="29" t="n">
        <v>3050</v>
      </c>
      <c r="E659" s="29" t="n">
        <v>360</v>
      </c>
      <c r="F659" s="30" t="n"/>
      <c r="G659" s="31" t="n"/>
      <c r="H659" s="32" t="n"/>
      <c r="I659" s="32" t="inlineStr">
        <is>
          <t>MANIGUA</t>
        </is>
      </c>
      <c r="J659" s="116" t="inlineStr">
        <is>
          <t>CARGUEROS</t>
        </is>
      </c>
      <c r="K659" s="113" t="n"/>
      <c r="L659" s="114" t="n"/>
      <c r="M659" s="115" t="n"/>
    </row>
    <row r="660" ht="15.75" customHeight="1">
      <c r="A660" s="36" t="n">
        <v>45777</v>
      </c>
      <c r="B660" s="37" t="n">
        <v>1</v>
      </c>
      <c r="C660" s="38" t="inlineStr">
        <is>
          <t>HUERTAS</t>
        </is>
      </c>
      <c r="D660" s="39" t="n"/>
      <c r="E660" s="39" t="n"/>
      <c r="F660" s="40" t="n"/>
      <c r="G660" s="42" t="n"/>
      <c r="H660" s="42" t="n"/>
      <c r="I660" s="42" t="inlineStr">
        <is>
          <t>BOGOTA</t>
        </is>
      </c>
      <c r="J660" s="108" t="n"/>
      <c r="K660" s="113" t="n"/>
      <c r="L660" s="114" t="n"/>
      <c r="M660" s="115" t="n"/>
    </row>
    <row r="661" ht="15.75" customHeight="1">
      <c r="A661" s="46" t="n">
        <v>45777</v>
      </c>
      <c r="B661" s="10" t="n">
        <v>2</v>
      </c>
      <c r="C661" s="21" t="inlineStr">
        <is>
          <t>HUERTAS</t>
        </is>
      </c>
      <c r="D661" s="12" t="n"/>
      <c r="E661" s="12" t="n"/>
      <c r="F661" s="13" t="n"/>
      <c r="G661" s="22" t="n"/>
      <c r="H661" s="22" t="n"/>
      <c r="I661" s="22" t="inlineStr">
        <is>
          <t>BOGOTA</t>
        </is>
      </c>
      <c r="J661" s="110" t="n"/>
      <c r="K661" s="113" t="n"/>
      <c r="L661" s="114" t="n"/>
      <c r="M661" s="115" t="n"/>
    </row>
    <row r="662" ht="15.75" customHeight="1">
      <c r="A662" s="67" t="n">
        <v>45777</v>
      </c>
      <c r="B662" s="51" t="n">
        <v>3</v>
      </c>
      <c r="C662" s="52" t="inlineStr">
        <is>
          <t>HUERTAS</t>
        </is>
      </c>
      <c r="D662" s="53" t="n"/>
      <c r="E662" s="53" t="n"/>
      <c r="F662" s="54" t="n"/>
      <c r="G662" s="56" t="n"/>
      <c r="H662" s="56" t="n"/>
      <c r="I662" s="56" t="inlineStr">
        <is>
          <t>BOGOTA</t>
        </is>
      </c>
      <c r="J662" s="118" t="n"/>
      <c r="K662" s="113" t="n"/>
      <c r="L662" s="114" t="n"/>
      <c r="M662" s="115" t="n"/>
    </row>
    <row r="663" ht="15.75" customHeight="1">
      <c r="A663" s="121" t="n">
        <v>45747</v>
      </c>
      <c r="B663" s="122" t="n">
        <v>1</v>
      </c>
      <c r="C663" s="88" t="inlineStr">
        <is>
          <t>HUERTAS</t>
        </is>
      </c>
      <c r="D663" s="81" t="n">
        <v>2854</v>
      </c>
      <c r="E663" s="81" t="n">
        <v>360</v>
      </c>
      <c r="F663" s="95" t="n"/>
      <c r="G663" s="89" t="n"/>
      <c r="H663" s="89" t="n"/>
      <c r="I663" s="89" t="inlineStr">
        <is>
          <t>MANIGUA</t>
        </is>
      </c>
      <c r="J663" s="120" t="n"/>
      <c r="K663" s="113" t="n"/>
      <c r="L663" s="114" t="n"/>
      <c r="M663" s="115" t="n"/>
    </row>
    <row r="664" ht="15.75" customHeight="1">
      <c r="A664" s="123" t="n">
        <v>45747</v>
      </c>
      <c r="B664" s="124" t="n">
        <v>2</v>
      </c>
      <c r="C664" s="21" t="inlineStr">
        <is>
          <t>HUERTAS</t>
        </is>
      </c>
      <c r="D664" s="12" t="n">
        <v>2854</v>
      </c>
      <c r="E664" s="12" t="n">
        <v>324</v>
      </c>
      <c r="F664" s="13" t="n"/>
      <c r="G664" s="22" t="n"/>
      <c r="H664" s="22" t="n"/>
      <c r="I664" s="22" t="inlineStr">
        <is>
          <t>MANIGUA</t>
        </is>
      </c>
      <c r="J664" s="110" t="n"/>
      <c r="K664" s="113" t="n"/>
      <c r="L664" s="114" t="n"/>
      <c r="M664" s="115" t="n"/>
    </row>
    <row r="665" ht="15.75" customHeight="1">
      <c r="A665" s="123" t="n">
        <v>45747</v>
      </c>
      <c r="B665" s="124" t="n">
        <v>3</v>
      </c>
      <c r="C665" s="21" t="inlineStr">
        <is>
          <t>HUERTAS</t>
        </is>
      </c>
      <c r="D665" s="12" t="n">
        <v>2854</v>
      </c>
      <c r="E665" s="12" t="n">
        <v>324</v>
      </c>
      <c r="F665" s="13" t="n"/>
      <c r="G665" s="22" t="n"/>
      <c r="H665" s="22" t="n"/>
      <c r="I665" s="22" t="inlineStr">
        <is>
          <t>MANIGUA</t>
        </is>
      </c>
      <c r="J665" s="110" t="n"/>
      <c r="K665" s="113" t="n"/>
      <c r="L665" s="114" t="n"/>
      <c r="M665" s="115" t="n"/>
    </row>
    <row r="666" ht="15.75" customHeight="1">
      <c r="A666" s="123" t="n">
        <v>45747</v>
      </c>
      <c r="B666" s="124" t="n">
        <v>1</v>
      </c>
      <c r="C666" s="21" t="inlineStr">
        <is>
          <t>GARCERAS</t>
        </is>
      </c>
      <c r="D666" s="12" t="n">
        <v>3238</v>
      </c>
      <c r="E666" s="12" t="n">
        <v>324</v>
      </c>
      <c r="F666" s="13" t="n"/>
      <c r="G666" s="25" t="n">
        <v>0.9791666666666666</v>
      </c>
      <c r="H666" s="22" t="n"/>
      <c r="I666" s="22" t="inlineStr">
        <is>
          <t>MANIGUA</t>
        </is>
      </c>
      <c r="J666" s="110" t="n"/>
      <c r="K666" s="113" t="n"/>
      <c r="L666" s="114" t="n"/>
      <c r="M666" s="115" t="n"/>
    </row>
    <row r="667" ht="15.75" customHeight="1">
      <c r="A667" s="123" t="n">
        <v>45747</v>
      </c>
      <c r="B667" s="124" t="n">
        <v>2</v>
      </c>
      <c r="C667" s="21" t="inlineStr">
        <is>
          <t>GARCERAS</t>
        </is>
      </c>
      <c r="D667" s="12" t="n">
        <v>3238</v>
      </c>
      <c r="E667" s="12" t="n">
        <v>324</v>
      </c>
      <c r="F667" s="13" t="n"/>
      <c r="G667" s="22" t="n"/>
      <c r="H667" s="22" t="n"/>
      <c r="I667" s="22" t="inlineStr">
        <is>
          <t>MANIGUA</t>
        </is>
      </c>
      <c r="J667" s="110" t="n"/>
      <c r="K667" s="113" t="n"/>
      <c r="L667" s="114" t="n"/>
      <c r="M667" s="115" t="n"/>
    </row>
    <row r="668" ht="15.75" customHeight="1">
      <c r="A668" s="123" t="n">
        <v>45747</v>
      </c>
      <c r="B668" s="124" t="n">
        <v>3</v>
      </c>
      <c r="C668" s="21" t="inlineStr">
        <is>
          <t>GARCERAS</t>
        </is>
      </c>
      <c r="D668" s="12" t="n">
        <v>3238</v>
      </c>
      <c r="E668" s="12" t="n">
        <v>324</v>
      </c>
      <c r="F668" s="13" t="n"/>
      <c r="G668" s="22" t="n"/>
      <c r="H668" s="22" t="n"/>
      <c r="I668" s="22" t="inlineStr">
        <is>
          <t>MANIGUA</t>
        </is>
      </c>
      <c r="J668" s="110" t="n"/>
      <c r="K668" s="113" t="n"/>
      <c r="L668" s="114" t="n"/>
      <c r="M668" s="115" t="n"/>
    </row>
    <row r="669" ht="15.75" customHeight="1">
      <c r="A669" s="123" t="n">
        <v>45747</v>
      </c>
      <c r="B669" s="124" t="n">
        <v>4</v>
      </c>
      <c r="C669" s="21" t="inlineStr">
        <is>
          <t>GARCERAS</t>
        </is>
      </c>
      <c r="D669" s="12" t="n">
        <v>3238</v>
      </c>
      <c r="E669" s="12" t="n">
        <v>324</v>
      </c>
      <c r="F669" s="13" t="n"/>
      <c r="G669" s="22" t="n"/>
      <c r="H669" s="22" t="n"/>
      <c r="I669" s="22" t="inlineStr">
        <is>
          <t>MANIGUA</t>
        </is>
      </c>
      <c r="J669" s="110" t="n"/>
      <c r="K669" s="113" t="n"/>
      <c r="L669" s="114" t="n"/>
      <c r="M669" s="115" t="n"/>
    </row>
    <row r="670" ht="15.75" customHeight="1">
      <c r="A670" s="123" t="n">
        <v>45747</v>
      </c>
      <c r="B670" s="124" t="n">
        <v>5</v>
      </c>
      <c r="C670" s="21" t="inlineStr">
        <is>
          <t>GARCERAS</t>
        </is>
      </c>
      <c r="D670" s="12" t="n">
        <v>3238</v>
      </c>
      <c r="E670" s="12" t="n">
        <v>324</v>
      </c>
      <c r="F670" s="13" t="n"/>
      <c r="G670" s="22" t="n"/>
      <c r="H670" s="22" t="n"/>
      <c r="I670" s="22" t="inlineStr">
        <is>
          <t>MANIGUA</t>
        </is>
      </c>
      <c r="J670" s="110" t="n"/>
      <c r="K670" s="113" t="n"/>
      <c r="L670" s="114" t="n"/>
      <c r="M670" s="115" t="n"/>
    </row>
    <row r="671" ht="15.75" customHeight="1">
      <c r="A671" s="123" t="n">
        <v>45747</v>
      </c>
      <c r="B671" s="124" t="n">
        <v>6</v>
      </c>
      <c r="C671" s="21" t="inlineStr">
        <is>
          <t>GARCERAS</t>
        </is>
      </c>
      <c r="D671" s="12" t="n">
        <v>3433</v>
      </c>
      <c r="E671" s="12" t="n">
        <v>324</v>
      </c>
      <c r="F671" s="13" t="n"/>
      <c r="G671" s="22" t="n"/>
      <c r="H671" s="22" t="n"/>
      <c r="I671" s="22" t="inlineStr">
        <is>
          <t>MANIGUA</t>
        </is>
      </c>
      <c r="J671" s="110" t="n"/>
      <c r="K671" s="113" t="n"/>
      <c r="L671" s="114" t="n"/>
      <c r="M671" s="115" t="n"/>
    </row>
    <row r="672" ht="15.75" customHeight="1">
      <c r="A672" s="125" t="n">
        <v>45747</v>
      </c>
      <c r="B672" s="126" t="n">
        <v>7</v>
      </c>
      <c r="C672" s="28" t="inlineStr">
        <is>
          <t>GARCERAS</t>
        </is>
      </c>
      <c r="D672" s="29" t="n">
        <v>3433</v>
      </c>
      <c r="E672" s="29" t="n">
        <v>324</v>
      </c>
      <c r="F672" s="30" t="n"/>
      <c r="G672" s="32" t="n"/>
      <c r="H672" s="32" t="n"/>
      <c r="I672" s="32" t="inlineStr">
        <is>
          <t>MANIGUA</t>
        </is>
      </c>
      <c r="J672" s="116" t="n"/>
      <c r="K672" s="113" t="n"/>
      <c r="L672" s="114" t="n"/>
      <c r="M672" s="115" t="n"/>
    </row>
    <row r="673" ht="15.75" customHeight="1">
      <c r="A673" s="36" t="n">
        <v>45748</v>
      </c>
      <c r="B673" s="37" t="n">
        <v>1</v>
      </c>
      <c r="C673" s="38" t="inlineStr">
        <is>
          <t>HUERTAS</t>
        </is>
      </c>
      <c r="D673" s="39" t="n">
        <v>3275</v>
      </c>
      <c r="E673" s="39" t="n">
        <v>324</v>
      </c>
      <c r="F673" s="40" t="n"/>
      <c r="G673" s="41" t="n">
        <v>0.9583333333333334</v>
      </c>
      <c r="H673" s="42" t="n"/>
      <c r="I673" s="42" t="inlineStr">
        <is>
          <t>MANIGUA</t>
        </is>
      </c>
      <c r="J673" s="108" t="inlineStr">
        <is>
          <t>CARGUEROS</t>
        </is>
      </c>
      <c r="K673" s="113" t="n"/>
      <c r="L673" s="114" t="n"/>
      <c r="M673" s="115" t="inlineStr">
        <is>
          <t xml:space="preserve">BOGOTA </t>
        </is>
      </c>
    </row>
    <row r="674" ht="15.75" customHeight="1">
      <c r="A674" s="46" t="n">
        <v>45748</v>
      </c>
      <c r="B674" s="10" t="n">
        <v>2</v>
      </c>
      <c r="C674" s="21" t="inlineStr">
        <is>
          <t>HUERTAS</t>
        </is>
      </c>
      <c r="D674" s="12" t="n">
        <v>2711</v>
      </c>
      <c r="E674" s="12" t="n">
        <v>324</v>
      </c>
      <c r="F674" s="13" t="n"/>
      <c r="G674" s="22" t="n"/>
      <c r="H674" s="22" t="n"/>
      <c r="I674" s="22" t="inlineStr">
        <is>
          <t>MANIGUA</t>
        </is>
      </c>
      <c r="J674" s="110" t="inlineStr">
        <is>
          <t>CARGUEROS</t>
        </is>
      </c>
      <c r="K674" s="113" t="n"/>
      <c r="L674" s="114" t="n"/>
      <c r="M674" s="115" t="n"/>
    </row>
    <row r="675" ht="15.75" customHeight="1">
      <c r="A675" s="46" t="n">
        <v>45748</v>
      </c>
      <c r="B675" s="10" t="n">
        <v>3</v>
      </c>
      <c r="C675" s="21" t="inlineStr">
        <is>
          <t>HUERTAS</t>
        </is>
      </c>
      <c r="D675" s="12" t="n">
        <v>2711</v>
      </c>
      <c r="E675" s="12" t="n">
        <v>324</v>
      </c>
      <c r="F675" s="13" t="n"/>
      <c r="G675" s="22" t="n"/>
      <c r="H675" s="22" t="n"/>
      <c r="I675" s="22" t="inlineStr">
        <is>
          <t>MANIGUA</t>
        </is>
      </c>
      <c r="J675" s="110" t="inlineStr">
        <is>
          <t>CARGUEROS</t>
        </is>
      </c>
      <c r="K675" s="113" t="n"/>
      <c r="L675" s="114" t="n"/>
      <c r="M675" s="115" t="n"/>
    </row>
    <row r="676" ht="15.75" customHeight="1">
      <c r="A676" s="46" t="n">
        <v>45748</v>
      </c>
      <c r="B676" s="10" t="n">
        <v>1</v>
      </c>
      <c r="C676" s="21" t="inlineStr">
        <is>
          <t>GARCERAS</t>
        </is>
      </c>
      <c r="D676" s="12" t="n">
        <v>3254</v>
      </c>
      <c r="E676" s="12" t="n">
        <v>324</v>
      </c>
      <c r="F676" s="13" t="n"/>
      <c r="G676" s="25" t="n">
        <v>0.125</v>
      </c>
      <c r="H676" s="22" t="n"/>
      <c r="I676" s="22" t="inlineStr">
        <is>
          <t>MANIGUA</t>
        </is>
      </c>
      <c r="J676" s="110" t="inlineStr">
        <is>
          <t>ABONEROS</t>
        </is>
      </c>
      <c r="K676" s="113" t="n"/>
      <c r="L676" s="114" t="n"/>
      <c r="M676" s="115" t="n"/>
    </row>
    <row r="677" ht="15.75" customHeight="1">
      <c r="A677" s="46" t="n">
        <v>45748</v>
      </c>
      <c r="B677" s="10" t="n">
        <v>2</v>
      </c>
      <c r="C677" s="21" t="inlineStr">
        <is>
          <t>GARCERAS</t>
        </is>
      </c>
      <c r="D677" s="12" t="n">
        <v>3254</v>
      </c>
      <c r="E677" s="12" t="n">
        <v>324</v>
      </c>
      <c r="F677" s="13" t="n"/>
      <c r="G677" s="22" t="n"/>
      <c r="H677" s="22" t="n"/>
      <c r="I677" s="22" t="inlineStr">
        <is>
          <t>MANIGUA</t>
        </is>
      </c>
      <c r="J677" s="110" t="inlineStr">
        <is>
          <t>ABONEROS</t>
        </is>
      </c>
      <c r="K677" s="113" t="n"/>
      <c r="L677" s="114" t="n"/>
      <c r="M677" s="115" t="n"/>
    </row>
    <row r="678" ht="15.75" customHeight="1">
      <c r="A678" s="46" t="n">
        <v>45748</v>
      </c>
      <c r="B678" s="10" t="n">
        <v>3</v>
      </c>
      <c r="C678" s="21" t="inlineStr">
        <is>
          <t>GARCERAS</t>
        </is>
      </c>
      <c r="D678" s="12" t="n">
        <v>3254</v>
      </c>
      <c r="E678" s="12" t="n">
        <v>324</v>
      </c>
      <c r="F678" s="13" t="n"/>
      <c r="G678" s="22" t="n"/>
      <c r="H678" s="22" t="n"/>
      <c r="I678" s="22" t="inlineStr">
        <is>
          <t>MANIGUA</t>
        </is>
      </c>
      <c r="J678" s="110" t="inlineStr">
        <is>
          <t>ABONEROS</t>
        </is>
      </c>
      <c r="K678" s="113" t="n"/>
      <c r="L678" s="114" t="n"/>
      <c r="M678" s="115" t="n"/>
    </row>
    <row r="679" ht="15.75" customHeight="1">
      <c r="A679" s="50" t="n">
        <v>45748</v>
      </c>
      <c r="B679" s="51" t="n">
        <v>4</v>
      </c>
      <c r="C679" s="52" t="inlineStr">
        <is>
          <t>GARCERAS</t>
        </is>
      </c>
      <c r="D679" s="53" t="n">
        <v>3254</v>
      </c>
      <c r="E679" s="53" t="n">
        <v>324</v>
      </c>
      <c r="F679" s="54" t="n"/>
      <c r="G679" s="56" t="n"/>
      <c r="H679" s="56" t="n"/>
      <c r="I679" s="56" t="inlineStr">
        <is>
          <t>MANIGUA</t>
        </is>
      </c>
      <c r="J679" s="118" t="inlineStr">
        <is>
          <t>ABONEROS</t>
        </is>
      </c>
      <c r="K679" s="113" t="n"/>
      <c r="L679" s="114" t="n"/>
      <c r="M679" s="115" t="n"/>
    </row>
    <row r="680" ht="15.75" customHeight="1">
      <c r="A680" s="86" t="n">
        <v>45749</v>
      </c>
      <c r="B680" s="87" t="n">
        <v>1</v>
      </c>
      <c r="C680" s="88" t="inlineStr">
        <is>
          <t>GARCERAS</t>
        </is>
      </c>
      <c r="D680" s="81" t="n">
        <v>3747</v>
      </c>
      <c r="E680" s="81" t="n">
        <v>324</v>
      </c>
      <c r="F680" s="95" t="n"/>
      <c r="G680" s="66" t="n">
        <v>0.9583333333333334</v>
      </c>
      <c r="H680" s="89" t="n"/>
      <c r="I680" s="89" t="inlineStr">
        <is>
          <t>MANIGUA</t>
        </is>
      </c>
      <c r="J680" s="120" t="inlineStr">
        <is>
          <t>CARGUEROS</t>
        </is>
      </c>
      <c r="K680" s="113" t="n"/>
      <c r="L680" s="114" t="n"/>
      <c r="M680" s="115" t="n"/>
    </row>
    <row r="681" ht="15.75" customHeight="1">
      <c r="A681" s="46" t="n">
        <v>45749</v>
      </c>
      <c r="B681" s="10" t="n">
        <v>2</v>
      </c>
      <c r="C681" s="21" t="inlineStr">
        <is>
          <t>GARCERAS</t>
        </is>
      </c>
      <c r="D681" s="12" t="n">
        <v>3747</v>
      </c>
      <c r="E681" s="12" t="n">
        <v>324</v>
      </c>
      <c r="F681" s="13" t="n"/>
      <c r="G681" s="22" t="n"/>
      <c r="H681" s="22" t="n"/>
      <c r="I681" s="22" t="inlineStr">
        <is>
          <t>MANIGUA</t>
        </is>
      </c>
      <c r="J681" s="110" t="inlineStr">
        <is>
          <t>CARGUEROS</t>
        </is>
      </c>
      <c r="K681" s="113" t="n"/>
      <c r="L681" s="114" t="n"/>
      <c r="M681" s="115" t="n"/>
    </row>
    <row r="682" ht="15.75" customHeight="1">
      <c r="A682" s="46" t="n">
        <v>45749</v>
      </c>
      <c r="B682" s="10" t="n">
        <v>3</v>
      </c>
      <c r="C682" s="21" t="inlineStr">
        <is>
          <t>GARCERAS</t>
        </is>
      </c>
      <c r="D682" s="12" t="n">
        <v>3071</v>
      </c>
      <c r="E682" s="12" t="n">
        <v>324</v>
      </c>
      <c r="F682" s="13" t="n"/>
      <c r="G682" s="22" t="n"/>
      <c r="H682" s="22" t="n"/>
      <c r="I682" s="22" t="inlineStr">
        <is>
          <t>MANIGUA</t>
        </is>
      </c>
      <c r="J682" s="110" t="inlineStr">
        <is>
          <t>CARGUEROS</t>
        </is>
      </c>
      <c r="K682" s="113" t="n"/>
      <c r="L682" s="114" t="n"/>
      <c r="M682" s="115" t="n"/>
    </row>
    <row r="683" ht="15.75" customHeight="1">
      <c r="A683" s="46" t="n">
        <v>45749</v>
      </c>
      <c r="B683" s="10" t="n">
        <v>4</v>
      </c>
      <c r="C683" s="21" t="inlineStr">
        <is>
          <t>GARCERAS</t>
        </is>
      </c>
      <c r="D683" s="12" t="n">
        <v>3071</v>
      </c>
      <c r="E683" s="12" t="n">
        <v>324</v>
      </c>
      <c r="F683" s="13" t="n"/>
      <c r="G683" s="22" t="n"/>
      <c r="H683" s="22" t="n"/>
      <c r="I683" s="22" t="inlineStr">
        <is>
          <t>MANIGUA</t>
        </is>
      </c>
      <c r="J683" s="110" t="inlineStr">
        <is>
          <t>CARGUEROS</t>
        </is>
      </c>
      <c r="K683" s="113" t="n"/>
      <c r="L683" s="114" t="n"/>
      <c r="M683" s="115" t="n"/>
    </row>
    <row r="684" ht="15.75" customHeight="1">
      <c r="A684" s="46" t="n">
        <v>45749</v>
      </c>
      <c r="B684" s="10" t="n">
        <v>5</v>
      </c>
      <c r="C684" s="21" t="inlineStr">
        <is>
          <t>GARCERAS</t>
        </is>
      </c>
      <c r="D684" s="12" t="n">
        <v>3096</v>
      </c>
      <c r="E684" s="12" t="n">
        <v>324</v>
      </c>
      <c r="F684" s="13" t="n"/>
      <c r="G684" s="22" t="n"/>
      <c r="H684" s="22" t="n"/>
      <c r="I684" s="22" t="inlineStr">
        <is>
          <t>MANIGUA</t>
        </is>
      </c>
      <c r="J684" s="110" t="inlineStr">
        <is>
          <t>CARGUEROS</t>
        </is>
      </c>
      <c r="K684" s="113" t="n"/>
      <c r="L684" s="114" t="n"/>
      <c r="M684" s="115" t="n"/>
    </row>
    <row r="685" ht="15.75" customHeight="1">
      <c r="A685" s="46" t="n">
        <v>45749</v>
      </c>
      <c r="B685" s="10" t="n">
        <v>6</v>
      </c>
      <c r="C685" s="21" t="inlineStr">
        <is>
          <t>GARCERAS</t>
        </is>
      </c>
      <c r="D685" s="12" t="n">
        <v>3228</v>
      </c>
      <c r="E685" s="12" t="n">
        <v>324</v>
      </c>
      <c r="F685" s="13" t="n"/>
      <c r="G685" s="22" t="n"/>
      <c r="H685" s="22" t="n"/>
      <c r="I685" s="22" t="inlineStr">
        <is>
          <t>MANIGUA</t>
        </is>
      </c>
      <c r="J685" s="110" t="inlineStr">
        <is>
          <t>CARGUEROS</t>
        </is>
      </c>
      <c r="K685" s="113" t="n"/>
      <c r="L685" s="114" t="n"/>
      <c r="M685" s="115" t="n"/>
    </row>
    <row r="686" ht="15.75" customHeight="1">
      <c r="A686" s="46" t="n">
        <v>45749</v>
      </c>
      <c r="B686" s="10" t="n">
        <v>7</v>
      </c>
      <c r="C686" s="21" t="inlineStr">
        <is>
          <t>GARCERAS</t>
        </is>
      </c>
      <c r="D686" s="12" t="n">
        <v>3228</v>
      </c>
      <c r="E686" s="12" t="n">
        <v>324</v>
      </c>
      <c r="F686" s="13" t="n"/>
      <c r="G686" s="22" t="n"/>
      <c r="H686" s="22" t="n"/>
      <c r="I686" s="22" t="inlineStr">
        <is>
          <t>MANIGUA</t>
        </is>
      </c>
      <c r="J686" s="110" t="inlineStr">
        <is>
          <t>CARGUEROS</t>
        </is>
      </c>
      <c r="K686" s="113" t="n"/>
      <c r="L686" s="114" t="n"/>
      <c r="M686" s="115" t="n"/>
    </row>
    <row r="687" ht="15.75" customHeight="1">
      <c r="A687" s="46" t="n">
        <v>45749</v>
      </c>
      <c r="B687" s="10" t="n">
        <v>8</v>
      </c>
      <c r="C687" s="21" t="inlineStr">
        <is>
          <t>GARCERAS</t>
        </is>
      </c>
      <c r="D687" s="12" t="n">
        <v>3228</v>
      </c>
      <c r="E687" s="12" t="n">
        <v>324</v>
      </c>
      <c r="F687" s="13" t="n"/>
      <c r="G687" s="22" t="n"/>
      <c r="H687" s="22" t="n"/>
      <c r="I687" s="22" t="inlineStr">
        <is>
          <t>MANIGUA</t>
        </is>
      </c>
      <c r="J687" s="110" t="inlineStr">
        <is>
          <t>CARGUEROS</t>
        </is>
      </c>
      <c r="K687" s="113" t="n"/>
      <c r="L687" s="114" t="n"/>
      <c r="M687" s="115" t="n"/>
    </row>
    <row r="688" ht="15.75" customHeight="1">
      <c r="A688" s="46" t="n">
        <v>45749</v>
      </c>
      <c r="B688" s="10" t="n">
        <v>9</v>
      </c>
      <c r="C688" s="21" t="inlineStr">
        <is>
          <t>GARCERAS</t>
        </is>
      </c>
      <c r="D688" s="12" t="n">
        <v>3016</v>
      </c>
      <c r="E688" s="12" t="n">
        <v>360</v>
      </c>
      <c r="F688" s="13" t="n"/>
      <c r="G688" s="22" t="n"/>
      <c r="H688" s="22" t="n"/>
      <c r="I688" s="22" t="inlineStr">
        <is>
          <t>MANIGUA</t>
        </is>
      </c>
      <c r="J688" s="110" t="inlineStr">
        <is>
          <t>CARGUEROS</t>
        </is>
      </c>
      <c r="K688" s="113" t="n"/>
      <c r="L688" s="114" t="n"/>
      <c r="M688" s="115" t="n"/>
    </row>
    <row r="689" ht="15.75" customHeight="1">
      <c r="A689" s="46" t="n">
        <v>45749</v>
      </c>
      <c r="B689" s="10" t="n">
        <v>10</v>
      </c>
      <c r="C689" s="21" t="inlineStr">
        <is>
          <t>GARCERAS</t>
        </is>
      </c>
      <c r="D689" s="12" t="n">
        <v>3016</v>
      </c>
      <c r="E689" s="12" t="n">
        <v>324</v>
      </c>
      <c r="F689" s="13" t="n"/>
      <c r="G689" s="22" t="n"/>
      <c r="H689" s="22" t="n"/>
      <c r="I689" s="22" t="inlineStr">
        <is>
          <t>MANIGUA</t>
        </is>
      </c>
      <c r="J689" s="110" t="inlineStr">
        <is>
          <t>CARGUEROS</t>
        </is>
      </c>
      <c r="K689" s="113" t="n"/>
      <c r="L689" s="114" t="n"/>
      <c r="M689" s="115" t="n"/>
    </row>
    <row r="690" ht="15.75" customHeight="1">
      <c r="A690" s="46" t="n">
        <v>45749</v>
      </c>
      <c r="B690" s="10" t="n">
        <v>11</v>
      </c>
      <c r="C690" s="21" t="inlineStr">
        <is>
          <t>GARCERAS</t>
        </is>
      </c>
      <c r="D690" s="12" t="n">
        <v>3016</v>
      </c>
      <c r="E690" s="12" t="n">
        <v>360</v>
      </c>
      <c r="F690" s="13" t="n"/>
      <c r="G690" s="22" t="n"/>
      <c r="H690" s="22" t="n"/>
      <c r="I690" s="22" t="inlineStr">
        <is>
          <t>MANIGUA</t>
        </is>
      </c>
      <c r="J690" s="110" t="inlineStr">
        <is>
          <t>CARGUEROS</t>
        </is>
      </c>
      <c r="K690" s="113" t="n"/>
      <c r="L690" s="114" t="n"/>
      <c r="M690" s="115" t="n"/>
    </row>
    <row r="691" ht="15.75" customHeight="1">
      <c r="A691" s="50" t="n">
        <v>45749</v>
      </c>
      <c r="B691" s="51" t="n">
        <v>12</v>
      </c>
      <c r="C691" s="52" t="inlineStr">
        <is>
          <t>GARCERAS</t>
        </is>
      </c>
      <c r="D691" s="53" t="n">
        <v>3016</v>
      </c>
      <c r="E691" s="53" t="n">
        <v>324</v>
      </c>
      <c r="F691" s="54" t="n"/>
      <c r="G691" s="56" t="n"/>
      <c r="H691" s="56" t="n"/>
      <c r="I691" s="56" t="inlineStr">
        <is>
          <t>MANIGUA</t>
        </is>
      </c>
      <c r="J691" s="118" t="inlineStr">
        <is>
          <t>CARGUEROS</t>
        </is>
      </c>
      <c r="K691" s="113" t="n"/>
      <c r="L691" s="114" t="n"/>
      <c r="M691" s="115" t="n"/>
    </row>
    <row r="692" ht="15.75" customHeight="1">
      <c r="A692" s="86" t="n">
        <v>45750</v>
      </c>
      <c r="B692" s="87" t="n">
        <v>1</v>
      </c>
      <c r="C692" s="88" t="inlineStr">
        <is>
          <t>GARCERAS</t>
        </is>
      </c>
      <c r="D692" s="81" t="n">
        <v>3092</v>
      </c>
      <c r="E692" s="81" t="n">
        <v>324</v>
      </c>
      <c r="F692" s="95" t="n"/>
      <c r="G692" s="66" t="n">
        <v>0.08333333333333333</v>
      </c>
      <c r="H692" s="89" t="n"/>
      <c r="I692" s="89" t="inlineStr">
        <is>
          <t>MANIGUA</t>
        </is>
      </c>
      <c r="J692" s="120" t="inlineStr">
        <is>
          <t>CARGUEROS</t>
        </is>
      </c>
      <c r="K692" s="113" t="n"/>
      <c r="L692" s="114" t="n"/>
      <c r="M692" s="115" t="n"/>
    </row>
    <row r="693" ht="15.75" customHeight="1">
      <c r="A693" s="46" t="n">
        <v>45750</v>
      </c>
      <c r="B693" s="10" t="n">
        <v>2</v>
      </c>
      <c r="C693" s="21" t="inlineStr">
        <is>
          <t>GARCERAS</t>
        </is>
      </c>
      <c r="D693" s="12" t="n">
        <v>3092</v>
      </c>
      <c r="E693" s="12" t="n">
        <v>324</v>
      </c>
      <c r="F693" s="13" t="n"/>
      <c r="G693" s="22" t="n"/>
      <c r="H693" s="22" t="n"/>
      <c r="I693" s="22" t="inlineStr">
        <is>
          <t>MANIGUA</t>
        </is>
      </c>
      <c r="J693" s="110" t="inlineStr">
        <is>
          <t>CARGUEROS</t>
        </is>
      </c>
      <c r="K693" s="113" t="n"/>
      <c r="L693" s="114" t="n"/>
      <c r="M693" s="115" t="n"/>
    </row>
    <row r="694" ht="15.75" customHeight="1">
      <c r="A694" s="46" t="n">
        <v>45750</v>
      </c>
      <c r="B694" s="10" t="n">
        <v>3</v>
      </c>
      <c r="C694" s="21" t="inlineStr">
        <is>
          <t>GARCERAS</t>
        </is>
      </c>
      <c r="D694" s="12" t="n">
        <v>3092</v>
      </c>
      <c r="E694" s="12" t="n">
        <v>324</v>
      </c>
      <c r="F694" s="13" t="n"/>
      <c r="G694" s="22" t="n"/>
      <c r="H694" s="22" t="n"/>
      <c r="I694" s="22" t="inlineStr">
        <is>
          <t>MANIGUA</t>
        </is>
      </c>
      <c r="J694" s="110" t="inlineStr">
        <is>
          <t>CARGUEROS</t>
        </is>
      </c>
      <c r="K694" s="113" t="n"/>
      <c r="L694" s="114" t="n"/>
      <c r="M694" s="115" t="n"/>
    </row>
    <row r="695" ht="15.75" customHeight="1">
      <c r="A695" s="46" t="n">
        <v>45750</v>
      </c>
      <c r="B695" s="10" t="n">
        <v>4</v>
      </c>
      <c r="C695" s="21" t="inlineStr">
        <is>
          <t>GARCERAS</t>
        </is>
      </c>
      <c r="D695" s="12" t="n">
        <v>3092</v>
      </c>
      <c r="E695" s="12" t="n">
        <v>360</v>
      </c>
      <c r="F695" s="13" t="n"/>
      <c r="G695" s="22" t="n"/>
      <c r="H695" s="22" t="n"/>
      <c r="I695" s="22" t="inlineStr">
        <is>
          <t>MANIGUA</t>
        </is>
      </c>
      <c r="J695" s="110" t="inlineStr">
        <is>
          <t>CARGUEROS</t>
        </is>
      </c>
      <c r="K695" s="113" t="n"/>
      <c r="L695" s="114" t="n"/>
      <c r="M695" s="115" t="n"/>
    </row>
    <row r="696" ht="15.75" customHeight="1">
      <c r="A696" s="46" t="n">
        <v>45750</v>
      </c>
      <c r="B696" s="10" t="n">
        <v>5</v>
      </c>
      <c r="C696" s="21" t="inlineStr">
        <is>
          <t>GARCERAS</t>
        </is>
      </c>
      <c r="D696" s="12" t="n">
        <v>3345</v>
      </c>
      <c r="E696" s="12" t="n">
        <v>324</v>
      </c>
      <c r="F696" s="13" t="n"/>
      <c r="G696" s="22" t="n"/>
      <c r="H696" s="22" t="n"/>
      <c r="I696" s="22" t="inlineStr">
        <is>
          <t>MANIGUA</t>
        </is>
      </c>
      <c r="J696" s="110" t="inlineStr">
        <is>
          <t>CARGUEROS</t>
        </is>
      </c>
      <c r="K696" s="113" t="n"/>
      <c r="L696" s="114" t="n"/>
      <c r="M696" s="115" t="n"/>
    </row>
    <row r="697" ht="15.75" customHeight="1">
      <c r="A697" s="46" t="n">
        <v>45750</v>
      </c>
      <c r="B697" s="10" t="n">
        <v>6</v>
      </c>
      <c r="C697" s="21" t="inlineStr">
        <is>
          <t>GARCERAS</t>
        </is>
      </c>
      <c r="D697" s="12" t="n">
        <v>3345</v>
      </c>
      <c r="E697" s="12" t="n">
        <v>324</v>
      </c>
      <c r="F697" s="13" t="n"/>
      <c r="G697" s="22" t="n"/>
      <c r="H697" s="22" t="n"/>
      <c r="I697" s="22" t="inlineStr">
        <is>
          <t>MANIGUA</t>
        </is>
      </c>
      <c r="J697" s="110" t="inlineStr">
        <is>
          <t>CARGUEROS</t>
        </is>
      </c>
      <c r="K697" s="113" t="n"/>
      <c r="L697" s="114" t="n"/>
      <c r="M697" s="115" t="n"/>
    </row>
    <row r="698" ht="15.75" customHeight="1">
      <c r="A698" s="46" t="n">
        <v>45750</v>
      </c>
      <c r="B698" s="10" t="n">
        <v>7</v>
      </c>
      <c r="C698" s="21" t="inlineStr">
        <is>
          <t>GARCERAS</t>
        </is>
      </c>
      <c r="D698" s="12" t="n">
        <v>3246</v>
      </c>
      <c r="E698" s="12" t="n">
        <v>360</v>
      </c>
      <c r="F698" s="13" t="n"/>
      <c r="G698" s="22" t="n"/>
      <c r="H698" s="22" t="n"/>
      <c r="I698" s="22" t="inlineStr">
        <is>
          <t>MANIGUA</t>
        </is>
      </c>
      <c r="J698" s="110" t="inlineStr">
        <is>
          <t>CARGUEROS</t>
        </is>
      </c>
      <c r="K698" s="113" t="n"/>
      <c r="L698" s="114" t="n"/>
      <c r="M698" s="115" t="n"/>
    </row>
    <row r="699" ht="15.75" customHeight="1">
      <c r="A699" s="46" t="n">
        <v>45750</v>
      </c>
      <c r="B699" s="10" t="n">
        <v>8</v>
      </c>
      <c r="C699" s="21" t="inlineStr">
        <is>
          <t>GARCERAS</t>
        </is>
      </c>
      <c r="D699" s="12" t="n">
        <v>3246</v>
      </c>
      <c r="E699" s="12" t="n">
        <v>324</v>
      </c>
      <c r="F699" s="13" t="n"/>
      <c r="G699" s="22" t="n"/>
      <c r="H699" s="22" t="n"/>
      <c r="I699" s="22" t="inlineStr">
        <is>
          <t>MANIGUA</t>
        </is>
      </c>
      <c r="J699" s="110" t="inlineStr">
        <is>
          <t>CARGUEROS</t>
        </is>
      </c>
      <c r="K699" s="113" t="n"/>
      <c r="L699" s="114" t="n"/>
      <c r="M699" s="115" t="n"/>
    </row>
    <row r="700" ht="15.75" customHeight="1">
      <c r="A700" s="46" t="n">
        <v>45750</v>
      </c>
      <c r="B700" s="10" t="n">
        <v>9</v>
      </c>
      <c r="C700" s="21" t="inlineStr">
        <is>
          <t>GARCERAS</t>
        </is>
      </c>
      <c r="D700" s="12" t="n">
        <v>3246</v>
      </c>
      <c r="E700" s="12" t="n">
        <v>324</v>
      </c>
      <c r="F700" s="13" t="n"/>
      <c r="G700" s="22" t="n"/>
      <c r="H700" s="22" t="n"/>
      <c r="I700" s="22" t="inlineStr">
        <is>
          <t>MANIGUA</t>
        </is>
      </c>
      <c r="J700" s="110" t="inlineStr">
        <is>
          <t>CARGUEROS</t>
        </is>
      </c>
      <c r="K700" s="113" t="n"/>
      <c r="L700" s="114" t="n"/>
      <c r="M700" s="115" t="n"/>
    </row>
    <row r="701" ht="15.75" customHeight="1">
      <c r="A701" s="46" t="n">
        <v>45750</v>
      </c>
      <c r="B701" s="10" t="n">
        <v>1</v>
      </c>
      <c r="C701" s="21" t="inlineStr">
        <is>
          <t>SAN JOSE</t>
        </is>
      </c>
      <c r="D701" s="12" t="n">
        <v>3724</v>
      </c>
      <c r="E701" s="12" t="n">
        <v>324</v>
      </c>
      <c r="F701" s="13" t="n"/>
      <c r="G701" s="25" t="n">
        <v>0.5416666666666666</v>
      </c>
      <c r="H701" s="22" t="n"/>
      <c r="I701" s="22" t="inlineStr">
        <is>
          <t>MANIGUA</t>
        </is>
      </c>
      <c r="J701" s="110" t="inlineStr">
        <is>
          <t>CARGUEROS</t>
        </is>
      </c>
      <c r="K701" s="113" t="n"/>
      <c r="L701" s="114" t="n"/>
      <c r="M701" s="115" t="n"/>
    </row>
    <row r="702" ht="15.75" customHeight="1">
      <c r="A702" s="67" t="n">
        <v>45750</v>
      </c>
      <c r="B702" s="27" t="n">
        <v>2</v>
      </c>
      <c r="C702" s="28" t="inlineStr">
        <is>
          <t>SAN JOSE</t>
        </is>
      </c>
      <c r="D702" s="29" t="n">
        <v>3724</v>
      </c>
      <c r="E702" s="29" t="n">
        <v>360</v>
      </c>
      <c r="F702" s="30" t="n"/>
      <c r="G702" s="32" t="n"/>
      <c r="H702" s="32" t="n"/>
      <c r="I702" s="32" t="inlineStr">
        <is>
          <t>MANIGUA</t>
        </is>
      </c>
      <c r="J702" s="116" t="inlineStr">
        <is>
          <t>CARGUEROS</t>
        </is>
      </c>
      <c r="K702" s="113" t="n"/>
      <c r="L702" s="114" t="n"/>
      <c r="M702" s="115" t="n"/>
    </row>
    <row r="703" ht="15.75" customHeight="1">
      <c r="A703" s="36" t="n">
        <v>45751</v>
      </c>
      <c r="B703" s="37" t="n">
        <v>1</v>
      </c>
      <c r="C703" s="38" t="inlineStr">
        <is>
          <t>GARCERAS</t>
        </is>
      </c>
      <c r="D703" s="39" t="n">
        <v>3369</v>
      </c>
      <c r="E703" s="39" t="n">
        <v>324</v>
      </c>
      <c r="F703" s="40" t="n"/>
      <c r="G703" s="41" t="n">
        <v>0.04166666666666666</v>
      </c>
      <c r="H703" s="42" t="n"/>
      <c r="I703" s="42" t="inlineStr">
        <is>
          <t>MANIGUA</t>
        </is>
      </c>
      <c r="J703" s="108" t="inlineStr">
        <is>
          <t>CARGUEROS</t>
        </is>
      </c>
      <c r="K703" s="113" t="n"/>
      <c r="L703" s="114" t="n"/>
      <c r="M703" s="115" t="n"/>
    </row>
    <row r="704" ht="15.75" customHeight="1">
      <c r="A704" s="46" t="n">
        <v>45751</v>
      </c>
      <c r="B704" s="10" t="n">
        <v>2</v>
      </c>
      <c r="C704" s="21" t="inlineStr">
        <is>
          <t>GARCERAS</t>
        </is>
      </c>
      <c r="D704" s="12" t="n">
        <v>3369</v>
      </c>
      <c r="E704" s="12" t="n">
        <v>324</v>
      </c>
      <c r="F704" s="13" t="n"/>
      <c r="G704" s="22" t="n"/>
      <c r="H704" s="22" t="n"/>
      <c r="I704" s="22" t="inlineStr">
        <is>
          <t>MANIGUA</t>
        </is>
      </c>
      <c r="J704" s="110" t="inlineStr">
        <is>
          <t>CARGUEROS</t>
        </is>
      </c>
      <c r="K704" s="113" t="n"/>
      <c r="L704" s="114" t="n"/>
      <c r="M704" s="115" t="n"/>
    </row>
    <row r="705" ht="15.75" customHeight="1">
      <c r="A705" s="46" t="n">
        <v>45751</v>
      </c>
      <c r="B705" s="10" t="n">
        <v>3</v>
      </c>
      <c r="C705" s="21" t="inlineStr">
        <is>
          <t>GARCERAS</t>
        </is>
      </c>
      <c r="D705" s="12" t="n">
        <v>3369</v>
      </c>
      <c r="E705" s="12" t="n">
        <v>360</v>
      </c>
      <c r="F705" s="13" t="n"/>
      <c r="G705" s="22" t="n"/>
      <c r="H705" s="22" t="n"/>
      <c r="I705" s="22" t="inlineStr">
        <is>
          <t>MANIGUA</t>
        </is>
      </c>
      <c r="J705" s="110" t="inlineStr">
        <is>
          <t>CARGUEROS</t>
        </is>
      </c>
      <c r="K705" s="113" t="n"/>
      <c r="L705" s="114" t="n"/>
      <c r="M705" s="115" t="n"/>
    </row>
    <row r="706" ht="15.75" customHeight="1">
      <c r="A706" s="46" t="n">
        <v>45751</v>
      </c>
      <c r="B706" s="10" t="n">
        <v>4</v>
      </c>
      <c r="C706" s="21" t="inlineStr">
        <is>
          <t>GARCERAS</t>
        </is>
      </c>
      <c r="D706" s="12" t="n">
        <v>2946</v>
      </c>
      <c r="E706" s="12" t="n">
        <v>324</v>
      </c>
      <c r="F706" s="13" t="n"/>
      <c r="G706" s="22" t="n"/>
      <c r="H706" s="22" t="n"/>
      <c r="I706" s="22" t="inlineStr">
        <is>
          <t>MANIGUA</t>
        </is>
      </c>
      <c r="J706" s="110" t="inlineStr">
        <is>
          <t>CARGUEROS</t>
        </is>
      </c>
      <c r="K706" s="113" t="n"/>
      <c r="L706" s="114" t="n"/>
      <c r="M706" s="115" t="n"/>
    </row>
    <row r="707" ht="15.75" customHeight="1">
      <c r="A707" s="46" t="n">
        <v>45751</v>
      </c>
      <c r="B707" s="10" t="n">
        <v>5</v>
      </c>
      <c r="C707" s="21" t="inlineStr">
        <is>
          <t>GARCERAS</t>
        </is>
      </c>
      <c r="D707" s="12" t="n">
        <v>2946</v>
      </c>
      <c r="E707" s="12" t="n">
        <v>324</v>
      </c>
      <c r="F707" s="13" t="n"/>
      <c r="G707" s="22" t="n"/>
      <c r="H707" s="22" t="n"/>
      <c r="I707" s="22" t="inlineStr">
        <is>
          <t>MANIGUA</t>
        </is>
      </c>
      <c r="J707" s="110" t="inlineStr">
        <is>
          <t>CARGUEROS</t>
        </is>
      </c>
      <c r="K707" s="113" t="n"/>
      <c r="L707" s="114" t="n"/>
      <c r="M707" s="115" t="n"/>
    </row>
    <row r="708" ht="15.75" customHeight="1">
      <c r="A708" s="46" t="n">
        <v>45751</v>
      </c>
      <c r="B708" s="10" t="n">
        <v>6</v>
      </c>
      <c r="C708" s="21" t="inlineStr">
        <is>
          <t>GARCERAS</t>
        </is>
      </c>
      <c r="D708" s="12" t="n">
        <v>2946</v>
      </c>
      <c r="E708" s="12" t="n">
        <v>324</v>
      </c>
      <c r="F708" s="13" t="n"/>
      <c r="G708" s="22" t="n"/>
      <c r="H708" s="22" t="n"/>
      <c r="I708" s="22" t="inlineStr">
        <is>
          <t>MANIGUA</t>
        </is>
      </c>
      <c r="J708" s="110" t="inlineStr">
        <is>
          <t>CARGUEROS</t>
        </is>
      </c>
      <c r="K708" s="113" t="n"/>
      <c r="L708" s="114" t="n"/>
      <c r="M708" s="115" t="n"/>
    </row>
    <row r="709" ht="15.75" customHeight="1">
      <c r="A709" s="46" t="n">
        <v>45751</v>
      </c>
      <c r="B709" s="10" t="n">
        <v>7</v>
      </c>
      <c r="C709" s="21" t="inlineStr">
        <is>
          <t>GARCERAS</t>
        </is>
      </c>
      <c r="D709" s="12" t="n">
        <v>2946</v>
      </c>
      <c r="E709" s="12" t="n">
        <v>324</v>
      </c>
      <c r="F709" s="13" t="n"/>
      <c r="G709" s="22" t="n"/>
      <c r="H709" s="22" t="n"/>
      <c r="I709" s="22" t="inlineStr">
        <is>
          <t>MANIGUA</t>
        </is>
      </c>
      <c r="J709" s="110" t="inlineStr">
        <is>
          <t>CARGUEROS</t>
        </is>
      </c>
      <c r="K709" s="113" t="n"/>
      <c r="L709" s="114" t="n"/>
      <c r="M709" s="115" t="n"/>
    </row>
    <row r="710" ht="15.75" customHeight="1">
      <c r="A710" s="67" t="n">
        <v>45751</v>
      </c>
      <c r="B710" s="27" t="n">
        <v>8</v>
      </c>
      <c r="C710" s="28" t="inlineStr">
        <is>
          <t>GARCERAS</t>
        </is>
      </c>
      <c r="D710" s="29" t="n">
        <v>3855</v>
      </c>
      <c r="E710" s="29" t="n">
        <v>324</v>
      </c>
      <c r="F710" s="30" t="n"/>
      <c r="G710" s="32" t="n"/>
      <c r="H710" s="32" t="n"/>
      <c r="I710" s="32" t="inlineStr">
        <is>
          <t>MANIGUA</t>
        </is>
      </c>
      <c r="J710" s="116" t="inlineStr">
        <is>
          <t>CARGUEROS</t>
        </is>
      </c>
      <c r="K710" s="113" t="n"/>
      <c r="L710" s="114" t="n"/>
      <c r="M710" s="115" t="n"/>
    </row>
    <row r="711" ht="15.75" customHeight="1">
      <c r="A711" s="36" t="n">
        <v>45752</v>
      </c>
      <c r="B711" s="37" t="n">
        <v>1</v>
      </c>
      <c r="C711" s="38" t="inlineStr">
        <is>
          <t>GARCERAS</t>
        </is>
      </c>
      <c r="D711" s="39" t="n">
        <v>3063</v>
      </c>
      <c r="E711" s="39" t="n">
        <v>324</v>
      </c>
      <c r="F711" s="40" t="n"/>
      <c r="G711" s="41" t="n">
        <v>0</v>
      </c>
      <c r="H711" s="42" t="n"/>
      <c r="I711" s="42" t="inlineStr">
        <is>
          <t>MANIGUA</t>
        </is>
      </c>
      <c r="J711" s="108" t="inlineStr">
        <is>
          <t>CARGUEROS</t>
        </is>
      </c>
      <c r="K711" s="113" t="n"/>
      <c r="L711" s="114" t="n"/>
      <c r="M711" s="115" t="n"/>
    </row>
    <row r="712" ht="15.75" customHeight="1">
      <c r="A712" s="46" t="n">
        <v>45752</v>
      </c>
      <c r="B712" s="10" t="n">
        <v>2</v>
      </c>
      <c r="C712" s="21" t="inlineStr">
        <is>
          <t>GARCERAS</t>
        </is>
      </c>
      <c r="D712" s="12" t="n">
        <v>3063</v>
      </c>
      <c r="E712" s="12" t="n">
        <v>324</v>
      </c>
      <c r="F712" s="13" t="n"/>
      <c r="G712" s="22" t="n"/>
      <c r="H712" s="22" t="n"/>
      <c r="I712" s="22" t="inlineStr">
        <is>
          <t>MANIGUA</t>
        </is>
      </c>
      <c r="J712" s="110" t="inlineStr">
        <is>
          <t>CARGUEROS</t>
        </is>
      </c>
      <c r="K712" s="113" t="n"/>
      <c r="L712" s="114" t="n"/>
      <c r="M712" s="115" t="n"/>
    </row>
    <row r="713" ht="15.75" customHeight="1">
      <c r="A713" s="46" t="n">
        <v>45752</v>
      </c>
      <c r="B713" s="10" t="n">
        <v>3</v>
      </c>
      <c r="C713" s="21" t="inlineStr">
        <is>
          <t>GARCERAS</t>
        </is>
      </c>
      <c r="D713" s="12" t="n">
        <v>3063</v>
      </c>
      <c r="E713" s="12" t="n">
        <v>324</v>
      </c>
      <c r="F713" s="13" t="n"/>
      <c r="G713" s="22" t="n"/>
      <c r="H713" s="22" t="n"/>
      <c r="I713" s="22" t="inlineStr">
        <is>
          <t>MANIGUA</t>
        </is>
      </c>
      <c r="J713" s="110" t="inlineStr">
        <is>
          <t>CARGUEROS</t>
        </is>
      </c>
      <c r="K713" s="113" t="n"/>
      <c r="L713" s="114" t="n"/>
      <c r="M713" s="115" t="n"/>
    </row>
    <row r="714" ht="15.75" customHeight="1">
      <c r="A714" s="46" t="n">
        <v>45752</v>
      </c>
      <c r="B714" s="10" t="n">
        <v>4</v>
      </c>
      <c r="C714" s="21" t="inlineStr">
        <is>
          <t>GARCERAS</t>
        </is>
      </c>
      <c r="D714" s="12" t="n">
        <v>3063</v>
      </c>
      <c r="E714" s="12" t="n">
        <v>360</v>
      </c>
      <c r="F714" s="13" t="n"/>
      <c r="G714" s="22" t="n"/>
      <c r="H714" s="22" t="n"/>
      <c r="I714" s="22" t="inlineStr">
        <is>
          <t>MANIGUA</t>
        </is>
      </c>
      <c r="J714" s="110" t="inlineStr">
        <is>
          <t>CARGUEROS</t>
        </is>
      </c>
      <c r="K714" s="113" t="n"/>
      <c r="L714" s="114" t="n"/>
      <c r="M714" s="115" t="n"/>
    </row>
    <row r="715" ht="15.75" customHeight="1">
      <c r="A715" s="46" t="n">
        <v>45752</v>
      </c>
      <c r="B715" s="10" t="n">
        <v>5</v>
      </c>
      <c r="C715" s="21" t="inlineStr">
        <is>
          <t>GARCERAS</t>
        </is>
      </c>
      <c r="D715" s="12" t="n">
        <v>3364</v>
      </c>
      <c r="E715" s="12" t="n">
        <v>324</v>
      </c>
      <c r="F715" s="13" t="n"/>
      <c r="G715" s="22" t="n"/>
      <c r="H715" s="22" t="n"/>
      <c r="I715" s="22" t="inlineStr">
        <is>
          <t>MANIGUA</t>
        </is>
      </c>
      <c r="J715" s="110" t="inlineStr">
        <is>
          <t>CARGUEROS</t>
        </is>
      </c>
      <c r="K715" s="113" t="n"/>
      <c r="L715" s="114" t="n"/>
      <c r="M715" s="115" t="n"/>
    </row>
    <row r="716" ht="15.75" customHeight="1">
      <c r="A716" s="46" t="n">
        <v>45752</v>
      </c>
      <c r="B716" s="10" t="n">
        <v>6</v>
      </c>
      <c r="C716" s="21" t="inlineStr">
        <is>
          <t>GARCERAS</t>
        </is>
      </c>
      <c r="D716" s="12" t="n">
        <v>3364</v>
      </c>
      <c r="E716" s="12" t="n">
        <v>324</v>
      </c>
      <c r="F716" s="13" t="n"/>
      <c r="G716" s="22" t="n"/>
      <c r="H716" s="22" t="n"/>
      <c r="I716" s="22" t="inlineStr">
        <is>
          <t>MANIGUA</t>
        </is>
      </c>
      <c r="J716" s="110" t="inlineStr">
        <is>
          <t>CARGUEROS</t>
        </is>
      </c>
      <c r="K716" s="113" t="n"/>
      <c r="L716" s="114" t="n"/>
      <c r="M716" s="115" t="n"/>
    </row>
    <row r="717" ht="15.75" customHeight="1">
      <c r="A717" s="46" t="n">
        <v>45752</v>
      </c>
      <c r="B717" s="10" t="n">
        <v>7</v>
      </c>
      <c r="C717" s="21" t="inlineStr">
        <is>
          <t>GARCERAS</t>
        </is>
      </c>
      <c r="D717" s="12" t="n">
        <v>3364</v>
      </c>
      <c r="E717" s="12" t="n">
        <v>324</v>
      </c>
      <c r="F717" s="13" t="n"/>
      <c r="G717" s="22" t="n"/>
      <c r="H717" s="22" t="n"/>
      <c r="I717" s="22" t="inlineStr">
        <is>
          <t>MANIGUA</t>
        </is>
      </c>
      <c r="J717" s="110" t="inlineStr">
        <is>
          <t>CARGUEROS</t>
        </is>
      </c>
      <c r="K717" s="113" t="n"/>
      <c r="L717" s="114" t="n"/>
      <c r="M717" s="115" t="n"/>
    </row>
    <row r="718" ht="15.75" customHeight="1">
      <c r="A718" s="67" t="n">
        <v>45752</v>
      </c>
      <c r="B718" s="27" t="n">
        <v>8</v>
      </c>
      <c r="C718" s="28" t="inlineStr">
        <is>
          <t>GARCERAS</t>
        </is>
      </c>
      <c r="D718" s="29" t="n">
        <v>3364</v>
      </c>
      <c r="E718" s="29" t="n">
        <v>324</v>
      </c>
      <c r="F718" s="30" t="n"/>
      <c r="G718" s="32" t="n"/>
      <c r="H718" s="32" t="n"/>
      <c r="I718" s="32" t="inlineStr">
        <is>
          <t>MANIGUA</t>
        </is>
      </c>
      <c r="J718" s="116" t="inlineStr">
        <is>
          <t>CARGUEROS</t>
        </is>
      </c>
      <c r="K718" s="113" t="n"/>
      <c r="L718" s="114" t="n"/>
      <c r="M718" s="115" t="n"/>
    </row>
    <row r="719" ht="15.75" customHeight="1">
      <c r="A719" s="36" t="n">
        <v>45754</v>
      </c>
      <c r="B719" s="37" t="n">
        <v>1</v>
      </c>
      <c r="C719" s="38" t="inlineStr">
        <is>
          <t>GARCERAS</t>
        </is>
      </c>
      <c r="D719" s="39" t="n">
        <v>3419</v>
      </c>
      <c r="E719" s="39" t="n">
        <v>360</v>
      </c>
      <c r="F719" s="40" t="n"/>
      <c r="G719" s="41" t="n">
        <v>0</v>
      </c>
      <c r="H719" s="42" t="n"/>
      <c r="I719" s="42" t="inlineStr">
        <is>
          <t>MANIGUA</t>
        </is>
      </c>
      <c r="J719" s="108" t="inlineStr">
        <is>
          <t>CARGUEROS</t>
        </is>
      </c>
      <c r="K719" s="113" t="n"/>
      <c r="L719" s="114" t="n"/>
      <c r="M719" s="115" t="n"/>
    </row>
    <row r="720" ht="15.75" customHeight="1">
      <c r="A720" s="46" t="n">
        <v>45754</v>
      </c>
      <c r="B720" s="10" t="n">
        <v>2</v>
      </c>
      <c r="C720" s="21" t="inlineStr">
        <is>
          <t>GARCERAS</t>
        </is>
      </c>
      <c r="D720" s="12" t="n">
        <v>3419</v>
      </c>
      <c r="E720" s="12" t="n">
        <v>324</v>
      </c>
      <c r="F720" s="13" t="n"/>
      <c r="G720" s="22" t="n"/>
      <c r="H720" s="22" t="n"/>
      <c r="I720" s="22" t="inlineStr">
        <is>
          <t>MANIGUA</t>
        </is>
      </c>
      <c r="J720" s="110" t="inlineStr">
        <is>
          <t>CARGUEROS</t>
        </is>
      </c>
      <c r="K720" s="113" t="n"/>
      <c r="L720" s="114" t="n"/>
      <c r="M720" s="115" t="n"/>
    </row>
    <row r="721" ht="15.75" customHeight="1">
      <c r="A721" s="46" t="n">
        <v>45754</v>
      </c>
      <c r="B721" s="10" t="n">
        <v>3</v>
      </c>
      <c r="C721" s="21" t="inlineStr">
        <is>
          <t>GARCERAS</t>
        </is>
      </c>
      <c r="D721" s="12" t="n">
        <v>3419</v>
      </c>
      <c r="E721" s="12" t="n">
        <v>324</v>
      </c>
      <c r="F721" s="13" t="n"/>
      <c r="G721" s="22" t="n"/>
      <c r="H721" s="22" t="n"/>
      <c r="I721" s="22" t="inlineStr">
        <is>
          <t>MANIGUA</t>
        </is>
      </c>
      <c r="J721" s="110" t="inlineStr">
        <is>
          <t>CARGUEROS</t>
        </is>
      </c>
      <c r="K721" s="113" t="n"/>
      <c r="L721" s="114" t="n"/>
      <c r="M721" s="115" t="n"/>
    </row>
    <row r="722" ht="15.75" customHeight="1">
      <c r="A722" s="46" t="n">
        <v>45754</v>
      </c>
      <c r="B722" s="10" t="n">
        <v>4</v>
      </c>
      <c r="C722" s="21" t="inlineStr">
        <is>
          <t>GARCERAS</t>
        </is>
      </c>
      <c r="D722" s="12" t="n">
        <v>3789</v>
      </c>
      <c r="E722" s="12" t="n">
        <v>324</v>
      </c>
      <c r="F722" s="13" t="n"/>
      <c r="G722" s="22" t="n"/>
      <c r="H722" s="22" t="n"/>
      <c r="I722" s="22" t="inlineStr">
        <is>
          <t>MANIGUA</t>
        </is>
      </c>
      <c r="J722" s="110" t="inlineStr">
        <is>
          <t>CARGUEROS</t>
        </is>
      </c>
      <c r="K722" s="113" t="n"/>
      <c r="L722" s="114" t="n"/>
      <c r="M722" s="115" t="n"/>
    </row>
    <row r="723" ht="15.75" customHeight="1">
      <c r="A723" s="46" t="n">
        <v>45754</v>
      </c>
      <c r="B723" s="10" t="n">
        <v>5</v>
      </c>
      <c r="C723" s="21" t="inlineStr">
        <is>
          <t>GARCERAS</t>
        </is>
      </c>
      <c r="D723" s="12" t="n">
        <v>3789</v>
      </c>
      <c r="E723" s="12" t="n">
        <v>324</v>
      </c>
      <c r="F723" s="13" t="n"/>
      <c r="G723" s="22" t="n"/>
      <c r="H723" s="22" t="n"/>
      <c r="I723" s="22" t="inlineStr">
        <is>
          <t>MANIGUA</t>
        </is>
      </c>
      <c r="J723" s="110" t="inlineStr">
        <is>
          <t>CARGUEROS</t>
        </is>
      </c>
      <c r="K723" s="113" t="n"/>
      <c r="L723" s="114" t="n"/>
      <c r="M723" s="115" t="n"/>
    </row>
    <row r="724" ht="15.75" customHeight="1">
      <c r="A724" s="46" t="n">
        <v>45754</v>
      </c>
      <c r="B724" s="10" t="n">
        <v>1</v>
      </c>
      <c r="C724" s="21" t="inlineStr">
        <is>
          <t>SAN JOSE</t>
        </is>
      </c>
      <c r="D724" s="12" t="n">
        <v>3599</v>
      </c>
      <c r="E724" s="12" t="n">
        <v>360</v>
      </c>
      <c r="F724" s="13" t="n"/>
      <c r="G724" s="25" t="n">
        <v>0.2916666666666667</v>
      </c>
      <c r="H724" s="22" t="n"/>
      <c r="I724" s="22" t="inlineStr">
        <is>
          <t>MANIGUA</t>
        </is>
      </c>
      <c r="J724" s="110" t="inlineStr">
        <is>
          <t>CARGUEROS</t>
        </is>
      </c>
      <c r="K724" s="113" t="n"/>
      <c r="L724" s="114" t="n"/>
      <c r="M724" s="115" t="n"/>
    </row>
    <row r="725" ht="15.75" customHeight="1">
      <c r="A725" s="46" t="n">
        <v>45754</v>
      </c>
      <c r="B725" s="10" t="n">
        <v>2</v>
      </c>
      <c r="C725" s="21" t="inlineStr">
        <is>
          <t>SAN JOSE</t>
        </is>
      </c>
      <c r="D725" s="12" t="n">
        <v>3599</v>
      </c>
      <c r="E725" s="12" t="n">
        <v>360</v>
      </c>
      <c r="F725" s="13" t="n"/>
      <c r="G725" s="22" t="n"/>
      <c r="H725" s="22" t="n"/>
      <c r="I725" s="22" t="inlineStr">
        <is>
          <t>MANIGUA</t>
        </is>
      </c>
      <c r="J725" s="110" t="inlineStr">
        <is>
          <t>CARGUEROS</t>
        </is>
      </c>
      <c r="K725" s="113" t="n"/>
      <c r="L725" s="114" t="n"/>
      <c r="M725" s="115" t="n"/>
    </row>
    <row r="726" ht="15.75" customHeight="1">
      <c r="A726" s="46" t="n">
        <v>45754</v>
      </c>
      <c r="B726" s="10" t="n">
        <v>3</v>
      </c>
      <c r="C726" s="21" t="inlineStr">
        <is>
          <t>SAN JOSE</t>
        </is>
      </c>
      <c r="D726" s="12" t="n">
        <v>3599</v>
      </c>
      <c r="E726" s="12" t="n">
        <v>324</v>
      </c>
      <c r="F726" s="13" t="n"/>
      <c r="G726" s="22" t="n"/>
      <c r="H726" s="22" t="n"/>
      <c r="I726" s="22" t="inlineStr">
        <is>
          <t>MANIGUA</t>
        </is>
      </c>
      <c r="J726" s="110" t="inlineStr">
        <is>
          <t>CARGUEROS</t>
        </is>
      </c>
      <c r="K726" s="113" t="n"/>
      <c r="L726" s="114" t="n"/>
      <c r="M726" s="115" t="n"/>
    </row>
    <row r="727" ht="15.75" customHeight="1">
      <c r="A727" s="67" t="n">
        <v>45754</v>
      </c>
      <c r="B727" s="27" t="n">
        <v>4</v>
      </c>
      <c r="C727" s="28" t="inlineStr">
        <is>
          <t>SAN JOSE</t>
        </is>
      </c>
      <c r="D727" s="29" t="n">
        <v>3599</v>
      </c>
      <c r="E727" s="29" t="n">
        <v>324</v>
      </c>
      <c r="F727" s="30" t="n"/>
      <c r="G727" s="32" t="n"/>
      <c r="H727" s="32" t="n"/>
      <c r="I727" s="32" t="inlineStr">
        <is>
          <t>MANIGUA</t>
        </is>
      </c>
      <c r="J727" s="116" t="inlineStr">
        <is>
          <t>CARGUEROS</t>
        </is>
      </c>
      <c r="K727" s="113" t="n"/>
      <c r="L727" s="114" t="n"/>
      <c r="M727" s="115" t="n"/>
    </row>
    <row r="728" ht="15.75" customHeight="1">
      <c r="A728" s="36" t="n">
        <v>45755</v>
      </c>
      <c r="B728" s="37" t="n">
        <v>1</v>
      </c>
      <c r="C728" s="38" t="inlineStr">
        <is>
          <t>GARCERAS</t>
        </is>
      </c>
      <c r="D728" s="39" t="n">
        <v>2593</v>
      </c>
      <c r="E728" s="39" t="n">
        <v>324</v>
      </c>
      <c r="F728" s="40" t="n"/>
      <c r="G728" s="42" t="n"/>
      <c r="H728" s="42" t="n"/>
      <c r="I728" s="42" t="inlineStr">
        <is>
          <t>MANIGUA</t>
        </is>
      </c>
      <c r="J728" s="108" t="inlineStr">
        <is>
          <t>CARGUEROS</t>
        </is>
      </c>
      <c r="K728" s="113" t="n"/>
      <c r="L728" s="114" t="n"/>
      <c r="M728" s="115" t="n"/>
    </row>
    <row r="729" ht="15.75" customHeight="1">
      <c r="A729" s="46" t="n">
        <v>45755</v>
      </c>
      <c r="B729" s="10" t="n">
        <v>2</v>
      </c>
      <c r="C729" s="21" t="inlineStr">
        <is>
          <t>GARCERAS</t>
        </is>
      </c>
      <c r="D729" s="12" t="n">
        <v>2593</v>
      </c>
      <c r="E729" s="12" t="n">
        <v>324</v>
      </c>
      <c r="F729" s="13" t="n"/>
      <c r="G729" s="22" t="n"/>
      <c r="H729" s="22" t="n"/>
      <c r="I729" s="22" t="inlineStr">
        <is>
          <t>MANIGUA</t>
        </is>
      </c>
      <c r="J729" s="110" t="inlineStr">
        <is>
          <t>CARGUEROS</t>
        </is>
      </c>
      <c r="K729" s="113" t="n"/>
      <c r="L729" s="114" t="n"/>
      <c r="M729" s="115" t="n"/>
    </row>
    <row r="730" ht="15.75" customHeight="1">
      <c r="A730" s="46" t="n">
        <v>45755</v>
      </c>
      <c r="B730" s="10" t="n">
        <v>3</v>
      </c>
      <c r="C730" s="21" t="inlineStr">
        <is>
          <t>GARCERAS</t>
        </is>
      </c>
      <c r="D730" s="12" t="n">
        <v>2593</v>
      </c>
      <c r="E730" s="12" t="n">
        <v>324</v>
      </c>
      <c r="F730" s="13" t="n"/>
      <c r="G730" s="22" t="n"/>
      <c r="H730" s="22" t="n"/>
      <c r="I730" s="22" t="inlineStr">
        <is>
          <t>MANIGUA</t>
        </is>
      </c>
      <c r="J730" s="110" t="inlineStr">
        <is>
          <t>CARGUEROS</t>
        </is>
      </c>
      <c r="K730" s="113" t="n"/>
      <c r="L730" s="114" t="n"/>
      <c r="M730" s="115" t="n"/>
    </row>
    <row r="731" ht="15.75" customHeight="1">
      <c r="A731" s="46" t="n">
        <v>45755</v>
      </c>
      <c r="B731" s="10" t="n">
        <v>1</v>
      </c>
      <c r="C731" s="21" t="inlineStr">
        <is>
          <t>MALAGUEÑA</t>
        </is>
      </c>
      <c r="D731" s="12" t="n">
        <v>3242</v>
      </c>
      <c r="E731" s="12" t="n">
        <v>360</v>
      </c>
      <c r="F731" s="13" t="n"/>
      <c r="G731" s="22" t="n"/>
      <c r="H731" s="22" t="n"/>
      <c r="I731" s="22" t="inlineStr">
        <is>
          <t>MANIGUA</t>
        </is>
      </c>
      <c r="J731" s="110" t="inlineStr">
        <is>
          <t>ABONEROS</t>
        </is>
      </c>
      <c r="K731" s="113" t="n"/>
      <c r="L731" s="114" t="n"/>
      <c r="M731" s="115" t="n"/>
    </row>
    <row r="732" ht="15.75" customHeight="1">
      <c r="A732" s="46" t="n">
        <v>45755</v>
      </c>
      <c r="B732" s="10" t="n">
        <v>2</v>
      </c>
      <c r="C732" s="21" t="inlineStr">
        <is>
          <t>MALAGUEÑA</t>
        </is>
      </c>
      <c r="D732" s="12" t="n">
        <v>3242</v>
      </c>
      <c r="E732" s="12" t="n">
        <v>324</v>
      </c>
      <c r="F732" s="13" t="n"/>
      <c r="G732" s="22" t="n"/>
      <c r="H732" s="22" t="n"/>
      <c r="I732" s="22" t="inlineStr">
        <is>
          <t>MANIGUA</t>
        </is>
      </c>
      <c r="J732" s="110" t="inlineStr">
        <is>
          <t>ABONEROS</t>
        </is>
      </c>
      <c r="K732" s="113" t="n"/>
      <c r="L732" s="114" t="n"/>
      <c r="M732" s="115" t="n"/>
    </row>
    <row r="733" ht="15.75" customHeight="1">
      <c r="A733" s="46" t="n">
        <v>45755</v>
      </c>
      <c r="B733" s="10" t="n">
        <v>3</v>
      </c>
      <c r="C733" s="21" t="inlineStr">
        <is>
          <t>MALAGUEÑA</t>
        </is>
      </c>
      <c r="D733" s="12" t="n">
        <v>3242</v>
      </c>
      <c r="E733" s="12" t="n">
        <v>324</v>
      </c>
      <c r="F733" s="13" t="n"/>
      <c r="G733" s="22" t="n"/>
      <c r="H733" s="22" t="n"/>
      <c r="I733" s="22" t="inlineStr">
        <is>
          <t>MANIGUA</t>
        </is>
      </c>
      <c r="J733" s="110" t="inlineStr">
        <is>
          <t>ABONEROS</t>
        </is>
      </c>
      <c r="K733" s="113" t="n"/>
      <c r="L733" s="114" t="n"/>
      <c r="M733" s="115" t="n"/>
    </row>
    <row r="734" ht="15.75" customHeight="1">
      <c r="A734" s="46" t="n">
        <v>45755</v>
      </c>
      <c r="B734" s="10" t="n">
        <v>1</v>
      </c>
      <c r="C734" s="21" t="inlineStr">
        <is>
          <t>SAN JOSE</t>
        </is>
      </c>
      <c r="D734" s="12" t="n">
        <v>2657</v>
      </c>
      <c r="E734" s="12" t="n">
        <v>324</v>
      </c>
      <c r="F734" s="13" t="n"/>
      <c r="G734" s="22" t="n"/>
      <c r="H734" s="22" t="n"/>
      <c r="I734" s="22" t="inlineStr">
        <is>
          <t>MANIGUA</t>
        </is>
      </c>
      <c r="J734" s="110" t="inlineStr">
        <is>
          <t>CARGUEROS</t>
        </is>
      </c>
      <c r="K734" s="113" t="n"/>
      <c r="L734" s="114" t="n"/>
      <c r="M734" s="115" t="n"/>
    </row>
    <row r="735" ht="15.75" customHeight="1">
      <c r="A735" s="46" t="n">
        <v>45755</v>
      </c>
      <c r="B735" s="10" t="n">
        <v>2</v>
      </c>
      <c r="C735" s="21" t="inlineStr">
        <is>
          <t>SAN JOSE</t>
        </is>
      </c>
      <c r="D735" s="12" t="n">
        <v>2657</v>
      </c>
      <c r="E735" s="12" t="n">
        <v>324</v>
      </c>
      <c r="F735" s="13" t="n"/>
      <c r="G735" s="22" t="n"/>
      <c r="H735" s="22" t="n"/>
      <c r="I735" s="22" t="inlineStr">
        <is>
          <t>MANIGUA</t>
        </is>
      </c>
      <c r="J735" s="110" t="inlineStr">
        <is>
          <t>CARGUEROS</t>
        </is>
      </c>
      <c r="K735" s="113" t="n"/>
      <c r="L735" s="114" t="n"/>
      <c r="M735" s="115" t="n"/>
    </row>
    <row r="736" ht="15.75" customHeight="1">
      <c r="A736" s="46" t="n">
        <v>45755</v>
      </c>
      <c r="B736" s="10" t="n">
        <v>3</v>
      </c>
      <c r="C736" s="21" t="inlineStr">
        <is>
          <t>SAN JOSE</t>
        </is>
      </c>
      <c r="D736" s="12" t="n">
        <v>2657</v>
      </c>
      <c r="E736" s="12" t="n">
        <v>324</v>
      </c>
      <c r="F736" s="13" t="n"/>
      <c r="G736" s="22" t="n"/>
      <c r="H736" s="22" t="n"/>
      <c r="I736" s="22" t="inlineStr">
        <is>
          <t>MANIGUA</t>
        </is>
      </c>
      <c r="J736" s="110" t="inlineStr">
        <is>
          <t>CARGUEROS</t>
        </is>
      </c>
      <c r="K736" s="113" t="n"/>
      <c r="L736" s="114" t="n"/>
      <c r="M736" s="115" t="n"/>
    </row>
    <row r="737" ht="15.75" customHeight="1">
      <c r="A737" s="46" t="n">
        <v>45755</v>
      </c>
      <c r="B737" s="10" t="n">
        <v>4</v>
      </c>
      <c r="C737" s="21" t="inlineStr">
        <is>
          <t>SAN JOSE</t>
        </is>
      </c>
      <c r="D737" s="12" t="n">
        <v>3179</v>
      </c>
      <c r="E737" s="12" t="n">
        <v>324</v>
      </c>
      <c r="F737" s="13" t="n"/>
      <c r="G737" s="22" t="n"/>
      <c r="H737" s="22" t="n"/>
      <c r="I737" s="22" t="inlineStr">
        <is>
          <t>MANIGUA</t>
        </is>
      </c>
      <c r="J737" s="110" t="inlineStr">
        <is>
          <t>CARGUEROS</t>
        </is>
      </c>
      <c r="K737" s="113" t="n"/>
      <c r="L737" s="114" t="n"/>
      <c r="M737" s="115" t="n"/>
    </row>
    <row r="738" ht="15.75" customHeight="1">
      <c r="A738" s="46" t="n">
        <v>45755</v>
      </c>
      <c r="B738" s="10" t="n">
        <v>5</v>
      </c>
      <c r="C738" s="21" t="inlineStr">
        <is>
          <t>SAN JOSE</t>
        </is>
      </c>
      <c r="D738" s="12" t="n">
        <v>3179</v>
      </c>
      <c r="E738" s="12" t="n">
        <v>360</v>
      </c>
      <c r="F738" s="13" t="n"/>
      <c r="G738" s="22" t="n"/>
      <c r="H738" s="22" t="n"/>
      <c r="I738" s="22" t="inlineStr">
        <is>
          <t>MANIGUA</t>
        </is>
      </c>
      <c r="J738" s="110" t="inlineStr">
        <is>
          <t>CARGUEROS</t>
        </is>
      </c>
      <c r="K738" s="113" t="n"/>
      <c r="L738" s="114" t="n"/>
      <c r="M738" s="115" t="n"/>
    </row>
    <row r="739" ht="15.75" customHeight="1">
      <c r="A739" s="46" t="n">
        <v>45755</v>
      </c>
      <c r="B739" s="10" t="n">
        <v>6</v>
      </c>
      <c r="C739" s="21" t="inlineStr">
        <is>
          <t>SAN JOSE</t>
        </is>
      </c>
      <c r="D739" s="12" t="n">
        <v>2590</v>
      </c>
      <c r="E739" s="12" t="n">
        <v>324</v>
      </c>
      <c r="F739" s="13" t="n"/>
      <c r="G739" s="22" t="n"/>
      <c r="H739" s="22" t="n"/>
      <c r="I739" s="22" t="inlineStr">
        <is>
          <t>MANIGUA</t>
        </is>
      </c>
      <c r="J739" s="110" t="inlineStr">
        <is>
          <t>CARGUEROS</t>
        </is>
      </c>
      <c r="K739" s="113" t="n"/>
      <c r="L739" s="114" t="n"/>
      <c r="M739" s="115" t="n"/>
    </row>
    <row r="740" ht="15.75" customHeight="1">
      <c r="A740" s="46" t="n">
        <v>45755</v>
      </c>
      <c r="B740" s="10" t="n">
        <v>7</v>
      </c>
      <c r="C740" s="21" t="inlineStr">
        <is>
          <t>SAN JOSE</t>
        </is>
      </c>
      <c r="D740" s="12" t="n">
        <v>2590</v>
      </c>
      <c r="E740" s="12" t="n">
        <v>324</v>
      </c>
      <c r="F740" s="13" t="n"/>
      <c r="G740" s="22" t="n"/>
      <c r="H740" s="22" t="n"/>
      <c r="I740" s="22" t="inlineStr">
        <is>
          <t>MANIGUA</t>
        </is>
      </c>
      <c r="J740" s="110" t="inlineStr">
        <is>
          <t>CARGUEROS</t>
        </is>
      </c>
      <c r="K740" s="113" t="n"/>
      <c r="L740" s="114" t="n"/>
      <c r="M740" s="115" t="n"/>
    </row>
    <row r="741" ht="15.75" customHeight="1">
      <c r="A741" s="67" t="n">
        <v>45755</v>
      </c>
      <c r="B741" s="27" t="n">
        <v>8</v>
      </c>
      <c r="C741" s="28" t="inlineStr">
        <is>
          <t>SAN JOSE</t>
        </is>
      </c>
      <c r="D741" s="29" t="n">
        <v>2590</v>
      </c>
      <c r="E741" s="29" t="n">
        <v>360</v>
      </c>
      <c r="F741" s="30" t="n"/>
      <c r="G741" s="32" t="n"/>
      <c r="H741" s="32" t="n"/>
      <c r="I741" s="32" t="inlineStr">
        <is>
          <t>MANIGUA</t>
        </is>
      </c>
      <c r="J741" s="116" t="inlineStr">
        <is>
          <t>CARGUEROS</t>
        </is>
      </c>
      <c r="K741" s="113" t="n"/>
      <c r="L741" s="114" t="n"/>
      <c r="M741" s="115" t="n"/>
    </row>
    <row r="742" ht="15.75" customHeight="1">
      <c r="A742" s="36" t="n">
        <v>45757</v>
      </c>
      <c r="B742" s="37" t="n">
        <v>1</v>
      </c>
      <c r="C742" s="38" t="inlineStr">
        <is>
          <t>MALAGUEÑA</t>
        </is>
      </c>
      <c r="D742" s="39" t="n">
        <v>3503</v>
      </c>
      <c r="E742" s="39" t="n">
        <v>324</v>
      </c>
      <c r="F742" s="40" t="n"/>
      <c r="G742" s="42" t="n"/>
      <c r="H742" s="42" t="n"/>
      <c r="I742" s="42" t="inlineStr">
        <is>
          <t>MANIGUA</t>
        </is>
      </c>
      <c r="J742" s="108" t="inlineStr">
        <is>
          <t>ABONEROS</t>
        </is>
      </c>
      <c r="K742" s="113" t="n"/>
      <c r="L742" s="114" t="n"/>
      <c r="M742" s="115" t="n"/>
    </row>
    <row r="743" ht="15.75" customHeight="1">
      <c r="A743" s="46" t="n">
        <v>45757</v>
      </c>
      <c r="B743" s="10" t="n">
        <v>2</v>
      </c>
      <c r="C743" s="21" t="inlineStr">
        <is>
          <t>MALAGUEÑA</t>
        </is>
      </c>
      <c r="D743" s="12" t="n">
        <v>3503</v>
      </c>
      <c r="E743" s="12" t="n">
        <v>324</v>
      </c>
      <c r="F743" s="13" t="n"/>
      <c r="G743" s="22" t="n"/>
      <c r="H743" s="22" t="n"/>
      <c r="I743" s="22" t="inlineStr">
        <is>
          <t>MANIGUA</t>
        </is>
      </c>
      <c r="J743" s="110" t="inlineStr">
        <is>
          <t>ABONEROS</t>
        </is>
      </c>
      <c r="K743" s="113" t="n"/>
      <c r="L743" s="114" t="n"/>
      <c r="M743" s="115" t="n"/>
    </row>
    <row r="744" ht="15.75" customHeight="1">
      <c r="A744" s="46" t="n">
        <v>45757</v>
      </c>
      <c r="B744" s="10" t="n">
        <v>1</v>
      </c>
      <c r="C744" s="21" t="inlineStr">
        <is>
          <t>GARCERAS</t>
        </is>
      </c>
      <c r="D744" s="12" t="n">
        <v>3504</v>
      </c>
      <c r="E744" s="12" t="n">
        <v>324</v>
      </c>
      <c r="F744" s="13" t="n"/>
      <c r="G744" s="22" t="n"/>
      <c r="H744" s="22" t="n"/>
      <c r="I744" s="22" t="inlineStr">
        <is>
          <t>MANIGUA</t>
        </is>
      </c>
      <c r="J744" s="110" t="inlineStr">
        <is>
          <t>CARGUEROS</t>
        </is>
      </c>
      <c r="K744" s="113" t="n"/>
      <c r="L744" s="114" t="n"/>
      <c r="M744" s="115" t="n"/>
    </row>
    <row r="745" ht="15.75" customHeight="1">
      <c r="A745" s="46" t="n">
        <v>45757</v>
      </c>
      <c r="B745" s="10" t="n">
        <v>2</v>
      </c>
      <c r="C745" s="21" t="inlineStr">
        <is>
          <t>GARCERAS</t>
        </is>
      </c>
      <c r="D745" s="12" t="n">
        <v>3504</v>
      </c>
      <c r="E745" s="12" t="n">
        <v>324</v>
      </c>
      <c r="F745" s="13" t="n"/>
      <c r="G745" s="22" t="n"/>
      <c r="H745" s="22" t="n"/>
      <c r="I745" s="22" t="inlineStr">
        <is>
          <t>MANIGUA</t>
        </is>
      </c>
      <c r="J745" s="110" t="inlineStr">
        <is>
          <t>CARGUEROS</t>
        </is>
      </c>
      <c r="K745" s="113" t="n"/>
      <c r="L745" s="114" t="n"/>
      <c r="M745" s="115" t="n"/>
    </row>
    <row r="746" ht="15.75" customHeight="1">
      <c r="A746" s="46" t="n">
        <v>45757</v>
      </c>
      <c r="B746" s="10" t="n">
        <v>3</v>
      </c>
      <c r="C746" s="21" t="inlineStr">
        <is>
          <t>GARCERAS</t>
        </is>
      </c>
      <c r="D746" s="12" t="n">
        <v>3504</v>
      </c>
      <c r="E746" s="12" t="n">
        <v>324</v>
      </c>
      <c r="F746" s="13" t="n"/>
      <c r="G746" s="22" t="n"/>
      <c r="H746" s="22" t="n"/>
      <c r="I746" s="22" t="inlineStr">
        <is>
          <t>MANIGUA</t>
        </is>
      </c>
      <c r="J746" s="110" t="inlineStr">
        <is>
          <t>CARGUEROS</t>
        </is>
      </c>
      <c r="K746" s="113" t="n"/>
      <c r="L746" s="114" t="n"/>
      <c r="M746" s="115" t="n"/>
    </row>
    <row r="747" ht="15.75" customHeight="1">
      <c r="A747" s="46" t="n">
        <v>45757</v>
      </c>
      <c r="B747" s="10" t="n">
        <v>4</v>
      </c>
      <c r="C747" s="21" t="inlineStr">
        <is>
          <t>GARCERAS</t>
        </is>
      </c>
      <c r="D747" s="12" t="n">
        <v>3504</v>
      </c>
      <c r="E747" s="12" t="n">
        <v>324</v>
      </c>
      <c r="F747" s="13" t="n"/>
      <c r="G747" s="22" t="n"/>
      <c r="H747" s="22" t="n"/>
      <c r="I747" s="22" t="inlineStr">
        <is>
          <t>MANIGUA</t>
        </is>
      </c>
      <c r="J747" s="110" t="inlineStr">
        <is>
          <t>CARGUEROS</t>
        </is>
      </c>
      <c r="K747" s="113" t="n"/>
      <c r="L747" s="114" t="n"/>
      <c r="M747" s="115" t="n"/>
    </row>
    <row r="748" ht="15.75" customHeight="1">
      <c r="A748" s="46" t="n">
        <v>45757</v>
      </c>
      <c r="B748" s="10" t="n">
        <v>5</v>
      </c>
      <c r="C748" s="21" t="inlineStr">
        <is>
          <t>GARCERAS</t>
        </is>
      </c>
      <c r="D748" s="12" t="n">
        <v>3506</v>
      </c>
      <c r="E748" s="12" t="n">
        <v>324</v>
      </c>
      <c r="F748" s="13" t="n"/>
      <c r="G748" s="22" t="n"/>
      <c r="H748" s="22" t="n"/>
      <c r="I748" s="22" t="inlineStr">
        <is>
          <t>MANIGUA</t>
        </is>
      </c>
      <c r="J748" s="110" t="inlineStr">
        <is>
          <t>CARGUEROS</t>
        </is>
      </c>
      <c r="K748" s="113" t="n"/>
      <c r="L748" s="114" t="n"/>
      <c r="M748" s="115" t="n"/>
    </row>
    <row r="749" ht="15.75" customHeight="1">
      <c r="A749" s="67" t="n">
        <v>45757</v>
      </c>
      <c r="B749" s="27" t="n">
        <v>6</v>
      </c>
      <c r="C749" s="28" t="inlineStr">
        <is>
          <t>GARCERAS</t>
        </is>
      </c>
      <c r="D749" s="29" t="n">
        <v>3506</v>
      </c>
      <c r="E749" s="29" t="n">
        <v>360</v>
      </c>
      <c r="F749" s="30" t="n"/>
      <c r="G749" s="32" t="n"/>
      <c r="H749" s="32" t="n"/>
      <c r="I749" s="32" t="inlineStr">
        <is>
          <t>MANIGUA</t>
        </is>
      </c>
      <c r="J749" s="116" t="inlineStr">
        <is>
          <t>CARGUEROS</t>
        </is>
      </c>
      <c r="K749" s="113" t="n"/>
      <c r="L749" s="114" t="n"/>
      <c r="M749" s="115" t="n"/>
    </row>
    <row r="750" ht="15.75" customHeight="1">
      <c r="A750" s="36" t="n">
        <v>45758</v>
      </c>
      <c r="B750" s="37" t="n">
        <v>1</v>
      </c>
      <c r="C750" s="38" t="inlineStr">
        <is>
          <t>GARCERAS</t>
        </is>
      </c>
      <c r="D750" s="39" t="n">
        <v>3409</v>
      </c>
      <c r="E750" s="39" t="n">
        <v>324</v>
      </c>
      <c r="F750" s="40" t="n"/>
      <c r="G750" s="42" t="n"/>
      <c r="H750" s="42" t="n"/>
      <c r="I750" s="42" t="inlineStr">
        <is>
          <t>MANIGUA</t>
        </is>
      </c>
      <c r="J750" s="108" t="inlineStr">
        <is>
          <t>CARGUEROS</t>
        </is>
      </c>
      <c r="K750" s="113" t="n"/>
      <c r="L750" s="114" t="n"/>
      <c r="M750" s="115" t="n"/>
    </row>
    <row r="751" ht="15.75" customHeight="1">
      <c r="A751" s="46" t="n">
        <v>45758</v>
      </c>
      <c r="B751" s="10" t="n">
        <v>2</v>
      </c>
      <c r="C751" s="21" t="inlineStr">
        <is>
          <t>GARCERAS</t>
        </is>
      </c>
      <c r="D751" s="12" t="n">
        <v>3409</v>
      </c>
      <c r="E751" s="12" t="n">
        <v>360</v>
      </c>
      <c r="F751" s="13" t="n"/>
      <c r="G751" s="22" t="n"/>
      <c r="H751" s="22" t="n"/>
      <c r="I751" s="22" t="inlineStr">
        <is>
          <t>MANIGUA</t>
        </is>
      </c>
      <c r="J751" s="110" t="inlineStr">
        <is>
          <t>CARGUEROS</t>
        </is>
      </c>
      <c r="K751" s="113" t="n"/>
      <c r="L751" s="114" t="n"/>
      <c r="M751" s="115" t="n"/>
    </row>
    <row r="752" ht="15.75" customHeight="1">
      <c r="A752" s="46" t="n">
        <v>45758</v>
      </c>
      <c r="B752" s="10" t="n">
        <v>3</v>
      </c>
      <c r="C752" s="21" t="inlineStr">
        <is>
          <t>GARCERAS</t>
        </is>
      </c>
      <c r="D752" s="12" t="n">
        <v>3447</v>
      </c>
      <c r="E752" s="12" t="n">
        <v>324</v>
      </c>
      <c r="F752" s="13" t="n"/>
      <c r="G752" s="22" t="n"/>
      <c r="H752" s="22" t="n"/>
      <c r="I752" s="22" t="inlineStr">
        <is>
          <t>MANIGUA</t>
        </is>
      </c>
      <c r="J752" s="110" t="inlineStr">
        <is>
          <t>CARGUEROS</t>
        </is>
      </c>
      <c r="K752" s="113" t="n"/>
      <c r="L752" s="114" t="n"/>
      <c r="M752" s="115" t="n"/>
    </row>
    <row r="753" ht="15.75" customHeight="1">
      <c r="A753" s="46" t="n">
        <v>45758</v>
      </c>
      <c r="B753" s="10" t="n">
        <v>4</v>
      </c>
      <c r="C753" s="21" t="inlineStr">
        <is>
          <t>GARCERAS</t>
        </is>
      </c>
      <c r="D753" s="12" t="n">
        <v>3447</v>
      </c>
      <c r="E753" s="12" t="n">
        <v>360</v>
      </c>
      <c r="F753" s="13" t="n"/>
      <c r="G753" s="22" t="n"/>
      <c r="H753" s="22" t="n"/>
      <c r="I753" s="22" t="inlineStr">
        <is>
          <t>MANIGUA</t>
        </is>
      </c>
      <c r="J753" s="110" t="inlineStr">
        <is>
          <t>CARGUEROS</t>
        </is>
      </c>
      <c r="K753" s="113" t="n"/>
      <c r="L753" s="114" t="n"/>
      <c r="M753" s="115" t="n"/>
    </row>
    <row r="754" ht="15.75" customHeight="1">
      <c r="A754" s="46" t="n">
        <v>45758</v>
      </c>
      <c r="B754" s="10" t="n">
        <v>5</v>
      </c>
      <c r="C754" s="21" t="inlineStr">
        <is>
          <t>GARCERAS</t>
        </is>
      </c>
      <c r="D754" s="12" t="n">
        <v>3447</v>
      </c>
      <c r="E754" s="12" t="n">
        <v>324</v>
      </c>
      <c r="F754" s="13" t="n"/>
      <c r="G754" s="22" t="n"/>
      <c r="H754" s="22" t="n"/>
      <c r="I754" s="22" t="inlineStr">
        <is>
          <t>MANIGUA</t>
        </is>
      </c>
      <c r="J754" s="110" t="inlineStr">
        <is>
          <t>CARGUEROS</t>
        </is>
      </c>
      <c r="K754" s="113" t="n"/>
      <c r="L754" s="114" t="n"/>
      <c r="M754" s="115" t="n"/>
    </row>
    <row r="755" ht="15.75" customHeight="1">
      <c r="A755" s="46" t="n">
        <v>45758</v>
      </c>
      <c r="B755" s="10" t="n">
        <v>6</v>
      </c>
      <c r="C755" s="21" t="inlineStr">
        <is>
          <t>GARCERAS</t>
        </is>
      </c>
      <c r="D755" s="12" t="n">
        <v>3447</v>
      </c>
      <c r="E755" s="12" t="n">
        <v>324</v>
      </c>
      <c r="F755" s="13" t="n"/>
      <c r="G755" s="22" t="n"/>
      <c r="H755" s="22" t="n"/>
      <c r="I755" s="22" t="inlineStr">
        <is>
          <t>MANIGUA</t>
        </is>
      </c>
      <c r="J755" s="110" t="inlineStr">
        <is>
          <t>CARGUEROS</t>
        </is>
      </c>
      <c r="K755" s="113" t="n"/>
      <c r="L755" s="114" t="n"/>
      <c r="M755" s="115" t="n"/>
    </row>
    <row r="756" ht="15.75" customHeight="1">
      <c r="A756" s="46" t="n">
        <v>45758</v>
      </c>
      <c r="B756" s="10" t="n">
        <v>7</v>
      </c>
      <c r="C756" s="21" t="inlineStr">
        <is>
          <t>GARCERAS</t>
        </is>
      </c>
      <c r="D756" s="12" t="n">
        <v>2678</v>
      </c>
      <c r="E756" s="12" t="n">
        <v>324</v>
      </c>
      <c r="F756" s="13" t="n"/>
      <c r="G756" s="22" t="n"/>
      <c r="H756" s="22" t="n"/>
      <c r="I756" s="22" t="inlineStr">
        <is>
          <t>MANIGUA</t>
        </is>
      </c>
      <c r="J756" s="110" t="inlineStr">
        <is>
          <t>CARGUEROS</t>
        </is>
      </c>
      <c r="K756" s="113" t="n"/>
      <c r="L756" s="114" t="n"/>
      <c r="M756" s="115" t="n"/>
    </row>
    <row r="757" ht="15.75" customHeight="1">
      <c r="A757" s="46" t="n">
        <v>45758</v>
      </c>
      <c r="B757" s="10" t="n">
        <v>8</v>
      </c>
      <c r="C757" s="21" t="inlineStr">
        <is>
          <t>GARCERAS</t>
        </is>
      </c>
      <c r="D757" s="12" t="n">
        <v>2678</v>
      </c>
      <c r="E757" s="12" t="n">
        <v>324</v>
      </c>
      <c r="F757" s="13" t="n"/>
      <c r="G757" s="22" t="n"/>
      <c r="H757" s="22" t="n"/>
      <c r="I757" s="22" t="inlineStr">
        <is>
          <t>MANIGUA</t>
        </is>
      </c>
      <c r="J757" s="110" t="inlineStr">
        <is>
          <t>CARGUEROS</t>
        </is>
      </c>
      <c r="K757" s="113" t="n"/>
      <c r="L757" s="114" t="n"/>
      <c r="M757" s="115" t="n"/>
    </row>
    <row r="758" ht="15.75" customHeight="1">
      <c r="A758" s="46" t="n">
        <v>45758</v>
      </c>
      <c r="B758" s="10" t="n">
        <v>9</v>
      </c>
      <c r="C758" s="21" t="inlineStr">
        <is>
          <t>GARCERAS</t>
        </is>
      </c>
      <c r="D758" s="12" t="n">
        <v>2678</v>
      </c>
      <c r="E758" s="12" t="n">
        <v>360</v>
      </c>
      <c r="F758" s="13" t="n"/>
      <c r="G758" s="22" t="n"/>
      <c r="H758" s="22" t="n"/>
      <c r="I758" s="22" t="inlineStr">
        <is>
          <t>MANIGUA</t>
        </is>
      </c>
      <c r="J758" s="110" t="inlineStr">
        <is>
          <t>CARGUEROS</t>
        </is>
      </c>
      <c r="K758" s="113" t="n"/>
      <c r="L758" s="114" t="n"/>
      <c r="M758" s="115" t="n"/>
    </row>
    <row r="759" ht="15.75" customHeight="1">
      <c r="A759" s="46" t="n">
        <v>45758</v>
      </c>
      <c r="B759" s="10" t="n">
        <v>10</v>
      </c>
      <c r="C759" s="21" t="inlineStr">
        <is>
          <t>GARCERAS</t>
        </is>
      </c>
      <c r="D759" s="12" t="n">
        <v>3320</v>
      </c>
      <c r="E759" s="12" t="n">
        <v>324</v>
      </c>
      <c r="F759" s="13" t="n"/>
      <c r="G759" s="22" t="n"/>
      <c r="H759" s="22" t="n"/>
      <c r="I759" s="22" t="inlineStr">
        <is>
          <t>MANIGUA</t>
        </is>
      </c>
      <c r="J759" s="110" t="inlineStr">
        <is>
          <t>CARGUEROS</t>
        </is>
      </c>
      <c r="K759" s="113" t="n"/>
      <c r="L759" s="114" t="n"/>
      <c r="M759" s="115" t="n"/>
    </row>
    <row r="760" ht="15.75" customHeight="1">
      <c r="A760" s="46" t="n">
        <v>45758</v>
      </c>
      <c r="B760" s="10" t="n">
        <v>1</v>
      </c>
      <c r="C760" s="21" t="inlineStr">
        <is>
          <t>MALAGUEÑA</t>
        </is>
      </c>
      <c r="D760" s="12" t="n">
        <v>3883</v>
      </c>
      <c r="E760" s="12" t="n">
        <v>360</v>
      </c>
      <c r="F760" s="13" t="n"/>
      <c r="G760" s="22" t="n"/>
      <c r="H760" s="22" t="n"/>
      <c r="I760" s="22" t="inlineStr">
        <is>
          <t>MANIGUA</t>
        </is>
      </c>
      <c r="J760" s="110" t="inlineStr">
        <is>
          <t>ABONEROS</t>
        </is>
      </c>
      <c r="K760" s="113" t="n"/>
      <c r="L760" s="114" t="n"/>
      <c r="M760" s="115" t="n"/>
    </row>
    <row r="761" ht="15.75" customHeight="1">
      <c r="A761" s="46" t="n">
        <v>45758</v>
      </c>
      <c r="B761" s="10" t="n">
        <v>2</v>
      </c>
      <c r="C761" s="21" t="inlineStr">
        <is>
          <t>MALAGUEÑA</t>
        </is>
      </c>
      <c r="D761" s="12" t="n">
        <v>3883</v>
      </c>
      <c r="E761" s="12" t="n">
        <v>324</v>
      </c>
      <c r="F761" s="13" t="n"/>
      <c r="G761" s="22" t="n"/>
      <c r="H761" s="22" t="n"/>
      <c r="I761" s="22" t="inlineStr">
        <is>
          <t>MANIGUA</t>
        </is>
      </c>
      <c r="J761" s="110" t="inlineStr">
        <is>
          <t>ABONEROS</t>
        </is>
      </c>
      <c r="K761" s="113" t="n"/>
      <c r="L761" s="114" t="n"/>
      <c r="M761" s="115" t="n"/>
    </row>
    <row r="762" ht="15.75" customHeight="1">
      <c r="A762" s="46" t="n">
        <v>45758</v>
      </c>
      <c r="B762" s="10" t="n">
        <v>3</v>
      </c>
      <c r="C762" s="21" t="inlineStr">
        <is>
          <t>MALAGUEÑA</t>
        </is>
      </c>
      <c r="D762" s="12" t="n">
        <v>3465</v>
      </c>
      <c r="E762" s="12" t="n">
        <v>324</v>
      </c>
      <c r="F762" s="13" t="n"/>
      <c r="G762" s="22" t="n"/>
      <c r="H762" s="22" t="n"/>
      <c r="I762" s="22" t="inlineStr">
        <is>
          <t>MANIGUA</t>
        </is>
      </c>
      <c r="J762" s="110" t="inlineStr">
        <is>
          <t>ABONEROS</t>
        </is>
      </c>
      <c r="K762" s="113" t="n"/>
      <c r="L762" s="114" t="n"/>
      <c r="M762" s="115" t="n"/>
    </row>
    <row r="763" ht="15.75" customHeight="1">
      <c r="A763" s="46" t="n">
        <v>45758</v>
      </c>
      <c r="B763" s="10" t="n">
        <v>4</v>
      </c>
      <c r="C763" s="21" t="inlineStr">
        <is>
          <t>MALAGUEÑA</t>
        </is>
      </c>
      <c r="D763" s="12" t="n">
        <v>3388</v>
      </c>
      <c r="E763" s="12" t="n">
        <v>324</v>
      </c>
      <c r="F763" s="13" t="n"/>
      <c r="G763" s="22" t="n"/>
      <c r="H763" s="22" t="n"/>
      <c r="I763" s="22" t="inlineStr">
        <is>
          <t>MANIGUA</t>
        </is>
      </c>
      <c r="J763" s="110" t="inlineStr">
        <is>
          <t>ABONEROS</t>
        </is>
      </c>
      <c r="K763" s="113" t="n"/>
      <c r="L763" s="114" t="n"/>
      <c r="M763" s="115" t="n"/>
    </row>
    <row r="764" ht="15.75" customHeight="1">
      <c r="A764" s="46" t="n">
        <v>45758</v>
      </c>
      <c r="B764" s="10" t="n">
        <v>5</v>
      </c>
      <c r="C764" s="21" t="inlineStr">
        <is>
          <t>MALAGUEÑA</t>
        </is>
      </c>
      <c r="D764" s="12" t="n">
        <v>3388</v>
      </c>
      <c r="E764" s="12" t="n">
        <v>324</v>
      </c>
      <c r="F764" s="13" t="n"/>
      <c r="G764" s="22" t="n"/>
      <c r="H764" s="22" t="n"/>
      <c r="I764" s="22" t="inlineStr">
        <is>
          <t>MANIGUA</t>
        </is>
      </c>
      <c r="J764" s="110" t="inlineStr">
        <is>
          <t>ABONEROS</t>
        </is>
      </c>
      <c r="K764" s="113" t="n"/>
      <c r="L764" s="114" t="n"/>
      <c r="M764" s="115" t="n"/>
    </row>
    <row r="765" ht="15.75" customHeight="1">
      <c r="A765" s="67" t="n">
        <v>45758</v>
      </c>
      <c r="B765" s="27" t="n">
        <v>6</v>
      </c>
      <c r="C765" s="28" t="inlineStr">
        <is>
          <t>MALAGUEÑA</t>
        </is>
      </c>
      <c r="D765" s="29" t="n">
        <v>3388</v>
      </c>
      <c r="E765" s="29" t="n">
        <v>360</v>
      </c>
      <c r="F765" s="30" t="n"/>
      <c r="G765" s="32" t="n"/>
      <c r="H765" s="32" t="n"/>
      <c r="I765" s="32" t="inlineStr">
        <is>
          <t>MANIGUA</t>
        </is>
      </c>
      <c r="J765" s="116" t="inlineStr">
        <is>
          <t>ABONEROS</t>
        </is>
      </c>
      <c r="K765" s="113" t="n"/>
      <c r="L765" s="114" t="n"/>
      <c r="M765" s="115" t="n"/>
    </row>
    <row r="766" ht="15.75" customHeight="1">
      <c r="A766" s="36" t="n">
        <v>45759</v>
      </c>
      <c r="B766" s="37" t="n">
        <v>1</v>
      </c>
      <c r="C766" s="38" t="inlineStr">
        <is>
          <t>GARCERAS</t>
        </is>
      </c>
      <c r="D766" s="39" t="n">
        <v>2914</v>
      </c>
      <c r="E766" s="39" t="n">
        <v>324</v>
      </c>
      <c r="F766" s="40" t="n"/>
      <c r="G766" s="42" t="n"/>
      <c r="H766" s="42" t="n"/>
      <c r="I766" s="42" t="inlineStr">
        <is>
          <t>MANIGUA</t>
        </is>
      </c>
      <c r="J766" s="108" t="inlineStr">
        <is>
          <t>ABONEROS</t>
        </is>
      </c>
      <c r="K766" s="113" t="n"/>
      <c r="L766" s="114" t="n"/>
      <c r="M766" s="115" t="n"/>
    </row>
    <row r="767" ht="15.75" customHeight="1">
      <c r="A767" s="46" t="n">
        <v>45759</v>
      </c>
      <c r="B767" s="10" t="n">
        <v>1</v>
      </c>
      <c r="C767" s="21" t="inlineStr">
        <is>
          <t>MALAGUEÑA</t>
        </is>
      </c>
      <c r="D767" s="12" t="n">
        <v>3371</v>
      </c>
      <c r="E767" s="12" t="n">
        <v>324</v>
      </c>
      <c r="F767" s="13" t="n"/>
      <c r="G767" s="22" t="n"/>
      <c r="H767" s="22" t="n"/>
      <c r="I767" s="22" t="inlineStr">
        <is>
          <t>MANIGUA</t>
        </is>
      </c>
      <c r="J767" s="110" t="inlineStr">
        <is>
          <t>CARGUEROS</t>
        </is>
      </c>
      <c r="K767" s="113" t="n"/>
      <c r="L767" s="114" t="n"/>
      <c r="M767" s="115" t="n"/>
    </row>
    <row r="768" ht="15.75" customHeight="1">
      <c r="A768" s="46" t="n">
        <v>45759</v>
      </c>
      <c r="B768" s="10" t="n">
        <v>2</v>
      </c>
      <c r="C768" s="21" t="inlineStr">
        <is>
          <t>MALAGUEÑA</t>
        </is>
      </c>
      <c r="D768" s="12" t="n">
        <v>3371</v>
      </c>
      <c r="E768" s="12" t="n">
        <v>324</v>
      </c>
      <c r="F768" s="13" t="n"/>
      <c r="G768" s="22" t="n"/>
      <c r="H768" s="22" t="n"/>
      <c r="I768" s="22" t="inlineStr">
        <is>
          <t>MANIGUA</t>
        </is>
      </c>
      <c r="J768" s="110" t="inlineStr">
        <is>
          <t>CARGUEROS</t>
        </is>
      </c>
      <c r="K768" s="113" t="n"/>
      <c r="L768" s="114" t="n"/>
      <c r="M768" s="115" t="n"/>
    </row>
    <row r="769" ht="15.75" customHeight="1">
      <c r="A769" s="46" t="n">
        <v>45759</v>
      </c>
      <c r="B769" s="10" t="n">
        <v>3</v>
      </c>
      <c r="C769" s="21" t="inlineStr">
        <is>
          <t>MALAGUEÑA</t>
        </is>
      </c>
      <c r="D769" s="12" t="n">
        <v>3371</v>
      </c>
      <c r="E769" s="12" t="n">
        <v>360</v>
      </c>
      <c r="F769" s="13" t="n"/>
      <c r="G769" s="22" t="n"/>
      <c r="H769" s="22" t="n"/>
      <c r="I769" s="22" t="inlineStr">
        <is>
          <t>MANIGUA</t>
        </is>
      </c>
      <c r="J769" s="110" t="inlineStr">
        <is>
          <t>CARGUEROS</t>
        </is>
      </c>
      <c r="K769" s="113" t="n"/>
      <c r="L769" s="114" t="n"/>
      <c r="M769" s="115" t="n"/>
    </row>
    <row r="770" ht="15.75" customHeight="1">
      <c r="A770" s="46" t="n">
        <v>45759</v>
      </c>
      <c r="B770" s="10" t="n">
        <v>4</v>
      </c>
      <c r="C770" s="21" t="inlineStr">
        <is>
          <t>MALAGUEÑA</t>
        </is>
      </c>
      <c r="D770" s="12" t="n">
        <v>3935</v>
      </c>
      <c r="E770" s="12" t="n">
        <v>324</v>
      </c>
      <c r="F770" s="13" t="n"/>
      <c r="G770" s="22" t="n"/>
      <c r="H770" s="22" t="n"/>
      <c r="I770" s="22" t="inlineStr">
        <is>
          <t>MANIGUA</t>
        </is>
      </c>
      <c r="J770" s="110" t="inlineStr">
        <is>
          <t>CARGUEROS</t>
        </is>
      </c>
      <c r="K770" s="113" t="n"/>
      <c r="L770" s="114" t="n"/>
      <c r="M770" s="115" t="n"/>
    </row>
    <row r="771" ht="15.75" customHeight="1">
      <c r="A771" s="67" t="n">
        <v>45759</v>
      </c>
      <c r="B771" s="27" t="n">
        <v>5</v>
      </c>
      <c r="C771" s="28" t="inlineStr">
        <is>
          <t>MALAGUEÑA</t>
        </is>
      </c>
      <c r="D771" s="29" t="n">
        <v>3935</v>
      </c>
      <c r="E771" s="29" t="n">
        <v>360</v>
      </c>
      <c r="F771" s="30" t="n"/>
      <c r="G771" s="32" t="n"/>
      <c r="H771" s="32" t="n"/>
      <c r="I771" s="32" t="inlineStr">
        <is>
          <t>MANIGUA</t>
        </is>
      </c>
      <c r="J771" s="116" t="inlineStr">
        <is>
          <t>CARGUEROS</t>
        </is>
      </c>
      <c r="K771" s="113" t="n"/>
      <c r="L771" s="114" t="n"/>
      <c r="M771" s="115" t="n"/>
    </row>
    <row r="772" ht="15.75" customHeight="1">
      <c r="A772" s="36" t="n">
        <v>45760</v>
      </c>
      <c r="B772" s="37" t="n">
        <v>1</v>
      </c>
      <c r="C772" s="38" t="inlineStr">
        <is>
          <t>MALAGUEÑA</t>
        </is>
      </c>
      <c r="D772" s="39" t="n">
        <v>3748</v>
      </c>
      <c r="E772" s="39" t="n">
        <v>324</v>
      </c>
      <c r="F772" s="40" t="n"/>
      <c r="G772" s="42" t="n"/>
      <c r="H772" s="42" t="n"/>
      <c r="I772" s="42" t="inlineStr">
        <is>
          <t>MANIGUA</t>
        </is>
      </c>
      <c r="J772" s="108" t="inlineStr">
        <is>
          <t>CARGUEROS</t>
        </is>
      </c>
      <c r="K772" s="113" t="n"/>
      <c r="L772" s="114" t="n"/>
      <c r="M772" s="115" t="n"/>
    </row>
    <row r="773" ht="15.75" customHeight="1">
      <c r="A773" s="46" t="n">
        <v>45760</v>
      </c>
      <c r="B773" s="10" t="n">
        <v>2</v>
      </c>
      <c r="C773" s="21" t="inlineStr">
        <is>
          <t>MALAGUEÑA</t>
        </is>
      </c>
      <c r="D773" s="12" t="n">
        <v>3748</v>
      </c>
      <c r="E773" s="12" t="n">
        <v>324</v>
      </c>
      <c r="F773" s="13" t="n"/>
      <c r="G773" s="22" t="n"/>
      <c r="H773" s="22" t="n"/>
      <c r="I773" s="22" t="inlineStr">
        <is>
          <t>MANIGUA</t>
        </is>
      </c>
      <c r="J773" s="110" t="inlineStr">
        <is>
          <t>CARGUEROS</t>
        </is>
      </c>
      <c r="K773" s="113" t="n"/>
      <c r="L773" s="114" t="n"/>
      <c r="M773" s="115" t="n"/>
    </row>
    <row r="774" ht="15.75" customHeight="1">
      <c r="A774" s="46" t="n">
        <v>45760</v>
      </c>
      <c r="B774" s="10" t="n">
        <v>3</v>
      </c>
      <c r="C774" s="21" t="inlineStr">
        <is>
          <t>MALAGUEÑA</t>
        </is>
      </c>
      <c r="D774" s="12" t="n">
        <v>3748</v>
      </c>
      <c r="E774" s="12" t="n">
        <v>324</v>
      </c>
      <c r="F774" s="13" t="n"/>
      <c r="G774" s="22" t="n"/>
      <c r="H774" s="22" t="n"/>
      <c r="I774" s="22" t="inlineStr">
        <is>
          <t>MANIGUA</t>
        </is>
      </c>
      <c r="J774" s="110" t="inlineStr">
        <is>
          <t>CARGUEROS</t>
        </is>
      </c>
      <c r="K774" s="113" t="n"/>
      <c r="L774" s="114" t="n"/>
      <c r="M774" s="115" t="n"/>
    </row>
    <row r="775" ht="15.75" customHeight="1">
      <c r="A775" s="46" t="n">
        <v>45760</v>
      </c>
      <c r="B775" s="10" t="n">
        <v>4</v>
      </c>
      <c r="C775" s="21" t="inlineStr">
        <is>
          <t>MALAGUEÑA</t>
        </is>
      </c>
      <c r="D775" s="12" t="n">
        <v>3748</v>
      </c>
      <c r="E775" s="12" t="n">
        <v>360</v>
      </c>
      <c r="F775" s="13" t="n"/>
      <c r="G775" s="22" t="n"/>
      <c r="H775" s="22" t="n"/>
      <c r="I775" s="22" t="inlineStr">
        <is>
          <t>MANIGUA</t>
        </is>
      </c>
      <c r="J775" s="110" t="inlineStr">
        <is>
          <t>CARGUEROS</t>
        </is>
      </c>
      <c r="K775" s="113" t="n"/>
      <c r="L775" s="114" t="n"/>
      <c r="M775" s="115" t="n"/>
    </row>
    <row r="776" ht="15.75" customHeight="1">
      <c r="A776" s="46" t="n">
        <v>45760</v>
      </c>
      <c r="B776" s="10" t="n">
        <v>5</v>
      </c>
      <c r="C776" s="21" t="inlineStr">
        <is>
          <t>MALAGUEÑA</t>
        </is>
      </c>
      <c r="D776" s="12" t="n">
        <v>3428</v>
      </c>
      <c r="E776" s="12" t="n">
        <v>324</v>
      </c>
      <c r="F776" s="13" t="n"/>
      <c r="G776" s="22" t="n"/>
      <c r="H776" s="22" t="n"/>
      <c r="I776" s="22" t="inlineStr">
        <is>
          <t>MANIGUA</t>
        </is>
      </c>
      <c r="J776" s="110" t="inlineStr">
        <is>
          <t>CARGUEROS</t>
        </is>
      </c>
      <c r="K776" s="113" t="n"/>
      <c r="L776" s="114" t="n"/>
      <c r="M776" s="115" t="n"/>
    </row>
    <row r="777" ht="15.75" customHeight="1">
      <c r="A777" s="46" t="n">
        <v>45760</v>
      </c>
      <c r="B777" s="10" t="n">
        <v>6</v>
      </c>
      <c r="C777" s="21" t="inlineStr">
        <is>
          <t>MALAGUEÑA</t>
        </is>
      </c>
      <c r="D777" s="12" t="n">
        <v>3428</v>
      </c>
      <c r="E777" s="12" t="n">
        <v>360</v>
      </c>
      <c r="F777" s="13" t="n"/>
      <c r="G777" s="22" t="n"/>
      <c r="H777" s="22" t="n"/>
      <c r="I777" s="22" t="inlineStr">
        <is>
          <t>MANIGUA</t>
        </is>
      </c>
      <c r="J777" s="110" t="inlineStr">
        <is>
          <t>CARGUEROS</t>
        </is>
      </c>
      <c r="K777" s="113" t="n"/>
      <c r="L777" s="114" t="n"/>
      <c r="M777" s="115" t="n"/>
    </row>
    <row r="778" ht="15.75" customHeight="1">
      <c r="A778" s="67" t="n">
        <v>45760</v>
      </c>
      <c r="B778" s="27" t="n">
        <v>7</v>
      </c>
      <c r="C778" s="28" t="inlineStr">
        <is>
          <t>MALAGUEÑA</t>
        </is>
      </c>
      <c r="D778" s="29" t="n">
        <v>3428</v>
      </c>
      <c r="E778" s="29" t="n">
        <v>324</v>
      </c>
      <c r="F778" s="30" t="n"/>
      <c r="G778" s="32" t="n"/>
      <c r="H778" s="32" t="n"/>
      <c r="I778" s="32" t="inlineStr">
        <is>
          <t>MANIGUA</t>
        </is>
      </c>
      <c r="J778" s="116" t="inlineStr">
        <is>
          <t>CARGUEROS</t>
        </is>
      </c>
      <c r="K778" s="113" t="n"/>
      <c r="L778" s="114" t="n"/>
      <c r="M778" s="115" t="n"/>
    </row>
    <row r="779" ht="15.75" customHeight="1">
      <c r="A779" s="36" t="n">
        <v>45761</v>
      </c>
      <c r="B779" s="37" t="n">
        <v>1</v>
      </c>
      <c r="C779" s="38" t="inlineStr">
        <is>
          <t>GARCERAS</t>
        </is>
      </c>
      <c r="D779" s="39" t="n">
        <v>3275</v>
      </c>
      <c r="E779" s="39" t="n">
        <v>360</v>
      </c>
      <c r="F779" s="40" t="n"/>
      <c r="G779" s="42" t="n"/>
      <c r="H779" s="42" t="n"/>
      <c r="I779" s="42" t="inlineStr">
        <is>
          <t>MANIGUA</t>
        </is>
      </c>
      <c r="J779" s="108" t="inlineStr">
        <is>
          <t>CARGUEROS</t>
        </is>
      </c>
      <c r="K779" s="113" t="n"/>
      <c r="L779" s="114" t="n"/>
      <c r="M779" s="115" t="n"/>
    </row>
    <row r="780" ht="15.75" customHeight="1">
      <c r="A780" s="46" t="n">
        <v>45761</v>
      </c>
      <c r="B780" s="10" t="n">
        <v>2</v>
      </c>
      <c r="C780" s="21" t="inlineStr">
        <is>
          <t>GARCERAS</t>
        </is>
      </c>
      <c r="D780" s="12" t="n">
        <v>3275</v>
      </c>
      <c r="E780" s="12" t="n">
        <v>324</v>
      </c>
      <c r="F780" s="13" t="n"/>
      <c r="G780" s="22" t="n"/>
      <c r="H780" s="22" t="n"/>
      <c r="I780" s="22" t="inlineStr">
        <is>
          <t>MANIGUA</t>
        </is>
      </c>
      <c r="J780" s="110" t="inlineStr">
        <is>
          <t>CARGUEROS</t>
        </is>
      </c>
      <c r="K780" s="113" t="n"/>
      <c r="L780" s="114" t="n"/>
      <c r="M780" s="115" t="n"/>
    </row>
    <row r="781" ht="15.75" customHeight="1">
      <c r="A781" s="46" t="n">
        <v>45761</v>
      </c>
      <c r="B781" s="10" t="n">
        <v>3</v>
      </c>
      <c r="C781" s="21" t="inlineStr">
        <is>
          <t>GARCERAS</t>
        </is>
      </c>
      <c r="D781" s="12" t="n">
        <v>3693</v>
      </c>
      <c r="E781" s="12" t="n">
        <v>324</v>
      </c>
      <c r="F781" s="13" t="n"/>
      <c r="G781" s="22" t="n"/>
      <c r="H781" s="22" t="n"/>
      <c r="I781" s="22" t="inlineStr">
        <is>
          <t>MANIGUA</t>
        </is>
      </c>
      <c r="J781" s="110" t="inlineStr">
        <is>
          <t>CARGUEROS</t>
        </is>
      </c>
      <c r="K781" s="113" t="n"/>
      <c r="L781" s="114" t="n"/>
      <c r="M781" s="115" t="n"/>
    </row>
    <row r="782" ht="15.75" customHeight="1">
      <c r="A782" s="46" t="n">
        <v>45761</v>
      </c>
      <c r="B782" s="10" t="n">
        <v>4</v>
      </c>
      <c r="C782" s="21" t="inlineStr">
        <is>
          <t>GARCERAS</t>
        </is>
      </c>
      <c r="D782" s="12" t="n">
        <v>3693</v>
      </c>
      <c r="E782" s="12" t="n">
        <v>324</v>
      </c>
      <c r="F782" s="13" t="n"/>
      <c r="G782" s="22" t="n"/>
      <c r="H782" s="22" t="n"/>
      <c r="I782" s="22" t="inlineStr">
        <is>
          <t>MANIGUA</t>
        </is>
      </c>
      <c r="J782" s="110" t="inlineStr">
        <is>
          <t>CARGUEROS</t>
        </is>
      </c>
      <c r="K782" s="113" t="n"/>
      <c r="L782" s="114" t="n"/>
      <c r="M782" s="115" t="n"/>
    </row>
    <row r="783" ht="15.75" customHeight="1">
      <c r="A783" s="46" t="n">
        <v>45761</v>
      </c>
      <c r="B783" s="10" t="n">
        <v>5</v>
      </c>
      <c r="C783" s="21" t="inlineStr">
        <is>
          <t>GARCERAS</t>
        </is>
      </c>
      <c r="D783" s="12" t="n">
        <v>3693</v>
      </c>
      <c r="E783" s="12" t="n">
        <v>360</v>
      </c>
      <c r="F783" s="13" t="n"/>
      <c r="G783" s="22" t="n"/>
      <c r="H783" s="22" t="n"/>
      <c r="I783" s="22" t="inlineStr">
        <is>
          <t>MANIGUA</t>
        </is>
      </c>
      <c r="J783" s="110" t="inlineStr">
        <is>
          <t>CARGUEROS</t>
        </is>
      </c>
      <c r="K783" s="113" t="n"/>
      <c r="L783" s="114" t="n"/>
      <c r="M783" s="115" t="n"/>
    </row>
    <row r="784" ht="15.75" customHeight="1">
      <c r="A784" s="46" t="n">
        <v>45761</v>
      </c>
      <c r="B784" s="10" t="n">
        <v>6</v>
      </c>
      <c r="C784" s="21" t="inlineStr">
        <is>
          <t>GARCERAS</t>
        </is>
      </c>
      <c r="D784" s="12" t="n">
        <v>3693</v>
      </c>
      <c r="E784" s="12" t="n">
        <v>324</v>
      </c>
      <c r="F784" s="13" t="n"/>
      <c r="G784" s="22" t="n"/>
      <c r="H784" s="22" t="n"/>
      <c r="I784" s="22" t="inlineStr">
        <is>
          <t>MANIGUA</t>
        </is>
      </c>
      <c r="J784" s="110" t="inlineStr">
        <is>
          <t>CARGUEROS</t>
        </is>
      </c>
      <c r="K784" s="113" t="n"/>
      <c r="L784" s="114" t="n"/>
      <c r="M784" s="115" t="n"/>
    </row>
    <row r="785" ht="15.75" customHeight="1">
      <c r="A785" s="46" t="n">
        <v>45761</v>
      </c>
      <c r="B785" s="10" t="n">
        <v>7</v>
      </c>
      <c r="C785" s="21" t="inlineStr">
        <is>
          <t>GARCERAS</t>
        </is>
      </c>
      <c r="D785" s="12" t="n">
        <v>3604</v>
      </c>
      <c r="E785" s="12" t="n">
        <v>324</v>
      </c>
      <c r="F785" s="13" t="n"/>
      <c r="G785" s="22" t="n"/>
      <c r="H785" s="22" t="n"/>
      <c r="I785" s="22" t="inlineStr">
        <is>
          <t>MANIGUA</t>
        </is>
      </c>
      <c r="J785" s="110" t="inlineStr">
        <is>
          <t>CARGUEROS</t>
        </is>
      </c>
      <c r="K785" s="113" t="n"/>
      <c r="L785" s="114" t="n"/>
      <c r="M785" s="115" t="n"/>
    </row>
    <row r="786" ht="15.75" customHeight="1">
      <c r="A786" s="46" t="n">
        <v>45761</v>
      </c>
      <c r="B786" s="10" t="n">
        <v>8</v>
      </c>
      <c r="C786" s="21" t="inlineStr">
        <is>
          <t>GARCERAS</t>
        </is>
      </c>
      <c r="D786" s="12" t="n">
        <v>3604</v>
      </c>
      <c r="E786" s="12" t="n">
        <v>360</v>
      </c>
      <c r="F786" s="13" t="n"/>
      <c r="G786" s="22" t="n"/>
      <c r="H786" s="22" t="n"/>
      <c r="I786" s="22" t="inlineStr">
        <is>
          <t>MANIGUA</t>
        </is>
      </c>
      <c r="J786" s="110" t="inlineStr">
        <is>
          <t>CARGUEROS</t>
        </is>
      </c>
      <c r="K786" s="113" t="n"/>
      <c r="L786" s="114" t="n"/>
      <c r="M786" s="115" t="n"/>
    </row>
    <row r="787" ht="15.75" customHeight="1">
      <c r="A787" s="46" t="n">
        <v>45761</v>
      </c>
      <c r="B787" s="10" t="n">
        <v>9</v>
      </c>
      <c r="C787" s="21" t="inlineStr">
        <is>
          <t>GARCERAS</t>
        </is>
      </c>
      <c r="D787" s="12" t="n">
        <v>3604</v>
      </c>
      <c r="E787" s="12" t="n">
        <v>324</v>
      </c>
      <c r="F787" s="13" t="n"/>
      <c r="G787" s="22" t="n"/>
      <c r="H787" s="22" t="n"/>
      <c r="I787" s="22" t="inlineStr">
        <is>
          <t>MANIGUA</t>
        </is>
      </c>
      <c r="J787" s="110" t="inlineStr">
        <is>
          <t>CARGUEROS</t>
        </is>
      </c>
      <c r="K787" s="113" t="n"/>
      <c r="L787" s="114" t="n"/>
      <c r="M787" s="115" t="n"/>
    </row>
    <row r="788" ht="15.75" customHeight="1">
      <c r="A788" s="46" t="n">
        <v>45761</v>
      </c>
      <c r="B788" s="10" t="n">
        <v>10</v>
      </c>
      <c r="C788" s="21" t="inlineStr">
        <is>
          <t>GARCERAS</t>
        </is>
      </c>
      <c r="D788" s="12" t="n">
        <v>3604</v>
      </c>
      <c r="E788" s="12" t="n">
        <v>324</v>
      </c>
      <c r="F788" s="13" t="n"/>
      <c r="G788" s="22" t="n"/>
      <c r="H788" s="22" t="n"/>
      <c r="I788" s="22" t="inlineStr">
        <is>
          <t>MANIGUA</t>
        </is>
      </c>
      <c r="J788" s="110" t="inlineStr">
        <is>
          <t>CARGUEROS</t>
        </is>
      </c>
      <c r="K788" s="113" t="n"/>
      <c r="L788" s="114" t="n"/>
      <c r="M788" s="115" t="n"/>
    </row>
    <row r="789" ht="15.75" customHeight="1">
      <c r="A789" s="46" t="n">
        <v>45761</v>
      </c>
      <c r="B789" s="10" t="n">
        <v>11</v>
      </c>
      <c r="C789" s="21" t="inlineStr">
        <is>
          <t>GARCERAS</t>
        </is>
      </c>
      <c r="D789" s="12" t="n">
        <v>3413</v>
      </c>
      <c r="E789" s="12" t="n">
        <v>324</v>
      </c>
      <c r="F789" s="13" t="n"/>
      <c r="G789" s="22" t="n"/>
      <c r="H789" s="22" t="n"/>
      <c r="I789" s="22" t="inlineStr">
        <is>
          <t>MANIGUA</t>
        </is>
      </c>
      <c r="J789" s="110" t="inlineStr">
        <is>
          <t>CARGUEROS</t>
        </is>
      </c>
      <c r="K789" s="113" t="n"/>
      <c r="L789" s="114" t="n"/>
      <c r="M789" s="115" t="n"/>
    </row>
    <row r="790" ht="15.75" customHeight="1">
      <c r="A790" s="46" t="n">
        <v>45761</v>
      </c>
      <c r="B790" s="10" t="n">
        <v>12</v>
      </c>
      <c r="C790" s="21" t="inlineStr">
        <is>
          <t>GARCERAS</t>
        </is>
      </c>
      <c r="D790" s="12" t="n">
        <v>3413</v>
      </c>
      <c r="E790" s="12" t="n">
        <v>360</v>
      </c>
      <c r="F790" s="13" t="n"/>
      <c r="G790" s="22" t="n"/>
      <c r="H790" s="22" t="n"/>
      <c r="I790" s="22" t="inlineStr">
        <is>
          <t>MANIGUA</t>
        </is>
      </c>
      <c r="J790" s="110" t="inlineStr">
        <is>
          <t>CARGUEROS</t>
        </is>
      </c>
      <c r="K790" s="113" t="n"/>
      <c r="L790" s="114" t="n"/>
      <c r="M790" s="115" t="n"/>
    </row>
    <row r="791" ht="15.75" customHeight="1">
      <c r="A791" s="46" t="n">
        <v>45761</v>
      </c>
      <c r="B791" s="10" t="n">
        <v>1</v>
      </c>
      <c r="C791" s="21" t="inlineStr">
        <is>
          <t>MALAGUEÑA</t>
        </is>
      </c>
      <c r="D791" s="12" t="n">
        <v>3467</v>
      </c>
      <c r="E791" s="12" t="n">
        <v>324</v>
      </c>
      <c r="F791" s="13" t="n"/>
      <c r="G791" s="22" t="n"/>
      <c r="H791" s="22" t="n"/>
      <c r="I791" s="22" t="inlineStr">
        <is>
          <t>MANIGUA</t>
        </is>
      </c>
      <c r="J791" s="110" t="inlineStr">
        <is>
          <t>ABONEROS</t>
        </is>
      </c>
      <c r="K791" s="113" t="n"/>
      <c r="L791" s="114" t="n"/>
      <c r="M791" s="115" t="n"/>
    </row>
    <row r="792" ht="15.75" customHeight="1">
      <c r="A792" s="46" t="n">
        <v>45761</v>
      </c>
      <c r="B792" s="10" t="n">
        <v>2</v>
      </c>
      <c r="C792" s="21" t="inlineStr">
        <is>
          <t>MALAGUEÑA</t>
        </is>
      </c>
      <c r="D792" s="12" t="n">
        <v>3467</v>
      </c>
      <c r="E792" s="12" t="n">
        <v>324</v>
      </c>
      <c r="F792" s="13" t="n"/>
      <c r="G792" s="22" t="n"/>
      <c r="H792" s="22" t="n"/>
      <c r="I792" s="22" t="inlineStr">
        <is>
          <t>MANIGUA</t>
        </is>
      </c>
      <c r="J792" s="110" t="inlineStr">
        <is>
          <t>ABONEROS</t>
        </is>
      </c>
      <c r="K792" s="113" t="n"/>
      <c r="L792" s="114" t="n"/>
      <c r="M792" s="115" t="n"/>
    </row>
    <row r="793" ht="15.75" customHeight="1">
      <c r="A793" s="46" t="n">
        <v>45761</v>
      </c>
      <c r="B793" s="10" t="n">
        <v>3</v>
      </c>
      <c r="C793" s="21" t="inlineStr">
        <is>
          <t>MALAGUEÑA</t>
        </is>
      </c>
      <c r="D793" s="12" t="n">
        <v>3428</v>
      </c>
      <c r="E793" s="12" t="n">
        <v>360</v>
      </c>
      <c r="F793" s="13" t="n"/>
      <c r="G793" s="22" t="n"/>
      <c r="H793" s="22" t="n"/>
      <c r="I793" s="22" t="inlineStr">
        <is>
          <t>MANIGUA</t>
        </is>
      </c>
      <c r="J793" s="110" t="inlineStr">
        <is>
          <t>ABONEROS</t>
        </is>
      </c>
      <c r="K793" s="113" t="n"/>
      <c r="L793" s="114" t="n"/>
      <c r="M793" s="115" t="n"/>
    </row>
    <row r="794" ht="15.75" customHeight="1">
      <c r="A794" s="67" t="n">
        <v>45761</v>
      </c>
      <c r="B794" s="27" t="n">
        <v>4</v>
      </c>
      <c r="C794" s="28" t="inlineStr">
        <is>
          <t>MALAGUEÑA</t>
        </is>
      </c>
      <c r="D794" s="29" t="n">
        <v>3428</v>
      </c>
      <c r="E794" s="29" t="n">
        <v>324</v>
      </c>
      <c r="F794" s="30" t="n"/>
      <c r="G794" s="32" t="n"/>
      <c r="H794" s="32" t="n"/>
      <c r="I794" s="32" t="inlineStr">
        <is>
          <t>MANIGUA</t>
        </is>
      </c>
      <c r="J794" s="116" t="inlineStr">
        <is>
          <t>ABONEROS</t>
        </is>
      </c>
      <c r="K794" s="113" t="n"/>
      <c r="L794" s="114" t="n"/>
      <c r="M794" s="115" t="n"/>
    </row>
    <row r="795" ht="15.75" customHeight="1">
      <c r="A795" s="36" t="n">
        <v>45762</v>
      </c>
      <c r="B795" s="37" t="n">
        <v>1</v>
      </c>
      <c r="C795" s="38" t="inlineStr">
        <is>
          <t>MALAGUEÑA</t>
        </is>
      </c>
      <c r="D795" s="39" t="n">
        <v>3439</v>
      </c>
      <c r="E795" s="39" t="n">
        <v>324</v>
      </c>
      <c r="F795" s="40" t="n"/>
      <c r="G795" s="42" t="n"/>
      <c r="H795" s="42" t="n"/>
      <c r="I795" s="42" t="inlineStr">
        <is>
          <t>MANIGUA</t>
        </is>
      </c>
      <c r="J795" s="108" t="inlineStr">
        <is>
          <t>CARGUEROS</t>
        </is>
      </c>
      <c r="K795" s="113" t="n"/>
      <c r="L795" s="114" t="n"/>
      <c r="M795" s="115" t="n"/>
    </row>
    <row r="796" ht="15.75" customHeight="1">
      <c r="A796" s="46" t="n">
        <v>45762</v>
      </c>
      <c r="B796" s="10" t="n">
        <v>2</v>
      </c>
      <c r="C796" s="21" t="inlineStr">
        <is>
          <t>MALAGUEÑA</t>
        </is>
      </c>
      <c r="D796" s="12" t="n">
        <v>3439</v>
      </c>
      <c r="E796" s="12" t="n">
        <v>324</v>
      </c>
      <c r="F796" s="13" t="n"/>
      <c r="G796" s="22" t="n"/>
      <c r="H796" s="22" t="n"/>
      <c r="I796" s="22" t="inlineStr">
        <is>
          <t>MANIGUA</t>
        </is>
      </c>
      <c r="J796" s="110" t="inlineStr">
        <is>
          <t>CARGUEROS</t>
        </is>
      </c>
      <c r="K796" s="113" t="n"/>
      <c r="L796" s="114" t="n"/>
      <c r="M796" s="115" t="n"/>
    </row>
    <row r="797" ht="15.75" customHeight="1">
      <c r="A797" s="46" t="n">
        <v>45762</v>
      </c>
      <c r="B797" s="10" t="n">
        <v>3</v>
      </c>
      <c r="C797" s="21" t="inlineStr">
        <is>
          <t>MALAGUEÑA</t>
        </is>
      </c>
      <c r="D797" s="12" t="n">
        <v>3439</v>
      </c>
      <c r="E797" s="12" t="n">
        <v>324</v>
      </c>
      <c r="F797" s="13" t="n"/>
      <c r="G797" s="22" t="n"/>
      <c r="H797" s="22" t="n"/>
      <c r="I797" s="22" t="inlineStr">
        <is>
          <t>MANIGUA</t>
        </is>
      </c>
      <c r="J797" s="110" t="inlineStr">
        <is>
          <t>CARGUEROS</t>
        </is>
      </c>
      <c r="K797" s="113" t="n"/>
      <c r="L797" s="114" t="n"/>
      <c r="M797" s="115" t="n"/>
    </row>
    <row r="798" ht="15.75" customHeight="1">
      <c r="A798" s="46" t="n">
        <v>45762</v>
      </c>
      <c r="B798" s="10" t="n">
        <v>4</v>
      </c>
      <c r="C798" s="21" t="inlineStr">
        <is>
          <t>MALAGUEÑA</t>
        </is>
      </c>
      <c r="D798" s="12" t="n">
        <v>3439</v>
      </c>
      <c r="E798" s="12" t="n">
        <v>324</v>
      </c>
      <c r="F798" s="13" t="n"/>
      <c r="G798" s="22" t="n"/>
      <c r="H798" s="22" t="n"/>
      <c r="I798" s="22" t="inlineStr">
        <is>
          <t>MANIGUA</t>
        </is>
      </c>
      <c r="J798" s="110" t="inlineStr">
        <is>
          <t>CARGUEROS</t>
        </is>
      </c>
      <c r="K798" s="113" t="n"/>
      <c r="L798" s="114" t="n"/>
      <c r="M798" s="115" t="n"/>
    </row>
    <row r="799" ht="15.75" customHeight="1">
      <c r="A799" s="46" t="n">
        <v>45762</v>
      </c>
      <c r="B799" s="10" t="n">
        <v>5</v>
      </c>
      <c r="C799" s="21" t="inlineStr">
        <is>
          <t>MALAGUEÑA</t>
        </is>
      </c>
      <c r="D799" s="12" t="n">
        <v>2897</v>
      </c>
      <c r="E799" s="12" t="n">
        <v>324</v>
      </c>
      <c r="F799" s="13" t="n"/>
      <c r="G799" s="22" t="n"/>
      <c r="H799" s="22" t="n"/>
      <c r="I799" s="22" t="inlineStr">
        <is>
          <t>MANIGUA</t>
        </is>
      </c>
      <c r="J799" s="110" t="inlineStr">
        <is>
          <t>CARGUEROS</t>
        </is>
      </c>
      <c r="K799" s="113" t="n"/>
      <c r="L799" s="114" t="n"/>
      <c r="M799" s="115" t="n"/>
    </row>
    <row r="800" ht="15.75" customHeight="1">
      <c r="A800" s="46" t="n">
        <v>45762</v>
      </c>
      <c r="B800" s="10" t="n">
        <v>6</v>
      </c>
      <c r="C800" s="21" t="inlineStr">
        <is>
          <t>MALAGUEÑA</t>
        </is>
      </c>
      <c r="D800" s="12" t="n">
        <v>2897</v>
      </c>
      <c r="E800" s="12" t="n">
        <v>324</v>
      </c>
      <c r="F800" s="13" t="n"/>
      <c r="G800" s="22" t="n"/>
      <c r="H800" s="22" t="n"/>
      <c r="I800" s="22" t="inlineStr">
        <is>
          <t>MANIGUA</t>
        </is>
      </c>
      <c r="J800" s="110" t="inlineStr">
        <is>
          <t>CARGUEROS</t>
        </is>
      </c>
      <c r="K800" s="113" t="n"/>
      <c r="L800" s="114" t="n"/>
      <c r="M800" s="115" t="n"/>
    </row>
    <row r="801" ht="15.75" customHeight="1">
      <c r="A801" s="46" t="n">
        <v>45762</v>
      </c>
      <c r="B801" s="10" t="n">
        <v>7</v>
      </c>
      <c r="C801" s="21" t="inlineStr">
        <is>
          <t>MALAGUEÑA</t>
        </is>
      </c>
      <c r="D801" s="12" t="n">
        <v>2897</v>
      </c>
      <c r="E801" s="12" t="n">
        <v>324</v>
      </c>
      <c r="F801" s="13" t="n"/>
      <c r="G801" s="22" t="n"/>
      <c r="H801" s="22" t="n"/>
      <c r="I801" s="22" t="inlineStr">
        <is>
          <t>MANIGUA</t>
        </is>
      </c>
      <c r="J801" s="110" t="inlineStr">
        <is>
          <t>CARGUEROS</t>
        </is>
      </c>
      <c r="K801" s="113" t="n"/>
      <c r="L801" s="114" t="n"/>
      <c r="M801" s="115" t="n"/>
    </row>
    <row r="802" ht="15.75" customHeight="1">
      <c r="A802" s="46" t="n">
        <v>45762</v>
      </c>
      <c r="B802" s="10" t="n">
        <v>1</v>
      </c>
      <c r="C802" s="21" t="inlineStr">
        <is>
          <t>GARCERAS</t>
        </is>
      </c>
      <c r="D802" s="12" t="n">
        <v>3490</v>
      </c>
      <c r="E802" s="12" t="n">
        <v>324</v>
      </c>
      <c r="F802" s="13" t="n"/>
      <c r="G802" s="22" t="n"/>
      <c r="H802" s="22" t="n"/>
      <c r="I802" s="22" t="inlineStr">
        <is>
          <t>MANIGUA</t>
        </is>
      </c>
      <c r="J802" s="110" t="inlineStr">
        <is>
          <t>CARGUEROS</t>
        </is>
      </c>
      <c r="K802" s="113" t="n"/>
      <c r="L802" s="114" t="n"/>
      <c r="M802" s="115" t="n"/>
    </row>
    <row r="803" ht="15.75" customHeight="1">
      <c r="A803" s="46" t="n">
        <v>45762</v>
      </c>
      <c r="B803" s="10" t="n">
        <v>2</v>
      </c>
      <c r="C803" s="21" t="inlineStr">
        <is>
          <t>GARCERAS</t>
        </is>
      </c>
      <c r="D803" s="12" t="n">
        <v>3490</v>
      </c>
      <c r="E803" s="12" t="n">
        <v>360</v>
      </c>
      <c r="F803" s="13" t="n"/>
      <c r="G803" s="22" t="n"/>
      <c r="H803" s="22" t="n"/>
      <c r="I803" s="22" t="inlineStr">
        <is>
          <t>MANIGUA</t>
        </is>
      </c>
      <c r="J803" s="110" t="inlineStr">
        <is>
          <t>CARGUEROS</t>
        </is>
      </c>
      <c r="K803" s="113" t="n"/>
      <c r="L803" s="114" t="n"/>
      <c r="M803" s="115" t="n"/>
    </row>
    <row r="804" ht="15.75" customHeight="1">
      <c r="A804" s="46" t="n">
        <v>45762</v>
      </c>
      <c r="B804" s="10" t="n">
        <v>3</v>
      </c>
      <c r="C804" s="21" t="inlineStr">
        <is>
          <t>GARCERAS</t>
        </is>
      </c>
      <c r="D804" s="12" t="n">
        <v>3490</v>
      </c>
      <c r="E804" s="12" t="n">
        <v>324</v>
      </c>
      <c r="F804" s="13" t="n"/>
      <c r="G804" s="22" t="n"/>
      <c r="H804" s="22" t="n"/>
      <c r="I804" s="22" t="inlineStr">
        <is>
          <t>MANIGUA</t>
        </is>
      </c>
      <c r="J804" s="110" t="inlineStr">
        <is>
          <t>CARGUEROS</t>
        </is>
      </c>
      <c r="K804" s="113" t="n"/>
      <c r="L804" s="114" t="n"/>
      <c r="M804" s="115" t="n"/>
    </row>
    <row r="805" ht="15.75" customHeight="1">
      <c r="A805" s="46" t="n">
        <v>45762</v>
      </c>
      <c r="B805" s="10" t="n">
        <v>1</v>
      </c>
      <c r="C805" s="21" t="inlineStr">
        <is>
          <t>SAN JOSE</t>
        </is>
      </c>
      <c r="D805" s="12" t="n">
        <v>3603</v>
      </c>
      <c r="E805" s="12" t="n">
        <v>324</v>
      </c>
      <c r="F805" s="13" t="n"/>
      <c r="G805" s="22" t="n"/>
      <c r="H805" s="22" t="n"/>
      <c r="I805" s="22" t="inlineStr">
        <is>
          <t>MANIGUA</t>
        </is>
      </c>
      <c r="J805" s="110" t="inlineStr">
        <is>
          <t>ABONEROS</t>
        </is>
      </c>
      <c r="K805" s="113" t="n"/>
      <c r="L805" s="114" t="n"/>
      <c r="M805" s="115" t="n"/>
    </row>
    <row r="806" ht="15.75" customHeight="1">
      <c r="A806" s="46" t="n">
        <v>45762</v>
      </c>
      <c r="B806" s="10" t="n">
        <v>2</v>
      </c>
      <c r="C806" s="21" t="inlineStr">
        <is>
          <t>SAN JOSE</t>
        </is>
      </c>
      <c r="D806" s="12" t="n">
        <v>3603</v>
      </c>
      <c r="E806" s="12" t="n">
        <v>324</v>
      </c>
      <c r="F806" s="13" t="n"/>
      <c r="G806" s="22" t="n"/>
      <c r="H806" s="22" t="n"/>
      <c r="I806" s="22" t="inlineStr">
        <is>
          <t>MANIGUA</t>
        </is>
      </c>
      <c r="J806" s="110" t="inlineStr">
        <is>
          <t>ABONEROS</t>
        </is>
      </c>
      <c r="K806" s="113" t="n"/>
      <c r="L806" s="114" t="n"/>
      <c r="M806" s="115" t="n"/>
    </row>
    <row r="807" ht="15.75" customHeight="1">
      <c r="A807" s="46" t="n">
        <v>45762</v>
      </c>
      <c r="B807" s="10" t="n">
        <v>3</v>
      </c>
      <c r="C807" s="21" t="inlineStr">
        <is>
          <t>SAN JOSE</t>
        </is>
      </c>
      <c r="D807" s="12" t="n">
        <v>3184</v>
      </c>
      <c r="E807" s="12" t="n">
        <v>324</v>
      </c>
      <c r="F807" s="13" t="n"/>
      <c r="G807" s="22" t="n"/>
      <c r="H807" s="22" t="n"/>
      <c r="I807" s="22" t="inlineStr">
        <is>
          <t>MANIGUA</t>
        </is>
      </c>
      <c r="J807" s="110" t="inlineStr">
        <is>
          <t>ABONEROS</t>
        </is>
      </c>
      <c r="K807" s="113" t="n"/>
      <c r="L807" s="114" t="n"/>
      <c r="M807" s="115" t="n"/>
    </row>
    <row r="808" ht="15.75" customHeight="1">
      <c r="A808" s="46" t="n">
        <v>45762</v>
      </c>
      <c r="B808" s="10" t="n">
        <v>4</v>
      </c>
      <c r="C808" s="21" t="inlineStr">
        <is>
          <t>SAN JOSE</t>
        </is>
      </c>
      <c r="D808" s="12" t="n">
        <v>3184</v>
      </c>
      <c r="E808" s="12" t="n">
        <v>324</v>
      </c>
      <c r="F808" s="13" t="n"/>
      <c r="G808" s="22" t="n"/>
      <c r="H808" s="22" t="n"/>
      <c r="I808" s="22" t="inlineStr">
        <is>
          <t>MANIGUA</t>
        </is>
      </c>
      <c r="J808" s="110" t="inlineStr">
        <is>
          <t>ABONEROS</t>
        </is>
      </c>
      <c r="K808" s="113" t="n"/>
      <c r="L808" s="114" t="n"/>
      <c r="M808" s="115" t="n"/>
    </row>
    <row r="809" ht="15.75" customHeight="1">
      <c r="A809" s="46" t="n">
        <v>45762</v>
      </c>
      <c r="B809" s="10" t="n">
        <v>5</v>
      </c>
      <c r="C809" s="21" t="inlineStr">
        <is>
          <t>SAN JOSE</t>
        </is>
      </c>
      <c r="D809" s="12" t="n">
        <v>3184</v>
      </c>
      <c r="E809" s="12" t="n">
        <v>360</v>
      </c>
      <c r="F809" s="13" t="n"/>
      <c r="G809" s="22" t="n"/>
      <c r="H809" s="22" t="n"/>
      <c r="I809" s="22" t="inlineStr">
        <is>
          <t>MANIGUA</t>
        </is>
      </c>
      <c r="J809" s="110" t="inlineStr">
        <is>
          <t>ABONEROS</t>
        </is>
      </c>
      <c r="K809" s="113" t="n"/>
      <c r="L809" s="114" t="n"/>
      <c r="M809" s="115" t="n"/>
    </row>
    <row r="810" ht="15.75" customHeight="1">
      <c r="A810" s="46" t="n">
        <v>45762</v>
      </c>
      <c r="B810" s="10" t="n">
        <v>6</v>
      </c>
      <c r="C810" s="21" t="inlineStr">
        <is>
          <t>SAN JOSE</t>
        </is>
      </c>
      <c r="D810" s="12" t="n">
        <v>3184</v>
      </c>
      <c r="E810" s="12" t="n">
        <v>324</v>
      </c>
      <c r="F810" s="13" t="n"/>
      <c r="G810" s="22" t="n"/>
      <c r="H810" s="22" t="n"/>
      <c r="I810" s="22" t="inlineStr">
        <is>
          <t>MANIGUA</t>
        </is>
      </c>
      <c r="J810" s="110" t="inlineStr">
        <is>
          <t>ABONEROS</t>
        </is>
      </c>
      <c r="K810" s="113" t="n"/>
      <c r="L810" s="114" t="n"/>
      <c r="M810" s="115" t="n"/>
    </row>
    <row r="811" ht="15.75" customHeight="1">
      <c r="A811" s="50" t="n">
        <v>45762</v>
      </c>
      <c r="B811" s="51" t="n">
        <v>7</v>
      </c>
      <c r="C811" s="52" t="inlineStr">
        <is>
          <t>SAN JOSE</t>
        </is>
      </c>
      <c r="D811" s="53" t="n">
        <v>3184</v>
      </c>
      <c r="E811" s="53" t="n">
        <v>324</v>
      </c>
      <c r="F811" s="54" t="n"/>
      <c r="G811" s="56" t="n"/>
      <c r="H811" s="56" t="n"/>
      <c r="I811" s="56" t="inlineStr">
        <is>
          <t>MANIGUA</t>
        </is>
      </c>
      <c r="J811" s="118" t="inlineStr">
        <is>
          <t>ABONEROS</t>
        </is>
      </c>
      <c r="K811" s="113" t="n"/>
      <c r="L811" s="114" t="n"/>
      <c r="M811" s="115" t="n"/>
    </row>
    <row r="812" ht="15.75" customHeight="1">
      <c r="A812" s="127" t="n"/>
      <c r="B812" s="128" t="n"/>
      <c r="C812" s="129" t="n"/>
      <c r="D812" s="130" t="n"/>
      <c r="E812" s="130" t="n"/>
      <c r="F812" s="131" t="n"/>
      <c r="G812" s="132" t="n"/>
      <c r="H812" s="132" t="n"/>
      <c r="I812" s="132" t="n"/>
      <c r="J812" s="132" t="n"/>
      <c r="K812" s="113" t="n"/>
      <c r="L812" s="114" t="n"/>
      <c r="M812" s="115" t="n"/>
    </row>
    <row r="813" ht="15.75" customHeight="1">
      <c r="A813" s="127" t="n"/>
      <c r="B813" s="128" t="n"/>
      <c r="C813" s="129" t="n"/>
      <c r="D813" s="130" t="n"/>
      <c r="E813" s="130" t="n"/>
      <c r="F813" s="131" t="n"/>
      <c r="G813" s="132" t="n"/>
      <c r="H813" s="132" t="n"/>
      <c r="I813" s="132" t="n"/>
      <c r="J813" s="132" t="n"/>
      <c r="K813" s="113" t="n"/>
      <c r="L813" s="114" t="n"/>
      <c r="M813" s="115" t="n"/>
    </row>
    <row r="814" ht="15.75" customHeight="1">
      <c r="A814" s="127" t="n"/>
      <c r="B814" s="128" t="n"/>
      <c r="C814" s="129" t="n"/>
      <c r="D814" s="130" t="n"/>
      <c r="E814" s="130" t="n"/>
      <c r="F814" s="131" t="n"/>
      <c r="G814" s="132" t="n"/>
      <c r="H814" s="132" t="n"/>
      <c r="I814" s="132" t="n"/>
      <c r="J814" s="132" t="n"/>
      <c r="K814" s="113" t="n"/>
      <c r="L814" s="114" t="n"/>
      <c r="M814" s="115" t="n"/>
    </row>
    <row r="815" ht="15.75" customHeight="1">
      <c r="A815" s="127" t="n"/>
      <c r="B815" s="128" t="n"/>
      <c r="C815" s="129" t="n"/>
      <c r="D815" s="130" t="n"/>
      <c r="E815" s="130" t="n"/>
      <c r="F815" s="131" t="n"/>
      <c r="G815" s="132" t="n"/>
      <c r="H815" s="132" t="n"/>
      <c r="I815" s="132" t="n"/>
      <c r="J815" s="132" t="n"/>
      <c r="K815" s="113" t="n"/>
      <c r="L815" s="114" t="n"/>
      <c r="M815" s="115" t="n"/>
    </row>
    <row r="816" ht="15.75" customHeight="1">
      <c r="A816" s="127" t="n"/>
      <c r="B816" s="128" t="n"/>
      <c r="C816" s="129" t="n"/>
      <c r="D816" s="130" t="n"/>
      <c r="E816" s="130" t="n"/>
      <c r="F816" s="131" t="n"/>
      <c r="G816" s="132" t="n"/>
      <c r="H816" s="132" t="n"/>
      <c r="I816" s="132" t="n"/>
      <c r="J816" s="132" t="n"/>
      <c r="K816" s="113" t="n"/>
      <c r="L816" s="114" t="n"/>
      <c r="M816" s="115" t="n"/>
    </row>
    <row r="817" ht="15.75" customHeight="1">
      <c r="A817" s="127" t="n"/>
      <c r="B817" s="128" t="n"/>
      <c r="C817" s="129" t="n"/>
      <c r="D817" s="130" t="n"/>
      <c r="E817" s="130" t="n"/>
      <c r="F817" s="131" t="n"/>
      <c r="G817" s="132" t="n"/>
      <c r="H817" s="132" t="n"/>
      <c r="I817" s="132" t="n"/>
      <c r="J817" s="132" t="n"/>
      <c r="K817" s="113" t="n"/>
      <c r="L817" s="114" t="n"/>
      <c r="M817" s="115" t="n"/>
    </row>
    <row r="818" ht="15.75" customHeight="1">
      <c r="A818" s="127" t="n"/>
      <c r="B818" s="128" t="n"/>
      <c r="C818" s="129" t="n"/>
      <c r="D818" s="130" t="n"/>
      <c r="E818" s="130" t="n"/>
      <c r="F818" s="131" t="n"/>
      <c r="G818" s="132" t="n"/>
      <c r="H818" s="132" t="n"/>
      <c r="I818" s="132" t="n"/>
      <c r="J818" s="132" t="n"/>
      <c r="K818" s="113" t="n"/>
      <c r="L818" s="114" t="n"/>
      <c r="M818" s="115" t="n"/>
    </row>
    <row r="819" ht="15.75" customHeight="1">
      <c r="A819" s="127" t="n"/>
      <c r="B819" s="128" t="n"/>
      <c r="C819" s="129" t="n"/>
      <c r="D819" s="130" t="n"/>
      <c r="E819" s="130" t="n"/>
      <c r="F819" s="131" t="n"/>
      <c r="G819" s="132" t="n"/>
      <c r="H819" s="132" t="n"/>
      <c r="I819" s="132" t="n"/>
      <c r="J819" s="132" t="n"/>
      <c r="K819" s="113" t="n"/>
      <c r="L819" s="114" t="n"/>
      <c r="M819" s="115" t="n"/>
    </row>
    <row r="820" ht="15.75" customHeight="1">
      <c r="A820" s="127" t="n"/>
      <c r="B820" s="128" t="n"/>
      <c r="C820" s="129" t="n"/>
      <c r="D820" s="130" t="n"/>
      <c r="E820" s="130" t="n"/>
      <c r="F820" s="131" t="n"/>
      <c r="G820" s="132" t="n"/>
      <c r="H820" s="132" t="n"/>
      <c r="I820" s="132" t="n"/>
      <c r="J820" s="132" t="n"/>
      <c r="K820" s="113" t="n"/>
      <c r="L820" s="114" t="n"/>
      <c r="M820" s="115" t="n"/>
    </row>
    <row r="821" ht="15.75" customHeight="1">
      <c r="A821" s="127" t="n"/>
      <c r="B821" s="128" t="n"/>
      <c r="C821" s="129" t="n"/>
      <c r="D821" s="130" t="n"/>
      <c r="E821" s="130" t="n"/>
      <c r="F821" s="131" t="n"/>
      <c r="G821" s="132" t="n"/>
      <c r="H821" s="132" t="n"/>
      <c r="I821" s="132" t="n"/>
      <c r="J821" s="132" t="n"/>
      <c r="K821" s="113" t="n"/>
      <c r="L821" s="114" t="n"/>
      <c r="M821" s="115" t="n"/>
    </row>
    <row r="822" ht="15.75" customHeight="1">
      <c r="A822" s="127" t="n"/>
      <c r="B822" s="128" t="n"/>
      <c r="C822" s="129" t="n"/>
      <c r="D822" s="130" t="n"/>
      <c r="E822" s="130" t="n"/>
      <c r="F822" s="131" t="n"/>
      <c r="G822" s="132" t="n"/>
      <c r="H822" s="132" t="n"/>
      <c r="I822" s="132" t="n"/>
      <c r="J822" s="132" t="n"/>
      <c r="K822" s="113" t="n"/>
      <c r="L822" s="114" t="n"/>
      <c r="M822" s="115" t="n"/>
    </row>
    <row r="823" ht="15.75" customHeight="1">
      <c r="A823" s="127" t="n"/>
      <c r="B823" s="128" t="n"/>
      <c r="C823" s="129" t="n"/>
      <c r="D823" s="130" t="n"/>
      <c r="E823" s="130" t="n"/>
      <c r="F823" s="131" t="n"/>
      <c r="G823" s="132" t="n"/>
      <c r="H823" s="132" t="n"/>
      <c r="I823" s="132" t="n"/>
      <c r="J823" s="132" t="n"/>
      <c r="K823" s="113" t="n"/>
      <c r="L823" s="114" t="n"/>
      <c r="M823" s="115" t="n"/>
    </row>
    <row r="824" ht="15.75" customHeight="1">
      <c r="A824" s="127" t="n"/>
      <c r="B824" s="128" t="n"/>
      <c r="C824" s="129" t="n"/>
      <c r="D824" s="130" t="n"/>
      <c r="E824" s="130" t="n"/>
      <c r="F824" s="131" t="n"/>
      <c r="G824" s="132" t="n"/>
      <c r="H824" s="132" t="n"/>
      <c r="I824" s="132" t="n"/>
      <c r="J824" s="132" t="n"/>
      <c r="K824" s="113" t="n"/>
      <c r="L824" s="114" t="n"/>
      <c r="M824" s="115" t="n"/>
    </row>
    <row r="825" ht="15.75" customHeight="1">
      <c r="A825" s="127" t="n"/>
      <c r="B825" s="128" t="n"/>
      <c r="C825" s="129" t="n"/>
      <c r="D825" s="130" t="n"/>
      <c r="E825" s="130" t="n"/>
      <c r="F825" s="131" t="n"/>
      <c r="G825" s="132" t="n"/>
      <c r="H825" s="132" t="n"/>
      <c r="I825" s="132" t="n"/>
      <c r="J825" s="132" t="n"/>
      <c r="K825" s="113" t="n"/>
      <c r="L825" s="114" t="n"/>
      <c r="M825" s="115" t="n"/>
    </row>
    <row r="826" ht="15.75" customHeight="1">
      <c r="A826" s="127" t="n"/>
      <c r="B826" s="128" t="n"/>
      <c r="C826" s="129" t="n"/>
      <c r="D826" s="130" t="n"/>
      <c r="E826" s="130" t="n"/>
      <c r="F826" s="131" t="n"/>
      <c r="G826" s="132" t="n"/>
      <c r="H826" s="132" t="n"/>
      <c r="I826" s="132" t="n"/>
      <c r="J826" s="132" t="n"/>
      <c r="K826" s="113" t="n"/>
      <c r="L826" s="114" t="n"/>
      <c r="M826" s="115" t="n"/>
    </row>
    <row r="827" ht="15.75" customHeight="1">
      <c r="A827" s="127" t="n"/>
      <c r="B827" s="128" t="n"/>
      <c r="C827" s="129" t="n"/>
      <c r="D827" s="130" t="n"/>
      <c r="E827" s="130" t="n"/>
      <c r="F827" s="131" t="n"/>
      <c r="G827" s="132" t="n"/>
      <c r="H827" s="132" t="n"/>
      <c r="I827" s="132" t="n"/>
      <c r="J827" s="132" t="n"/>
      <c r="K827" s="113" t="n"/>
      <c r="L827" s="114" t="n"/>
      <c r="M827" s="115" t="n"/>
    </row>
    <row r="828" ht="15.75" customHeight="1">
      <c r="A828" s="127" t="n"/>
      <c r="B828" s="128" t="n"/>
      <c r="C828" s="129" t="n"/>
      <c r="D828" s="130" t="n"/>
      <c r="E828" s="130" t="n"/>
      <c r="F828" s="131" t="n"/>
      <c r="G828" s="132" t="n"/>
      <c r="H828" s="132" t="n"/>
      <c r="I828" s="132" t="n"/>
      <c r="J828" s="132" t="n"/>
      <c r="K828" s="113" t="n"/>
      <c r="L828" s="114" t="n"/>
      <c r="M828" s="115" t="n"/>
    </row>
    <row r="829" ht="15.75" customHeight="1">
      <c r="A829" s="127" t="n"/>
      <c r="B829" s="128" t="n"/>
      <c r="C829" s="129" t="n"/>
      <c r="D829" s="130" t="n"/>
      <c r="E829" s="130" t="n"/>
      <c r="F829" s="131" t="n"/>
      <c r="G829" s="132" t="n"/>
      <c r="H829" s="132" t="n"/>
      <c r="I829" s="132" t="n"/>
      <c r="J829" s="132" t="n"/>
      <c r="K829" s="113" t="n"/>
      <c r="L829" s="114" t="n"/>
      <c r="M829" s="115" t="n"/>
    </row>
    <row r="830" ht="15.75" customHeight="1">
      <c r="A830" s="127" t="n"/>
      <c r="B830" s="128" t="n"/>
      <c r="C830" s="129" t="n"/>
      <c r="D830" s="130" t="n"/>
      <c r="E830" s="130" t="n"/>
      <c r="F830" s="131" t="n"/>
      <c r="G830" s="132" t="n"/>
      <c r="H830" s="132" t="n"/>
      <c r="I830" s="132" t="n"/>
      <c r="J830" s="132" t="n"/>
      <c r="K830" s="113" t="n"/>
      <c r="L830" s="114" t="n"/>
      <c r="M830" s="115" t="n"/>
    </row>
    <row r="831" ht="15.75" customHeight="1">
      <c r="A831" s="127" t="n"/>
      <c r="B831" s="128" t="n"/>
      <c r="C831" s="129" t="n"/>
      <c r="D831" s="130" t="n"/>
      <c r="E831" s="130" t="n"/>
      <c r="F831" s="131" t="n"/>
      <c r="G831" s="132" t="n"/>
      <c r="H831" s="132" t="n"/>
      <c r="I831" s="132" t="n"/>
      <c r="J831" s="132" t="n"/>
      <c r="K831" s="113" t="n"/>
      <c r="L831" s="114" t="n"/>
      <c r="M831" s="115" t="n"/>
    </row>
    <row r="832" ht="15.75" customHeight="1">
      <c r="A832" s="127" t="n"/>
      <c r="B832" s="128" t="n"/>
      <c r="C832" s="129" t="n"/>
      <c r="D832" s="130" t="n"/>
      <c r="E832" s="130" t="n"/>
      <c r="F832" s="131" t="n"/>
      <c r="G832" s="132" t="n"/>
      <c r="H832" s="132" t="n"/>
      <c r="I832" s="132" t="n"/>
      <c r="J832" s="132" t="n"/>
      <c r="K832" s="113" t="n"/>
      <c r="L832" s="114" t="n"/>
      <c r="M832" s="115" t="n"/>
    </row>
    <row r="833" ht="15.75" customHeight="1">
      <c r="A833" s="127" t="n"/>
      <c r="B833" s="128" t="n"/>
      <c r="C833" s="129" t="n"/>
      <c r="D833" s="130" t="n"/>
      <c r="E833" s="130" t="n"/>
      <c r="F833" s="131" t="n"/>
      <c r="G833" s="132" t="n"/>
      <c r="H833" s="132" t="n"/>
      <c r="I833" s="132" t="n"/>
      <c r="J833" s="132" t="n"/>
      <c r="K833" s="113" t="n"/>
      <c r="L833" s="114" t="n"/>
      <c r="M833" s="115" t="n"/>
    </row>
    <row r="834" ht="15.75" customHeight="1">
      <c r="A834" s="127" t="n"/>
      <c r="B834" s="128" t="n"/>
      <c r="C834" s="129" t="n"/>
      <c r="D834" s="130" t="n"/>
      <c r="E834" s="130" t="n"/>
      <c r="F834" s="131" t="n"/>
      <c r="G834" s="132" t="n"/>
      <c r="H834" s="132" t="n"/>
      <c r="I834" s="132" t="n"/>
      <c r="J834" s="132" t="n"/>
      <c r="K834" s="113" t="n"/>
      <c r="L834" s="114" t="n"/>
      <c r="M834" s="115" t="n"/>
    </row>
    <row r="835" ht="15.75" customHeight="1">
      <c r="A835" s="127" t="n"/>
      <c r="B835" s="128" t="n"/>
      <c r="C835" s="129" t="n"/>
      <c r="D835" s="130" t="n"/>
      <c r="E835" s="130" t="n"/>
      <c r="F835" s="131" t="n"/>
      <c r="G835" s="132" t="n"/>
      <c r="H835" s="132" t="n"/>
      <c r="I835" s="132" t="n"/>
      <c r="J835" s="132" t="n"/>
      <c r="K835" s="113" t="n"/>
      <c r="L835" s="114" t="n"/>
      <c r="M835" s="115" t="n"/>
    </row>
    <row r="836" ht="15.75" customHeight="1">
      <c r="A836" s="127" t="n"/>
      <c r="B836" s="128" t="n"/>
      <c r="C836" s="129" t="n"/>
      <c r="D836" s="130" t="n"/>
      <c r="E836" s="130" t="n"/>
      <c r="F836" s="131" t="n"/>
      <c r="G836" s="132" t="n"/>
      <c r="H836" s="132" t="n"/>
      <c r="I836" s="132" t="n"/>
      <c r="J836" s="132" t="n"/>
      <c r="K836" s="113" t="n"/>
      <c r="L836" s="114" t="n"/>
      <c r="M836" s="115" t="n"/>
    </row>
    <row r="837" ht="15.75" customHeight="1">
      <c r="A837" s="127" t="n"/>
      <c r="B837" s="128" t="n"/>
      <c r="C837" s="129" t="n"/>
      <c r="D837" s="130" t="n"/>
      <c r="E837" s="130" t="n"/>
      <c r="F837" s="131" t="n"/>
      <c r="G837" s="132" t="n"/>
      <c r="H837" s="132" t="n"/>
      <c r="I837" s="132" t="n"/>
      <c r="J837" s="132" t="n"/>
      <c r="K837" s="113" t="n"/>
      <c r="L837" s="114" t="n"/>
      <c r="M837" s="115" t="n"/>
    </row>
    <row r="838" ht="15.75" customHeight="1">
      <c r="A838" s="127" t="n"/>
      <c r="B838" s="128" t="n"/>
      <c r="C838" s="129" t="n"/>
      <c r="D838" s="130" t="n"/>
      <c r="E838" s="130" t="n"/>
      <c r="F838" s="131" t="n"/>
      <c r="G838" s="132" t="n"/>
      <c r="H838" s="132" t="n"/>
      <c r="I838" s="132" t="n"/>
      <c r="J838" s="132" t="n"/>
      <c r="K838" s="113" t="n"/>
      <c r="L838" s="114" t="n"/>
      <c r="M838" s="115" t="n"/>
    </row>
    <row r="839" ht="15.75" customHeight="1">
      <c r="A839" s="127" t="n"/>
      <c r="B839" s="128" t="n"/>
      <c r="C839" s="129" t="n"/>
      <c r="D839" s="130" t="n"/>
      <c r="E839" s="130" t="n"/>
      <c r="F839" s="131" t="n"/>
      <c r="G839" s="132" t="n"/>
      <c r="H839" s="132" t="n"/>
      <c r="I839" s="132" t="n"/>
      <c r="J839" s="132" t="n"/>
      <c r="K839" s="113" t="n"/>
      <c r="L839" s="114" t="n"/>
      <c r="M839" s="115" t="n"/>
    </row>
    <row r="840" ht="15.75" customHeight="1">
      <c r="A840" s="127" t="n"/>
      <c r="B840" s="128" t="n"/>
      <c r="C840" s="129" t="n"/>
      <c r="D840" s="130" t="n"/>
      <c r="E840" s="130" t="n"/>
      <c r="F840" s="131" t="n"/>
      <c r="G840" s="132" t="n"/>
      <c r="H840" s="132" t="n"/>
      <c r="I840" s="132" t="n"/>
      <c r="J840" s="132" t="n"/>
      <c r="K840" s="113" t="n"/>
      <c r="L840" s="114" t="n"/>
      <c r="M840" s="115" t="n"/>
    </row>
    <row r="841" ht="15.75" customHeight="1">
      <c r="A841" s="127" t="n"/>
      <c r="B841" s="128" t="n"/>
      <c r="C841" s="129" t="n"/>
      <c r="D841" s="130" t="n"/>
      <c r="E841" s="130" t="n"/>
      <c r="F841" s="131" t="n"/>
      <c r="G841" s="132" t="n"/>
      <c r="H841" s="132" t="n"/>
      <c r="I841" s="132" t="n"/>
      <c r="J841" s="132" t="n"/>
      <c r="K841" s="113" t="n"/>
      <c r="L841" s="114" t="n"/>
      <c r="M841" s="115" t="n"/>
    </row>
    <row r="842" ht="15.75" customHeight="1">
      <c r="A842" s="127" t="n"/>
      <c r="B842" s="128" t="n"/>
      <c r="C842" s="129" t="n"/>
      <c r="D842" s="130" t="n"/>
      <c r="E842" s="130" t="n"/>
      <c r="F842" s="131" t="n"/>
      <c r="G842" s="132" t="n"/>
      <c r="H842" s="132" t="n"/>
      <c r="I842" s="132" t="n"/>
      <c r="J842" s="132" t="n"/>
      <c r="K842" s="113" t="n"/>
      <c r="L842" s="114" t="n"/>
      <c r="M842" s="115" t="n"/>
    </row>
    <row r="843" ht="15.75" customHeight="1">
      <c r="A843" s="127" t="n"/>
      <c r="B843" s="128" t="n"/>
      <c r="C843" s="129" t="n"/>
      <c r="D843" s="130" t="n"/>
      <c r="E843" s="130" t="n"/>
      <c r="F843" s="131" t="n"/>
      <c r="G843" s="132" t="n"/>
      <c r="H843" s="132" t="n"/>
      <c r="I843" s="132" t="n"/>
      <c r="J843" s="132" t="n"/>
      <c r="K843" s="113" t="n"/>
      <c r="L843" s="114" t="n"/>
      <c r="M843" s="115" t="n"/>
    </row>
    <row r="844" ht="15.75" customHeight="1">
      <c r="A844" s="127" t="n"/>
      <c r="B844" s="128" t="n"/>
      <c r="C844" s="129" t="n"/>
      <c r="D844" s="130" t="n"/>
      <c r="E844" s="130" t="n"/>
      <c r="F844" s="131" t="n"/>
      <c r="G844" s="132" t="n"/>
      <c r="H844" s="132" t="n"/>
      <c r="I844" s="132" t="n"/>
      <c r="J844" s="132" t="n"/>
      <c r="K844" s="113" t="n"/>
      <c r="L844" s="114" t="n"/>
      <c r="M844" s="115" t="n"/>
    </row>
    <row r="845" ht="15.75" customHeight="1">
      <c r="A845" s="127" t="n"/>
      <c r="B845" s="128" t="n"/>
      <c r="C845" s="129" t="n"/>
      <c r="D845" s="130" t="n"/>
      <c r="E845" s="130" t="n"/>
      <c r="F845" s="131" t="n"/>
      <c r="G845" s="132" t="n"/>
      <c r="H845" s="132" t="n"/>
      <c r="I845" s="132" t="n"/>
      <c r="J845" s="132" t="n"/>
      <c r="K845" s="113" t="n"/>
      <c r="L845" s="114" t="n"/>
      <c r="M845" s="115" t="n"/>
    </row>
    <row r="846" ht="15.75" customHeight="1">
      <c r="A846" s="127" t="n"/>
      <c r="B846" s="128" t="n"/>
      <c r="C846" s="129" t="n"/>
      <c r="D846" s="130" t="n"/>
      <c r="E846" s="130" t="n"/>
      <c r="F846" s="131" t="n"/>
      <c r="G846" s="132" t="n"/>
      <c r="H846" s="132" t="n"/>
      <c r="I846" s="132" t="n"/>
      <c r="J846" s="132" t="n"/>
      <c r="K846" s="113" t="n"/>
      <c r="L846" s="114" t="n"/>
      <c r="M846" s="115" t="n"/>
    </row>
    <row r="847" ht="15.75" customHeight="1">
      <c r="A847" s="127" t="n"/>
      <c r="B847" s="128" t="n"/>
      <c r="C847" s="129" t="n"/>
      <c r="D847" s="130" t="n"/>
      <c r="E847" s="130" t="n"/>
      <c r="F847" s="131" t="n"/>
      <c r="G847" s="132" t="n"/>
      <c r="H847" s="132" t="n"/>
      <c r="I847" s="132" t="n"/>
      <c r="J847" s="132" t="n"/>
      <c r="K847" s="113" t="n"/>
      <c r="L847" s="114" t="n"/>
      <c r="M847" s="115" t="n"/>
    </row>
    <row r="848" ht="15.75" customHeight="1">
      <c r="A848" s="127" t="n"/>
      <c r="B848" s="128" t="n"/>
      <c r="C848" s="129" t="n"/>
      <c r="D848" s="130" t="n"/>
      <c r="E848" s="130" t="n"/>
      <c r="F848" s="131" t="n"/>
      <c r="G848" s="132" t="n"/>
      <c r="H848" s="132" t="n"/>
      <c r="I848" s="132" t="n"/>
      <c r="J848" s="132" t="n"/>
      <c r="K848" s="113" t="n"/>
      <c r="L848" s="114" t="n"/>
      <c r="M848" s="115" t="n"/>
    </row>
    <row r="849" ht="15.75" customHeight="1">
      <c r="A849" s="127" t="n"/>
      <c r="B849" s="128" t="n"/>
      <c r="C849" s="129" t="n"/>
      <c r="D849" s="130" t="n"/>
      <c r="E849" s="130" t="n"/>
      <c r="F849" s="131" t="n"/>
      <c r="G849" s="132" t="n"/>
      <c r="H849" s="132" t="n"/>
      <c r="I849" s="132" t="n"/>
      <c r="J849" s="132" t="n"/>
      <c r="K849" s="113" t="n"/>
      <c r="L849" s="114" t="n"/>
      <c r="M849" s="115" t="n"/>
    </row>
    <row r="850" ht="15.75" customHeight="1">
      <c r="A850" s="127" t="n"/>
      <c r="B850" s="128" t="n"/>
      <c r="C850" s="129" t="n"/>
      <c r="D850" s="130" t="n"/>
      <c r="E850" s="130" t="n"/>
      <c r="F850" s="131" t="n"/>
      <c r="G850" s="132" t="n"/>
      <c r="H850" s="132" t="n"/>
      <c r="I850" s="132" t="n"/>
      <c r="J850" s="132" t="n"/>
      <c r="K850" s="113" t="n"/>
      <c r="L850" s="114" t="n"/>
      <c r="M850" s="115" t="n"/>
    </row>
    <row r="851" ht="15.75" customHeight="1">
      <c r="A851" s="127" t="n"/>
      <c r="B851" s="128" t="n"/>
      <c r="C851" s="129" t="n"/>
      <c r="D851" s="130" t="n"/>
      <c r="E851" s="130" t="n"/>
      <c r="F851" s="131" t="n"/>
      <c r="G851" s="132" t="n"/>
      <c r="H851" s="132" t="n"/>
      <c r="I851" s="132" t="n"/>
      <c r="J851" s="132" t="n"/>
      <c r="K851" s="113" t="n"/>
      <c r="L851" s="114" t="n"/>
      <c r="M851" s="115" t="n"/>
    </row>
    <row r="852" ht="15.75" customHeight="1">
      <c r="A852" s="127" t="n"/>
      <c r="B852" s="128" t="n"/>
      <c r="C852" s="129" t="n"/>
      <c r="D852" s="130" t="n"/>
      <c r="E852" s="130" t="n"/>
      <c r="F852" s="131" t="n"/>
      <c r="G852" s="132" t="n"/>
      <c r="H852" s="132" t="n"/>
      <c r="I852" s="132" t="n"/>
      <c r="J852" s="132" t="n"/>
      <c r="K852" s="113" t="n"/>
      <c r="L852" s="114" t="n"/>
      <c r="M852" s="115" t="n"/>
    </row>
    <row r="853" ht="15.75" customHeight="1">
      <c r="A853" s="127" t="n"/>
      <c r="B853" s="128" t="n"/>
      <c r="C853" s="129" t="n"/>
      <c r="D853" s="130" t="n"/>
      <c r="E853" s="130" t="n"/>
      <c r="F853" s="131" t="n"/>
      <c r="G853" s="132" t="n"/>
      <c r="H853" s="132" t="n"/>
      <c r="I853" s="132" t="n"/>
      <c r="J853" s="132" t="n"/>
      <c r="K853" s="113" t="n"/>
      <c r="L853" s="114" t="n"/>
      <c r="M853" s="115" t="n"/>
    </row>
    <row r="854" ht="15.75" customHeight="1">
      <c r="A854" s="127" t="n"/>
      <c r="B854" s="128" t="n"/>
      <c r="C854" s="129" t="n"/>
      <c r="D854" s="130" t="n"/>
      <c r="E854" s="130" t="n"/>
      <c r="F854" s="131" t="n"/>
      <c r="G854" s="132" t="n"/>
      <c r="H854" s="132" t="n"/>
      <c r="I854" s="132" t="n"/>
      <c r="J854" s="132" t="n"/>
      <c r="K854" s="113" t="n"/>
      <c r="L854" s="114" t="n"/>
      <c r="M854" s="115" t="n"/>
    </row>
    <row r="855" ht="15.75" customHeight="1">
      <c r="A855" s="127" t="n"/>
      <c r="B855" s="128" t="n"/>
      <c r="C855" s="129" t="n"/>
      <c r="D855" s="130" t="n"/>
      <c r="E855" s="130" t="n"/>
      <c r="F855" s="131" t="n"/>
      <c r="G855" s="132" t="n"/>
      <c r="H855" s="132" t="n"/>
      <c r="I855" s="132" t="n"/>
      <c r="J855" s="132" t="n"/>
      <c r="K855" s="113" t="n"/>
      <c r="L855" s="114" t="n"/>
      <c r="M855" s="115" t="n"/>
    </row>
    <row r="856" ht="15.75" customHeight="1">
      <c r="A856" s="127" t="n"/>
      <c r="B856" s="128" t="n"/>
      <c r="C856" s="129" t="n"/>
      <c r="D856" s="130" t="n"/>
      <c r="E856" s="130" t="n"/>
      <c r="F856" s="131" t="n"/>
      <c r="G856" s="132" t="n"/>
      <c r="H856" s="132" t="n"/>
      <c r="I856" s="132" t="n"/>
      <c r="J856" s="132" t="n"/>
      <c r="K856" s="113" t="n"/>
      <c r="L856" s="114" t="n"/>
      <c r="M856" s="115" t="n"/>
    </row>
    <row r="857" ht="15.75" customHeight="1">
      <c r="A857" s="127" t="n"/>
      <c r="B857" s="128" t="n"/>
      <c r="C857" s="129" t="n"/>
      <c r="D857" s="130" t="n"/>
      <c r="E857" s="130" t="n"/>
      <c r="F857" s="131" t="n"/>
      <c r="G857" s="132" t="n"/>
      <c r="H857" s="132" t="n"/>
      <c r="I857" s="132" t="n"/>
      <c r="J857" s="132" t="n"/>
      <c r="K857" s="113" t="n"/>
      <c r="L857" s="114" t="n"/>
      <c r="M857" s="115" t="n"/>
    </row>
    <row r="858" ht="15.75" customHeight="1">
      <c r="A858" s="127" t="n"/>
      <c r="B858" s="128" t="n"/>
      <c r="C858" s="129" t="n"/>
      <c r="D858" s="130" t="n"/>
      <c r="E858" s="130" t="n"/>
      <c r="F858" s="131" t="n"/>
      <c r="G858" s="132" t="n"/>
      <c r="H858" s="132" t="n"/>
      <c r="I858" s="132" t="n"/>
      <c r="J858" s="132" t="n"/>
      <c r="K858" s="113" t="n"/>
      <c r="L858" s="114" t="n"/>
      <c r="M858" s="115" t="n"/>
    </row>
    <row r="859" ht="15.75" customHeight="1">
      <c r="A859" s="127" t="n"/>
      <c r="B859" s="128" t="n"/>
      <c r="C859" s="129" t="n"/>
      <c r="D859" s="130" t="n"/>
      <c r="E859" s="130" t="n"/>
      <c r="F859" s="131" t="n"/>
      <c r="G859" s="132" t="n"/>
      <c r="H859" s="132" t="n"/>
      <c r="I859" s="132" t="n"/>
      <c r="J859" s="132" t="n"/>
      <c r="K859" s="113" t="n"/>
      <c r="L859" s="114" t="n"/>
      <c r="M859" s="115" t="n"/>
    </row>
    <row r="860" ht="15.75" customHeight="1">
      <c r="A860" s="127" t="n"/>
      <c r="B860" s="128" t="n"/>
      <c r="C860" s="129" t="n"/>
      <c r="D860" s="130" t="n"/>
      <c r="E860" s="130" t="n"/>
      <c r="F860" s="131" t="n"/>
      <c r="G860" s="132" t="n"/>
      <c r="H860" s="132" t="n"/>
      <c r="I860" s="132" t="n"/>
      <c r="J860" s="132" t="n"/>
      <c r="K860" s="113" t="n"/>
      <c r="L860" s="114" t="n"/>
      <c r="M860" s="115" t="n"/>
    </row>
    <row r="861" ht="15.75" customHeight="1">
      <c r="A861" s="127" t="n"/>
      <c r="B861" s="128" t="n"/>
      <c r="C861" s="129" t="n"/>
      <c r="D861" s="130" t="n"/>
      <c r="E861" s="130" t="n"/>
      <c r="F861" s="131" t="n"/>
      <c r="G861" s="132" t="n"/>
      <c r="H861" s="132" t="n"/>
      <c r="I861" s="132" t="n"/>
      <c r="J861" s="132" t="n"/>
      <c r="K861" s="113" t="n"/>
      <c r="L861" s="114" t="n"/>
      <c r="M861" s="115" t="n"/>
    </row>
    <row r="862" ht="15.75" customHeight="1">
      <c r="A862" s="127" t="n"/>
      <c r="B862" s="128" t="n"/>
      <c r="C862" s="129" t="n"/>
      <c r="D862" s="130" t="n"/>
      <c r="E862" s="130" t="n"/>
      <c r="F862" s="131" t="n"/>
      <c r="G862" s="132" t="n"/>
      <c r="H862" s="132" t="n"/>
      <c r="I862" s="132" t="n"/>
      <c r="J862" s="132" t="n"/>
      <c r="K862" s="113" t="n"/>
      <c r="L862" s="114" t="n"/>
      <c r="M862" s="115" t="n"/>
    </row>
    <row r="863" ht="15.75" customHeight="1">
      <c r="A863" s="127" t="n"/>
      <c r="B863" s="128" t="n"/>
      <c r="C863" s="129" t="n"/>
      <c r="D863" s="130" t="n"/>
      <c r="E863" s="130" t="n"/>
      <c r="F863" s="131" t="n"/>
      <c r="G863" s="132" t="n"/>
      <c r="H863" s="132" t="n"/>
      <c r="I863" s="132" t="n"/>
      <c r="J863" s="132" t="n"/>
      <c r="K863" s="113" t="n"/>
      <c r="L863" s="114" t="n"/>
      <c r="M863" s="115" t="n"/>
    </row>
    <row r="864" ht="15.75" customHeight="1">
      <c r="A864" s="127" t="n"/>
      <c r="B864" s="128" t="n"/>
      <c r="C864" s="129" t="n"/>
      <c r="D864" s="130" t="n"/>
      <c r="E864" s="130" t="n"/>
      <c r="F864" s="131" t="n"/>
      <c r="G864" s="132" t="n"/>
      <c r="H864" s="132" t="n"/>
      <c r="I864" s="132" t="n"/>
      <c r="J864" s="132" t="n"/>
      <c r="K864" s="113" t="n"/>
      <c r="L864" s="114" t="n"/>
      <c r="M864" s="115" t="n"/>
    </row>
    <row r="865" ht="15.75" customHeight="1">
      <c r="A865" s="127" t="n"/>
      <c r="B865" s="128" t="n"/>
      <c r="C865" s="129" t="n"/>
      <c r="D865" s="130" t="n"/>
      <c r="E865" s="130" t="n"/>
      <c r="F865" s="131" t="n"/>
      <c r="G865" s="132" t="n"/>
      <c r="H865" s="132" t="n"/>
      <c r="I865" s="132" t="n"/>
      <c r="J865" s="132" t="n"/>
      <c r="K865" s="113" t="n"/>
      <c r="L865" s="114" t="n"/>
      <c r="M865" s="115" t="n"/>
    </row>
    <row r="866" ht="15.75" customHeight="1">
      <c r="A866" s="127" t="n"/>
      <c r="B866" s="128" t="n"/>
      <c r="C866" s="129" t="n"/>
      <c r="D866" s="130" t="n"/>
      <c r="E866" s="130" t="n"/>
      <c r="F866" s="131" t="n"/>
      <c r="G866" s="132" t="n"/>
      <c r="H866" s="132" t="n"/>
      <c r="I866" s="132" t="n"/>
      <c r="J866" s="132" t="n"/>
      <c r="K866" s="113" t="n"/>
      <c r="L866" s="114" t="n"/>
      <c r="M866" s="115" t="n"/>
    </row>
    <row r="867" ht="15.75" customHeight="1">
      <c r="A867" s="127" t="n"/>
      <c r="B867" s="128" t="n"/>
      <c r="C867" s="129" t="n"/>
      <c r="D867" s="130" t="n"/>
      <c r="E867" s="130" t="n"/>
      <c r="F867" s="131" t="n"/>
      <c r="G867" s="132" t="n"/>
      <c r="H867" s="132" t="n"/>
      <c r="I867" s="132" t="n"/>
      <c r="J867" s="132" t="n"/>
      <c r="K867" s="113" t="n"/>
      <c r="L867" s="114" t="n"/>
      <c r="M867" s="115" t="n"/>
    </row>
    <row r="868" ht="15.75" customHeight="1">
      <c r="A868" s="127" t="n"/>
      <c r="B868" s="128" t="n"/>
      <c r="C868" s="129" t="n"/>
      <c r="D868" s="130" t="n"/>
      <c r="E868" s="130" t="n"/>
      <c r="F868" s="131" t="n"/>
      <c r="G868" s="132" t="n"/>
      <c r="H868" s="132" t="n"/>
      <c r="I868" s="132" t="n"/>
      <c r="J868" s="132" t="n"/>
      <c r="K868" s="113" t="n"/>
      <c r="L868" s="114" t="n"/>
      <c r="M868" s="115" t="n"/>
    </row>
    <row r="869" ht="15.75" customHeight="1">
      <c r="A869" s="127" t="n"/>
      <c r="B869" s="128" t="n"/>
      <c r="C869" s="129" t="n"/>
      <c r="D869" s="130" t="n"/>
      <c r="E869" s="130" t="n"/>
      <c r="F869" s="131" t="n"/>
      <c r="G869" s="132" t="n"/>
      <c r="H869" s="132" t="n"/>
      <c r="I869" s="132" t="n"/>
      <c r="J869" s="132" t="n"/>
      <c r="K869" s="113" t="n"/>
      <c r="L869" s="114" t="n"/>
      <c r="M869" s="115" t="n"/>
    </row>
    <row r="870" ht="15.75" customHeight="1">
      <c r="A870" s="127" t="n"/>
      <c r="B870" s="128" t="n"/>
      <c r="C870" s="129" t="n"/>
      <c r="D870" s="130" t="n"/>
      <c r="E870" s="130" t="n"/>
      <c r="F870" s="131" t="n"/>
      <c r="G870" s="132" t="n"/>
      <c r="H870" s="132" t="n"/>
      <c r="I870" s="132" t="n"/>
      <c r="J870" s="132" t="n"/>
      <c r="K870" s="113" t="n"/>
      <c r="L870" s="114" t="n"/>
      <c r="M870" s="115" t="n"/>
    </row>
    <row r="871" ht="15.75" customHeight="1">
      <c r="A871" s="127" t="n"/>
      <c r="B871" s="128" t="n"/>
      <c r="C871" s="129" t="n"/>
      <c r="D871" s="130" t="n"/>
      <c r="E871" s="130" t="n"/>
      <c r="F871" s="131" t="n"/>
      <c r="G871" s="132" t="n"/>
      <c r="H871" s="132" t="n"/>
      <c r="I871" s="132" t="n"/>
      <c r="J871" s="132" t="n"/>
      <c r="K871" s="113" t="n"/>
      <c r="L871" s="114" t="n"/>
      <c r="M871" s="115" t="n"/>
    </row>
    <row r="872" ht="15.75" customHeight="1">
      <c r="A872" s="127" t="n"/>
      <c r="B872" s="128" t="n"/>
      <c r="C872" s="129" t="n"/>
      <c r="D872" s="130" t="n"/>
      <c r="E872" s="130" t="n"/>
      <c r="F872" s="131" t="n"/>
      <c r="G872" s="132" t="n"/>
      <c r="H872" s="132" t="n"/>
      <c r="I872" s="132" t="n"/>
      <c r="J872" s="132" t="n"/>
      <c r="K872" s="113" t="n"/>
      <c r="L872" s="114" t="n"/>
      <c r="M872" s="115" t="n"/>
    </row>
    <row r="873" ht="15.75" customHeight="1">
      <c r="A873" s="127" t="n"/>
      <c r="B873" s="128" t="n"/>
      <c r="C873" s="129" t="n"/>
      <c r="D873" s="130" t="n"/>
      <c r="E873" s="130" t="n"/>
      <c r="F873" s="131" t="n"/>
      <c r="G873" s="132" t="n"/>
      <c r="H873" s="132" t="n"/>
      <c r="I873" s="132" t="n"/>
      <c r="J873" s="132" t="n"/>
      <c r="K873" s="113" t="n"/>
      <c r="L873" s="114" t="n"/>
      <c r="M873" s="115" t="n"/>
    </row>
    <row r="874" ht="15.75" customHeight="1">
      <c r="A874" s="127" t="n"/>
      <c r="B874" s="128" t="n"/>
      <c r="C874" s="129" t="n"/>
      <c r="D874" s="130" t="n"/>
      <c r="E874" s="130" t="n"/>
      <c r="F874" s="131" t="n"/>
      <c r="G874" s="132" t="n"/>
      <c r="H874" s="132" t="n"/>
      <c r="I874" s="132" t="n"/>
      <c r="J874" s="132" t="n"/>
      <c r="K874" s="113" t="n"/>
      <c r="L874" s="114" t="n"/>
      <c r="M874" s="115" t="n"/>
    </row>
    <row r="875" ht="15.75" customHeight="1">
      <c r="A875" s="127" t="n"/>
      <c r="B875" s="128" t="n"/>
      <c r="C875" s="129" t="n"/>
      <c r="D875" s="130" t="n"/>
      <c r="E875" s="130" t="n"/>
      <c r="F875" s="131" t="n"/>
      <c r="G875" s="132" t="n"/>
      <c r="H875" s="132" t="n"/>
      <c r="I875" s="132" t="n"/>
      <c r="J875" s="132" t="n"/>
      <c r="K875" s="113" t="n"/>
      <c r="L875" s="114" t="n"/>
      <c r="M875" s="115" t="n"/>
    </row>
    <row r="876" ht="15.75" customHeight="1">
      <c r="A876" s="127" t="n"/>
      <c r="B876" s="128" t="n"/>
      <c r="C876" s="129" t="n"/>
      <c r="D876" s="130" t="n"/>
      <c r="E876" s="130" t="n"/>
      <c r="F876" s="131" t="n"/>
      <c r="G876" s="132" t="n"/>
      <c r="H876" s="132" t="n"/>
      <c r="I876" s="132" t="n"/>
      <c r="J876" s="132" t="n"/>
      <c r="K876" s="113" t="n"/>
      <c r="L876" s="114" t="n"/>
      <c r="M876" s="115" t="n"/>
    </row>
    <row r="877" ht="15.75" customHeight="1">
      <c r="A877" s="127" t="n"/>
      <c r="B877" s="128" t="n"/>
      <c r="C877" s="129" t="n"/>
      <c r="D877" s="130" t="n"/>
      <c r="E877" s="130" t="n"/>
      <c r="F877" s="131" t="n"/>
      <c r="G877" s="132" t="n"/>
      <c r="H877" s="132" t="n"/>
      <c r="I877" s="132" t="n"/>
      <c r="J877" s="132" t="n"/>
      <c r="K877" s="113" t="n"/>
      <c r="L877" s="114" t="n"/>
      <c r="M877" s="115" t="n"/>
    </row>
    <row r="878" ht="15.75" customHeight="1">
      <c r="A878" s="127" t="n"/>
      <c r="B878" s="128" t="n"/>
      <c r="C878" s="129" t="n"/>
      <c r="D878" s="130" t="n"/>
      <c r="E878" s="130" t="n"/>
      <c r="F878" s="131" t="n"/>
      <c r="G878" s="132" t="n"/>
      <c r="H878" s="132" t="n"/>
      <c r="I878" s="132" t="n"/>
      <c r="J878" s="132" t="n"/>
      <c r="K878" s="113" t="n"/>
      <c r="L878" s="114" t="n"/>
      <c r="M878" s="115" t="n"/>
    </row>
    <row r="879" ht="15.75" customHeight="1">
      <c r="A879" s="127" t="n"/>
      <c r="B879" s="128" t="n"/>
      <c r="C879" s="129" t="n"/>
      <c r="D879" s="130" t="n"/>
      <c r="E879" s="130" t="n"/>
      <c r="F879" s="131" t="n"/>
      <c r="G879" s="132" t="n"/>
      <c r="H879" s="132" t="n"/>
      <c r="I879" s="132" t="n"/>
      <c r="J879" s="132" t="n"/>
      <c r="K879" s="113" t="n"/>
      <c r="L879" s="114" t="n"/>
      <c r="M879" s="115" t="n"/>
    </row>
    <row r="880" ht="15.75" customHeight="1">
      <c r="A880" s="127" t="n"/>
      <c r="B880" s="128" t="n"/>
      <c r="C880" s="129" t="n"/>
      <c r="D880" s="130" t="n"/>
      <c r="E880" s="130" t="n"/>
      <c r="F880" s="131" t="n"/>
      <c r="G880" s="132" t="n"/>
      <c r="H880" s="132" t="n"/>
      <c r="I880" s="132" t="n"/>
      <c r="J880" s="132" t="n"/>
      <c r="K880" s="113" t="n"/>
      <c r="L880" s="114" t="n"/>
      <c r="M880" s="115" t="n"/>
    </row>
    <row r="881" ht="15.75" customHeight="1">
      <c r="A881" s="127" t="n"/>
      <c r="B881" s="128" t="n"/>
      <c r="C881" s="129" t="n"/>
      <c r="D881" s="130" t="n"/>
      <c r="E881" s="130" t="n"/>
      <c r="F881" s="131" t="n"/>
      <c r="G881" s="132" t="n"/>
      <c r="H881" s="132" t="n"/>
      <c r="I881" s="132" t="n"/>
      <c r="J881" s="132" t="n"/>
      <c r="K881" s="113" t="n"/>
      <c r="L881" s="114" t="n"/>
      <c r="M881" s="115" t="n"/>
    </row>
    <row r="882" ht="15.75" customHeight="1">
      <c r="A882" s="127" t="n"/>
      <c r="B882" s="128" t="n"/>
      <c r="C882" s="129" t="n"/>
      <c r="D882" s="130" t="n"/>
      <c r="E882" s="130" t="n"/>
      <c r="F882" s="131" t="n"/>
      <c r="G882" s="132" t="n"/>
      <c r="H882" s="132" t="n"/>
      <c r="I882" s="132" t="n"/>
      <c r="J882" s="132" t="n"/>
      <c r="K882" s="113" t="n"/>
      <c r="L882" s="114" t="n"/>
      <c r="M882" s="115" t="n"/>
    </row>
    <row r="883" ht="15.75" customHeight="1">
      <c r="A883" s="127" t="n"/>
      <c r="B883" s="128" t="n"/>
      <c r="C883" s="129" t="n"/>
      <c r="D883" s="130" t="n"/>
      <c r="E883" s="130" t="n"/>
      <c r="F883" s="131" t="n"/>
      <c r="G883" s="132" t="n"/>
      <c r="H883" s="132" t="n"/>
      <c r="I883" s="132" t="n"/>
      <c r="J883" s="132" t="n"/>
      <c r="K883" s="113" t="n"/>
      <c r="L883" s="114" t="n"/>
      <c r="M883" s="115" t="n"/>
    </row>
    <row r="884" ht="15.75" customHeight="1">
      <c r="A884" s="127" t="n"/>
      <c r="B884" s="128" t="n"/>
      <c r="C884" s="129" t="n"/>
      <c r="D884" s="130" t="n"/>
      <c r="E884" s="130" t="n"/>
      <c r="F884" s="131" t="n"/>
      <c r="G884" s="132" t="n"/>
      <c r="H884" s="132" t="n"/>
      <c r="I884" s="132" t="n"/>
      <c r="J884" s="132" t="n"/>
      <c r="K884" s="113" t="n"/>
      <c r="L884" s="114" t="n"/>
      <c r="M884" s="115" t="n"/>
    </row>
    <row r="885" ht="15.75" customHeight="1">
      <c r="A885" s="127" t="n"/>
      <c r="B885" s="128" t="n"/>
      <c r="C885" s="129" t="n"/>
      <c r="D885" s="130" t="n"/>
      <c r="E885" s="130" t="n"/>
      <c r="F885" s="131" t="n"/>
      <c r="G885" s="132" t="n"/>
      <c r="H885" s="132" t="n"/>
      <c r="I885" s="132" t="n"/>
      <c r="J885" s="132" t="n"/>
      <c r="K885" s="113" t="n"/>
      <c r="L885" s="114" t="n"/>
      <c r="M885" s="115" t="n"/>
    </row>
    <row r="886" ht="15.75" customHeight="1">
      <c r="A886" s="127" t="n"/>
      <c r="B886" s="128" t="n"/>
      <c r="C886" s="129" t="n"/>
      <c r="D886" s="130" t="n"/>
      <c r="E886" s="130" t="n"/>
      <c r="F886" s="131" t="n"/>
      <c r="G886" s="132" t="n"/>
      <c r="H886" s="132" t="n"/>
      <c r="I886" s="132" t="n"/>
      <c r="J886" s="132" t="n"/>
      <c r="K886" s="113" t="n"/>
      <c r="L886" s="114" t="n"/>
      <c r="M886" s="115" t="n"/>
    </row>
    <row r="887" ht="15.75" customHeight="1">
      <c r="A887" s="127" t="n"/>
      <c r="B887" s="128" t="n"/>
      <c r="C887" s="129" t="n"/>
      <c r="D887" s="130" t="n"/>
      <c r="E887" s="130" t="n"/>
      <c r="F887" s="131" t="n"/>
      <c r="G887" s="132" t="n"/>
      <c r="H887" s="132" t="n"/>
      <c r="I887" s="132" t="n"/>
      <c r="J887" s="132" t="n"/>
      <c r="K887" s="113" t="n"/>
      <c r="L887" s="114" t="n"/>
      <c r="M887" s="115" t="n"/>
    </row>
    <row r="888" ht="15.75" customHeight="1">
      <c r="A888" s="127" t="n"/>
      <c r="B888" s="128" t="n"/>
      <c r="C888" s="129" t="n"/>
      <c r="D888" s="130" t="n"/>
      <c r="E888" s="130" t="n"/>
      <c r="F888" s="131" t="n"/>
      <c r="G888" s="132" t="n"/>
      <c r="H888" s="132" t="n"/>
      <c r="I888" s="132" t="n"/>
      <c r="J888" s="132" t="n"/>
      <c r="K888" s="113" t="n"/>
      <c r="L888" s="114" t="n"/>
      <c r="M888" s="115" t="n"/>
    </row>
    <row r="889" ht="15.75" customHeight="1">
      <c r="A889" s="127" t="n"/>
      <c r="B889" s="128" t="n"/>
      <c r="C889" s="129" t="n"/>
      <c r="D889" s="130" t="n"/>
      <c r="E889" s="130" t="n"/>
      <c r="F889" s="131" t="n"/>
      <c r="G889" s="132" t="n"/>
      <c r="H889" s="132" t="n"/>
      <c r="I889" s="132" t="n"/>
      <c r="J889" s="132" t="n"/>
      <c r="K889" s="113" t="n"/>
      <c r="L889" s="114" t="n"/>
      <c r="M889" s="115" t="n"/>
    </row>
    <row r="890" ht="15.75" customHeight="1">
      <c r="A890" s="127" t="n"/>
      <c r="B890" s="128" t="n"/>
      <c r="C890" s="129" t="n"/>
      <c r="D890" s="130" t="n"/>
      <c r="E890" s="130" t="n"/>
      <c r="F890" s="131" t="n"/>
      <c r="G890" s="132" t="n"/>
      <c r="H890" s="132" t="n"/>
      <c r="I890" s="132" t="n"/>
      <c r="J890" s="132" t="n"/>
      <c r="K890" s="113" t="n"/>
      <c r="L890" s="114" t="n"/>
      <c r="M890" s="115" t="n"/>
    </row>
    <row r="891" ht="15.75" customHeight="1">
      <c r="A891" s="127" t="n"/>
      <c r="B891" s="128" t="n"/>
      <c r="C891" s="129" t="n"/>
      <c r="D891" s="130" t="n"/>
      <c r="E891" s="130" t="n"/>
      <c r="F891" s="131" t="n"/>
      <c r="G891" s="132" t="n"/>
      <c r="H891" s="132" t="n"/>
      <c r="I891" s="132" t="n"/>
      <c r="J891" s="132" t="n"/>
      <c r="K891" s="113" t="n"/>
      <c r="L891" s="114" t="n"/>
      <c r="M891" s="115" t="n"/>
    </row>
    <row r="892" ht="15.75" customHeight="1">
      <c r="A892" s="127" t="n"/>
      <c r="B892" s="128" t="n"/>
      <c r="C892" s="129" t="n"/>
      <c r="D892" s="130" t="n"/>
      <c r="E892" s="130" t="n"/>
      <c r="F892" s="131" t="n"/>
      <c r="G892" s="132" t="n"/>
      <c r="H892" s="132" t="n"/>
      <c r="I892" s="132" t="n"/>
      <c r="J892" s="132" t="n"/>
      <c r="K892" s="113" t="n"/>
      <c r="L892" s="114" t="n"/>
      <c r="M892" s="115" t="n"/>
    </row>
    <row r="893" ht="15.75" customHeight="1">
      <c r="A893" s="127" t="n"/>
      <c r="B893" s="128" t="n"/>
      <c r="C893" s="129" t="n"/>
      <c r="D893" s="130" t="n"/>
      <c r="E893" s="130" t="n"/>
      <c r="F893" s="131" t="n"/>
      <c r="G893" s="132" t="n"/>
      <c r="H893" s="132" t="n"/>
      <c r="I893" s="132" t="n"/>
      <c r="J893" s="132" t="n"/>
      <c r="K893" s="113" t="n"/>
      <c r="L893" s="114" t="n"/>
      <c r="M893" s="115" t="n"/>
    </row>
    <row r="894" ht="15.75" customHeight="1">
      <c r="A894" s="127" t="n"/>
      <c r="B894" s="128" t="n"/>
      <c r="C894" s="129" t="n"/>
      <c r="D894" s="130" t="n"/>
      <c r="E894" s="130" t="n"/>
      <c r="F894" s="131" t="n"/>
      <c r="G894" s="132" t="n"/>
      <c r="H894" s="132" t="n"/>
      <c r="I894" s="132" t="n"/>
      <c r="J894" s="132" t="n"/>
      <c r="K894" s="113" t="n"/>
      <c r="L894" s="114" t="n"/>
      <c r="M894" s="115" t="n"/>
    </row>
    <row r="895" ht="15.75" customHeight="1">
      <c r="A895" s="127" t="n"/>
      <c r="B895" s="128" t="n"/>
      <c r="C895" s="129" t="n"/>
      <c r="D895" s="130" t="n"/>
      <c r="E895" s="130" t="n"/>
      <c r="F895" s="131" t="n"/>
      <c r="G895" s="132" t="n"/>
      <c r="H895" s="132" t="n"/>
      <c r="I895" s="132" t="n"/>
      <c r="J895" s="132" t="n"/>
      <c r="K895" s="113" t="n"/>
      <c r="L895" s="114" t="n"/>
      <c r="M895" s="115" t="n"/>
    </row>
    <row r="896" ht="15.75" customHeight="1">
      <c r="A896" s="127" t="n"/>
      <c r="B896" s="128" t="n"/>
      <c r="C896" s="129" t="n"/>
      <c r="D896" s="130" t="n"/>
      <c r="E896" s="130" t="n"/>
      <c r="F896" s="131" t="n"/>
      <c r="G896" s="132" t="n"/>
      <c r="H896" s="132" t="n"/>
      <c r="I896" s="132" t="n"/>
      <c r="J896" s="132" t="n"/>
      <c r="K896" s="113" t="n"/>
      <c r="L896" s="114" t="n"/>
      <c r="M896" s="115" t="n"/>
    </row>
    <row r="897" ht="15.75" customHeight="1">
      <c r="A897" s="127" t="n"/>
      <c r="B897" s="128" t="n"/>
      <c r="C897" s="129" t="n"/>
      <c r="D897" s="130" t="n"/>
      <c r="E897" s="130" t="n"/>
      <c r="F897" s="131" t="n"/>
      <c r="G897" s="132" t="n"/>
      <c r="H897" s="132" t="n"/>
      <c r="I897" s="132" t="n"/>
      <c r="J897" s="132" t="n"/>
      <c r="K897" s="113" t="n"/>
      <c r="L897" s="114" t="n"/>
      <c r="M897" s="115" t="n"/>
    </row>
    <row r="898" ht="15.75" customHeight="1">
      <c r="A898" s="127" t="n"/>
      <c r="B898" s="128" t="n"/>
      <c r="C898" s="129" t="n"/>
      <c r="D898" s="130" t="n"/>
      <c r="E898" s="130" t="n"/>
      <c r="F898" s="131" t="n"/>
      <c r="G898" s="132" t="n"/>
      <c r="H898" s="132" t="n"/>
      <c r="I898" s="132" t="n"/>
      <c r="J898" s="132" t="n"/>
      <c r="K898" s="113" t="n"/>
      <c r="L898" s="114" t="n"/>
      <c r="M898" s="115" t="n"/>
    </row>
    <row r="899" ht="15.75" customHeight="1">
      <c r="A899" s="127" t="n"/>
      <c r="B899" s="128" t="n"/>
      <c r="C899" s="129" t="n"/>
      <c r="D899" s="130" t="n"/>
      <c r="E899" s="130" t="n"/>
      <c r="F899" s="131" t="n"/>
      <c r="G899" s="132" t="n"/>
      <c r="H899" s="132" t="n"/>
      <c r="I899" s="132" t="n"/>
      <c r="J899" s="132" t="n"/>
      <c r="K899" s="113" t="n"/>
      <c r="L899" s="114" t="n"/>
      <c r="M899" s="115" t="n"/>
    </row>
    <row r="900" ht="15.75" customHeight="1">
      <c r="A900" s="127" t="n"/>
      <c r="B900" s="128" t="n"/>
      <c r="C900" s="129" t="n"/>
      <c r="D900" s="130" t="n"/>
      <c r="E900" s="130" t="n"/>
      <c r="F900" s="131" t="n"/>
      <c r="G900" s="132" t="n"/>
      <c r="H900" s="132" t="n"/>
      <c r="I900" s="132" t="n"/>
      <c r="J900" s="132" t="n"/>
      <c r="K900" s="113" t="n"/>
      <c r="L900" s="114" t="n"/>
      <c r="M900" s="115" t="n"/>
    </row>
    <row r="901" ht="15.75" customHeight="1">
      <c r="A901" s="127" t="n"/>
      <c r="B901" s="128" t="n"/>
      <c r="C901" s="129" t="n"/>
      <c r="D901" s="130" t="n"/>
      <c r="E901" s="130" t="n"/>
      <c r="F901" s="131" t="n"/>
      <c r="G901" s="132" t="n"/>
      <c r="H901" s="132" t="n"/>
      <c r="I901" s="132" t="n"/>
      <c r="J901" s="132" t="n"/>
      <c r="K901" s="113" t="n"/>
      <c r="L901" s="114" t="n"/>
      <c r="M901" s="115" t="n"/>
    </row>
    <row r="902" ht="15.75" customHeight="1">
      <c r="A902" s="127" t="n"/>
      <c r="B902" s="128" t="n"/>
      <c r="C902" s="129" t="n"/>
      <c r="D902" s="130" t="n"/>
      <c r="E902" s="130" t="n"/>
      <c r="F902" s="131" t="n"/>
      <c r="G902" s="132" t="n"/>
      <c r="H902" s="132" t="n"/>
      <c r="I902" s="132" t="n"/>
      <c r="J902" s="132" t="n"/>
      <c r="K902" s="113" t="n"/>
      <c r="L902" s="114" t="n"/>
      <c r="M902" s="115" t="n"/>
    </row>
    <row r="903" ht="15.75" customHeight="1">
      <c r="A903" s="127" t="n"/>
      <c r="B903" s="128" t="n"/>
      <c r="C903" s="129" t="n"/>
      <c r="D903" s="130" t="n"/>
      <c r="E903" s="130" t="n"/>
      <c r="F903" s="131" t="n"/>
      <c r="G903" s="132" t="n"/>
      <c r="H903" s="132" t="n"/>
      <c r="I903" s="132" t="n"/>
      <c r="J903" s="132" t="n"/>
      <c r="K903" s="113" t="n"/>
      <c r="L903" s="114" t="n"/>
      <c r="M903" s="115" t="n"/>
    </row>
    <row r="904" ht="15.75" customHeight="1">
      <c r="A904" s="127" t="n"/>
      <c r="B904" s="128" t="n"/>
      <c r="C904" s="129" t="n"/>
      <c r="D904" s="130" t="n"/>
      <c r="E904" s="130" t="n"/>
      <c r="F904" s="131" t="n"/>
      <c r="G904" s="132" t="n"/>
      <c r="H904" s="132" t="n"/>
      <c r="I904" s="132" t="n"/>
      <c r="J904" s="132" t="n"/>
      <c r="K904" s="113" t="n"/>
      <c r="L904" s="114" t="n"/>
      <c r="M904" s="115" t="n"/>
    </row>
    <row r="905" ht="15.75" customHeight="1">
      <c r="A905" s="127" t="n"/>
      <c r="B905" s="128" t="n"/>
      <c r="C905" s="129" t="n"/>
      <c r="D905" s="130" t="n"/>
      <c r="E905" s="130" t="n"/>
      <c r="F905" s="131" t="n"/>
      <c r="G905" s="132" t="n"/>
      <c r="H905" s="132" t="n"/>
      <c r="I905" s="132" t="n"/>
      <c r="J905" s="132" t="n"/>
      <c r="K905" s="113" t="n"/>
      <c r="L905" s="114" t="n"/>
      <c r="M905" s="115" t="n"/>
    </row>
    <row r="906" ht="15.75" customHeight="1">
      <c r="A906" s="127" t="n"/>
      <c r="B906" s="128" t="n"/>
      <c r="C906" s="129" t="n"/>
      <c r="D906" s="130" t="n"/>
      <c r="E906" s="130" t="n"/>
      <c r="F906" s="131" t="n"/>
      <c r="G906" s="132" t="n"/>
      <c r="H906" s="132" t="n"/>
      <c r="I906" s="132" t="n"/>
      <c r="J906" s="132" t="n"/>
      <c r="K906" s="113" t="n"/>
      <c r="L906" s="114" t="n"/>
      <c r="M906" s="115" t="n"/>
    </row>
    <row r="907" ht="15.75" customHeight="1">
      <c r="A907" s="127" t="n"/>
      <c r="B907" s="128" t="n"/>
      <c r="C907" s="129" t="n"/>
      <c r="D907" s="130" t="n"/>
      <c r="E907" s="130" t="n"/>
      <c r="F907" s="131" t="n"/>
      <c r="G907" s="132" t="n"/>
      <c r="H907" s="132" t="n"/>
      <c r="I907" s="132" t="n"/>
      <c r="J907" s="132" t="n"/>
      <c r="K907" s="113" t="n"/>
      <c r="L907" s="114" t="n"/>
      <c r="M907" s="115" t="n"/>
    </row>
    <row r="908" ht="15.75" customHeight="1">
      <c r="A908" s="127" t="n"/>
      <c r="B908" s="128" t="n"/>
      <c r="C908" s="129" t="n"/>
      <c r="D908" s="130" t="n"/>
      <c r="E908" s="130" t="n"/>
      <c r="F908" s="131" t="n"/>
      <c r="G908" s="132" t="n"/>
      <c r="H908" s="132" t="n"/>
      <c r="I908" s="132" t="n"/>
      <c r="J908" s="132" t="n"/>
      <c r="K908" s="113" t="n"/>
      <c r="L908" s="114" t="n"/>
      <c r="M908" s="115" t="n"/>
    </row>
    <row r="909" ht="15.75" customHeight="1">
      <c r="A909" s="127" t="n"/>
      <c r="B909" s="128" t="n"/>
      <c r="C909" s="129" t="n"/>
      <c r="D909" s="130" t="n"/>
      <c r="E909" s="130" t="n"/>
      <c r="F909" s="131" t="n"/>
      <c r="G909" s="132" t="n"/>
      <c r="H909" s="132" t="n"/>
      <c r="I909" s="132" t="n"/>
      <c r="J909" s="132" t="n"/>
      <c r="K909" s="113" t="n"/>
      <c r="L909" s="114" t="n"/>
      <c r="M909" s="115" t="n"/>
    </row>
    <row r="910" ht="15.75" customHeight="1">
      <c r="A910" s="127" t="n"/>
      <c r="B910" s="128" t="n"/>
      <c r="C910" s="129" t="n"/>
      <c r="D910" s="130" t="n"/>
      <c r="E910" s="130" t="n"/>
      <c r="F910" s="131" t="n"/>
      <c r="G910" s="132" t="n"/>
      <c r="H910" s="132" t="n"/>
      <c r="I910" s="132" t="n"/>
      <c r="J910" s="132" t="n"/>
      <c r="K910" s="113" t="n"/>
      <c r="L910" s="114" t="n"/>
      <c r="M910" s="115" t="n"/>
    </row>
    <row r="911" ht="15.75" customHeight="1">
      <c r="A911" s="127" t="n"/>
      <c r="B911" s="128" t="n"/>
      <c r="C911" s="129" t="n"/>
      <c r="D911" s="130" t="n"/>
      <c r="E911" s="130" t="n"/>
      <c r="F911" s="131" t="n"/>
      <c r="G911" s="132" t="n"/>
      <c r="H911" s="132" t="n"/>
      <c r="I911" s="132" t="n"/>
      <c r="J911" s="132" t="n"/>
      <c r="K911" s="113" t="n"/>
      <c r="L911" s="114" t="n"/>
      <c r="M911" s="115" t="n"/>
    </row>
    <row r="912" ht="15.75" customHeight="1">
      <c r="A912" s="127" t="n"/>
      <c r="B912" s="128" t="n"/>
      <c r="C912" s="129" t="n"/>
      <c r="D912" s="130" t="n"/>
      <c r="E912" s="130" t="n"/>
      <c r="F912" s="131" t="n"/>
      <c r="G912" s="132" t="n"/>
      <c r="H912" s="132" t="n"/>
      <c r="I912" s="132" t="n"/>
      <c r="J912" s="132" t="n"/>
      <c r="K912" s="113" t="n"/>
      <c r="L912" s="114" t="n"/>
      <c r="M912" s="115" t="n"/>
    </row>
    <row r="913" ht="15.75" customHeight="1">
      <c r="A913" s="127" t="n"/>
      <c r="B913" s="128" t="n"/>
      <c r="C913" s="129" t="n"/>
      <c r="D913" s="130" t="n"/>
      <c r="E913" s="130" t="n"/>
      <c r="F913" s="131" t="n"/>
      <c r="G913" s="132" t="n"/>
      <c r="H913" s="132" t="n"/>
      <c r="I913" s="132" t="n"/>
      <c r="J913" s="132" t="n"/>
      <c r="K913" s="113" t="n"/>
      <c r="L913" s="114" t="n"/>
      <c r="M913" s="115" t="n"/>
    </row>
    <row r="914" ht="15.75" customHeight="1">
      <c r="A914" s="127" t="n"/>
      <c r="B914" s="128" t="n"/>
      <c r="C914" s="129" t="n"/>
      <c r="D914" s="130" t="n"/>
      <c r="E914" s="130" t="n"/>
      <c r="F914" s="131" t="n"/>
      <c r="G914" s="132" t="n"/>
      <c r="H914" s="132" t="n"/>
      <c r="I914" s="132" t="n"/>
      <c r="J914" s="132" t="n"/>
      <c r="K914" s="113" t="n"/>
      <c r="L914" s="114" t="n"/>
      <c r="M914" s="115" t="n"/>
    </row>
    <row r="915" ht="15.75" customHeight="1">
      <c r="A915" s="127" t="n"/>
      <c r="B915" s="128" t="n"/>
      <c r="C915" s="129" t="n"/>
      <c r="D915" s="130" t="n"/>
      <c r="E915" s="130" t="n"/>
      <c r="F915" s="131" t="n"/>
      <c r="G915" s="132" t="n"/>
      <c r="H915" s="132" t="n"/>
      <c r="I915" s="132" t="n"/>
      <c r="J915" s="132" t="n"/>
      <c r="K915" s="113" t="n"/>
      <c r="L915" s="114" t="n"/>
      <c r="M915" s="115" t="n"/>
    </row>
    <row r="916" ht="15.75" customHeight="1">
      <c r="A916" s="127" t="n"/>
      <c r="B916" s="128" t="n"/>
      <c r="C916" s="129" t="n"/>
      <c r="D916" s="130" t="n"/>
      <c r="E916" s="130" t="n"/>
      <c r="F916" s="131" t="n"/>
      <c r="G916" s="132" t="n"/>
      <c r="H916" s="132" t="n"/>
      <c r="I916" s="132" t="n"/>
      <c r="J916" s="132" t="n"/>
      <c r="K916" s="113" t="n"/>
      <c r="L916" s="114" t="n"/>
      <c r="M916" s="115" t="n"/>
    </row>
    <row r="917" ht="15.75" customHeight="1">
      <c r="A917" s="127" t="n"/>
      <c r="B917" s="128" t="n"/>
      <c r="C917" s="129" t="n"/>
      <c r="D917" s="130" t="n"/>
      <c r="E917" s="130" t="n"/>
      <c r="F917" s="131" t="n"/>
      <c r="G917" s="132" t="n"/>
      <c r="H917" s="132" t="n"/>
      <c r="I917" s="132" t="n"/>
      <c r="J917" s="132" t="n"/>
      <c r="K917" s="113" t="n"/>
      <c r="L917" s="114" t="n"/>
      <c r="M917" s="115" t="n"/>
    </row>
    <row r="918" ht="15.75" customHeight="1">
      <c r="A918" s="127" t="n"/>
      <c r="B918" s="128" t="n"/>
      <c r="C918" s="129" t="n"/>
      <c r="D918" s="130" t="n"/>
      <c r="E918" s="130" t="n"/>
      <c r="F918" s="131" t="n"/>
      <c r="G918" s="132" t="n"/>
      <c r="H918" s="132" t="n"/>
      <c r="I918" s="132" t="n"/>
      <c r="J918" s="132" t="n"/>
      <c r="K918" s="113" t="n"/>
      <c r="L918" s="114" t="n"/>
      <c r="M918" s="115" t="n"/>
    </row>
    <row r="919" ht="15.75" customHeight="1">
      <c r="A919" s="127" t="n"/>
      <c r="B919" s="128" t="n"/>
      <c r="C919" s="129" t="n"/>
      <c r="D919" s="130" t="n"/>
      <c r="E919" s="130" t="n"/>
      <c r="F919" s="131" t="n"/>
      <c r="G919" s="132" t="n"/>
      <c r="H919" s="132" t="n"/>
      <c r="I919" s="132" t="n"/>
      <c r="J919" s="132" t="n"/>
      <c r="K919" s="113" t="n"/>
      <c r="L919" s="114" t="n"/>
      <c r="M919" s="115" t="n"/>
    </row>
    <row r="920" ht="15.75" customHeight="1">
      <c r="A920" s="127" t="n"/>
      <c r="B920" s="128" t="n"/>
      <c r="C920" s="129" t="n"/>
      <c r="D920" s="130" t="n"/>
      <c r="E920" s="130" t="n"/>
      <c r="F920" s="131" t="n"/>
      <c r="G920" s="132" t="n"/>
      <c r="H920" s="132" t="n"/>
      <c r="I920" s="132" t="n"/>
      <c r="J920" s="132" t="n"/>
      <c r="K920" s="113" t="n"/>
      <c r="L920" s="114" t="n"/>
      <c r="M920" s="115" t="n"/>
    </row>
    <row r="921" ht="15.75" customHeight="1">
      <c r="A921" s="127" t="n"/>
      <c r="B921" s="128" t="n"/>
      <c r="C921" s="129" t="n"/>
      <c r="D921" s="130" t="n"/>
      <c r="E921" s="130" t="n"/>
      <c r="F921" s="131" t="n"/>
      <c r="G921" s="132" t="n"/>
      <c r="H921" s="132" t="n"/>
      <c r="I921" s="132" t="n"/>
      <c r="J921" s="132" t="n"/>
      <c r="K921" s="113" t="n"/>
      <c r="L921" s="114" t="n"/>
      <c r="M921" s="115" t="n"/>
    </row>
    <row r="922" ht="15.75" customHeight="1">
      <c r="A922" s="127" t="n"/>
      <c r="B922" s="128" t="n"/>
      <c r="C922" s="129" t="n"/>
      <c r="D922" s="130" t="n"/>
      <c r="E922" s="130" t="n"/>
      <c r="F922" s="131" t="n"/>
      <c r="G922" s="132" t="n"/>
      <c r="H922" s="132" t="n"/>
      <c r="I922" s="132" t="n"/>
      <c r="J922" s="132" t="n"/>
      <c r="K922" s="113" t="n"/>
      <c r="L922" s="114" t="n"/>
      <c r="M922" s="115" t="n"/>
    </row>
    <row r="923" ht="15.75" customHeight="1">
      <c r="A923" s="127" t="n"/>
      <c r="B923" s="128" t="n"/>
      <c r="C923" s="129" t="n"/>
      <c r="D923" s="130" t="n"/>
      <c r="E923" s="130" t="n"/>
      <c r="F923" s="131" t="n"/>
      <c r="G923" s="132" t="n"/>
      <c r="H923" s="132" t="n"/>
      <c r="I923" s="132" t="n"/>
      <c r="J923" s="132" t="n"/>
      <c r="K923" s="113" t="n"/>
      <c r="L923" s="114" t="n"/>
      <c r="M923" s="115" t="n"/>
    </row>
    <row r="924" ht="15.75" customHeight="1">
      <c r="A924" s="127" t="n"/>
      <c r="B924" s="128" t="n"/>
      <c r="C924" s="129" t="n"/>
      <c r="D924" s="130" t="n"/>
      <c r="E924" s="130" t="n"/>
      <c r="F924" s="131" t="n"/>
      <c r="G924" s="132" t="n"/>
      <c r="H924" s="132" t="n"/>
      <c r="I924" s="132" t="n"/>
      <c r="J924" s="132" t="n"/>
      <c r="K924" s="113" t="n"/>
      <c r="L924" s="114" t="n"/>
      <c r="M924" s="115" t="n"/>
    </row>
    <row r="925" ht="15.75" customHeight="1">
      <c r="A925" s="127" t="n"/>
      <c r="B925" s="128" t="n"/>
      <c r="C925" s="129" t="n"/>
      <c r="D925" s="130" t="n"/>
      <c r="E925" s="130" t="n"/>
      <c r="F925" s="131" t="n"/>
      <c r="G925" s="132" t="n"/>
      <c r="H925" s="132" t="n"/>
      <c r="I925" s="132" t="n"/>
      <c r="J925" s="132" t="n"/>
      <c r="K925" s="113" t="n"/>
      <c r="L925" s="114" t="n"/>
      <c r="M925" s="115" t="n"/>
    </row>
    <row r="926" ht="15.75" customHeight="1">
      <c r="A926" s="127" t="n"/>
      <c r="B926" s="128" t="n"/>
      <c r="C926" s="129" t="n"/>
      <c r="D926" s="130" t="n"/>
      <c r="E926" s="130" t="n"/>
      <c r="F926" s="131" t="n"/>
      <c r="G926" s="132" t="n"/>
      <c r="H926" s="132" t="n"/>
      <c r="I926" s="132" t="n"/>
      <c r="J926" s="132" t="n"/>
      <c r="K926" s="113" t="n"/>
      <c r="L926" s="114" t="n"/>
      <c r="M926" s="115" t="n"/>
    </row>
    <row r="927" ht="15.75" customHeight="1">
      <c r="A927" s="127" t="n"/>
      <c r="B927" s="128" t="n"/>
      <c r="C927" s="129" t="n"/>
      <c r="D927" s="130" t="n"/>
      <c r="E927" s="130" t="n"/>
      <c r="F927" s="131" t="n"/>
      <c r="G927" s="132" t="n"/>
      <c r="H927" s="132" t="n"/>
      <c r="I927" s="132" t="n"/>
      <c r="J927" s="132" t="n"/>
      <c r="K927" s="113" t="n"/>
      <c r="L927" s="114" t="n"/>
      <c r="M927" s="115" t="n"/>
    </row>
    <row r="928" ht="15.75" customHeight="1">
      <c r="A928" s="127" t="n"/>
      <c r="B928" s="128" t="n"/>
      <c r="C928" s="129" t="n"/>
      <c r="D928" s="130" t="n"/>
      <c r="E928" s="130" t="n"/>
      <c r="F928" s="131" t="n"/>
      <c r="G928" s="132" t="n"/>
      <c r="H928" s="132" t="n"/>
      <c r="I928" s="132" t="n"/>
      <c r="J928" s="132" t="n"/>
      <c r="K928" s="113" t="n"/>
      <c r="L928" s="114" t="n"/>
      <c r="M928" s="115" t="n"/>
    </row>
    <row r="929" ht="15.75" customHeight="1">
      <c r="A929" s="127" t="n"/>
      <c r="B929" s="128" t="n"/>
      <c r="C929" s="129" t="n"/>
      <c r="D929" s="130" t="n"/>
      <c r="E929" s="130" t="n"/>
      <c r="F929" s="131" t="n"/>
      <c r="G929" s="132" t="n"/>
      <c r="H929" s="132" t="n"/>
      <c r="I929" s="132" t="n"/>
      <c r="J929" s="132" t="n"/>
      <c r="K929" s="113" t="n"/>
      <c r="L929" s="114" t="n"/>
      <c r="M929" s="115" t="n"/>
    </row>
    <row r="930" ht="15.75" customHeight="1">
      <c r="A930" s="127" t="n"/>
      <c r="B930" s="128" t="n"/>
      <c r="C930" s="129" t="n"/>
      <c r="D930" s="130" t="n"/>
      <c r="E930" s="130" t="n"/>
      <c r="F930" s="131" t="n"/>
      <c r="G930" s="132" t="n"/>
      <c r="H930" s="132" t="n"/>
      <c r="I930" s="132" t="n"/>
      <c r="J930" s="132" t="n"/>
      <c r="K930" s="113" t="n"/>
      <c r="L930" s="114" t="n"/>
      <c r="M930" s="115" t="n"/>
    </row>
    <row r="931" ht="15.75" customHeight="1">
      <c r="A931" s="127" t="n"/>
      <c r="B931" s="128" t="n"/>
      <c r="C931" s="129" t="n"/>
      <c r="D931" s="130" t="n"/>
      <c r="E931" s="130" t="n"/>
      <c r="F931" s="131" t="n"/>
      <c r="G931" s="132" t="n"/>
      <c r="H931" s="132" t="n"/>
      <c r="I931" s="132" t="n"/>
      <c r="J931" s="132" t="n"/>
      <c r="K931" s="113" t="n"/>
      <c r="L931" s="114" t="n"/>
      <c r="M931" s="115" t="n"/>
    </row>
    <row r="932" ht="15.75" customHeight="1">
      <c r="A932" s="127" t="n"/>
      <c r="B932" s="128" t="n"/>
      <c r="C932" s="129" t="n"/>
      <c r="D932" s="130" t="n"/>
      <c r="E932" s="130" t="n"/>
      <c r="F932" s="131" t="n"/>
      <c r="G932" s="132" t="n"/>
      <c r="H932" s="132" t="n"/>
      <c r="I932" s="132" t="n"/>
      <c r="J932" s="132" t="n"/>
      <c r="K932" s="113" t="n"/>
      <c r="L932" s="114" t="n"/>
      <c r="M932" s="115" t="n"/>
    </row>
    <row r="933" ht="15.75" customHeight="1">
      <c r="A933" s="127" t="n"/>
      <c r="B933" s="128" t="n"/>
      <c r="C933" s="129" t="n"/>
      <c r="D933" s="130" t="n"/>
      <c r="E933" s="130" t="n"/>
      <c r="F933" s="131" t="n"/>
      <c r="G933" s="132" t="n"/>
      <c r="H933" s="132" t="n"/>
      <c r="I933" s="132" t="n"/>
      <c r="J933" s="132" t="n"/>
      <c r="K933" s="113" t="n"/>
      <c r="L933" s="114" t="n"/>
      <c r="M933" s="115" t="n"/>
    </row>
    <row r="934" ht="15.75" customHeight="1">
      <c r="A934" s="127" t="n"/>
      <c r="B934" s="128" t="n"/>
      <c r="C934" s="129" t="n"/>
      <c r="D934" s="130" t="n"/>
      <c r="E934" s="130" t="n"/>
      <c r="F934" s="131" t="n"/>
      <c r="G934" s="132" t="n"/>
      <c r="H934" s="132" t="n"/>
      <c r="I934" s="132" t="n"/>
      <c r="J934" s="132" t="n"/>
      <c r="K934" s="113" t="n"/>
      <c r="L934" s="114" t="n"/>
      <c r="M934" s="115" t="n"/>
    </row>
    <row r="935" ht="15.75" customHeight="1">
      <c r="A935" s="127" t="n"/>
      <c r="B935" s="128" t="n"/>
      <c r="C935" s="129" t="n"/>
      <c r="D935" s="130" t="n"/>
      <c r="E935" s="130" t="n"/>
      <c r="F935" s="131" t="n"/>
      <c r="G935" s="132" t="n"/>
      <c r="H935" s="132" t="n"/>
      <c r="I935" s="132" t="n"/>
      <c r="J935" s="132" t="n"/>
      <c r="K935" s="113" t="n"/>
      <c r="L935" s="114" t="n"/>
      <c r="M935" s="115" t="n"/>
    </row>
    <row r="936" ht="15.75" customHeight="1">
      <c r="A936" s="127" t="n"/>
      <c r="B936" s="128" t="n"/>
      <c r="C936" s="129" t="n"/>
      <c r="D936" s="130" t="n"/>
      <c r="E936" s="130" t="n"/>
      <c r="F936" s="131" t="n"/>
      <c r="G936" s="132" t="n"/>
      <c r="H936" s="132" t="n"/>
      <c r="I936" s="132" t="n"/>
      <c r="J936" s="132" t="n"/>
      <c r="K936" s="113" t="n"/>
      <c r="L936" s="114" t="n"/>
      <c r="M936" s="115" t="n"/>
    </row>
    <row r="937" ht="15.75" customHeight="1">
      <c r="A937" s="127" t="n"/>
      <c r="B937" s="128" t="n"/>
      <c r="C937" s="129" t="n"/>
      <c r="D937" s="130" t="n"/>
      <c r="E937" s="130" t="n"/>
      <c r="F937" s="131" t="n"/>
      <c r="G937" s="132" t="n"/>
      <c r="H937" s="132" t="n"/>
      <c r="I937" s="132" t="n"/>
      <c r="J937" s="132" t="n"/>
      <c r="K937" s="113" t="n"/>
      <c r="L937" s="114" t="n"/>
      <c r="M937" s="115" t="n"/>
    </row>
    <row r="938" ht="15.75" customHeight="1">
      <c r="A938" s="127" t="n"/>
      <c r="B938" s="128" t="n"/>
      <c r="C938" s="129" t="n"/>
      <c r="D938" s="130" t="n"/>
      <c r="E938" s="130" t="n"/>
      <c r="F938" s="131" t="n"/>
      <c r="G938" s="132" t="n"/>
      <c r="H938" s="132" t="n"/>
      <c r="I938" s="132" t="n"/>
      <c r="J938" s="132" t="n"/>
      <c r="K938" s="113" t="n"/>
      <c r="L938" s="114" t="n"/>
      <c r="M938" s="115" t="n"/>
    </row>
    <row r="939" ht="15.75" customHeight="1">
      <c r="A939" s="127" t="n"/>
      <c r="B939" s="128" t="n"/>
      <c r="C939" s="129" t="n"/>
      <c r="D939" s="130" t="n"/>
      <c r="E939" s="130" t="n"/>
      <c r="F939" s="131" t="n"/>
      <c r="G939" s="132" t="n"/>
      <c r="H939" s="132" t="n"/>
      <c r="I939" s="132" t="n"/>
      <c r="J939" s="132" t="n"/>
      <c r="K939" s="113" t="n"/>
      <c r="L939" s="114" t="n"/>
      <c r="M939" s="115" t="n"/>
    </row>
    <row r="940" ht="15.75" customHeight="1">
      <c r="A940" s="127" t="n"/>
      <c r="B940" s="128" t="n"/>
      <c r="C940" s="129" t="n"/>
      <c r="D940" s="130" t="n"/>
      <c r="E940" s="130" t="n"/>
      <c r="F940" s="131" t="n"/>
      <c r="G940" s="132" t="n"/>
      <c r="H940" s="132" t="n"/>
      <c r="I940" s="132" t="n"/>
      <c r="J940" s="132" t="n"/>
      <c r="K940" s="113" t="n"/>
      <c r="L940" s="114" t="n"/>
      <c r="M940" s="115" t="n"/>
    </row>
    <row r="941" ht="15.75" customHeight="1">
      <c r="A941" s="127" t="n"/>
      <c r="B941" s="128" t="n"/>
      <c r="C941" s="129" t="n"/>
      <c r="D941" s="130" t="n"/>
      <c r="E941" s="130" t="n"/>
      <c r="F941" s="131" t="n"/>
      <c r="G941" s="132" t="n"/>
      <c r="H941" s="132" t="n"/>
      <c r="I941" s="132" t="n"/>
      <c r="J941" s="132" t="n"/>
      <c r="K941" s="113" t="n"/>
      <c r="L941" s="114" t="n"/>
      <c r="M941" s="115" t="n"/>
    </row>
    <row r="942" ht="15.75" customHeight="1">
      <c r="A942" s="127" t="n"/>
      <c r="B942" s="128" t="n"/>
      <c r="C942" s="129" t="n"/>
      <c r="D942" s="130" t="n"/>
      <c r="E942" s="130" t="n"/>
      <c r="F942" s="131" t="n"/>
      <c r="G942" s="132" t="n"/>
      <c r="H942" s="132" t="n"/>
      <c r="I942" s="132" t="n"/>
      <c r="J942" s="132" t="n"/>
      <c r="K942" s="113" t="n"/>
      <c r="L942" s="114" t="n"/>
      <c r="M942" s="115" t="n"/>
    </row>
    <row r="943" ht="15.75" customHeight="1">
      <c r="A943" s="127" t="n"/>
      <c r="B943" s="128" t="n"/>
      <c r="C943" s="129" t="n"/>
      <c r="D943" s="130" t="n"/>
      <c r="E943" s="130" t="n"/>
      <c r="F943" s="131" t="n"/>
      <c r="G943" s="132" t="n"/>
      <c r="H943" s="132" t="n"/>
      <c r="I943" s="132" t="n"/>
      <c r="J943" s="132" t="n"/>
      <c r="K943" s="113" t="n"/>
      <c r="L943" s="114" t="n"/>
      <c r="M943" s="115" t="n"/>
    </row>
    <row r="944" ht="15.75" customHeight="1">
      <c r="A944" s="127" t="n"/>
      <c r="B944" s="128" t="n"/>
      <c r="C944" s="129" t="n"/>
      <c r="D944" s="130" t="n"/>
      <c r="E944" s="130" t="n"/>
      <c r="F944" s="131" t="n"/>
      <c r="G944" s="132" t="n"/>
      <c r="H944" s="132" t="n"/>
      <c r="I944" s="132" t="n"/>
      <c r="J944" s="132" t="n"/>
      <c r="K944" s="113" t="n"/>
      <c r="L944" s="114" t="n"/>
      <c r="M944" s="115" t="n"/>
    </row>
    <row r="945" ht="15.75" customHeight="1">
      <c r="A945" s="127" t="n"/>
      <c r="B945" s="128" t="n"/>
      <c r="C945" s="129" t="n"/>
      <c r="D945" s="130" t="n"/>
      <c r="E945" s="130" t="n"/>
      <c r="F945" s="131" t="n"/>
      <c r="G945" s="132" t="n"/>
      <c r="H945" s="132" t="n"/>
      <c r="I945" s="132" t="n"/>
      <c r="J945" s="132" t="n"/>
      <c r="K945" s="113" t="n"/>
      <c r="L945" s="114" t="n"/>
      <c r="M945" s="115" t="n"/>
    </row>
    <row r="946" ht="15.75" customHeight="1">
      <c r="A946" s="127" t="n"/>
      <c r="B946" s="128" t="n"/>
      <c r="C946" s="129" t="n"/>
      <c r="D946" s="130" t="n"/>
      <c r="E946" s="130" t="n"/>
      <c r="F946" s="131" t="n"/>
      <c r="G946" s="132" t="n"/>
      <c r="H946" s="132" t="n"/>
      <c r="I946" s="132" t="n"/>
      <c r="J946" s="132" t="n"/>
      <c r="K946" s="113" t="n"/>
      <c r="L946" s="114" t="n"/>
      <c r="M946" s="115" t="n"/>
    </row>
    <row r="947" ht="15.75" customHeight="1">
      <c r="A947" s="127" t="n"/>
      <c r="B947" s="128" t="n"/>
      <c r="C947" s="129" t="n"/>
      <c r="D947" s="130" t="n"/>
      <c r="E947" s="130" t="n"/>
      <c r="F947" s="131" t="n"/>
      <c r="G947" s="132" t="n"/>
      <c r="H947" s="132" t="n"/>
      <c r="I947" s="132" t="n"/>
      <c r="J947" s="132" t="n"/>
      <c r="K947" s="113" t="n"/>
      <c r="L947" s="114" t="n"/>
      <c r="M947" s="115" t="n"/>
    </row>
    <row r="948" ht="15.75" customHeight="1">
      <c r="A948" s="127" t="n"/>
      <c r="B948" s="128" t="n"/>
      <c r="C948" s="129" t="n"/>
      <c r="D948" s="130" t="n"/>
      <c r="E948" s="130" t="n"/>
      <c r="F948" s="131" t="n"/>
      <c r="G948" s="132" t="n"/>
      <c r="H948" s="132" t="n"/>
      <c r="I948" s="132" t="n"/>
      <c r="J948" s="132" t="n"/>
      <c r="K948" s="113" t="n"/>
      <c r="L948" s="114" t="n"/>
      <c r="M948" s="115" t="n"/>
    </row>
    <row r="949" ht="15.75" customHeight="1">
      <c r="A949" s="127" t="n"/>
      <c r="B949" s="128" t="n"/>
      <c r="C949" s="129" t="n"/>
      <c r="D949" s="130" t="n"/>
      <c r="E949" s="130" t="n"/>
      <c r="F949" s="131" t="n"/>
      <c r="G949" s="132" t="n"/>
      <c r="H949" s="132" t="n"/>
      <c r="I949" s="132" t="n"/>
      <c r="J949" s="132" t="n"/>
      <c r="K949" s="113" t="n"/>
      <c r="L949" s="114" t="n"/>
      <c r="M949" s="115" t="n"/>
    </row>
    <row r="950" ht="15.75" customHeight="1">
      <c r="A950" s="127" t="n"/>
      <c r="B950" s="128" t="n"/>
      <c r="C950" s="129" t="n"/>
      <c r="D950" s="130" t="n"/>
      <c r="E950" s="130" t="n"/>
      <c r="F950" s="131" t="n"/>
      <c r="G950" s="132" t="n"/>
      <c r="H950" s="132" t="n"/>
      <c r="I950" s="132" t="n"/>
      <c r="J950" s="132" t="n"/>
      <c r="K950" s="113" t="n"/>
      <c r="L950" s="114" t="n"/>
      <c r="M950" s="115" t="n"/>
    </row>
    <row r="951" ht="15.75" customHeight="1">
      <c r="A951" s="127" t="n"/>
      <c r="B951" s="128" t="n"/>
      <c r="C951" s="129" t="n"/>
      <c r="D951" s="130" t="n"/>
      <c r="E951" s="130" t="n"/>
      <c r="F951" s="131" t="n"/>
      <c r="G951" s="132" t="n"/>
      <c r="H951" s="132" t="n"/>
      <c r="I951" s="132" t="n"/>
      <c r="J951" s="132" t="n"/>
      <c r="K951" s="113" t="n"/>
      <c r="L951" s="114" t="n"/>
      <c r="M951" s="115" t="n"/>
    </row>
    <row r="952" ht="15.75" customHeight="1">
      <c r="A952" s="127" t="n"/>
      <c r="B952" s="128" t="n"/>
      <c r="C952" s="129" t="n"/>
      <c r="D952" s="130" t="n"/>
      <c r="E952" s="130" t="n"/>
      <c r="F952" s="131" t="n"/>
      <c r="G952" s="132" t="n"/>
      <c r="H952" s="132" t="n"/>
      <c r="I952" s="132" t="n"/>
      <c r="J952" s="132" t="n"/>
      <c r="K952" s="113" t="n"/>
      <c r="L952" s="114" t="n"/>
      <c r="M952" s="115" t="n"/>
    </row>
    <row r="953" ht="15.75" customHeight="1">
      <c r="A953" s="127" t="n"/>
      <c r="B953" s="128" t="n"/>
      <c r="C953" s="129" t="n"/>
      <c r="D953" s="130" t="n"/>
      <c r="E953" s="130" t="n"/>
      <c r="F953" s="131" t="n"/>
      <c r="G953" s="132" t="n"/>
      <c r="H953" s="132" t="n"/>
      <c r="I953" s="132" t="n"/>
      <c r="J953" s="132" t="n"/>
      <c r="K953" s="113" t="n"/>
      <c r="L953" s="114" t="n"/>
      <c r="M953" s="115" t="n"/>
    </row>
    <row r="954" ht="15.75" customHeight="1">
      <c r="A954" s="127" t="n"/>
      <c r="B954" s="128" t="n"/>
      <c r="C954" s="129" t="n"/>
      <c r="D954" s="130" t="n"/>
      <c r="E954" s="130" t="n"/>
      <c r="F954" s="131" t="n"/>
      <c r="G954" s="132" t="n"/>
      <c r="H954" s="132" t="n"/>
      <c r="I954" s="132" t="n"/>
      <c r="J954" s="132" t="n"/>
      <c r="K954" s="113" t="n"/>
      <c r="L954" s="114" t="n"/>
      <c r="M954" s="115" t="n"/>
    </row>
    <row r="955" ht="15.75" customHeight="1">
      <c r="A955" s="127" t="n"/>
      <c r="B955" s="128" t="n"/>
      <c r="C955" s="129" t="n"/>
      <c r="D955" s="130" t="n"/>
      <c r="E955" s="130" t="n"/>
      <c r="F955" s="131" t="n"/>
      <c r="G955" s="132" t="n"/>
      <c r="H955" s="132" t="n"/>
      <c r="I955" s="132" t="n"/>
      <c r="J955" s="132" t="n"/>
      <c r="K955" s="113" t="n"/>
      <c r="L955" s="114" t="n"/>
      <c r="M955" s="115" t="n"/>
    </row>
    <row r="956" ht="15.75" customHeight="1">
      <c r="A956" s="127" t="n"/>
      <c r="B956" s="128" t="n"/>
      <c r="C956" s="129" t="n"/>
      <c r="D956" s="130" t="n"/>
      <c r="E956" s="130" t="n"/>
      <c r="F956" s="131" t="n"/>
      <c r="G956" s="132" t="n"/>
      <c r="H956" s="132" t="n"/>
      <c r="I956" s="132" t="n"/>
      <c r="J956" s="132" t="n"/>
      <c r="K956" s="113" t="n"/>
      <c r="L956" s="114" t="n"/>
      <c r="M956" s="115" t="n"/>
    </row>
    <row r="957" ht="15.75" customHeight="1">
      <c r="A957" s="127" t="n"/>
      <c r="B957" s="128" t="n"/>
      <c r="C957" s="129" t="n"/>
      <c r="D957" s="130" t="n"/>
      <c r="E957" s="130" t="n"/>
      <c r="F957" s="131" t="n"/>
      <c r="G957" s="132" t="n"/>
      <c r="H957" s="132" t="n"/>
      <c r="I957" s="132" t="n"/>
      <c r="J957" s="132" t="n"/>
      <c r="K957" s="113" t="n"/>
      <c r="L957" s="114" t="n"/>
      <c r="M957" s="115" t="n"/>
    </row>
    <row r="958" ht="15.75" customHeight="1">
      <c r="A958" s="127" t="n"/>
      <c r="B958" s="128" t="n"/>
      <c r="C958" s="129" t="n"/>
      <c r="D958" s="130" t="n"/>
      <c r="E958" s="130" t="n"/>
      <c r="F958" s="131" t="n"/>
      <c r="G958" s="132" t="n"/>
      <c r="H958" s="132" t="n"/>
      <c r="I958" s="132" t="n"/>
      <c r="J958" s="132" t="n"/>
      <c r="K958" s="113" t="n"/>
      <c r="L958" s="114" t="n"/>
      <c r="M958" s="115" t="n"/>
    </row>
    <row r="959" ht="15.75" customHeight="1">
      <c r="A959" s="127" t="n"/>
      <c r="B959" s="128" t="n"/>
      <c r="C959" s="129" t="n"/>
      <c r="D959" s="130" t="n"/>
      <c r="E959" s="130" t="n"/>
      <c r="F959" s="131" t="n"/>
      <c r="G959" s="132" t="n"/>
      <c r="H959" s="132" t="n"/>
      <c r="I959" s="132" t="n"/>
      <c r="J959" s="132" t="n"/>
      <c r="K959" s="113" t="n"/>
      <c r="L959" s="114" t="n"/>
      <c r="M959" s="115" t="n"/>
    </row>
    <row r="960" ht="15.75" customHeight="1">
      <c r="A960" s="127" t="n"/>
      <c r="B960" s="128" t="n"/>
      <c r="C960" s="129" t="n"/>
      <c r="D960" s="130" t="n"/>
      <c r="E960" s="130" t="n"/>
      <c r="F960" s="131" t="n"/>
      <c r="G960" s="132" t="n"/>
      <c r="H960" s="132" t="n"/>
      <c r="I960" s="132" t="n"/>
      <c r="J960" s="132" t="n"/>
      <c r="K960" s="113" t="n"/>
      <c r="L960" s="114" t="n"/>
      <c r="M960" s="115" t="n"/>
    </row>
    <row r="961" ht="15.75" customHeight="1">
      <c r="A961" s="127" t="n"/>
      <c r="B961" s="128" t="n"/>
      <c r="C961" s="129" t="n"/>
      <c r="D961" s="130" t="n"/>
      <c r="E961" s="130" t="n"/>
      <c r="F961" s="131" t="n"/>
      <c r="G961" s="132" t="n"/>
      <c r="H961" s="132" t="n"/>
      <c r="I961" s="132" t="n"/>
      <c r="J961" s="132" t="n"/>
      <c r="K961" s="113" t="n"/>
      <c r="L961" s="114" t="n"/>
      <c r="M961" s="115" t="n"/>
    </row>
    <row r="962" ht="15.75" customHeight="1">
      <c r="A962" s="127" t="n"/>
      <c r="B962" s="128" t="n"/>
      <c r="C962" s="129" t="n"/>
      <c r="D962" s="130" t="n"/>
      <c r="E962" s="130" t="n"/>
      <c r="F962" s="131" t="n"/>
      <c r="G962" s="132" t="n"/>
      <c r="H962" s="132" t="n"/>
      <c r="I962" s="132" t="n"/>
      <c r="J962" s="132" t="n"/>
      <c r="K962" s="113" t="n"/>
      <c r="L962" s="114" t="n"/>
      <c r="M962" s="115" t="n"/>
    </row>
    <row r="963" ht="15.75" customHeight="1">
      <c r="A963" s="127" t="n"/>
      <c r="B963" s="128" t="n"/>
      <c r="C963" s="129" t="n"/>
      <c r="D963" s="130" t="n"/>
      <c r="E963" s="130" t="n"/>
      <c r="F963" s="131" t="n"/>
      <c r="G963" s="132" t="n"/>
      <c r="H963" s="132" t="n"/>
      <c r="I963" s="132" t="n"/>
      <c r="J963" s="132" t="n"/>
      <c r="K963" s="113" t="n"/>
      <c r="L963" s="114" t="n"/>
      <c r="M963" s="115" t="n"/>
    </row>
    <row r="964" ht="15.75" customHeight="1">
      <c r="A964" s="127" t="n"/>
      <c r="B964" s="128" t="n"/>
      <c r="C964" s="129" t="n"/>
      <c r="D964" s="130" t="n"/>
      <c r="E964" s="130" t="n"/>
      <c r="F964" s="131" t="n"/>
      <c r="G964" s="132" t="n"/>
      <c r="H964" s="132" t="n"/>
      <c r="I964" s="132" t="n"/>
      <c r="J964" s="132" t="n"/>
      <c r="K964" s="113" t="n"/>
      <c r="L964" s="114" t="n"/>
      <c r="M964" s="115" t="n"/>
    </row>
    <row r="965" ht="15.75" customHeight="1">
      <c r="A965" s="127" t="n"/>
      <c r="B965" s="128" t="n"/>
      <c r="C965" s="129" t="n"/>
      <c r="D965" s="130" t="n"/>
      <c r="E965" s="130" t="n"/>
      <c r="F965" s="131" t="n"/>
      <c r="G965" s="132" t="n"/>
      <c r="H965" s="132" t="n"/>
      <c r="I965" s="132" t="n"/>
      <c r="J965" s="132" t="n"/>
      <c r="K965" s="113" t="n"/>
      <c r="L965" s="114" t="n"/>
      <c r="M965" s="115" t="n"/>
    </row>
    <row r="966" ht="15.75" customHeight="1">
      <c r="A966" s="127" t="n"/>
      <c r="B966" s="128" t="n"/>
      <c r="C966" s="129" t="n"/>
      <c r="D966" s="130" t="n"/>
      <c r="E966" s="130" t="n"/>
      <c r="F966" s="131" t="n"/>
      <c r="G966" s="132" t="n"/>
      <c r="H966" s="132" t="n"/>
      <c r="I966" s="132" t="n"/>
      <c r="J966" s="132" t="n"/>
      <c r="K966" s="113" t="n"/>
      <c r="L966" s="114" t="n"/>
      <c r="M966" s="115" t="n"/>
    </row>
    <row r="967" ht="15.75" customHeight="1">
      <c r="A967" s="127" t="n"/>
      <c r="B967" s="128" t="n"/>
      <c r="C967" s="129" t="n"/>
      <c r="D967" s="130" t="n"/>
      <c r="E967" s="130" t="n"/>
      <c r="F967" s="131" t="n"/>
      <c r="G967" s="132" t="n"/>
      <c r="H967" s="132" t="n"/>
      <c r="I967" s="132" t="n"/>
      <c r="J967" s="132" t="n"/>
      <c r="K967" s="113" t="n"/>
      <c r="L967" s="114" t="n"/>
      <c r="M967" s="115" t="n"/>
    </row>
    <row r="968" ht="15.75" customHeight="1">
      <c r="A968" s="127" t="n"/>
      <c r="B968" s="128" t="n"/>
      <c r="C968" s="129" t="n"/>
      <c r="D968" s="130" t="n"/>
      <c r="E968" s="130" t="n"/>
      <c r="F968" s="131" t="n"/>
      <c r="G968" s="132" t="n"/>
      <c r="H968" s="132" t="n"/>
      <c r="I968" s="132" t="n"/>
      <c r="J968" s="132" t="n"/>
      <c r="K968" s="113" t="n"/>
      <c r="L968" s="114" t="n"/>
      <c r="M968" s="115" t="n"/>
    </row>
    <row r="969" ht="15.75" customHeight="1">
      <c r="A969" s="127" t="n"/>
      <c r="B969" s="128" t="n"/>
      <c r="C969" s="129" t="n"/>
      <c r="D969" s="130" t="n"/>
      <c r="E969" s="130" t="n"/>
      <c r="F969" s="131" t="n"/>
      <c r="G969" s="132" t="n"/>
      <c r="H969" s="132" t="n"/>
      <c r="I969" s="132" t="n"/>
      <c r="J969" s="132" t="n"/>
      <c r="K969" s="113" t="n"/>
      <c r="L969" s="114" t="n"/>
      <c r="M969" s="115" t="n"/>
    </row>
    <row r="970" ht="15.75" customHeight="1">
      <c r="A970" s="127" t="n"/>
      <c r="B970" s="128" t="n"/>
      <c r="C970" s="129" t="n"/>
      <c r="D970" s="130" t="n"/>
      <c r="E970" s="130" t="n"/>
      <c r="F970" s="131" t="n"/>
      <c r="G970" s="132" t="n"/>
      <c r="H970" s="132" t="n"/>
      <c r="I970" s="132" t="n"/>
      <c r="J970" s="132" t="n"/>
      <c r="K970" s="113" t="n"/>
      <c r="L970" s="114" t="n"/>
      <c r="M970" s="115" t="n"/>
    </row>
    <row r="971" ht="15.75" customHeight="1">
      <c r="A971" s="127" t="n"/>
      <c r="B971" s="128" t="n"/>
      <c r="C971" s="129" t="n"/>
      <c r="D971" s="130" t="n"/>
      <c r="E971" s="130" t="n"/>
      <c r="F971" s="131" t="n"/>
      <c r="G971" s="132" t="n"/>
      <c r="H971" s="132" t="n"/>
      <c r="I971" s="132" t="n"/>
      <c r="J971" s="132" t="n"/>
      <c r="K971" s="113" t="n"/>
      <c r="L971" s="114" t="n"/>
      <c r="M971" s="115" t="n"/>
    </row>
    <row r="972" ht="15.75" customHeight="1">
      <c r="A972" s="127" t="n"/>
      <c r="B972" s="128" t="n"/>
      <c r="C972" s="129" t="n"/>
      <c r="D972" s="130" t="n"/>
      <c r="E972" s="130" t="n"/>
      <c r="F972" s="131" t="n"/>
      <c r="G972" s="132" t="n"/>
      <c r="H972" s="132" t="n"/>
      <c r="I972" s="132" t="n"/>
      <c r="J972" s="132" t="n"/>
      <c r="K972" s="113" t="n"/>
      <c r="L972" s="114" t="n"/>
      <c r="M972" s="115" t="n"/>
    </row>
    <row r="973" ht="15.75" customHeight="1">
      <c r="A973" s="127" t="n"/>
      <c r="B973" s="128" t="n"/>
      <c r="C973" s="129" t="n"/>
      <c r="D973" s="130" t="n"/>
      <c r="E973" s="130" t="n"/>
      <c r="F973" s="131" t="n"/>
      <c r="G973" s="132" t="n"/>
      <c r="H973" s="132" t="n"/>
      <c r="I973" s="132" t="n"/>
      <c r="J973" s="132" t="n"/>
      <c r="K973" s="113" t="n"/>
      <c r="L973" s="114" t="n"/>
      <c r="M973" s="115" t="n"/>
    </row>
    <row r="974" ht="15.75" customHeight="1">
      <c r="A974" s="127" t="n"/>
      <c r="B974" s="128" t="n"/>
      <c r="C974" s="129" t="n"/>
      <c r="D974" s="130" t="n"/>
      <c r="E974" s="130" t="n"/>
      <c r="F974" s="131" t="n"/>
      <c r="G974" s="132" t="n"/>
      <c r="H974" s="132" t="n"/>
      <c r="I974" s="132" t="n"/>
      <c r="J974" s="132" t="n"/>
      <c r="K974" s="113" t="n"/>
      <c r="L974" s="114" t="n"/>
      <c r="M974" s="115" t="n"/>
    </row>
    <row r="975" ht="15.75" customHeight="1">
      <c r="A975" s="127" t="n"/>
      <c r="B975" s="128" t="n"/>
      <c r="C975" s="129" t="n"/>
      <c r="D975" s="130" t="n"/>
      <c r="E975" s="130" t="n"/>
      <c r="F975" s="131" t="n"/>
      <c r="G975" s="132" t="n"/>
      <c r="H975" s="132" t="n"/>
      <c r="I975" s="132" t="n"/>
      <c r="J975" s="132" t="n"/>
      <c r="K975" s="113" t="n"/>
      <c r="L975" s="114" t="n"/>
      <c r="M975" s="115" t="n"/>
    </row>
    <row r="976" ht="15.75" customHeight="1">
      <c r="A976" s="127" t="n"/>
      <c r="B976" s="128" t="n"/>
      <c r="C976" s="129" t="n"/>
      <c r="D976" s="130" t="n"/>
      <c r="E976" s="130" t="n"/>
      <c r="F976" s="131" t="n"/>
      <c r="G976" s="132" t="n"/>
      <c r="H976" s="132" t="n"/>
      <c r="I976" s="132" t="n"/>
      <c r="J976" s="132" t="n"/>
      <c r="K976" s="113" t="n"/>
      <c r="L976" s="114" t="n"/>
      <c r="M976" s="115" t="n"/>
    </row>
    <row r="977" ht="15.75" customHeight="1">
      <c r="A977" s="127" t="n"/>
      <c r="B977" s="128" t="n"/>
      <c r="C977" s="129" t="n"/>
      <c r="D977" s="130" t="n"/>
      <c r="E977" s="130" t="n"/>
      <c r="F977" s="131" t="n"/>
      <c r="G977" s="132" t="n"/>
      <c r="H977" s="132" t="n"/>
      <c r="I977" s="132" t="n"/>
      <c r="J977" s="132" t="n"/>
      <c r="K977" s="113" t="n"/>
      <c r="L977" s="114" t="n"/>
      <c r="M977" s="115" t="n"/>
    </row>
    <row r="978" ht="15.75" customHeight="1">
      <c r="A978" s="127" t="n"/>
      <c r="B978" s="128" t="n"/>
      <c r="C978" s="129" t="n"/>
      <c r="D978" s="130" t="n"/>
      <c r="E978" s="130" t="n"/>
      <c r="F978" s="131" t="n"/>
      <c r="G978" s="132" t="n"/>
      <c r="H978" s="132" t="n"/>
      <c r="I978" s="132" t="n"/>
      <c r="J978" s="132" t="n"/>
      <c r="K978" s="113" t="n"/>
      <c r="L978" s="114" t="n"/>
      <c r="M978" s="115" t="n"/>
    </row>
    <row r="979" ht="15.75" customHeight="1">
      <c r="A979" s="127" t="n"/>
      <c r="B979" s="128" t="n"/>
      <c r="C979" s="129" t="n"/>
      <c r="D979" s="130" t="n"/>
      <c r="E979" s="130" t="n"/>
      <c r="F979" s="131" t="n"/>
      <c r="G979" s="132" t="n"/>
      <c r="H979" s="132" t="n"/>
      <c r="I979" s="132" t="n"/>
      <c r="J979" s="132" t="n"/>
      <c r="K979" s="113" t="n"/>
      <c r="L979" s="114" t="n"/>
      <c r="M979" s="115" t="n"/>
    </row>
    <row r="980" ht="15.75" customHeight="1">
      <c r="A980" s="127" t="n"/>
      <c r="B980" s="128" t="n"/>
      <c r="C980" s="129" t="n"/>
      <c r="D980" s="130" t="n"/>
      <c r="E980" s="130" t="n"/>
      <c r="F980" s="131" t="n"/>
      <c r="G980" s="132" t="n"/>
      <c r="H980" s="132" t="n"/>
      <c r="I980" s="132" t="n"/>
      <c r="J980" s="132" t="n"/>
      <c r="K980" s="113" t="n"/>
      <c r="L980" s="114" t="n"/>
      <c r="M980" s="115" t="n"/>
    </row>
    <row r="981" ht="15.75" customHeight="1">
      <c r="A981" s="127" t="n"/>
      <c r="B981" s="128" t="n"/>
      <c r="C981" s="129" t="n"/>
      <c r="D981" s="130" t="n"/>
      <c r="E981" s="130" t="n"/>
      <c r="F981" s="131" t="n"/>
      <c r="G981" s="132" t="n"/>
      <c r="H981" s="132" t="n"/>
      <c r="I981" s="132" t="n"/>
      <c r="J981" s="132" t="n"/>
      <c r="K981" s="113" t="n"/>
      <c r="L981" s="114" t="n"/>
      <c r="M981" s="115" t="n"/>
    </row>
    <row r="982" ht="15.75" customHeight="1">
      <c r="A982" s="127" t="n"/>
      <c r="B982" s="128" t="n"/>
      <c r="C982" s="129" t="n"/>
      <c r="D982" s="130" t="n"/>
      <c r="E982" s="130" t="n"/>
      <c r="F982" s="131" t="n"/>
      <c r="G982" s="132" t="n"/>
      <c r="H982" s="132" t="n"/>
      <c r="I982" s="132" t="n"/>
      <c r="J982" s="132" t="n"/>
      <c r="K982" s="113" t="n"/>
      <c r="L982" s="114" t="n"/>
      <c r="M982" s="115" t="n"/>
    </row>
    <row r="983" ht="15.75" customHeight="1">
      <c r="A983" s="127" t="n"/>
      <c r="B983" s="128" t="n"/>
      <c r="C983" s="129" t="n"/>
      <c r="D983" s="130" t="n"/>
      <c r="E983" s="130" t="n"/>
      <c r="F983" s="131" t="n"/>
      <c r="G983" s="132" t="n"/>
      <c r="H983" s="132" t="n"/>
      <c r="I983" s="132" t="n"/>
      <c r="J983" s="132" t="n"/>
      <c r="K983" s="113" t="n"/>
      <c r="L983" s="114" t="n"/>
      <c r="M983" s="115" t="n"/>
    </row>
    <row r="984" ht="15.75" customHeight="1">
      <c r="A984" s="127" t="n"/>
      <c r="B984" s="128" t="n"/>
      <c r="C984" s="129" t="n"/>
      <c r="D984" s="130" t="n"/>
      <c r="E984" s="130" t="n"/>
      <c r="F984" s="131" t="n"/>
      <c r="G984" s="132" t="n"/>
      <c r="H984" s="132" t="n"/>
      <c r="I984" s="132" t="n"/>
      <c r="J984" s="132" t="n"/>
      <c r="K984" s="113" t="n"/>
      <c r="L984" s="114" t="n"/>
      <c r="M984" s="115" t="n"/>
    </row>
    <row r="985" ht="15.75" customHeight="1">
      <c r="A985" s="127" t="n"/>
      <c r="B985" s="128" t="n"/>
      <c r="C985" s="129" t="n"/>
      <c r="D985" s="130" t="n"/>
      <c r="E985" s="130" t="n"/>
      <c r="F985" s="131" t="n"/>
      <c r="G985" s="132" t="n"/>
      <c r="H985" s="132" t="n"/>
      <c r="I985" s="132" t="n"/>
      <c r="J985" s="132" t="n"/>
      <c r="K985" s="113" t="n"/>
      <c r="L985" s="114" t="n"/>
      <c r="M985" s="115" t="n"/>
    </row>
    <row r="986" ht="15.75" customHeight="1">
      <c r="A986" s="127" t="n"/>
      <c r="B986" s="128" t="n"/>
      <c r="C986" s="129" t="n"/>
      <c r="D986" s="130" t="n"/>
      <c r="E986" s="130" t="n"/>
      <c r="F986" s="131" t="n"/>
      <c r="G986" s="132" t="n"/>
      <c r="H986" s="132" t="n"/>
      <c r="I986" s="132" t="n"/>
      <c r="J986" s="132" t="n"/>
      <c r="K986" s="113" t="n"/>
      <c r="L986" s="114" t="n"/>
      <c r="M986" s="115" t="n"/>
    </row>
    <row r="987" ht="15.75" customHeight="1">
      <c r="A987" s="127" t="n"/>
      <c r="B987" s="128" t="n"/>
      <c r="C987" s="129" t="n"/>
      <c r="D987" s="130" t="n"/>
      <c r="E987" s="130" t="n"/>
      <c r="F987" s="131" t="n"/>
      <c r="G987" s="132" t="n"/>
      <c r="H987" s="132" t="n"/>
      <c r="I987" s="132" t="n"/>
      <c r="J987" s="132" t="n"/>
      <c r="K987" s="113" t="n"/>
      <c r="L987" s="114" t="n"/>
      <c r="M987" s="115" t="n"/>
    </row>
    <row r="988" ht="15.75" customHeight="1">
      <c r="A988" s="127" t="n"/>
      <c r="B988" s="128" t="n"/>
      <c r="C988" s="129" t="n"/>
      <c r="D988" s="130" t="n"/>
      <c r="E988" s="130" t="n"/>
      <c r="F988" s="131" t="n"/>
      <c r="G988" s="132" t="n"/>
      <c r="H988" s="132" t="n"/>
      <c r="I988" s="132" t="n"/>
      <c r="J988" s="132" t="n"/>
      <c r="K988" s="113" t="n"/>
      <c r="L988" s="114" t="n"/>
      <c r="M988" s="115" t="n"/>
    </row>
    <row r="989" ht="15.75" customHeight="1">
      <c r="A989" s="127" t="n"/>
      <c r="B989" s="128" t="n"/>
      <c r="C989" s="129" t="n"/>
      <c r="D989" s="130" t="n"/>
      <c r="E989" s="130" t="n"/>
      <c r="F989" s="131" t="n"/>
      <c r="G989" s="132" t="n"/>
      <c r="H989" s="132" t="n"/>
      <c r="I989" s="132" t="n"/>
      <c r="J989" s="132" t="n"/>
      <c r="K989" s="113" t="n"/>
      <c r="L989" s="114" t="n"/>
      <c r="M989" s="115" t="n"/>
    </row>
    <row r="990" ht="15.75" customHeight="1">
      <c r="A990" s="127" t="n"/>
      <c r="B990" s="128" t="n"/>
      <c r="C990" s="129" t="n"/>
      <c r="D990" s="130" t="n"/>
      <c r="E990" s="130" t="n"/>
      <c r="F990" s="131" t="n"/>
      <c r="G990" s="132" t="n"/>
      <c r="H990" s="132" t="n"/>
      <c r="I990" s="132" t="n"/>
      <c r="J990" s="132" t="n"/>
      <c r="K990" s="113" t="n"/>
      <c r="L990" s="114" t="n"/>
      <c r="M990" s="115" t="n"/>
    </row>
    <row r="991" ht="15.75" customHeight="1">
      <c r="A991" s="127" t="n"/>
      <c r="B991" s="128" t="n"/>
      <c r="C991" s="129" t="n"/>
      <c r="D991" s="130" t="n"/>
      <c r="E991" s="130" t="n"/>
      <c r="F991" s="131" t="n"/>
      <c r="G991" s="132" t="n"/>
      <c r="H991" s="132" t="n"/>
      <c r="I991" s="132" t="n"/>
      <c r="J991" s="132" t="n"/>
      <c r="K991" s="113" t="n"/>
      <c r="L991" s="114" t="n"/>
      <c r="M991" s="115" t="n"/>
    </row>
    <row r="992" ht="15.75" customHeight="1">
      <c r="A992" s="127" t="n"/>
      <c r="B992" s="128" t="n"/>
      <c r="C992" s="129" t="n"/>
      <c r="D992" s="130" t="n"/>
      <c r="E992" s="130" t="n"/>
      <c r="F992" s="131" t="n"/>
      <c r="G992" s="132" t="n"/>
      <c r="H992" s="132" t="n"/>
      <c r="I992" s="132" t="n"/>
      <c r="J992" s="132" t="n"/>
      <c r="K992" s="113" t="n"/>
      <c r="L992" s="114" t="n"/>
      <c r="M992" s="115" t="n"/>
    </row>
    <row r="993" ht="15.75" customHeight="1">
      <c r="A993" s="127" t="n"/>
      <c r="B993" s="128" t="n"/>
      <c r="C993" s="129" t="n"/>
      <c r="D993" s="130" t="n"/>
      <c r="E993" s="130" t="n"/>
      <c r="F993" s="131" t="n"/>
      <c r="G993" s="132" t="n"/>
      <c r="H993" s="132" t="n"/>
      <c r="I993" s="132" t="n"/>
      <c r="J993" s="132" t="n"/>
      <c r="K993" s="113" t="n"/>
      <c r="L993" s="114" t="n"/>
      <c r="M993" s="115" t="n"/>
    </row>
    <row r="994" ht="15.75" customHeight="1">
      <c r="A994" s="127" t="n"/>
      <c r="B994" s="128" t="n"/>
      <c r="C994" s="129" t="n"/>
      <c r="D994" s="130" t="n"/>
      <c r="E994" s="130" t="n"/>
      <c r="F994" s="131" t="n"/>
      <c r="G994" s="132" t="n"/>
      <c r="H994" s="132" t="n"/>
      <c r="I994" s="132" t="n"/>
      <c r="J994" s="132" t="n"/>
      <c r="K994" s="113" t="n"/>
      <c r="L994" s="114" t="n"/>
      <c r="M994" s="115" t="n"/>
    </row>
    <row r="995" ht="15.75" customHeight="1">
      <c r="A995" s="127" t="n"/>
      <c r="B995" s="128" t="n"/>
      <c r="C995" s="129" t="n"/>
      <c r="D995" s="130" t="n"/>
      <c r="E995" s="130" t="n"/>
      <c r="F995" s="131" t="n"/>
      <c r="G995" s="132" t="n"/>
      <c r="H995" s="132" t="n"/>
      <c r="I995" s="132" t="n"/>
      <c r="J995" s="132" t="n"/>
      <c r="K995" s="113" t="n"/>
      <c r="L995" s="114" t="n"/>
      <c r="M995" s="115" t="n"/>
    </row>
    <row r="996" ht="15.75" customHeight="1">
      <c r="A996" s="127" t="n"/>
      <c r="B996" s="128" t="n"/>
      <c r="C996" s="129" t="n"/>
      <c r="D996" s="130" t="n"/>
      <c r="E996" s="130" t="n"/>
      <c r="F996" s="131" t="n"/>
      <c r="G996" s="132" t="n"/>
      <c r="H996" s="132" t="n"/>
      <c r="I996" s="132" t="n"/>
      <c r="J996" s="132" t="n"/>
      <c r="K996" s="113" t="n"/>
      <c r="L996" s="114" t="n"/>
      <c r="M996" s="115" t="n"/>
    </row>
    <row r="997" ht="15.75" customHeight="1">
      <c r="A997" s="127" t="n"/>
      <c r="B997" s="128" t="n"/>
      <c r="C997" s="129" t="n"/>
      <c r="D997" s="130" t="n"/>
      <c r="E997" s="130" t="n"/>
      <c r="F997" s="131" t="n"/>
      <c r="G997" s="132" t="n"/>
      <c r="H997" s="132" t="n"/>
      <c r="I997" s="132" t="n"/>
      <c r="J997" s="132" t="n"/>
      <c r="K997" s="113" t="n"/>
      <c r="L997" s="114" t="n"/>
      <c r="M997" s="115" t="n"/>
    </row>
    <row r="998" ht="15.75" customHeight="1">
      <c r="A998" s="127" t="n"/>
      <c r="B998" s="128" t="n"/>
      <c r="C998" s="129" t="n"/>
      <c r="D998" s="130" t="n"/>
      <c r="E998" s="130" t="n"/>
      <c r="F998" s="131" t="n"/>
      <c r="G998" s="132" t="n"/>
      <c r="H998" s="132" t="n"/>
      <c r="I998" s="132" t="n"/>
      <c r="J998" s="132" t="n"/>
      <c r="K998" s="113" t="n"/>
      <c r="L998" s="114" t="n"/>
      <c r="M998" s="115" t="n"/>
    </row>
    <row r="999" ht="15.75" customHeight="1">
      <c r="A999" s="127" t="n"/>
      <c r="B999" s="128" t="n"/>
      <c r="C999" s="129" t="n"/>
      <c r="D999" s="130" t="n"/>
      <c r="E999" s="130" t="n"/>
      <c r="F999" s="131" t="n"/>
      <c r="G999" s="132" t="n"/>
      <c r="H999" s="132" t="n"/>
      <c r="I999" s="132" t="n"/>
      <c r="J999" s="132" t="n"/>
      <c r="K999" s="113" t="n"/>
      <c r="L999" s="114" t="n"/>
      <c r="M999" s="115" t="n"/>
    </row>
    <row r="1000" ht="15.75" customHeight="1">
      <c r="A1000" s="127" t="n"/>
      <c r="B1000" s="128" t="n"/>
      <c r="C1000" s="129" t="n"/>
      <c r="D1000" s="130" t="n"/>
      <c r="E1000" s="130" t="n"/>
      <c r="F1000" s="131" t="n"/>
      <c r="G1000" s="132" t="n"/>
      <c r="H1000" s="132" t="n"/>
      <c r="I1000" s="132" t="n"/>
      <c r="J1000" s="132" t="n"/>
      <c r="K1000" s="113" t="n"/>
      <c r="L1000" s="114" t="n"/>
      <c r="M1000" s="115" t="n"/>
    </row>
  </sheetData>
  <pageMargins left="0.2362204724409449" right="0.2362204724409449" top="0.7480314960629921" bottom="0.748031496062992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5.57" customWidth="1" min="1" max="1"/>
    <col width="28.14" customWidth="1" min="3" max="3"/>
    <col width="12.71" customWidth="1" min="4" max="4"/>
    <col width="11.43" customWidth="1" min="5" max="5"/>
    <col width="7.29" customWidth="1" min="6" max="6"/>
    <col width="12.14" customWidth="1" min="7" max="7"/>
    <col width="12.57" customWidth="1" min="8" max="8"/>
    <col width="12.43" customWidth="1" min="9" max="9"/>
    <col width="17.71" customWidth="1" min="10" max="10"/>
    <col width="10.29" customWidth="1" min="11" max="11"/>
  </cols>
  <sheetData>
    <row r="1">
      <c r="A1" s="133" t="n"/>
      <c r="B1" s="113" t="n"/>
      <c r="C1" s="134" t="inlineStr">
        <is>
          <t>FECHA</t>
        </is>
      </c>
      <c r="D1" s="135" t="n"/>
      <c r="E1" s="136" t="inlineStr">
        <is>
          <t xml:space="preserve">HORARIO DE LLEGADA </t>
        </is>
      </c>
      <c r="F1" s="135" t="inlineStr">
        <is>
          <t>N° VIAJES</t>
        </is>
      </c>
      <c r="G1" s="135" t="inlineStr">
        <is>
          <t>PERSONAS GRANJA</t>
        </is>
      </c>
      <c r="H1" s="135" t="inlineStr">
        <is>
          <t>PERSONAS DIA</t>
        </is>
      </c>
      <c r="I1" s="137" t="inlineStr">
        <is>
          <t>PLANTA</t>
        </is>
      </c>
      <c r="J1" s="138" t="inlineStr">
        <is>
          <t>OPERARIOS</t>
        </is>
      </c>
      <c r="K1" s="113" t="n"/>
      <c r="L1" s="113" t="n"/>
      <c r="M1" s="113" t="n"/>
      <c r="N1" s="113" t="n"/>
      <c r="O1" s="113" t="n"/>
    </row>
    <row r="2">
      <c r="A2" s="133" t="n"/>
      <c r="B2" s="139" t="n">
        <v>1</v>
      </c>
      <c r="C2" s="140" t="n">
        <v>45717</v>
      </c>
      <c r="D2" s="141" t="inlineStr">
        <is>
          <t>SAN JOSE</t>
        </is>
      </c>
      <c r="E2" s="142" t="n">
        <v>0.08333333333333333</v>
      </c>
      <c r="F2" s="141" t="n">
        <v>3</v>
      </c>
      <c r="G2" s="141" t="n">
        <v>11</v>
      </c>
      <c r="H2" s="141" t="n">
        <v>11</v>
      </c>
      <c r="I2" s="141" t="inlineStr">
        <is>
          <t>MANIGUA</t>
        </is>
      </c>
      <c r="J2" s="141" t="inlineStr">
        <is>
          <t>CARGUEROS</t>
        </is>
      </c>
      <c r="K2" s="113" t="n"/>
      <c r="L2" s="113" t="n"/>
      <c r="M2" s="113" t="n"/>
      <c r="N2" s="113" t="n"/>
      <c r="O2" s="113" t="n"/>
    </row>
    <row r="3">
      <c r="A3" s="133" t="n"/>
      <c r="B3" s="139" t="n">
        <v>2</v>
      </c>
      <c r="C3" s="140" t="n">
        <v>45719</v>
      </c>
      <c r="D3" s="141" t="inlineStr">
        <is>
          <t>MALAGUEÑA</t>
        </is>
      </c>
      <c r="E3" s="142" t="n">
        <v>0.9166666666666666</v>
      </c>
      <c r="F3" s="141" t="n">
        <v>8</v>
      </c>
      <c r="G3" s="141" t="n">
        <v>11</v>
      </c>
      <c r="H3" s="141" t="n">
        <v>11</v>
      </c>
      <c r="I3" s="141" t="inlineStr">
        <is>
          <t>MANIGUA</t>
        </is>
      </c>
      <c r="J3" s="141" t="inlineStr">
        <is>
          <t>CARGUEROS</t>
        </is>
      </c>
      <c r="K3" s="113" t="n"/>
      <c r="L3" s="113" t="n"/>
      <c r="M3" s="113" t="n"/>
      <c r="N3" s="113" t="n"/>
      <c r="O3" s="113" t="n"/>
    </row>
    <row r="4">
      <c r="A4" s="133" t="n"/>
      <c r="B4" s="139" t="n"/>
      <c r="C4" s="140" t="n">
        <v>45719</v>
      </c>
      <c r="D4" s="141" t="inlineStr">
        <is>
          <t>SAN JOSE</t>
        </is>
      </c>
      <c r="E4" s="142" t="n">
        <v>0.08333333333333333</v>
      </c>
      <c r="F4" s="141" t="n">
        <v>7</v>
      </c>
      <c r="G4" s="141" t="n">
        <v>11</v>
      </c>
      <c r="H4" s="141" t="n">
        <v>11</v>
      </c>
      <c r="I4" s="141" t="inlineStr">
        <is>
          <t>MANIGUA</t>
        </is>
      </c>
      <c r="J4" s="143" t="inlineStr">
        <is>
          <t>ABONEROS</t>
        </is>
      </c>
      <c r="K4" s="113" t="n"/>
      <c r="L4" s="113" t="n"/>
      <c r="M4" s="113" t="n"/>
      <c r="N4" s="113" t="n"/>
      <c r="O4" s="113" t="n"/>
    </row>
    <row r="5">
      <c r="A5" s="133" t="n"/>
      <c r="B5" s="139" t="n">
        <v>3</v>
      </c>
      <c r="C5" s="140" t="n">
        <v>45720</v>
      </c>
      <c r="D5" s="141" t="inlineStr">
        <is>
          <t>MALAGUEÑA</t>
        </is>
      </c>
      <c r="E5" s="142" t="n">
        <v>0.02083333333333333</v>
      </c>
      <c r="F5" s="141" t="n">
        <v>5</v>
      </c>
      <c r="G5" s="141" t="n">
        <v>11</v>
      </c>
      <c r="H5" s="141" t="n">
        <v>11</v>
      </c>
      <c r="I5" s="141" t="inlineStr">
        <is>
          <t>MANIGUA</t>
        </is>
      </c>
      <c r="J5" s="141" t="inlineStr">
        <is>
          <t>CARGUEROS</t>
        </is>
      </c>
      <c r="K5" s="113" t="n"/>
      <c r="L5" s="113" t="n"/>
      <c r="M5" s="113" t="n"/>
      <c r="N5" s="113" t="n"/>
      <c r="O5" s="113" t="n"/>
    </row>
    <row r="6">
      <c r="A6" s="133" t="n"/>
      <c r="B6" s="139" t="n"/>
      <c r="C6" s="140" t="n">
        <v>45720</v>
      </c>
      <c r="D6" s="141" t="inlineStr">
        <is>
          <t>MALAGUEÑA</t>
        </is>
      </c>
      <c r="E6" s="142" t="n">
        <v>0.1666666666666667</v>
      </c>
      <c r="F6" s="141" t="n">
        <v>2</v>
      </c>
      <c r="G6" s="141" t="n">
        <v>11</v>
      </c>
      <c r="H6" s="141" t="n">
        <v>11</v>
      </c>
      <c r="I6" s="141" t="inlineStr">
        <is>
          <t>MANIGUA</t>
        </is>
      </c>
      <c r="J6" s="141" t="inlineStr">
        <is>
          <t>ABONEROS</t>
        </is>
      </c>
      <c r="K6" s="113" t="n"/>
      <c r="L6" s="113" t="n"/>
      <c r="M6" s="113" t="n"/>
      <c r="N6" s="113" t="n"/>
      <c r="O6" s="113" t="n"/>
    </row>
    <row r="7">
      <c r="A7" s="133" t="n"/>
      <c r="B7" s="139" t="n"/>
      <c r="C7" s="140" t="n">
        <v>45720</v>
      </c>
      <c r="D7" s="141" t="inlineStr">
        <is>
          <t>SAN JOSE</t>
        </is>
      </c>
      <c r="E7" s="142" t="n">
        <v>0.2708333333333333</v>
      </c>
      <c r="F7" s="141" t="n">
        <v>8</v>
      </c>
      <c r="G7" s="141" t="n">
        <v>11</v>
      </c>
      <c r="H7" s="141" t="n"/>
      <c r="I7" s="141" t="inlineStr">
        <is>
          <t>MANIGUA</t>
        </is>
      </c>
      <c r="J7" s="141" t="inlineStr">
        <is>
          <t>CARGUEROS</t>
        </is>
      </c>
      <c r="K7" s="113" t="n"/>
      <c r="L7" s="113" t="n"/>
      <c r="M7" s="113" t="n"/>
      <c r="N7" s="113" t="n"/>
      <c r="O7" s="113" t="n"/>
    </row>
    <row r="8">
      <c r="A8" s="133" t="n"/>
      <c r="B8" s="139" t="n">
        <v>4</v>
      </c>
      <c r="C8" s="140" t="n">
        <v>45721</v>
      </c>
      <c r="D8" s="141" t="inlineStr">
        <is>
          <t>MALAGUEÑA</t>
        </is>
      </c>
      <c r="E8" s="142" t="n">
        <v>0</v>
      </c>
      <c r="F8" s="141" t="n">
        <v>7</v>
      </c>
      <c r="G8" s="141" t="n">
        <v>11</v>
      </c>
      <c r="H8" s="141" t="n">
        <v>11</v>
      </c>
      <c r="I8" s="141" t="inlineStr">
        <is>
          <t>MANIGUA</t>
        </is>
      </c>
      <c r="J8" s="141" t="inlineStr">
        <is>
          <t>ABONEROS</t>
        </is>
      </c>
      <c r="K8" s="113" t="n"/>
      <c r="L8" s="113" t="n"/>
      <c r="M8" s="113" t="n"/>
      <c r="N8" s="113" t="n"/>
      <c r="O8" s="113" t="n"/>
    </row>
    <row r="9">
      <c r="A9" s="133" t="n"/>
      <c r="B9" s="139" t="n"/>
      <c r="C9" s="140" t="n">
        <v>45721</v>
      </c>
      <c r="D9" s="141" t="inlineStr">
        <is>
          <t>SAN JOSE</t>
        </is>
      </c>
      <c r="E9" s="142" t="n">
        <v>0.25</v>
      </c>
      <c r="F9" s="141" t="n">
        <v>7</v>
      </c>
      <c r="G9" s="141" t="n">
        <v>11</v>
      </c>
      <c r="H9" s="141" t="n">
        <v>11</v>
      </c>
      <c r="I9" s="141" t="inlineStr">
        <is>
          <t>MANIGUA</t>
        </is>
      </c>
      <c r="J9" s="141" t="inlineStr">
        <is>
          <t>CARGUEROS</t>
        </is>
      </c>
      <c r="K9" s="113" t="n"/>
      <c r="L9" s="113" t="n"/>
      <c r="M9" s="113" t="n"/>
      <c r="N9" s="113" t="n"/>
      <c r="O9" s="113" t="n"/>
    </row>
    <row r="10">
      <c r="A10" s="133" t="n"/>
      <c r="B10" s="139" t="n">
        <v>5</v>
      </c>
      <c r="C10" s="140" t="n">
        <v>45722</v>
      </c>
      <c r="D10" s="141" t="inlineStr">
        <is>
          <t>MALAGUEÑA</t>
        </is>
      </c>
      <c r="E10" s="142" t="n">
        <v>0.125</v>
      </c>
      <c r="F10" s="141" t="n">
        <v>3</v>
      </c>
      <c r="G10" s="141" t="n">
        <v>11</v>
      </c>
      <c r="H10" s="141" t="n">
        <v>11</v>
      </c>
      <c r="I10" s="141" t="inlineStr">
        <is>
          <t>MANIGUA</t>
        </is>
      </c>
      <c r="J10" s="141" t="inlineStr">
        <is>
          <t>ABONEROS</t>
        </is>
      </c>
      <c r="K10" s="113" t="n"/>
      <c r="L10" s="113" t="n"/>
      <c r="M10" s="113" t="n"/>
      <c r="N10" s="113" t="n"/>
      <c r="O10" s="113" t="n"/>
    </row>
    <row r="11">
      <c r="A11" s="133" t="n"/>
      <c r="B11" s="139" t="n"/>
      <c r="C11" s="140" t="n">
        <v>45722</v>
      </c>
      <c r="D11" s="141" t="inlineStr">
        <is>
          <t>SAN JOSE</t>
        </is>
      </c>
      <c r="E11" s="142" t="n">
        <v>0.0625</v>
      </c>
      <c r="F11" s="141" t="n">
        <v>8</v>
      </c>
      <c r="G11" s="141" t="n">
        <v>11</v>
      </c>
      <c r="H11" s="141" t="n">
        <v>11</v>
      </c>
      <c r="I11" s="141" t="inlineStr">
        <is>
          <t>MANIGUA</t>
        </is>
      </c>
      <c r="J11" s="141" t="inlineStr">
        <is>
          <t>CARGUEROS</t>
        </is>
      </c>
      <c r="K11" s="113" t="n"/>
      <c r="L11" s="113" t="n"/>
      <c r="M11" s="113" t="n"/>
      <c r="N11" s="113" t="n"/>
      <c r="O11" s="113" t="n"/>
    </row>
    <row r="12">
      <c r="A12" s="133" t="n"/>
      <c r="B12" s="139" t="n">
        <v>6</v>
      </c>
      <c r="C12" s="140" t="n">
        <v>45723</v>
      </c>
      <c r="D12" s="141" t="inlineStr">
        <is>
          <t>MALAGUEÑA</t>
        </is>
      </c>
      <c r="E12" s="142" t="n">
        <v>0.08333333333333333</v>
      </c>
      <c r="F12" s="141" t="n">
        <v>3</v>
      </c>
      <c r="G12" s="141" t="n">
        <v>11</v>
      </c>
      <c r="H12" s="141" t="n">
        <v>11</v>
      </c>
      <c r="I12" s="141" t="inlineStr">
        <is>
          <t>MANIGUA</t>
        </is>
      </c>
      <c r="J12" s="141" t="inlineStr">
        <is>
          <t>ABONEROS</t>
        </is>
      </c>
      <c r="K12" s="113" t="n"/>
      <c r="L12" s="113" t="n"/>
      <c r="M12" s="113" t="n"/>
      <c r="N12" s="113" t="n"/>
      <c r="O12" s="113" t="n"/>
    </row>
    <row r="13">
      <c r="A13" s="133" t="n"/>
      <c r="B13" s="139" t="n"/>
      <c r="C13" s="140" t="n">
        <v>45723</v>
      </c>
      <c r="D13" s="141" t="inlineStr">
        <is>
          <t>SAN JOSE</t>
        </is>
      </c>
      <c r="E13" s="142" t="n">
        <v>0.125</v>
      </c>
      <c r="F13" s="141" t="n">
        <v>4</v>
      </c>
      <c r="G13" s="141" t="n">
        <v>11</v>
      </c>
      <c r="H13" s="141" t="n">
        <v>11</v>
      </c>
      <c r="I13" s="141" t="inlineStr">
        <is>
          <t>MANIGUA</t>
        </is>
      </c>
      <c r="J13" s="141" t="inlineStr">
        <is>
          <t>CARGUEROS</t>
        </is>
      </c>
      <c r="K13" s="113" t="n"/>
      <c r="L13" s="113" t="n"/>
      <c r="M13" s="113" t="n"/>
      <c r="N13" s="113" t="n"/>
      <c r="O13" s="113" t="n"/>
    </row>
    <row r="14">
      <c r="A14" s="133" t="n"/>
      <c r="B14" s="139" t="n">
        <v>7</v>
      </c>
      <c r="C14" s="140" t="n">
        <v>45724</v>
      </c>
      <c r="D14" s="141" t="inlineStr">
        <is>
          <t>SAN JOSE</t>
        </is>
      </c>
      <c r="E14" s="142" t="n">
        <v>0.2083333333333333</v>
      </c>
      <c r="F14" s="141" t="n">
        <v>3</v>
      </c>
      <c r="G14" s="141" t="n">
        <v>11</v>
      </c>
      <c r="H14" s="141" t="n">
        <v>11</v>
      </c>
      <c r="I14" s="141" t="inlineStr">
        <is>
          <t>MANIGUA</t>
        </is>
      </c>
      <c r="J14" s="141" t="inlineStr">
        <is>
          <t>CARGUEROS</t>
        </is>
      </c>
      <c r="K14" s="113" t="n"/>
      <c r="L14" s="113" t="n"/>
      <c r="M14" s="113" t="n"/>
      <c r="N14" s="113" t="n"/>
      <c r="O14" s="113" t="n"/>
    </row>
    <row r="15">
      <c r="A15" s="133" t="n"/>
      <c r="B15" s="139" t="n">
        <v>8</v>
      </c>
      <c r="C15" s="140" t="n">
        <v>45726</v>
      </c>
      <c r="D15" s="141" t="inlineStr">
        <is>
          <t>SAN JOSE</t>
        </is>
      </c>
      <c r="E15" s="142" t="n">
        <v>0.125</v>
      </c>
      <c r="F15" s="141" t="n">
        <v>10</v>
      </c>
      <c r="G15" s="141" t="n">
        <v>11</v>
      </c>
      <c r="H15" s="141" t="n">
        <v>11</v>
      </c>
      <c r="I15" s="141" t="inlineStr">
        <is>
          <t>MANIGUA</t>
        </is>
      </c>
      <c r="J15" s="141" t="inlineStr">
        <is>
          <t>CARGUEROS</t>
        </is>
      </c>
      <c r="K15" s="113" t="n"/>
      <c r="L15" s="113" t="n"/>
      <c r="M15" s="113" t="n"/>
      <c r="N15" s="113" t="n"/>
      <c r="O15" s="113" t="n"/>
    </row>
    <row r="16">
      <c r="A16" s="133" t="n"/>
      <c r="B16" s="139" t="n">
        <v>9</v>
      </c>
      <c r="C16" s="140" t="n">
        <v>45727</v>
      </c>
      <c r="D16" s="141" t="inlineStr">
        <is>
          <t>SAN JOSE</t>
        </is>
      </c>
      <c r="E16" s="142" t="n">
        <v>0.04166666666666666</v>
      </c>
      <c r="F16" s="141" t="n">
        <v>6</v>
      </c>
      <c r="G16" s="141" t="n">
        <v>11</v>
      </c>
      <c r="H16" s="141" t="n">
        <v>11</v>
      </c>
      <c r="I16" s="141" t="inlineStr">
        <is>
          <t>MANIGUA</t>
        </is>
      </c>
      <c r="J16" s="141" t="inlineStr">
        <is>
          <t>CARGUEROS</t>
        </is>
      </c>
      <c r="K16" s="113" t="n"/>
      <c r="L16" s="113" t="n"/>
      <c r="M16" s="113" t="n"/>
      <c r="N16" s="113" t="n"/>
      <c r="O16" s="113" t="n"/>
    </row>
    <row r="17">
      <c r="A17" s="133" t="n"/>
      <c r="B17" s="139" t="n">
        <v>10</v>
      </c>
      <c r="C17" s="140" t="n">
        <v>45728</v>
      </c>
      <c r="D17" s="141" t="inlineStr">
        <is>
          <t>SAN JOSE</t>
        </is>
      </c>
      <c r="E17" s="142" t="n">
        <v>0.08333333333333333</v>
      </c>
      <c r="F17" s="141" t="n">
        <v>3</v>
      </c>
      <c r="G17" s="141" t="n">
        <v>11</v>
      </c>
      <c r="H17" s="141" t="n">
        <v>11</v>
      </c>
      <c r="I17" s="141" t="inlineStr">
        <is>
          <t>MANIGUA</t>
        </is>
      </c>
      <c r="J17" s="141" t="inlineStr">
        <is>
          <t>ABONEROS</t>
        </is>
      </c>
      <c r="K17" s="113" t="n"/>
      <c r="L17" s="113" t="n"/>
      <c r="M17" s="113" t="n"/>
      <c r="N17" s="113" t="n"/>
      <c r="O17" s="113" t="n"/>
    </row>
    <row r="18">
      <c r="A18" s="133" t="n"/>
      <c r="B18" s="139" t="n">
        <v>11</v>
      </c>
      <c r="C18" s="140" t="n">
        <v>45729</v>
      </c>
      <c r="D18" s="141" t="inlineStr">
        <is>
          <t>HUERTAS</t>
        </is>
      </c>
      <c r="E18" s="142" t="n">
        <v>0.9583333333333334</v>
      </c>
      <c r="F18" s="141" t="n">
        <v>5</v>
      </c>
      <c r="G18" s="141" t="n">
        <v>13</v>
      </c>
      <c r="H18" s="141" t="n">
        <v>13</v>
      </c>
      <c r="I18" s="141" t="inlineStr">
        <is>
          <t>MANIGUA</t>
        </is>
      </c>
      <c r="J18" s="141" t="inlineStr">
        <is>
          <t>CARGUEROS</t>
        </is>
      </c>
      <c r="K18" s="113" t="n"/>
      <c r="L18" s="113" t="n"/>
      <c r="M18" s="113" t="n"/>
      <c r="N18" s="113" t="n"/>
      <c r="O18" s="113" t="n"/>
    </row>
    <row r="19">
      <c r="A19" s="133" t="n"/>
      <c r="B19" s="139" t="n"/>
      <c r="C19" s="140" t="n">
        <v>45729</v>
      </c>
      <c r="D19" s="141" t="inlineStr">
        <is>
          <t>SAN JOSE</t>
        </is>
      </c>
      <c r="E19" s="142" t="n">
        <v>0.1875</v>
      </c>
      <c r="F19" s="141" t="n">
        <v>3</v>
      </c>
      <c r="G19" s="141" t="n">
        <v>12</v>
      </c>
      <c r="H19" s="141" t="n">
        <v>11</v>
      </c>
      <c r="I19" s="141" t="inlineStr">
        <is>
          <t>MANIGUA</t>
        </is>
      </c>
      <c r="J19" s="141" t="inlineStr">
        <is>
          <t>ABONEROS</t>
        </is>
      </c>
      <c r="K19" s="113" t="n"/>
      <c r="L19" s="113" t="n"/>
      <c r="M19" s="113" t="n"/>
      <c r="N19" s="113" t="n"/>
      <c r="O19" s="113" t="n"/>
    </row>
    <row r="20">
      <c r="A20" s="133" t="n"/>
      <c r="B20" s="139" t="n">
        <v>12</v>
      </c>
      <c r="C20" s="140" t="n">
        <v>45730</v>
      </c>
      <c r="D20" s="141" t="inlineStr">
        <is>
          <t>HUERTAS</t>
        </is>
      </c>
      <c r="E20" s="142" t="n">
        <v>0.9583333333333334</v>
      </c>
      <c r="F20" s="141" t="n">
        <v>2</v>
      </c>
      <c r="G20" s="141" t="n">
        <v>13</v>
      </c>
      <c r="H20" s="141" t="n">
        <v>13</v>
      </c>
      <c r="I20" s="141" t="inlineStr">
        <is>
          <t>BOGOTA</t>
        </is>
      </c>
      <c r="J20" s="141" t="inlineStr">
        <is>
          <t>CARGUEROS</t>
        </is>
      </c>
      <c r="K20" s="113" t="n"/>
      <c r="L20" s="113" t="n"/>
      <c r="M20" s="113" t="n"/>
      <c r="N20" s="113" t="n"/>
      <c r="O20" s="113" t="n"/>
    </row>
    <row r="21" ht="15.75" customHeight="1">
      <c r="A21" s="133" t="n"/>
      <c r="B21" s="139" t="n"/>
      <c r="C21" s="140" t="n">
        <v>45730</v>
      </c>
      <c r="D21" s="141" t="inlineStr">
        <is>
          <t>HUERTAS</t>
        </is>
      </c>
      <c r="E21" s="142" t="n">
        <v>0.5416666666666666</v>
      </c>
      <c r="F21" s="141" t="n">
        <v>8</v>
      </c>
      <c r="G21" s="141" t="n">
        <v>13</v>
      </c>
      <c r="H21" s="141" t="n"/>
      <c r="I21" s="141" t="inlineStr">
        <is>
          <t>MANIGUA</t>
        </is>
      </c>
      <c r="J21" s="141" t="inlineStr">
        <is>
          <t>CARGUEROS</t>
        </is>
      </c>
      <c r="K21" s="113" t="n"/>
      <c r="L21" s="113" t="n"/>
      <c r="M21" s="113" t="n"/>
      <c r="N21" s="113" t="n"/>
      <c r="O21" s="113" t="n"/>
    </row>
    <row r="22" ht="15.75" customHeight="1">
      <c r="A22" s="133" t="n"/>
      <c r="B22" s="139" t="n"/>
      <c r="C22" s="140" t="n">
        <v>45730</v>
      </c>
      <c r="D22" s="141" t="inlineStr">
        <is>
          <t>SAN JOSE</t>
        </is>
      </c>
      <c r="E22" s="142" t="n">
        <v>0.2291666666666667</v>
      </c>
      <c r="F22" s="141" t="n">
        <v>5</v>
      </c>
      <c r="G22" s="141" t="n">
        <v>11</v>
      </c>
      <c r="H22" s="141" t="n">
        <v>11</v>
      </c>
      <c r="I22" s="141" t="inlineStr">
        <is>
          <t>MANIGUA</t>
        </is>
      </c>
      <c r="J22" s="141" t="inlineStr">
        <is>
          <t>ABONEROS</t>
        </is>
      </c>
      <c r="K22" s="113" t="n"/>
      <c r="L22" s="113" t="n"/>
      <c r="M22" s="113" t="n"/>
      <c r="N22" s="113" t="n"/>
      <c r="O22" s="113" t="n"/>
    </row>
    <row r="23" ht="15.75" customHeight="1">
      <c r="A23" s="133" t="n"/>
      <c r="B23" s="139" t="n">
        <v>13</v>
      </c>
      <c r="C23" s="140" t="n">
        <v>45731</v>
      </c>
      <c r="D23" s="141" t="inlineStr">
        <is>
          <t>HUERTAS</t>
        </is>
      </c>
      <c r="E23" s="142" t="n">
        <v>0</v>
      </c>
      <c r="F23" s="141" t="n">
        <v>6</v>
      </c>
      <c r="G23" s="141" t="n">
        <v>13</v>
      </c>
      <c r="H23" s="141" t="n">
        <v>13</v>
      </c>
      <c r="I23" s="141" t="inlineStr">
        <is>
          <t>MANIGUA</t>
        </is>
      </c>
      <c r="J23" s="141" t="inlineStr">
        <is>
          <t>CARGUEROS</t>
        </is>
      </c>
      <c r="K23" s="113" t="n"/>
      <c r="L23" s="113" t="n"/>
      <c r="M23" s="113" t="n"/>
      <c r="N23" s="113" t="n"/>
      <c r="O23" s="113" t="n"/>
    </row>
    <row r="24" ht="15.75" customHeight="1">
      <c r="A24" s="133" t="n"/>
      <c r="B24" s="139" t="n">
        <v>14</v>
      </c>
      <c r="C24" s="140" t="n">
        <v>45732</v>
      </c>
      <c r="D24" s="141" t="inlineStr">
        <is>
          <t>HUERTAS</t>
        </is>
      </c>
      <c r="E24" s="142" t="n">
        <v>0.8333333333333334</v>
      </c>
      <c r="F24" s="141" t="n">
        <v>2</v>
      </c>
      <c r="G24" s="141" t="n">
        <v>13</v>
      </c>
      <c r="H24" s="141" t="n">
        <v>13</v>
      </c>
      <c r="I24" s="141" t="inlineStr">
        <is>
          <t>BOGOTA</t>
        </is>
      </c>
      <c r="J24" s="141" t="inlineStr">
        <is>
          <t>ABONEROS</t>
        </is>
      </c>
      <c r="K24" s="113" t="n"/>
      <c r="L24" s="113" t="n"/>
      <c r="M24" s="113" t="n"/>
      <c r="N24" s="113" t="n"/>
      <c r="O24" s="113" t="n"/>
    </row>
    <row r="25" ht="15.75" customHeight="1">
      <c r="A25" s="133" t="n"/>
      <c r="B25" s="139" t="n">
        <v>15</v>
      </c>
      <c r="C25" s="140" t="n">
        <v>45733</v>
      </c>
      <c r="D25" s="141" t="inlineStr">
        <is>
          <t>SAN JOSE</t>
        </is>
      </c>
      <c r="E25" s="142" t="n">
        <v>0.1875</v>
      </c>
      <c r="F25" s="141" t="n">
        <v>10</v>
      </c>
      <c r="G25" s="141" t="n">
        <v>11</v>
      </c>
      <c r="H25" s="141" t="n">
        <v>11</v>
      </c>
      <c r="I25" s="141" t="inlineStr">
        <is>
          <t>MANIGUA</t>
        </is>
      </c>
      <c r="J25" s="141" t="inlineStr">
        <is>
          <t>CARGUEROS</t>
        </is>
      </c>
      <c r="K25" s="113" t="n"/>
      <c r="L25" s="113" t="n"/>
      <c r="M25" s="113" t="n"/>
      <c r="N25" s="113" t="n"/>
      <c r="O25" s="113" t="n"/>
    </row>
    <row r="26" ht="15.75" customHeight="1">
      <c r="A26" s="133" t="n"/>
      <c r="B26" s="139" t="n"/>
      <c r="C26" s="140" t="n">
        <v>45733</v>
      </c>
      <c r="D26" s="141" t="inlineStr">
        <is>
          <t>HUERTAS</t>
        </is>
      </c>
      <c r="E26" s="142" t="n">
        <v>0.6875</v>
      </c>
      <c r="F26" s="141" t="n">
        <v>2</v>
      </c>
      <c r="G26" s="141" t="n">
        <v>13</v>
      </c>
      <c r="H26" s="141" t="n">
        <v>13</v>
      </c>
      <c r="I26" s="141" t="inlineStr">
        <is>
          <t>BOGOTA</t>
        </is>
      </c>
      <c r="J26" s="141" t="inlineStr">
        <is>
          <t>ABONEROS</t>
        </is>
      </c>
      <c r="K26" s="113" t="n"/>
      <c r="L26" s="113" t="n"/>
      <c r="M26" s="113" t="n"/>
      <c r="N26" s="113" t="n"/>
      <c r="O26" s="113" t="n"/>
    </row>
    <row r="27" ht="15.75" customHeight="1">
      <c r="A27" s="133" t="n"/>
      <c r="B27" s="139" t="n">
        <v>16</v>
      </c>
      <c r="C27" s="140" t="n">
        <v>45734</v>
      </c>
      <c r="D27" s="141" t="inlineStr">
        <is>
          <t>HUERTAS</t>
        </is>
      </c>
      <c r="E27" s="142" t="n">
        <v>0.6666666666666666</v>
      </c>
      <c r="F27" s="141" t="n">
        <v>7</v>
      </c>
      <c r="G27" s="141" t="n">
        <v>13</v>
      </c>
      <c r="H27" s="141" t="n">
        <v>13</v>
      </c>
      <c r="I27" s="141" t="inlineStr">
        <is>
          <t>MANIGUA</t>
        </is>
      </c>
      <c r="J27" s="141" t="inlineStr">
        <is>
          <t>ABONEROS</t>
        </is>
      </c>
      <c r="K27" s="113" t="n"/>
      <c r="L27" s="113" t="n"/>
      <c r="M27" s="113" t="n"/>
      <c r="N27" s="113" t="n"/>
      <c r="O27" s="113" t="n"/>
    </row>
    <row r="28" ht="15.75" customHeight="1">
      <c r="A28" s="133" t="n"/>
      <c r="B28" s="139" t="n"/>
      <c r="C28" s="140" t="n">
        <v>45734</v>
      </c>
      <c r="D28" s="141" t="inlineStr">
        <is>
          <t>HUERTAS</t>
        </is>
      </c>
      <c r="E28" s="142" t="n">
        <v>0</v>
      </c>
      <c r="F28" s="141" t="n">
        <v>10</v>
      </c>
      <c r="G28" s="141" t="n">
        <v>13</v>
      </c>
      <c r="H28" s="141" t="n">
        <v>13</v>
      </c>
      <c r="I28" s="141" t="inlineStr">
        <is>
          <t>MANIGUA</t>
        </is>
      </c>
      <c r="J28" s="141" t="inlineStr">
        <is>
          <t>CARGUEROS</t>
        </is>
      </c>
      <c r="K28" s="113" t="n"/>
      <c r="L28" s="113" t="n"/>
      <c r="M28" s="113" t="n"/>
      <c r="N28" s="113" t="n"/>
      <c r="O28" s="113" t="n"/>
    </row>
    <row r="29" ht="15.75" customHeight="1">
      <c r="A29" s="133" t="n"/>
      <c r="B29" s="139" t="n"/>
      <c r="C29" s="140" t="n">
        <v>45734</v>
      </c>
      <c r="D29" s="141" t="inlineStr">
        <is>
          <t>HUERTAS</t>
        </is>
      </c>
      <c r="E29" s="142" t="n">
        <v>0.4791666666666667</v>
      </c>
      <c r="F29" s="141" t="n">
        <v>3</v>
      </c>
      <c r="G29" s="141" t="n">
        <v>13</v>
      </c>
      <c r="H29" s="141" t="n">
        <v>13</v>
      </c>
      <c r="I29" s="141" t="inlineStr">
        <is>
          <t>BOGOTA</t>
        </is>
      </c>
      <c r="J29" s="141" t="inlineStr">
        <is>
          <t>ABONEROS</t>
        </is>
      </c>
      <c r="K29" s="113" t="n"/>
      <c r="L29" s="113" t="n"/>
      <c r="M29" s="113" t="n"/>
      <c r="N29" s="113" t="n"/>
      <c r="O29" s="113" t="n"/>
    </row>
    <row r="30" ht="15.75" customHeight="1">
      <c r="A30" s="133" t="n"/>
      <c r="B30" s="139" t="n">
        <v>17</v>
      </c>
      <c r="C30" s="140" t="n">
        <v>45735</v>
      </c>
      <c r="D30" s="141" t="inlineStr">
        <is>
          <t>HUERTAS</t>
        </is>
      </c>
      <c r="E30" s="142" t="n">
        <v>0.1041666666666667</v>
      </c>
      <c r="F30" s="141" t="n">
        <v>3</v>
      </c>
      <c r="G30" s="144" t="n">
        <v>13</v>
      </c>
      <c r="H30" s="144" t="n">
        <v>13</v>
      </c>
      <c r="I30" s="141" t="inlineStr">
        <is>
          <t>MANIGUA</t>
        </is>
      </c>
      <c r="J30" s="144" t="inlineStr">
        <is>
          <t>ABONEROS</t>
        </is>
      </c>
      <c r="K30" s="113" t="n"/>
      <c r="L30" s="113" t="n"/>
      <c r="M30" s="113" t="n"/>
      <c r="N30" s="113" t="n"/>
      <c r="O30" s="113" t="n"/>
    </row>
    <row r="31" ht="15.75" customHeight="1">
      <c r="A31" s="133" t="n"/>
      <c r="B31" s="139" t="n"/>
      <c r="C31" s="140" t="n">
        <v>45735</v>
      </c>
      <c r="D31" s="144" t="inlineStr">
        <is>
          <t>SAN JOSE</t>
        </is>
      </c>
      <c r="E31" s="142" t="n">
        <v>0.2291666666666667</v>
      </c>
      <c r="F31" s="141" t="n">
        <v>7</v>
      </c>
      <c r="G31" s="144" t="n">
        <v>11</v>
      </c>
      <c r="H31" s="144" t="n">
        <v>11</v>
      </c>
      <c r="I31" s="141" t="inlineStr">
        <is>
          <t>MANIGUA</t>
        </is>
      </c>
      <c r="J31" s="144" t="inlineStr">
        <is>
          <t>CARGUEROS</t>
        </is>
      </c>
      <c r="K31" s="113" t="n"/>
      <c r="L31" s="113" t="n"/>
      <c r="M31" s="113" t="n"/>
      <c r="N31" s="113" t="n"/>
      <c r="O31" s="113" t="n"/>
    </row>
    <row r="32" ht="15.75" customHeight="1">
      <c r="A32" s="133" t="n"/>
      <c r="B32" s="139" t="n">
        <v>18</v>
      </c>
      <c r="C32" s="140" t="n">
        <v>45736</v>
      </c>
      <c r="D32" s="141" t="inlineStr">
        <is>
          <t>SAN JOSE</t>
        </is>
      </c>
      <c r="E32" s="142" t="n">
        <v>0.1875</v>
      </c>
      <c r="F32" s="141" t="n">
        <v>4</v>
      </c>
      <c r="G32" s="144" t="n">
        <v>11</v>
      </c>
      <c r="H32" s="144" t="n">
        <v>11</v>
      </c>
      <c r="I32" s="141" t="inlineStr">
        <is>
          <t>MANIGUA</t>
        </is>
      </c>
      <c r="J32" s="144" t="inlineStr">
        <is>
          <t>CARGUEROS</t>
        </is>
      </c>
      <c r="K32" s="113" t="n"/>
      <c r="L32" s="113" t="n"/>
      <c r="M32" s="113" t="n"/>
      <c r="N32" s="113" t="n"/>
      <c r="O32" s="113" t="n"/>
    </row>
    <row r="33" ht="15.75" customHeight="1">
      <c r="A33" s="133" t="n"/>
      <c r="B33" s="139" t="n">
        <v>19</v>
      </c>
      <c r="C33" s="140" t="n">
        <v>45737</v>
      </c>
      <c r="D33" s="141" t="inlineStr">
        <is>
          <t>SAN JOSE</t>
        </is>
      </c>
      <c r="E33" s="142" t="n">
        <v>0.02083333333333333</v>
      </c>
      <c r="F33" s="141" t="n">
        <v>6</v>
      </c>
      <c r="G33" s="144" t="n">
        <v>11</v>
      </c>
      <c r="H33" s="144" t="n">
        <v>11</v>
      </c>
      <c r="I33" s="141" t="inlineStr">
        <is>
          <t>MANIGUA</t>
        </is>
      </c>
      <c r="J33" s="144" t="inlineStr">
        <is>
          <t>CARGUEROS</t>
        </is>
      </c>
      <c r="K33" s="113" t="n"/>
      <c r="L33" s="113" t="n"/>
      <c r="M33" s="113" t="n"/>
      <c r="N33" s="113" t="n"/>
      <c r="O33" s="113" t="n"/>
    </row>
    <row r="34" ht="15.75" customHeight="1">
      <c r="A34" s="133" t="n"/>
      <c r="B34" s="139" t="n">
        <v>20</v>
      </c>
      <c r="C34" s="140" t="n">
        <v>45739</v>
      </c>
      <c r="D34" s="141" t="inlineStr">
        <is>
          <t>SAN JOSE</t>
        </is>
      </c>
      <c r="E34" s="142" t="n">
        <v>0.875</v>
      </c>
      <c r="F34" s="141" t="n">
        <v>9</v>
      </c>
      <c r="G34" s="144" t="n">
        <v>11</v>
      </c>
      <c r="H34" s="144" t="n">
        <v>11</v>
      </c>
      <c r="I34" s="141" t="inlineStr">
        <is>
          <t>MANIGUA</t>
        </is>
      </c>
      <c r="J34" s="144" t="inlineStr">
        <is>
          <t>CARGUEROS</t>
        </is>
      </c>
      <c r="K34" s="113" t="n"/>
      <c r="L34" s="113" t="n"/>
      <c r="M34" s="113" t="n"/>
      <c r="N34" s="113" t="n"/>
      <c r="O34" s="113" t="n"/>
    </row>
    <row r="35" ht="15.75" customHeight="1">
      <c r="A35" s="133" t="n"/>
      <c r="B35" s="139" t="n">
        <v>21</v>
      </c>
      <c r="C35" s="140" t="n">
        <v>45741</v>
      </c>
      <c r="D35" s="141" t="inlineStr">
        <is>
          <t>SAN JOSE</t>
        </is>
      </c>
      <c r="E35" s="142" t="n">
        <v>0.02083333333333333</v>
      </c>
      <c r="F35" s="141" t="n">
        <v>10</v>
      </c>
      <c r="G35" s="144" t="n">
        <v>11</v>
      </c>
      <c r="H35" s="144" t="n">
        <v>11</v>
      </c>
      <c r="I35" s="141" t="inlineStr">
        <is>
          <t>MANIGUA</t>
        </is>
      </c>
      <c r="J35" s="144" t="inlineStr">
        <is>
          <t>CARGUEROS</t>
        </is>
      </c>
      <c r="K35" s="113" t="n"/>
      <c r="L35" s="113" t="n"/>
      <c r="M35" s="113" t="n"/>
      <c r="N35" s="113" t="n"/>
      <c r="O35" s="113" t="n"/>
    </row>
    <row r="36" ht="15.75" customHeight="1">
      <c r="A36" s="133" t="n"/>
      <c r="B36" s="139" t="n"/>
      <c r="C36" s="140" t="n">
        <v>45741</v>
      </c>
      <c r="D36" s="141" t="inlineStr">
        <is>
          <t>HUERTAS</t>
        </is>
      </c>
      <c r="E36" s="142" t="n">
        <v>0.9791666666666666</v>
      </c>
      <c r="F36" s="141" t="n">
        <v>6</v>
      </c>
      <c r="G36" s="144" t="n">
        <v>13</v>
      </c>
      <c r="H36" s="144" t="n">
        <v>2</v>
      </c>
      <c r="I36" s="141" t="inlineStr">
        <is>
          <t>MANIGUA</t>
        </is>
      </c>
      <c r="J36" s="144" t="inlineStr">
        <is>
          <t>CARGUEROS</t>
        </is>
      </c>
      <c r="K36" s="113" t="n"/>
      <c r="L36" s="113" t="n"/>
      <c r="M36" s="113" t="n"/>
      <c r="N36" s="113" t="n"/>
      <c r="O36" s="113" t="n"/>
    </row>
    <row r="37" ht="15.75" customHeight="1">
      <c r="A37" s="133" t="n"/>
      <c r="B37" s="139" t="n">
        <v>22</v>
      </c>
      <c r="C37" s="140" t="n">
        <v>45743</v>
      </c>
      <c r="D37" s="141" t="inlineStr">
        <is>
          <t>HUERTAS</t>
        </is>
      </c>
      <c r="E37" s="142" t="n">
        <v>0.0625</v>
      </c>
      <c r="F37" s="141" t="n">
        <v>3</v>
      </c>
      <c r="G37" s="144" t="n">
        <v>13</v>
      </c>
      <c r="H37" s="144" t="n">
        <v>13</v>
      </c>
      <c r="I37" s="141" t="inlineStr">
        <is>
          <t>MANIGUA</t>
        </is>
      </c>
      <c r="J37" s="144" t="inlineStr">
        <is>
          <t>ABONEROS</t>
        </is>
      </c>
      <c r="K37" s="113" t="n"/>
      <c r="L37" s="113" t="n"/>
      <c r="M37" s="113" t="n"/>
      <c r="N37" s="113" t="n"/>
      <c r="O37" s="113" t="n"/>
    </row>
    <row r="38" ht="15.75" customHeight="1">
      <c r="A38" s="133" t="n"/>
      <c r="B38" s="139" t="n"/>
      <c r="C38" s="140" t="n">
        <v>45743</v>
      </c>
      <c r="D38" s="141" t="inlineStr">
        <is>
          <t>SAN JOSE</t>
        </is>
      </c>
      <c r="E38" s="142" t="n">
        <v>0.1041666666666667</v>
      </c>
      <c r="F38" s="141" t="n">
        <v>6</v>
      </c>
      <c r="G38" s="144" t="n">
        <v>11</v>
      </c>
      <c r="H38" s="144" t="n">
        <v>11</v>
      </c>
      <c r="I38" s="141" t="inlineStr">
        <is>
          <t>MANIGUA</t>
        </is>
      </c>
      <c r="J38" s="144" t="inlineStr">
        <is>
          <t>CARGUEROS</t>
        </is>
      </c>
      <c r="K38" s="113" t="n"/>
      <c r="L38" s="113" t="n"/>
      <c r="M38" s="113" t="n"/>
      <c r="N38" s="113" t="n"/>
      <c r="O38" s="113" t="n"/>
    </row>
    <row r="39" ht="15.75" customHeight="1">
      <c r="A39" s="133" t="n"/>
      <c r="B39" s="139" t="n">
        <v>23</v>
      </c>
      <c r="C39" s="140" t="n">
        <v>45744</v>
      </c>
      <c r="D39" s="141" t="inlineStr">
        <is>
          <t>HUERTAS</t>
        </is>
      </c>
      <c r="E39" s="142" t="n">
        <v>0.9791666666666666</v>
      </c>
      <c r="F39" s="141" t="n">
        <v>4</v>
      </c>
      <c r="G39" s="144" t="n">
        <v>13</v>
      </c>
      <c r="H39" s="144" t="n">
        <v>13</v>
      </c>
      <c r="I39" s="141" t="inlineStr">
        <is>
          <t>MANIGUA</t>
        </is>
      </c>
      <c r="J39" s="144" t="inlineStr">
        <is>
          <t>CARGUEROS</t>
        </is>
      </c>
      <c r="K39" s="145" t="n">
        <v>235</v>
      </c>
      <c r="L39" s="113" t="n"/>
      <c r="M39" s="113" t="n"/>
      <c r="N39" s="113" t="n"/>
      <c r="O39" s="113" t="n"/>
    </row>
    <row r="40" ht="15.75" customHeight="1">
      <c r="A40" s="133" t="n"/>
      <c r="B40" s="139" t="n"/>
      <c r="C40" s="140" t="n">
        <v>45744</v>
      </c>
      <c r="D40" s="141" t="inlineStr">
        <is>
          <t>GARCERAS</t>
        </is>
      </c>
      <c r="E40" s="142" t="n">
        <v>0.08333333333333333</v>
      </c>
      <c r="F40" s="141" t="n">
        <v>4</v>
      </c>
      <c r="G40" s="144" t="n">
        <v>11</v>
      </c>
      <c r="H40" s="144" t="n">
        <v>11</v>
      </c>
      <c r="I40" s="141" t="inlineStr">
        <is>
          <t>MANIGUA</t>
        </is>
      </c>
      <c r="J40" s="144" t="inlineStr">
        <is>
          <t>ABONEROS</t>
        </is>
      </c>
      <c r="K40" s="146" t="n">
        <v>457</v>
      </c>
      <c r="L40" s="113" t="n"/>
      <c r="M40" s="113" t="n"/>
      <c r="N40" s="113" t="n"/>
      <c r="O40" s="113" t="n"/>
    </row>
    <row r="41" ht="15.75" customHeight="1">
      <c r="A41" s="133" t="n"/>
      <c r="B41" s="139" t="n"/>
      <c r="C41" s="140" t="n">
        <v>45744</v>
      </c>
      <c r="D41" s="141" t="inlineStr">
        <is>
          <t>SAN JOSE</t>
        </is>
      </c>
      <c r="E41" s="142" t="n">
        <v>0.2916666666666667</v>
      </c>
      <c r="F41" s="141" t="n">
        <v>1</v>
      </c>
      <c r="G41" s="144" t="n">
        <v>11</v>
      </c>
      <c r="H41" s="144" t="n"/>
      <c r="I41" s="141" t="inlineStr">
        <is>
          <t>MANIGUA</t>
        </is>
      </c>
      <c r="J41" s="144" t="inlineStr">
        <is>
          <t>CARGUEROS</t>
        </is>
      </c>
      <c r="K41" s="146" t="n">
        <v>25</v>
      </c>
      <c r="L41" s="113" t="n"/>
      <c r="M41" s="113" t="n"/>
      <c r="N41" s="113" t="n"/>
      <c r="O41" s="113" t="n"/>
    </row>
    <row r="42" ht="15.75" customHeight="1">
      <c r="A42" s="133" t="n"/>
      <c r="B42" s="139" t="n">
        <v>24</v>
      </c>
      <c r="C42" s="140" t="n">
        <v>45745</v>
      </c>
      <c r="D42" s="141" t="inlineStr">
        <is>
          <t>HUERTAS</t>
        </is>
      </c>
      <c r="E42" s="142" t="n">
        <v>0.875</v>
      </c>
      <c r="F42" s="141" t="n">
        <v>7</v>
      </c>
      <c r="G42" s="144" t="n">
        <v>13</v>
      </c>
      <c r="H42" s="144" t="n">
        <v>13</v>
      </c>
      <c r="I42" s="141" t="inlineStr">
        <is>
          <t>BOGOTA</t>
        </is>
      </c>
      <c r="J42" s="144" t="inlineStr">
        <is>
          <t>CARGUEROS</t>
        </is>
      </c>
      <c r="K42" s="146" t="n">
        <v>9.4</v>
      </c>
      <c r="L42" s="113" t="n"/>
      <c r="M42" s="113" t="n"/>
      <c r="N42" s="113" t="n"/>
      <c r="O42" s="113" t="n"/>
    </row>
    <row r="43" ht="15.75" customHeight="1">
      <c r="A43" s="133" t="n"/>
      <c r="B43" s="139" t="n">
        <v>25</v>
      </c>
      <c r="C43" s="140" t="n">
        <v>45747</v>
      </c>
      <c r="D43" s="141" t="inlineStr">
        <is>
          <t>HUERTAS</t>
        </is>
      </c>
      <c r="E43" s="142" t="n">
        <v>0.75</v>
      </c>
      <c r="F43" s="141" t="n">
        <v>5</v>
      </c>
      <c r="G43" s="144" t="n">
        <v>13</v>
      </c>
      <c r="H43" s="144" t="n">
        <v>13</v>
      </c>
      <c r="I43" s="141" t="inlineStr">
        <is>
          <t>BOGOTA</t>
        </is>
      </c>
      <c r="J43" s="144" t="inlineStr">
        <is>
          <t>CARGUEROS</t>
        </is>
      </c>
      <c r="K43" s="146" t="n">
        <v>18.28</v>
      </c>
      <c r="L43" s="113" t="n"/>
      <c r="M43" s="113" t="n"/>
      <c r="N43" s="113" t="n"/>
      <c r="O43" s="113" t="n"/>
    </row>
    <row r="44" ht="15.75" customHeight="1">
      <c r="A44" s="133" t="n"/>
      <c r="B44" s="139" t="n"/>
      <c r="C44" s="140" t="n">
        <v>45747</v>
      </c>
      <c r="D44" s="141" t="inlineStr">
        <is>
          <t>HUERTAS</t>
        </is>
      </c>
      <c r="E44" s="142" t="n">
        <v>0.04166666666666666</v>
      </c>
      <c r="F44" s="141" t="n">
        <v>3</v>
      </c>
      <c r="G44" s="144" t="n">
        <v>13</v>
      </c>
      <c r="H44" s="144" t="n"/>
      <c r="I44" s="141" t="inlineStr">
        <is>
          <t>MANIGUA</t>
        </is>
      </c>
      <c r="J44" s="144" t="inlineStr">
        <is>
          <t>CARGUEROS</t>
        </is>
      </c>
      <c r="K44" s="113" t="n"/>
      <c r="L44" s="113" t="n"/>
      <c r="M44" s="113" t="n"/>
      <c r="N44" s="113" t="n"/>
      <c r="O44" s="113" t="n"/>
    </row>
    <row r="45" ht="15.75" customHeight="1">
      <c r="A45" s="133" t="n"/>
      <c r="B45" s="139" t="n"/>
      <c r="C45" s="140" t="n">
        <v>45747</v>
      </c>
      <c r="D45" s="141" t="inlineStr">
        <is>
          <t>GARCERAS</t>
        </is>
      </c>
      <c r="E45" s="142" t="n">
        <v>0.9791666666666666</v>
      </c>
      <c r="F45" s="141" t="n">
        <v>7</v>
      </c>
      <c r="G45" s="144" t="n">
        <v>11</v>
      </c>
      <c r="H45" s="144" t="n">
        <v>11</v>
      </c>
      <c r="I45" s="141" t="inlineStr">
        <is>
          <t>MANIGUA</t>
        </is>
      </c>
      <c r="J45" s="144" t="inlineStr">
        <is>
          <t>ABONEROS</t>
        </is>
      </c>
      <c r="K45" s="113" t="n"/>
      <c r="L45" s="113" t="n"/>
      <c r="M45" s="113" t="n"/>
      <c r="N45" s="113" t="n"/>
      <c r="O45" s="113" t="n"/>
    </row>
    <row r="46" ht="15.75" customHeight="1">
      <c r="A46" s="133" t="n"/>
      <c r="B46" s="139" t="n"/>
      <c r="C46" s="140" t="n"/>
      <c r="D46" s="141" t="n"/>
      <c r="E46" s="142" t="n"/>
      <c r="F46" s="144">
        <f>SUM(F2:F45)</f>
        <v/>
      </c>
      <c r="G46" s="144" t="n"/>
      <c r="H46" s="144">
        <f>SUM(H2:H45)</f>
        <v/>
      </c>
      <c r="I46" s="141" t="n"/>
      <c r="J46" s="144" t="n"/>
      <c r="K46" s="113" t="n"/>
      <c r="L46" s="113" t="n"/>
      <c r="M46" s="113" t="n"/>
      <c r="N46" s="146">
        <f>+#REF!/#REF!</f>
        <v/>
      </c>
      <c r="O46" s="146" t="inlineStr">
        <is>
          <t>PROMEDIO PERSONAS X DIA</t>
        </is>
      </c>
    </row>
    <row r="47" ht="15.75" customHeight="1">
      <c r="A47" s="133" t="n"/>
      <c r="B47" s="139" t="n">
        <v>1</v>
      </c>
      <c r="C47" s="140" t="n">
        <v>45748</v>
      </c>
      <c r="D47" s="141" t="inlineStr">
        <is>
          <t>HUERTAS</t>
        </is>
      </c>
      <c r="E47" s="142" t="n">
        <v>0.625</v>
      </c>
      <c r="F47" s="141" t="n">
        <v>8</v>
      </c>
      <c r="G47" s="144" t="n">
        <v>13</v>
      </c>
      <c r="H47" s="144" t="n">
        <v>13</v>
      </c>
      <c r="I47" s="141" t="inlineStr">
        <is>
          <t>BOGOTA</t>
        </is>
      </c>
      <c r="J47" s="144" t="inlineStr">
        <is>
          <t>CARGUEROS</t>
        </is>
      </c>
      <c r="K47" s="113" t="n"/>
      <c r="L47" s="113" t="n"/>
      <c r="M47" s="113" t="n"/>
      <c r="N47" s="113" t="n"/>
      <c r="O47" s="113" t="n"/>
    </row>
    <row r="48" ht="15.75" customHeight="1">
      <c r="A48" s="133" t="n"/>
      <c r="B48" s="139" t="n"/>
      <c r="C48" s="140" t="n">
        <v>45748</v>
      </c>
      <c r="D48" s="141" t="inlineStr">
        <is>
          <t>HUERTAS</t>
        </is>
      </c>
      <c r="E48" s="142" t="n">
        <v>0.9166666666666666</v>
      </c>
      <c r="F48" s="141" t="n">
        <v>3</v>
      </c>
      <c r="G48" s="144" t="n"/>
      <c r="H48" s="144" t="n"/>
      <c r="I48" s="141" t="inlineStr">
        <is>
          <t>MANIGUA</t>
        </is>
      </c>
      <c r="J48" s="144" t="inlineStr">
        <is>
          <t>CARGUEROS</t>
        </is>
      </c>
      <c r="K48" s="113" t="n"/>
      <c r="L48" s="113" t="n"/>
      <c r="M48" s="113" t="n"/>
      <c r="N48" s="113" t="n"/>
      <c r="O48" s="113" t="n"/>
    </row>
    <row r="49" ht="15.75" customHeight="1">
      <c r="A49" s="133" t="n"/>
      <c r="B49" s="139" t="n"/>
      <c r="C49" s="140" t="n">
        <v>45748</v>
      </c>
      <c r="D49" s="141" t="inlineStr">
        <is>
          <t>GARCERAS</t>
        </is>
      </c>
      <c r="E49" s="142" t="n">
        <v>0.125</v>
      </c>
      <c r="F49" s="141" t="n">
        <v>4</v>
      </c>
      <c r="G49" s="144" t="n">
        <v>11</v>
      </c>
      <c r="H49" s="144" t="n">
        <v>11</v>
      </c>
      <c r="I49" s="141" t="inlineStr">
        <is>
          <t>MANIGUA</t>
        </is>
      </c>
      <c r="J49" s="144" t="inlineStr">
        <is>
          <t>ABONEROS</t>
        </is>
      </c>
      <c r="K49" s="113" t="n"/>
      <c r="L49" s="113" t="n"/>
      <c r="M49" s="113" t="n"/>
      <c r="N49" s="146">
        <f>+#REF!/#REF!</f>
        <v/>
      </c>
      <c r="O49" s="146" t="inlineStr">
        <is>
          <t>PROMEDIO CARGUE DIA</t>
        </is>
      </c>
    </row>
    <row r="50" ht="15.75" customHeight="1">
      <c r="A50" s="133" t="n"/>
      <c r="B50" s="139" t="n">
        <v>2</v>
      </c>
      <c r="C50" s="140" t="n">
        <v>45749</v>
      </c>
      <c r="D50" s="141" t="inlineStr">
        <is>
          <t>GARCERAS</t>
        </is>
      </c>
      <c r="E50" s="142" t="n">
        <v>0.9166666666666666</v>
      </c>
      <c r="F50" s="141" t="n">
        <v>12</v>
      </c>
      <c r="G50" s="144" t="n">
        <v>11</v>
      </c>
      <c r="H50" s="144" t="n">
        <v>11</v>
      </c>
      <c r="I50" s="141" t="inlineStr">
        <is>
          <t>MANIGUA</t>
        </is>
      </c>
      <c r="J50" s="144" t="inlineStr">
        <is>
          <t>CARGUEROS</t>
        </is>
      </c>
      <c r="K50" s="113" t="n"/>
      <c r="L50" s="113" t="n"/>
      <c r="M50" s="113" t="n"/>
      <c r="N50" s="113" t="n"/>
      <c r="O50" s="113" t="n"/>
    </row>
    <row r="51" ht="15.75" customHeight="1">
      <c r="A51" s="133" t="n"/>
      <c r="B51" s="139" t="n">
        <v>3</v>
      </c>
      <c r="C51" s="140" t="n">
        <v>45750</v>
      </c>
      <c r="D51" s="141" t="inlineStr">
        <is>
          <t>GARCERAS</t>
        </is>
      </c>
      <c r="E51" s="142" t="n">
        <v>0.0625</v>
      </c>
      <c r="F51" s="141" t="n">
        <v>9</v>
      </c>
      <c r="G51" s="144" t="n">
        <v>11</v>
      </c>
      <c r="H51" s="144" t="n">
        <v>11</v>
      </c>
      <c r="I51" s="141" t="inlineStr">
        <is>
          <t>MANIGUA</t>
        </is>
      </c>
      <c r="J51" s="144" t="inlineStr">
        <is>
          <t>CARGUEROS</t>
        </is>
      </c>
      <c r="K51" s="113" t="n"/>
      <c r="L51" s="113" t="n"/>
      <c r="M51" s="113" t="n"/>
      <c r="N51" s="113" t="n"/>
      <c r="O51" s="113" t="n"/>
    </row>
    <row r="52" ht="15.75" customHeight="1">
      <c r="A52" s="133" t="n"/>
      <c r="B52" s="139" t="n"/>
      <c r="C52" s="140" t="n">
        <v>45750</v>
      </c>
      <c r="D52" s="141" t="inlineStr">
        <is>
          <t>SAN JOSE</t>
        </is>
      </c>
      <c r="E52" s="142" t="n">
        <v>0.5208333333333334</v>
      </c>
      <c r="F52" s="141" t="n">
        <v>2</v>
      </c>
      <c r="G52" s="144" t="n">
        <v>11</v>
      </c>
      <c r="H52" s="144" t="n"/>
      <c r="I52" s="141" t="inlineStr">
        <is>
          <t>MANIGUA</t>
        </is>
      </c>
      <c r="J52" s="144" t="inlineStr">
        <is>
          <t>CARGUEROS</t>
        </is>
      </c>
      <c r="K52" s="113" t="n"/>
      <c r="L52" s="113" t="n"/>
      <c r="M52" s="113" t="n"/>
      <c r="N52" s="113" t="n"/>
      <c r="O52" s="113" t="n"/>
    </row>
    <row r="53" ht="15.75" customHeight="1">
      <c r="A53" s="133" t="n"/>
      <c r="B53" s="139" t="n">
        <v>4</v>
      </c>
      <c r="C53" s="140" t="n">
        <v>45751</v>
      </c>
      <c r="D53" s="141" t="inlineStr">
        <is>
          <t>GARCERAS</t>
        </is>
      </c>
      <c r="E53" s="142" t="n">
        <v>0.4791666666666667</v>
      </c>
      <c r="F53" s="141" t="n">
        <v>8</v>
      </c>
      <c r="G53" s="144" t="n">
        <v>11</v>
      </c>
      <c r="H53" s="144" t="n">
        <v>11</v>
      </c>
      <c r="I53" s="141" t="inlineStr">
        <is>
          <t>MANIGUA</t>
        </is>
      </c>
      <c r="J53" s="144" t="inlineStr">
        <is>
          <t>CARGUEROS</t>
        </is>
      </c>
      <c r="K53" s="113" t="n"/>
      <c r="L53" s="113" t="n"/>
      <c r="M53" s="113" t="n"/>
      <c r="N53" s="113" t="n"/>
      <c r="O53" s="113" t="n"/>
    </row>
    <row r="54" ht="15.75" customHeight="1">
      <c r="A54" s="133" t="n"/>
      <c r="B54" s="139" t="n">
        <v>5</v>
      </c>
      <c r="C54" s="140" t="n">
        <v>45752</v>
      </c>
      <c r="D54" s="141" t="inlineStr">
        <is>
          <t>GARCERAS</t>
        </is>
      </c>
      <c r="E54" s="142" t="n">
        <v>0.9583333333333334</v>
      </c>
      <c r="F54" s="141" t="n">
        <v>8</v>
      </c>
      <c r="G54" s="144" t="n">
        <v>11</v>
      </c>
      <c r="H54" s="144" t="n">
        <v>11</v>
      </c>
      <c r="I54" s="141" t="inlineStr">
        <is>
          <t>MANIGUA</t>
        </is>
      </c>
      <c r="J54" s="144" t="inlineStr">
        <is>
          <t>CARGUEROS</t>
        </is>
      </c>
      <c r="K54" s="113" t="n"/>
      <c r="L54" s="113" t="n"/>
      <c r="M54" s="113" t="n"/>
      <c r="N54" s="113" t="n"/>
      <c r="O54" s="113" t="n"/>
    </row>
    <row r="55" ht="15.75" customHeight="1">
      <c r="A55" s="133" t="n"/>
      <c r="B55" s="139" t="n">
        <v>6</v>
      </c>
      <c r="C55" s="140" t="n">
        <v>45754</v>
      </c>
      <c r="D55" s="141" t="inlineStr">
        <is>
          <t>GARCERAS</t>
        </is>
      </c>
      <c r="E55" s="142" t="n">
        <v>0.9583333333333334</v>
      </c>
      <c r="F55" s="141" t="n">
        <v>5</v>
      </c>
      <c r="G55" s="144" t="n">
        <v>11</v>
      </c>
      <c r="H55" s="144" t="n">
        <v>11</v>
      </c>
      <c r="I55" s="141" t="inlineStr">
        <is>
          <t>MANIGUA</t>
        </is>
      </c>
      <c r="J55" s="144" t="inlineStr">
        <is>
          <t>CARGUEROS</t>
        </is>
      </c>
      <c r="K55" s="113" t="n"/>
      <c r="L55" s="113" t="n"/>
      <c r="M55" s="113" t="n"/>
      <c r="N55" s="113" t="n"/>
      <c r="O55" s="113" t="n"/>
    </row>
    <row r="56" ht="15.75" customHeight="1">
      <c r="A56" s="133" t="n"/>
      <c r="B56" s="139" t="n"/>
      <c r="C56" s="140" t="n">
        <v>45754</v>
      </c>
      <c r="D56" s="141" t="inlineStr">
        <is>
          <t>SAN JOSE</t>
        </is>
      </c>
      <c r="E56" s="142" t="n">
        <v>0.2708333333333333</v>
      </c>
      <c r="F56" s="141" t="n">
        <v>4</v>
      </c>
      <c r="G56" s="144" t="n"/>
      <c r="H56" s="144" t="n"/>
      <c r="I56" s="141" t="inlineStr">
        <is>
          <t>MANIGUA</t>
        </is>
      </c>
      <c r="J56" s="144" t="inlineStr">
        <is>
          <t>CARGUEROS</t>
        </is>
      </c>
      <c r="K56" s="113" t="n"/>
      <c r="L56" s="113" t="n"/>
      <c r="M56" s="113" t="n"/>
      <c r="N56" s="113" t="n"/>
      <c r="O56" s="113" t="n"/>
    </row>
    <row r="57" ht="15.75" customHeight="1">
      <c r="A57" s="133" t="n"/>
      <c r="B57" s="139" t="n">
        <v>7</v>
      </c>
      <c r="C57" s="140" t="n">
        <v>45755</v>
      </c>
      <c r="D57" s="141" t="inlineStr">
        <is>
          <t>GARCERAS</t>
        </is>
      </c>
      <c r="E57" s="142" t="n">
        <v>0.02083333333333333</v>
      </c>
      <c r="F57" s="141" t="n">
        <v>3</v>
      </c>
      <c r="G57" s="144" t="n">
        <v>11</v>
      </c>
      <c r="H57" s="144" t="n">
        <v>11</v>
      </c>
      <c r="I57" s="141" t="inlineStr">
        <is>
          <t>MANIGUA</t>
        </is>
      </c>
      <c r="J57" s="144" t="inlineStr">
        <is>
          <t>CARGUEROS</t>
        </is>
      </c>
      <c r="K57" s="113" t="n"/>
      <c r="L57" s="113" t="n"/>
      <c r="M57" s="113" t="n"/>
      <c r="N57" s="113" t="n"/>
      <c r="O57" s="113" t="n"/>
    </row>
    <row r="58" ht="15.75" customHeight="1">
      <c r="A58" s="133" t="n"/>
      <c r="B58" s="139" t="n"/>
      <c r="C58" s="140" t="n">
        <v>45755</v>
      </c>
      <c r="D58" s="141" t="inlineStr">
        <is>
          <t>MALAGUEÑA</t>
        </is>
      </c>
      <c r="E58" s="142" t="n">
        <v>0.1041666666666667</v>
      </c>
      <c r="F58" s="141" t="n">
        <v>3</v>
      </c>
      <c r="G58" s="144" t="n">
        <v>11</v>
      </c>
      <c r="H58" s="144" t="n">
        <v>11</v>
      </c>
      <c r="I58" s="141" t="inlineStr">
        <is>
          <t>MANIGUA</t>
        </is>
      </c>
      <c r="J58" s="144" t="inlineStr">
        <is>
          <t>ABONEROS</t>
        </is>
      </c>
      <c r="K58" s="113" t="n"/>
      <c r="L58" s="113" t="n"/>
      <c r="M58" s="113" t="n"/>
      <c r="N58" s="113" t="n"/>
      <c r="O58" s="113" t="n"/>
    </row>
    <row r="59" ht="15.75" customHeight="1">
      <c r="A59" s="133" t="n"/>
      <c r="B59" s="139" t="n"/>
      <c r="C59" s="140" t="n">
        <v>45755</v>
      </c>
      <c r="D59" s="141" t="inlineStr">
        <is>
          <t>SAN JOSE</t>
        </is>
      </c>
      <c r="E59" s="142" t="n">
        <v>0.2291666666666667</v>
      </c>
      <c r="F59" s="141" t="n">
        <v>8</v>
      </c>
      <c r="G59" s="144" t="n">
        <v>11</v>
      </c>
      <c r="H59" s="144" t="n"/>
      <c r="I59" s="141" t="inlineStr">
        <is>
          <t>MANIGUA</t>
        </is>
      </c>
      <c r="J59" s="144" t="inlineStr">
        <is>
          <t>CARGUEROS</t>
        </is>
      </c>
      <c r="K59" s="113" t="n"/>
      <c r="L59" s="113" t="n"/>
      <c r="M59" s="113" t="n"/>
      <c r="N59" s="113" t="n"/>
      <c r="O59" s="113" t="n"/>
    </row>
    <row r="60" ht="15.75" customHeight="1">
      <c r="A60" s="133" t="n"/>
      <c r="B60" s="139" t="n">
        <v>8</v>
      </c>
      <c r="C60" s="140" t="n">
        <v>45757</v>
      </c>
      <c r="D60" s="141" t="inlineStr">
        <is>
          <t>MALAGUEÑA</t>
        </is>
      </c>
      <c r="E60" s="142" t="n">
        <v>0.0625</v>
      </c>
      <c r="F60" s="141" t="n">
        <v>3</v>
      </c>
      <c r="G60" s="144" t="n">
        <v>11</v>
      </c>
      <c r="H60" s="144" t="n">
        <v>11</v>
      </c>
      <c r="I60" s="141" t="inlineStr">
        <is>
          <t>MANIGUA</t>
        </is>
      </c>
      <c r="J60" s="144" t="inlineStr">
        <is>
          <t>ABONEROS</t>
        </is>
      </c>
      <c r="K60" s="113" t="n"/>
      <c r="L60" s="113" t="n"/>
      <c r="M60" s="113" t="n"/>
      <c r="N60" s="113" t="n"/>
      <c r="O60" s="113" t="n"/>
    </row>
    <row r="61" ht="15.75" customHeight="1">
      <c r="A61" s="133" t="n"/>
      <c r="B61" s="139" t="n"/>
      <c r="C61" s="140" t="n">
        <v>45757</v>
      </c>
      <c r="D61" s="141" t="inlineStr">
        <is>
          <t>GARCERAS</t>
        </is>
      </c>
      <c r="E61" s="142" t="n">
        <v>0.9583333333333334</v>
      </c>
      <c r="F61" s="141" t="n">
        <v>6</v>
      </c>
      <c r="G61" s="144" t="n">
        <v>11</v>
      </c>
      <c r="H61" s="144" t="n">
        <v>11</v>
      </c>
      <c r="I61" s="141" t="inlineStr">
        <is>
          <t>MANIGUA</t>
        </is>
      </c>
      <c r="J61" s="144" t="inlineStr">
        <is>
          <t>CARGUEROS</t>
        </is>
      </c>
      <c r="K61" s="113" t="n"/>
      <c r="L61" s="113" t="n"/>
      <c r="M61" s="113" t="n"/>
      <c r="N61" s="113" t="n"/>
      <c r="O61" s="113" t="n"/>
    </row>
    <row r="62" ht="15.75" customHeight="1">
      <c r="A62" s="133" t="n"/>
      <c r="B62" s="139" t="n">
        <v>9</v>
      </c>
      <c r="C62" s="140" t="n">
        <v>45758</v>
      </c>
      <c r="D62" s="141" t="inlineStr">
        <is>
          <t>GARCERAS</t>
        </is>
      </c>
      <c r="E62" s="142" t="n">
        <v>0.9375</v>
      </c>
      <c r="F62" s="141" t="n">
        <v>10</v>
      </c>
      <c r="G62" s="144" t="n">
        <v>11</v>
      </c>
      <c r="H62" s="144" t="n">
        <v>11</v>
      </c>
      <c r="I62" s="141" t="inlineStr">
        <is>
          <t>MANIGUA</t>
        </is>
      </c>
      <c r="J62" s="144" t="inlineStr">
        <is>
          <t>CARGUEROS</t>
        </is>
      </c>
      <c r="K62" s="113" t="n"/>
      <c r="L62" s="113" t="n"/>
      <c r="M62" s="113" t="n"/>
      <c r="N62" s="113" t="n"/>
      <c r="O62" s="113" t="n"/>
    </row>
    <row r="63" ht="15.75" customHeight="1">
      <c r="A63" s="133" t="n"/>
      <c r="B63" s="139" t="n"/>
      <c r="C63" s="140" t="n">
        <v>45758</v>
      </c>
      <c r="D63" s="141" t="inlineStr">
        <is>
          <t>MALAGUEÑA</t>
        </is>
      </c>
      <c r="E63" s="142" t="n">
        <v>0.2708333333333333</v>
      </c>
      <c r="F63" s="141" t="n">
        <v>6</v>
      </c>
      <c r="G63" s="144" t="n">
        <v>11</v>
      </c>
      <c r="H63" s="144" t="n">
        <v>11</v>
      </c>
      <c r="I63" s="141" t="inlineStr">
        <is>
          <t>MANIGUA</t>
        </is>
      </c>
      <c r="J63" s="144" t="inlineStr">
        <is>
          <t>ABONEROS</t>
        </is>
      </c>
      <c r="K63" s="113" t="n"/>
      <c r="L63" s="113" t="n"/>
      <c r="M63" s="113" t="n"/>
      <c r="N63" s="113" t="n"/>
      <c r="O63" s="113" t="n"/>
    </row>
    <row r="64" ht="15.75" customHeight="1">
      <c r="A64" s="133" t="n"/>
      <c r="B64" s="139" t="n">
        <v>10</v>
      </c>
      <c r="C64" s="140" t="n">
        <v>45759</v>
      </c>
      <c r="D64" s="141" t="inlineStr">
        <is>
          <t>GARCERAS</t>
        </is>
      </c>
      <c r="E64" s="142" t="n">
        <v>0.9791666666666666</v>
      </c>
      <c r="F64" s="141" t="n">
        <v>1</v>
      </c>
      <c r="G64" s="144" t="n">
        <v>11</v>
      </c>
      <c r="H64" s="144" t="n">
        <v>11</v>
      </c>
      <c r="I64" s="141" t="inlineStr">
        <is>
          <t>MANIGUA</t>
        </is>
      </c>
      <c r="J64" s="144" t="inlineStr">
        <is>
          <t>CARGUEROS</t>
        </is>
      </c>
      <c r="K64" s="113" t="n"/>
      <c r="L64" s="113" t="n"/>
      <c r="M64" s="113" t="n"/>
      <c r="N64" s="113" t="n"/>
      <c r="O64" s="113" t="n"/>
    </row>
    <row r="65" ht="15.75" customHeight="1">
      <c r="A65" s="133" t="n"/>
      <c r="B65" s="139" t="n"/>
      <c r="C65" s="140" t="n">
        <v>45759</v>
      </c>
      <c r="D65" s="141" t="inlineStr">
        <is>
          <t>MALAGUEÑA</t>
        </is>
      </c>
      <c r="E65" s="142" t="n">
        <v>0.1666666666666667</v>
      </c>
      <c r="F65" s="141" t="n">
        <v>5</v>
      </c>
      <c r="G65" s="144" t="n">
        <v>11</v>
      </c>
      <c r="H65" s="144" t="n">
        <v>11</v>
      </c>
      <c r="I65" s="141" t="inlineStr">
        <is>
          <t>MANIGUA</t>
        </is>
      </c>
      <c r="J65" s="144" t="inlineStr">
        <is>
          <t>ABONEROS</t>
        </is>
      </c>
      <c r="K65" s="113" t="n"/>
      <c r="L65" s="113" t="n"/>
      <c r="M65" s="113" t="n"/>
      <c r="N65" s="113" t="n"/>
      <c r="O65" s="113" t="n"/>
    </row>
    <row r="66" ht="15.75" customHeight="1">
      <c r="A66" s="133" t="n"/>
      <c r="B66" s="139" t="n">
        <v>11</v>
      </c>
      <c r="C66" s="140" t="n">
        <v>45760</v>
      </c>
      <c r="D66" s="141" t="inlineStr">
        <is>
          <t>MALAGUEÑA</t>
        </is>
      </c>
      <c r="E66" s="142" t="n">
        <v>0.0625</v>
      </c>
      <c r="F66" s="141" t="n">
        <v>7</v>
      </c>
      <c r="G66" s="144" t="n">
        <v>11</v>
      </c>
      <c r="H66" s="144" t="n">
        <v>11</v>
      </c>
      <c r="I66" s="141" t="inlineStr">
        <is>
          <t>MANIGUA</t>
        </is>
      </c>
      <c r="J66" s="144" t="inlineStr">
        <is>
          <t>CARGUEROS</t>
        </is>
      </c>
      <c r="K66" s="113" t="n"/>
      <c r="L66" s="113" t="n"/>
      <c r="M66" s="113" t="n"/>
      <c r="N66" s="113" t="n"/>
      <c r="O66" s="113" t="n"/>
    </row>
    <row r="67" ht="15.75" customHeight="1">
      <c r="A67" s="133" t="n"/>
      <c r="B67" s="139" t="n">
        <v>12</v>
      </c>
      <c r="C67" s="140" t="n">
        <v>45761</v>
      </c>
      <c r="D67" s="141" t="inlineStr">
        <is>
          <t>GARCERAS</t>
        </is>
      </c>
      <c r="E67" s="142" t="n">
        <v>0.9791666666666666</v>
      </c>
      <c r="F67" s="141" t="n">
        <v>9</v>
      </c>
      <c r="G67" s="144" t="n">
        <v>11</v>
      </c>
      <c r="H67" s="144" t="n">
        <v>11</v>
      </c>
      <c r="I67" s="141" t="inlineStr">
        <is>
          <t>MANIGUA</t>
        </is>
      </c>
      <c r="J67" s="144" t="inlineStr">
        <is>
          <t>CARGUEROS</t>
        </is>
      </c>
      <c r="K67" s="113" t="n"/>
      <c r="L67" s="113" t="n"/>
      <c r="M67" s="113" t="n"/>
      <c r="N67" s="113" t="n"/>
      <c r="O67" s="113" t="n"/>
    </row>
    <row r="68" ht="15.75" customHeight="1">
      <c r="A68" s="133" t="n"/>
      <c r="B68" s="139" t="n"/>
      <c r="C68" s="140" t="n">
        <v>45761</v>
      </c>
      <c r="D68" s="141" t="inlineStr">
        <is>
          <t>MALAGUEÑA</t>
        </is>
      </c>
      <c r="E68" s="142" t="n">
        <v>0.4375</v>
      </c>
      <c r="F68" s="141" t="n">
        <v>4</v>
      </c>
      <c r="G68" s="144" t="n">
        <v>11</v>
      </c>
      <c r="H68" s="144" t="n">
        <v>11</v>
      </c>
      <c r="I68" s="141" t="inlineStr">
        <is>
          <t>MANIGUA</t>
        </is>
      </c>
      <c r="J68" s="144" t="inlineStr">
        <is>
          <t>ABONEROS</t>
        </is>
      </c>
      <c r="K68" s="113" t="n"/>
      <c r="L68" s="113" t="n"/>
      <c r="M68" s="113" t="n"/>
      <c r="N68" s="113" t="n"/>
      <c r="O68" s="113" t="n"/>
    </row>
    <row r="69" ht="15.75" customHeight="1">
      <c r="A69" s="133" t="n"/>
      <c r="B69" s="139" t="n">
        <v>13</v>
      </c>
      <c r="C69" s="140" t="n">
        <v>45762</v>
      </c>
      <c r="D69" s="141" t="inlineStr">
        <is>
          <t>MALAGUEÑA</t>
        </is>
      </c>
      <c r="E69" s="142" t="n">
        <v>0.9791666666666666</v>
      </c>
      <c r="F69" s="141" t="n">
        <v>7</v>
      </c>
      <c r="G69" s="144" t="n">
        <v>11</v>
      </c>
      <c r="H69" s="144" t="n">
        <v>11</v>
      </c>
      <c r="I69" s="141" t="inlineStr">
        <is>
          <t>MANIGUA</t>
        </is>
      </c>
      <c r="J69" s="144" t="inlineStr">
        <is>
          <t>CARGUEROS</t>
        </is>
      </c>
      <c r="K69" s="113" t="n"/>
      <c r="L69" s="113" t="n"/>
      <c r="M69" s="113" t="n"/>
      <c r="N69" s="113" t="n"/>
      <c r="O69" s="113" t="n"/>
    </row>
    <row r="70" ht="15.75" customHeight="1">
      <c r="A70" s="133" t="n"/>
      <c r="B70" s="139" t="n"/>
      <c r="C70" s="140" t="n">
        <v>45762</v>
      </c>
      <c r="D70" s="141" t="inlineStr">
        <is>
          <t>GARCERAS</t>
        </is>
      </c>
      <c r="E70" s="142" t="n">
        <v>0.3333333333333333</v>
      </c>
      <c r="F70" s="141" t="n">
        <v>3</v>
      </c>
      <c r="G70" s="144" t="n"/>
      <c r="H70" s="144" t="n"/>
      <c r="I70" s="141" t="inlineStr">
        <is>
          <t>MANIGUA</t>
        </is>
      </c>
      <c r="J70" s="144" t="inlineStr">
        <is>
          <t>CARGUEROS</t>
        </is>
      </c>
      <c r="K70" s="113" t="n"/>
      <c r="L70" s="113" t="n"/>
      <c r="M70" s="113" t="n"/>
      <c r="N70" s="113" t="n"/>
      <c r="O70" s="113" t="n"/>
    </row>
    <row r="71" ht="15.75" customHeight="1">
      <c r="A71" s="133" t="n"/>
      <c r="B71" s="139" t="n"/>
      <c r="C71" s="140" t="n">
        <v>45762</v>
      </c>
      <c r="D71" s="141" t="inlineStr">
        <is>
          <t>SAN JOSE</t>
        </is>
      </c>
      <c r="E71" s="142" t="n">
        <v>0.3958333333333333</v>
      </c>
      <c r="F71" s="141" t="n">
        <v>7</v>
      </c>
      <c r="G71" s="144" t="n">
        <v>11</v>
      </c>
      <c r="H71" s="144" t="n">
        <v>11</v>
      </c>
      <c r="I71" s="141" t="inlineStr">
        <is>
          <t>MANIGUA</t>
        </is>
      </c>
      <c r="J71" s="144" t="inlineStr">
        <is>
          <t>ABONEROS</t>
        </is>
      </c>
      <c r="K71" s="113" t="n"/>
      <c r="L71" s="113" t="n"/>
      <c r="M71" s="113" t="n"/>
      <c r="N71" s="113" t="n"/>
      <c r="O71" s="113" t="n"/>
    </row>
    <row r="72" ht="15.75" customHeight="1">
      <c r="A72" s="133" t="n"/>
      <c r="B72" s="139" t="n">
        <v>14</v>
      </c>
      <c r="C72" s="140" t="n">
        <v>45763</v>
      </c>
      <c r="D72" s="144" t="inlineStr">
        <is>
          <t>MALAGUEÑA</t>
        </is>
      </c>
      <c r="E72" s="142" t="n">
        <v>0.02083333333333333</v>
      </c>
      <c r="F72" s="144" t="n">
        <v>9</v>
      </c>
      <c r="G72" s="144" t="n">
        <v>11</v>
      </c>
      <c r="H72" s="144" t="n">
        <v>11</v>
      </c>
      <c r="I72" s="144" t="inlineStr">
        <is>
          <t>MANIGUA</t>
        </is>
      </c>
      <c r="J72" s="144" t="inlineStr">
        <is>
          <t>CARGUEROS</t>
        </is>
      </c>
      <c r="K72" s="113" t="n"/>
      <c r="L72" s="113" t="n"/>
      <c r="M72" s="113" t="n"/>
      <c r="N72" s="113" t="n"/>
      <c r="O72" s="113" t="n"/>
    </row>
    <row r="73" ht="15.75" customHeight="1">
      <c r="A73" s="133" t="n"/>
      <c r="B73" s="139" t="n"/>
      <c r="C73" s="140" t="n">
        <v>45763</v>
      </c>
      <c r="D73" s="144" t="inlineStr">
        <is>
          <t>SAN JOSE</t>
        </is>
      </c>
      <c r="E73" s="142" t="n">
        <v>0.2916666666666667</v>
      </c>
      <c r="F73" s="144" t="n">
        <v>9</v>
      </c>
      <c r="G73" s="144" t="n">
        <v>11</v>
      </c>
      <c r="H73" s="144" t="n">
        <v>11</v>
      </c>
      <c r="I73" s="144" t="inlineStr">
        <is>
          <t>MANIGUA</t>
        </is>
      </c>
      <c r="J73" s="144" t="inlineStr">
        <is>
          <t>ABONEROS</t>
        </is>
      </c>
      <c r="K73" s="113" t="n"/>
      <c r="L73" s="113" t="n"/>
      <c r="M73" s="113" t="n"/>
      <c r="N73" s="113" t="n"/>
      <c r="O73" s="113" t="n"/>
    </row>
    <row r="74" ht="15.75" customHeight="1">
      <c r="A74" s="133" t="n"/>
      <c r="B74" s="139" t="n">
        <v>15</v>
      </c>
      <c r="C74" s="140" t="n">
        <v>45766</v>
      </c>
      <c r="D74" s="144" t="inlineStr">
        <is>
          <t>MALAGUEÑA</t>
        </is>
      </c>
      <c r="E74" s="142" t="n">
        <v>0.1458333333333333</v>
      </c>
      <c r="F74" s="144" t="n">
        <v>9</v>
      </c>
      <c r="G74" s="144" t="n">
        <v>11</v>
      </c>
      <c r="H74" s="144" t="n">
        <v>11</v>
      </c>
      <c r="I74" s="144" t="inlineStr">
        <is>
          <t>MANIGUA</t>
        </is>
      </c>
      <c r="J74" s="144" t="inlineStr">
        <is>
          <t>CARGUEROS</t>
        </is>
      </c>
      <c r="K74" s="113" t="n"/>
      <c r="L74" s="113" t="n"/>
      <c r="M74" s="113" t="n"/>
      <c r="N74" s="113" t="n"/>
      <c r="O74" s="113" t="n"/>
    </row>
    <row r="75" ht="15.75" customHeight="1">
      <c r="A75" s="133" t="n"/>
      <c r="B75" s="139" t="n"/>
      <c r="C75" s="140" t="n">
        <v>45766</v>
      </c>
      <c r="D75" s="144" t="inlineStr">
        <is>
          <t>SAN JOSE</t>
        </is>
      </c>
      <c r="E75" s="142" t="n"/>
      <c r="F75" s="144" t="n">
        <v>1</v>
      </c>
      <c r="G75" s="144" t="n">
        <v>11</v>
      </c>
      <c r="H75" s="144" t="n"/>
      <c r="I75" s="144" t="inlineStr">
        <is>
          <t>MANIGUA</t>
        </is>
      </c>
      <c r="J75" s="144" t="inlineStr">
        <is>
          <t>CARGUEROS</t>
        </is>
      </c>
      <c r="K75" s="113" t="n"/>
      <c r="L75" s="113" t="n"/>
      <c r="M75" s="113" t="n"/>
      <c r="N75" s="113" t="n"/>
      <c r="O75" s="113" t="n"/>
    </row>
    <row r="76" ht="15.75" customHeight="1">
      <c r="A76" s="133" t="n"/>
      <c r="B76" s="139" t="n">
        <v>16</v>
      </c>
      <c r="C76" s="140" t="n">
        <v>45768</v>
      </c>
      <c r="D76" s="144" t="inlineStr">
        <is>
          <t>SAN JOSE</t>
        </is>
      </c>
      <c r="E76" s="142" t="n">
        <v>0.1458333333333333</v>
      </c>
      <c r="F76" s="144" t="n">
        <v>6</v>
      </c>
      <c r="G76" s="144" t="n">
        <v>11</v>
      </c>
      <c r="H76" s="144" t="n">
        <v>11</v>
      </c>
      <c r="I76" s="144" t="inlineStr">
        <is>
          <t>MANIGUA</t>
        </is>
      </c>
      <c r="J76" s="144" t="inlineStr">
        <is>
          <t>CARGUEROS</t>
        </is>
      </c>
      <c r="K76" s="113" t="n"/>
      <c r="L76" s="113" t="n"/>
      <c r="M76" s="113" t="n"/>
      <c r="N76" s="113" t="n"/>
      <c r="O76" s="113" t="n"/>
    </row>
    <row r="77" ht="15.75" customHeight="1">
      <c r="A77" s="133" t="n"/>
      <c r="B77" s="139" t="n"/>
      <c r="C77" s="140" t="n">
        <v>45768</v>
      </c>
      <c r="D77" s="144" t="inlineStr">
        <is>
          <t>MALAGUEÑA</t>
        </is>
      </c>
      <c r="E77" s="142" t="n">
        <v>0.125</v>
      </c>
      <c r="F77" s="144" t="n">
        <v>1</v>
      </c>
      <c r="G77" s="144" t="n">
        <v>11</v>
      </c>
      <c r="H77" s="144" t="n">
        <v>11</v>
      </c>
      <c r="I77" s="144" t="inlineStr">
        <is>
          <t>MANIGUA</t>
        </is>
      </c>
      <c r="J77" s="144" t="inlineStr">
        <is>
          <t>ABONEROS</t>
        </is>
      </c>
      <c r="K77" s="113" t="n"/>
      <c r="L77" s="113" t="n"/>
      <c r="M77" s="113" t="n"/>
      <c r="N77" s="113" t="n"/>
      <c r="O77" s="113" t="n"/>
    </row>
    <row r="78" ht="15.75" customHeight="1">
      <c r="A78" s="133" t="n"/>
      <c r="B78" s="139" t="n">
        <v>17</v>
      </c>
      <c r="C78" s="140" t="n">
        <v>45769</v>
      </c>
      <c r="D78" s="144" t="inlineStr">
        <is>
          <t>SAN JOSE</t>
        </is>
      </c>
      <c r="E78" s="142" t="n">
        <v>0.3125</v>
      </c>
      <c r="F78" s="144" t="n">
        <v>4</v>
      </c>
      <c r="G78" s="144" t="n">
        <v>11</v>
      </c>
      <c r="H78" s="144" t="n">
        <v>11</v>
      </c>
      <c r="I78" s="144" t="inlineStr">
        <is>
          <t>MANIGUA</t>
        </is>
      </c>
      <c r="J78" s="144" t="inlineStr">
        <is>
          <t>CARGUEROS</t>
        </is>
      </c>
      <c r="K78" s="113" t="n"/>
      <c r="L78" s="113" t="n"/>
      <c r="M78" s="113" t="n"/>
      <c r="N78" s="113" t="n"/>
      <c r="O78" s="113" t="n"/>
    </row>
    <row r="79" ht="15.75" customHeight="1">
      <c r="A79" s="133" t="n"/>
      <c r="B79" s="139" t="n">
        <v>18</v>
      </c>
      <c r="C79" s="140" t="n">
        <v>45770</v>
      </c>
      <c r="D79" s="144" t="inlineStr">
        <is>
          <t>SAN JOSE</t>
        </is>
      </c>
      <c r="E79" s="142" t="n">
        <v>0.125</v>
      </c>
      <c r="F79" s="144" t="n">
        <v>4</v>
      </c>
      <c r="G79" s="144" t="n">
        <v>11</v>
      </c>
      <c r="H79" s="144" t="n">
        <v>11</v>
      </c>
      <c r="I79" s="144" t="inlineStr">
        <is>
          <t>MANIGUA</t>
        </is>
      </c>
      <c r="J79" s="144" t="inlineStr">
        <is>
          <t>CARGUEROS</t>
        </is>
      </c>
      <c r="K79" s="113" t="n"/>
      <c r="L79" s="113" t="n"/>
      <c r="M79" s="113" t="n"/>
      <c r="N79" s="113" t="n"/>
      <c r="O79" s="113" t="n"/>
    </row>
    <row r="80" ht="15.75" customHeight="1">
      <c r="A80" s="133" t="n"/>
      <c r="B80" s="139" t="n">
        <v>19</v>
      </c>
      <c r="C80" s="140" t="n">
        <v>45771</v>
      </c>
      <c r="D80" s="144" t="inlineStr">
        <is>
          <t>MALAGUEÑA</t>
        </is>
      </c>
      <c r="E80" s="142" t="n">
        <v>0.0625</v>
      </c>
      <c r="F80" s="144" t="n">
        <v>8</v>
      </c>
      <c r="G80" s="144" t="n">
        <v>11</v>
      </c>
      <c r="H80" s="144" t="n">
        <v>11</v>
      </c>
      <c r="I80" s="144" t="inlineStr">
        <is>
          <t>MANIGUA</t>
        </is>
      </c>
      <c r="J80" s="144" t="inlineStr">
        <is>
          <t>CARGUEROS</t>
        </is>
      </c>
      <c r="K80" s="113" t="n"/>
      <c r="L80" s="113" t="n"/>
      <c r="M80" s="113" t="n"/>
      <c r="N80" s="113" t="n"/>
      <c r="O80" s="113" t="n"/>
    </row>
    <row r="81" ht="15.75" customHeight="1">
      <c r="A81" s="133" t="n"/>
      <c r="B81" s="139" t="n"/>
      <c r="C81" s="140" t="n">
        <v>45771</v>
      </c>
      <c r="D81" s="144" t="inlineStr">
        <is>
          <t>MALAGUEÑA</t>
        </is>
      </c>
      <c r="E81" s="142" t="n">
        <v>0.0625</v>
      </c>
      <c r="F81" s="144" t="n">
        <v>7</v>
      </c>
      <c r="G81" s="144" t="n">
        <v>11</v>
      </c>
      <c r="H81" s="144" t="n">
        <v>11</v>
      </c>
      <c r="I81" s="144" t="inlineStr">
        <is>
          <t>MANIGUA</t>
        </is>
      </c>
      <c r="J81" s="144" t="inlineStr">
        <is>
          <t>ABONEROS</t>
        </is>
      </c>
      <c r="K81" s="113" t="n"/>
      <c r="L81" s="113" t="n"/>
      <c r="M81" s="113" t="n"/>
      <c r="N81" s="113" t="n"/>
      <c r="O81" s="113" t="n"/>
    </row>
    <row r="82" ht="15.75" customHeight="1">
      <c r="A82" s="133" t="n"/>
      <c r="B82" s="139" t="n">
        <v>20</v>
      </c>
      <c r="C82" s="140" t="n">
        <v>45772</v>
      </c>
      <c r="D82" s="144" t="inlineStr">
        <is>
          <t>SAN JOSE</t>
        </is>
      </c>
      <c r="E82" s="142" t="n">
        <v>0.9375</v>
      </c>
      <c r="F82" s="144" t="n">
        <v>9</v>
      </c>
      <c r="G82" s="144" t="n">
        <v>11</v>
      </c>
      <c r="H82" s="144" t="n">
        <v>11</v>
      </c>
      <c r="I82" s="144" t="inlineStr">
        <is>
          <t>MANIGUA</t>
        </is>
      </c>
      <c r="J82" s="144" t="inlineStr">
        <is>
          <t>CARGUEROS</t>
        </is>
      </c>
      <c r="K82" s="113" t="n"/>
      <c r="L82" s="113" t="n"/>
      <c r="M82" s="113" t="n"/>
      <c r="N82" s="113" t="n"/>
      <c r="O82" s="113" t="n"/>
    </row>
    <row r="83" ht="15.75" customHeight="1">
      <c r="A83" s="133" t="n"/>
      <c r="B83" s="139" t="n">
        <v>21</v>
      </c>
      <c r="C83" s="140" t="n">
        <v>45773</v>
      </c>
      <c r="D83" s="144" t="inlineStr">
        <is>
          <t>MALAGUEÑA</t>
        </is>
      </c>
      <c r="E83" s="142" t="n">
        <v>0.4791666666666667</v>
      </c>
      <c r="F83" s="144" t="n">
        <v>5</v>
      </c>
      <c r="G83" s="144" t="n">
        <v>11</v>
      </c>
      <c r="H83" s="144" t="n">
        <v>11</v>
      </c>
      <c r="I83" s="144" t="inlineStr">
        <is>
          <t>MANIGUA</t>
        </is>
      </c>
      <c r="J83" s="144" t="inlineStr">
        <is>
          <t>CARGUEROS</t>
        </is>
      </c>
      <c r="K83" s="113" t="n"/>
      <c r="L83" s="113" t="n"/>
      <c r="M83" s="113" t="n"/>
      <c r="N83" s="113" t="n"/>
      <c r="O83" s="113" t="n"/>
    </row>
    <row r="84" ht="15.75" customHeight="1">
      <c r="A84" s="133" t="n"/>
      <c r="B84" s="139" t="n"/>
      <c r="C84" s="140" t="n">
        <v>45773</v>
      </c>
      <c r="D84" s="144" t="inlineStr">
        <is>
          <t>SAN JOSE</t>
        </is>
      </c>
      <c r="E84" s="142" t="n">
        <v>0.25</v>
      </c>
      <c r="F84" s="144" t="n">
        <v>4</v>
      </c>
      <c r="G84" s="144" t="n">
        <v>11</v>
      </c>
      <c r="H84" s="144" t="n"/>
      <c r="I84" s="144" t="inlineStr">
        <is>
          <t>MANIGUA</t>
        </is>
      </c>
      <c r="J84" s="144" t="inlineStr">
        <is>
          <t>CARGUEROS</t>
        </is>
      </c>
      <c r="K84" s="113" t="n"/>
      <c r="L84" s="113" t="n"/>
      <c r="M84" s="113" t="n"/>
      <c r="N84" s="113" t="n"/>
      <c r="O84" s="113" t="n"/>
    </row>
    <row r="85" ht="15.75" customHeight="1">
      <c r="A85" s="133" t="n"/>
      <c r="B85" s="139" t="n">
        <v>22</v>
      </c>
      <c r="C85" s="140" t="n">
        <v>45775</v>
      </c>
      <c r="D85" s="144" t="inlineStr">
        <is>
          <t>MALAGUEÑA</t>
        </is>
      </c>
      <c r="E85" s="142" t="n">
        <v>0.9375</v>
      </c>
      <c r="F85" s="144" t="n">
        <v>6</v>
      </c>
      <c r="G85" s="144" t="n">
        <v>11</v>
      </c>
      <c r="H85" s="144" t="n">
        <v>11</v>
      </c>
      <c r="I85" s="144" t="inlineStr">
        <is>
          <t>MANIGUA</t>
        </is>
      </c>
      <c r="J85" s="144" t="inlineStr">
        <is>
          <t>CARGUEROS</t>
        </is>
      </c>
      <c r="K85" s="113" t="n"/>
      <c r="L85" s="113" t="n"/>
      <c r="M85" s="113" t="n"/>
      <c r="N85" s="113" t="n"/>
      <c r="O85" s="113" t="n"/>
    </row>
    <row r="86" ht="15.75" customHeight="1">
      <c r="A86" s="133" t="n"/>
      <c r="B86" s="139" t="n"/>
      <c r="C86" s="140" t="n">
        <v>45775</v>
      </c>
      <c r="D86" s="144" t="inlineStr">
        <is>
          <t>MALAGUEÑA</t>
        </is>
      </c>
      <c r="E86" s="144" t="n"/>
      <c r="F86" s="144" t="n">
        <v>2</v>
      </c>
      <c r="G86" s="144" t="n">
        <v>11</v>
      </c>
      <c r="H86" s="144" t="n">
        <v>11</v>
      </c>
      <c r="I86" s="144" t="inlineStr">
        <is>
          <t>MANIGUA</t>
        </is>
      </c>
      <c r="J86" s="144" t="inlineStr">
        <is>
          <t>ABONEROS</t>
        </is>
      </c>
      <c r="K86" s="113" t="n"/>
      <c r="L86" s="113" t="n"/>
      <c r="M86" s="113" t="n"/>
      <c r="N86" s="113" t="n"/>
      <c r="O86" s="113" t="n"/>
    </row>
    <row r="87" ht="15.75" customHeight="1">
      <c r="A87" s="133" t="n"/>
      <c r="B87" s="139" t="n"/>
      <c r="C87" s="140" t="n">
        <v>45775</v>
      </c>
      <c r="D87" s="144" t="inlineStr">
        <is>
          <t>SAN JOSE</t>
        </is>
      </c>
      <c r="E87" s="142" t="n">
        <v>0.2291666666666667</v>
      </c>
      <c r="F87" s="144" t="n">
        <v>2</v>
      </c>
      <c r="G87" s="144" t="n">
        <v>11</v>
      </c>
      <c r="H87" s="144" t="n"/>
      <c r="I87" s="144" t="inlineStr">
        <is>
          <t>MANIGUA</t>
        </is>
      </c>
      <c r="J87" s="144" t="inlineStr">
        <is>
          <t>CARGUEROS</t>
        </is>
      </c>
      <c r="K87" s="113" t="n"/>
      <c r="L87" s="113" t="n"/>
      <c r="M87" s="113" t="n"/>
      <c r="N87" s="113" t="n"/>
      <c r="O87" s="113" t="n"/>
    </row>
    <row r="88" ht="15.75" customHeight="1">
      <c r="A88" s="133" t="n"/>
      <c r="B88" s="139" t="n">
        <v>23</v>
      </c>
      <c r="C88" s="140" t="n">
        <v>45776</v>
      </c>
      <c r="D88" s="144" t="inlineStr">
        <is>
          <t>SAN JOSE</t>
        </is>
      </c>
      <c r="E88" s="142" t="n">
        <v>0.08333333333333333</v>
      </c>
      <c r="F88" s="144" t="n">
        <v>8</v>
      </c>
      <c r="G88" s="144" t="n">
        <v>11</v>
      </c>
      <c r="H88" s="144" t="n">
        <v>11</v>
      </c>
      <c r="I88" s="144" t="inlineStr">
        <is>
          <t>MANIGUA</t>
        </is>
      </c>
      <c r="J88" s="144" t="inlineStr">
        <is>
          <t>CARGUEROS</t>
        </is>
      </c>
      <c r="K88" s="113" t="n"/>
      <c r="L88" s="113" t="n"/>
      <c r="M88" s="113" t="n"/>
      <c r="N88" s="113" t="n"/>
      <c r="O88" s="113" t="n"/>
    </row>
    <row r="89" ht="15.75" customHeight="1">
      <c r="A89" s="133" t="n"/>
      <c r="B89" s="139" t="n">
        <v>24</v>
      </c>
      <c r="C89" s="140" t="n">
        <v>45777</v>
      </c>
      <c r="D89" s="144" t="inlineStr">
        <is>
          <t>SAN JOSE</t>
        </is>
      </c>
      <c r="E89" s="142" t="n">
        <v>0.1875</v>
      </c>
      <c r="F89" s="144" t="n">
        <v>8</v>
      </c>
      <c r="G89" s="144" t="n">
        <v>11</v>
      </c>
      <c r="H89" s="144" t="n">
        <v>11</v>
      </c>
      <c r="I89" s="144" t="inlineStr">
        <is>
          <t>MANIGUA</t>
        </is>
      </c>
      <c r="J89" s="144" t="inlineStr">
        <is>
          <t>CARGUEROS</t>
        </is>
      </c>
      <c r="K89" s="113" t="n"/>
      <c r="L89" s="113" t="n"/>
      <c r="M89" s="113" t="n"/>
      <c r="N89" s="113" t="n"/>
      <c r="O89" s="113" t="n"/>
    </row>
    <row r="90" ht="15.75" customHeight="1">
      <c r="A90" s="133" t="n"/>
      <c r="B90" s="146" t="n">
        <v>1</v>
      </c>
      <c r="C90" s="147" t="n">
        <v>45778</v>
      </c>
      <c r="D90" s="23" t="inlineStr">
        <is>
          <t>SAN JOSE</t>
        </is>
      </c>
      <c r="E90" s="148" t="n">
        <v>0.1875</v>
      </c>
      <c r="F90" s="149" t="n">
        <v>9</v>
      </c>
      <c r="G90" s="23" t="n">
        <v>11</v>
      </c>
      <c r="H90" s="23" t="n">
        <v>11</v>
      </c>
      <c r="I90" s="23" t="inlineStr">
        <is>
          <t>MANIGUA</t>
        </is>
      </c>
      <c r="J90" s="23" t="inlineStr">
        <is>
          <t>CARGUEROS</t>
        </is>
      </c>
      <c r="K90" s="113" t="n"/>
      <c r="L90" s="113" t="n"/>
      <c r="M90" s="113" t="n"/>
      <c r="N90" s="113" t="n"/>
      <c r="O90" s="113" t="n"/>
    </row>
    <row r="91" ht="15.75" customHeight="1">
      <c r="A91" s="133" t="n"/>
      <c r="B91" s="146" t="n">
        <v>2</v>
      </c>
      <c r="C91" s="147" t="n">
        <v>45779</v>
      </c>
      <c r="D91" s="23" t="inlineStr">
        <is>
          <t>SAN JOSE</t>
        </is>
      </c>
      <c r="E91" s="148" t="n">
        <v>0.02083333333333333</v>
      </c>
      <c r="F91" s="149" t="n">
        <v>7</v>
      </c>
      <c r="G91" s="23" t="n">
        <v>10</v>
      </c>
      <c r="H91" s="23" t="n">
        <v>10</v>
      </c>
      <c r="I91" s="23" t="inlineStr">
        <is>
          <t>MANIGUA</t>
        </is>
      </c>
      <c r="J91" s="23" t="inlineStr">
        <is>
          <t>CARGUEROS</t>
        </is>
      </c>
      <c r="K91" s="113" t="n"/>
      <c r="L91" s="113" t="n"/>
      <c r="M91" s="113" t="n"/>
      <c r="N91" s="113" t="n"/>
      <c r="O91" s="113" t="n"/>
    </row>
    <row r="92" ht="15.75" customHeight="1">
      <c r="A92" s="133" t="n"/>
      <c r="B92" s="113" t="n"/>
      <c r="C92" s="147" t="n">
        <v>45781</v>
      </c>
      <c r="D92" s="23" t="inlineStr">
        <is>
          <t>HUERTAS</t>
        </is>
      </c>
      <c r="E92" s="148" t="n">
        <v>0.6875</v>
      </c>
      <c r="F92" s="149" t="n">
        <v>2</v>
      </c>
      <c r="G92" s="23" t="n">
        <v>9</v>
      </c>
      <c r="H92" s="23" t="n">
        <v>9</v>
      </c>
      <c r="I92" s="23" t="inlineStr">
        <is>
          <t>BOGOTA</t>
        </is>
      </c>
      <c r="J92" s="23" t="inlineStr">
        <is>
          <t>ABONEROS</t>
        </is>
      </c>
      <c r="K92" s="113" t="n"/>
      <c r="L92" s="113" t="n"/>
      <c r="M92" s="113" t="n"/>
      <c r="N92" s="113" t="n"/>
      <c r="O92" s="113" t="n"/>
    </row>
    <row r="93" ht="15.75" customHeight="1">
      <c r="A93" s="133" t="n"/>
      <c r="B93" s="146" t="n">
        <v>4</v>
      </c>
      <c r="C93" s="147" t="n">
        <v>45782</v>
      </c>
      <c r="D93" s="23" t="inlineStr">
        <is>
          <t>SAN JOSE</t>
        </is>
      </c>
      <c r="E93" s="148" t="n">
        <v>0</v>
      </c>
      <c r="F93" s="149" t="n">
        <v>14</v>
      </c>
      <c r="G93" s="23" t="n">
        <v>11</v>
      </c>
      <c r="H93" s="23" t="n"/>
      <c r="I93" s="23" t="inlineStr">
        <is>
          <t>MANIGUA</t>
        </is>
      </c>
      <c r="J93" s="23" t="inlineStr">
        <is>
          <t>CARGUEROS</t>
        </is>
      </c>
      <c r="K93" s="113" t="n"/>
      <c r="L93" s="113" t="n"/>
      <c r="M93" s="113" t="n"/>
      <c r="N93" s="113" t="n"/>
      <c r="O93" s="113" t="n"/>
    </row>
    <row r="94" ht="15.75" customHeight="1">
      <c r="A94" s="133" t="n"/>
      <c r="B94" s="146" t="n">
        <v>5</v>
      </c>
      <c r="C94" s="147" t="n">
        <v>45783</v>
      </c>
      <c r="D94" s="23" t="inlineStr">
        <is>
          <t>SAN JOSE</t>
        </is>
      </c>
      <c r="E94" s="148" t="n">
        <v>0.9583333333333334</v>
      </c>
      <c r="F94" s="149" t="n">
        <v>11</v>
      </c>
      <c r="G94" s="23" t="n">
        <v>11</v>
      </c>
      <c r="H94" s="23" t="n"/>
      <c r="I94" s="23" t="inlineStr">
        <is>
          <t>MANIGUA</t>
        </is>
      </c>
      <c r="J94" s="23" t="inlineStr">
        <is>
          <t>CARGUEROS</t>
        </is>
      </c>
      <c r="K94" s="113" t="n"/>
      <c r="L94" s="113" t="n"/>
      <c r="M94" s="113" t="n"/>
      <c r="N94" s="113" t="n"/>
      <c r="O94" s="113" t="n"/>
    </row>
    <row r="95" ht="15.75" customHeight="1">
      <c r="A95" s="133" t="n"/>
      <c r="B95" s="113" t="n"/>
      <c r="C95" s="147" t="n">
        <v>45783</v>
      </c>
      <c r="D95" s="23" t="inlineStr">
        <is>
          <t>HUERTAS</t>
        </is>
      </c>
      <c r="E95" s="148" t="n">
        <v>0.6458333333333334</v>
      </c>
      <c r="F95" s="149" t="n">
        <v>1</v>
      </c>
      <c r="G95" s="23" t="n">
        <v>10</v>
      </c>
      <c r="H95" s="23" t="n">
        <v>7</v>
      </c>
      <c r="I95" s="23" t="inlineStr">
        <is>
          <t>BOGOTA</t>
        </is>
      </c>
      <c r="J95" s="23" t="inlineStr">
        <is>
          <t>ABONEROS</t>
        </is>
      </c>
      <c r="K95" s="113" t="n"/>
      <c r="L95" s="113" t="n"/>
      <c r="M95" s="113" t="n"/>
      <c r="N95" s="113" t="n"/>
      <c r="O95" s="113" t="n"/>
    </row>
    <row r="96" ht="15.75" customHeight="1">
      <c r="A96" s="133" t="n"/>
      <c r="B96" s="113" t="n"/>
      <c r="C96" s="147" t="n">
        <v>45784</v>
      </c>
      <c r="D96" s="23" t="inlineStr">
        <is>
          <t>HUERTAS</t>
        </is>
      </c>
      <c r="E96" s="148" t="n">
        <v>0.9375</v>
      </c>
      <c r="F96" s="149" t="n">
        <v>13</v>
      </c>
      <c r="G96" s="23" t="n">
        <v>13</v>
      </c>
      <c r="H96" s="23" t="n"/>
      <c r="I96" s="23" t="inlineStr">
        <is>
          <t>MANIGUA</t>
        </is>
      </c>
      <c r="J96" s="23" t="inlineStr">
        <is>
          <t>CARGUEROS</t>
        </is>
      </c>
      <c r="K96" s="113" t="n"/>
      <c r="L96" s="113" t="n"/>
      <c r="M96" s="113" t="n"/>
      <c r="N96" s="113" t="n"/>
      <c r="O96" s="113" t="n"/>
    </row>
    <row r="97" ht="15.75" customHeight="1">
      <c r="A97" s="133" t="n"/>
      <c r="B97" s="113" t="n"/>
      <c r="C97" s="147" t="n">
        <v>45784</v>
      </c>
      <c r="D97" s="23" t="inlineStr">
        <is>
          <t>SAN JOSE</t>
        </is>
      </c>
      <c r="E97" s="148" t="n">
        <v>0.2916666666666667</v>
      </c>
      <c r="F97" s="149" t="n">
        <v>3</v>
      </c>
      <c r="G97" s="23" t="n">
        <v>9</v>
      </c>
      <c r="H97" s="23" t="n"/>
      <c r="I97" s="23" t="inlineStr">
        <is>
          <t>MANIGUA</t>
        </is>
      </c>
      <c r="J97" s="23" t="inlineStr">
        <is>
          <t>ABONEROS</t>
        </is>
      </c>
      <c r="K97" s="113" t="n"/>
      <c r="L97" s="113" t="n"/>
      <c r="M97" s="113" t="n"/>
      <c r="N97" s="113" t="n"/>
      <c r="O97" s="113" t="n"/>
    </row>
    <row r="98" ht="15.75" customHeight="1">
      <c r="A98" s="133" t="n"/>
      <c r="B98" s="113" t="n"/>
      <c r="C98" s="147" t="n">
        <v>45785</v>
      </c>
      <c r="D98" s="23" t="inlineStr">
        <is>
          <t>HUERTAS</t>
        </is>
      </c>
      <c r="E98" s="148" t="n">
        <v>0.8958333333333334</v>
      </c>
      <c r="F98" s="149" t="n">
        <v>11</v>
      </c>
      <c r="G98" s="23" t="n">
        <v>13</v>
      </c>
      <c r="H98" s="23" t="n"/>
      <c r="I98" s="23" t="inlineStr">
        <is>
          <t>MANIGUA</t>
        </is>
      </c>
      <c r="J98" s="23" t="inlineStr">
        <is>
          <t>CARGUEROS</t>
        </is>
      </c>
      <c r="K98" s="113" t="n"/>
      <c r="L98" s="113" t="n"/>
      <c r="M98" s="113" t="n"/>
      <c r="N98" s="113" t="n"/>
      <c r="O98" s="113" t="n"/>
    </row>
    <row r="99" ht="15.75" customHeight="1">
      <c r="A99" s="133" t="n"/>
      <c r="B99" s="113" t="n"/>
      <c r="C99" s="147" t="n">
        <v>45785</v>
      </c>
      <c r="D99" s="23" t="inlineStr">
        <is>
          <t>SAN JOSE</t>
        </is>
      </c>
      <c r="E99" s="148" t="n">
        <v>0.2916666666666667</v>
      </c>
      <c r="F99" s="149" t="n">
        <v>1</v>
      </c>
      <c r="G99" s="23" t="n"/>
      <c r="H99" s="23" t="n"/>
      <c r="I99" s="23" t="inlineStr">
        <is>
          <t>MANIGUA</t>
        </is>
      </c>
      <c r="J99" s="23" t="inlineStr">
        <is>
          <t>CARGUEROS</t>
        </is>
      </c>
      <c r="K99" s="113" t="n"/>
      <c r="L99" s="113" t="n"/>
      <c r="M99" s="113" t="n"/>
      <c r="N99" s="113" t="n"/>
      <c r="O99" s="113" t="n"/>
    </row>
    <row r="100" ht="15.75" customHeight="1">
      <c r="A100" s="133" t="n"/>
      <c r="B100" s="113" t="n"/>
      <c r="C100" s="147" t="n">
        <v>45786</v>
      </c>
      <c r="D100" s="23" t="inlineStr">
        <is>
          <t>HUERTAS</t>
        </is>
      </c>
      <c r="E100" s="148" t="n">
        <v>0.8125</v>
      </c>
      <c r="F100" s="149" t="n">
        <v>12</v>
      </c>
      <c r="G100" s="23" t="n">
        <v>13</v>
      </c>
      <c r="H100" s="23" t="n"/>
      <c r="I100" s="23" t="inlineStr">
        <is>
          <t>MANIGUA</t>
        </is>
      </c>
      <c r="J100" s="23" t="inlineStr">
        <is>
          <t>CARGUEROS</t>
        </is>
      </c>
      <c r="K100" s="113" t="n"/>
      <c r="L100" s="113" t="n"/>
      <c r="M100" s="113" t="n"/>
      <c r="N100" s="113" t="n"/>
      <c r="O100" s="113" t="n"/>
    </row>
    <row r="101" ht="15.75" customHeight="1">
      <c r="A101" s="133" t="n"/>
      <c r="B101" s="113" t="n"/>
      <c r="C101" s="147" t="n">
        <v>45786</v>
      </c>
      <c r="D101" s="23" t="inlineStr">
        <is>
          <t>SAN JOSE</t>
        </is>
      </c>
      <c r="E101" s="148" t="n">
        <v>0.2708333333333333</v>
      </c>
      <c r="F101" s="149" t="n">
        <v>5</v>
      </c>
      <c r="G101" s="23" t="n"/>
      <c r="H101" s="23" t="n"/>
      <c r="I101" s="23" t="inlineStr">
        <is>
          <t>MANIGUA</t>
        </is>
      </c>
      <c r="J101" s="23" t="inlineStr">
        <is>
          <t>ABONEROS</t>
        </is>
      </c>
      <c r="K101" s="113" t="n"/>
      <c r="L101" s="113" t="n"/>
      <c r="M101" s="113" t="n"/>
      <c r="N101" s="113" t="n"/>
      <c r="O101" s="113" t="n"/>
    </row>
    <row r="102" ht="15.75" customHeight="1">
      <c r="A102" s="133" t="n"/>
      <c r="B102" s="113" t="n"/>
      <c r="C102" s="147" t="n">
        <v>45787</v>
      </c>
      <c r="D102" s="23" t="inlineStr">
        <is>
          <t>HUERTAS</t>
        </is>
      </c>
      <c r="E102" s="148" t="n">
        <v>0.6875</v>
      </c>
      <c r="F102" s="149" t="n">
        <v>3</v>
      </c>
      <c r="G102" s="23" t="n">
        <v>11</v>
      </c>
      <c r="H102" s="23" t="n"/>
      <c r="I102" s="23" t="inlineStr">
        <is>
          <t>BOGOTA</t>
        </is>
      </c>
      <c r="J102" s="23" t="inlineStr">
        <is>
          <t>CARGUEROS</t>
        </is>
      </c>
      <c r="K102" s="113" t="n"/>
      <c r="L102" s="113" t="n"/>
      <c r="M102" s="113" t="n"/>
      <c r="N102" s="113" t="n"/>
      <c r="O102" s="113" t="n"/>
    </row>
    <row r="103" ht="15.75" customHeight="1">
      <c r="A103" s="133" t="n"/>
      <c r="B103" s="113" t="n"/>
      <c r="C103" s="147" t="n">
        <v>45789</v>
      </c>
      <c r="D103" s="23" t="inlineStr">
        <is>
          <t>HUERTAS</t>
        </is>
      </c>
      <c r="E103" s="148" t="n">
        <v>0.1875</v>
      </c>
      <c r="F103" s="149" t="n">
        <v>2</v>
      </c>
      <c r="G103" s="23" t="n">
        <v>11</v>
      </c>
      <c r="H103" s="23" t="n"/>
      <c r="I103" s="23" t="inlineStr">
        <is>
          <t>MANIGUA</t>
        </is>
      </c>
      <c r="J103" s="23" t="inlineStr">
        <is>
          <t>ABONEROS</t>
        </is>
      </c>
      <c r="K103" s="113" t="n"/>
      <c r="L103" s="113" t="n"/>
      <c r="M103" s="113" t="n"/>
      <c r="N103" s="113" t="n"/>
      <c r="O103" s="113" t="n"/>
    </row>
    <row r="104" ht="15.75" customHeight="1">
      <c r="A104" s="133" t="n"/>
      <c r="B104" s="113" t="n"/>
      <c r="C104" s="147" t="n">
        <v>45789</v>
      </c>
      <c r="D104" s="23" t="inlineStr">
        <is>
          <t>SAN JOSE</t>
        </is>
      </c>
      <c r="E104" s="148" t="n">
        <v>0.1458333333333333</v>
      </c>
      <c r="F104" s="149" t="n">
        <v>6</v>
      </c>
      <c r="G104" s="23" t="n"/>
      <c r="H104" s="23" t="n"/>
      <c r="I104" s="23" t="inlineStr">
        <is>
          <t>MANIGUA</t>
        </is>
      </c>
      <c r="J104" s="23" t="inlineStr">
        <is>
          <t>CARGUEROS</t>
        </is>
      </c>
      <c r="K104" s="113" t="n"/>
      <c r="L104" s="113" t="n"/>
      <c r="M104" s="113" t="n"/>
      <c r="N104" s="113" t="n"/>
      <c r="O104" s="113" t="n"/>
    </row>
    <row r="105" ht="15.75" customHeight="1">
      <c r="A105" s="133" t="n"/>
      <c r="B105" s="113" t="n"/>
      <c r="C105" s="147" t="n">
        <v>45790</v>
      </c>
      <c r="D105" s="23" t="inlineStr">
        <is>
          <t>HUERTAS</t>
        </is>
      </c>
      <c r="E105" s="148" t="n">
        <v>0.1458333333333333</v>
      </c>
      <c r="F105" s="149" t="n">
        <v>2</v>
      </c>
      <c r="G105" s="23" t="n">
        <v>12</v>
      </c>
      <c r="H105" s="23" t="n"/>
      <c r="I105" s="23" t="inlineStr">
        <is>
          <t>MANIGUA</t>
        </is>
      </c>
      <c r="J105" s="23" t="inlineStr">
        <is>
          <t>ABONEROS</t>
        </is>
      </c>
      <c r="K105" s="113" t="n"/>
      <c r="L105" s="113" t="n"/>
      <c r="M105" s="113" t="n"/>
      <c r="N105" s="113" t="n"/>
      <c r="O105" s="113" t="n"/>
    </row>
    <row r="106" ht="15.75" customHeight="1">
      <c r="A106" s="133" t="n"/>
      <c r="B106" s="113" t="n"/>
      <c r="C106" s="147" t="n">
        <v>45790</v>
      </c>
      <c r="D106" s="23" t="inlineStr">
        <is>
          <t>SAN JOSE</t>
        </is>
      </c>
      <c r="E106" s="148" t="n">
        <v>0.25</v>
      </c>
      <c r="F106" s="149" t="n">
        <v>2</v>
      </c>
      <c r="G106" s="23" t="n"/>
      <c r="H106" s="23" t="n"/>
      <c r="I106" s="23" t="inlineStr">
        <is>
          <t>MANIGUA</t>
        </is>
      </c>
      <c r="J106" s="23" t="inlineStr">
        <is>
          <t>CARGUEROS</t>
        </is>
      </c>
      <c r="K106" s="113" t="n"/>
      <c r="L106" s="113" t="n"/>
      <c r="M106" s="113" t="n"/>
      <c r="N106" s="113" t="n"/>
      <c r="O106" s="113" t="n"/>
    </row>
    <row r="107" ht="15.75" customHeight="1">
      <c r="A107" s="133" t="n"/>
      <c r="B107" s="146" t="n">
        <v>13</v>
      </c>
      <c r="C107" s="147" t="n">
        <v>45791</v>
      </c>
      <c r="D107" s="23" t="inlineStr">
        <is>
          <t>SAN JOSE</t>
        </is>
      </c>
      <c r="E107" s="148" t="n">
        <v>0.125</v>
      </c>
      <c r="F107" s="149" t="n">
        <v>7</v>
      </c>
      <c r="G107" s="23" t="n"/>
      <c r="H107" s="23" t="n"/>
      <c r="I107" s="23" t="inlineStr">
        <is>
          <t>MANIGUA</t>
        </is>
      </c>
      <c r="J107" s="23" t="inlineStr">
        <is>
          <t>CARGUEROS</t>
        </is>
      </c>
      <c r="K107" s="113" t="n"/>
      <c r="L107" s="113" t="n"/>
      <c r="M107" s="113" t="n"/>
      <c r="N107" s="113" t="n"/>
      <c r="O107" s="113" t="n"/>
    </row>
    <row r="108" ht="15.75" customHeight="1">
      <c r="A108" s="133" t="n"/>
      <c r="B108" s="113" t="n"/>
      <c r="C108" s="147" t="n">
        <v>45791</v>
      </c>
      <c r="D108" s="23" t="inlineStr">
        <is>
          <t>HUERTAS</t>
        </is>
      </c>
      <c r="E108" s="148" t="n">
        <v>0.1875</v>
      </c>
      <c r="F108" s="149" t="n">
        <v>2</v>
      </c>
      <c r="G108" s="23" t="n">
        <v>12</v>
      </c>
      <c r="H108" s="23" t="n"/>
      <c r="I108" s="23" t="inlineStr">
        <is>
          <t>MANIGUA</t>
        </is>
      </c>
      <c r="J108" s="23" t="inlineStr">
        <is>
          <t>ABONEROS</t>
        </is>
      </c>
      <c r="K108" s="113" t="n"/>
      <c r="L108" s="113" t="n"/>
      <c r="M108" s="113" t="n"/>
      <c r="N108" s="113" t="n"/>
      <c r="O108" s="113" t="n"/>
    </row>
    <row r="109" ht="15.75" customHeight="1">
      <c r="A109" s="133" t="n"/>
      <c r="B109" s="113" t="n"/>
      <c r="C109" s="147" t="n">
        <v>45792</v>
      </c>
      <c r="D109" s="23" t="inlineStr">
        <is>
          <t>HUERTAS</t>
        </is>
      </c>
      <c r="E109" s="148" t="n">
        <v>0.1458333333333333</v>
      </c>
      <c r="F109" s="149" t="n">
        <v>3</v>
      </c>
      <c r="G109" s="23" t="n">
        <v>12</v>
      </c>
      <c r="H109" s="23" t="n"/>
      <c r="I109" s="23" t="inlineStr">
        <is>
          <t>MANIGUA</t>
        </is>
      </c>
      <c r="J109" s="23" t="inlineStr">
        <is>
          <t>ABONEROS</t>
        </is>
      </c>
      <c r="K109" s="113" t="n"/>
      <c r="L109" s="113" t="n"/>
      <c r="M109" s="113" t="n"/>
      <c r="N109" s="113" t="n"/>
      <c r="O109" s="113" t="n"/>
    </row>
    <row r="110" ht="15.75" customHeight="1">
      <c r="A110" s="133" t="n"/>
      <c r="B110" s="113" t="n"/>
      <c r="C110" s="147" t="n">
        <v>45792</v>
      </c>
      <c r="D110" s="23" t="inlineStr">
        <is>
          <t>SAN JOSE</t>
        </is>
      </c>
      <c r="E110" s="148" t="n">
        <v>0.1458333333333333</v>
      </c>
      <c r="F110" s="149" t="n">
        <v>7</v>
      </c>
      <c r="G110" s="23" t="n"/>
      <c r="H110" s="23" t="n"/>
      <c r="I110" s="23" t="inlineStr">
        <is>
          <t>MANIGUA</t>
        </is>
      </c>
      <c r="J110" s="23" t="inlineStr">
        <is>
          <t>CARGUEROS</t>
        </is>
      </c>
      <c r="K110" s="113" t="n"/>
      <c r="L110" s="113" t="n"/>
      <c r="M110" s="113" t="n"/>
      <c r="N110" s="113" t="n"/>
      <c r="O110" s="113" t="n"/>
    </row>
    <row r="111" ht="15.75" customHeight="1">
      <c r="A111" s="133" t="n"/>
      <c r="B111" s="146" t="n">
        <v>15</v>
      </c>
      <c r="C111" s="147" t="n">
        <v>45793</v>
      </c>
      <c r="D111" s="23" t="inlineStr">
        <is>
          <t>SAN JOSE</t>
        </is>
      </c>
      <c r="E111" s="148" t="n">
        <v>0.1458333333333333</v>
      </c>
      <c r="F111" s="149" t="n">
        <v>5</v>
      </c>
      <c r="G111" s="23" t="n"/>
      <c r="H111" s="23" t="n"/>
      <c r="I111" s="23" t="inlineStr">
        <is>
          <t>MANIGUA</t>
        </is>
      </c>
      <c r="J111" s="23" t="inlineStr">
        <is>
          <t>CARGUEROS</t>
        </is>
      </c>
      <c r="K111" s="113" t="n"/>
      <c r="L111" s="113" t="n"/>
      <c r="M111" s="113" t="n"/>
      <c r="N111" s="113" t="n"/>
      <c r="O111" s="113" t="n"/>
    </row>
    <row r="112" ht="15.75" customHeight="1">
      <c r="A112" s="133" t="n"/>
      <c r="B112" s="146" t="n">
        <v>16</v>
      </c>
      <c r="C112" s="147" t="n">
        <v>45794</v>
      </c>
      <c r="D112" s="23" t="inlineStr">
        <is>
          <t>SAN JOSE</t>
        </is>
      </c>
      <c r="E112" s="148" t="n">
        <v>0.1041666666666667</v>
      </c>
      <c r="F112" s="149" t="n">
        <v>4</v>
      </c>
      <c r="G112" s="23" t="n"/>
      <c r="H112" s="23" t="n"/>
      <c r="I112" s="23" t="inlineStr">
        <is>
          <t>MANIGUA</t>
        </is>
      </c>
      <c r="J112" s="23" t="inlineStr">
        <is>
          <t>CARGUEROS</t>
        </is>
      </c>
      <c r="K112" s="113" t="n"/>
      <c r="L112" s="113" t="n"/>
      <c r="M112" s="113" t="n"/>
      <c r="N112" s="113" t="n"/>
      <c r="O112" s="113" t="n"/>
    </row>
    <row r="113" ht="15.75" customHeight="1">
      <c r="A113" s="133" t="n"/>
      <c r="B113" s="139" t="n"/>
      <c r="C113" s="140" t="n"/>
      <c r="D113" s="144" t="n"/>
      <c r="E113" s="150" t="n"/>
      <c r="F113" s="144">
        <f>SUBTOTAL(9,F47:F112)</f>
        <v/>
      </c>
      <c r="G113" s="144" t="n"/>
      <c r="H113" s="144" t="n"/>
      <c r="I113" s="144" t="n"/>
      <c r="J113" s="144" t="n"/>
      <c r="K113" s="113" t="n"/>
      <c r="L113" s="113" t="n"/>
      <c r="M113" s="113" t="n"/>
      <c r="N113" s="113" t="n"/>
      <c r="O113" s="113" t="n"/>
    </row>
    <row r="114" ht="15.75" customHeight="1">
      <c r="A114" s="133" t="n"/>
      <c r="B114" s="113" t="n"/>
      <c r="C114" s="147" t="n">
        <v>45796</v>
      </c>
      <c r="D114" s="23" t="inlineStr">
        <is>
          <t>HUERTAS</t>
        </is>
      </c>
      <c r="E114" s="148" t="n">
        <v>0.7708333333333334</v>
      </c>
      <c r="F114" s="149" t="n">
        <v>5</v>
      </c>
      <c r="G114" s="23" t="n">
        <v>12</v>
      </c>
      <c r="H114" s="23" t="n"/>
      <c r="I114" s="23" t="inlineStr">
        <is>
          <t>BOGOTA</t>
        </is>
      </c>
      <c r="J114" s="23" t="inlineStr">
        <is>
          <t>ABONEROS</t>
        </is>
      </c>
      <c r="K114" s="113" t="n"/>
      <c r="L114" s="113" t="n"/>
      <c r="M114" s="113" t="n"/>
      <c r="N114" s="113" t="n"/>
      <c r="O114" s="113" t="n"/>
    </row>
    <row r="115" ht="15.75" customHeight="1">
      <c r="A115" s="133" t="n"/>
      <c r="B115" s="113" t="n"/>
      <c r="C115" s="147" t="n">
        <v>45796</v>
      </c>
      <c r="D115" s="23" t="inlineStr">
        <is>
          <t>GARCERAS</t>
        </is>
      </c>
      <c r="E115" s="148" t="n">
        <v>0.9791666666666666</v>
      </c>
      <c r="F115" s="149" t="n">
        <v>5</v>
      </c>
      <c r="G115" s="23" t="n">
        <v>10</v>
      </c>
      <c r="H115" s="23" t="n"/>
      <c r="I115" s="23" t="inlineStr">
        <is>
          <t>MANIGUA</t>
        </is>
      </c>
      <c r="J115" s="23" t="inlineStr">
        <is>
          <t>CARGUEROS</t>
        </is>
      </c>
      <c r="K115" s="113" t="n"/>
      <c r="L115" s="113" t="n"/>
      <c r="M115" s="113" t="n"/>
      <c r="N115" s="113" t="n"/>
      <c r="O115" s="113" t="n"/>
    </row>
    <row r="116" ht="15.75" customHeight="1">
      <c r="A116" s="133" t="n"/>
      <c r="B116" s="113" t="n"/>
      <c r="C116" s="147" t="n">
        <v>45796</v>
      </c>
      <c r="D116" s="23" t="inlineStr">
        <is>
          <t>SAN JOSE</t>
        </is>
      </c>
      <c r="E116" s="148" t="n">
        <v>0.1875</v>
      </c>
      <c r="F116" s="149" t="n">
        <v>2</v>
      </c>
      <c r="G116" s="23" t="n">
        <v>10</v>
      </c>
      <c r="H116" s="23" t="n"/>
      <c r="I116" s="23" t="inlineStr">
        <is>
          <t>MANIGUA</t>
        </is>
      </c>
      <c r="J116" s="23" t="inlineStr">
        <is>
          <t>CARGUEROS</t>
        </is>
      </c>
      <c r="K116" s="113" t="n"/>
      <c r="L116" s="113" t="n"/>
      <c r="M116" s="113" t="n"/>
      <c r="N116" s="113" t="n"/>
      <c r="O116" s="113" t="n"/>
    </row>
    <row r="117" ht="15.75" customHeight="1">
      <c r="A117" s="133" t="n"/>
      <c r="B117" s="113" t="n"/>
      <c r="C117" s="147" t="n">
        <v>45797</v>
      </c>
      <c r="D117" s="23" t="inlineStr">
        <is>
          <t>HUERTAS</t>
        </is>
      </c>
      <c r="E117" s="148" t="n">
        <v>0.9791666666666666</v>
      </c>
      <c r="F117" s="149" t="n">
        <v>6</v>
      </c>
      <c r="G117" s="23" t="n">
        <v>12</v>
      </c>
      <c r="H117" s="23" t="n"/>
      <c r="I117" s="23" t="inlineStr">
        <is>
          <t>MANIGUA</t>
        </is>
      </c>
      <c r="J117" s="23" t="inlineStr">
        <is>
          <t>ABONEROS</t>
        </is>
      </c>
      <c r="K117" s="113" t="n"/>
      <c r="L117" s="113" t="n"/>
      <c r="M117" s="113" t="n"/>
      <c r="N117" s="113" t="n"/>
      <c r="O117" s="113" t="n"/>
    </row>
    <row r="118" ht="15.75" customHeight="1">
      <c r="A118" s="133" t="n"/>
      <c r="B118" s="113" t="n"/>
      <c r="C118" s="147" t="n">
        <v>45797</v>
      </c>
      <c r="D118" s="23" t="inlineStr">
        <is>
          <t>GARCERAS</t>
        </is>
      </c>
      <c r="E118" s="148" t="n">
        <v>0.1875</v>
      </c>
      <c r="F118" s="149" t="n">
        <v>4</v>
      </c>
      <c r="G118" s="23" t="n">
        <v>10</v>
      </c>
      <c r="H118" s="23" t="n"/>
      <c r="I118" s="23" t="inlineStr">
        <is>
          <t>MANIGUA</t>
        </is>
      </c>
      <c r="J118" s="23" t="inlineStr">
        <is>
          <t>CARGUEROS</t>
        </is>
      </c>
      <c r="K118" s="113" t="n"/>
      <c r="L118" s="113" t="n"/>
      <c r="M118" s="113" t="n"/>
      <c r="N118" s="113" t="n"/>
      <c r="O118" s="113" t="n"/>
    </row>
    <row r="119" ht="15.75" customHeight="1">
      <c r="A119" s="133" t="n"/>
      <c r="B119" s="113" t="n"/>
      <c r="C119" s="147" t="n">
        <v>45797</v>
      </c>
      <c r="D119" s="23" t="inlineStr">
        <is>
          <t>SAN JOSE</t>
        </is>
      </c>
      <c r="E119" s="148" t="n">
        <v>0.3333333333333333</v>
      </c>
      <c r="F119" s="149" t="n">
        <v>6</v>
      </c>
      <c r="G119" s="23" t="n">
        <v>10</v>
      </c>
      <c r="H119" s="23" t="n"/>
      <c r="I119" s="23" t="inlineStr">
        <is>
          <t>MANIGUA</t>
        </is>
      </c>
      <c r="J119" s="23" t="inlineStr">
        <is>
          <t>CARGUEROS</t>
        </is>
      </c>
      <c r="K119" s="113" t="n"/>
      <c r="L119" s="113" t="n"/>
      <c r="M119" s="113" t="n"/>
      <c r="N119" s="113" t="n"/>
      <c r="O119" s="113" t="n"/>
    </row>
    <row r="120" ht="15.75" customHeight="1">
      <c r="A120" s="133" t="n"/>
      <c r="B120" s="113" t="n"/>
      <c r="C120" s="147" t="n">
        <v>45798</v>
      </c>
      <c r="D120" s="23" t="inlineStr">
        <is>
          <t>HUERTAS</t>
        </is>
      </c>
      <c r="E120" s="148" t="n">
        <v>0.9375</v>
      </c>
      <c r="F120" s="149" t="n">
        <v>5</v>
      </c>
      <c r="G120" s="23" t="n">
        <v>12</v>
      </c>
      <c r="H120" s="23" t="n"/>
      <c r="I120" s="23" t="inlineStr">
        <is>
          <t>MANIGUA</t>
        </is>
      </c>
      <c r="J120" s="23" t="inlineStr">
        <is>
          <t>ABONEROS</t>
        </is>
      </c>
      <c r="K120" s="113" t="n"/>
      <c r="L120" s="113" t="n"/>
      <c r="M120" s="113" t="n"/>
      <c r="N120" s="113" t="n"/>
      <c r="O120" s="113" t="n"/>
    </row>
    <row r="121" ht="15.75" customHeight="1">
      <c r="A121" s="133" t="n"/>
      <c r="B121" s="113" t="n"/>
      <c r="C121" s="147" t="n">
        <v>45798</v>
      </c>
      <c r="D121" s="23" t="inlineStr">
        <is>
          <t>GARCERAS</t>
        </is>
      </c>
      <c r="E121" s="148" t="n">
        <v>0.0625</v>
      </c>
      <c r="F121" s="149" t="n">
        <v>8</v>
      </c>
      <c r="G121" s="23" t="n">
        <v>10</v>
      </c>
      <c r="H121" s="23" t="n"/>
      <c r="I121" s="23" t="inlineStr">
        <is>
          <t>MANIGUA</t>
        </is>
      </c>
      <c r="J121" s="23" t="inlineStr">
        <is>
          <t>CARGUEROS</t>
        </is>
      </c>
      <c r="K121" s="113" t="n"/>
      <c r="L121" s="113" t="n"/>
      <c r="M121" s="113" t="n"/>
      <c r="N121" s="113" t="n"/>
      <c r="O121" s="113" t="n"/>
    </row>
    <row r="122" ht="15.75" customHeight="1">
      <c r="A122" s="133" t="n"/>
      <c r="B122" s="113" t="n"/>
      <c r="C122" s="147" t="n">
        <v>45799</v>
      </c>
      <c r="D122" s="23" t="inlineStr">
        <is>
          <t>HUERTAS</t>
        </is>
      </c>
      <c r="E122" s="148" t="n">
        <v>0.1041666666666667</v>
      </c>
      <c r="F122" s="149" t="n">
        <v>1</v>
      </c>
      <c r="G122" s="23" t="n">
        <v>12</v>
      </c>
      <c r="H122" s="23" t="n"/>
      <c r="I122" s="23" t="inlineStr">
        <is>
          <t>BOGOTA</t>
        </is>
      </c>
      <c r="J122" s="23" t="inlineStr">
        <is>
          <t>ABONEROS</t>
        </is>
      </c>
      <c r="K122" s="113" t="n"/>
      <c r="L122" s="113" t="n"/>
      <c r="M122" s="113" t="n"/>
      <c r="N122" s="113" t="n"/>
      <c r="O122" s="113" t="n"/>
    </row>
    <row r="123" ht="15.75" customHeight="1">
      <c r="A123" s="133" t="n"/>
      <c r="B123" s="113" t="n"/>
      <c r="C123" s="147" t="n">
        <v>45799</v>
      </c>
      <c r="D123" s="23" t="inlineStr">
        <is>
          <t>GARCERAS</t>
        </is>
      </c>
      <c r="E123" s="148" t="n">
        <v>0.9166666666666666</v>
      </c>
      <c r="F123" s="149" t="n">
        <v>6</v>
      </c>
      <c r="G123" s="23" t="n">
        <v>10</v>
      </c>
      <c r="H123" s="23" t="n"/>
      <c r="I123" s="23" t="inlineStr">
        <is>
          <t>MANIGUA</t>
        </is>
      </c>
      <c r="J123" s="23" t="inlineStr">
        <is>
          <t>CARGUEROS</t>
        </is>
      </c>
      <c r="K123" s="113" t="n"/>
      <c r="L123" s="113" t="n"/>
      <c r="M123" s="113" t="n"/>
      <c r="N123" s="113" t="n"/>
      <c r="O123" s="113" t="n"/>
    </row>
    <row r="124" ht="15.75" customHeight="1">
      <c r="A124" s="133" t="n"/>
      <c r="B124" s="113" t="n"/>
      <c r="C124" s="147" t="n">
        <v>45799</v>
      </c>
      <c r="D124" s="23" t="inlineStr">
        <is>
          <t>SAN JOSE</t>
        </is>
      </c>
      <c r="E124" s="148" t="n">
        <v>0.2708333333333333</v>
      </c>
      <c r="F124" s="149" t="n">
        <v>6</v>
      </c>
      <c r="G124" s="23" t="n">
        <v>10</v>
      </c>
      <c r="H124" s="23" t="n"/>
      <c r="I124" s="23" t="inlineStr">
        <is>
          <t>MANIGUA</t>
        </is>
      </c>
      <c r="J124" s="23" t="inlineStr">
        <is>
          <t>CARGUEROS</t>
        </is>
      </c>
      <c r="K124" s="113" t="n"/>
      <c r="L124" s="113" t="n"/>
      <c r="M124" s="113" t="n"/>
      <c r="N124" s="113" t="n"/>
      <c r="O124" s="113" t="n"/>
    </row>
    <row r="125" ht="15.75" customHeight="1">
      <c r="A125" s="133" t="n"/>
      <c r="B125" s="113" t="n"/>
      <c r="C125" s="147" t="n">
        <v>45800</v>
      </c>
      <c r="D125" s="23" t="inlineStr">
        <is>
          <t>HUERTAS</t>
        </is>
      </c>
      <c r="E125" s="148" t="n">
        <v>0.9166666666666666</v>
      </c>
      <c r="F125" s="149" t="n">
        <v>7</v>
      </c>
      <c r="G125" s="23" t="n">
        <v>12</v>
      </c>
      <c r="H125" s="23" t="n"/>
      <c r="I125" s="23" t="inlineStr">
        <is>
          <t>MANIGUA</t>
        </is>
      </c>
      <c r="J125" s="23" t="inlineStr">
        <is>
          <t>ABONEROS</t>
        </is>
      </c>
      <c r="K125" s="113" t="n"/>
      <c r="L125" s="113" t="n"/>
      <c r="M125" s="113" t="n"/>
      <c r="N125" s="113" t="n"/>
      <c r="O125" s="113" t="n"/>
    </row>
    <row r="126" ht="15.75" customHeight="1">
      <c r="A126" s="133" t="n"/>
      <c r="B126" s="113" t="n"/>
      <c r="C126" s="147" t="n">
        <v>45800</v>
      </c>
      <c r="D126" s="23" t="inlineStr">
        <is>
          <t>GARCERAS</t>
        </is>
      </c>
      <c r="E126" s="148" t="n">
        <v>0.04166666666666666</v>
      </c>
      <c r="F126" s="149" t="n">
        <v>9</v>
      </c>
      <c r="G126" s="23" t="n">
        <v>10</v>
      </c>
      <c r="H126" s="23" t="n"/>
      <c r="I126" s="23" t="inlineStr">
        <is>
          <t>MANIGUA</t>
        </is>
      </c>
      <c r="J126" s="23" t="inlineStr">
        <is>
          <t>CARGUEROS</t>
        </is>
      </c>
      <c r="K126" s="113" t="n"/>
      <c r="L126" s="113" t="n"/>
      <c r="M126" s="113" t="n"/>
      <c r="N126" s="113" t="n"/>
      <c r="O126" s="113" t="n"/>
    </row>
    <row r="127" ht="15.75" customHeight="1">
      <c r="A127" s="133" t="n"/>
      <c r="B127" s="113" t="n"/>
      <c r="C127" s="147" t="n">
        <v>45800</v>
      </c>
      <c r="D127" s="23" t="inlineStr">
        <is>
          <t>SAN JOSE</t>
        </is>
      </c>
      <c r="E127" s="148" t="n">
        <v>0.0625</v>
      </c>
      <c r="F127" s="149" t="n">
        <v>2</v>
      </c>
      <c r="G127" s="23" t="n">
        <v>10</v>
      </c>
      <c r="H127" s="23" t="n"/>
      <c r="I127" s="23" t="inlineStr">
        <is>
          <t>MANIGUA</t>
        </is>
      </c>
      <c r="J127" s="23" t="inlineStr">
        <is>
          <t>CARGUEROS</t>
        </is>
      </c>
      <c r="K127" s="113" t="n"/>
      <c r="L127" s="113" t="n"/>
      <c r="M127" s="113" t="n"/>
      <c r="N127" s="113" t="n"/>
      <c r="O127" s="113" t="n"/>
    </row>
    <row r="128" ht="15.75" customHeight="1">
      <c r="A128" s="133" t="n"/>
      <c r="B128" s="113" t="n"/>
      <c r="C128" s="151" t="n">
        <v>45801</v>
      </c>
      <c r="D128" s="33" t="inlineStr">
        <is>
          <t>HUERTAS</t>
        </is>
      </c>
      <c r="E128" s="152" t="n">
        <v>0.6458333333333334</v>
      </c>
      <c r="F128" s="153" t="n">
        <v>7</v>
      </c>
      <c r="G128" s="33" t="n">
        <v>12</v>
      </c>
      <c r="H128" s="33" t="n"/>
      <c r="I128" s="33" t="inlineStr">
        <is>
          <t>BOGOTA</t>
        </is>
      </c>
      <c r="J128" s="33" t="inlineStr">
        <is>
          <t>ABONEROS</t>
        </is>
      </c>
      <c r="K128" s="113" t="n"/>
      <c r="L128" s="113" t="n"/>
      <c r="M128" s="113" t="n"/>
      <c r="N128" s="113" t="n"/>
      <c r="O128" s="113" t="n"/>
    </row>
    <row r="129" ht="15.75" customHeight="1">
      <c r="A129" s="133" t="n"/>
      <c r="B129" s="113" t="n"/>
      <c r="C129" s="147" t="n">
        <v>45801</v>
      </c>
      <c r="D129" s="23" t="inlineStr">
        <is>
          <t>GARCERAS</t>
        </is>
      </c>
      <c r="E129" s="148" t="n">
        <v>0.1875</v>
      </c>
      <c r="F129" s="149" t="n">
        <v>5</v>
      </c>
      <c r="G129" s="23" t="n">
        <v>10</v>
      </c>
      <c r="H129" s="23" t="n"/>
      <c r="I129" s="23" t="inlineStr">
        <is>
          <t>MANIGUA</t>
        </is>
      </c>
      <c r="J129" s="23" t="inlineStr">
        <is>
          <t>CARGUEROS</t>
        </is>
      </c>
      <c r="K129" s="113" t="n"/>
      <c r="L129" s="113" t="n"/>
      <c r="M129" s="113" t="n"/>
      <c r="N129" s="113" t="n"/>
      <c r="O129" s="113" t="n"/>
    </row>
    <row r="130" ht="15.75" customHeight="1">
      <c r="A130" s="133" t="n"/>
      <c r="B130" s="113" t="n"/>
      <c r="C130" s="147" t="n">
        <v>45802</v>
      </c>
      <c r="D130" s="23" t="inlineStr">
        <is>
          <t>HUERTAS</t>
        </is>
      </c>
      <c r="E130" s="148" t="n">
        <v>0.5625</v>
      </c>
      <c r="F130" s="149" t="n">
        <v>3</v>
      </c>
      <c r="G130" s="23" t="n">
        <v>11</v>
      </c>
      <c r="H130" s="23" t="n"/>
      <c r="I130" s="23" t="inlineStr">
        <is>
          <t>BOGOTA</t>
        </is>
      </c>
      <c r="J130" s="23" t="inlineStr">
        <is>
          <t>CARGUEROS</t>
        </is>
      </c>
      <c r="K130" s="113" t="n"/>
      <c r="L130" s="113" t="n"/>
      <c r="M130" s="113" t="n"/>
      <c r="N130" s="113" t="n"/>
      <c r="O130" s="113" t="n"/>
    </row>
    <row r="131" ht="15.75" customHeight="1">
      <c r="A131" s="133" t="n"/>
      <c r="B131" s="113" t="n"/>
      <c r="C131" s="147" t="n">
        <v>45804</v>
      </c>
      <c r="D131" s="23" t="inlineStr">
        <is>
          <t>GARCERAS</t>
        </is>
      </c>
      <c r="E131" s="148" t="n">
        <v>0.1041666666666667</v>
      </c>
      <c r="F131" s="149" t="n">
        <v>4</v>
      </c>
      <c r="G131" s="23" t="n">
        <v>10</v>
      </c>
      <c r="H131" s="23" t="n"/>
      <c r="I131" s="23" t="inlineStr">
        <is>
          <t>MANIGUA</t>
        </is>
      </c>
      <c r="J131" s="23" t="inlineStr">
        <is>
          <t>CARGUEROS</t>
        </is>
      </c>
      <c r="K131" s="113" t="n"/>
      <c r="L131" s="113" t="n"/>
      <c r="M131" s="113" t="n"/>
      <c r="N131" s="113" t="n"/>
      <c r="O131" s="113" t="n"/>
    </row>
    <row r="132" ht="15.75" customHeight="1">
      <c r="A132" s="133" t="n"/>
      <c r="B132" s="113" t="n"/>
      <c r="C132" s="147" t="n">
        <v>45805</v>
      </c>
      <c r="D132" s="23" t="inlineStr">
        <is>
          <t>GARCERAS</t>
        </is>
      </c>
      <c r="E132" s="148" t="n">
        <v>0.1041666666666667</v>
      </c>
      <c r="F132" s="149" t="n">
        <v>4</v>
      </c>
      <c r="G132" s="23" t="n">
        <v>10</v>
      </c>
      <c r="H132" s="23" t="n"/>
      <c r="I132" s="23" t="inlineStr">
        <is>
          <t>MANIGUA</t>
        </is>
      </c>
      <c r="J132" s="23" t="inlineStr">
        <is>
          <t>CARGUEROS</t>
        </is>
      </c>
      <c r="K132" s="113" t="n"/>
      <c r="L132" s="113" t="n"/>
      <c r="M132" s="113" t="n"/>
      <c r="N132" s="113" t="n"/>
      <c r="O132" s="113" t="n"/>
    </row>
    <row r="133" ht="15.75" customHeight="1">
      <c r="A133" s="133" t="n"/>
      <c r="B133" s="113" t="n"/>
      <c r="C133" s="147" t="n">
        <v>45806</v>
      </c>
      <c r="D133" s="23" t="inlineStr">
        <is>
          <t>HUERTAS</t>
        </is>
      </c>
      <c r="E133" s="148" t="n">
        <v>0.6041666666666666</v>
      </c>
      <c r="F133" s="149" t="n">
        <v>3</v>
      </c>
      <c r="G133" s="23" t="n">
        <v>11</v>
      </c>
      <c r="H133" s="23" t="n"/>
      <c r="I133" s="23" t="inlineStr">
        <is>
          <t>BOGOTA</t>
        </is>
      </c>
      <c r="J133" s="23" t="inlineStr">
        <is>
          <t>CARGUEROS</t>
        </is>
      </c>
      <c r="K133" s="113" t="n"/>
      <c r="L133" s="113" t="n"/>
      <c r="M133" s="113" t="n"/>
      <c r="N133" s="113" t="n"/>
      <c r="O133" s="113" t="n"/>
    </row>
    <row r="134" ht="15.75" customHeight="1">
      <c r="A134" s="133" t="n"/>
      <c r="B134" s="113" t="n"/>
      <c r="C134" s="147" t="n">
        <v>45806</v>
      </c>
      <c r="D134" s="23" t="inlineStr">
        <is>
          <t>GARCERAS</t>
        </is>
      </c>
      <c r="E134" s="148" t="n">
        <v>0.1041666666666667</v>
      </c>
      <c r="F134" s="149" t="n">
        <v>2</v>
      </c>
      <c r="G134" s="23" t="n">
        <v>9</v>
      </c>
      <c r="H134" s="23" t="n"/>
      <c r="I134" s="23" t="inlineStr">
        <is>
          <t>MANIGUA</t>
        </is>
      </c>
      <c r="J134" s="23" t="inlineStr">
        <is>
          <t>CARGUEROS</t>
        </is>
      </c>
      <c r="K134" s="113" t="n"/>
      <c r="L134" s="113" t="n"/>
      <c r="M134" s="113" t="n"/>
      <c r="N134" s="113" t="n"/>
      <c r="O134" s="113" t="n"/>
    </row>
    <row r="135" ht="15.75" customHeight="1">
      <c r="A135" s="133" t="n"/>
      <c r="B135" s="113" t="n"/>
      <c r="C135" s="147" t="n">
        <v>45806</v>
      </c>
      <c r="D135" s="23" t="inlineStr">
        <is>
          <t>MALAGUEÑA</t>
        </is>
      </c>
      <c r="E135" s="148" t="n">
        <v>0.2291666666666667</v>
      </c>
      <c r="F135" s="149" t="n">
        <v>2</v>
      </c>
      <c r="G135" s="23" t="n">
        <v>9</v>
      </c>
      <c r="H135" s="23" t="n"/>
      <c r="I135" s="23" t="inlineStr">
        <is>
          <t>MANIGUA</t>
        </is>
      </c>
      <c r="J135" s="23" t="inlineStr">
        <is>
          <t>CARGUEROS</t>
        </is>
      </c>
      <c r="K135" s="113" t="n"/>
      <c r="L135" s="113" t="n"/>
      <c r="M135" s="113" t="n"/>
      <c r="N135" s="113" t="n"/>
      <c r="O135" s="113" t="n"/>
    </row>
    <row r="136" ht="15.75" customHeight="1">
      <c r="A136" s="133" t="n"/>
      <c r="B136" s="113" t="n"/>
      <c r="C136" s="147" t="n">
        <v>45807</v>
      </c>
      <c r="D136" s="23" t="inlineStr">
        <is>
          <t>GARCERAS</t>
        </is>
      </c>
      <c r="E136" s="148" t="n">
        <v>0.0625</v>
      </c>
      <c r="F136" s="149" t="n">
        <v>9</v>
      </c>
      <c r="G136" s="23" t="n"/>
      <c r="H136" s="23" t="n"/>
      <c r="I136" s="23" t="inlineStr">
        <is>
          <t>MANIGUA</t>
        </is>
      </c>
      <c r="J136" s="23" t="inlineStr">
        <is>
          <t>CARGUEROS</t>
        </is>
      </c>
      <c r="K136" s="113" t="n"/>
      <c r="L136" s="113" t="n"/>
      <c r="M136" s="113" t="n"/>
      <c r="N136" s="113" t="n"/>
      <c r="O136" s="113" t="n"/>
    </row>
    <row r="137" ht="15.75" customHeight="1">
      <c r="A137" s="133" t="n"/>
      <c r="B137" s="113" t="n"/>
      <c r="C137" s="147" t="n">
        <v>45809</v>
      </c>
      <c r="D137" s="23" t="inlineStr">
        <is>
          <t>MALAGUEÑA</t>
        </is>
      </c>
      <c r="E137" s="148" t="n">
        <v>2</v>
      </c>
      <c r="F137" s="149" t="n">
        <v>2</v>
      </c>
      <c r="G137" s="23" t="n">
        <v>10</v>
      </c>
      <c r="H137" s="23" t="n"/>
      <c r="I137" s="23" t="inlineStr">
        <is>
          <t>MANIGUA</t>
        </is>
      </c>
      <c r="J137" s="23" t="inlineStr">
        <is>
          <t>ABONEROS</t>
        </is>
      </c>
      <c r="K137" s="113" t="n"/>
      <c r="L137" s="113" t="n"/>
      <c r="M137" s="113" t="n"/>
      <c r="N137" s="113" t="n"/>
      <c r="O137" s="113" t="n"/>
    </row>
    <row r="138" ht="15.75" customHeight="1">
      <c r="A138" s="133" t="n"/>
      <c r="B138" s="113" t="n"/>
      <c r="C138" s="147" t="n">
        <v>45809</v>
      </c>
      <c r="D138" s="23" t="inlineStr">
        <is>
          <t>GARCERAS</t>
        </is>
      </c>
      <c r="E138" s="148" t="n">
        <v>0.02083333333333333</v>
      </c>
      <c r="F138" s="149" t="n">
        <v>9</v>
      </c>
      <c r="G138" s="23" t="n">
        <v>8</v>
      </c>
      <c r="H138" s="23" t="n"/>
      <c r="I138" s="23" t="inlineStr">
        <is>
          <t>MANIGUA</t>
        </is>
      </c>
      <c r="J138" s="23" t="inlineStr">
        <is>
          <t>CARGUEROS</t>
        </is>
      </c>
      <c r="K138" s="146" t="inlineStr">
        <is>
          <t>I</t>
        </is>
      </c>
      <c r="L138" s="113" t="n"/>
      <c r="M138" s="113" t="n"/>
      <c r="N138" s="113" t="n"/>
      <c r="O138" s="113" t="n"/>
    </row>
    <row r="139" ht="15.75" customHeight="1">
      <c r="A139" s="133" t="n"/>
      <c r="B139" s="113" t="n"/>
      <c r="C139" s="147" t="n">
        <v>45811</v>
      </c>
      <c r="D139" s="23" t="inlineStr">
        <is>
          <t>GARCERAS</t>
        </is>
      </c>
      <c r="E139" s="148" t="n">
        <v>0.8541666666666666</v>
      </c>
      <c r="F139" s="149" t="n">
        <v>7</v>
      </c>
      <c r="G139" s="23" t="n">
        <v>10</v>
      </c>
      <c r="H139" s="23" t="n"/>
      <c r="I139" s="23" t="inlineStr">
        <is>
          <t>MANIGUA</t>
        </is>
      </c>
      <c r="J139" s="23" t="inlineStr">
        <is>
          <t>ABONEROS</t>
        </is>
      </c>
      <c r="K139" s="113" t="n"/>
      <c r="L139" s="113" t="n"/>
      <c r="M139" s="113" t="n"/>
      <c r="N139" s="113" t="n"/>
      <c r="O139" s="113" t="n"/>
    </row>
    <row r="140" ht="15.75" customHeight="1">
      <c r="A140" s="133" t="n"/>
      <c r="B140" s="113" t="n"/>
      <c r="C140" s="147" t="n">
        <v>45811</v>
      </c>
      <c r="D140" s="23" t="inlineStr">
        <is>
          <t>MALAGUEÑA</t>
        </is>
      </c>
      <c r="E140" s="148" t="n">
        <v>0.1458333333333333</v>
      </c>
      <c r="F140" s="149" t="n">
        <v>10</v>
      </c>
      <c r="G140" s="23" t="n"/>
      <c r="H140" s="23" t="n"/>
      <c r="I140" s="23" t="inlineStr">
        <is>
          <t>MANIGUA</t>
        </is>
      </c>
      <c r="J140" s="23" t="inlineStr">
        <is>
          <t>CARGUEROS</t>
        </is>
      </c>
      <c r="K140" s="113" t="n"/>
      <c r="L140" s="113" t="n"/>
      <c r="M140" s="113" t="n"/>
      <c r="N140" s="113" t="n"/>
      <c r="O140" s="113" t="n"/>
    </row>
    <row r="141" ht="15.75" customHeight="1">
      <c r="A141" s="133" t="n"/>
      <c r="B141" s="113" t="n"/>
      <c r="C141" s="154" t="n"/>
      <c r="D141" s="113" t="n"/>
      <c r="E141" s="155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</row>
    <row r="142" ht="15.75" customHeight="1">
      <c r="A142" s="133" t="n"/>
      <c r="B142" s="113" t="n"/>
      <c r="C142" s="154" t="n"/>
      <c r="D142" s="113" t="n"/>
      <c r="E142" s="155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</row>
    <row r="143" ht="15.75" customHeight="1">
      <c r="A143" s="133" t="n"/>
      <c r="B143" s="113" t="n"/>
      <c r="C143" s="154" t="n"/>
      <c r="D143" s="113" t="n"/>
      <c r="E143" s="155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</row>
    <row r="144" ht="15.75" customHeight="1">
      <c r="A144" s="133" t="n"/>
      <c r="B144" s="113" t="n"/>
      <c r="C144" s="154" t="n"/>
      <c r="D144" s="113" t="n"/>
      <c r="E144" s="155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</row>
    <row r="145" ht="15.75" customHeight="1">
      <c r="A145" s="133" t="n"/>
      <c r="B145" s="113" t="n"/>
      <c r="C145" s="154" t="n"/>
      <c r="D145" s="113" t="n"/>
      <c r="E145" s="155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</row>
    <row r="146" ht="15.75" customHeight="1">
      <c r="A146" s="133" t="n"/>
      <c r="B146" s="113" t="n"/>
      <c r="C146" s="154" t="n"/>
      <c r="D146" s="113" t="n"/>
      <c r="E146" s="155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</row>
    <row r="147" ht="15.75" customHeight="1">
      <c r="A147" s="133" t="n"/>
      <c r="B147" s="113" t="n"/>
      <c r="C147" s="154" t="n"/>
      <c r="D147" s="113" t="n"/>
      <c r="E147" s="155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</row>
    <row r="148" ht="15.75" customHeight="1">
      <c r="A148" s="133" t="n"/>
      <c r="B148" s="113" t="n"/>
      <c r="C148" s="154" t="n"/>
      <c r="D148" s="113" t="n"/>
      <c r="E148" s="155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</row>
    <row r="149" ht="15.75" customHeight="1">
      <c r="A149" s="133" t="n"/>
      <c r="B149" s="113" t="n"/>
      <c r="C149" s="154" t="n"/>
      <c r="D149" s="113" t="n"/>
      <c r="E149" s="155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</row>
    <row r="150" ht="15.75" customHeight="1">
      <c r="A150" s="133" t="n"/>
      <c r="B150" s="113" t="n"/>
      <c r="C150" s="154" t="n"/>
      <c r="D150" s="113" t="n"/>
      <c r="E150" s="155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</row>
    <row r="151" ht="15.75" customHeight="1">
      <c r="A151" s="133" t="n"/>
      <c r="B151" s="113" t="n"/>
      <c r="C151" s="154" t="n"/>
      <c r="D151" s="113" t="n"/>
      <c r="E151" s="155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</row>
    <row r="152" ht="15.75" customHeight="1">
      <c r="A152" s="133" t="n"/>
      <c r="B152" s="113" t="n"/>
      <c r="C152" s="154" t="n"/>
      <c r="D152" s="113" t="n"/>
      <c r="E152" s="155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</row>
    <row r="153" ht="15.75" customHeight="1">
      <c r="A153" s="133" t="n"/>
      <c r="B153" s="113" t="n"/>
      <c r="C153" s="154" t="n"/>
      <c r="D153" s="113" t="n"/>
      <c r="E153" s="155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</row>
    <row r="154" ht="15.75" customHeight="1">
      <c r="A154" s="133" t="n"/>
      <c r="B154" s="113" t="n"/>
      <c r="C154" s="154" t="n"/>
      <c r="D154" s="113" t="n"/>
      <c r="E154" s="155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</row>
    <row r="155" ht="15.75" customHeight="1">
      <c r="A155" s="133" t="n"/>
      <c r="B155" s="113" t="n"/>
      <c r="C155" s="154" t="n"/>
      <c r="D155" s="113" t="n"/>
      <c r="E155" s="155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</row>
    <row r="156" ht="15.75" customHeight="1">
      <c r="A156" s="133" t="n"/>
      <c r="B156" s="113" t="n"/>
      <c r="C156" s="154" t="n"/>
      <c r="D156" s="113" t="n"/>
      <c r="E156" s="155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</row>
    <row r="157" ht="15.75" customHeight="1">
      <c r="A157" s="133" t="n"/>
      <c r="B157" s="113" t="n"/>
      <c r="C157" s="154" t="n"/>
      <c r="D157" s="113" t="n"/>
      <c r="E157" s="155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</row>
    <row r="158" ht="15.75" customHeight="1">
      <c r="A158" s="133" t="n"/>
      <c r="B158" s="113" t="n"/>
      <c r="C158" s="154" t="n"/>
      <c r="D158" s="113" t="n"/>
      <c r="E158" s="155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</row>
    <row r="159" ht="15.75" customHeight="1">
      <c r="A159" s="133" t="n"/>
      <c r="B159" s="113" t="n"/>
      <c r="C159" s="154" t="n"/>
      <c r="D159" s="113" t="n"/>
      <c r="E159" s="155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</row>
    <row r="160" ht="15.75" customHeight="1">
      <c r="A160" s="133" t="n"/>
      <c r="B160" s="113" t="n"/>
      <c r="C160" s="154" t="n"/>
      <c r="D160" s="113" t="n"/>
      <c r="E160" s="155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</row>
    <row r="161" ht="15.75" customHeight="1">
      <c r="A161" s="133" t="n"/>
      <c r="B161" s="113" t="n"/>
      <c r="C161" s="154" t="n"/>
      <c r="D161" s="113" t="n"/>
      <c r="E161" s="155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</row>
    <row r="162" ht="15.75" customHeight="1">
      <c r="A162" s="133" t="n"/>
      <c r="B162" s="113" t="n"/>
      <c r="C162" s="154" t="n"/>
      <c r="D162" s="113" t="n"/>
      <c r="E162" s="155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</row>
    <row r="163" ht="15.75" customHeight="1">
      <c r="A163" s="133" t="n"/>
      <c r="B163" s="113" t="n"/>
      <c r="C163" s="154" t="n"/>
      <c r="D163" s="113" t="n"/>
      <c r="E163" s="155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</row>
    <row r="164" ht="15.75" customHeight="1">
      <c r="A164" s="133" t="n"/>
      <c r="B164" s="113" t="n"/>
      <c r="C164" s="154" t="n"/>
      <c r="D164" s="113" t="n"/>
      <c r="E164" s="155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</row>
    <row r="165" ht="15.75" customHeight="1">
      <c r="A165" s="133" t="n"/>
      <c r="B165" s="113" t="n"/>
      <c r="C165" s="154" t="n"/>
      <c r="D165" s="113" t="n"/>
      <c r="E165" s="155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</row>
    <row r="166" ht="15.75" customHeight="1">
      <c r="A166" s="133" t="n"/>
      <c r="B166" s="113" t="n"/>
      <c r="C166" s="154" t="n"/>
      <c r="D166" s="113" t="n"/>
      <c r="E166" s="155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</row>
    <row r="167" ht="15.75" customHeight="1">
      <c r="A167" s="133" t="n"/>
      <c r="B167" s="113" t="n"/>
      <c r="C167" s="154" t="n"/>
      <c r="D167" s="113" t="n"/>
      <c r="E167" s="155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</row>
    <row r="168" ht="15.75" customHeight="1">
      <c r="A168" s="133" t="n"/>
      <c r="B168" s="113" t="n"/>
      <c r="C168" s="154" t="n"/>
      <c r="D168" s="113" t="n"/>
      <c r="E168" s="155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</row>
    <row r="169" ht="15.75" customHeight="1">
      <c r="A169" s="133" t="n"/>
      <c r="B169" s="113" t="n"/>
      <c r="C169" s="154" t="n"/>
      <c r="D169" s="113" t="n"/>
      <c r="E169" s="155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</row>
    <row r="170" ht="15.75" customHeight="1">
      <c r="A170" s="133" t="n"/>
      <c r="B170" s="113" t="n"/>
      <c r="C170" s="154" t="n"/>
      <c r="D170" s="113" t="n"/>
      <c r="E170" s="155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</row>
    <row r="171" ht="15.75" customHeight="1">
      <c r="A171" s="133" t="n"/>
      <c r="B171" s="113" t="n"/>
      <c r="C171" s="154" t="n"/>
      <c r="D171" s="113" t="n"/>
      <c r="E171" s="155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</row>
    <row r="172" ht="15.75" customHeight="1">
      <c r="A172" s="133" t="n"/>
      <c r="B172" s="113" t="n"/>
      <c r="C172" s="154" t="n"/>
      <c r="D172" s="113" t="n"/>
      <c r="E172" s="155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</row>
    <row r="173" ht="15.75" customHeight="1">
      <c r="A173" s="133" t="n"/>
      <c r="B173" s="113" t="n"/>
      <c r="C173" s="154" t="n"/>
      <c r="D173" s="113" t="n"/>
      <c r="E173" s="155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</row>
    <row r="174" ht="15.75" customHeight="1">
      <c r="A174" s="133" t="n"/>
      <c r="B174" s="113" t="n"/>
      <c r="C174" s="154" t="n"/>
      <c r="D174" s="113" t="n"/>
      <c r="E174" s="155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</row>
    <row r="175" ht="15.75" customHeight="1">
      <c r="A175" s="133" t="n"/>
      <c r="B175" s="113" t="n"/>
      <c r="C175" s="154" t="n"/>
      <c r="D175" s="113" t="n"/>
      <c r="E175" s="155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</row>
    <row r="176" ht="15.75" customHeight="1">
      <c r="A176" s="133" t="n"/>
      <c r="B176" s="113" t="n"/>
      <c r="C176" s="154" t="n"/>
      <c r="D176" s="113" t="n"/>
      <c r="E176" s="155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</row>
    <row r="177" ht="15.75" customHeight="1">
      <c r="A177" s="133" t="n"/>
      <c r="B177" s="113" t="n"/>
      <c r="C177" s="154" t="n"/>
      <c r="D177" s="113" t="n"/>
      <c r="E177" s="155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</row>
    <row r="178" ht="15.75" customHeight="1">
      <c r="A178" s="133" t="n"/>
      <c r="B178" s="113" t="n"/>
      <c r="C178" s="154" t="n"/>
      <c r="D178" s="113" t="n"/>
      <c r="E178" s="155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</row>
    <row r="179" ht="15.75" customHeight="1">
      <c r="A179" s="133" t="n"/>
      <c r="B179" s="113" t="n"/>
      <c r="C179" s="154" t="n"/>
      <c r="D179" s="113" t="n"/>
      <c r="E179" s="155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</row>
    <row r="180" ht="15.75" customHeight="1">
      <c r="A180" s="133" t="n"/>
      <c r="B180" s="113" t="n"/>
      <c r="C180" s="154" t="n"/>
      <c r="D180" s="113" t="n"/>
      <c r="E180" s="155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</row>
    <row r="181" ht="15.75" customHeight="1">
      <c r="A181" s="133" t="n"/>
      <c r="B181" s="113" t="n"/>
      <c r="C181" s="154" t="n"/>
      <c r="D181" s="113" t="n"/>
      <c r="E181" s="155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</row>
    <row r="182" ht="15.75" customHeight="1">
      <c r="A182" s="133" t="n"/>
      <c r="B182" s="113" t="n"/>
      <c r="C182" s="154" t="n"/>
      <c r="D182" s="113" t="n"/>
      <c r="E182" s="155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</row>
    <row r="183" ht="15.75" customHeight="1">
      <c r="A183" s="133" t="n"/>
      <c r="B183" s="113" t="n"/>
      <c r="C183" s="154" t="n"/>
      <c r="D183" s="113" t="n"/>
      <c r="E183" s="155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</row>
    <row r="184" ht="15.75" customHeight="1">
      <c r="A184" s="133" t="n"/>
      <c r="B184" s="113" t="n"/>
      <c r="C184" s="154" t="n"/>
      <c r="D184" s="113" t="n"/>
      <c r="E184" s="155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</row>
    <row r="185" ht="15.75" customHeight="1">
      <c r="A185" s="133" t="n"/>
      <c r="B185" s="113" t="n"/>
      <c r="C185" s="154" t="n"/>
      <c r="D185" s="113" t="n"/>
      <c r="E185" s="155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</row>
    <row r="186" ht="15.75" customHeight="1">
      <c r="A186" s="133" t="n"/>
      <c r="B186" s="113" t="n"/>
      <c r="C186" s="154" t="n"/>
      <c r="D186" s="113" t="n"/>
      <c r="E186" s="155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</row>
    <row r="187" ht="15.75" customHeight="1">
      <c r="A187" s="133" t="n"/>
      <c r="B187" s="113" t="n"/>
      <c r="C187" s="154" t="n"/>
      <c r="D187" s="113" t="n"/>
      <c r="E187" s="155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</row>
    <row r="188" ht="15.75" customHeight="1">
      <c r="A188" s="133" t="n"/>
      <c r="B188" s="113" t="n"/>
      <c r="C188" s="154" t="n"/>
      <c r="D188" s="113" t="n"/>
      <c r="E188" s="155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</row>
    <row r="189" ht="15.75" customHeight="1">
      <c r="A189" s="133" t="n"/>
      <c r="B189" s="113" t="n"/>
      <c r="C189" s="154" t="n"/>
      <c r="D189" s="113" t="n"/>
      <c r="E189" s="155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</row>
    <row r="190" ht="15.75" customHeight="1">
      <c r="A190" s="133" t="n"/>
      <c r="B190" s="113" t="n"/>
      <c r="C190" s="154" t="n"/>
      <c r="D190" s="113" t="n"/>
      <c r="E190" s="155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</row>
    <row r="191" ht="15.75" customHeight="1">
      <c r="A191" s="133" t="n"/>
      <c r="B191" s="113" t="n"/>
      <c r="C191" s="154" t="n"/>
      <c r="D191" s="113" t="n"/>
      <c r="E191" s="155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</row>
    <row r="192" ht="15.75" customHeight="1">
      <c r="A192" s="133" t="n"/>
      <c r="B192" s="113" t="n"/>
      <c r="C192" s="154" t="n"/>
      <c r="D192" s="113" t="n"/>
      <c r="E192" s="155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</row>
    <row r="193" ht="15.75" customHeight="1">
      <c r="A193" s="133" t="n"/>
      <c r="B193" s="113" t="n"/>
      <c r="C193" s="154" t="n"/>
      <c r="D193" s="113" t="n"/>
      <c r="E193" s="155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</row>
    <row r="194" ht="15.75" customHeight="1">
      <c r="A194" s="133" t="n"/>
      <c r="B194" s="113" t="n"/>
      <c r="C194" s="154" t="n"/>
      <c r="D194" s="113" t="n"/>
      <c r="E194" s="155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</row>
    <row r="195" ht="15.75" customHeight="1">
      <c r="A195" s="133" t="n"/>
      <c r="B195" s="113" t="n"/>
      <c r="C195" s="154" t="n"/>
      <c r="D195" s="113" t="n"/>
      <c r="E195" s="155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</row>
    <row r="196" ht="15.75" customHeight="1">
      <c r="A196" s="133" t="n"/>
      <c r="B196" s="113" t="n"/>
      <c r="C196" s="154" t="n"/>
      <c r="D196" s="113" t="n"/>
      <c r="E196" s="155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</row>
    <row r="197" ht="15.75" customHeight="1">
      <c r="A197" s="133" t="n"/>
      <c r="B197" s="113" t="n"/>
      <c r="C197" s="154" t="n"/>
      <c r="D197" s="113" t="n"/>
      <c r="E197" s="155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</row>
    <row r="198" ht="15.75" customHeight="1">
      <c r="A198" s="133" t="n"/>
      <c r="B198" s="113" t="n"/>
      <c r="C198" s="154" t="n"/>
      <c r="D198" s="113" t="n"/>
      <c r="E198" s="155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</row>
    <row r="199" ht="15.75" customHeight="1">
      <c r="A199" s="133" t="n"/>
      <c r="B199" s="113" t="n"/>
      <c r="C199" s="154" t="n"/>
      <c r="D199" s="113" t="n"/>
      <c r="E199" s="155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</row>
    <row r="200" ht="15.75" customHeight="1">
      <c r="A200" s="133" t="n"/>
      <c r="B200" s="113" t="n"/>
      <c r="C200" s="154" t="n"/>
      <c r="D200" s="113" t="n"/>
      <c r="E200" s="155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</row>
    <row r="201" ht="15.75" customHeight="1">
      <c r="A201" s="133" t="n"/>
      <c r="B201" s="113" t="n"/>
      <c r="C201" s="154" t="n"/>
      <c r="D201" s="113" t="n"/>
      <c r="E201" s="155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</row>
    <row r="202" ht="15.75" customHeight="1">
      <c r="A202" s="133" t="n"/>
      <c r="B202" s="113" t="n"/>
      <c r="C202" s="154" t="n"/>
      <c r="D202" s="113" t="n"/>
      <c r="E202" s="155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</row>
    <row r="203" ht="15.75" customHeight="1">
      <c r="A203" s="133" t="n"/>
      <c r="B203" s="113" t="n"/>
      <c r="C203" s="154" t="n"/>
      <c r="D203" s="113" t="n"/>
      <c r="E203" s="155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</row>
    <row r="204" ht="15.75" customHeight="1">
      <c r="A204" s="133" t="n"/>
      <c r="B204" s="113" t="n"/>
      <c r="C204" s="154" t="n"/>
      <c r="D204" s="113" t="n"/>
      <c r="E204" s="155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</row>
    <row r="205" ht="15.75" customHeight="1">
      <c r="A205" s="133" t="n"/>
      <c r="B205" s="113" t="n"/>
      <c r="C205" s="154" t="n"/>
      <c r="D205" s="113" t="n"/>
      <c r="E205" s="155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</row>
    <row r="206" ht="15.75" customHeight="1">
      <c r="A206" s="133" t="n"/>
      <c r="B206" s="113" t="n"/>
      <c r="C206" s="154" t="n"/>
      <c r="D206" s="113" t="n"/>
      <c r="E206" s="155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</row>
    <row r="207" ht="15.75" customHeight="1">
      <c r="A207" s="133" t="n"/>
      <c r="B207" s="113" t="n"/>
      <c r="C207" s="154" t="n"/>
      <c r="D207" s="113" t="n"/>
      <c r="E207" s="155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</row>
    <row r="208" ht="15.75" customHeight="1">
      <c r="A208" s="133" t="n"/>
      <c r="B208" s="113" t="n"/>
      <c r="C208" s="154" t="n"/>
      <c r="D208" s="113" t="n"/>
      <c r="E208" s="155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</row>
    <row r="209" ht="15.75" customHeight="1">
      <c r="A209" s="133" t="n"/>
      <c r="B209" s="113" t="n"/>
      <c r="C209" s="154" t="n"/>
      <c r="D209" s="113" t="n"/>
      <c r="E209" s="155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</row>
    <row r="210" ht="15.75" customHeight="1">
      <c r="A210" s="133" t="n"/>
      <c r="B210" s="113" t="n"/>
      <c r="C210" s="154" t="n"/>
      <c r="D210" s="113" t="n"/>
      <c r="E210" s="155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</row>
    <row r="211" ht="15.75" customHeight="1">
      <c r="A211" s="133" t="n"/>
      <c r="B211" s="113" t="n"/>
      <c r="C211" s="154" t="n"/>
      <c r="D211" s="113" t="n"/>
      <c r="E211" s="155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</row>
    <row r="212" ht="15.75" customHeight="1">
      <c r="A212" s="133" t="n"/>
      <c r="B212" s="113" t="n"/>
      <c r="C212" s="154" t="n"/>
      <c r="D212" s="113" t="n"/>
      <c r="E212" s="155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</row>
    <row r="213" ht="15.75" customHeight="1">
      <c r="A213" s="133" t="n"/>
      <c r="B213" s="113" t="n"/>
      <c r="C213" s="154" t="n"/>
      <c r="D213" s="113" t="n"/>
      <c r="E213" s="155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</row>
    <row r="214" ht="15.75" customHeight="1">
      <c r="A214" s="133" t="n"/>
      <c r="B214" s="113" t="n"/>
      <c r="C214" s="154" t="n"/>
      <c r="D214" s="113" t="n"/>
      <c r="E214" s="155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</row>
    <row r="215" ht="15.75" customHeight="1">
      <c r="A215" s="133" t="n"/>
      <c r="B215" s="113" t="n"/>
      <c r="C215" s="154" t="n"/>
      <c r="D215" s="113" t="n"/>
      <c r="E215" s="155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</row>
    <row r="216" ht="15.75" customHeight="1">
      <c r="A216" s="133" t="n"/>
      <c r="B216" s="113" t="n"/>
      <c r="C216" s="154" t="n"/>
      <c r="D216" s="113" t="n"/>
      <c r="E216" s="155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</row>
    <row r="217" ht="15.75" customHeight="1">
      <c r="A217" s="133" t="n"/>
      <c r="B217" s="113" t="n"/>
      <c r="C217" s="154" t="n"/>
      <c r="D217" s="113" t="n"/>
      <c r="E217" s="155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</row>
    <row r="218" ht="15.75" customHeight="1">
      <c r="A218" s="133" t="n"/>
      <c r="B218" s="113" t="n"/>
      <c r="C218" s="154" t="n"/>
      <c r="D218" s="113" t="n"/>
      <c r="E218" s="155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</row>
    <row r="219" ht="15.75" customHeight="1">
      <c r="A219" s="133" t="n"/>
      <c r="B219" s="113" t="n"/>
      <c r="C219" s="154" t="n"/>
      <c r="D219" s="113" t="n"/>
      <c r="E219" s="155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</row>
    <row r="220" ht="15.75" customHeight="1">
      <c r="A220" s="133" t="n"/>
      <c r="B220" s="113" t="n"/>
      <c r="C220" s="154" t="n"/>
      <c r="D220" s="113" t="n"/>
      <c r="E220" s="155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</row>
    <row r="221" ht="15.75" customHeight="1">
      <c r="A221" s="133" t="n"/>
      <c r="B221" s="113" t="n"/>
      <c r="C221" s="154" t="n"/>
      <c r="D221" s="113" t="n"/>
      <c r="E221" s="155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</row>
    <row r="222" ht="15.75" customHeight="1">
      <c r="A222" s="133" t="n"/>
      <c r="B222" s="113" t="n"/>
      <c r="C222" s="154" t="n"/>
      <c r="D222" s="113" t="n"/>
      <c r="E222" s="155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</row>
    <row r="223" ht="15.75" customHeight="1">
      <c r="A223" s="133" t="n"/>
      <c r="B223" s="113" t="n"/>
      <c r="C223" s="154" t="n"/>
      <c r="D223" s="113" t="n"/>
      <c r="E223" s="155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</row>
    <row r="224" ht="15.75" customHeight="1">
      <c r="A224" s="133" t="n"/>
      <c r="B224" s="113" t="n"/>
      <c r="C224" s="154" t="n"/>
      <c r="D224" s="113" t="n"/>
      <c r="E224" s="155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</row>
    <row r="225" ht="15.75" customHeight="1">
      <c r="A225" s="133" t="n"/>
      <c r="B225" s="113" t="n"/>
      <c r="C225" s="154" t="n"/>
      <c r="D225" s="113" t="n"/>
      <c r="E225" s="155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</row>
    <row r="226" ht="15.75" customHeight="1">
      <c r="A226" s="133" t="n"/>
      <c r="B226" s="113" t="n"/>
      <c r="C226" s="154" t="n"/>
      <c r="D226" s="113" t="n"/>
      <c r="E226" s="155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</row>
    <row r="227" ht="15.75" customHeight="1">
      <c r="A227" s="133" t="n"/>
      <c r="B227" s="113" t="n"/>
      <c r="C227" s="154" t="n"/>
      <c r="D227" s="113" t="n"/>
      <c r="E227" s="155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</row>
    <row r="228" ht="15.75" customHeight="1">
      <c r="A228" s="133" t="n"/>
      <c r="B228" s="113" t="n"/>
      <c r="C228" s="154" t="n"/>
      <c r="D228" s="113" t="n"/>
      <c r="E228" s="155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</row>
    <row r="229" ht="15.75" customHeight="1">
      <c r="A229" s="133" t="n"/>
      <c r="B229" s="113" t="n"/>
      <c r="C229" s="154" t="n"/>
      <c r="D229" s="113" t="n"/>
      <c r="E229" s="155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</row>
    <row r="230" ht="15.75" customHeight="1">
      <c r="A230" s="133" t="n"/>
      <c r="B230" s="113" t="n"/>
      <c r="C230" s="154" t="n"/>
      <c r="D230" s="113" t="n"/>
      <c r="E230" s="155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</row>
    <row r="231" ht="15.75" customHeight="1">
      <c r="A231" s="133" t="n"/>
      <c r="B231" s="113" t="n"/>
      <c r="C231" s="154" t="n"/>
      <c r="D231" s="113" t="n"/>
      <c r="E231" s="155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</row>
    <row r="232" ht="15.75" customHeight="1">
      <c r="A232" s="133" t="n"/>
      <c r="B232" s="113" t="n"/>
      <c r="C232" s="154" t="n"/>
      <c r="D232" s="113" t="n"/>
      <c r="E232" s="155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</row>
    <row r="233" ht="15.75" customHeight="1">
      <c r="A233" s="133" t="n"/>
      <c r="B233" s="113" t="n"/>
      <c r="C233" s="154" t="n"/>
      <c r="D233" s="113" t="n"/>
      <c r="E233" s="155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</row>
    <row r="234" ht="15.75" customHeight="1">
      <c r="A234" s="133" t="n"/>
      <c r="B234" s="113" t="n"/>
      <c r="C234" s="154" t="n"/>
      <c r="D234" s="113" t="n"/>
      <c r="E234" s="155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</row>
    <row r="235" ht="15.75" customHeight="1">
      <c r="A235" s="133" t="n"/>
      <c r="B235" s="113" t="n"/>
      <c r="C235" s="154" t="n"/>
      <c r="D235" s="113" t="n"/>
      <c r="E235" s="155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</row>
    <row r="236" ht="15.75" customHeight="1">
      <c r="A236" s="133" t="n"/>
      <c r="B236" s="113" t="n"/>
      <c r="C236" s="154" t="n"/>
      <c r="D236" s="113" t="n"/>
      <c r="E236" s="155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</row>
    <row r="237" ht="15.75" customHeight="1">
      <c r="A237" s="133" t="n"/>
      <c r="B237" s="113" t="n"/>
      <c r="C237" s="154" t="n"/>
      <c r="D237" s="113" t="n"/>
      <c r="E237" s="155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</row>
    <row r="238" ht="15.75" customHeight="1">
      <c r="A238" s="133" t="n"/>
      <c r="B238" s="113" t="n"/>
      <c r="C238" s="154" t="n"/>
      <c r="D238" s="113" t="n"/>
      <c r="E238" s="155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</row>
    <row r="239" ht="15.75" customHeight="1">
      <c r="A239" s="133" t="n"/>
      <c r="B239" s="113" t="n"/>
      <c r="C239" s="154" t="n"/>
      <c r="D239" s="113" t="n"/>
      <c r="E239" s="155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</row>
    <row r="240" ht="15.75" customHeight="1">
      <c r="A240" s="133" t="n"/>
      <c r="B240" s="113" t="n"/>
      <c r="C240" s="154" t="n"/>
      <c r="D240" s="113" t="n"/>
      <c r="E240" s="155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</row>
    <row r="241" ht="15.75" customHeight="1">
      <c r="A241" s="133" t="n"/>
      <c r="B241" s="113" t="n"/>
      <c r="C241" s="154" t="n"/>
      <c r="D241" s="113" t="n"/>
      <c r="E241" s="155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</row>
    <row r="242" ht="15.75" customHeight="1">
      <c r="A242" s="133" t="n"/>
      <c r="B242" s="113" t="n"/>
      <c r="C242" s="154" t="n"/>
      <c r="D242" s="113" t="n"/>
      <c r="E242" s="155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</row>
    <row r="243" ht="15.75" customHeight="1">
      <c r="A243" s="133" t="n"/>
      <c r="B243" s="113" t="n"/>
      <c r="C243" s="154" t="n"/>
      <c r="D243" s="113" t="n"/>
      <c r="E243" s="155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</row>
    <row r="244" ht="15.75" customHeight="1">
      <c r="A244" s="133" t="n"/>
      <c r="B244" s="113" t="n"/>
      <c r="C244" s="154" t="n"/>
      <c r="D244" s="113" t="n"/>
      <c r="E244" s="155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</row>
    <row r="245" ht="15.75" customHeight="1">
      <c r="A245" s="133" t="n"/>
      <c r="B245" s="113" t="n"/>
      <c r="C245" s="154" t="n"/>
      <c r="D245" s="113" t="n"/>
      <c r="E245" s="155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</row>
    <row r="246" ht="15.75" customHeight="1">
      <c r="A246" s="133" t="n"/>
      <c r="B246" s="113" t="n"/>
      <c r="C246" s="154" t="n"/>
      <c r="D246" s="113" t="n"/>
      <c r="E246" s="155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</row>
    <row r="247" ht="15.75" customHeight="1">
      <c r="A247" s="133" t="n"/>
      <c r="B247" s="113" t="n"/>
      <c r="C247" s="154" t="n"/>
      <c r="D247" s="113" t="n"/>
      <c r="E247" s="155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</row>
    <row r="248" ht="15.75" customHeight="1">
      <c r="A248" s="133" t="n"/>
      <c r="B248" s="113" t="n"/>
      <c r="C248" s="154" t="n"/>
      <c r="D248" s="113" t="n"/>
      <c r="E248" s="155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</row>
    <row r="249" ht="15.75" customHeight="1">
      <c r="A249" s="133" t="n"/>
      <c r="B249" s="113" t="n"/>
      <c r="C249" s="154" t="n"/>
      <c r="D249" s="113" t="n"/>
      <c r="E249" s="155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</row>
    <row r="250" ht="15.75" customHeight="1">
      <c r="A250" s="133" t="n"/>
      <c r="B250" s="113" t="n"/>
      <c r="C250" s="154" t="n"/>
      <c r="D250" s="113" t="n"/>
      <c r="E250" s="155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</row>
    <row r="251" ht="15.75" customHeight="1">
      <c r="A251" s="133" t="n"/>
      <c r="B251" s="113" t="n"/>
      <c r="C251" s="154" t="n"/>
      <c r="D251" s="113" t="n"/>
      <c r="E251" s="155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</row>
    <row r="252" ht="15.75" customHeight="1">
      <c r="A252" s="133" t="n"/>
      <c r="B252" s="113" t="n"/>
      <c r="C252" s="154" t="n"/>
      <c r="D252" s="113" t="n"/>
      <c r="E252" s="155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</row>
    <row r="253" ht="15.75" customHeight="1">
      <c r="A253" s="133" t="n"/>
      <c r="B253" s="113" t="n"/>
      <c r="C253" s="154" t="n"/>
      <c r="D253" s="113" t="n"/>
      <c r="E253" s="155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</row>
    <row r="254" ht="15.75" customHeight="1">
      <c r="A254" s="133" t="n"/>
      <c r="B254" s="113" t="n"/>
      <c r="C254" s="154" t="n"/>
      <c r="D254" s="113" t="n"/>
      <c r="E254" s="155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</row>
    <row r="255" ht="15.75" customHeight="1">
      <c r="A255" s="133" t="n"/>
      <c r="B255" s="113" t="n"/>
      <c r="C255" s="154" t="n"/>
      <c r="D255" s="113" t="n"/>
      <c r="E255" s="155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</row>
    <row r="256" ht="15.75" customHeight="1">
      <c r="A256" s="133" t="n"/>
      <c r="B256" s="113" t="n"/>
      <c r="C256" s="154" t="n"/>
      <c r="D256" s="113" t="n"/>
      <c r="E256" s="155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</row>
    <row r="257" ht="15.75" customHeight="1">
      <c r="A257" s="133" t="n"/>
      <c r="B257" s="113" t="n"/>
      <c r="C257" s="154" t="n"/>
      <c r="D257" s="113" t="n"/>
      <c r="E257" s="155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</row>
    <row r="258" ht="15.75" customHeight="1">
      <c r="A258" s="133" t="n"/>
      <c r="B258" s="113" t="n"/>
      <c r="C258" s="154" t="n"/>
      <c r="D258" s="113" t="n"/>
      <c r="E258" s="155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</row>
    <row r="259" ht="15.75" customHeight="1">
      <c r="A259" s="133" t="n"/>
      <c r="B259" s="113" t="n"/>
      <c r="C259" s="154" t="n"/>
      <c r="D259" s="113" t="n"/>
      <c r="E259" s="155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</row>
    <row r="260" ht="15.75" customHeight="1">
      <c r="A260" s="133" t="n"/>
      <c r="B260" s="113" t="n"/>
      <c r="C260" s="154" t="n"/>
      <c r="D260" s="113" t="n"/>
      <c r="E260" s="155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</row>
    <row r="261" ht="15.75" customHeight="1">
      <c r="A261" s="133" t="n"/>
      <c r="B261" s="113" t="n"/>
      <c r="C261" s="154" t="n"/>
      <c r="D261" s="113" t="n"/>
      <c r="E261" s="155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</row>
    <row r="262" ht="15.75" customHeight="1">
      <c r="A262" s="133" t="n"/>
      <c r="B262" s="113" t="n"/>
      <c r="C262" s="154" t="n"/>
      <c r="D262" s="113" t="n"/>
      <c r="E262" s="155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</row>
    <row r="263" ht="15.75" customHeight="1">
      <c r="A263" s="133" t="n"/>
      <c r="B263" s="113" t="n"/>
      <c r="C263" s="154" t="n"/>
      <c r="D263" s="113" t="n"/>
      <c r="E263" s="155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</row>
    <row r="264" ht="15.75" customHeight="1">
      <c r="A264" s="133" t="n"/>
      <c r="B264" s="113" t="n"/>
      <c r="C264" s="154" t="n"/>
      <c r="D264" s="113" t="n"/>
      <c r="E264" s="155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</row>
    <row r="265" ht="15.75" customHeight="1">
      <c r="A265" s="133" t="n"/>
      <c r="B265" s="113" t="n"/>
      <c r="C265" s="154" t="n"/>
      <c r="D265" s="113" t="n"/>
      <c r="E265" s="155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</row>
    <row r="266" ht="15.75" customHeight="1">
      <c r="A266" s="133" t="n"/>
      <c r="B266" s="113" t="n"/>
      <c r="C266" s="154" t="n"/>
      <c r="D266" s="113" t="n"/>
      <c r="E266" s="155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</row>
    <row r="267" ht="15.75" customHeight="1">
      <c r="A267" s="133" t="n"/>
      <c r="B267" s="113" t="n"/>
      <c r="C267" s="154" t="n"/>
      <c r="D267" s="113" t="n"/>
      <c r="E267" s="155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</row>
    <row r="268" ht="15.75" customHeight="1">
      <c r="A268" s="133" t="n"/>
      <c r="B268" s="113" t="n"/>
      <c r="C268" s="154" t="n"/>
      <c r="D268" s="113" t="n"/>
      <c r="E268" s="155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</row>
    <row r="269" ht="15.75" customHeight="1">
      <c r="A269" s="133" t="n"/>
      <c r="B269" s="113" t="n"/>
      <c r="C269" s="154" t="n"/>
      <c r="D269" s="113" t="n"/>
      <c r="E269" s="155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</row>
    <row r="270" ht="15.75" customHeight="1">
      <c r="A270" s="133" t="n"/>
      <c r="B270" s="113" t="n"/>
      <c r="C270" s="154" t="n"/>
      <c r="D270" s="113" t="n"/>
      <c r="E270" s="155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</row>
    <row r="271" ht="15.75" customHeight="1">
      <c r="A271" s="133" t="n"/>
      <c r="B271" s="113" t="n"/>
      <c r="C271" s="154" t="n"/>
      <c r="D271" s="113" t="n"/>
      <c r="E271" s="155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</row>
    <row r="272" ht="15.75" customHeight="1">
      <c r="A272" s="133" t="n"/>
      <c r="B272" s="113" t="n"/>
      <c r="C272" s="154" t="n"/>
      <c r="D272" s="113" t="n"/>
      <c r="E272" s="155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</row>
    <row r="273" ht="15.75" customHeight="1">
      <c r="A273" s="133" t="n"/>
      <c r="B273" s="113" t="n"/>
      <c r="C273" s="154" t="n"/>
      <c r="D273" s="113" t="n"/>
      <c r="E273" s="155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</row>
    <row r="274" ht="15.75" customHeight="1">
      <c r="A274" s="133" t="n"/>
      <c r="B274" s="113" t="n"/>
      <c r="C274" s="154" t="n"/>
      <c r="D274" s="113" t="n"/>
      <c r="E274" s="155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</row>
    <row r="275" ht="15.75" customHeight="1">
      <c r="A275" s="133" t="n"/>
      <c r="B275" s="113" t="n"/>
      <c r="C275" s="154" t="n"/>
      <c r="D275" s="113" t="n"/>
      <c r="E275" s="155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</row>
    <row r="276" ht="15.75" customHeight="1">
      <c r="A276" s="133" t="n"/>
      <c r="B276" s="113" t="n"/>
      <c r="C276" s="154" t="n"/>
      <c r="D276" s="113" t="n"/>
      <c r="E276" s="155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</row>
    <row r="277" ht="15.75" customHeight="1">
      <c r="A277" s="133" t="n"/>
      <c r="B277" s="113" t="n"/>
      <c r="C277" s="154" t="n"/>
      <c r="D277" s="113" t="n"/>
      <c r="E277" s="155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</row>
    <row r="278" ht="15.75" customHeight="1">
      <c r="A278" s="133" t="n"/>
      <c r="B278" s="113" t="n"/>
      <c r="C278" s="154" t="n"/>
      <c r="D278" s="113" t="n"/>
      <c r="E278" s="155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</row>
    <row r="279" ht="15.75" customHeight="1">
      <c r="A279" s="133" t="n"/>
      <c r="B279" s="113" t="n"/>
      <c r="C279" s="154" t="n"/>
      <c r="D279" s="113" t="n"/>
      <c r="E279" s="155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</row>
    <row r="280" ht="15.75" customHeight="1">
      <c r="A280" s="133" t="n"/>
      <c r="B280" s="113" t="n"/>
      <c r="C280" s="154" t="n"/>
      <c r="D280" s="113" t="n"/>
      <c r="E280" s="155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</row>
    <row r="281" ht="15.75" customHeight="1">
      <c r="A281" s="133" t="n"/>
      <c r="B281" s="113" t="n"/>
      <c r="C281" s="154" t="n"/>
      <c r="D281" s="113" t="n"/>
      <c r="E281" s="155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</row>
    <row r="282" ht="15.75" customHeight="1">
      <c r="A282" s="133" t="n"/>
      <c r="B282" s="113" t="n"/>
      <c r="C282" s="154" t="n"/>
      <c r="D282" s="113" t="n"/>
      <c r="E282" s="155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</row>
    <row r="283" ht="15.75" customHeight="1">
      <c r="A283" s="133" t="n"/>
      <c r="B283" s="113" t="n"/>
      <c r="C283" s="154" t="n"/>
      <c r="D283" s="113" t="n"/>
      <c r="E283" s="155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</row>
    <row r="284" ht="15.75" customHeight="1">
      <c r="A284" s="133" t="n"/>
      <c r="B284" s="113" t="n"/>
      <c r="C284" s="154" t="n"/>
      <c r="D284" s="113" t="n"/>
      <c r="E284" s="155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</row>
    <row r="285" ht="15.75" customHeight="1">
      <c r="A285" s="133" t="n"/>
      <c r="B285" s="113" t="n"/>
      <c r="C285" s="154" t="n"/>
      <c r="D285" s="113" t="n"/>
      <c r="E285" s="155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</row>
    <row r="286" ht="15.75" customHeight="1">
      <c r="A286" s="133" t="n"/>
      <c r="B286" s="113" t="n"/>
      <c r="C286" s="154" t="n"/>
      <c r="D286" s="113" t="n"/>
      <c r="E286" s="155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</row>
    <row r="287" ht="15.75" customHeight="1">
      <c r="A287" s="133" t="n"/>
      <c r="B287" s="113" t="n"/>
      <c r="C287" s="154" t="n"/>
      <c r="D287" s="113" t="n"/>
      <c r="E287" s="155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</row>
    <row r="288" ht="15.75" customHeight="1">
      <c r="A288" s="133" t="n"/>
      <c r="B288" s="113" t="n"/>
      <c r="C288" s="154" t="n"/>
      <c r="D288" s="113" t="n"/>
      <c r="E288" s="155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</row>
    <row r="289" ht="15.75" customHeight="1">
      <c r="A289" s="133" t="n"/>
      <c r="B289" s="113" t="n"/>
      <c r="C289" s="154" t="n"/>
      <c r="D289" s="113" t="n"/>
      <c r="E289" s="155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</row>
    <row r="290" ht="15.75" customHeight="1">
      <c r="A290" s="133" t="n"/>
      <c r="B290" s="113" t="n"/>
      <c r="C290" s="154" t="n"/>
      <c r="D290" s="113" t="n"/>
      <c r="E290" s="155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</row>
    <row r="291" ht="15.75" customHeight="1">
      <c r="A291" s="133" t="n"/>
      <c r="B291" s="113" t="n"/>
      <c r="C291" s="154" t="n"/>
      <c r="D291" s="113" t="n"/>
      <c r="E291" s="155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</row>
    <row r="292" ht="15.75" customHeight="1">
      <c r="A292" s="133" t="n"/>
      <c r="B292" s="113" t="n"/>
      <c r="C292" s="154" t="n"/>
      <c r="D292" s="113" t="n"/>
      <c r="E292" s="155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</row>
    <row r="293" ht="15.75" customHeight="1">
      <c r="A293" s="133" t="n"/>
      <c r="B293" s="113" t="n"/>
      <c r="C293" s="154" t="n"/>
      <c r="D293" s="113" t="n"/>
      <c r="E293" s="155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</row>
    <row r="294" ht="15.75" customHeight="1">
      <c r="A294" s="133" t="n"/>
      <c r="B294" s="113" t="n"/>
      <c r="C294" s="154" t="n"/>
      <c r="D294" s="113" t="n"/>
      <c r="E294" s="155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</row>
    <row r="295" ht="15.75" customHeight="1">
      <c r="A295" s="133" t="n"/>
      <c r="B295" s="113" t="n"/>
      <c r="C295" s="154" t="n"/>
      <c r="D295" s="113" t="n"/>
      <c r="E295" s="155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</row>
    <row r="296" ht="15.75" customHeight="1">
      <c r="A296" s="133" t="n"/>
      <c r="B296" s="113" t="n"/>
      <c r="C296" s="154" t="n"/>
      <c r="D296" s="113" t="n"/>
      <c r="E296" s="155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</row>
    <row r="297" ht="15.75" customHeight="1">
      <c r="A297" s="133" t="n"/>
      <c r="B297" s="113" t="n"/>
      <c r="C297" s="154" t="n"/>
      <c r="D297" s="113" t="n"/>
      <c r="E297" s="155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</row>
    <row r="298" ht="15.75" customHeight="1">
      <c r="A298" s="133" t="n"/>
      <c r="B298" s="113" t="n"/>
      <c r="C298" s="154" t="n"/>
      <c r="D298" s="113" t="n"/>
      <c r="E298" s="155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</row>
    <row r="299" ht="15.75" customHeight="1">
      <c r="A299" s="133" t="n"/>
      <c r="B299" s="113" t="n"/>
      <c r="C299" s="154" t="n"/>
      <c r="D299" s="113" t="n"/>
      <c r="E299" s="155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</row>
    <row r="300" ht="15.75" customHeight="1">
      <c r="A300" s="133" t="n"/>
      <c r="B300" s="113" t="n"/>
      <c r="C300" s="154" t="n"/>
      <c r="D300" s="113" t="n"/>
      <c r="E300" s="155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</row>
    <row r="301" ht="15.75" customHeight="1">
      <c r="A301" s="133" t="n"/>
      <c r="B301" s="113" t="n"/>
      <c r="C301" s="154" t="n"/>
      <c r="D301" s="113" t="n"/>
      <c r="E301" s="155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</row>
    <row r="302" ht="15.75" customHeight="1">
      <c r="A302" s="133" t="n"/>
      <c r="B302" s="113" t="n"/>
      <c r="C302" s="154" t="n"/>
      <c r="D302" s="113" t="n"/>
      <c r="E302" s="155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</row>
    <row r="303" ht="15.75" customHeight="1">
      <c r="A303" s="133" t="n"/>
      <c r="B303" s="113" t="n"/>
      <c r="C303" s="154" t="n"/>
      <c r="D303" s="113" t="n"/>
      <c r="E303" s="155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</row>
    <row r="304" ht="15.75" customHeight="1">
      <c r="A304" s="133" t="n"/>
      <c r="B304" s="113" t="n"/>
      <c r="C304" s="154" t="n"/>
      <c r="D304" s="113" t="n"/>
      <c r="E304" s="155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</row>
    <row r="305" ht="15.75" customHeight="1">
      <c r="A305" s="133" t="n"/>
      <c r="B305" s="113" t="n"/>
      <c r="C305" s="154" t="n"/>
      <c r="D305" s="113" t="n"/>
      <c r="E305" s="155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</row>
    <row r="306" ht="15.75" customHeight="1">
      <c r="A306" s="133" t="n"/>
      <c r="B306" s="113" t="n"/>
      <c r="C306" s="154" t="n"/>
      <c r="D306" s="113" t="n"/>
      <c r="E306" s="155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</row>
    <row r="307" ht="15.75" customHeight="1">
      <c r="A307" s="133" t="n"/>
      <c r="B307" s="113" t="n"/>
      <c r="C307" s="154" t="n"/>
      <c r="D307" s="113" t="n"/>
      <c r="E307" s="155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</row>
    <row r="308" ht="15.75" customHeight="1">
      <c r="A308" s="133" t="n"/>
      <c r="B308" s="113" t="n"/>
      <c r="C308" s="154" t="n"/>
      <c r="D308" s="113" t="n"/>
      <c r="E308" s="155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</row>
    <row r="309" ht="15.75" customHeight="1">
      <c r="A309" s="133" t="n"/>
      <c r="B309" s="113" t="n"/>
      <c r="C309" s="154" t="n"/>
      <c r="D309" s="113" t="n"/>
      <c r="E309" s="155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</row>
    <row r="310" ht="15.75" customHeight="1">
      <c r="A310" s="133" t="n"/>
      <c r="B310" s="113" t="n"/>
      <c r="C310" s="154" t="n"/>
      <c r="D310" s="113" t="n"/>
      <c r="E310" s="155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</row>
    <row r="311" ht="15.75" customHeight="1">
      <c r="A311" s="133" t="n"/>
      <c r="B311" s="113" t="n"/>
      <c r="C311" s="154" t="n"/>
      <c r="D311" s="113" t="n"/>
      <c r="E311" s="155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</row>
    <row r="312" ht="15.75" customHeight="1">
      <c r="A312" s="133" t="n"/>
      <c r="B312" s="113" t="n"/>
      <c r="C312" s="154" t="n"/>
      <c r="D312" s="113" t="n"/>
      <c r="E312" s="155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</row>
    <row r="313" ht="15.75" customHeight="1">
      <c r="A313" s="133" t="n"/>
      <c r="B313" s="113" t="n"/>
      <c r="C313" s="154" t="n"/>
      <c r="D313" s="113" t="n"/>
      <c r="E313" s="155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</row>
    <row r="314" ht="15.75" customHeight="1">
      <c r="A314" s="133" t="n"/>
      <c r="B314" s="113" t="n"/>
      <c r="C314" s="154" t="n"/>
      <c r="D314" s="113" t="n"/>
      <c r="E314" s="155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</row>
    <row r="315" ht="15.75" customHeight="1">
      <c r="A315" s="133" t="n"/>
      <c r="B315" s="113" t="n"/>
      <c r="C315" s="154" t="n"/>
      <c r="D315" s="113" t="n"/>
      <c r="E315" s="155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</row>
    <row r="316" ht="15.75" customHeight="1">
      <c r="A316" s="133" t="n"/>
      <c r="B316" s="113" t="n"/>
      <c r="C316" s="154" t="n"/>
      <c r="D316" s="113" t="n"/>
      <c r="E316" s="155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</row>
    <row r="317" ht="15.75" customHeight="1">
      <c r="A317" s="133" t="n"/>
      <c r="B317" s="113" t="n"/>
      <c r="C317" s="154" t="n"/>
      <c r="D317" s="113" t="n"/>
      <c r="E317" s="155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</row>
    <row r="318" ht="15.75" customHeight="1">
      <c r="A318" s="133" t="n"/>
      <c r="B318" s="113" t="n"/>
      <c r="C318" s="154" t="n"/>
      <c r="D318" s="113" t="n"/>
      <c r="E318" s="155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</row>
    <row r="319" ht="15.75" customHeight="1">
      <c r="A319" s="133" t="n"/>
      <c r="B319" s="113" t="n"/>
      <c r="C319" s="154" t="n"/>
      <c r="D319" s="113" t="n"/>
      <c r="E319" s="155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</row>
    <row r="320" ht="15.75" customHeight="1">
      <c r="A320" s="133" t="n"/>
      <c r="B320" s="113" t="n"/>
      <c r="C320" s="154" t="n"/>
      <c r="D320" s="113" t="n"/>
      <c r="E320" s="155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</row>
    <row r="321" ht="15.75" customHeight="1">
      <c r="A321" s="133" t="n"/>
      <c r="B321" s="113" t="n"/>
      <c r="C321" s="154" t="n"/>
      <c r="D321" s="113" t="n"/>
      <c r="E321" s="155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</row>
    <row r="322" ht="15.75" customHeight="1">
      <c r="A322" s="133" t="n"/>
      <c r="B322" s="113" t="n"/>
      <c r="C322" s="154" t="n"/>
      <c r="D322" s="113" t="n"/>
      <c r="E322" s="155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</row>
    <row r="323" ht="15.75" customHeight="1">
      <c r="A323" s="133" t="n"/>
      <c r="B323" s="113" t="n"/>
      <c r="C323" s="154" t="n"/>
      <c r="D323" s="113" t="n"/>
      <c r="E323" s="155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</row>
    <row r="324" ht="15.75" customHeight="1">
      <c r="A324" s="133" t="n"/>
      <c r="B324" s="113" t="n"/>
      <c r="C324" s="154" t="n"/>
      <c r="D324" s="113" t="n"/>
      <c r="E324" s="155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</row>
    <row r="325" ht="15.75" customHeight="1">
      <c r="A325" s="133" t="n"/>
      <c r="B325" s="113" t="n"/>
      <c r="C325" s="154" t="n"/>
      <c r="D325" s="113" t="n"/>
      <c r="E325" s="155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</row>
    <row r="326" ht="15.75" customHeight="1">
      <c r="A326" s="133" t="n"/>
      <c r="B326" s="113" t="n"/>
      <c r="C326" s="154" t="n"/>
      <c r="D326" s="113" t="n"/>
      <c r="E326" s="155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</row>
    <row r="327" ht="15.75" customHeight="1">
      <c r="A327" s="133" t="n"/>
      <c r="B327" s="113" t="n"/>
      <c r="C327" s="154" t="n"/>
      <c r="D327" s="113" t="n"/>
      <c r="E327" s="155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</row>
    <row r="328" ht="15.75" customHeight="1">
      <c r="A328" s="133" t="n"/>
      <c r="B328" s="113" t="n"/>
      <c r="C328" s="154" t="n"/>
      <c r="D328" s="113" t="n"/>
      <c r="E328" s="155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</row>
    <row r="329" ht="15.75" customHeight="1">
      <c r="A329" s="133" t="n"/>
      <c r="B329" s="113" t="n"/>
      <c r="C329" s="154" t="n"/>
      <c r="D329" s="113" t="n"/>
      <c r="E329" s="155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</row>
    <row r="330" ht="15.75" customHeight="1">
      <c r="A330" s="133" t="n"/>
      <c r="B330" s="113" t="n"/>
      <c r="C330" s="154" t="n"/>
      <c r="D330" s="113" t="n"/>
      <c r="E330" s="155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</row>
    <row r="331" ht="15.75" customHeight="1">
      <c r="A331" s="133" t="n"/>
      <c r="B331" s="113" t="n"/>
      <c r="C331" s="154" t="n"/>
      <c r="D331" s="113" t="n"/>
      <c r="E331" s="155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</row>
    <row r="332" ht="15.75" customHeight="1">
      <c r="A332" s="133" t="n"/>
      <c r="B332" s="113" t="n"/>
      <c r="C332" s="154" t="n"/>
      <c r="D332" s="113" t="n"/>
      <c r="E332" s="155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</row>
    <row r="333" ht="15.75" customHeight="1">
      <c r="A333" s="133" t="n"/>
      <c r="B333" s="113" t="n"/>
      <c r="C333" s="154" t="n"/>
      <c r="D333" s="113" t="n"/>
      <c r="E333" s="155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</row>
    <row r="334" ht="15.75" customHeight="1">
      <c r="A334" s="133" t="n"/>
      <c r="B334" s="113" t="n"/>
      <c r="C334" s="154" t="n"/>
      <c r="D334" s="113" t="n"/>
      <c r="E334" s="155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</row>
    <row r="335" ht="15.75" customHeight="1">
      <c r="A335" s="133" t="n"/>
      <c r="B335" s="113" t="n"/>
      <c r="C335" s="154" t="n"/>
      <c r="D335" s="113" t="n"/>
      <c r="E335" s="155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</row>
    <row r="336" ht="15.75" customHeight="1">
      <c r="A336" s="133" t="n"/>
      <c r="B336" s="113" t="n"/>
      <c r="C336" s="154" t="n"/>
      <c r="D336" s="113" t="n"/>
      <c r="E336" s="155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</row>
    <row r="337" ht="15.75" customHeight="1">
      <c r="A337" s="133" t="n"/>
      <c r="B337" s="113" t="n"/>
      <c r="C337" s="154" t="n"/>
      <c r="D337" s="113" t="n"/>
      <c r="E337" s="155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</row>
    <row r="338" ht="15.75" customHeight="1">
      <c r="A338" s="133" t="n"/>
      <c r="B338" s="113" t="n"/>
      <c r="C338" s="154" t="n"/>
      <c r="D338" s="113" t="n"/>
      <c r="E338" s="155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</row>
    <row r="339" ht="15.75" customHeight="1">
      <c r="A339" s="133" t="n"/>
      <c r="B339" s="113" t="n"/>
      <c r="C339" s="154" t="n"/>
      <c r="D339" s="113" t="n"/>
      <c r="E339" s="155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</row>
    <row r="340" ht="15.75" customHeight="1">
      <c r="A340" s="133" t="n"/>
      <c r="B340" s="113" t="n"/>
      <c r="C340" s="154" t="n"/>
      <c r="D340" s="113" t="n"/>
      <c r="E340" s="155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</row>
    <row r="341" ht="15.75" customHeight="1">
      <c r="A341" s="133" t="n"/>
      <c r="B341" s="113" t="n"/>
      <c r="C341" s="154" t="n"/>
      <c r="D341" s="113" t="n"/>
      <c r="E341" s="155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</row>
    <row r="342" ht="15.75" customHeight="1">
      <c r="A342" s="133" t="n"/>
      <c r="B342" s="113" t="n"/>
      <c r="C342" s="154" t="n"/>
      <c r="D342" s="113" t="n"/>
      <c r="E342" s="155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</row>
    <row r="343" ht="15.75" customHeight="1">
      <c r="A343" s="133" t="n"/>
      <c r="B343" s="113" t="n"/>
      <c r="C343" s="154" t="n"/>
      <c r="D343" s="113" t="n"/>
      <c r="E343" s="155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</row>
    <row r="344" ht="15.75" customHeight="1">
      <c r="A344" s="133" t="n"/>
      <c r="B344" s="113" t="n"/>
      <c r="C344" s="154" t="n"/>
      <c r="D344" s="113" t="n"/>
      <c r="E344" s="155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</row>
    <row r="345" ht="15.75" customHeight="1">
      <c r="A345" s="133" t="n"/>
      <c r="B345" s="113" t="n"/>
      <c r="C345" s="154" t="n"/>
      <c r="D345" s="113" t="n"/>
      <c r="E345" s="155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</row>
    <row r="346" ht="15.75" customHeight="1">
      <c r="A346" s="133" t="n"/>
      <c r="B346" s="113" t="n"/>
      <c r="C346" s="154" t="n"/>
      <c r="D346" s="113" t="n"/>
      <c r="E346" s="155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</row>
    <row r="347" ht="15.75" customHeight="1">
      <c r="A347" s="133" t="n"/>
      <c r="B347" s="113" t="n"/>
      <c r="C347" s="154" t="n"/>
      <c r="D347" s="113" t="n"/>
      <c r="E347" s="155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</row>
    <row r="348" ht="15.75" customHeight="1">
      <c r="A348" s="133" t="n"/>
      <c r="B348" s="113" t="n"/>
      <c r="C348" s="154" t="n"/>
      <c r="D348" s="113" t="n"/>
      <c r="E348" s="155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</row>
    <row r="349" ht="15.75" customHeight="1">
      <c r="A349" s="133" t="n"/>
      <c r="B349" s="113" t="n"/>
      <c r="C349" s="154" t="n"/>
      <c r="D349" s="113" t="n"/>
      <c r="E349" s="155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</row>
    <row r="350" ht="15.75" customHeight="1">
      <c r="A350" s="133" t="n"/>
      <c r="B350" s="113" t="n"/>
      <c r="C350" s="154" t="n"/>
      <c r="D350" s="113" t="n"/>
      <c r="E350" s="155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</row>
    <row r="351" ht="15.75" customHeight="1">
      <c r="A351" s="133" t="n"/>
      <c r="B351" s="113" t="n"/>
      <c r="C351" s="154" t="n"/>
      <c r="D351" s="113" t="n"/>
      <c r="E351" s="155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</row>
    <row r="352" ht="15.75" customHeight="1">
      <c r="A352" s="133" t="n"/>
      <c r="B352" s="113" t="n"/>
      <c r="C352" s="154" t="n"/>
      <c r="D352" s="113" t="n"/>
      <c r="E352" s="155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</row>
    <row r="353" ht="15.75" customHeight="1">
      <c r="A353" s="133" t="n"/>
      <c r="B353" s="113" t="n"/>
      <c r="C353" s="154" t="n"/>
      <c r="D353" s="113" t="n"/>
      <c r="E353" s="155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</row>
    <row r="354" ht="15.75" customHeight="1">
      <c r="A354" s="133" t="n"/>
      <c r="B354" s="113" t="n"/>
      <c r="C354" s="154" t="n"/>
      <c r="D354" s="113" t="n"/>
      <c r="E354" s="155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</row>
    <row r="355" ht="15.75" customHeight="1">
      <c r="A355" s="133" t="n"/>
      <c r="B355" s="113" t="n"/>
      <c r="C355" s="154" t="n"/>
      <c r="D355" s="113" t="n"/>
      <c r="E355" s="155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</row>
    <row r="356" ht="15.75" customHeight="1">
      <c r="A356" s="133" t="n"/>
      <c r="B356" s="113" t="n"/>
      <c r="C356" s="154" t="n"/>
      <c r="D356" s="113" t="n"/>
      <c r="E356" s="155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</row>
    <row r="357" ht="15.75" customHeight="1">
      <c r="A357" s="133" t="n"/>
      <c r="B357" s="113" t="n"/>
      <c r="C357" s="154" t="n"/>
      <c r="D357" s="113" t="n"/>
      <c r="E357" s="155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</row>
    <row r="358" ht="15.75" customHeight="1">
      <c r="A358" s="133" t="n"/>
      <c r="B358" s="113" t="n"/>
      <c r="C358" s="154" t="n"/>
      <c r="D358" s="113" t="n"/>
      <c r="E358" s="155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</row>
    <row r="359" ht="15.75" customHeight="1">
      <c r="A359" s="133" t="n"/>
      <c r="B359" s="113" t="n"/>
      <c r="C359" s="154" t="n"/>
      <c r="D359" s="113" t="n"/>
      <c r="E359" s="155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</row>
    <row r="360" ht="15.75" customHeight="1">
      <c r="A360" s="133" t="n"/>
      <c r="B360" s="113" t="n"/>
      <c r="C360" s="154" t="n"/>
      <c r="D360" s="113" t="n"/>
      <c r="E360" s="155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</row>
    <row r="361" ht="15.75" customHeight="1">
      <c r="A361" s="133" t="n"/>
      <c r="B361" s="113" t="n"/>
      <c r="C361" s="154" t="n"/>
      <c r="D361" s="113" t="n"/>
      <c r="E361" s="155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</row>
    <row r="362" ht="15.75" customHeight="1">
      <c r="A362" s="133" t="n"/>
      <c r="B362" s="113" t="n"/>
      <c r="C362" s="154" t="n"/>
      <c r="D362" s="113" t="n"/>
      <c r="E362" s="155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</row>
    <row r="363" ht="15.75" customHeight="1">
      <c r="A363" s="133" t="n"/>
      <c r="B363" s="113" t="n"/>
      <c r="C363" s="154" t="n"/>
      <c r="D363" s="113" t="n"/>
      <c r="E363" s="155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</row>
    <row r="364" ht="15.75" customHeight="1">
      <c r="A364" s="133" t="n"/>
      <c r="B364" s="113" t="n"/>
      <c r="C364" s="154" t="n"/>
      <c r="D364" s="113" t="n"/>
      <c r="E364" s="155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</row>
    <row r="365" ht="15.75" customHeight="1">
      <c r="A365" s="133" t="n"/>
      <c r="B365" s="113" t="n"/>
      <c r="C365" s="154" t="n"/>
      <c r="D365" s="113" t="n"/>
      <c r="E365" s="155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</row>
    <row r="366" ht="15.75" customHeight="1">
      <c r="A366" s="133" t="n"/>
      <c r="B366" s="113" t="n"/>
      <c r="C366" s="154" t="n"/>
      <c r="D366" s="113" t="n"/>
      <c r="E366" s="155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</row>
    <row r="367" ht="15.75" customHeight="1">
      <c r="A367" s="133" t="n"/>
      <c r="B367" s="113" t="n"/>
      <c r="C367" s="154" t="n"/>
      <c r="D367" s="113" t="n"/>
      <c r="E367" s="155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</row>
    <row r="368" ht="15.75" customHeight="1">
      <c r="A368" s="133" t="n"/>
      <c r="B368" s="113" t="n"/>
      <c r="C368" s="154" t="n"/>
      <c r="D368" s="113" t="n"/>
      <c r="E368" s="155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</row>
    <row r="369" ht="15.75" customHeight="1">
      <c r="A369" s="133" t="n"/>
      <c r="B369" s="113" t="n"/>
      <c r="C369" s="154" t="n"/>
      <c r="D369" s="113" t="n"/>
      <c r="E369" s="155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</row>
    <row r="370" ht="15.75" customHeight="1">
      <c r="A370" s="133" t="n"/>
      <c r="B370" s="113" t="n"/>
      <c r="C370" s="154" t="n"/>
      <c r="D370" s="113" t="n"/>
      <c r="E370" s="155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</row>
    <row r="371" ht="15.75" customHeight="1">
      <c r="A371" s="133" t="n"/>
      <c r="B371" s="113" t="n"/>
      <c r="C371" s="154" t="n"/>
      <c r="D371" s="113" t="n"/>
      <c r="E371" s="155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</row>
    <row r="372" ht="15.75" customHeight="1">
      <c r="A372" s="133" t="n"/>
      <c r="B372" s="113" t="n"/>
      <c r="C372" s="154" t="n"/>
      <c r="D372" s="113" t="n"/>
      <c r="E372" s="155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</row>
    <row r="373" ht="15.75" customHeight="1">
      <c r="A373" s="133" t="n"/>
      <c r="B373" s="113" t="n"/>
      <c r="C373" s="154" t="n"/>
      <c r="D373" s="113" t="n"/>
      <c r="E373" s="155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</row>
    <row r="374" ht="15.75" customHeight="1">
      <c r="A374" s="133" t="n"/>
      <c r="B374" s="113" t="n"/>
      <c r="C374" s="154" t="n"/>
      <c r="D374" s="113" t="n"/>
      <c r="E374" s="155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</row>
    <row r="375" ht="15.75" customHeight="1">
      <c r="A375" s="133" t="n"/>
      <c r="B375" s="113" t="n"/>
      <c r="C375" s="154" t="n"/>
      <c r="D375" s="113" t="n"/>
      <c r="E375" s="155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</row>
    <row r="376" ht="15.75" customHeight="1">
      <c r="A376" s="133" t="n"/>
      <c r="B376" s="113" t="n"/>
      <c r="C376" s="154" t="n"/>
      <c r="D376" s="113" t="n"/>
      <c r="E376" s="155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</row>
    <row r="377" ht="15.75" customHeight="1">
      <c r="A377" s="133" t="n"/>
      <c r="B377" s="113" t="n"/>
      <c r="C377" s="154" t="n"/>
      <c r="D377" s="113" t="n"/>
      <c r="E377" s="155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</row>
    <row r="378" ht="15.75" customHeight="1">
      <c r="A378" s="133" t="n"/>
      <c r="B378" s="113" t="n"/>
      <c r="C378" s="154" t="n"/>
      <c r="D378" s="113" t="n"/>
      <c r="E378" s="155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</row>
    <row r="379" ht="15.75" customHeight="1">
      <c r="A379" s="133" t="n"/>
      <c r="B379" s="113" t="n"/>
      <c r="C379" s="154" t="n"/>
      <c r="D379" s="113" t="n"/>
      <c r="E379" s="155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</row>
    <row r="380" ht="15.75" customHeight="1">
      <c r="A380" s="133" t="n"/>
      <c r="B380" s="113" t="n"/>
      <c r="C380" s="154" t="n"/>
      <c r="D380" s="113" t="n"/>
      <c r="E380" s="155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</row>
    <row r="381" ht="15.75" customHeight="1">
      <c r="A381" s="133" t="n"/>
      <c r="B381" s="113" t="n"/>
      <c r="C381" s="154" t="n"/>
      <c r="D381" s="113" t="n"/>
      <c r="E381" s="155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</row>
    <row r="382" ht="15.75" customHeight="1">
      <c r="A382" s="133" t="n"/>
      <c r="B382" s="113" t="n"/>
      <c r="C382" s="154" t="n"/>
      <c r="D382" s="113" t="n"/>
      <c r="E382" s="155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</row>
    <row r="383" ht="15.75" customHeight="1">
      <c r="A383" s="133" t="n"/>
      <c r="B383" s="113" t="n"/>
      <c r="C383" s="154" t="n"/>
      <c r="D383" s="113" t="n"/>
      <c r="E383" s="155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</row>
    <row r="384" ht="15.75" customHeight="1">
      <c r="A384" s="133" t="n"/>
      <c r="B384" s="113" t="n"/>
      <c r="C384" s="154" t="n"/>
      <c r="D384" s="113" t="n"/>
      <c r="E384" s="155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</row>
    <row r="385" ht="15.75" customHeight="1">
      <c r="A385" s="133" t="n"/>
      <c r="B385" s="113" t="n"/>
      <c r="C385" s="154" t="n"/>
      <c r="D385" s="113" t="n"/>
      <c r="E385" s="155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</row>
    <row r="386" ht="15.75" customHeight="1">
      <c r="A386" s="133" t="n"/>
      <c r="B386" s="113" t="n"/>
      <c r="C386" s="154" t="n"/>
      <c r="D386" s="113" t="n"/>
      <c r="E386" s="155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</row>
    <row r="387" ht="15.75" customHeight="1">
      <c r="A387" s="133" t="n"/>
      <c r="B387" s="113" t="n"/>
      <c r="C387" s="154" t="n"/>
      <c r="D387" s="113" t="n"/>
      <c r="E387" s="155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</row>
    <row r="388" ht="15.75" customHeight="1">
      <c r="A388" s="133" t="n"/>
      <c r="B388" s="113" t="n"/>
      <c r="C388" s="154" t="n"/>
      <c r="D388" s="113" t="n"/>
      <c r="E388" s="155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</row>
    <row r="389" ht="15.75" customHeight="1">
      <c r="A389" s="133" t="n"/>
      <c r="B389" s="113" t="n"/>
      <c r="C389" s="154" t="n"/>
      <c r="D389" s="113" t="n"/>
      <c r="E389" s="155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</row>
    <row r="390" ht="15.75" customHeight="1">
      <c r="A390" s="133" t="n"/>
      <c r="B390" s="113" t="n"/>
      <c r="C390" s="154" t="n"/>
      <c r="D390" s="113" t="n"/>
      <c r="E390" s="155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</row>
    <row r="391" ht="15.75" customHeight="1">
      <c r="A391" s="133" t="n"/>
      <c r="B391" s="113" t="n"/>
      <c r="C391" s="154" t="n"/>
      <c r="D391" s="113" t="n"/>
      <c r="E391" s="155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</row>
    <row r="392" ht="15.75" customHeight="1">
      <c r="A392" s="133" t="n"/>
      <c r="B392" s="113" t="n"/>
      <c r="C392" s="154" t="n"/>
      <c r="D392" s="113" t="n"/>
      <c r="E392" s="155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</row>
    <row r="393" ht="15.75" customHeight="1">
      <c r="A393" s="133" t="n"/>
      <c r="B393" s="113" t="n"/>
      <c r="C393" s="154" t="n"/>
      <c r="D393" s="113" t="n"/>
      <c r="E393" s="155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</row>
    <row r="394" ht="15.75" customHeight="1">
      <c r="A394" s="133" t="n"/>
      <c r="B394" s="113" t="n"/>
      <c r="C394" s="154" t="n"/>
      <c r="D394" s="113" t="n"/>
      <c r="E394" s="155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</row>
    <row r="395" ht="15.75" customHeight="1">
      <c r="A395" s="133" t="n"/>
      <c r="B395" s="113" t="n"/>
      <c r="C395" s="154" t="n"/>
      <c r="D395" s="113" t="n"/>
      <c r="E395" s="155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</row>
    <row r="396" ht="15.75" customHeight="1">
      <c r="A396" s="133" t="n"/>
      <c r="B396" s="113" t="n"/>
      <c r="C396" s="154" t="n"/>
      <c r="D396" s="113" t="n"/>
      <c r="E396" s="155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</row>
    <row r="397" ht="15.75" customHeight="1">
      <c r="A397" s="133" t="n"/>
      <c r="B397" s="113" t="n"/>
      <c r="C397" s="154" t="n"/>
      <c r="D397" s="113" t="n"/>
      <c r="E397" s="155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</row>
    <row r="398" ht="15.75" customHeight="1">
      <c r="A398" s="133" t="n"/>
      <c r="B398" s="113" t="n"/>
      <c r="C398" s="154" t="n"/>
      <c r="D398" s="113" t="n"/>
      <c r="E398" s="155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</row>
    <row r="399" ht="15.75" customHeight="1">
      <c r="A399" s="133" t="n"/>
      <c r="B399" s="113" t="n"/>
      <c r="C399" s="154" t="n"/>
      <c r="D399" s="113" t="n"/>
      <c r="E399" s="155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</row>
    <row r="400" ht="15.75" customHeight="1">
      <c r="A400" s="133" t="n"/>
      <c r="B400" s="113" t="n"/>
      <c r="C400" s="154" t="n"/>
      <c r="D400" s="113" t="n"/>
      <c r="E400" s="155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</row>
    <row r="401" ht="15.75" customHeight="1">
      <c r="A401" s="133" t="n"/>
      <c r="B401" s="113" t="n"/>
      <c r="C401" s="154" t="n"/>
      <c r="D401" s="113" t="n"/>
      <c r="E401" s="155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</row>
    <row r="402" ht="15.75" customHeight="1">
      <c r="A402" s="133" t="n"/>
      <c r="B402" s="113" t="n"/>
      <c r="C402" s="154" t="n"/>
      <c r="D402" s="113" t="n"/>
      <c r="E402" s="155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</row>
    <row r="403" ht="15.75" customHeight="1">
      <c r="A403" s="133" t="n"/>
      <c r="B403" s="113" t="n"/>
      <c r="C403" s="154" t="n"/>
      <c r="D403" s="113" t="n"/>
      <c r="E403" s="155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</row>
    <row r="404" ht="15.75" customHeight="1">
      <c r="A404" s="133" t="n"/>
      <c r="B404" s="113" t="n"/>
      <c r="C404" s="154" t="n"/>
      <c r="D404" s="113" t="n"/>
      <c r="E404" s="155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</row>
    <row r="405" ht="15.75" customHeight="1">
      <c r="A405" s="133" t="n"/>
      <c r="B405" s="113" t="n"/>
      <c r="C405" s="154" t="n"/>
      <c r="D405" s="113" t="n"/>
      <c r="E405" s="155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</row>
    <row r="406" ht="15.75" customHeight="1">
      <c r="A406" s="133" t="n"/>
      <c r="B406" s="113" t="n"/>
      <c r="C406" s="154" t="n"/>
      <c r="D406" s="113" t="n"/>
      <c r="E406" s="155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</row>
    <row r="407" ht="15.75" customHeight="1">
      <c r="A407" s="133" t="n"/>
      <c r="B407" s="113" t="n"/>
      <c r="C407" s="154" t="n"/>
      <c r="D407" s="113" t="n"/>
      <c r="E407" s="155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</row>
    <row r="408" ht="15.75" customHeight="1">
      <c r="A408" s="133" t="n"/>
      <c r="B408" s="113" t="n"/>
      <c r="C408" s="154" t="n"/>
      <c r="D408" s="113" t="n"/>
      <c r="E408" s="155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</row>
    <row r="409" ht="15.75" customHeight="1">
      <c r="A409" s="133" t="n"/>
      <c r="B409" s="113" t="n"/>
      <c r="C409" s="154" t="n"/>
      <c r="D409" s="113" t="n"/>
      <c r="E409" s="155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</row>
    <row r="410" ht="15.75" customHeight="1">
      <c r="A410" s="133" t="n"/>
      <c r="B410" s="113" t="n"/>
      <c r="C410" s="154" t="n"/>
      <c r="D410" s="113" t="n"/>
      <c r="E410" s="155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</row>
    <row r="411" ht="15.75" customHeight="1">
      <c r="A411" s="133" t="n"/>
      <c r="B411" s="113" t="n"/>
      <c r="C411" s="154" t="n"/>
      <c r="D411" s="113" t="n"/>
      <c r="E411" s="155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</row>
    <row r="412" ht="15.75" customHeight="1">
      <c r="A412" s="133" t="n"/>
      <c r="B412" s="113" t="n"/>
      <c r="C412" s="154" t="n"/>
      <c r="D412" s="113" t="n"/>
      <c r="E412" s="155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</row>
    <row r="413" ht="15.75" customHeight="1">
      <c r="A413" s="133" t="n"/>
      <c r="B413" s="113" t="n"/>
      <c r="C413" s="154" t="n"/>
      <c r="D413" s="113" t="n"/>
      <c r="E413" s="155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</row>
    <row r="414" ht="15.75" customHeight="1">
      <c r="A414" s="133" t="n"/>
      <c r="B414" s="113" t="n"/>
      <c r="C414" s="154" t="n"/>
      <c r="D414" s="113" t="n"/>
      <c r="E414" s="155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</row>
    <row r="415" ht="15.75" customHeight="1">
      <c r="A415" s="133" t="n"/>
      <c r="B415" s="113" t="n"/>
      <c r="C415" s="154" t="n"/>
      <c r="D415" s="113" t="n"/>
      <c r="E415" s="155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</row>
    <row r="416" ht="15.75" customHeight="1">
      <c r="A416" s="133" t="n"/>
      <c r="B416" s="113" t="n"/>
      <c r="C416" s="154" t="n"/>
      <c r="D416" s="113" t="n"/>
      <c r="E416" s="155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</row>
    <row r="417" ht="15.75" customHeight="1">
      <c r="A417" s="133" t="n"/>
      <c r="B417" s="113" t="n"/>
      <c r="C417" s="154" t="n"/>
      <c r="D417" s="113" t="n"/>
      <c r="E417" s="155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</row>
    <row r="418" ht="15.75" customHeight="1">
      <c r="A418" s="133" t="n"/>
      <c r="B418" s="113" t="n"/>
      <c r="C418" s="154" t="n"/>
      <c r="D418" s="113" t="n"/>
      <c r="E418" s="155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</row>
    <row r="419" ht="15.75" customHeight="1">
      <c r="A419" s="133" t="n"/>
      <c r="B419" s="113" t="n"/>
      <c r="C419" s="154" t="n"/>
      <c r="D419" s="113" t="n"/>
      <c r="E419" s="155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</row>
    <row r="420" ht="15.75" customHeight="1">
      <c r="A420" s="133" t="n"/>
      <c r="B420" s="113" t="n"/>
      <c r="C420" s="154" t="n"/>
      <c r="D420" s="113" t="n"/>
      <c r="E420" s="155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</row>
    <row r="421" ht="15.75" customHeight="1">
      <c r="A421" s="133" t="n"/>
      <c r="B421" s="113" t="n"/>
      <c r="C421" s="154" t="n"/>
      <c r="D421" s="113" t="n"/>
      <c r="E421" s="155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</row>
    <row r="422" ht="15.75" customHeight="1">
      <c r="A422" s="133" t="n"/>
      <c r="B422" s="113" t="n"/>
      <c r="C422" s="154" t="n"/>
      <c r="D422" s="113" t="n"/>
      <c r="E422" s="155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</row>
    <row r="423" ht="15.75" customHeight="1">
      <c r="A423" s="133" t="n"/>
      <c r="B423" s="113" t="n"/>
      <c r="C423" s="154" t="n"/>
      <c r="D423" s="113" t="n"/>
      <c r="E423" s="155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</row>
    <row r="424" ht="15.75" customHeight="1">
      <c r="A424" s="133" t="n"/>
      <c r="B424" s="113" t="n"/>
      <c r="C424" s="154" t="n"/>
      <c r="D424" s="113" t="n"/>
      <c r="E424" s="155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</row>
    <row r="425" ht="15.75" customHeight="1">
      <c r="A425" s="133" t="n"/>
      <c r="B425" s="113" t="n"/>
      <c r="C425" s="154" t="n"/>
      <c r="D425" s="113" t="n"/>
      <c r="E425" s="155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</row>
    <row r="426" ht="15.75" customHeight="1">
      <c r="A426" s="133" t="n"/>
      <c r="B426" s="113" t="n"/>
      <c r="C426" s="154" t="n"/>
      <c r="D426" s="113" t="n"/>
      <c r="E426" s="155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</row>
    <row r="427" ht="15.75" customHeight="1">
      <c r="A427" s="133" t="n"/>
      <c r="B427" s="113" t="n"/>
      <c r="C427" s="154" t="n"/>
      <c r="D427" s="113" t="n"/>
      <c r="E427" s="155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</row>
    <row r="428" ht="15.75" customHeight="1">
      <c r="A428" s="133" t="n"/>
      <c r="B428" s="113" t="n"/>
      <c r="C428" s="154" t="n"/>
      <c r="D428" s="113" t="n"/>
      <c r="E428" s="155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</row>
    <row r="429" ht="15.75" customHeight="1">
      <c r="A429" s="133" t="n"/>
      <c r="B429" s="113" t="n"/>
      <c r="C429" s="154" t="n"/>
      <c r="D429" s="113" t="n"/>
      <c r="E429" s="155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</row>
    <row r="430" ht="15.75" customHeight="1">
      <c r="A430" s="133" t="n"/>
      <c r="B430" s="113" t="n"/>
      <c r="C430" s="154" t="n"/>
      <c r="D430" s="113" t="n"/>
      <c r="E430" s="155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</row>
    <row r="431" ht="15.75" customHeight="1">
      <c r="A431" s="133" t="n"/>
      <c r="B431" s="113" t="n"/>
      <c r="C431" s="154" t="n"/>
      <c r="D431" s="113" t="n"/>
      <c r="E431" s="155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</row>
    <row r="432" ht="15.75" customHeight="1">
      <c r="A432" s="133" t="n"/>
      <c r="B432" s="113" t="n"/>
      <c r="C432" s="154" t="n"/>
      <c r="D432" s="113" t="n"/>
      <c r="E432" s="155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</row>
    <row r="433" ht="15.75" customHeight="1">
      <c r="A433" s="133" t="n"/>
      <c r="B433" s="113" t="n"/>
      <c r="C433" s="154" t="n"/>
      <c r="D433" s="113" t="n"/>
      <c r="E433" s="155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</row>
    <row r="434" ht="15.75" customHeight="1">
      <c r="A434" s="133" t="n"/>
      <c r="B434" s="113" t="n"/>
      <c r="C434" s="154" t="n"/>
      <c r="D434" s="113" t="n"/>
      <c r="E434" s="155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</row>
    <row r="435" ht="15.75" customHeight="1">
      <c r="A435" s="133" t="n"/>
      <c r="B435" s="113" t="n"/>
      <c r="C435" s="154" t="n"/>
      <c r="D435" s="113" t="n"/>
      <c r="E435" s="155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</row>
    <row r="436" ht="15.75" customHeight="1">
      <c r="A436" s="133" t="n"/>
      <c r="B436" s="113" t="n"/>
      <c r="C436" s="154" t="n"/>
      <c r="D436" s="113" t="n"/>
      <c r="E436" s="155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</row>
    <row r="437" ht="15.75" customHeight="1">
      <c r="A437" s="133" t="n"/>
      <c r="B437" s="113" t="n"/>
      <c r="C437" s="154" t="n"/>
      <c r="D437" s="113" t="n"/>
      <c r="E437" s="155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</row>
    <row r="438" ht="15.75" customHeight="1">
      <c r="A438" s="133" t="n"/>
      <c r="B438" s="113" t="n"/>
      <c r="C438" s="154" t="n"/>
      <c r="D438" s="113" t="n"/>
      <c r="E438" s="155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</row>
    <row r="439" ht="15.75" customHeight="1">
      <c r="A439" s="133" t="n"/>
      <c r="B439" s="113" t="n"/>
      <c r="C439" s="154" t="n"/>
      <c r="D439" s="113" t="n"/>
      <c r="E439" s="155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</row>
    <row r="440" ht="15.75" customHeight="1">
      <c r="A440" s="133" t="n"/>
      <c r="B440" s="113" t="n"/>
      <c r="C440" s="154" t="n"/>
      <c r="D440" s="113" t="n"/>
      <c r="E440" s="155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</row>
    <row r="441" ht="15.75" customHeight="1">
      <c r="A441" s="133" t="n"/>
      <c r="B441" s="113" t="n"/>
      <c r="C441" s="154" t="n"/>
      <c r="D441" s="113" t="n"/>
      <c r="E441" s="155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</row>
    <row r="442" ht="15.75" customHeight="1">
      <c r="A442" s="133" t="n"/>
      <c r="B442" s="113" t="n"/>
      <c r="C442" s="154" t="n"/>
      <c r="D442" s="113" t="n"/>
      <c r="E442" s="155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</row>
    <row r="443" ht="15.75" customHeight="1">
      <c r="A443" s="133" t="n"/>
      <c r="B443" s="113" t="n"/>
      <c r="C443" s="154" t="n"/>
      <c r="D443" s="113" t="n"/>
      <c r="E443" s="155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</row>
    <row r="444" ht="15.75" customHeight="1">
      <c r="A444" s="133" t="n"/>
      <c r="B444" s="113" t="n"/>
      <c r="C444" s="154" t="n"/>
      <c r="D444" s="113" t="n"/>
      <c r="E444" s="155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</row>
    <row r="445" ht="15.75" customHeight="1">
      <c r="A445" s="133" t="n"/>
      <c r="B445" s="113" t="n"/>
      <c r="C445" s="154" t="n"/>
      <c r="D445" s="113" t="n"/>
      <c r="E445" s="155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</row>
    <row r="446" ht="15.75" customHeight="1">
      <c r="A446" s="133" t="n"/>
      <c r="B446" s="113" t="n"/>
      <c r="C446" s="154" t="n"/>
      <c r="D446" s="113" t="n"/>
      <c r="E446" s="155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</row>
    <row r="447" ht="15.75" customHeight="1">
      <c r="A447" s="133" t="n"/>
      <c r="B447" s="113" t="n"/>
      <c r="C447" s="154" t="n"/>
      <c r="D447" s="113" t="n"/>
      <c r="E447" s="155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</row>
    <row r="448" ht="15.75" customHeight="1">
      <c r="A448" s="133" t="n"/>
      <c r="B448" s="113" t="n"/>
      <c r="C448" s="154" t="n"/>
      <c r="D448" s="113" t="n"/>
      <c r="E448" s="155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</row>
    <row r="449" ht="15.75" customHeight="1">
      <c r="A449" s="133" t="n"/>
      <c r="B449" s="113" t="n"/>
      <c r="C449" s="154" t="n"/>
      <c r="D449" s="113" t="n"/>
      <c r="E449" s="155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</row>
    <row r="450" ht="15.75" customHeight="1">
      <c r="A450" s="133" t="n"/>
      <c r="B450" s="113" t="n"/>
      <c r="C450" s="154" t="n"/>
      <c r="D450" s="113" t="n"/>
      <c r="E450" s="155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</row>
    <row r="451" ht="15.75" customHeight="1">
      <c r="A451" s="133" t="n"/>
      <c r="B451" s="113" t="n"/>
      <c r="C451" s="154" t="n"/>
      <c r="D451" s="113" t="n"/>
      <c r="E451" s="155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</row>
    <row r="452" ht="15.75" customHeight="1">
      <c r="A452" s="133" t="n"/>
      <c r="B452" s="113" t="n"/>
      <c r="C452" s="154" t="n"/>
      <c r="D452" s="113" t="n"/>
      <c r="E452" s="155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</row>
    <row r="453" ht="15.75" customHeight="1">
      <c r="A453" s="133" t="n"/>
      <c r="B453" s="113" t="n"/>
      <c r="C453" s="154" t="n"/>
      <c r="D453" s="113" t="n"/>
      <c r="E453" s="155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</row>
    <row r="454" ht="15.75" customHeight="1">
      <c r="A454" s="133" t="n"/>
      <c r="B454" s="113" t="n"/>
      <c r="C454" s="154" t="n"/>
      <c r="D454" s="113" t="n"/>
      <c r="E454" s="155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</row>
    <row r="455" ht="15.75" customHeight="1">
      <c r="A455" s="133" t="n"/>
      <c r="B455" s="113" t="n"/>
      <c r="C455" s="154" t="n"/>
      <c r="D455" s="113" t="n"/>
      <c r="E455" s="155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</row>
    <row r="456" ht="15.75" customHeight="1">
      <c r="A456" s="133" t="n"/>
      <c r="B456" s="113" t="n"/>
      <c r="C456" s="154" t="n"/>
      <c r="D456" s="113" t="n"/>
      <c r="E456" s="155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</row>
    <row r="457" ht="15.75" customHeight="1">
      <c r="A457" s="133" t="n"/>
      <c r="B457" s="113" t="n"/>
      <c r="C457" s="154" t="n"/>
      <c r="D457" s="113" t="n"/>
      <c r="E457" s="155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</row>
    <row r="458" ht="15.75" customHeight="1">
      <c r="A458" s="133" t="n"/>
      <c r="B458" s="113" t="n"/>
      <c r="C458" s="154" t="n"/>
      <c r="D458" s="113" t="n"/>
      <c r="E458" s="155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</row>
    <row r="459" ht="15.75" customHeight="1">
      <c r="A459" s="133" t="n"/>
      <c r="B459" s="113" t="n"/>
      <c r="C459" s="154" t="n"/>
      <c r="D459" s="113" t="n"/>
      <c r="E459" s="155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</row>
    <row r="460" ht="15.75" customHeight="1">
      <c r="A460" s="133" t="n"/>
      <c r="B460" s="113" t="n"/>
      <c r="C460" s="154" t="n"/>
      <c r="D460" s="113" t="n"/>
      <c r="E460" s="155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</row>
    <row r="461" ht="15.75" customHeight="1">
      <c r="A461" s="133" t="n"/>
      <c r="B461" s="113" t="n"/>
      <c r="C461" s="154" t="n"/>
      <c r="D461" s="113" t="n"/>
      <c r="E461" s="155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</row>
    <row r="462" ht="15.75" customHeight="1">
      <c r="A462" s="133" t="n"/>
      <c r="B462" s="113" t="n"/>
      <c r="C462" s="154" t="n"/>
      <c r="D462" s="113" t="n"/>
      <c r="E462" s="155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</row>
    <row r="463" ht="15.75" customHeight="1">
      <c r="A463" s="133" t="n"/>
      <c r="B463" s="113" t="n"/>
      <c r="C463" s="154" t="n"/>
      <c r="D463" s="113" t="n"/>
      <c r="E463" s="155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</row>
    <row r="464" ht="15.75" customHeight="1">
      <c r="A464" s="133" t="n"/>
      <c r="B464" s="113" t="n"/>
      <c r="C464" s="154" t="n"/>
      <c r="D464" s="113" t="n"/>
      <c r="E464" s="155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</row>
    <row r="465" ht="15.75" customHeight="1">
      <c r="A465" s="133" t="n"/>
      <c r="B465" s="113" t="n"/>
      <c r="C465" s="154" t="n"/>
      <c r="D465" s="113" t="n"/>
      <c r="E465" s="155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</row>
    <row r="466" ht="15.75" customHeight="1">
      <c r="A466" s="133" t="n"/>
      <c r="B466" s="113" t="n"/>
      <c r="C466" s="154" t="n"/>
      <c r="D466" s="113" t="n"/>
      <c r="E466" s="155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</row>
    <row r="467" ht="15.75" customHeight="1">
      <c r="A467" s="133" t="n"/>
      <c r="B467" s="113" t="n"/>
      <c r="C467" s="154" t="n"/>
      <c r="D467" s="113" t="n"/>
      <c r="E467" s="155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</row>
    <row r="468" ht="15.75" customHeight="1">
      <c r="A468" s="133" t="n"/>
      <c r="B468" s="113" t="n"/>
      <c r="C468" s="154" t="n"/>
      <c r="D468" s="113" t="n"/>
      <c r="E468" s="155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</row>
    <row r="469" ht="15.75" customHeight="1">
      <c r="A469" s="133" t="n"/>
      <c r="B469" s="113" t="n"/>
      <c r="C469" s="154" t="n"/>
      <c r="D469" s="113" t="n"/>
      <c r="E469" s="155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</row>
    <row r="470" ht="15.75" customHeight="1">
      <c r="A470" s="133" t="n"/>
      <c r="B470" s="113" t="n"/>
      <c r="C470" s="154" t="n"/>
      <c r="D470" s="113" t="n"/>
      <c r="E470" s="155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</row>
    <row r="471" ht="15.75" customHeight="1">
      <c r="A471" s="133" t="n"/>
      <c r="B471" s="113" t="n"/>
      <c r="C471" s="154" t="n"/>
      <c r="D471" s="113" t="n"/>
      <c r="E471" s="155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</row>
    <row r="472" ht="15.75" customHeight="1">
      <c r="A472" s="133" t="n"/>
      <c r="B472" s="113" t="n"/>
      <c r="C472" s="154" t="n"/>
      <c r="D472" s="113" t="n"/>
      <c r="E472" s="155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</row>
    <row r="473" ht="15.75" customHeight="1">
      <c r="A473" s="133" t="n"/>
      <c r="B473" s="113" t="n"/>
      <c r="C473" s="154" t="n"/>
      <c r="D473" s="113" t="n"/>
      <c r="E473" s="155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</row>
    <row r="474" ht="15.75" customHeight="1">
      <c r="A474" s="133" t="n"/>
      <c r="B474" s="113" t="n"/>
      <c r="C474" s="154" t="n"/>
      <c r="D474" s="113" t="n"/>
      <c r="E474" s="155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</row>
    <row r="475" ht="15.75" customHeight="1">
      <c r="A475" s="133" t="n"/>
      <c r="B475" s="113" t="n"/>
      <c r="C475" s="154" t="n"/>
      <c r="D475" s="113" t="n"/>
      <c r="E475" s="155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</row>
    <row r="476" ht="15.75" customHeight="1">
      <c r="A476" s="133" t="n"/>
      <c r="B476" s="113" t="n"/>
      <c r="C476" s="154" t="n"/>
      <c r="D476" s="113" t="n"/>
      <c r="E476" s="155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</row>
    <row r="477" ht="15.75" customHeight="1">
      <c r="A477" s="133" t="n"/>
      <c r="B477" s="113" t="n"/>
      <c r="C477" s="154" t="n"/>
      <c r="D477" s="113" t="n"/>
      <c r="E477" s="155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</row>
    <row r="478" ht="15.75" customHeight="1">
      <c r="A478" s="133" t="n"/>
      <c r="B478" s="113" t="n"/>
      <c r="C478" s="154" t="n"/>
      <c r="D478" s="113" t="n"/>
      <c r="E478" s="155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</row>
    <row r="479" ht="15.75" customHeight="1">
      <c r="A479" s="133" t="n"/>
      <c r="B479" s="113" t="n"/>
      <c r="C479" s="154" t="n"/>
      <c r="D479" s="113" t="n"/>
      <c r="E479" s="155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</row>
    <row r="480" ht="15.75" customHeight="1">
      <c r="A480" s="133" t="n"/>
      <c r="B480" s="113" t="n"/>
      <c r="C480" s="154" t="n"/>
      <c r="D480" s="113" t="n"/>
      <c r="E480" s="155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</row>
    <row r="481" ht="15.75" customHeight="1">
      <c r="A481" s="133" t="n"/>
      <c r="B481" s="113" t="n"/>
      <c r="C481" s="154" t="n"/>
      <c r="D481" s="113" t="n"/>
      <c r="E481" s="155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</row>
    <row r="482" ht="15.75" customHeight="1">
      <c r="A482" s="133" t="n"/>
      <c r="B482" s="113" t="n"/>
      <c r="C482" s="154" t="n"/>
      <c r="D482" s="113" t="n"/>
      <c r="E482" s="155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</row>
    <row r="483" ht="15.75" customHeight="1">
      <c r="A483" s="133" t="n"/>
      <c r="B483" s="113" t="n"/>
      <c r="C483" s="154" t="n"/>
      <c r="D483" s="113" t="n"/>
      <c r="E483" s="155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</row>
    <row r="484" ht="15.75" customHeight="1">
      <c r="A484" s="133" t="n"/>
      <c r="B484" s="113" t="n"/>
      <c r="C484" s="154" t="n"/>
      <c r="D484" s="113" t="n"/>
      <c r="E484" s="155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</row>
    <row r="485" ht="15.75" customHeight="1">
      <c r="A485" s="133" t="n"/>
      <c r="B485" s="113" t="n"/>
      <c r="C485" s="154" t="n"/>
      <c r="D485" s="113" t="n"/>
      <c r="E485" s="155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</row>
    <row r="486" ht="15.75" customHeight="1">
      <c r="A486" s="133" t="n"/>
      <c r="B486" s="113" t="n"/>
      <c r="C486" s="154" t="n"/>
      <c r="D486" s="113" t="n"/>
      <c r="E486" s="155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</row>
    <row r="487" ht="15.75" customHeight="1">
      <c r="A487" s="133" t="n"/>
      <c r="B487" s="113" t="n"/>
      <c r="C487" s="154" t="n"/>
      <c r="D487" s="113" t="n"/>
      <c r="E487" s="155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</row>
    <row r="488" ht="15.75" customHeight="1">
      <c r="A488" s="133" t="n"/>
      <c r="B488" s="113" t="n"/>
      <c r="C488" s="154" t="n"/>
      <c r="D488" s="113" t="n"/>
      <c r="E488" s="155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</row>
    <row r="489" ht="15.75" customHeight="1">
      <c r="A489" s="133" t="n"/>
      <c r="B489" s="113" t="n"/>
      <c r="C489" s="154" t="n"/>
      <c r="D489" s="113" t="n"/>
      <c r="E489" s="155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</row>
    <row r="490" ht="15.75" customHeight="1">
      <c r="A490" s="133" t="n"/>
      <c r="B490" s="113" t="n"/>
      <c r="C490" s="154" t="n"/>
      <c r="D490" s="113" t="n"/>
      <c r="E490" s="155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</row>
    <row r="491" ht="15.75" customHeight="1">
      <c r="A491" s="133" t="n"/>
      <c r="B491" s="113" t="n"/>
      <c r="C491" s="154" t="n"/>
      <c r="D491" s="113" t="n"/>
      <c r="E491" s="155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</row>
    <row r="492" ht="15.75" customHeight="1">
      <c r="A492" s="133" t="n"/>
      <c r="B492" s="113" t="n"/>
      <c r="C492" s="154" t="n"/>
      <c r="D492" s="113" t="n"/>
      <c r="E492" s="155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</row>
    <row r="493" ht="15.75" customHeight="1">
      <c r="A493" s="133" t="n"/>
      <c r="B493" s="113" t="n"/>
      <c r="C493" s="154" t="n"/>
      <c r="D493" s="113" t="n"/>
      <c r="E493" s="155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</row>
    <row r="494" ht="15.75" customHeight="1">
      <c r="A494" s="133" t="n"/>
      <c r="B494" s="113" t="n"/>
      <c r="C494" s="154" t="n"/>
      <c r="D494" s="113" t="n"/>
      <c r="E494" s="155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</row>
    <row r="495" ht="15.75" customHeight="1">
      <c r="A495" s="133" t="n"/>
      <c r="B495" s="113" t="n"/>
      <c r="C495" s="154" t="n"/>
      <c r="D495" s="113" t="n"/>
      <c r="E495" s="155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</row>
    <row r="496" ht="15.75" customHeight="1">
      <c r="A496" s="133" t="n"/>
      <c r="B496" s="113" t="n"/>
      <c r="C496" s="154" t="n"/>
      <c r="D496" s="113" t="n"/>
      <c r="E496" s="155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</row>
    <row r="497" ht="15.75" customHeight="1">
      <c r="A497" s="133" t="n"/>
      <c r="B497" s="113" t="n"/>
      <c r="C497" s="154" t="n"/>
      <c r="D497" s="113" t="n"/>
      <c r="E497" s="155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</row>
    <row r="498" ht="15.75" customHeight="1">
      <c r="A498" s="133" t="n"/>
      <c r="B498" s="113" t="n"/>
      <c r="C498" s="154" t="n"/>
      <c r="D498" s="113" t="n"/>
      <c r="E498" s="155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</row>
    <row r="499" ht="15.75" customHeight="1">
      <c r="A499" s="133" t="n"/>
      <c r="B499" s="113" t="n"/>
      <c r="C499" s="154" t="n"/>
      <c r="D499" s="113" t="n"/>
      <c r="E499" s="155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</row>
    <row r="500" ht="15.75" customHeight="1">
      <c r="A500" s="133" t="n"/>
      <c r="B500" s="113" t="n"/>
      <c r="C500" s="154" t="n"/>
      <c r="D500" s="113" t="n"/>
      <c r="E500" s="155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</row>
    <row r="501" ht="15.75" customHeight="1">
      <c r="A501" s="133" t="n"/>
      <c r="B501" s="113" t="n"/>
      <c r="C501" s="154" t="n"/>
      <c r="D501" s="113" t="n"/>
      <c r="E501" s="155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</row>
    <row r="502" ht="15.75" customHeight="1">
      <c r="A502" s="133" t="n"/>
      <c r="B502" s="113" t="n"/>
      <c r="C502" s="154" t="n"/>
      <c r="D502" s="113" t="n"/>
      <c r="E502" s="155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</row>
    <row r="503" ht="15.75" customHeight="1">
      <c r="A503" s="133" t="n"/>
      <c r="B503" s="113" t="n"/>
      <c r="C503" s="154" t="n"/>
      <c r="D503" s="113" t="n"/>
      <c r="E503" s="155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</row>
    <row r="504" ht="15.75" customHeight="1">
      <c r="A504" s="133" t="n"/>
      <c r="B504" s="113" t="n"/>
      <c r="C504" s="154" t="n"/>
      <c r="D504" s="113" t="n"/>
      <c r="E504" s="155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</row>
    <row r="505" ht="15.75" customHeight="1">
      <c r="A505" s="133" t="n"/>
      <c r="B505" s="113" t="n"/>
      <c r="C505" s="154" t="n"/>
      <c r="D505" s="113" t="n"/>
      <c r="E505" s="155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</row>
    <row r="506" ht="15.75" customHeight="1">
      <c r="A506" s="133" t="n"/>
      <c r="B506" s="113" t="n"/>
      <c r="C506" s="154" t="n"/>
      <c r="D506" s="113" t="n"/>
      <c r="E506" s="155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</row>
    <row r="507" ht="15.75" customHeight="1">
      <c r="A507" s="133" t="n"/>
      <c r="B507" s="113" t="n"/>
      <c r="C507" s="154" t="n"/>
      <c r="D507" s="113" t="n"/>
      <c r="E507" s="155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</row>
    <row r="508" ht="15.75" customHeight="1">
      <c r="A508" s="133" t="n"/>
      <c r="B508" s="113" t="n"/>
      <c r="C508" s="154" t="n"/>
      <c r="D508" s="113" t="n"/>
      <c r="E508" s="155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</row>
    <row r="509" ht="15.75" customHeight="1">
      <c r="A509" s="133" t="n"/>
      <c r="B509" s="113" t="n"/>
      <c r="C509" s="154" t="n"/>
      <c r="D509" s="113" t="n"/>
      <c r="E509" s="155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</row>
    <row r="510" ht="15.75" customHeight="1">
      <c r="A510" s="133" t="n"/>
      <c r="B510" s="113" t="n"/>
      <c r="C510" s="154" t="n"/>
      <c r="D510" s="113" t="n"/>
      <c r="E510" s="155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</row>
    <row r="511" ht="15.75" customHeight="1">
      <c r="A511" s="133" t="n"/>
      <c r="B511" s="113" t="n"/>
      <c r="C511" s="154" t="n"/>
      <c r="D511" s="113" t="n"/>
      <c r="E511" s="155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</row>
    <row r="512" ht="15.75" customHeight="1">
      <c r="A512" s="133" t="n"/>
      <c r="B512" s="113" t="n"/>
      <c r="C512" s="154" t="n"/>
      <c r="D512" s="113" t="n"/>
      <c r="E512" s="155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</row>
    <row r="513" ht="15.75" customHeight="1">
      <c r="A513" s="133" t="n"/>
      <c r="B513" s="113" t="n"/>
      <c r="C513" s="154" t="n"/>
      <c r="D513" s="113" t="n"/>
      <c r="E513" s="155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</row>
    <row r="514" ht="15.75" customHeight="1">
      <c r="A514" s="133" t="n"/>
      <c r="B514" s="113" t="n"/>
      <c r="C514" s="154" t="n"/>
      <c r="D514" s="113" t="n"/>
      <c r="E514" s="155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</row>
    <row r="515" ht="15.75" customHeight="1">
      <c r="A515" s="133" t="n"/>
      <c r="B515" s="113" t="n"/>
      <c r="C515" s="154" t="n"/>
      <c r="D515" s="113" t="n"/>
      <c r="E515" s="155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</row>
    <row r="516" ht="15.75" customHeight="1">
      <c r="A516" s="133" t="n"/>
      <c r="B516" s="113" t="n"/>
      <c r="C516" s="154" t="n"/>
      <c r="D516" s="113" t="n"/>
      <c r="E516" s="155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</row>
    <row r="517" ht="15.75" customHeight="1">
      <c r="A517" s="133" t="n"/>
      <c r="B517" s="113" t="n"/>
      <c r="C517" s="154" t="n"/>
      <c r="D517" s="113" t="n"/>
      <c r="E517" s="155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</row>
    <row r="518" ht="15.75" customHeight="1">
      <c r="A518" s="133" t="n"/>
      <c r="B518" s="113" t="n"/>
      <c r="C518" s="154" t="n"/>
      <c r="D518" s="113" t="n"/>
      <c r="E518" s="155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</row>
    <row r="519" ht="15.75" customHeight="1">
      <c r="A519" s="133" t="n"/>
      <c r="B519" s="113" t="n"/>
      <c r="C519" s="154" t="n"/>
      <c r="D519" s="113" t="n"/>
      <c r="E519" s="155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</row>
    <row r="520" ht="15.75" customHeight="1">
      <c r="A520" s="133" t="n"/>
      <c r="B520" s="113" t="n"/>
      <c r="C520" s="154" t="n"/>
      <c r="D520" s="113" t="n"/>
      <c r="E520" s="155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</row>
    <row r="521" ht="15.75" customHeight="1">
      <c r="A521" s="133" t="n"/>
      <c r="B521" s="113" t="n"/>
      <c r="C521" s="154" t="n"/>
      <c r="D521" s="113" t="n"/>
      <c r="E521" s="155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</row>
    <row r="522" ht="15.75" customHeight="1">
      <c r="A522" s="133" t="n"/>
      <c r="B522" s="113" t="n"/>
      <c r="C522" s="154" t="n"/>
      <c r="D522" s="113" t="n"/>
      <c r="E522" s="155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</row>
    <row r="523" ht="15.75" customHeight="1">
      <c r="A523" s="133" t="n"/>
      <c r="B523" s="113" t="n"/>
      <c r="C523" s="154" t="n"/>
      <c r="D523" s="113" t="n"/>
      <c r="E523" s="155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</row>
    <row r="524" ht="15.75" customHeight="1">
      <c r="A524" s="133" t="n"/>
      <c r="B524" s="113" t="n"/>
      <c r="C524" s="154" t="n"/>
      <c r="D524" s="113" t="n"/>
      <c r="E524" s="155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</row>
    <row r="525" ht="15.75" customHeight="1">
      <c r="A525" s="133" t="n"/>
      <c r="B525" s="113" t="n"/>
      <c r="C525" s="154" t="n"/>
      <c r="D525" s="113" t="n"/>
      <c r="E525" s="155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</row>
    <row r="526" ht="15.75" customHeight="1">
      <c r="A526" s="133" t="n"/>
      <c r="B526" s="113" t="n"/>
      <c r="C526" s="154" t="n"/>
      <c r="D526" s="113" t="n"/>
      <c r="E526" s="155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</row>
    <row r="527" ht="15.75" customHeight="1">
      <c r="A527" s="133" t="n"/>
      <c r="B527" s="113" t="n"/>
      <c r="C527" s="154" t="n"/>
      <c r="D527" s="113" t="n"/>
      <c r="E527" s="155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</row>
    <row r="528" ht="15.75" customHeight="1">
      <c r="A528" s="133" t="n"/>
      <c r="B528" s="113" t="n"/>
      <c r="C528" s="154" t="n"/>
      <c r="D528" s="113" t="n"/>
      <c r="E528" s="155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</row>
    <row r="529" ht="15.75" customHeight="1">
      <c r="A529" s="133" t="n"/>
      <c r="B529" s="113" t="n"/>
      <c r="C529" s="154" t="n"/>
      <c r="D529" s="113" t="n"/>
      <c r="E529" s="155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</row>
    <row r="530" ht="15.75" customHeight="1">
      <c r="A530" s="133" t="n"/>
      <c r="B530" s="113" t="n"/>
      <c r="C530" s="154" t="n"/>
      <c r="D530" s="113" t="n"/>
      <c r="E530" s="155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</row>
    <row r="531" ht="15.75" customHeight="1">
      <c r="A531" s="133" t="n"/>
      <c r="B531" s="113" t="n"/>
      <c r="C531" s="154" t="n"/>
      <c r="D531" s="113" t="n"/>
      <c r="E531" s="155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</row>
    <row r="532" ht="15.75" customHeight="1">
      <c r="A532" s="133" t="n"/>
      <c r="B532" s="113" t="n"/>
      <c r="C532" s="154" t="n"/>
      <c r="D532" s="113" t="n"/>
      <c r="E532" s="155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</row>
    <row r="533" ht="15.75" customHeight="1">
      <c r="A533" s="133" t="n"/>
      <c r="B533" s="113" t="n"/>
      <c r="C533" s="154" t="n"/>
      <c r="D533" s="113" t="n"/>
      <c r="E533" s="155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</row>
    <row r="534" ht="15.75" customHeight="1">
      <c r="A534" s="133" t="n"/>
      <c r="B534" s="113" t="n"/>
      <c r="C534" s="154" t="n"/>
      <c r="D534" s="113" t="n"/>
      <c r="E534" s="155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</row>
    <row r="535" ht="15.75" customHeight="1">
      <c r="A535" s="133" t="n"/>
      <c r="B535" s="113" t="n"/>
      <c r="C535" s="154" t="n"/>
      <c r="D535" s="113" t="n"/>
      <c r="E535" s="155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</row>
    <row r="536" ht="15.75" customHeight="1">
      <c r="A536" s="133" t="n"/>
      <c r="B536" s="113" t="n"/>
      <c r="C536" s="154" t="n"/>
      <c r="D536" s="113" t="n"/>
      <c r="E536" s="155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</row>
    <row r="537" ht="15.75" customHeight="1">
      <c r="A537" s="133" t="n"/>
      <c r="B537" s="113" t="n"/>
      <c r="C537" s="154" t="n"/>
      <c r="D537" s="113" t="n"/>
      <c r="E537" s="155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</row>
    <row r="538" ht="15.75" customHeight="1">
      <c r="A538" s="133" t="n"/>
      <c r="B538" s="113" t="n"/>
      <c r="C538" s="154" t="n"/>
      <c r="D538" s="113" t="n"/>
      <c r="E538" s="155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</row>
    <row r="539" ht="15.75" customHeight="1">
      <c r="A539" s="133" t="n"/>
      <c r="B539" s="113" t="n"/>
      <c r="C539" s="154" t="n"/>
      <c r="D539" s="113" t="n"/>
      <c r="E539" s="155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</row>
    <row r="540" ht="15.75" customHeight="1">
      <c r="A540" s="133" t="n"/>
      <c r="B540" s="113" t="n"/>
      <c r="C540" s="154" t="n"/>
      <c r="D540" s="113" t="n"/>
      <c r="E540" s="155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</row>
    <row r="541" ht="15.75" customHeight="1">
      <c r="A541" s="133" t="n"/>
      <c r="B541" s="113" t="n"/>
      <c r="C541" s="154" t="n"/>
      <c r="D541" s="113" t="n"/>
      <c r="E541" s="155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</row>
    <row r="542" ht="15.75" customHeight="1">
      <c r="A542" s="133" t="n"/>
      <c r="B542" s="113" t="n"/>
      <c r="C542" s="154" t="n"/>
      <c r="D542" s="113" t="n"/>
      <c r="E542" s="155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</row>
    <row r="543" ht="15.75" customHeight="1">
      <c r="A543" s="133" t="n"/>
      <c r="B543" s="113" t="n"/>
      <c r="C543" s="154" t="n"/>
      <c r="D543" s="113" t="n"/>
      <c r="E543" s="155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</row>
    <row r="544" ht="15.75" customHeight="1">
      <c r="A544" s="133" t="n"/>
      <c r="B544" s="113" t="n"/>
      <c r="C544" s="154" t="n"/>
      <c r="D544" s="113" t="n"/>
      <c r="E544" s="155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</row>
    <row r="545" ht="15.75" customHeight="1">
      <c r="A545" s="133" t="n"/>
      <c r="B545" s="113" t="n"/>
      <c r="C545" s="154" t="n"/>
      <c r="D545" s="113" t="n"/>
      <c r="E545" s="155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</row>
    <row r="546" ht="15.75" customHeight="1">
      <c r="A546" s="133" t="n"/>
      <c r="B546" s="113" t="n"/>
      <c r="C546" s="154" t="n"/>
      <c r="D546" s="113" t="n"/>
      <c r="E546" s="155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</row>
    <row r="547" ht="15.75" customHeight="1">
      <c r="A547" s="133" t="n"/>
      <c r="B547" s="113" t="n"/>
      <c r="C547" s="154" t="n"/>
      <c r="D547" s="113" t="n"/>
      <c r="E547" s="155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</row>
    <row r="548" ht="15.75" customHeight="1">
      <c r="A548" s="133" t="n"/>
      <c r="B548" s="113" t="n"/>
      <c r="C548" s="154" t="n"/>
      <c r="D548" s="113" t="n"/>
      <c r="E548" s="155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</row>
    <row r="549" ht="15.75" customHeight="1">
      <c r="A549" s="133" t="n"/>
      <c r="B549" s="113" t="n"/>
      <c r="C549" s="154" t="n"/>
      <c r="D549" s="113" t="n"/>
      <c r="E549" s="155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</row>
    <row r="550" ht="15.75" customHeight="1">
      <c r="A550" s="133" t="n"/>
      <c r="B550" s="113" t="n"/>
      <c r="C550" s="154" t="n"/>
      <c r="D550" s="113" t="n"/>
      <c r="E550" s="155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</row>
    <row r="551" ht="15.75" customHeight="1">
      <c r="A551" s="133" t="n"/>
      <c r="B551" s="113" t="n"/>
      <c r="C551" s="154" t="n"/>
      <c r="D551" s="113" t="n"/>
      <c r="E551" s="155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</row>
    <row r="552" ht="15.75" customHeight="1">
      <c r="A552" s="133" t="n"/>
      <c r="B552" s="113" t="n"/>
      <c r="C552" s="154" t="n"/>
      <c r="D552" s="113" t="n"/>
      <c r="E552" s="155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</row>
    <row r="553" ht="15.75" customHeight="1">
      <c r="A553" s="133" t="n"/>
      <c r="B553" s="113" t="n"/>
      <c r="C553" s="154" t="n"/>
      <c r="D553" s="113" t="n"/>
      <c r="E553" s="155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</row>
    <row r="554" ht="15.75" customHeight="1">
      <c r="A554" s="133" t="n"/>
      <c r="B554" s="113" t="n"/>
      <c r="C554" s="154" t="n"/>
      <c r="D554" s="113" t="n"/>
      <c r="E554" s="155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</row>
    <row r="555" ht="15.75" customHeight="1">
      <c r="A555" s="133" t="n"/>
      <c r="B555" s="113" t="n"/>
      <c r="C555" s="154" t="n"/>
      <c r="D555" s="113" t="n"/>
      <c r="E555" s="155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</row>
    <row r="556" ht="15.75" customHeight="1">
      <c r="A556" s="133" t="n"/>
      <c r="B556" s="113" t="n"/>
      <c r="C556" s="154" t="n"/>
      <c r="D556" s="113" t="n"/>
      <c r="E556" s="155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</row>
    <row r="557" ht="15.75" customHeight="1">
      <c r="A557" s="133" t="n"/>
      <c r="B557" s="113" t="n"/>
      <c r="C557" s="154" t="n"/>
      <c r="D557" s="113" t="n"/>
      <c r="E557" s="155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</row>
    <row r="558" ht="15.75" customHeight="1">
      <c r="A558" s="133" t="n"/>
      <c r="B558" s="113" t="n"/>
      <c r="C558" s="154" t="n"/>
      <c r="D558" s="113" t="n"/>
      <c r="E558" s="155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</row>
    <row r="559" ht="15.75" customHeight="1">
      <c r="A559" s="133" t="n"/>
      <c r="B559" s="113" t="n"/>
      <c r="C559" s="154" t="n"/>
      <c r="D559" s="113" t="n"/>
      <c r="E559" s="155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</row>
    <row r="560" ht="15.75" customHeight="1">
      <c r="A560" s="133" t="n"/>
      <c r="B560" s="113" t="n"/>
      <c r="C560" s="154" t="n"/>
      <c r="D560" s="113" t="n"/>
      <c r="E560" s="155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</row>
    <row r="561" ht="15.75" customHeight="1">
      <c r="A561" s="133" t="n"/>
      <c r="B561" s="113" t="n"/>
      <c r="C561" s="154" t="n"/>
      <c r="D561" s="113" t="n"/>
      <c r="E561" s="155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</row>
    <row r="562" ht="15.75" customHeight="1">
      <c r="A562" s="133" t="n"/>
      <c r="B562" s="113" t="n"/>
      <c r="C562" s="154" t="n"/>
      <c r="D562" s="113" t="n"/>
      <c r="E562" s="155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</row>
    <row r="563" ht="15.75" customHeight="1">
      <c r="A563" s="133" t="n"/>
      <c r="B563" s="113" t="n"/>
      <c r="C563" s="154" t="n"/>
      <c r="D563" s="113" t="n"/>
      <c r="E563" s="155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</row>
    <row r="564" ht="15.75" customHeight="1">
      <c r="A564" s="133" t="n"/>
      <c r="B564" s="113" t="n"/>
      <c r="C564" s="154" t="n"/>
      <c r="D564" s="113" t="n"/>
      <c r="E564" s="155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</row>
    <row r="565" ht="15.75" customHeight="1">
      <c r="A565" s="133" t="n"/>
      <c r="B565" s="113" t="n"/>
      <c r="C565" s="154" t="n"/>
      <c r="D565" s="113" t="n"/>
      <c r="E565" s="155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</row>
    <row r="566" ht="15.75" customHeight="1">
      <c r="A566" s="133" t="n"/>
      <c r="B566" s="113" t="n"/>
      <c r="C566" s="154" t="n"/>
      <c r="D566" s="113" t="n"/>
      <c r="E566" s="155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</row>
    <row r="567" ht="15.75" customHeight="1">
      <c r="A567" s="133" t="n"/>
      <c r="B567" s="113" t="n"/>
      <c r="C567" s="154" t="n"/>
      <c r="D567" s="113" t="n"/>
      <c r="E567" s="155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</row>
    <row r="568" ht="15.75" customHeight="1">
      <c r="A568" s="133" t="n"/>
      <c r="B568" s="113" t="n"/>
      <c r="C568" s="154" t="n"/>
      <c r="D568" s="113" t="n"/>
      <c r="E568" s="155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</row>
    <row r="569" ht="15.75" customHeight="1">
      <c r="A569" s="133" t="n"/>
      <c r="B569" s="113" t="n"/>
      <c r="C569" s="154" t="n"/>
      <c r="D569" s="113" t="n"/>
      <c r="E569" s="155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</row>
    <row r="570" ht="15.75" customHeight="1">
      <c r="A570" s="133" t="n"/>
      <c r="B570" s="113" t="n"/>
      <c r="C570" s="154" t="n"/>
      <c r="D570" s="113" t="n"/>
      <c r="E570" s="155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</row>
    <row r="571" ht="15.75" customHeight="1">
      <c r="A571" s="133" t="n"/>
      <c r="B571" s="113" t="n"/>
      <c r="C571" s="154" t="n"/>
      <c r="D571" s="113" t="n"/>
      <c r="E571" s="155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</row>
    <row r="572" ht="15.75" customHeight="1">
      <c r="A572" s="133" t="n"/>
      <c r="B572" s="113" t="n"/>
      <c r="C572" s="154" t="n"/>
      <c r="D572" s="113" t="n"/>
      <c r="E572" s="155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</row>
    <row r="573" ht="15.75" customHeight="1">
      <c r="A573" s="133" t="n"/>
      <c r="B573" s="113" t="n"/>
      <c r="C573" s="154" t="n"/>
      <c r="D573" s="113" t="n"/>
      <c r="E573" s="155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</row>
    <row r="574" ht="15.75" customHeight="1">
      <c r="A574" s="133" t="n"/>
      <c r="B574" s="113" t="n"/>
      <c r="C574" s="154" t="n"/>
      <c r="D574" s="113" t="n"/>
      <c r="E574" s="155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</row>
    <row r="575" ht="15.75" customHeight="1">
      <c r="A575" s="133" t="n"/>
      <c r="B575" s="113" t="n"/>
      <c r="C575" s="154" t="n"/>
      <c r="D575" s="113" t="n"/>
      <c r="E575" s="155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</row>
    <row r="576" ht="15.75" customHeight="1">
      <c r="A576" s="133" t="n"/>
      <c r="B576" s="113" t="n"/>
      <c r="C576" s="154" t="n"/>
      <c r="D576" s="113" t="n"/>
      <c r="E576" s="155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</row>
    <row r="577" ht="15.75" customHeight="1">
      <c r="A577" s="133" t="n"/>
      <c r="B577" s="113" t="n"/>
      <c r="C577" s="154" t="n"/>
      <c r="D577" s="113" t="n"/>
      <c r="E577" s="155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</row>
    <row r="578" ht="15.75" customHeight="1">
      <c r="A578" s="133" t="n"/>
      <c r="B578" s="113" t="n"/>
      <c r="C578" s="154" t="n"/>
      <c r="D578" s="113" t="n"/>
      <c r="E578" s="155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</row>
    <row r="579" ht="15.75" customHeight="1">
      <c r="A579" s="133" t="n"/>
      <c r="B579" s="113" t="n"/>
      <c r="C579" s="154" t="n"/>
      <c r="D579" s="113" t="n"/>
      <c r="E579" s="155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</row>
    <row r="580" ht="15.75" customHeight="1">
      <c r="A580" s="133" t="n"/>
      <c r="B580" s="113" t="n"/>
      <c r="C580" s="154" t="n"/>
      <c r="D580" s="113" t="n"/>
      <c r="E580" s="155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</row>
    <row r="581" ht="15.75" customHeight="1">
      <c r="A581" s="133" t="n"/>
      <c r="B581" s="113" t="n"/>
      <c r="C581" s="154" t="n"/>
      <c r="D581" s="113" t="n"/>
      <c r="E581" s="155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</row>
    <row r="582" ht="15.75" customHeight="1">
      <c r="A582" s="133" t="n"/>
      <c r="B582" s="113" t="n"/>
      <c r="C582" s="154" t="n"/>
      <c r="D582" s="113" t="n"/>
      <c r="E582" s="155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</row>
    <row r="583" ht="15.75" customHeight="1">
      <c r="A583" s="133" t="n"/>
      <c r="B583" s="113" t="n"/>
      <c r="C583" s="154" t="n"/>
      <c r="D583" s="113" t="n"/>
      <c r="E583" s="155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</row>
    <row r="584" ht="15.75" customHeight="1">
      <c r="A584" s="133" t="n"/>
      <c r="B584" s="113" t="n"/>
      <c r="C584" s="154" t="n"/>
      <c r="D584" s="113" t="n"/>
      <c r="E584" s="155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</row>
    <row r="585" ht="15.75" customHeight="1">
      <c r="A585" s="133" t="n"/>
      <c r="B585" s="113" t="n"/>
      <c r="C585" s="154" t="n"/>
      <c r="D585" s="113" t="n"/>
      <c r="E585" s="155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</row>
    <row r="586" ht="15.75" customHeight="1">
      <c r="A586" s="133" t="n"/>
      <c r="B586" s="113" t="n"/>
      <c r="C586" s="154" t="n"/>
      <c r="D586" s="113" t="n"/>
      <c r="E586" s="155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</row>
    <row r="587" ht="15.75" customHeight="1">
      <c r="A587" s="133" t="n"/>
      <c r="B587" s="113" t="n"/>
      <c r="C587" s="154" t="n"/>
      <c r="D587" s="113" t="n"/>
      <c r="E587" s="155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</row>
    <row r="588" ht="15.75" customHeight="1">
      <c r="A588" s="133" t="n"/>
      <c r="B588" s="113" t="n"/>
      <c r="C588" s="154" t="n"/>
      <c r="D588" s="113" t="n"/>
      <c r="E588" s="155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</row>
    <row r="589" ht="15.75" customHeight="1">
      <c r="A589" s="133" t="n"/>
      <c r="B589" s="113" t="n"/>
      <c r="C589" s="154" t="n"/>
      <c r="D589" s="113" t="n"/>
      <c r="E589" s="155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</row>
    <row r="590" ht="15.75" customHeight="1">
      <c r="A590" s="133" t="n"/>
      <c r="B590" s="113" t="n"/>
      <c r="C590" s="154" t="n"/>
      <c r="D590" s="113" t="n"/>
      <c r="E590" s="155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</row>
    <row r="591" ht="15.75" customHeight="1">
      <c r="A591" s="133" t="n"/>
      <c r="B591" s="113" t="n"/>
      <c r="C591" s="154" t="n"/>
      <c r="D591" s="113" t="n"/>
      <c r="E591" s="155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</row>
    <row r="592" ht="15.75" customHeight="1">
      <c r="A592" s="133" t="n"/>
      <c r="B592" s="113" t="n"/>
      <c r="C592" s="154" t="n"/>
      <c r="D592" s="113" t="n"/>
      <c r="E592" s="155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</row>
    <row r="593" ht="15.75" customHeight="1">
      <c r="A593" s="133" t="n"/>
      <c r="B593" s="113" t="n"/>
      <c r="C593" s="154" t="n"/>
      <c r="D593" s="113" t="n"/>
      <c r="E593" s="155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</row>
    <row r="594" ht="15.75" customHeight="1">
      <c r="A594" s="133" t="n"/>
      <c r="B594" s="113" t="n"/>
      <c r="C594" s="154" t="n"/>
      <c r="D594" s="113" t="n"/>
      <c r="E594" s="155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</row>
    <row r="595" ht="15.75" customHeight="1">
      <c r="A595" s="133" t="n"/>
      <c r="B595" s="113" t="n"/>
      <c r="C595" s="154" t="n"/>
      <c r="D595" s="113" t="n"/>
      <c r="E595" s="155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</row>
    <row r="596" ht="15.75" customHeight="1">
      <c r="A596" s="133" t="n"/>
      <c r="B596" s="113" t="n"/>
      <c r="C596" s="154" t="n"/>
      <c r="D596" s="113" t="n"/>
      <c r="E596" s="155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</row>
    <row r="597" ht="15.75" customHeight="1">
      <c r="A597" s="133" t="n"/>
      <c r="B597" s="113" t="n"/>
      <c r="C597" s="154" t="n"/>
      <c r="D597" s="113" t="n"/>
      <c r="E597" s="155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</row>
    <row r="598" ht="15.75" customHeight="1">
      <c r="A598" s="133" t="n"/>
      <c r="B598" s="113" t="n"/>
      <c r="C598" s="154" t="n"/>
      <c r="D598" s="113" t="n"/>
      <c r="E598" s="155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</row>
    <row r="599" ht="15.75" customHeight="1">
      <c r="A599" s="133" t="n"/>
      <c r="B599" s="113" t="n"/>
      <c r="C599" s="154" t="n"/>
      <c r="D599" s="113" t="n"/>
      <c r="E599" s="155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</row>
    <row r="600" ht="15.75" customHeight="1">
      <c r="A600" s="133" t="n"/>
      <c r="B600" s="113" t="n"/>
      <c r="C600" s="154" t="n"/>
      <c r="D600" s="113" t="n"/>
      <c r="E600" s="155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</row>
    <row r="601" ht="15.75" customHeight="1">
      <c r="A601" s="133" t="n"/>
      <c r="B601" s="113" t="n"/>
      <c r="C601" s="154" t="n"/>
      <c r="D601" s="113" t="n"/>
      <c r="E601" s="155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</row>
    <row r="602" ht="15.75" customHeight="1">
      <c r="A602" s="133" t="n"/>
      <c r="B602" s="113" t="n"/>
      <c r="C602" s="154" t="n"/>
      <c r="D602" s="113" t="n"/>
      <c r="E602" s="155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</row>
    <row r="603" ht="15.75" customHeight="1">
      <c r="A603" s="133" t="n"/>
      <c r="B603" s="113" t="n"/>
      <c r="C603" s="154" t="n"/>
      <c r="D603" s="113" t="n"/>
      <c r="E603" s="155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</row>
    <row r="604" ht="15.75" customHeight="1">
      <c r="A604" s="133" t="n"/>
      <c r="B604" s="113" t="n"/>
      <c r="C604" s="154" t="n"/>
      <c r="D604" s="113" t="n"/>
      <c r="E604" s="155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</row>
    <row r="605" ht="15.75" customHeight="1">
      <c r="A605" s="133" t="n"/>
      <c r="B605" s="113" t="n"/>
      <c r="C605" s="154" t="n"/>
      <c r="D605" s="113" t="n"/>
      <c r="E605" s="155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</row>
    <row r="606" ht="15.75" customHeight="1">
      <c r="A606" s="133" t="n"/>
      <c r="B606" s="113" t="n"/>
      <c r="C606" s="154" t="n"/>
      <c r="D606" s="113" t="n"/>
      <c r="E606" s="155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</row>
    <row r="607" ht="15.75" customHeight="1">
      <c r="A607" s="133" t="n"/>
      <c r="B607" s="113" t="n"/>
      <c r="C607" s="154" t="n"/>
      <c r="D607" s="113" t="n"/>
      <c r="E607" s="155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</row>
    <row r="608" ht="15.75" customHeight="1">
      <c r="A608" s="133" t="n"/>
      <c r="B608" s="113" t="n"/>
      <c r="C608" s="154" t="n"/>
      <c r="D608" s="113" t="n"/>
      <c r="E608" s="155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</row>
    <row r="609" ht="15.75" customHeight="1">
      <c r="A609" s="133" t="n"/>
      <c r="B609" s="113" t="n"/>
      <c r="C609" s="154" t="n"/>
      <c r="D609" s="113" t="n"/>
      <c r="E609" s="155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</row>
    <row r="610" ht="15.75" customHeight="1">
      <c r="A610" s="133" t="n"/>
      <c r="B610" s="113" t="n"/>
      <c r="C610" s="154" t="n"/>
      <c r="D610" s="113" t="n"/>
      <c r="E610" s="155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</row>
    <row r="611" ht="15.75" customHeight="1">
      <c r="A611" s="133" t="n"/>
      <c r="B611" s="113" t="n"/>
      <c r="C611" s="154" t="n"/>
      <c r="D611" s="113" t="n"/>
      <c r="E611" s="155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</row>
    <row r="612" ht="15.75" customHeight="1">
      <c r="A612" s="133" t="n"/>
      <c r="B612" s="113" t="n"/>
      <c r="C612" s="154" t="n"/>
      <c r="D612" s="113" t="n"/>
      <c r="E612" s="155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</row>
    <row r="613" ht="15.75" customHeight="1">
      <c r="A613" s="133" t="n"/>
      <c r="B613" s="113" t="n"/>
      <c r="C613" s="154" t="n"/>
      <c r="D613" s="113" t="n"/>
      <c r="E613" s="155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</row>
    <row r="614" ht="15.75" customHeight="1">
      <c r="A614" s="133" t="n"/>
      <c r="B614" s="113" t="n"/>
      <c r="C614" s="154" t="n"/>
      <c r="D614" s="113" t="n"/>
      <c r="E614" s="155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</row>
    <row r="615" ht="15.75" customHeight="1">
      <c r="A615" s="133" t="n"/>
      <c r="B615" s="113" t="n"/>
      <c r="C615" s="154" t="n"/>
      <c r="D615" s="113" t="n"/>
      <c r="E615" s="155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</row>
    <row r="616" ht="15.75" customHeight="1">
      <c r="A616" s="133" t="n"/>
      <c r="B616" s="113" t="n"/>
      <c r="C616" s="154" t="n"/>
      <c r="D616" s="113" t="n"/>
      <c r="E616" s="155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</row>
    <row r="617" ht="15.75" customHeight="1">
      <c r="A617" s="133" t="n"/>
      <c r="B617" s="113" t="n"/>
      <c r="C617" s="154" t="n"/>
      <c r="D617" s="113" t="n"/>
      <c r="E617" s="155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</row>
    <row r="618" ht="15.75" customHeight="1">
      <c r="A618" s="133" t="n"/>
      <c r="B618" s="113" t="n"/>
      <c r="C618" s="154" t="n"/>
      <c r="D618" s="113" t="n"/>
      <c r="E618" s="155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</row>
    <row r="619" ht="15.75" customHeight="1">
      <c r="A619" s="133" t="n"/>
      <c r="B619" s="113" t="n"/>
      <c r="C619" s="154" t="n"/>
      <c r="D619" s="113" t="n"/>
      <c r="E619" s="155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</row>
    <row r="620" ht="15.75" customHeight="1">
      <c r="A620" s="133" t="n"/>
      <c r="B620" s="113" t="n"/>
      <c r="C620" s="154" t="n"/>
      <c r="D620" s="113" t="n"/>
      <c r="E620" s="155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</row>
    <row r="621" ht="15.75" customHeight="1">
      <c r="A621" s="133" t="n"/>
      <c r="B621" s="113" t="n"/>
      <c r="C621" s="154" t="n"/>
      <c r="D621" s="113" t="n"/>
      <c r="E621" s="155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</row>
    <row r="622" ht="15.75" customHeight="1">
      <c r="A622" s="133" t="n"/>
      <c r="B622" s="113" t="n"/>
      <c r="C622" s="154" t="n"/>
      <c r="D622" s="113" t="n"/>
      <c r="E622" s="155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</row>
    <row r="623" ht="15.75" customHeight="1">
      <c r="A623" s="133" t="n"/>
      <c r="B623" s="113" t="n"/>
      <c r="C623" s="154" t="n"/>
      <c r="D623" s="113" t="n"/>
      <c r="E623" s="155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</row>
    <row r="624" ht="15.75" customHeight="1">
      <c r="A624" s="133" t="n"/>
      <c r="B624" s="113" t="n"/>
      <c r="C624" s="154" t="n"/>
      <c r="D624" s="113" t="n"/>
      <c r="E624" s="155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</row>
    <row r="625" ht="15.75" customHeight="1">
      <c r="A625" s="133" t="n"/>
      <c r="B625" s="113" t="n"/>
      <c r="C625" s="154" t="n"/>
      <c r="D625" s="113" t="n"/>
      <c r="E625" s="155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</row>
    <row r="626" ht="15.75" customHeight="1">
      <c r="A626" s="133" t="n"/>
      <c r="B626" s="113" t="n"/>
      <c r="C626" s="154" t="n"/>
      <c r="D626" s="113" t="n"/>
      <c r="E626" s="155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</row>
    <row r="627" ht="15.75" customHeight="1">
      <c r="A627" s="133" t="n"/>
      <c r="B627" s="113" t="n"/>
      <c r="C627" s="154" t="n"/>
      <c r="D627" s="113" t="n"/>
      <c r="E627" s="155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</row>
    <row r="628" ht="15.75" customHeight="1">
      <c r="A628" s="133" t="n"/>
      <c r="B628" s="113" t="n"/>
      <c r="C628" s="154" t="n"/>
      <c r="D628" s="113" t="n"/>
      <c r="E628" s="155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</row>
    <row r="629" ht="15.75" customHeight="1">
      <c r="A629" s="133" t="n"/>
      <c r="B629" s="113" t="n"/>
      <c r="C629" s="154" t="n"/>
      <c r="D629" s="113" t="n"/>
      <c r="E629" s="155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</row>
    <row r="630" ht="15.75" customHeight="1">
      <c r="A630" s="133" t="n"/>
      <c r="B630" s="113" t="n"/>
      <c r="C630" s="154" t="n"/>
      <c r="D630" s="113" t="n"/>
      <c r="E630" s="155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</row>
    <row r="631" ht="15.75" customHeight="1">
      <c r="A631" s="133" t="n"/>
      <c r="B631" s="113" t="n"/>
      <c r="C631" s="154" t="n"/>
      <c r="D631" s="113" t="n"/>
      <c r="E631" s="155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</row>
    <row r="632" ht="15.75" customHeight="1">
      <c r="A632" s="133" t="n"/>
      <c r="B632" s="113" t="n"/>
      <c r="C632" s="154" t="n"/>
      <c r="D632" s="113" t="n"/>
      <c r="E632" s="155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</row>
    <row r="633" ht="15.75" customHeight="1">
      <c r="A633" s="133" t="n"/>
      <c r="B633" s="113" t="n"/>
      <c r="C633" s="154" t="n"/>
      <c r="D633" s="113" t="n"/>
      <c r="E633" s="155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</row>
    <row r="634" ht="15.75" customHeight="1">
      <c r="A634" s="133" t="n"/>
      <c r="B634" s="113" t="n"/>
      <c r="C634" s="154" t="n"/>
      <c r="D634" s="113" t="n"/>
      <c r="E634" s="155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</row>
    <row r="635" ht="15.75" customHeight="1">
      <c r="A635" s="133" t="n"/>
      <c r="B635" s="113" t="n"/>
      <c r="C635" s="154" t="n"/>
      <c r="D635" s="113" t="n"/>
      <c r="E635" s="155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</row>
    <row r="636" ht="15.75" customHeight="1">
      <c r="A636" s="133" t="n"/>
      <c r="B636" s="113" t="n"/>
      <c r="C636" s="154" t="n"/>
      <c r="D636" s="113" t="n"/>
      <c r="E636" s="155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</row>
    <row r="637" ht="15.75" customHeight="1">
      <c r="A637" s="133" t="n"/>
      <c r="B637" s="113" t="n"/>
      <c r="C637" s="154" t="n"/>
      <c r="D637" s="113" t="n"/>
      <c r="E637" s="155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</row>
    <row r="638" ht="15.75" customHeight="1">
      <c r="A638" s="133" t="n"/>
      <c r="B638" s="113" t="n"/>
      <c r="C638" s="154" t="n"/>
      <c r="D638" s="113" t="n"/>
      <c r="E638" s="155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</row>
    <row r="639" ht="15.75" customHeight="1">
      <c r="A639" s="133" t="n"/>
      <c r="B639" s="113" t="n"/>
      <c r="C639" s="154" t="n"/>
      <c r="D639" s="113" t="n"/>
      <c r="E639" s="155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</row>
    <row r="640" ht="15.75" customHeight="1">
      <c r="A640" s="133" t="n"/>
      <c r="B640" s="113" t="n"/>
      <c r="C640" s="154" t="n"/>
      <c r="D640" s="113" t="n"/>
      <c r="E640" s="155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</row>
    <row r="641" ht="15.75" customHeight="1">
      <c r="A641" s="133" t="n"/>
      <c r="B641" s="113" t="n"/>
      <c r="C641" s="154" t="n"/>
      <c r="D641" s="113" t="n"/>
      <c r="E641" s="155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</row>
    <row r="642" ht="15.75" customHeight="1">
      <c r="A642" s="133" t="n"/>
      <c r="B642" s="113" t="n"/>
      <c r="C642" s="154" t="n"/>
      <c r="D642" s="113" t="n"/>
      <c r="E642" s="155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</row>
    <row r="643" ht="15.75" customHeight="1">
      <c r="A643" s="133" t="n"/>
      <c r="B643" s="113" t="n"/>
      <c r="C643" s="154" t="n"/>
      <c r="D643" s="113" t="n"/>
      <c r="E643" s="155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</row>
    <row r="644" ht="15.75" customHeight="1">
      <c r="A644" s="133" t="n"/>
      <c r="B644" s="113" t="n"/>
      <c r="C644" s="154" t="n"/>
      <c r="D644" s="113" t="n"/>
      <c r="E644" s="155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</row>
    <row r="645" ht="15.75" customHeight="1">
      <c r="A645" s="133" t="n"/>
      <c r="B645" s="113" t="n"/>
      <c r="C645" s="154" t="n"/>
      <c r="D645" s="113" t="n"/>
      <c r="E645" s="155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</row>
    <row r="646" ht="15.75" customHeight="1">
      <c r="A646" s="133" t="n"/>
      <c r="B646" s="113" t="n"/>
      <c r="C646" s="154" t="n"/>
      <c r="D646" s="113" t="n"/>
      <c r="E646" s="155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</row>
    <row r="647" ht="15.75" customHeight="1">
      <c r="A647" s="133" t="n"/>
      <c r="B647" s="113" t="n"/>
      <c r="C647" s="154" t="n"/>
      <c r="D647" s="113" t="n"/>
      <c r="E647" s="155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</row>
    <row r="648" ht="15.75" customHeight="1">
      <c r="A648" s="133" t="n"/>
      <c r="B648" s="113" t="n"/>
      <c r="C648" s="154" t="n"/>
      <c r="D648" s="113" t="n"/>
      <c r="E648" s="155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</row>
    <row r="649" ht="15.75" customHeight="1">
      <c r="A649" s="133" t="n"/>
      <c r="B649" s="113" t="n"/>
      <c r="C649" s="154" t="n"/>
      <c r="D649" s="113" t="n"/>
      <c r="E649" s="155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</row>
    <row r="650" ht="15.75" customHeight="1">
      <c r="A650" s="133" t="n"/>
      <c r="B650" s="113" t="n"/>
      <c r="C650" s="154" t="n"/>
      <c r="D650" s="113" t="n"/>
      <c r="E650" s="155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</row>
    <row r="651" ht="15.75" customHeight="1">
      <c r="A651" s="133" t="n"/>
      <c r="B651" s="113" t="n"/>
      <c r="C651" s="154" t="n"/>
      <c r="D651" s="113" t="n"/>
      <c r="E651" s="155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</row>
    <row r="652" ht="15.75" customHeight="1">
      <c r="A652" s="133" t="n"/>
      <c r="B652" s="113" t="n"/>
      <c r="C652" s="154" t="n"/>
      <c r="D652" s="113" t="n"/>
      <c r="E652" s="155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</row>
    <row r="653" ht="15.75" customHeight="1">
      <c r="A653" s="133" t="n"/>
      <c r="B653" s="113" t="n"/>
      <c r="C653" s="154" t="n"/>
      <c r="D653" s="113" t="n"/>
      <c r="E653" s="155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</row>
    <row r="654" ht="15.75" customHeight="1">
      <c r="A654" s="133" t="n"/>
      <c r="B654" s="113" t="n"/>
      <c r="C654" s="154" t="n"/>
      <c r="D654" s="113" t="n"/>
      <c r="E654" s="155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</row>
    <row r="655" ht="15.75" customHeight="1">
      <c r="A655" s="133" t="n"/>
      <c r="B655" s="113" t="n"/>
      <c r="C655" s="154" t="n"/>
      <c r="D655" s="113" t="n"/>
      <c r="E655" s="155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</row>
    <row r="656" ht="15.75" customHeight="1">
      <c r="A656" s="133" t="n"/>
      <c r="B656" s="113" t="n"/>
      <c r="C656" s="154" t="n"/>
      <c r="D656" s="113" t="n"/>
      <c r="E656" s="155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</row>
    <row r="657" ht="15.75" customHeight="1">
      <c r="A657" s="133" t="n"/>
      <c r="B657" s="113" t="n"/>
      <c r="C657" s="154" t="n"/>
      <c r="D657" s="113" t="n"/>
      <c r="E657" s="155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</row>
    <row r="658" ht="15.75" customHeight="1">
      <c r="A658" s="133" t="n"/>
      <c r="B658" s="113" t="n"/>
      <c r="C658" s="154" t="n"/>
      <c r="D658" s="113" t="n"/>
      <c r="E658" s="155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</row>
    <row r="659" ht="15.75" customHeight="1">
      <c r="A659" s="133" t="n"/>
      <c r="B659" s="113" t="n"/>
      <c r="C659" s="154" t="n"/>
      <c r="D659" s="113" t="n"/>
      <c r="E659" s="155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</row>
    <row r="660" ht="15.75" customHeight="1">
      <c r="A660" s="133" t="n"/>
      <c r="B660" s="113" t="n"/>
      <c r="C660" s="154" t="n"/>
      <c r="D660" s="113" t="n"/>
      <c r="E660" s="155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</row>
    <row r="661" ht="15.75" customHeight="1">
      <c r="A661" s="133" t="n"/>
      <c r="B661" s="113" t="n"/>
      <c r="C661" s="154" t="n"/>
      <c r="D661" s="113" t="n"/>
      <c r="E661" s="155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</row>
    <row r="662" ht="15.75" customHeight="1">
      <c r="A662" s="133" t="n"/>
      <c r="B662" s="113" t="n"/>
      <c r="C662" s="154" t="n"/>
      <c r="D662" s="113" t="n"/>
      <c r="E662" s="155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</row>
    <row r="663" ht="15.75" customHeight="1">
      <c r="A663" s="133" t="n"/>
      <c r="B663" s="113" t="n"/>
      <c r="C663" s="154" t="n"/>
      <c r="D663" s="113" t="n"/>
      <c r="E663" s="155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</row>
    <row r="664" ht="15.75" customHeight="1">
      <c r="A664" s="133" t="n"/>
      <c r="B664" s="113" t="n"/>
      <c r="C664" s="154" t="n"/>
      <c r="D664" s="113" t="n"/>
      <c r="E664" s="155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</row>
    <row r="665" ht="15.75" customHeight="1">
      <c r="A665" s="133" t="n"/>
      <c r="B665" s="113" t="n"/>
      <c r="C665" s="154" t="n"/>
      <c r="D665" s="113" t="n"/>
      <c r="E665" s="155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</row>
    <row r="666" ht="15.75" customHeight="1">
      <c r="A666" s="133" t="n"/>
      <c r="B666" s="113" t="n"/>
      <c r="C666" s="154" t="n"/>
      <c r="D666" s="113" t="n"/>
      <c r="E666" s="155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</row>
    <row r="667" ht="15.75" customHeight="1">
      <c r="A667" s="133" t="n"/>
      <c r="B667" s="113" t="n"/>
      <c r="C667" s="154" t="n"/>
      <c r="D667" s="113" t="n"/>
      <c r="E667" s="155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</row>
    <row r="668" ht="15.75" customHeight="1">
      <c r="A668" s="133" t="n"/>
      <c r="B668" s="113" t="n"/>
      <c r="C668" s="154" t="n"/>
      <c r="D668" s="113" t="n"/>
      <c r="E668" s="155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</row>
    <row r="669" ht="15.75" customHeight="1">
      <c r="A669" s="133" t="n"/>
      <c r="B669" s="113" t="n"/>
      <c r="C669" s="154" t="n"/>
      <c r="D669" s="113" t="n"/>
      <c r="E669" s="155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</row>
    <row r="670" ht="15.75" customHeight="1">
      <c r="A670" s="133" t="n"/>
      <c r="B670" s="113" t="n"/>
      <c r="C670" s="154" t="n"/>
      <c r="D670" s="113" t="n"/>
      <c r="E670" s="155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</row>
    <row r="671" ht="15.75" customHeight="1">
      <c r="A671" s="133" t="n"/>
      <c r="B671" s="113" t="n"/>
      <c r="C671" s="154" t="n"/>
      <c r="D671" s="113" t="n"/>
      <c r="E671" s="155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</row>
    <row r="672" ht="15.75" customHeight="1">
      <c r="A672" s="133" t="n"/>
      <c r="B672" s="113" t="n"/>
      <c r="C672" s="154" t="n"/>
      <c r="D672" s="113" t="n"/>
      <c r="E672" s="155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</row>
    <row r="673" ht="15.75" customHeight="1">
      <c r="A673" s="133" t="n"/>
      <c r="B673" s="113" t="n"/>
      <c r="C673" s="154" t="n"/>
      <c r="D673" s="113" t="n"/>
      <c r="E673" s="155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</row>
    <row r="674" ht="15.75" customHeight="1">
      <c r="A674" s="133" t="n"/>
      <c r="B674" s="113" t="n"/>
      <c r="C674" s="154" t="n"/>
      <c r="D674" s="113" t="n"/>
      <c r="E674" s="155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</row>
    <row r="675" ht="15.75" customHeight="1">
      <c r="A675" s="133" t="n"/>
      <c r="B675" s="113" t="n"/>
      <c r="C675" s="154" t="n"/>
      <c r="D675" s="113" t="n"/>
      <c r="E675" s="155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</row>
    <row r="676" ht="15.75" customHeight="1">
      <c r="A676" s="133" t="n"/>
      <c r="B676" s="113" t="n"/>
      <c r="C676" s="154" t="n"/>
      <c r="D676" s="113" t="n"/>
      <c r="E676" s="155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</row>
    <row r="677" ht="15.75" customHeight="1">
      <c r="A677" s="133" t="n"/>
      <c r="B677" s="113" t="n"/>
      <c r="C677" s="154" t="n"/>
      <c r="D677" s="113" t="n"/>
      <c r="E677" s="155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</row>
    <row r="678" ht="15.75" customHeight="1">
      <c r="A678" s="133" t="n"/>
      <c r="B678" s="113" t="n"/>
      <c r="C678" s="154" t="n"/>
      <c r="D678" s="113" t="n"/>
      <c r="E678" s="155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</row>
    <row r="679" ht="15.75" customHeight="1">
      <c r="A679" s="133" t="n"/>
      <c r="B679" s="113" t="n"/>
      <c r="C679" s="154" t="n"/>
      <c r="D679" s="113" t="n"/>
      <c r="E679" s="155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</row>
    <row r="680" ht="15.75" customHeight="1">
      <c r="A680" s="133" t="n"/>
      <c r="B680" s="113" t="n"/>
      <c r="C680" s="154" t="n"/>
      <c r="D680" s="113" t="n"/>
      <c r="E680" s="155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</row>
    <row r="681" ht="15.75" customHeight="1">
      <c r="A681" s="133" t="n"/>
      <c r="B681" s="113" t="n"/>
      <c r="C681" s="154" t="n"/>
      <c r="D681" s="113" t="n"/>
      <c r="E681" s="155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</row>
    <row r="682" ht="15.75" customHeight="1">
      <c r="A682" s="133" t="n"/>
      <c r="B682" s="113" t="n"/>
      <c r="C682" s="154" t="n"/>
      <c r="D682" s="113" t="n"/>
      <c r="E682" s="155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</row>
    <row r="683" ht="15.75" customHeight="1">
      <c r="A683" s="133" t="n"/>
      <c r="B683" s="113" t="n"/>
      <c r="C683" s="154" t="n"/>
      <c r="D683" s="113" t="n"/>
      <c r="E683" s="155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</row>
    <row r="684" ht="15.75" customHeight="1">
      <c r="A684" s="133" t="n"/>
      <c r="B684" s="113" t="n"/>
      <c r="C684" s="154" t="n"/>
      <c r="D684" s="113" t="n"/>
      <c r="E684" s="155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</row>
    <row r="685" ht="15.75" customHeight="1">
      <c r="A685" s="133" t="n"/>
      <c r="B685" s="113" t="n"/>
      <c r="C685" s="154" t="n"/>
      <c r="D685" s="113" t="n"/>
      <c r="E685" s="155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</row>
    <row r="686" ht="15.75" customHeight="1">
      <c r="A686" s="133" t="n"/>
      <c r="B686" s="113" t="n"/>
      <c r="C686" s="154" t="n"/>
      <c r="D686" s="113" t="n"/>
      <c r="E686" s="155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</row>
    <row r="687" ht="15.75" customHeight="1">
      <c r="A687" s="133" t="n"/>
      <c r="B687" s="113" t="n"/>
      <c r="C687" s="154" t="n"/>
      <c r="D687" s="113" t="n"/>
      <c r="E687" s="155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</row>
    <row r="688" ht="15.75" customHeight="1">
      <c r="A688" s="133" t="n"/>
      <c r="B688" s="113" t="n"/>
      <c r="C688" s="154" t="n"/>
      <c r="D688" s="113" t="n"/>
      <c r="E688" s="155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</row>
    <row r="689" ht="15.75" customHeight="1">
      <c r="A689" s="133" t="n"/>
      <c r="B689" s="113" t="n"/>
      <c r="C689" s="154" t="n"/>
      <c r="D689" s="113" t="n"/>
      <c r="E689" s="155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</row>
    <row r="690" ht="15.75" customHeight="1">
      <c r="A690" s="133" t="n"/>
      <c r="B690" s="113" t="n"/>
      <c r="C690" s="154" t="n"/>
      <c r="D690" s="113" t="n"/>
      <c r="E690" s="155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</row>
    <row r="691" ht="15.75" customHeight="1">
      <c r="A691" s="133" t="n"/>
      <c r="B691" s="113" t="n"/>
      <c r="C691" s="154" t="n"/>
      <c r="D691" s="113" t="n"/>
      <c r="E691" s="155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</row>
    <row r="692" ht="15.75" customHeight="1">
      <c r="A692" s="133" t="n"/>
      <c r="B692" s="113" t="n"/>
      <c r="C692" s="154" t="n"/>
      <c r="D692" s="113" t="n"/>
      <c r="E692" s="155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</row>
    <row r="693" ht="15.75" customHeight="1">
      <c r="A693" s="133" t="n"/>
      <c r="B693" s="113" t="n"/>
      <c r="C693" s="154" t="n"/>
      <c r="D693" s="113" t="n"/>
      <c r="E693" s="155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</row>
    <row r="694" ht="15.75" customHeight="1">
      <c r="A694" s="133" t="n"/>
      <c r="B694" s="113" t="n"/>
      <c r="C694" s="154" t="n"/>
      <c r="D694" s="113" t="n"/>
      <c r="E694" s="155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</row>
    <row r="695" ht="15.75" customHeight="1">
      <c r="A695" s="133" t="n"/>
      <c r="B695" s="113" t="n"/>
      <c r="C695" s="154" t="n"/>
      <c r="D695" s="113" t="n"/>
      <c r="E695" s="155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</row>
    <row r="696" ht="15.75" customHeight="1">
      <c r="A696" s="133" t="n"/>
      <c r="B696" s="113" t="n"/>
      <c r="C696" s="154" t="n"/>
      <c r="D696" s="113" t="n"/>
      <c r="E696" s="155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</row>
    <row r="697" ht="15.75" customHeight="1">
      <c r="A697" s="133" t="n"/>
      <c r="B697" s="113" t="n"/>
      <c r="C697" s="154" t="n"/>
      <c r="D697" s="113" t="n"/>
      <c r="E697" s="155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</row>
    <row r="698" ht="15.75" customHeight="1">
      <c r="A698" s="133" t="n"/>
      <c r="B698" s="113" t="n"/>
      <c r="C698" s="154" t="n"/>
      <c r="D698" s="113" t="n"/>
      <c r="E698" s="155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</row>
    <row r="699" ht="15.75" customHeight="1">
      <c r="A699" s="133" t="n"/>
      <c r="B699" s="113" t="n"/>
      <c r="C699" s="154" t="n"/>
      <c r="D699" s="113" t="n"/>
      <c r="E699" s="155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</row>
    <row r="700" ht="15.75" customHeight="1">
      <c r="A700" s="133" t="n"/>
      <c r="B700" s="113" t="n"/>
      <c r="C700" s="154" t="n"/>
      <c r="D700" s="113" t="n"/>
      <c r="E700" s="155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</row>
    <row r="701" ht="15.75" customHeight="1">
      <c r="A701" s="133" t="n"/>
      <c r="B701" s="113" t="n"/>
      <c r="C701" s="154" t="n"/>
      <c r="D701" s="113" t="n"/>
      <c r="E701" s="155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</row>
    <row r="702" ht="15.75" customHeight="1">
      <c r="A702" s="133" t="n"/>
      <c r="B702" s="113" t="n"/>
      <c r="C702" s="154" t="n"/>
      <c r="D702" s="113" t="n"/>
      <c r="E702" s="155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</row>
    <row r="703" ht="15.75" customHeight="1">
      <c r="A703" s="133" t="n"/>
      <c r="B703" s="113" t="n"/>
      <c r="C703" s="154" t="n"/>
      <c r="D703" s="113" t="n"/>
      <c r="E703" s="155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</row>
    <row r="704" ht="15.75" customHeight="1">
      <c r="A704" s="133" t="n"/>
      <c r="B704" s="113" t="n"/>
      <c r="C704" s="154" t="n"/>
      <c r="D704" s="113" t="n"/>
      <c r="E704" s="155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</row>
    <row r="705" ht="15.75" customHeight="1">
      <c r="A705" s="133" t="n"/>
      <c r="B705" s="113" t="n"/>
      <c r="C705" s="154" t="n"/>
      <c r="D705" s="113" t="n"/>
      <c r="E705" s="155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</row>
    <row r="706" ht="15.75" customHeight="1">
      <c r="A706" s="133" t="n"/>
      <c r="B706" s="113" t="n"/>
      <c r="C706" s="154" t="n"/>
      <c r="D706" s="113" t="n"/>
      <c r="E706" s="155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</row>
    <row r="707" ht="15.75" customHeight="1">
      <c r="A707" s="133" t="n"/>
      <c r="B707" s="113" t="n"/>
      <c r="C707" s="154" t="n"/>
      <c r="D707" s="113" t="n"/>
      <c r="E707" s="155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</row>
    <row r="708" ht="15.75" customHeight="1">
      <c r="A708" s="133" t="n"/>
      <c r="B708" s="113" t="n"/>
      <c r="C708" s="154" t="n"/>
      <c r="D708" s="113" t="n"/>
      <c r="E708" s="155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</row>
    <row r="709" ht="15.75" customHeight="1">
      <c r="A709" s="133" t="n"/>
      <c r="B709" s="113" t="n"/>
      <c r="C709" s="154" t="n"/>
      <c r="D709" s="113" t="n"/>
      <c r="E709" s="155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</row>
    <row r="710" ht="15.75" customHeight="1">
      <c r="A710" s="133" t="n"/>
      <c r="B710" s="113" t="n"/>
      <c r="C710" s="154" t="n"/>
      <c r="D710" s="113" t="n"/>
      <c r="E710" s="155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</row>
    <row r="711" ht="15.75" customHeight="1">
      <c r="A711" s="133" t="n"/>
      <c r="B711" s="113" t="n"/>
      <c r="C711" s="154" t="n"/>
      <c r="D711" s="113" t="n"/>
      <c r="E711" s="155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</row>
    <row r="712" ht="15.75" customHeight="1">
      <c r="A712" s="133" t="n"/>
      <c r="B712" s="113" t="n"/>
      <c r="C712" s="154" t="n"/>
      <c r="D712" s="113" t="n"/>
      <c r="E712" s="155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</row>
    <row r="713" ht="15.75" customHeight="1">
      <c r="A713" s="133" t="n"/>
      <c r="B713" s="113" t="n"/>
      <c r="C713" s="154" t="n"/>
      <c r="D713" s="113" t="n"/>
      <c r="E713" s="155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</row>
    <row r="714" ht="15.75" customHeight="1">
      <c r="A714" s="133" t="n"/>
      <c r="B714" s="113" t="n"/>
      <c r="C714" s="154" t="n"/>
      <c r="D714" s="113" t="n"/>
      <c r="E714" s="155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</row>
    <row r="715" ht="15.75" customHeight="1">
      <c r="A715" s="133" t="n"/>
      <c r="B715" s="113" t="n"/>
      <c r="C715" s="154" t="n"/>
      <c r="D715" s="113" t="n"/>
      <c r="E715" s="155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</row>
    <row r="716" ht="15.75" customHeight="1">
      <c r="A716" s="133" t="n"/>
      <c r="B716" s="113" t="n"/>
      <c r="C716" s="154" t="n"/>
      <c r="D716" s="113" t="n"/>
      <c r="E716" s="155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</row>
    <row r="717" ht="15.75" customHeight="1">
      <c r="A717" s="133" t="n"/>
      <c r="B717" s="113" t="n"/>
      <c r="C717" s="154" t="n"/>
      <c r="D717" s="113" t="n"/>
      <c r="E717" s="155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</row>
    <row r="718" ht="15.75" customHeight="1">
      <c r="A718" s="133" t="n"/>
      <c r="B718" s="113" t="n"/>
      <c r="C718" s="154" t="n"/>
      <c r="D718" s="113" t="n"/>
      <c r="E718" s="155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</row>
    <row r="719" ht="15.75" customHeight="1">
      <c r="A719" s="133" t="n"/>
      <c r="B719" s="113" t="n"/>
      <c r="C719" s="154" t="n"/>
      <c r="D719" s="113" t="n"/>
      <c r="E719" s="155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</row>
    <row r="720" ht="15.75" customHeight="1">
      <c r="A720" s="133" t="n"/>
      <c r="B720" s="113" t="n"/>
      <c r="C720" s="154" t="n"/>
      <c r="D720" s="113" t="n"/>
      <c r="E720" s="155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</row>
    <row r="721" ht="15.75" customHeight="1">
      <c r="A721" s="133" t="n"/>
      <c r="B721" s="113" t="n"/>
      <c r="C721" s="154" t="n"/>
      <c r="D721" s="113" t="n"/>
      <c r="E721" s="155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</row>
    <row r="722" ht="15.75" customHeight="1">
      <c r="A722" s="133" t="n"/>
      <c r="B722" s="113" t="n"/>
      <c r="C722" s="154" t="n"/>
      <c r="D722" s="113" t="n"/>
      <c r="E722" s="155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</row>
    <row r="723" ht="15.75" customHeight="1">
      <c r="A723" s="133" t="n"/>
      <c r="B723" s="113" t="n"/>
      <c r="C723" s="154" t="n"/>
      <c r="D723" s="113" t="n"/>
      <c r="E723" s="155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</row>
    <row r="724" ht="15.75" customHeight="1">
      <c r="A724" s="133" t="n"/>
      <c r="B724" s="113" t="n"/>
      <c r="C724" s="154" t="n"/>
      <c r="D724" s="113" t="n"/>
      <c r="E724" s="155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</row>
    <row r="725" ht="15.75" customHeight="1">
      <c r="A725" s="133" t="n"/>
      <c r="B725" s="113" t="n"/>
      <c r="C725" s="154" t="n"/>
      <c r="D725" s="113" t="n"/>
      <c r="E725" s="155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</row>
    <row r="726" ht="15.75" customHeight="1">
      <c r="A726" s="133" t="n"/>
      <c r="B726" s="113" t="n"/>
      <c r="C726" s="154" t="n"/>
      <c r="D726" s="113" t="n"/>
      <c r="E726" s="155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</row>
    <row r="727" ht="15.75" customHeight="1">
      <c r="A727" s="133" t="n"/>
      <c r="B727" s="113" t="n"/>
      <c r="C727" s="154" t="n"/>
      <c r="D727" s="113" t="n"/>
      <c r="E727" s="155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</row>
    <row r="728" ht="15.75" customHeight="1">
      <c r="A728" s="133" t="n"/>
      <c r="B728" s="113" t="n"/>
      <c r="C728" s="154" t="n"/>
      <c r="D728" s="113" t="n"/>
      <c r="E728" s="155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</row>
    <row r="729" ht="15.75" customHeight="1">
      <c r="A729" s="133" t="n"/>
      <c r="B729" s="113" t="n"/>
      <c r="C729" s="154" t="n"/>
      <c r="D729" s="113" t="n"/>
      <c r="E729" s="155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</row>
    <row r="730" ht="15.75" customHeight="1">
      <c r="A730" s="133" t="n"/>
      <c r="B730" s="113" t="n"/>
      <c r="C730" s="154" t="n"/>
      <c r="D730" s="113" t="n"/>
      <c r="E730" s="155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</row>
    <row r="731" ht="15.75" customHeight="1">
      <c r="A731" s="133" t="n"/>
      <c r="B731" s="113" t="n"/>
      <c r="C731" s="154" t="n"/>
      <c r="D731" s="113" t="n"/>
      <c r="E731" s="155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</row>
    <row r="732" ht="15.75" customHeight="1">
      <c r="A732" s="133" t="n"/>
      <c r="B732" s="113" t="n"/>
      <c r="C732" s="154" t="n"/>
      <c r="D732" s="113" t="n"/>
      <c r="E732" s="155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</row>
    <row r="733" ht="15.75" customHeight="1">
      <c r="A733" s="133" t="n"/>
      <c r="B733" s="113" t="n"/>
      <c r="C733" s="154" t="n"/>
      <c r="D733" s="113" t="n"/>
      <c r="E733" s="155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</row>
    <row r="734" ht="15.75" customHeight="1">
      <c r="A734" s="133" t="n"/>
      <c r="B734" s="113" t="n"/>
      <c r="C734" s="154" t="n"/>
      <c r="D734" s="113" t="n"/>
      <c r="E734" s="155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</row>
    <row r="735" ht="15.75" customHeight="1">
      <c r="A735" s="133" t="n"/>
      <c r="B735" s="113" t="n"/>
      <c r="C735" s="154" t="n"/>
      <c r="D735" s="113" t="n"/>
      <c r="E735" s="155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</row>
    <row r="736" ht="15.75" customHeight="1">
      <c r="A736" s="133" t="n"/>
      <c r="B736" s="113" t="n"/>
      <c r="C736" s="154" t="n"/>
      <c r="D736" s="113" t="n"/>
      <c r="E736" s="155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</row>
    <row r="737" ht="15.75" customHeight="1">
      <c r="A737" s="133" t="n"/>
      <c r="B737" s="113" t="n"/>
      <c r="C737" s="154" t="n"/>
      <c r="D737" s="113" t="n"/>
      <c r="E737" s="155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</row>
    <row r="738" ht="15.75" customHeight="1">
      <c r="A738" s="133" t="n"/>
      <c r="B738" s="113" t="n"/>
      <c r="C738" s="154" t="n"/>
      <c r="D738" s="113" t="n"/>
      <c r="E738" s="155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</row>
    <row r="739" ht="15.75" customHeight="1">
      <c r="A739" s="133" t="n"/>
      <c r="B739" s="113" t="n"/>
      <c r="C739" s="154" t="n"/>
      <c r="D739" s="113" t="n"/>
      <c r="E739" s="155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</row>
    <row r="740" ht="15.75" customHeight="1">
      <c r="A740" s="133" t="n"/>
      <c r="B740" s="113" t="n"/>
      <c r="C740" s="154" t="n"/>
      <c r="D740" s="113" t="n"/>
      <c r="E740" s="155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</row>
    <row r="741" ht="15.75" customHeight="1">
      <c r="A741" s="133" t="n"/>
      <c r="B741" s="113" t="n"/>
      <c r="C741" s="154" t="n"/>
      <c r="D741" s="113" t="n"/>
      <c r="E741" s="155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</row>
    <row r="742" ht="15.75" customHeight="1">
      <c r="A742" s="133" t="n"/>
      <c r="B742" s="113" t="n"/>
      <c r="C742" s="154" t="n"/>
      <c r="D742" s="113" t="n"/>
      <c r="E742" s="155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</row>
    <row r="743" ht="15.75" customHeight="1">
      <c r="A743" s="133" t="n"/>
      <c r="B743" s="113" t="n"/>
      <c r="C743" s="154" t="n"/>
      <c r="D743" s="113" t="n"/>
      <c r="E743" s="155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</row>
    <row r="744" ht="15.75" customHeight="1">
      <c r="A744" s="133" t="n"/>
      <c r="B744" s="113" t="n"/>
      <c r="C744" s="154" t="n"/>
      <c r="D744" s="113" t="n"/>
      <c r="E744" s="155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</row>
    <row r="745" ht="15.75" customHeight="1">
      <c r="A745" s="133" t="n"/>
      <c r="B745" s="113" t="n"/>
      <c r="C745" s="154" t="n"/>
      <c r="D745" s="113" t="n"/>
      <c r="E745" s="155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</row>
    <row r="746" ht="15.75" customHeight="1">
      <c r="A746" s="133" t="n"/>
      <c r="B746" s="113" t="n"/>
      <c r="C746" s="154" t="n"/>
      <c r="D746" s="113" t="n"/>
      <c r="E746" s="155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</row>
    <row r="747" ht="15.75" customHeight="1">
      <c r="A747" s="133" t="n"/>
      <c r="B747" s="113" t="n"/>
      <c r="C747" s="154" t="n"/>
      <c r="D747" s="113" t="n"/>
      <c r="E747" s="155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</row>
    <row r="748" ht="15.75" customHeight="1">
      <c r="A748" s="133" t="n"/>
      <c r="B748" s="113" t="n"/>
      <c r="C748" s="154" t="n"/>
      <c r="D748" s="113" t="n"/>
      <c r="E748" s="155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</row>
    <row r="749" ht="15.75" customHeight="1">
      <c r="A749" s="133" t="n"/>
      <c r="B749" s="113" t="n"/>
      <c r="C749" s="154" t="n"/>
      <c r="D749" s="113" t="n"/>
      <c r="E749" s="155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</row>
    <row r="750" ht="15.75" customHeight="1">
      <c r="A750" s="133" t="n"/>
      <c r="B750" s="113" t="n"/>
      <c r="C750" s="154" t="n"/>
      <c r="D750" s="113" t="n"/>
      <c r="E750" s="155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</row>
    <row r="751" ht="15.75" customHeight="1">
      <c r="A751" s="133" t="n"/>
      <c r="B751" s="113" t="n"/>
      <c r="C751" s="154" t="n"/>
      <c r="D751" s="113" t="n"/>
      <c r="E751" s="155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</row>
    <row r="752" ht="15.75" customHeight="1">
      <c r="A752" s="133" t="n"/>
      <c r="B752" s="113" t="n"/>
      <c r="C752" s="154" t="n"/>
      <c r="D752" s="113" t="n"/>
      <c r="E752" s="155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</row>
    <row r="753" ht="15.75" customHeight="1">
      <c r="A753" s="133" t="n"/>
      <c r="B753" s="113" t="n"/>
      <c r="C753" s="154" t="n"/>
      <c r="D753" s="113" t="n"/>
      <c r="E753" s="155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</row>
    <row r="754" ht="15.75" customHeight="1">
      <c r="A754" s="133" t="n"/>
      <c r="B754" s="113" t="n"/>
      <c r="C754" s="154" t="n"/>
      <c r="D754" s="113" t="n"/>
      <c r="E754" s="155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</row>
    <row r="755" ht="15.75" customHeight="1">
      <c r="A755" s="133" t="n"/>
      <c r="B755" s="113" t="n"/>
      <c r="C755" s="154" t="n"/>
      <c r="D755" s="113" t="n"/>
      <c r="E755" s="155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</row>
    <row r="756" ht="15.75" customHeight="1">
      <c r="A756" s="133" t="n"/>
      <c r="B756" s="113" t="n"/>
      <c r="C756" s="154" t="n"/>
      <c r="D756" s="113" t="n"/>
      <c r="E756" s="155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</row>
    <row r="757" ht="15.75" customHeight="1">
      <c r="A757" s="133" t="n"/>
      <c r="B757" s="113" t="n"/>
      <c r="C757" s="154" t="n"/>
      <c r="D757" s="113" t="n"/>
      <c r="E757" s="155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</row>
    <row r="758" ht="15.75" customHeight="1">
      <c r="A758" s="133" t="n"/>
      <c r="B758" s="113" t="n"/>
      <c r="C758" s="154" t="n"/>
      <c r="D758" s="113" t="n"/>
      <c r="E758" s="155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</row>
    <row r="759" ht="15.75" customHeight="1">
      <c r="A759" s="133" t="n"/>
      <c r="B759" s="113" t="n"/>
      <c r="C759" s="154" t="n"/>
      <c r="D759" s="113" t="n"/>
      <c r="E759" s="155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</row>
    <row r="760" ht="15.75" customHeight="1">
      <c r="A760" s="133" t="n"/>
      <c r="B760" s="113" t="n"/>
      <c r="C760" s="154" t="n"/>
      <c r="D760" s="113" t="n"/>
      <c r="E760" s="155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</row>
    <row r="761" ht="15.75" customHeight="1">
      <c r="A761" s="133" t="n"/>
      <c r="B761" s="113" t="n"/>
      <c r="C761" s="154" t="n"/>
      <c r="D761" s="113" t="n"/>
      <c r="E761" s="155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</row>
    <row r="762" ht="15.75" customHeight="1">
      <c r="A762" s="133" t="n"/>
      <c r="B762" s="113" t="n"/>
      <c r="C762" s="154" t="n"/>
      <c r="D762" s="113" t="n"/>
      <c r="E762" s="155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</row>
    <row r="763" ht="15.75" customHeight="1">
      <c r="A763" s="133" t="n"/>
      <c r="B763" s="113" t="n"/>
      <c r="C763" s="154" t="n"/>
      <c r="D763" s="113" t="n"/>
      <c r="E763" s="155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</row>
    <row r="764" ht="15.75" customHeight="1">
      <c r="A764" s="133" t="n"/>
      <c r="B764" s="113" t="n"/>
      <c r="C764" s="154" t="n"/>
      <c r="D764" s="113" t="n"/>
      <c r="E764" s="155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</row>
    <row r="765" ht="15.75" customHeight="1">
      <c r="A765" s="133" t="n"/>
      <c r="B765" s="113" t="n"/>
      <c r="C765" s="154" t="n"/>
      <c r="D765" s="113" t="n"/>
      <c r="E765" s="155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</row>
    <row r="766" ht="15.75" customHeight="1">
      <c r="A766" s="133" t="n"/>
      <c r="B766" s="113" t="n"/>
      <c r="C766" s="154" t="n"/>
      <c r="D766" s="113" t="n"/>
      <c r="E766" s="155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</row>
    <row r="767" ht="15.75" customHeight="1">
      <c r="A767" s="133" t="n"/>
      <c r="B767" s="113" t="n"/>
      <c r="C767" s="154" t="n"/>
      <c r="D767" s="113" t="n"/>
      <c r="E767" s="155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</row>
    <row r="768" ht="15.75" customHeight="1">
      <c r="A768" s="133" t="n"/>
      <c r="B768" s="113" t="n"/>
      <c r="C768" s="154" t="n"/>
      <c r="D768" s="113" t="n"/>
      <c r="E768" s="155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</row>
    <row r="769" ht="15.75" customHeight="1">
      <c r="A769" s="133" t="n"/>
      <c r="B769" s="113" t="n"/>
      <c r="C769" s="154" t="n"/>
      <c r="D769" s="113" t="n"/>
      <c r="E769" s="155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</row>
    <row r="770" ht="15.75" customHeight="1">
      <c r="A770" s="133" t="n"/>
      <c r="B770" s="113" t="n"/>
      <c r="C770" s="154" t="n"/>
      <c r="D770" s="113" t="n"/>
      <c r="E770" s="155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</row>
    <row r="771" ht="15.75" customHeight="1">
      <c r="A771" s="133" t="n"/>
      <c r="B771" s="113" t="n"/>
      <c r="C771" s="154" t="n"/>
      <c r="D771" s="113" t="n"/>
      <c r="E771" s="155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</row>
    <row r="772" ht="15.75" customHeight="1">
      <c r="A772" s="133" t="n"/>
      <c r="B772" s="113" t="n"/>
      <c r="C772" s="154" t="n"/>
      <c r="D772" s="113" t="n"/>
      <c r="E772" s="155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</row>
    <row r="773" ht="15.75" customHeight="1">
      <c r="A773" s="133" t="n"/>
      <c r="B773" s="113" t="n"/>
      <c r="C773" s="154" t="n"/>
      <c r="D773" s="113" t="n"/>
      <c r="E773" s="155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</row>
    <row r="774" ht="15.75" customHeight="1">
      <c r="A774" s="133" t="n"/>
      <c r="B774" s="113" t="n"/>
      <c r="C774" s="154" t="n"/>
      <c r="D774" s="113" t="n"/>
      <c r="E774" s="155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</row>
    <row r="775" ht="15.75" customHeight="1">
      <c r="A775" s="133" t="n"/>
      <c r="B775" s="113" t="n"/>
      <c r="C775" s="154" t="n"/>
      <c r="D775" s="113" t="n"/>
      <c r="E775" s="155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</row>
    <row r="776" ht="15.75" customHeight="1">
      <c r="A776" s="133" t="n"/>
      <c r="B776" s="113" t="n"/>
      <c r="C776" s="154" t="n"/>
      <c r="D776" s="113" t="n"/>
      <c r="E776" s="155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</row>
    <row r="777" ht="15.75" customHeight="1">
      <c r="A777" s="133" t="n"/>
      <c r="B777" s="113" t="n"/>
      <c r="C777" s="154" t="n"/>
      <c r="D777" s="113" t="n"/>
      <c r="E777" s="155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</row>
    <row r="778" ht="15.75" customHeight="1">
      <c r="A778" s="133" t="n"/>
      <c r="B778" s="113" t="n"/>
      <c r="C778" s="154" t="n"/>
      <c r="D778" s="113" t="n"/>
      <c r="E778" s="155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</row>
    <row r="779" ht="15.75" customHeight="1">
      <c r="A779" s="133" t="n"/>
      <c r="B779" s="113" t="n"/>
      <c r="C779" s="154" t="n"/>
      <c r="D779" s="113" t="n"/>
      <c r="E779" s="155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</row>
    <row r="780" ht="15.75" customHeight="1">
      <c r="A780" s="133" t="n"/>
      <c r="B780" s="113" t="n"/>
      <c r="C780" s="154" t="n"/>
      <c r="D780" s="113" t="n"/>
      <c r="E780" s="155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</row>
    <row r="781" ht="15.75" customHeight="1">
      <c r="A781" s="133" t="n"/>
      <c r="B781" s="113" t="n"/>
      <c r="C781" s="154" t="n"/>
      <c r="D781" s="113" t="n"/>
      <c r="E781" s="155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</row>
    <row r="782" ht="15.75" customHeight="1">
      <c r="A782" s="133" t="n"/>
      <c r="B782" s="113" t="n"/>
      <c r="C782" s="154" t="n"/>
      <c r="D782" s="113" t="n"/>
      <c r="E782" s="155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</row>
    <row r="783" ht="15.75" customHeight="1">
      <c r="A783" s="133" t="n"/>
      <c r="B783" s="113" t="n"/>
      <c r="C783" s="154" t="n"/>
      <c r="D783" s="113" t="n"/>
      <c r="E783" s="155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</row>
    <row r="784" ht="15.75" customHeight="1">
      <c r="A784" s="133" t="n"/>
      <c r="B784" s="113" t="n"/>
      <c r="C784" s="154" t="n"/>
      <c r="D784" s="113" t="n"/>
      <c r="E784" s="155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</row>
    <row r="785" ht="15.75" customHeight="1">
      <c r="A785" s="133" t="n"/>
      <c r="B785" s="113" t="n"/>
      <c r="C785" s="154" t="n"/>
      <c r="D785" s="113" t="n"/>
      <c r="E785" s="155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</row>
    <row r="786" ht="15.75" customHeight="1">
      <c r="A786" s="133" t="n"/>
      <c r="B786" s="113" t="n"/>
      <c r="C786" s="154" t="n"/>
      <c r="D786" s="113" t="n"/>
      <c r="E786" s="155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</row>
    <row r="787" ht="15.75" customHeight="1">
      <c r="A787" s="133" t="n"/>
      <c r="B787" s="113" t="n"/>
      <c r="C787" s="154" t="n"/>
      <c r="D787" s="113" t="n"/>
      <c r="E787" s="155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</row>
    <row r="788" ht="15.75" customHeight="1">
      <c r="A788" s="133" t="n"/>
      <c r="B788" s="113" t="n"/>
      <c r="C788" s="154" t="n"/>
      <c r="D788" s="113" t="n"/>
      <c r="E788" s="155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</row>
    <row r="789" ht="15.75" customHeight="1">
      <c r="A789" s="133" t="n"/>
      <c r="B789" s="113" t="n"/>
      <c r="C789" s="154" t="n"/>
      <c r="D789" s="113" t="n"/>
      <c r="E789" s="155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</row>
    <row r="790" ht="15.75" customHeight="1">
      <c r="A790" s="133" t="n"/>
      <c r="B790" s="113" t="n"/>
      <c r="C790" s="154" t="n"/>
      <c r="D790" s="113" t="n"/>
      <c r="E790" s="155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</row>
    <row r="791" ht="15.75" customHeight="1">
      <c r="A791" s="133" t="n"/>
      <c r="B791" s="113" t="n"/>
      <c r="C791" s="154" t="n"/>
      <c r="D791" s="113" t="n"/>
      <c r="E791" s="155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</row>
    <row r="792" ht="15.75" customHeight="1">
      <c r="A792" s="133" t="n"/>
      <c r="B792" s="113" t="n"/>
      <c r="C792" s="154" t="n"/>
      <c r="D792" s="113" t="n"/>
      <c r="E792" s="155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</row>
    <row r="793" ht="15.75" customHeight="1">
      <c r="A793" s="133" t="n"/>
      <c r="B793" s="113" t="n"/>
      <c r="C793" s="154" t="n"/>
      <c r="D793" s="113" t="n"/>
      <c r="E793" s="155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</row>
    <row r="794" ht="15.75" customHeight="1">
      <c r="A794" s="133" t="n"/>
      <c r="B794" s="113" t="n"/>
      <c r="C794" s="154" t="n"/>
      <c r="D794" s="113" t="n"/>
      <c r="E794" s="155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</row>
    <row r="795" ht="15.75" customHeight="1">
      <c r="A795" s="133" t="n"/>
      <c r="B795" s="113" t="n"/>
      <c r="C795" s="154" t="n"/>
      <c r="D795" s="113" t="n"/>
      <c r="E795" s="155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</row>
    <row r="796" ht="15.75" customHeight="1">
      <c r="A796" s="133" t="n"/>
      <c r="B796" s="113" t="n"/>
      <c r="C796" s="154" t="n"/>
      <c r="D796" s="113" t="n"/>
      <c r="E796" s="155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</row>
    <row r="797" ht="15.75" customHeight="1">
      <c r="A797" s="133" t="n"/>
      <c r="B797" s="113" t="n"/>
      <c r="C797" s="154" t="n"/>
      <c r="D797" s="113" t="n"/>
      <c r="E797" s="155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</row>
    <row r="798" ht="15.75" customHeight="1">
      <c r="A798" s="133" t="n"/>
      <c r="B798" s="113" t="n"/>
      <c r="C798" s="154" t="n"/>
      <c r="D798" s="113" t="n"/>
      <c r="E798" s="155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</row>
    <row r="799" ht="15.75" customHeight="1">
      <c r="A799" s="133" t="n"/>
      <c r="B799" s="113" t="n"/>
      <c r="C799" s="154" t="n"/>
      <c r="D799" s="113" t="n"/>
      <c r="E799" s="155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</row>
    <row r="800" ht="15.75" customHeight="1">
      <c r="A800" s="133" t="n"/>
      <c r="B800" s="113" t="n"/>
      <c r="C800" s="154" t="n"/>
      <c r="D800" s="113" t="n"/>
      <c r="E800" s="155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</row>
    <row r="801" ht="15.75" customHeight="1">
      <c r="A801" s="133" t="n"/>
      <c r="B801" s="113" t="n"/>
      <c r="C801" s="154" t="n"/>
      <c r="D801" s="113" t="n"/>
      <c r="E801" s="155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</row>
    <row r="802" ht="15.75" customHeight="1">
      <c r="A802" s="133" t="n"/>
      <c r="B802" s="113" t="n"/>
      <c r="C802" s="154" t="n"/>
      <c r="D802" s="113" t="n"/>
      <c r="E802" s="155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</row>
    <row r="803" ht="15.75" customHeight="1">
      <c r="A803" s="133" t="n"/>
      <c r="B803" s="113" t="n"/>
      <c r="C803" s="154" t="n"/>
      <c r="D803" s="113" t="n"/>
      <c r="E803" s="155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</row>
    <row r="804" ht="15.75" customHeight="1">
      <c r="A804" s="133" t="n"/>
      <c r="B804" s="113" t="n"/>
      <c r="C804" s="154" t="n"/>
      <c r="D804" s="113" t="n"/>
      <c r="E804" s="155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</row>
    <row r="805" ht="15.75" customHeight="1">
      <c r="A805" s="133" t="n"/>
      <c r="B805" s="113" t="n"/>
      <c r="C805" s="154" t="n"/>
      <c r="D805" s="113" t="n"/>
      <c r="E805" s="155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</row>
    <row r="806" ht="15.75" customHeight="1">
      <c r="A806" s="133" t="n"/>
      <c r="B806" s="113" t="n"/>
      <c r="C806" s="154" t="n"/>
      <c r="D806" s="113" t="n"/>
      <c r="E806" s="155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</row>
    <row r="807" ht="15.75" customHeight="1">
      <c r="A807" s="133" t="n"/>
      <c r="B807" s="113" t="n"/>
      <c r="C807" s="154" t="n"/>
      <c r="D807" s="113" t="n"/>
      <c r="E807" s="155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</row>
    <row r="808" ht="15.75" customHeight="1">
      <c r="A808" s="133" t="n"/>
      <c r="B808" s="113" t="n"/>
      <c r="C808" s="154" t="n"/>
      <c r="D808" s="113" t="n"/>
      <c r="E808" s="155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</row>
    <row r="809" ht="15.75" customHeight="1">
      <c r="A809" s="133" t="n"/>
      <c r="B809" s="113" t="n"/>
      <c r="C809" s="154" t="n"/>
      <c r="D809" s="113" t="n"/>
      <c r="E809" s="155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</row>
    <row r="810" ht="15.75" customHeight="1">
      <c r="A810" s="133" t="n"/>
      <c r="B810" s="113" t="n"/>
      <c r="C810" s="154" t="n"/>
      <c r="D810" s="113" t="n"/>
      <c r="E810" s="155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</row>
    <row r="811" ht="15.75" customHeight="1">
      <c r="A811" s="133" t="n"/>
      <c r="B811" s="113" t="n"/>
      <c r="C811" s="154" t="n"/>
      <c r="D811" s="113" t="n"/>
      <c r="E811" s="155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</row>
    <row r="812" ht="15.75" customHeight="1">
      <c r="A812" s="133" t="n"/>
      <c r="B812" s="113" t="n"/>
      <c r="C812" s="154" t="n"/>
      <c r="D812" s="113" t="n"/>
      <c r="E812" s="155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</row>
    <row r="813" ht="15.75" customHeight="1">
      <c r="A813" s="133" t="n"/>
      <c r="B813" s="113" t="n"/>
      <c r="C813" s="154" t="n"/>
      <c r="D813" s="113" t="n"/>
      <c r="E813" s="155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</row>
    <row r="814" ht="15.75" customHeight="1">
      <c r="A814" s="133" t="n"/>
      <c r="B814" s="113" t="n"/>
      <c r="C814" s="154" t="n"/>
      <c r="D814" s="113" t="n"/>
      <c r="E814" s="155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</row>
    <row r="815" ht="15.75" customHeight="1">
      <c r="A815" s="133" t="n"/>
      <c r="B815" s="113" t="n"/>
      <c r="C815" s="154" t="n"/>
      <c r="D815" s="113" t="n"/>
      <c r="E815" s="155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</row>
    <row r="816" ht="15.75" customHeight="1">
      <c r="A816" s="133" t="n"/>
      <c r="B816" s="113" t="n"/>
      <c r="C816" s="154" t="n"/>
      <c r="D816" s="113" t="n"/>
      <c r="E816" s="155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</row>
    <row r="817" ht="15.75" customHeight="1">
      <c r="A817" s="133" t="n"/>
      <c r="B817" s="113" t="n"/>
      <c r="C817" s="154" t="n"/>
      <c r="D817" s="113" t="n"/>
      <c r="E817" s="155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</row>
    <row r="818" ht="15.75" customHeight="1">
      <c r="A818" s="133" t="n"/>
      <c r="B818" s="113" t="n"/>
      <c r="C818" s="154" t="n"/>
      <c r="D818" s="113" t="n"/>
      <c r="E818" s="155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</row>
    <row r="819" ht="15.75" customHeight="1">
      <c r="A819" s="133" t="n"/>
      <c r="B819" s="113" t="n"/>
      <c r="C819" s="154" t="n"/>
      <c r="D819" s="113" t="n"/>
      <c r="E819" s="155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</row>
    <row r="820" ht="15.75" customHeight="1">
      <c r="A820" s="133" t="n"/>
      <c r="B820" s="113" t="n"/>
      <c r="C820" s="154" t="n"/>
      <c r="D820" s="113" t="n"/>
      <c r="E820" s="155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</row>
    <row r="821" ht="15.75" customHeight="1">
      <c r="A821" s="133" t="n"/>
      <c r="B821" s="113" t="n"/>
      <c r="C821" s="154" t="n"/>
      <c r="D821" s="113" t="n"/>
      <c r="E821" s="155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</row>
    <row r="822" ht="15.75" customHeight="1">
      <c r="A822" s="133" t="n"/>
      <c r="B822" s="113" t="n"/>
      <c r="C822" s="154" t="n"/>
      <c r="D822" s="113" t="n"/>
      <c r="E822" s="155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</row>
    <row r="823" ht="15.75" customHeight="1">
      <c r="A823" s="133" t="n"/>
      <c r="B823" s="113" t="n"/>
      <c r="C823" s="154" t="n"/>
      <c r="D823" s="113" t="n"/>
      <c r="E823" s="155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</row>
    <row r="824" ht="15.75" customHeight="1">
      <c r="A824" s="133" t="n"/>
      <c r="B824" s="113" t="n"/>
      <c r="C824" s="154" t="n"/>
      <c r="D824" s="113" t="n"/>
      <c r="E824" s="155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</row>
    <row r="825" ht="15.75" customHeight="1">
      <c r="A825" s="133" t="n"/>
      <c r="B825" s="113" t="n"/>
      <c r="C825" s="154" t="n"/>
      <c r="D825" s="113" t="n"/>
      <c r="E825" s="155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</row>
    <row r="826" ht="15.75" customHeight="1">
      <c r="A826" s="133" t="n"/>
      <c r="B826" s="113" t="n"/>
      <c r="C826" s="154" t="n"/>
      <c r="D826" s="113" t="n"/>
      <c r="E826" s="155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</row>
    <row r="827" ht="15.75" customHeight="1">
      <c r="A827" s="133" t="n"/>
      <c r="B827" s="113" t="n"/>
      <c r="C827" s="154" t="n"/>
      <c r="D827" s="113" t="n"/>
      <c r="E827" s="155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</row>
    <row r="828" ht="15.75" customHeight="1">
      <c r="A828" s="133" t="n"/>
      <c r="B828" s="113" t="n"/>
      <c r="C828" s="154" t="n"/>
      <c r="D828" s="113" t="n"/>
      <c r="E828" s="155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</row>
    <row r="829" ht="15.75" customHeight="1">
      <c r="A829" s="133" t="n"/>
      <c r="B829" s="113" t="n"/>
      <c r="C829" s="154" t="n"/>
      <c r="D829" s="113" t="n"/>
      <c r="E829" s="155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</row>
    <row r="830" ht="15.75" customHeight="1">
      <c r="A830" s="133" t="n"/>
      <c r="B830" s="113" t="n"/>
      <c r="C830" s="154" t="n"/>
      <c r="D830" s="113" t="n"/>
      <c r="E830" s="155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</row>
    <row r="831" ht="15.75" customHeight="1">
      <c r="A831" s="133" t="n"/>
      <c r="B831" s="113" t="n"/>
      <c r="C831" s="154" t="n"/>
      <c r="D831" s="113" t="n"/>
      <c r="E831" s="155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</row>
    <row r="832" ht="15.75" customHeight="1">
      <c r="A832" s="133" t="n"/>
      <c r="B832" s="113" t="n"/>
      <c r="C832" s="154" t="n"/>
      <c r="D832" s="113" t="n"/>
      <c r="E832" s="155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</row>
    <row r="833" ht="15.75" customHeight="1">
      <c r="A833" s="133" t="n"/>
      <c r="B833" s="113" t="n"/>
      <c r="C833" s="154" t="n"/>
      <c r="D833" s="113" t="n"/>
      <c r="E833" s="155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</row>
    <row r="834" ht="15.75" customHeight="1">
      <c r="A834" s="133" t="n"/>
      <c r="B834" s="113" t="n"/>
      <c r="C834" s="154" t="n"/>
      <c r="D834" s="113" t="n"/>
      <c r="E834" s="155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</row>
    <row r="835" ht="15.75" customHeight="1">
      <c r="A835" s="133" t="n"/>
      <c r="B835" s="113" t="n"/>
      <c r="C835" s="154" t="n"/>
      <c r="D835" s="113" t="n"/>
      <c r="E835" s="155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</row>
    <row r="836" ht="15.75" customHeight="1">
      <c r="A836" s="133" t="n"/>
      <c r="B836" s="113" t="n"/>
      <c r="C836" s="154" t="n"/>
      <c r="D836" s="113" t="n"/>
      <c r="E836" s="155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</row>
    <row r="837" ht="15.75" customHeight="1">
      <c r="A837" s="133" t="n"/>
      <c r="B837" s="113" t="n"/>
      <c r="C837" s="154" t="n"/>
      <c r="D837" s="113" t="n"/>
      <c r="E837" s="155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</row>
    <row r="838" ht="15.75" customHeight="1">
      <c r="A838" s="133" t="n"/>
      <c r="B838" s="113" t="n"/>
      <c r="C838" s="154" t="n"/>
      <c r="D838" s="113" t="n"/>
      <c r="E838" s="155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</row>
    <row r="839" ht="15.75" customHeight="1">
      <c r="A839" s="133" t="n"/>
      <c r="B839" s="113" t="n"/>
      <c r="C839" s="154" t="n"/>
      <c r="D839" s="113" t="n"/>
      <c r="E839" s="155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</row>
    <row r="840" ht="15.75" customHeight="1">
      <c r="A840" s="133" t="n"/>
      <c r="B840" s="113" t="n"/>
      <c r="C840" s="154" t="n"/>
      <c r="D840" s="113" t="n"/>
      <c r="E840" s="155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</row>
    <row r="841" ht="15.75" customHeight="1">
      <c r="A841" s="133" t="n"/>
      <c r="B841" s="113" t="n"/>
      <c r="C841" s="154" t="n"/>
      <c r="D841" s="113" t="n"/>
      <c r="E841" s="155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</row>
    <row r="842" ht="15.75" customHeight="1">
      <c r="A842" s="133" t="n"/>
      <c r="B842" s="113" t="n"/>
      <c r="C842" s="154" t="n"/>
      <c r="D842" s="113" t="n"/>
      <c r="E842" s="155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</row>
    <row r="843" ht="15.75" customHeight="1">
      <c r="A843" s="133" t="n"/>
      <c r="B843" s="113" t="n"/>
      <c r="C843" s="154" t="n"/>
      <c r="D843" s="113" t="n"/>
      <c r="E843" s="155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</row>
    <row r="844" ht="15.75" customHeight="1">
      <c r="A844" s="133" t="n"/>
      <c r="B844" s="113" t="n"/>
      <c r="C844" s="154" t="n"/>
      <c r="D844" s="113" t="n"/>
      <c r="E844" s="155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</row>
    <row r="845" ht="15.75" customHeight="1">
      <c r="A845" s="133" t="n"/>
      <c r="B845" s="113" t="n"/>
      <c r="C845" s="154" t="n"/>
      <c r="D845" s="113" t="n"/>
      <c r="E845" s="155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</row>
    <row r="846" ht="15.75" customHeight="1">
      <c r="A846" s="133" t="n"/>
      <c r="B846" s="113" t="n"/>
      <c r="C846" s="154" t="n"/>
      <c r="D846" s="113" t="n"/>
      <c r="E846" s="155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</row>
    <row r="847" ht="15.75" customHeight="1">
      <c r="A847" s="133" t="n"/>
      <c r="B847" s="113" t="n"/>
      <c r="C847" s="154" t="n"/>
      <c r="D847" s="113" t="n"/>
      <c r="E847" s="155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</row>
    <row r="848" ht="15.75" customHeight="1">
      <c r="A848" s="133" t="n"/>
      <c r="B848" s="113" t="n"/>
      <c r="C848" s="154" t="n"/>
      <c r="D848" s="113" t="n"/>
      <c r="E848" s="155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</row>
    <row r="849" ht="15.75" customHeight="1">
      <c r="A849" s="133" t="n"/>
      <c r="B849" s="113" t="n"/>
      <c r="C849" s="154" t="n"/>
      <c r="D849" s="113" t="n"/>
      <c r="E849" s="155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</row>
    <row r="850" ht="15.75" customHeight="1">
      <c r="A850" s="133" t="n"/>
      <c r="B850" s="113" t="n"/>
      <c r="C850" s="154" t="n"/>
      <c r="D850" s="113" t="n"/>
      <c r="E850" s="155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</row>
    <row r="851" ht="15.75" customHeight="1">
      <c r="A851" s="133" t="n"/>
      <c r="B851" s="113" t="n"/>
      <c r="C851" s="154" t="n"/>
      <c r="D851" s="113" t="n"/>
      <c r="E851" s="155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</row>
    <row r="852" ht="15.75" customHeight="1">
      <c r="A852" s="133" t="n"/>
      <c r="B852" s="113" t="n"/>
      <c r="C852" s="154" t="n"/>
      <c r="D852" s="113" t="n"/>
      <c r="E852" s="155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</row>
    <row r="853" ht="15.75" customHeight="1">
      <c r="A853" s="133" t="n"/>
      <c r="B853" s="113" t="n"/>
      <c r="C853" s="154" t="n"/>
      <c r="D853" s="113" t="n"/>
      <c r="E853" s="155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</row>
    <row r="854" ht="15.75" customHeight="1">
      <c r="A854" s="133" t="n"/>
      <c r="B854" s="113" t="n"/>
      <c r="C854" s="154" t="n"/>
      <c r="D854" s="113" t="n"/>
      <c r="E854" s="155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</row>
    <row r="855" ht="15.75" customHeight="1">
      <c r="A855" s="133" t="n"/>
      <c r="B855" s="113" t="n"/>
      <c r="C855" s="154" t="n"/>
      <c r="D855" s="113" t="n"/>
      <c r="E855" s="155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</row>
    <row r="856" ht="15.75" customHeight="1">
      <c r="A856" s="133" t="n"/>
      <c r="B856" s="113" t="n"/>
      <c r="C856" s="154" t="n"/>
      <c r="D856" s="113" t="n"/>
      <c r="E856" s="155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</row>
    <row r="857" ht="15.75" customHeight="1">
      <c r="A857" s="133" t="n"/>
      <c r="B857" s="113" t="n"/>
      <c r="C857" s="154" t="n"/>
      <c r="D857" s="113" t="n"/>
      <c r="E857" s="155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</row>
    <row r="858" ht="15.75" customHeight="1">
      <c r="A858" s="133" t="n"/>
      <c r="B858" s="113" t="n"/>
      <c r="C858" s="154" t="n"/>
      <c r="D858" s="113" t="n"/>
      <c r="E858" s="155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</row>
    <row r="859" ht="15.75" customHeight="1">
      <c r="A859" s="133" t="n"/>
      <c r="B859" s="113" t="n"/>
      <c r="C859" s="154" t="n"/>
      <c r="D859" s="113" t="n"/>
      <c r="E859" s="155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</row>
    <row r="860" ht="15.75" customHeight="1">
      <c r="A860" s="133" t="n"/>
      <c r="B860" s="113" t="n"/>
      <c r="C860" s="154" t="n"/>
      <c r="D860" s="113" t="n"/>
      <c r="E860" s="155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</row>
    <row r="861" ht="15.75" customHeight="1">
      <c r="A861" s="133" t="n"/>
      <c r="B861" s="113" t="n"/>
      <c r="C861" s="154" t="n"/>
      <c r="D861" s="113" t="n"/>
      <c r="E861" s="155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</row>
    <row r="862" ht="15.75" customHeight="1">
      <c r="A862" s="133" t="n"/>
      <c r="B862" s="113" t="n"/>
      <c r="C862" s="154" t="n"/>
      <c r="D862" s="113" t="n"/>
      <c r="E862" s="155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</row>
    <row r="863" ht="15.75" customHeight="1">
      <c r="A863" s="133" t="n"/>
      <c r="B863" s="113" t="n"/>
      <c r="C863" s="154" t="n"/>
      <c r="D863" s="113" t="n"/>
      <c r="E863" s="155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</row>
    <row r="864" ht="15.75" customHeight="1">
      <c r="A864" s="133" t="n"/>
      <c r="B864" s="113" t="n"/>
      <c r="C864" s="154" t="n"/>
      <c r="D864" s="113" t="n"/>
      <c r="E864" s="155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</row>
    <row r="865" ht="15.75" customHeight="1">
      <c r="A865" s="133" t="n"/>
      <c r="B865" s="113" t="n"/>
      <c r="C865" s="154" t="n"/>
      <c r="D865" s="113" t="n"/>
      <c r="E865" s="155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</row>
    <row r="866" ht="15.75" customHeight="1">
      <c r="A866" s="133" t="n"/>
      <c r="B866" s="113" t="n"/>
      <c r="C866" s="154" t="n"/>
      <c r="D866" s="113" t="n"/>
      <c r="E866" s="155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</row>
    <row r="867" ht="15.75" customHeight="1">
      <c r="A867" s="133" t="n"/>
      <c r="B867" s="113" t="n"/>
      <c r="C867" s="154" t="n"/>
      <c r="D867" s="113" t="n"/>
      <c r="E867" s="155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</row>
    <row r="868" ht="15.75" customHeight="1">
      <c r="A868" s="133" t="n"/>
      <c r="B868" s="113" t="n"/>
      <c r="C868" s="154" t="n"/>
      <c r="D868" s="113" t="n"/>
      <c r="E868" s="155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</row>
    <row r="869" ht="15.75" customHeight="1">
      <c r="A869" s="133" t="n"/>
      <c r="B869" s="113" t="n"/>
      <c r="C869" s="154" t="n"/>
      <c r="D869" s="113" t="n"/>
      <c r="E869" s="155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</row>
    <row r="870" ht="15.75" customHeight="1">
      <c r="A870" s="133" t="n"/>
      <c r="B870" s="113" t="n"/>
      <c r="C870" s="154" t="n"/>
      <c r="D870" s="113" t="n"/>
      <c r="E870" s="155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</row>
    <row r="871" ht="15.75" customHeight="1">
      <c r="A871" s="133" t="n"/>
      <c r="B871" s="113" t="n"/>
      <c r="C871" s="154" t="n"/>
      <c r="D871" s="113" t="n"/>
      <c r="E871" s="155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</row>
    <row r="872" ht="15.75" customHeight="1">
      <c r="A872" s="133" t="n"/>
      <c r="B872" s="113" t="n"/>
      <c r="C872" s="154" t="n"/>
      <c r="D872" s="113" t="n"/>
      <c r="E872" s="155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</row>
    <row r="873" ht="15.75" customHeight="1">
      <c r="A873" s="133" t="n"/>
      <c r="B873" s="113" t="n"/>
      <c r="C873" s="154" t="n"/>
      <c r="D873" s="113" t="n"/>
      <c r="E873" s="155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</row>
    <row r="874" ht="15.75" customHeight="1">
      <c r="A874" s="133" t="n"/>
      <c r="B874" s="113" t="n"/>
      <c r="C874" s="154" t="n"/>
      <c r="D874" s="113" t="n"/>
      <c r="E874" s="155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</row>
    <row r="875" ht="15.75" customHeight="1">
      <c r="A875" s="133" t="n"/>
      <c r="B875" s="113" t="n"/>
      <c r="C875" s="154" t="n"/>
      <c r="D875" s="113" t="n"/>
      <c r="E875" s="155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</row>
    <row r="876" ht="15.75" customHeight="1">
      <c r="A876" s="133" t="n"/>
      <c r="B876" s="113" t="n"/>
      <c r="C876" s="154" t="n"/>
      <c r="D876" s="113" t="n"/>
      <c r="E876" s="155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</row>
    <row r="877" ht="15.75" customHeight="1">
      <c r="A877" s="133" t="n"/>
      <c r="B877" s="113" t="n"/>
      <c r="C877" s="154" t="n"/>
      <c r="D877" s="113" t="n"/>
      <c r="E877" s="155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</row>
    <row r="878" ht="15.75" customHeight="1">
      <c r="A878" s="133" t="n"/>
      <c r="B878" s="113" t="n"/>
      <c r="C878" s="154" t="n"/>
      <c r="D878" s="113" t="n"/>
      <c r="E878" s="155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</row>
    <row r="879" ht="15.75" customHeight="1">
      <c r="A879" s="133" t="n"/>
      <c r="B879" s="113" t="n"/>
      <c r="C879" s="154" t="n"/>
      <c r="D879" s="113" t="n"/>
      <c r="E879" s="155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</row>
    <row r="880" ht="15.75" customHeight="1">
      <c r="A880" s="133" t="n"/>
      <c r="B880" s="113" t="n"/>
      <c r="C880" s="154" t="n"/>
      <c r="D880" s="113" t="n"/>
      <c r="E880" s="155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</row>
    <row r="881" ht="15.75" customHeight="1">
      <c r="A881" s="133" t="n"/>
      <c r="B881" s="113" t="n"/>
      <c r="C881" s="154" t="n"/>
      <c r="D881" s="113" t="n"/>
      <c r="E881" s="155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</row>
    <row r="882" ht="15.75" customHeight="1">
      <c r="A882" s="133" t="n"/>
      <c r="B882" s="113" t="n"/>
      <c r="C882" s="154" t="n"/>
      <c r="D882" s="113" t="n"/>
      <c r="E882" s="155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</row>
    <row r="883" ht="15.75" customHeight="1">
      <c r="A883" s="133" t="n"/>
      <c r="B883" s="113" t="n"/>
      <c r="C883" s="154" t="n"/>
      <c r="D883" s="113" t="n"/>
      <c r="E883" s="155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</row>
    <row r="884" ht="15.75" customHeight="1">
      <c r="A884" s="133" t="n"/>
      <c r="B884" s="113" t="n"/>
      <c r="C884" s="154" t="n"/>
      <c r="D884" s="113" t="n"/>
      <c r="E884" s="155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</row>
    <row r="885" ht="15.75" customHeight="1">
      <c r="A885" s="133" t="n"/>
      <c r="B885" s="113" t="n"/>
      <c r="C885" s="154" t="n"/>
      <c r="D885" s="113" t="n"/>
      <c r="E885" s="155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</row>
    <row r="886" ht="15.75" customHeight="1">
      <c r="A886" s="133" t="n"/>
      <c r="B886" s="113" t="n"/>
      <c r="C886" s="154" t="n"/>
      <c r="D886" s="113" t="n"/>
      <c r="E886" s="155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</row>
    <row r="887" ht="15.75" customHeight="1">
      <c r="A887" s="133" t="n"/>
      <c r="B887" s="113" t="n"/>
      <c r="C887" s="154" t="n"/>
      <c r="D887" s="113" t="n"/>
      <c r="E887" s="155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</row>
    <row r="888" ht="15.75" customHeight="1">
      <c r="A888" s="133" t="n"/>
      <c r="B888" s="113" t="n"/>
      <c r="C888" s="154" t="n"/>
      <c r="D888" s="113" t="n"/>
      <c r="E888" s="155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</row>
    <row r="889" ht="15.75" customHeight="1">
      <c r="A889" s="133" t="n"/>
      <c r="B889" s="113" t="n"/>
      <c r="C889" s="154" t="n"/>
      <c r="D889" s="113" t="n"/>
      <c r="E889" s="155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</row>
    <row r="890" ht="15.75" customHeight="1">
      <c r="A890" s="133" t="n"/>
      <c r="B890" s="113" t="n"/>
      <c r="C890" s="154" t="n"/>
      <c r="D890" s="113" t="n"/>
      <c r="E890" s="155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</row>
    <row r="891" ht="15.75" customHeight="1">
      <c r="A891" s="133" t="n"/>
      <c r="B891" s="113" t="n"/>
      <c r="C891" s="154" t="n"/>
      <c r="D891" s="113" t="n"/>
      <c r="E891" s="155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</row>
    <row r="892" ht="15.75" customHeight="1">
      <c r="A892" s="133" t="n"/>
      <c r="B892" s="113" t="n"/>
      <c r="C892" s="154" t="n"/>
      <c r="D892" s="113" t="n"/>
      <c r="E892" s="155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</row>
    <row r="893" ht="15.75" customHeight="1">
      <c r="A893" s="133" t="n"/>
      <c r="B893" s="113" t="n"/>
      <c r="C893" s="154" t="n"/>
      <c r="D893" s="113" t="n"/>
      <c r="E893" s="155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</row>
    <row r="894" ht="15.75" customHeight="1">
      <c r="A894" s="133" t="n"/>
      <c r="B894" s="113" t="n"/>
      <c r="C894" s="154" t="n"/>
      <c r="D894" s="113" t="n"/>
      <c r="E894" s="155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</row>
    <row r="895" ht="15.75" customHeight="1">
      <c r="A895" s="133" t="n"/>
      <c r="B895" s="113" t="n"/>
      <c r="C895" s="154" t="n"/>
      <c r="D895" s="113" t="n"/>
      <c r="E895" s="155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</row>
    <row r="896" ht="15.75" customHeight="1">
      <c r="A896" s="133" t="n"/>
      <c r="B896" s="113" t="n"/>
      <c r="C896" s="154" t="n"/>
      <c r="D896" s="113" t="n"/>
      <c r="E896" s="155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</row>
    <row r="897" ht="15.75" customHeight="1">
      <c r="A897" s="133" t="n"/>
      <c r="B897" s="113" t="n"/>
      <c r="C897" s="154" t="n"/>
      <c r="D897" s="113" t="n"/>
      <c r="E897" s="155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</row>
    <row r="898" ht="15.75" customHeight="1">
      <c r="A898" s="133" t="n"/>
      <c r="B898" s="113" t="n"/>
      <c r="C898" s="154" t="n"/>
      <c r="D898" s="113" t="n"/>
      <c r="E898" s="155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</row>
    <row r="899" ht="15.75" customHeight="1">
      <c r="A899" s="133" t="n"/>
      <c r="B899" s="113" t="n"/>
      <c r="C899" s="154" t="n"/>
      <c r="D899" s="113" t="n"/>
      <c r="E899" s="155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</row>
    <row r="900" ht="15.75" customHeight="1">
      <c r="A900" s="133" t="n"/>
      <c r="B900" s="113" t="n"/>
      <c r="C900" s="154" t="n"/>
      <c r="D900" s="113" t="n"/>
      <c r="E900" s="155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</row>
    <row r="901" ht="15.75" customHeight="1">
      <c r="A901" s="133" t="n"/>
      <c r="B901" s="113" t="n"/>
      <c r="C901" s="154" t="n"/>
      <c r="D901" s="113" t="n"/>
      <c r="E901" s="155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</row>
    <row r="902" ht="15.75" customHeight="1">
      <c r="A902" s="133" t="n"/>
      <c r="B902" s="113" t="n"/>
      <c r="C902" s="154" t="n"/>
      <c r="D902" s="113" t="n"/>
      <c r="E902" s="155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</row>
    <row r="903" ht="15.75" customHeight="1">
      <c r="A903" s="133" t="n"/>
      <c r="B903" s="113" t="n"/>
      <c r="C903" s="154" t="n"/>
      <c r="D903" s="113" t="n"/>
      <c r="E903" s="155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</row>
    <row r="904" ht="15.75" customHeight="1">
      <c r="A904" s="133" t="n"/>
      <c r="B904" s="113" t="n"/>
      <c r="C904" s="154" t="n"/>
      <c r="D904" s="113" t="n"/>
      <c r="E904" s="155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</row>
    <row r="905" ht="15.75" customHeight="1">
      <c r="A905" s="133" t="n"/>
      <c r="B905" s="113" t="n"/>
      <c r="C905" s="154" t="n"/>
      <c r="D905" s="113" t="n"/>
      <c r="E905" s="155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</row>
    <row r="906" ht="15.75" customHeight="1">
      <c r="A906" s="133" t="n"/>
      <c r="B906" s="113" t="n"/>
      <c r="C906" s="154" t="n"/>
      <c r="D906" s="113" t="n"/>
      <c r="E906" s="155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</row>
    <row r="907" ht="15.75" customHeight="1">
      <c r="A907" s="133" t="n"/>
      <c r="B907" s="113" t="n"/>
      <c r="C907" s="154" t="n"/>
      <c r="D907" s="113" t="n"/>
      <c r="E907" s="155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</row>
    <row r="908" ht="15.75" customHeight="1">
      <c r="A908" s="133" t="n"/>
      <c r="B908" s="113" t="n"/>
      <c r="C908" s="154" t="n"/>
      <c r="D908" s="113" t="n"/>
      <c r="E908" s="155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</row>
    <row r="909" ht="15.75" customHeight="1">
      <c r="A909" s="133" t="n"/>
      <c r="B909" s="113" t="n"/>
      <c r="C909" s="154" t="n"/>
      <c r="D909" s="113" t="n"/>
      <c r="E909" s="155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</row>
    <row r="910" ht="15.75" customHeight="1">
      <c r="A910" s="133" t="n"/>
      <c r="B910" s="113" t="n"/>
      <c r="C910" s="154" t="n"/>
      <c r="D910" s="113" t="n"/>
      <c r="E910" s="155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</row>
    <row r="911" ht="15.75" customHeight="1">
      <c r="A911" s="133" t="n"/>
      <c r="B911" s="113" t="n"/>
      <c r="C911" s="154" t="n"/>
      <c r="D911" s="113" t="n"/>
      <c r="E911" s="155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</row>
    <row r="912" ht="15.75" customHeight="1">
      <c r="A912" s="133" t="n"/>
      <c r="B912" s="113" t="n"/>
      <c r="C912" s="154" t="n"/>
      <c r="D912" s="113" t="n"/>
      <c r="E912" s="155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</row>
    <row r="913" ht="15.75" customHeight="1">
      <c r="A913" s="133" t="n"/>
      <c r="B913" s="113" t="n"/>
      <c r="C913" s="154" t="n"/>
      <c r="D913" s="113" t="n"/>
      <c r="E913" s="155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</row>
    <row r="914" ht="15.75" customHeight="1">
      <c r="A914" s="133" t="n"/>
      <c r="B914" s="113" t="n"/>
      <c r="C914" s="154" t="n"/>
      <c r="D914" s="113" t="n"/>
      <c r="E914" s="155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</row>
    <row r="915" ht="15.75" customHeight="1">
      <c r="A915" s="133" t="n"/>
      <c r="B915" s="113" t="n"/>
      <c r="C915" s="154" t="n"/>
      <c r="D915" s="113" t="n"/>
      <c r="E915" s="155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</row>
    <row r="916" ht="15.75" customHeight="1">
      <c r="A916" s="133" t="n"/>
      <c r="B916" s="113" t="n"/>
      <c r="C916" s="154" t="n"/>
      <c r="D916" s="113" t="n"/>
      <c r="E916" s="155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</row>
    <row r="917" ht="15.75" customHeight="1">
      <c r="A917" s="133" t="n"/>
      <c r="B917" s="113" t="n"/>
      <c r="C917" s="154" t="n"/>
      <c r="D917" s="113" t="n"/>
      <c r="E917" s="155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</row>
    <row r="918" ht="15.75" customHeight="1">
      <c r="A918" s="133" t="n"/>
      <c r="B918" s="113" t="n"/>
      <c r="C918" s="154" t="n"/>
      <c r="D918" s="113" t="n"/>
      <c r="E918" s="155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</row>
    <row r="919" ht="15.75" customHeight="1">
      <c r="A919" s="133" t="n"/>
      <c r="B919" s="113" t="n"/>
      <c r="C919" s="154" t="n"/>
      <c r="D919" s="113" t="n"/>
      <c r="E919" s="155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</row>
    <row r="920" ht="15.75" customHeight="1">
      <c r="A920" s="133" t="n"/>
      <c r="B920" s="113" t="n"/>
      <c r="C920" s="154" t="n"/>
      <c r="D920" s="113" t="n"/>
      <c r="E920" s="155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</row>
    <row r="921" ht="15.75" customHeight="1">
      <c r="A921" s="133" t="n"/>
      <c r="B921" s="113" t="n"/>
      <c r="C921" s="154" t="n"/>
      <c r="D921" s="113" t="n"/>
      <c r="E921" s="155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</row>
    <row r="922" ht="15.75" customHeight="1">
      <c r="A922" s="133" t="n"/>
      <c r="B922" s="113" t="n"/>
      <c r="C922" s="154" t="n"/>
      <c r="D922" s="113" t="n"/>
      <c r="E922" s="155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</row>
    <row r="923" ht="15.75" customHeight="1">
      <c r="A923" s="133" t="n"/>
      <c r="B923" s="113" t="n"/>
      <c r="C923" s="154" t="n"/>
      <c r="D923" s="113" t="n"/>
      <c r="E923" s="155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</row>
    <row r="924" ht="15.75" customHeight="1">
      <c r="A924" s="133" t="n"/>
      <c r="B924" s="113" t="n"/>
      <c r="C924" s="154" t="n"/>
      <c r="D924" s="113" t="n"/>
      <c r="E924" s="155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</row>
    <row r="925" ht="15.75" customHeight="1">
      <c r="A925" s="133" t="n"/>
      <c r="B925" s="113" t="n"/>
      <c r="C925" s="154" t="n"/>
      <c r="D925" s="113" t="n"/>
      <c r="E925" s="155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</row>
    <row r="926" ht="15.75" customHeight="1">
      <c r="A926" s="133" t="n"/>
      <c r="B926" s="113" t="n"/>
      <c r="C926" s="154" t="n"/>
      <c r="D926" s="113" t="n"/>
      <c r="E926" s="155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</row>
    <row r="927" ht="15.75" customHeight="1">
      <c r="A927" s="133" t="n"/>
      <c r="B927" s="113" t="n"/>
      <c r="C927" s="154" t="n"/>
      <c r="D927" s="113" t="n"/>
      <c r="E927" s="155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</row>
    <row r="928" ht="15.75" customHeight="1">
      <c r="A928" s="133" t="n"/>
      <c r="B928" s="113" t="n"/>
      <c r="C928" s="154" t="n"/>
      <c r="D928" s="113" t="n"/>
      <c r="E928" s="155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</row>
    <row r="929" ht="15.75" customHeight="1">
      <c r="A929" s="133" t="n"/>
      <c r="B929" s="113" t="n"/>
      <c r="C929" s="154" t="n"/>
      <c r="D929" s="113" t="n"/>
      <c r="E929" s="155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</row>
    <row r="930" ht="15.75" customHeight="1">
      <c r="A930" s="133" t="n"/>
      <c r="B930" s="113" t="n"/>
      <c r="C930" s="154" t="n"/>
      <c r="D930" s="113" t="n"/>
      <c r="E930" s="155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</row>
    <row r="931" ht="15.75" customHeight="1">
      <c r="A931" s="133" t="n"/>
      <c r="B931" s="113" t="n"/>
      <c r="C931" s="154" t="n"/>
      <c r="D931" s="113" t="n"/>
      <c r="E931" s="155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</row>
    <row r="932" ht="15.75" customHeight="1">
      <c r="A932" s="133" t="n"/>
      <c r="B932" s="113" t="n"/>
      <c r="C932" s="154" t="n"/>
      <c r="D932" s="113" t="n"/>
      <c r="E932" s="155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</row>
    <row r="933" ht="15.75" customHeight="1">
      <c r="A933" s="133" t="n"/>
      <c r="B933" s="113" t="n"/>
      <c r="C933" s="154" t="n"/>
      <c r="D933" s="113" t="n"/>
      <c r="E933" s="155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</row>
    <row r="934" ht="15.75" customHeight="1">
      <c r="A934" s="133" t="n"/>
      <c r="B934" s="113" t="n"/>
      <c r="C934" s="154" t="n"/>
      <c r="D934" s="113" t="n"/>
      <c r="E934" s="155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</row>
    <row r="935" ht="15.75" customHeight="1">
      <c r="A935" s="133" t="n"/>
      <c r="B935" s="113" t="n"/>
      <c r="C935" s="154" t="n"/>
      <c r="D935" s="113" t="n"/>
      <c r="E935" s="155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</row>
    <row r="936" ht="15.75" customHeight="1">
      <c r="A936" s="133" t="n"/>
      <c r="B936" s="113" t="n"/>
      <c r="C936" s="154" t="n"/>
      <c r="D936" s="113" t="n"/>
      <c r="E936" s="155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</row>
    <row r="937" ht="15.75" customHeight="1">
      <c r="A937" s="133" t="n"/>
      <c r="B937" s="113" t="n"/>
      <c r="C937" s="154" t="n"/>
      <c r="D937" s="113" t="n"/>
      <c r="E937" s="155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</row>
    <row r="938" ht="15.75" customHeight="1">
      <c r="A938" s="133" t="n"/>
      <c r="B938" s="113" t="n"/>
      <c r="C938" s="154" t="n"/>
      <c r="D938" s="113" t="n"/>
      <c r="E938" s="155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</row>
    <row r="939" ht="15.75" customHeight="1">
      <c r="A939" s="133" t="n"/>
      <c r="B939" s="113" t="n"/>
      <c r="C939" s="154" t="n"/>
      <c r="D939" s="113" t="n"/>
      <c r="E939" s="155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</row>
    <row r="940" ht="15.75" customHeight="1">
      <c r="A940" s="133" t="n"/>
      <c r="B940" s="113" t="n"/>
      <c r="C940" s="154" t="n"/>
      <c r="D940" s="113" t="n"/>
      <c r="E940" s="155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</row>
    <row r="941" ht="15.75" customHeight="1">
      <c r="A941" s="133" t="n"/>
      <c r="B941" s="113" t="n"/>
      <c r="C941" s="154" t="n"/>
      <c r="D941" s="113" t="n"/>
      <c r="E941" s="155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</row>
    <row r="942" ht="15.75" customHeight="1">
      <c r="A942" s="133" t="n"/>
      <c r="B942" s="113" t="n"/>
      <c r="C942" s="154" t="n"/>
      <c r="D942" s="113" t="n"/>
      <c r="E942" s="155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</row>
    <row r="943" ht="15.75" customHeight="1">
      <c r="A943" s="133" t="n"/>
      <c r="B943" s="113" t="n"/>
      <c r="C943" s="154" t="n"/>
      <c r="D943" s="113" t="n"/>
      <c r="E943" s="155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</row>
    <row r="944" ht="15.75" customHeight="1">
      <c r="A944" s="133" t="n"/>
      <c r="B944" s="113" t="n"/>
      <c r="C944" s="154" t="n"/>
      <c r="D944" s="113" t="n"/>
      <c r="E944" s="155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</row>
    <row r="945" ht="15.75" customHeight="1">
      <c r="A945" s="133" t="n"/>
      <c r="B945" s="113" t="n"/>
      <c r="C945" s="154" t="n"/>
      <c r="D945" s="113" t="n"/>
      <c r="E945" s="155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</row>
    <row r="946" ht="15.75" customHeight="1">
      <c r="A946" s="133" t="n"/>
      <c r="B946" s="113" t="n"/>
      <c r="C946" s="154" t="n"/>
      <c r="D946" s="113" t="n"/>
      <c r="E946" s="155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</row>
    <row r="947" ht="15.75" customHeight="1">
      <c r="A947" s="133" t="n"/>
      <c r="B947" s="113" t="n"/>
      <c r="C947" s="154" t="n"/>
      <c r="D947" s="113" t="n"/>
      <c r="E947" s="155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</row>
    <row r="948" ht="15.75" customHeight="1">
      <c r="A948" s="133" t="n"/>
      <c r="B948" s="113" t="n"/>
      <c r="C948" s="154" t="n"/>
      <c r="D948" s="113" t="n"/>
      <c r="E948" s="155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</row>
    <row r="949" ht="15.75" customHeight="1">
      <c r="A949" s="133" t="n"/>
      <c r="B949" s="113" t="n"/>
      <c r="C949" s="154" t="n"/>
      <c r="D949" s="113" t="n"/>
      <c r="E949" s="155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</row>
    <row r="950" ht="15.75" customHeight="1">
      <c r="A950" s="133" t="n"/>
      <c r="B950" s="113" t="n"/>
      <c r="C950" s="154" t="n"/>
      <c r="D950" s="113" t="n"/>
      <c r="E950" s="155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</row>
    <row r="951" ht="15.75" customHeight="1">
      <c r="A951" s="133" t="n"/>
      <c r="B951" s="113" t="n"/>
      <c r="C951" s="154" t="n"/>
      <c r="D951" s="113" t="n"/>
      <c r="E951" s="155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</row>
    <row r="952" ht="15.75" customHeight="1">
      <c r="A952" s="133" t="n"/>
      <c r="B952" s="113" t="n"/>
      <c r="C952" s="154" t="n"/>
      <c r="D952" s="113" t="n"/>
      <c r="E952" s="155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</row>
    <row r="953" ht="15.75" customHeight="1">
      <c r="A953" s="133" t="n"/>
      <c r="B953" s="113" t="n"/>
      <c r="C953" s="154" t="n"/>
      <c r="D953" s="113" t="n"/>
      <c r="E953" s="155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</row>
    <row r="954" ht="15.75" customHeight="1">
      <c r="A954" s="133" t="n"/>
      <c r="B954" s="113" t="n"/>
      <c r="C954" s="154" t="n"/>
      <c r="D954" s="113" t="n"/>
      <c r="E954" s="155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</row>
    <row r="955" ht="15.75" customHeight="1">
      <c r="A955" s="133" t="n"/>
      <c r="B955" s="113" t="n"/>
      <c r="C955" s="154" t="n"/>
      <c r="D955" s="113" t="n"/>
      <c r="E955" s="155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</row>
    <row r="956" ht="15.75" customHeight="1">
      <c r="A956" s="133" t="n"/>
      <c r="B956" s="113" t="n"/>
      <c r="C956" s="154" t="n"/>
      <c r="D956" s="113" t="n"/>
      <c r="E956" s="155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</row>
    <row r="957" ht="15.75" customHeight="1">
      <c r="A957" s="133" t="n"/>
      <c r="B957" s="113" t="n"/>
      <c r="C957" s="154" t="n"/>
      <c r="D957" s="113" t="n"/>
      <c r="E957" s="155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</row>
    <row r="958" ht="15.75" customHeight="1">
      <c r="A958" s="133" t="n"/>
      <c r="B958" s="113" t="n"/>
      <c r="C958" s="154" t="n"/>
      <c r="D958" s="113" t="n"/>
      <c r="E958" s="155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</row>
    <row r="959" ht="15.75" customHeight="1">
      <c r="A959" s="133" t="n"/>
      <c r="B959" s="113" t="n"/>
      <c r="C959" s="154" t="n"/>
      <c r="D959" s="113" t="n"/>
      <c r="E959" s="155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</row>
    <row r="960" ht="15.75" customHeight="1">
      <c r="A960" s="133" t="n"/>
      <c r="B960" s="113" t="n"/>
      <c r="C960" s="154" t="n"/>
      <c r="D960" s="113" t="n"/>
      <c r="E960" s="155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</row>
    <row r="961" ht="15.75" customHeight="1">
      <c r="A961" s="133" t="n"/>
      <c r="B961" s="113" t="n"/>
      <c r="C961" s="154" t="n"/>
      <c r="D961" s="113" t="n"/>
      <c r="E961" s="155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</row>
    <row r="962" ht="15.75" customHeight="1">
      <c r="A962" s="133" t="n"/>
      <c r="B962" s="113" t="n"/>
      <c r="C962" s="154" t="n"/>
      <c r="D962" s="113" t="n"/>
      <c r="E962" s="155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</row>
    <row r="963" ht="15.75" customHeight="1">
      <c r="A963" s="133" t="n"/>
      <c r="B963" s="113" t="n"/>
      <c r="C963" s="154" t="n"/>
      <c r="D963" s="113" t="n"/>
      <c r="E963" s="155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</row>
    <row r="964" ht="15.75" customHeight="1">
      <c r="A964" s="133" t="n"/>
      <c r="B964" s="113" t="n"/>
      <c r="C964" s="154" t="n"/>
      <c r="D964" s="113" t="n"/>
      <c r="E964" s="155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</row>
    <row r="965" ht="15.75" customHeight="1">
      <c r="A965" s="133" t="n"/>
      <c r="B965" s="113" t="n"/>
      <c r="C965" s="154" t="n"/>
      <c r="D965" s="113" t="n"/>
      <c r="E965" s="155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</row>
    <row r="966" ht="15.75" customHeight="1">
      <c r="A966" s="133" t="n"/>
      <c r="B966" s="113" t="n"/>
      <c r="C966" s="154" t="n"/>
      <c r="D966" s="113" t="n"/>
      <c r="E966" s="155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</row>
    <row r="967" ht="15.75" customHeight="1">
      <c r="A967" s="133" t="n"/>
      <c r="B967" s="113" t="n"/>
      <c r="C967" s="154" t="n"/>
      <c r="D967" s="113" t="n"/>
      <c r="E967" s="155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</row>
    <row r="968" ht="15.75" customHeight="1">
      <c r="A968" s="133" t="n"/>
      <c r="B968" s="113" t="n"/>
      <c r="C968" s="154" t="n"/>
      <c r="D968" s="113" t="n"/>
      <c r="E968" s="155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</row>
    <row r="969" ht="15.75" customHeight="1">
      <c r="A969" s="133" t="n"/>
      <c r="B969" s="113" t="n"/>
      <c r="C969" s="154" t="n"/>
      <c r="D969" s="113" t="n"/>
      <c r="E969" s="155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</row>
    <row r="970" ht="15.75" customHeight="1">
      <c r="A970" s="133" t="n"/>
      <c r="B970" s="113" t="n"/>
      <c r="C970" s="154" t="n"/>
      <c r="D970" s="113" t="n"/>
      <c r="E970" s="155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</row>
    <row r="971" ht="15.75" customHeight="1">
      <c r="A971" s="133" t="n"/>
      <c r="B971" s="113" t="n"/>
      <c r="C971" s="154" t="n"/>
      <c r="D971" s="113" t="n"/>
      <c r="E971" s="155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</row>
    <row r="972" ht="15.75" customHeight="1">
      <c r="A972" s="133" t="n"/>
      <c r="B972" s="113" t="n"/>
      <c r="C972" s="154" t="n"/>
      <c r="D972" s="113" t="n"/>
      <c r="E972" s="155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</row>
    <row r="973" ht="15.75" customHeight="1">
      <c r="A973" s="133" t="n"/>
      <c r="B973" s="113" t="n"/>
      <c r="C973" s="154" t="n"/>
      <c r="D973" s="113" t="n"/>
      <c r="E973" s="155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</row>
    <row r="974" ht="15.75" customHeight="1">
      <c r="A974" s="133" t="n"/>
      <c r="B974" s="113" t="n"/>
      <c r="C974" s="154" t="n"/>
      <c r="D974" s="113" t="n"/>
      <c r="E974" s="155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</row>
    <row r="975" ht="15.75" customHeight="1">
      <c r="A975" s="133" t="n"/>
      <c r="B975" s="113" t="n"/>
      <c r="C975" s="154" t="n"/>
      <c r="D975" s="113" t="n"/>
      <c r="E975" s="155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</row>
    <row r="976" ht="15.75" customHeight="1">
      <c r="A976" s="133" t="n"/>
      <c r="B976" s="113" t="n"/>
      <c r="C976" s="154" t="n"/>
      <c r="D976" s="113" t="n"/>
      <c r="E976" s="155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</row>
    <row r="977" ht="15.75" customHeight="1">
      <c r="A977" s="133" t="n"/>
      <c r="B977" s="113" t="n"/>
      <c r="C977" s="154" t="n"/>
      <c r="D977" s="113" t="n"/>
      <c r="E977" s="155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</row>
    <row r="978" ht="15.75" customHeight="1">
      <c r="A978" s="133" t="n"/>
      <c r="B978" s="113" t="n"/>
      <c r="C978" s="154" t="n"/>
      <c r="D978" s="113" t="n"/>
      <c r="E978" s="155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</row>
    <row r="979" ht="15.75" customHeight="1">
      <c r="A979" s="133" t="n"/>
      <c r="B979" s="113" t="n"/>
      <c r="C979" s="154" t="n"/>
      <c r="D979" s="113" t="n"/>
      <c r="E979" s="155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</row>
    <row r="980" ht="15.75" customHeight="1">
      <c r="A980" s="133" t="n"/>
      <c r="B980" s="113" t="n"/>
      <c r="C980" s="154" t="n"/>
      <c r="D980" s="113" t="n"/>
      <c r="E980" s="155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</row>
    <row r="981" ht="15.75" customHeight="1">
      <c r="A981" s="133" t="n"/>
      <c r="B981" s="113" t="n"/>
      <c r="C981" s="154" t="n"/>
      <c r="D981" s="113" t="n"/>
      <c r="E981" s="155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</row>
    <row r="982" ht="15.75" customHeight="1">
      <c r="A982" s="133" t="n"/>
      <c r="B982" s="113" t="n"/>
      <c r="C982" s="154" t="n"/>
      <c r="D982" s="113" t="n"/>
      <c r="E982" s="155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</row>
    <row r="983" ht="15.75" customHeight="1">
      <c r="A983" s="133" t="n"/>
      <c r="B983" s="113" t="n"/>
      <c r="C983" s="154" t="n"/>
      <c r="D983" s="113" t="n"/>
      <c r="E983" s="155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</row>
    <row r="984" ht="15.75" customHeight="1">
      <c r="A984" s="133" t="n"/>
      <c r="B984" s="113" t="n"/>
      <c r="C984" s="154" t="n"/>
      <c r="D984" s="113" t="n"/>
      <c r="E984" s="155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</row>
    <row r="985" ht="15.75" customHeight="1">
      <c r="A985" s="133" t="n"/>
      <c r="B985" s="113" t="n"/>
      <c r="C985" s="154" t="n"/>
      <c r="D985" s="113" t="n"/>
      <c r="E985" s="155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</row>
    <row r="986" ht="15.75" customHeight="1">
      <c r="A986" s="133" t="n"/>
      <c r="B986" s="113" t="n"/>
      <c r="C986" s="154" t="n"/>
      <c r="D986" s="113" t="n"/>
      <c r="E986" s="155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</row>
    <row r="987" ht="15.75" customHeight="1">
      <c r="A987" s="133" t="n"/>
      <c r="B987" s="113" t="n"/>
      <c r="C987" s="154" t="n"/>
      <c r="D987" s="113" t="n"/>
      <c r="E987" s="155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</row>
    <row r="988" ht="15.75" customHeight="1">
      <c r="A988" s="133" t="n"/>
      <c r="B988" s="113" t="n"/>
      <c r="C988" s="154" t="n"/>
      <c r="D988" s="113" t="n"/>
      <c r="E988" s="155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</row>
    <row r="989" ht="15.75" customHeight="1">
      <c r="A989" s="133" t="n"/>
      <c r="B989" s="113" t="n"/>
      <c r="C989" s="154" t="n"/>
      <c r="D989" s="113" t="n"/>
      <c r="E989" s="155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</row>
    <row r="990" ht="15.75" customHeight="1">
      <c r="A990" s="133" t="n"/>
      <c r="B990" s="113" t="n"/>
      <c r="C990" s="154" t="n"/>
      <c r="D990" s="113" t="n"/>
      <c r="E990" s="155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</row>
    <row r="991" ht="15.75" customHeight="1">
      <c r="A991" s="133" t="n"/>
      <c r="B991" s="113" t="n"/>
      <c r="C991" s="154" t="n"/>
      <c r="D991" s="113" t="n"/>
      <c r="E991" s="155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</row>
    <row r="992" ht="15.75" customHeight="1">
      <c r="A992" s="133" t="n"/>
      <c r="B992" s="113" t="n"/>
      <c r="C992" s="154" t="n"/>
      <c r="D992" s="113" t="n"/>
      <c r="E992" s="155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</row>
    <row r="993" ht="15.75" customHeight="1">
      <c r="A993" s="133" t="n"/>
      <c r="B993" s="113" t="n"/>
      <c r="C993" s="154" t="n"/>
      <c r="D993" s="113" t="n"/>
      <c r="E993" s="155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</row>
    <row r="994" ht="15.75" customHeight="1">
      <c r="A994" s="133" t="n"/>
      <c r="B994" s="113" t="n"/>
      <c r="C994" s="154" t="n"/>
      <c r="D994" s="113" t="n"/>
      <c r="E994" s="155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</row>
    <row r="995" ht="15.75" customHeight="1">
      <c r="A995" s="133" t="n"/>
      <c r="B995" s="113" t="n"/>
      <c r="C995" s="154" t="n"/>
      <c r="D995" s="113" t="n"/>
      <c r="E995" s="155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</row>
    <row r="996" ht="15.75" customHeight="1">
      <c r="A996" s="133" t="n"/>
      <c r="B996" s="113" t="n"/>
      <c r="C996" s="154" t="n"/>
      <c r="D996" s="113" t="n"/>
      <c r="E996" s="155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</row>
    <row r="997" ht="15.75" customHeight="1">
      <c r="A997" s="133" t="n"/>
      <c r="B997" s="113" t="n"/>
      <c r="C997" s="154" t="n"/>
      <c r="D997" s="113" t="n"/>
      <c r="E997" s="155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</row>
    <row r="998" ht="15.75" customHeight="1">
      <c r="A998" s="133" t="n"/>
      <c r="B998" s="113" t="n"/>
      <c r="C998" s="154" t="n"/>
      <c r="D998" s="113" t="n"/>
      <c r="E998" s="155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</row>
    <row r="999" ht="15.75" customHeight="1">
      <c r="A999" s="133" t="n"/>
      <c r="B999" s="113" t="n"/>
      <c r="C999" s="154" t="n"/>
      <c r="D999" s="113" t="n"/>
      <c r="E999" s="155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</row>
    <row r="1000" ht="15.75" customHeight="1">
      <c r="A1000" s="133" t="n"/>
      <c r="B1000" s="113" t="n"/>
      <c r="C1000" s="154" t="n"/>
      <c r="D1000" s="113" t="n"/>
      <c r="E1000" s="155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</row>
  </sheetData>
  <pageMargins left="0.7" right="0.7" top="0.75" bottom="0.75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4"/>
  <sheetViews>
    <sheetView workbookViewId="0">
      <selection activeCell="A1" sqref="A1"/>
    </sheetView>
  </sheetViews>
  <sheetFormatPr baseColWidth="8" defaultRowHeight="15"/>
  <cols>
    <col width="6.57" customWidth="1" min="1" max="1"/>
    <col width="5.86" customWidth="1" min="2" max="2"/>
    <col width="13.86" customWidth="1" min="3" max="3"/>
    <col width="31.71" customWidth="1" min="4" max="4"/>
    <col width="14.29" customWidth="1" min="5" max="5"/>
    <col width="40.14" customWidth="1" min="6" max="6"/>
    <col width="14.43" customWidth="1" min="7" max="7"/>
    <col width="16.29" customWidth="1" min="10" max="10"/>
    <col width="13.71" customWidth="1" min="11" max="11"/>
    <col width="9.710000000000001" customWidth="1" min="12" max="12"/>
    <col width="27.29" customWidth="1" min="13" max="13"/>
    <col width="11" customWidth="1" min="14" max="14"/>
    <col width="29.86" customWidth="1" min="15" max="15"/>
    <col width="73" customWidth="1" min="16" max="16"/>
  </cols>
  <sheetData>
    <row r="1">
      <c r="A1" s="156" t="n"/>
      <c r="B1" s="157" t="inlineStr">
        <is>
          <t>ITEM</t>
        </is>
      </c>
      <c r="C1" s="158" t="inlineStr">
        <is>
          <t>FECHA</t>
        </is>
      </c>
      <c r="D1" s="159" t="inlineStr">
        <is>
          <t>Nombre Granja</t>
        </is>
      </c>
      <c r="E1" s="158" t="inlineStr">
        <is>
          <t>PLANILLA</t>
        </is>
      </c>
      <c r="F1" s="159" t="inlineStr">
        <is>
          <t>CONDUCTOR</t>
        </is>
      </c>
      <c r="G1" s="160" t="inlineStr">
        <is>
          <t>ENVIADOS</t>
        </is>
      </c>
      <c r="H1" s="160" t="n"/>
      <c r="I1" s="160" t="n"/>
      <c r="J1" s="159" t="inlineStr">
        <is>
          <t>AHOGADOS</t>
        </is>
      </c>
      <c r="K1" s="158" t="inlineStr">
        <is>
          <t>DESCARTADOS</t>
        </is>
      </c>
      <c r="L1" s="161" t="inlineStr">
        <is>
          <t>DIFE</t>
        </is>
      </c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62" t="n"/>
      <c r="AB1" s="162" t="n"/>
      <c r="AC1" s="162" t="n"/>
      <c r="AD1" s="162" t="n"/>
      <c r="AE1" s="162" t="n"/>
      <c r="AF1" s="162" t="n"/>
    </row>
    <row r="2">
      <c r="A2" s="162" t="n"/>
      <c r="B2" s="163" t="n">
        <v>1</v>
      </c>
      <c r="C2" s="164" t="n">
        <v>45781</v>
      </c>
      <c r="D2" s="165" t="inlineStr">
        <is>
          <t>202 G. HUERTAS</t>
        </is>
      </c>
      <c r="E2" s="165" t="n">
        <v>201040</v>
      </c>
      <c r="F2" s="165" t="inlineStr">
        <is>
          <t>ROBERTO MONROY</t>
        </is>
      </c>
      <c r="G2" s="165" t="n">
        <v>2720</v>
      </c>
      <c r="H2" s="165" t="n"/>
      <c r="I2" s="165" t="n">
        <v>2684</v>
      </c>
      <c r="J2" s="165" t="n">
        <v>34</v>
      </c>
      <c r="K2" s="165" t="n">
        <v>-6</v>
      </c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  <c r="AA2" s="162" t="n"/>
      <c r="AB2" s="162" t="n"/>
      <c r="AC2" s="162" t="n"/>
      <c r="AD2" s="162" t="n"/>
      <c r="AE2" s="162" t="n"/>
      <c r="AF2" s="162" t="n"/>
    </row>
    <row r="3">
      <c r="A3" s="162" t="n"/>
      <c r="B3" s="165" t="n">
        <v>2</v>
      </c>
      <c r="C3" s="164" t="n">
        <v>45781</v>
      </c>
      <c r="D3" s="165" t="inlineStr">
        <is>
          <t>202 G. HUERTAS</t>
        </is>
      </c>
      <c r="E3" s="165" t="n">
        <v>201042</v>
      </c>
      <c r="F3" s="165" t="inlineStr">
        <is>
          <t xml:space="preserve"> LEONARDO LUGO</t>
        </is>
      </c>
      <c r="G3" s="165" t="n">
        <v>3080</v>
      </c>
      <c r="H3" s="165" t="n"/>
      <c r="I3" s="165" t="n">
        <v>3055</v>
      </c>
      <c r="J3" s="165" t="n">
        <v>20</v>
      </c>
      <c r="K3" s="165" t="n">
        <v>0</v>
      </c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  <c r="AA3" s="162" t="n"/>
      <c r="AB3" s="162" t="n"/>
      <c r="AC3" s="162" t="n"/>
      <c r="AD3" s="162" t="n"/>
      <c r="AE3" s="162" t="n"/>
      <c r="AF3" s="162" t="n"/>
    </row>
    <row r="4">
      <c r="A4" s="162" t="n"/>
      <c r="B4" s="165" t="n">
        <v>3</v>
      </c>
      <c r="C4" s="164" t="n">
        <v>45783</v>
      </c>
      <c r="D4" s="165" t="inlineStr">
        <is>
          <t>202 G. HUERTAS</t>
        </is>
      </c>
      <c r="E4" s="165" t="n">
        <v>201082</v>
      </c>
      <c r="F4" s="165" t="inlineStr">
        <is>
          <t>FERNANDO SANDOVAL</t>
        </is>
      </c>
      <c r="G4" s="165" t="n">
        <v>3080</v>
      </c>
      <c r="H4" s="165" t="n"/>
      <c r="I4" s="165" t="n">
        <v>3051</v>
      </c>
      <c r="J4" s="165" t="n">
        <v>20</v>
      </c>
      <c r="K4" s="165" t="n">
        <v>7</v>
      </c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162" t="n"/>
      <c r="AF4" s="162" t="n"/>
    </row>
    <row r="5">
      <c r="A5" s="162" t="n"/>
      <c r="B5" s="165" t="n">
        <v>4</v>
      </c>
      <c r="C5" s="164" t="n">
        <v>45784</v>
      </c>
      <c r="D5" s="165" t="inlineStr">
        <is>
          <t>202 G. HUERTAS</t>
        </is>
      </c>
      <c r="E5" s="165" t="n">
        <v>201084</v>
      </c>
      <c r="F5" s="165" t="inlineStr">
        <is>
          <t>FABIO FAJARDO AGUILAR</t>
        </is>
      </c>
      <c r="G5" s="165" t="n">
        <v>3080</v>
      </c>
      <c r="H5" s="165" t="n"/>
      <c r="I5" s="165" t="n">
        <v>3079</v>
      </c>
      <c r="J5" s="165" t="n">
        <v>5</v>
      </c>
      <c r="K5" s="165" t="n">
        <v>-5</v>
      </c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  <c r="AA5" s="162" t="n"/>
      <c r="AB5" s="162" t="n"/>
      <c r="AC5" s="162" t="n"/>
      <c r="AD5" s="162" t="n"/>
      <c r="AE5" s="162" t="n"/>
      <c r="AF5" s="162" t="n"/>
    </row>
    <row r="6">
      <c r="A6" s="162" t="n"/>
      <c r="B6" s="165" t="n">
        <v>5</v>
      </c>
      <c r="C6" s="164" t="n">
        <v>45784</v>
      </c>
      <c r="D6" s="165" t="inlineStr">
        <is>
          <t>202 G. HUERTAS</t>
        </is>
      </c>
      <c r="E6" s="165" t="n">
        <v>201085</v>
      </c>
      <c r="F6" s="165" t="inlineStr">
        <is>
          <t>CARLOS PORRAS</t>
        </is>
      </c>
      <c r="G6" s="165" t="n">
        <v>3080</v>
      </c>
      <c r="H6" s="165" t="n"/>
      <c r="I6" s="165" t="n">
        <v>3072</v>
      </c>
      <c r="J6" s="165" t="n">
        <v>13</v>
      </c>
      <c r="K6" s="165" t="n">
        <v>-5</v>
      </c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  <c r="AA6" s="162" t="n"/>
      <c r="AB6" s="162" t="n"/>
      <c r="AC6" s="162" t="n"/>
      <c r="AD6" s="162" t="n"/>
      <c r="AE6" s="162" t="n"/>
      <c r="AF6" s="162" t="n"/>
    </row>
    <row r="7">
      <c r="A7" s="162" t="n"/>
      <c r="B7" s="165" t="n">
        <v>6</v>
      </c>
      <c r="C7" s="164" t="n">
        <v>45784</v>
      </c>
      <c r="D7" s="166" t="inlineStr">
        <is>
          <t>202 G. HUERTAS</t>
        </is>
      </c>
      <c r="E7" s="166" t="n">
        <v>201086</v>
      </c>
      <c r="F7" s="166" t="inlineStr">
        <is>
          <t>MARCO OSPINA</t>
        </is>
      </c>
      <c r="G7" s="166" t="n">
        <v>3070</v>
      </c>
      <c r="H7" s="166" t="n"/>
      <c r="I7" s="166" t="n">
        <v>3064</v>
      </c>
      <c r="J7" s="166" t="n">
        <v>7</v>
      </c>
      <c r="K7" s="166" t="n">
        <v>-4</v>
      </c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  <c r="AA7" s="162" t="n"/>
      <c r="AB7" s="162" t="n"/>
      <c r="AC7" s="162" t="n"/>
      <c r="AD7" s="162" t="n"/>
      <c r="AE7" s="162" t="n"/>
      <c r="AF7" s="162" t="n"/>
    </row>
    <row r="8">
      <c r="A8" s="162" t="n"/>
      <c r="B8" s="165" t="n">
        <v>7</v>
      </c>
      <c r="C8" s="164" t="n">
        <v>45784</v>
      </c>
      <c r="D8" s="166" t="inlineStr">
        <is>
          <t>202 G. HUERTAS</t>
        </is>
      </c>
      <c r="E8" s="166" t="n">
        <v>68233</v>
      </c>
      <c r="F8" s="166" t="inlineStr">
        <is>
          <t>JEISSON ECHEVERRIA</t>
        </is>
      </c>
      <c r="G8" s="166" t="n">
        <v>3240</v>
      </c>
      <c r="H8" s="166" t="n"/>
      <c r="I8" s="166" t="n">
        <v>3235</v>
      </c>
      <c r="J8" s="166" t="n">
        <v>0</v>
      </c>
      <c r="K8" s="166" t="n">
        <v>3</v>
      </c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  <c r="AA8" s="162" t="n"/>
      <c r="AB8" s="162" t="n"/>
      <c r="AC8" s="162" t="n"/>
      <c r="AD8" s="162" t="n"/>
      <c r="AE8" s="162" t="n"/>
      <c r="AF8" s="162" t="n"/>
    </row>
    <row r="9">
      <c r="A9" s="162" t="n"/>
      <c r="B9" s="165" t="n">
        <v>8</v>
      </c>
      <c r="C9" s="164" t="n">
        <v>45784</v>
      </c>
      <c r="D9" s="166" t="inlineStr">
        <is>
          <t>202 G. HUERTAS-LA MANIGUA</t>
        </is>
      </c>
      <c r="E9" s="166" t="n">
        <v>40926</v>
      </c>
      <c r="F9" s="166" t="inlineStr">
        <is>
          <t>JHON AGUIRRE</t>
        </is>
      </c>
      <c r="G9" s="166" t="n">
        <v>3180</v>
      </c>
      <c r="H9" s="166" t="n"/>
      <c r="I9" s="166" t="n">
        <v>3152</v>
      </c>
      <c r="J9" s="166" t="n">
        <v>18</v>
      </c>
      <c r="K9" s="166" t="n">
        <v>0</v>
      </c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2" t="n"/>
      <c r="AF9" s="162" t="n"/>
    </row>
    <row r="10">
      <c r="A10" s="162" t="n"/>
      <c r="B10" s="165" t="n">
        <v>9</v>
      </c>
      <c r="C10" s="164" t="n">
        <v>45784</v>
      </c>
      <c r="D10" s="166" t="inlineStr">
        <is>
          <t>202 G. HUERTAS-LA MANIGUA</t>
        </is>
      </c>
      <c r="E10" s="166" t="n">
        <v>40927</v>
      </c>
      <c r="F10" s="166" t="inlineStr">
        <is>
          <t>ALBERTO LOPEZ</t>
        </is>
      </c>
      <c r="G10" s="166" t="n">
        <v>3180</v>
      </c>
      <c r="H10" s="166" t="n"/>
      <c r="I10" s="166" t="n">
        <v>3141</v>
      </c>
      <c r="J10" s="166" t="n">
        <v>20</v>
      </c>
      <c r="K10" s="166" t="n">
        <v>14</v>
      </c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  <c r="AA10" s="162" t="n"/>
      <c r="AB10" s="162" t="n"/>
      <c r="AC10" s="162" t="n"/>
      <c r="AD10" s="162" t="n"/>
      <c r="AE10" s="162" t="n"/>
      <c r="AF10" s="162" t="n"/>
    </row>
    <row r="11">
      <c r="A11" s="162" t="n"/>
      <c r="B11" s="165" t="n">
        <v>10</v>
      </c>
      <c r="C11" s="164" t="n">
        <v>45784</v>
      </c>
      <c r="D11" s="166" t="inlineStr">
        <is>
          <t>202 G. HUERTAS-LA MANIGUA</t>
        </is>
      </c>
      <c r="E11" s="166" t="n">
        <v>40928</v>
      </c>
      <c r="F11" s="166" t="inlineStr">
        <is>
          <t>DIEGO NIÑO</t>
        </is>
      </c>
      <c r="G11" s="166" t="n">
        <v>3200</v>
      </c>
      <c r="H11" s="166" t="n"/>
      <c r="I11" s="166" t="n">
        <v>3173</v>
      </c>
      <c r="J11" s="166" t="n">
        <v>22</v>
      </c>
      <c r="K11" s="166" t="n">
        <v>1</v>
      </c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  <c r="AA11" s="162" t="n"/>
      <c r="AB11" s="162" t="n"/>
      <c r="AC11" s="162" t="n"/>
      <c r="AD11" s="162" t="n"/>
      <c r="AE11" s="162" t="n"/>
      <c r="AF11" s="162" t="n"/>
    </row>
    <row r="12">
      <c r="A12" s="162" t="n"/>
      <c r="B12" s="165" t="n">
        <v>11</v>
      </c>
      <c r="C12" s="164" t="n">
        <v>45784</v>
      </c>
      <c r="D12" s="166" t="inlineStr">
        <is>
          <t>202 G. HUERTAS-LA MANIGUA</t>
        </is>
      </c>
      <c r="E12" s="166" t="n">
        <v>40929</v>
      </c>
      <c r="F12" s="166" t="inlineStr">
        <is>
          <t>FABIO ALDANA</t>
        </is>
      </c>
      <c r="G12" s="166" t="n">
        <v>3170</v>
      </c>
      <c r="H12" s="166" t="n"/>
      <c r="I12" s="166" t="n">
        <v>3149</v>
      </c>
      <c r="J12" s="166" t="n">
        <v>24</v>
      </c>
      <c r="K12" s="166" t="n">
        <v>-6</v>
      </c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  <c r="AA12" s="162" t="n"/>
      <c r="AB12" s="162" t="n"/>
      <c r="AC12" s="162" t="n"/>
      <c r="AD12" s="162" t="n"/>
      <c r="AE12" s="162" t="n"/>
      <c r="AF12" s="162" t="n"/>
    </row>
    <row r="13">
      <c r="A13" s="162" t="n"/>
      <c r="B13" s="165" t="n">
        <v>12</v>
      </c>
      <c r="C13" s="164" t="n">
        <v>45784</v>
      </c>
      <c r="D13" s="166" t="inlineStr">
        <is>
          <t>202 G. HUERTAS-LA MANIGUA</t>
        </is>
      </c>
      <c r="E13" s="166" t="n">
        <v>40930</v>
      </c>
      <c r="F13" s="166" t="inlineStr">
        <is>
          <t>FERNANDO OYUELA</t>
        </is>
      </c>
      <c r="G13" s="166" t="n">
        <v>3150</v>
      </c>
      <c r="H13" s="166" t="n"/>
      <c r="I13" s="166" t="n">
        <v>3128</v>
      </c>
      <c r="J13" s="166" t="n">
        <v>25</v>
      </c>
      <c r="K13" s="166" t="n">
        <v>-5</v>
      </c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  <c r="AA13" s="162" t="n"/>
      <c r="AB13" s="162" t="n"/>
      <c r="AC13" s="162" t="n"/>
      <c r="AD13" s="162" t="n"/>
      <c r="AE13" s="162" t="n"/>
      <c r="AF13" s="162" t="n"/>
    </row>
    <row r="14">
      <c r="A14" s="162" t="n"/>
      <c r="B14" s="165" t="n">
        <v>13</v>
      </c>
      <c r="C14" s="164" t="n">
        <v>45784</v>
      </c>
      <c r="D14" s="166" t="inlineStr">
        <is>
          <t>202 G. HUERTAS-LA MANIGUA</t>
        </is>
      </c>
      <c r="E14" s="166" t="n">
        <v>40931</v>
      </c>
      <c r="F14" s="166" t="inlineStr">
        <is>
          <t>ALBERTO LOPEZ</t>
        </is>
      </c>
      <c r="G14" s="166" t="n">
        <v>2950</v>
      </c>
      <c r="H14" s="166" t="n"/>
      <c r="I14" s="166" t="n">
        <v>2924</v>
      </c>
      <c r="J14" s="166" t="n">
        <v>23</v>
      </c>
      <c r="K14" s="166" t="n">
        <v>-2</v>
      </c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  <c r="AA14" s="162" t="n"/>
      <c r="AB14" s="162" t="n"/>
      <c r="AC14" s="162" t="n"/>
      <c r="AD14" s="162" t="n"/>
      <c r="AE14" s="162" t="n"/>
      <c r="AF14" s="162" t="n"/>
    </row>
    <row r="15">
      <c r="A15" s="162" t="n"/>
      <c r="B15" s="165" t="n">
        <v>14</v>
      </c>
      <c r="C15" s="164" t="n">
        <v>45784</v>
      </c>
      <c r="D15" s="166" t="inlineStr">
        <is>
          <t>202 G. HUERTAS-LA MANIGUA</t>
        </is>
      </c>
      <c r="E15" s="166" t="n">
        <v>40932</v>
      </c>
      <c r="F15" s="166" t="inlineStr">
        <is>
          <t>JHON ARIAS</t>
        </is>
      </c>
      <c r="G15" s="166" t="n">
        <v>2650</v>
      </c>
      <c r="H15" s="166" t="n"/>
      <c r="I15" s="166" t="n">
        <v>2612</v>
      </c>
      <c r="J15" s="166" t="n">
        <v>43</v>
      </c>
      <c r="K15" s="166" t="n">
        <v>-7</v>
      </c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  <c r="AA15" s="162" t="n"/>
      <c r="AB15" s="162" t="n"/>
      <c r="AC15" s="162" t="n"/>
      <c r="AD15" s="162" t="n"/>
      <c r="AE15" s="162" t="n"/>
      <c r="AF15" s="162" t="n"/>
    </row>
    <row r="16">
      <c r="A16" s="162" t="n"/>
      <c r="B16" s="165" t="n">
        <v>15</v>
      </c>
      <c r="C16" s="164" t="n">
        <v>45784</v>
      </c>
      <c r="D16" s="166" t="inlineStr">
        <is>
          <t>202 G. HUERTAS-LA MANIGUA</t>
        </is>
      </c>
      <c r="E16" s="166" t="n">
        <v>40941</v>
      </c>
      <c r="F16" s="166" t="inlineStr">
        <is>
          <t>ALEX GOMEZ</t>
        </is>
      </c>
      <c r="G16" s="166" t="n">
        <v>2650</v>
      </c>
      <c r="H16" s="166" t="n"/>
      <c r="I16" s="166" t="n">
        <v>2648</v>
      </c>
      <c r="J16" s="166" t="n">
        <v>10</v>
      </c>
      <c r="K16" s="166" t="n">
        <v>-11</v>
      </c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</row>
    <row r="17">
      <c r="A17" s="162" t="n"/>
      <c r="B17" s="165" t="n">
        <v>16</v>
      </c>
      <c r="C17" s="164" t="n">
        <v>45784</v>
      </c>
      <c r="D17" s="166" t="inlineStr">
        <is>
          <t>202 G. HUERTAS-LA MANIGUA</t>
        </is>
      </c>
      <c r="E17" s="166" t="n">
        <v>40942</v>
      </c>
      <c r="F17" s="166" t="inlineStr">
        <is>
          <t>WILMER PIÑEROS</t>
        </is>
      </c>
      <c r="G17" s="166" t="n">
        <v>2650</v>
      </c>
      <c r="H17" s="166" t="n"/>
      <c r="I17" s="166" t="n">
        <v>2649</v>
      </c>
      <c r="J17" s="166" t="n">
        <v>10</v>
      </c>
      <c r="K17" s="166" t="n">
        <v>-12</v>
      </c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  <c r="AA17" s="162" t="n"/>
      <c r="AB17" s="162" t="n"/>
      <c r="AC17" s="162" t="n"/>
      <c r="AD17" s="162" t="n"/>
      <c r="AE17" s="162" t="n"/>
      <c r="AF17" s="162" t="n"/>
    </row>
    <row r="18">
      <c r="A18" s="162" t="n"/>
      <c r="B18" s="165" t="n">
        <v>17</v>
      </c>
      <c r="C18" s="164" t="n">
        <v>45785</v>
      </c>
      <c r="D18" s="166" t="inlineStr">
        <is>
          <t>202 G. HUERTAS-LA MANIGUA</t>
        </is>
      </c>
      <c r="E18" s="166" t="n">
        <v>40951</v>
      </c>
      <c r="F18" s="166" t="inlineStr">
        <is>
          <t>HENRY ROMERO</t>
        </is>
      </c>
      <c r="G18" s="166" t="n">
        <v>3280</v>
      </c>
      <c r="H18" s="166" t="n"/>
      <c r="I18" s="166" t="n">
        <v>3248</v>
      </c>
      <c r="J18" s="166" t="n">
        <v>20</v>
      </c>
      <c r="K18" s="166" t="n">
        <v>2</v>
      </c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  <c r="AA18" s="162" t="n"/>
      <c r="AB18" s="162" t="n"/>
      <c r="AC18" s="162" t="n"/>
      <c r="AD18" s="162" t="n"/>
      <c r="AE18" s="162" t="n"/>
      <c r="AF18" s="162" t="n"/>
    </row>
    <row r="19">
      <c r="A19" s="162" t="n"/>
      <c r="B19" s="165" t="n">
        <v>18</v>
      </c>
      <c r="C19" s="164" t="n">
        <v>45785</v>
      </c>
      <c r="D19" s="166" t="inlineStr">
        <is>
          <t>202 G. HUERTAS-LA MANIGUA</t>
        </is>
      </c>
      <c r="E19" s="166" t="n">
        <v>40952</v>
      </c>
      <c r="F19" s="166" t="inlineStr">
        <is>
          <t>ALBERTO HERRERA</t>
        </is>
      </c>
      <c r="G19" s="166" t="n">
        <v>3275</v>
      </c>
      <c r="H19" s="166" t="n"/>
      <c r="I19" s="166" t="n">
        <v>3248</v>
      </c>
      <c r="J19" s="166" t="n">
        <v>17</v>
      </c>
      <c r="K19" s="166" t="n">
        <v>1</v>
      </c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  <c r="AA19" s="162" t="n"/>
      <c r="AB19" s="162" t="n"/>
      <c r="AC19" s="162" t="n"/>
      <c r="AD19" s="162" t="n"/>
      <c r="AE19" s="162" t="n"/>
      <c r="AF19" s="162" t="n"/>
    </row>
    <row r="20">
      <c r="A20" s="162" t="n"/>
      <c r="B20" s="165" t="n">
        <v>19</v>
      </c>
      <c r="C20" s="164" t="n">
        <v>45785</v>
      </c>
      <c r="D20" s="166" t="inlineStr">
        <is>
          <t>202 G. HUERTAS-LA MANIGUA</t>
        </is>
      </c>
      <c r="E20" s="166" t="n">
        <v>40953</v>
      </c>
      <c r="F20" s="166" t="inlineStr">
        <is>
          <t>JAIRO CUBILLOS</t>
        </is>
      </c>
      <c r="G20" s="166" t="n">
        <v>3275</v>
      </c>
      <c r="H20" s="166" t="n"/>
      <c r="I20" s="166" t="n">
        <v>3248</v>
      </c>
      <c r="J20" s="166" t="n">
        <v>15</v>
      </c>
      <c r="K20" s="166" t="n">
        <v>2</v>
      </c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  <c r="AA20" s="162" t="n"/>
      <c r="AB20" s="162" t="n"/>
      <c r="AC20" s="162" t="n"/>
      <c r="AD20" s="162" t="n"/>
      <c r="AE20" s="162" t="n"/>
      <c r="AF20" s="162" t="n"/>
    </row>
    <row r="21" ht="15.75" customHeight="1">
      <c r="A21" s="162" t="n"/>
      <c r="B21" s="165" t="n">
        <v>20</v>
      </c>
      <c r="C21" s="164" t="n">
        <v>45785</v>
      </c>
      <c r="D21" s="166" t="inlineStr">
        <is>
          <t>202 G. HUERTAS-LA MANIGUA</t>
        </is>
      </c>
      <c r="E21" s="166" t="n">
        <v>40954</v>
      </c>
      <c r="F21" s="166" t="inlineStr">
        <is>
          <t>YAIR RIVEROS</t>
        </is>
      </c>
      <c r="G21" s="166" t="n">
        <v>3255</v>
      </c>
      <c r="H21" s="166" t="n"/>
      <c r="I21" s="166" t="n">
        <v>3226</v>
      </c>
      <c r="J21" s="166" t="n">
        <v>14</v>
      </c>
      <c r="K21" s="166" t="n">
        <v>8</v>
      </c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  <c r="AA21" s="162" t="n"/>
      <c r="AB21" s="162" t="n"/>
      <c r="AC21" s="162" t="n"/>
      <c r="AD21" s="162" t="n"/>
      <c r="AE21" s="162" t="n"/>
      <c r="AF21" s="162" t="n"/>
    </row>
    <row r="22" ht="15.75" customHeight="1">
      <c r="A22" s="162" t="n"/>
      <c r="B22" s="165" t="n">
        <v>21</v>
      </c>
      <c r="C22" s="164" t="n">
        <v>45785</v>
      </c>
      <c r="D22" s="166" t="inlineStr">
        <is>
          <t>202 G. HUERTAS-LA MANIGUA</t>
        </is>
      </c>
      <c r="E22" s="166" t="n">
        <v>40955</v>
      </c>
      <c r="F22" s="166" t="inlineStr">
        <is>
          <t>DUMAR ANGARITA</t>
        </is>
      </c>
      <c r="G22" s="166" t="n">
        <v>3042</v>
      </c>
      <c r="H22" s="166" t="n"/>
      <c r="I22" s="166" t="n">
        <v>3005</v>
      </c>
      <c r="J22" s="166" t="n">
        <v>22</v>
      </c>
      <c r="K22" s="166" t="n">
        <v>8</v>
      </c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  <c r="AA22" s="162" t="n"/>
      <c r="AB22" s="162" t="n"/>
      <c r="AC22" s="162" t="n"/>
      <c r="AD22" s="162" t="n"/>
      <c r="AE22" s="162" t="n"/>
      <c r="AF22" s="162" t="n"/>
    </row>
    <row r="23" ht="15.75" customHeight="1">
      <c r="A23" s="162" t="n"/>
      <c r="B23" s="165" t="n">
        <v>22</v>
      </c>
      <c r="C23" s="164" t="n">
        <v>45785</v>
      </c>
      <c r="D23" s="165" t="inlineStr">
        <is>
          <t>202 G. HUERTAS-LA MANIGUA</t>
        </is>
      </c>
      <c r="E23" s="165" t="n">
        <v>40956</v>
      </c>
      <c r="F23" s="165" t="inlineStr">
        <is>
          <t>JOSE SOLER</t>
        </is>
      </c>
      <c r="G23" s="165" t="n">
        <v>3280</v>
      </c>
      <c r="H23" s="165" t="n"/>
      <c r="I23" s="165" t="n">
        <v>3244</v>
      </c>
      <c r="J23" s="165" t="n">
        <v>16</v>
      </c>
      <c r="K23" s="165" t="n">
        <v>16</v>
      </c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  <c r="AA23" s="162" t="n"/>
      <c r="AB23" s="162" t="n"/>
      <c r="AC23" s="162" t="n"/>
      <c r="AD23" s="162" t="n"/>
      <c r="AE23" s="162" t="n"/>
      <c r="AF23" s="162" t="n"/>
    </row>
    <row r="24" ht="15.75" customHeight="1">
      <c r="A24" s="162" t="n"/>
      <c r="B24" s="165" t="n">
        <v>23</v>
      </c>
      <c r="C24" s="164" t="n">
        <v>45785</v>
      </c>
      <c r="D24" s="165" t="inlineStr">
        <is>
          <t>202 G. HUERTAS-LA MANIGUA</t>
        </is>
      </c>
      <c r="E24" s="165" t="n">
        <v>40957</v>
      </c>
      <c r="F24" s="165" t="inlineStr">
        <is>
          <t>FERNADO OYUELA</t>
        </is>
      </c>
      <c r="G24" s="165" t="n">
        <v>3280</v>
      </c>
      <c r="H24" s="165" t="n"/>
      <c r="I24" s="165" t="n">
        <v>3193</v>
      </c>
      <c r="J24" s="165" t="n">
        <v>14</v>
      </c>
      <c r="K24" s="165" t="n">
        <v>63</v>
      </c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  <c r="AA24" s="162" t="n"/>
      <c r="AB24" s="162" t="n"/>
      <c r="AC24" s="162" t="n"/>
      <c r="AD24" s="162" t="n"/>
      <c r="AE24" s="162" t="n"/>
      <c r="AF24" s="162" t="n"/>
    </row>
    <row r="25" ht="15.75" customHeight="1">
      <c r="A25" s="162" t="n"/>
      <c r="B25" s="165" t="n">
        <v>24</v>
      </c>
      <c r="C25" s="164" t="n">
        <v>45785</v>
      </c>
      <c r="D25" s="165" t="inlineStr">
        <is>
          <t>202 G. HUERTAS-LA MANIGUA</t>
        </is>
      </c>
      <c r="E25" s="165" t="n">
        <v>40958</v>
      </c>
      <c r="F25" s="165" t="inlineStr">
        <is>
          <t>FABIO ALDANA</t>
        </is>
      </c>
      <c r="G25" s="165" t="n">
        <v>3270</v>
      </c>
      <c r="H25" s="165" t="n"/>
      <c r="I25" s="165" t="n">
        <v>3266</v>
      </c>
      <c r="J25" s="165" t="n">
        <v>11</v>
      </c>
      <c r="K25" s="165" t="n">
        <v>-12</v>
      </c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  <c r="AA25" s="162" t="n"/>
      <c r="AB25" s="162" t="n"/>
      <c r="AC25" s="162" t="n"/>
      <c r="AD25" s="162" t="n"/>
      <c r="AE25" s="162" t="n"/>
      <c r="AF25" s="162" t="n"/>
    </row>
    <row r="26" ht="15.75" customHeight="1">
      <c r="A26" s="162" t="n"/>
      <c r="B26" s="165" t="n">
        <v>25</v>
      </c>
      <c r="C26" s="164" t="n">
        <v>45785</v>
      </c>
      <c r="D26" s="165" t="inlineStr">
        <is>
          <t>202 G. HUERTAS</t>
        </is>
      </c>
      <c r="E26" s="165" t="n">
        <v>201105</v>
      </c>
      <c r="F26" s="165" t="inlineStr">
        <is>
          <t>MARCOS LOPEZ CASTAÑEDA</t>
        </is>
      </c>
      <c r="G26" s="165" t="n">
        <v>1775</v>
      </c>
      <c r="H26" s="165" t="n"/>
      <c r="I26" s="165" t="n">
        <v>1753</v>
      </c>
      <c r="J26" s="165" t="n">
        <v>26</v>
      </c>
      <c r="K26" s="165" t="n">
        <v>-6</v>
      </c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  <c r="AA26" s="162" t="n"/>
      <c r="AB26" s="162" t="n"/>
      <c r="AC26" s="162" t="n"/>
      <c r="AD26" s="162" t="n"/>
      <c r="AE26" s="162" t="n"/>
      <c r="AF26" s="162" t="n"/>
    </row>
    <row r="27" ht="15.75" customHeight="1">
      <c r="A27" s="162" t="n"/>
      <c r="B27" s="165" t="n">
        <v>26</v>
      </c>
      <c r="C27" s="164" t="n">
        <v>45785</v>
      </c>
      <c r="D27" s="165" t="inlineStr">
        <is>
          <t>202 G. HUERTAS</t>
        </is>
      </c>
      <c r="E27" s="165" t="n">
        <v>201107</v>
      </c>
      <c r="F27" s="165" t="inlineStr">
        <is>
          <t>ROBERTO MONROY</t>
        </is>
      </c>
      <c r="G27" s="165" t="n">
        <v>1775</v>
      </c>
      <c r="H27" s="165" t="n"/>
      <c r="I27" s="165" t="n">
        <v>1713</v>
      </c>
      <c r="J27" s="165" t="n">
        <v>54</v>
      </c>
      <c r="K27" s="165" t="n">
        <v>5</v>
      </c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  <c r="AA27" s="162" t="n"/>
      <c r="AB27" s="162" t="n"/>
      <c r="AC27" s="162" t="n"/>
      <c r="AD27" s="162" t="n"/>
      <c r="AE27" s="162" t="n"/>
      <c r="AF27" s="162" t="n"/>
    </row>
    <row r="28" ht="15.75" customHeight="1">
      <c r="A28" s="162" t="n"/>
      <c r="B28" s="165" t="n">
        <v>27</v>
      </c>
      <c r="C28" s="164" t="n">
        <v>45785</v>
      </c>
      <c r="D28" s="165" t="inlineStr">
        <is>
          <t>202 G. HUERTAS</t>
        </is>
      </c>
      <c r="E28" s="165" t="n">
        <v>201108</v>
      </c>
      <c r="F28" s="165" t="inlineStr">
        <is>
          <t>EDISIN DUQUE SAMBONI</t>
        </is>
      </c>
      <c r="G28" s="165" t="n">
        <v>1600</v>
      </c>
      <c r="H28" s="165" t="n"/>
      <c r="I28" s="165" t="n">
        <v>1566</v>
      </c>
      <c r="J28" s="165" t="n">
        <v>40</v>
      </c>
      <c r="K28" s="165" t="n">
        <v>-8</v>
      </c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  <c r="AA28" s="162" t="n"/>
      <c r="AB28" s="162" t="n"/>
      <c r="AC28" s="162" t="n"/>
      <c r="AD28" s="162" t="n"/>
      <c r="AE28" s="162" t="n"/>
      <c r="AF28" s="162" t="n"/>
    </row>
    <row r="29" ht="15.75" customHeight="1">
      <c r="A29" s="162" t="n"/>
      <c r="B29" s="165" t="n">
        <v>28</v>
      </c>
      <c r="C29" s="164" t="n">
        <v>45786</v>
      </c>
      <c r="D29" s="165" t="inlineStr">
        <is>
          <t>202 G. HUERTAS</t>
        </is>
      </c>
      <c r="E29" s="165" t="n">
        <v>201111</v>
      </c>
      <c r="F29" s="165" t="inlineStr">
        <is>
          <t>DAZA MARCOS</t>
        </is>
      </c>
      <c r="G29" s="165" t="n">
        <v>1721</v>
      </c>
      <c r="H29" s="165" t="n"/>
      <c r="I29" s="165" t="n">
        <v>1626</v>
      </c>
      <c r="J29" s="165" t="n">
        <v>63</v>
      </c>
      <c r="K29" s="165" t="n">
        <v>30</v>
      </c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  <c r="AA29" s="162" t="n"/>
      <c r="AB29" s="162" t="n"/>
      <c r="AC29" s="162" t="n"/>
      <c r="AD29" s="162" t="n"/>
      <c r="AE29" s="162" t="n"/>
      <c r="AF29" s="162" t="n"/>
    </row>
    <row r="30" ht="15.75" customHeight="1">
      <c r="A30" s="162" t="n"/>
      <c r="B30" s="165" t="n">
        <v>29</v>
      </c>
      <c r="C30" s="164" t="n">
        <v>45786</v>
      </c>
      <c r="D30" s="165" t="inlineStr">
        <is>
          <t>202 G. HUERTAS</t>
        </is>
      </c>
      <c r="E30" s="165" t="n">
        <v>68266</v>
      </c>
      <c r="F30" s="165" t="inlineStr">
        <is>
          <t>MARCOS OSPINA</t>
        </is>
      </c>
      <c r="G30" s="165" t="n">
        <v>1775</v>
      </c>
      <c r="H30" s="165" t="n"/>
      <c r="I30" s="165" t="n">
        <v>1771</v>
      </c>
      <c r="J30" s="165" t="n">
        <v>0</v>
      </c>
      <c r="K30" s="165" t="n">
        <v>4</v>
      </c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  <c r="AA30" s="162" t="n"/>
      <c r="AB30" s="162" t="n"/>
      <c r="AC30" s="162" t="n"/>
      <c r="AD30" s="162" t="n"/>
      <c r="AE30" s="162" t="n"/>
      <c r="AF30" s="162" t="n"/>
    </row>
    <row r="31" ht="15.75" customHeight="1">
      <c r="A31" s="162" t="n"/>
      <c r="B31" s="165" t="n">
        <v>30</v>
      </c>
      <c r="C31" s="164" t="n">
        <v>45786</v>
      </c>
      <c r="D31" s="165" t="inlineStr">
        <is>
          <t>202 G. HUERTAS-LA MANIGUA</t>
        </is>
      </c>
      <c r="E31" s="165" t="n">
        <v>40974</v>
      </c>
      <c r="F31" s="165" t="inlineStr">
        <is>
          <t>DUMAR ANGARITA</t>
        </is>
      </c>
      <c r="G31" s="165" t="n">
        <v>3000</v>
      </c>
      <c r="H31" s="165" t="n"/>
      <c r="I31" s="165" t="n">
        <v>2988</v>
      </c>
      <c r="J31" s="165" t="n">
        <v>9</v>
      </c>
      <c r="K31" s="165" t="n">
        <v>-2</v>
      </c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  <c r="AA31" s="162" t="n"/>
      <c r="AB31" s="162" t="n"/>
      <c r="AC31" s="162" t="n"/>
      <c r="AD31" s="162" t="n"/>
      <c r="AE31" s="162" t="n"/>
      <c r="AF31" s="162" t="n"/>
    </row>
    <row r="32" ht="15.75" customHeight="1">
      <c r="A32" s="162" t="n"/>
      <c r="B32" s="165" t="n">
        <v>31</v>
      </c>
      <c r="C32" s="164" t="n">
        <v>45786</v>
      </c>
      <c r="D32" s="165" t="inlineStr">
        <is>
          <t>202 G. HUERTAS-LA MANIGUA</t>
        </is>
      </c>
      <c r="E32" s="165" t="n">
        <v>40975</v>
      </c>
      <c r="F32" s="165" t="inlineStr">
        <is>
          <t>ALBERTO HERRERA</t>
        </is>
      </c>
      <c r="G32" s="165" t="n">
        <v>3305</v>
      </c>
      <c r="H32" s="165" t="n"/>
      <c r="I32" s="165" t="n">
        <v>3271</v>
      </c>
      <c r="J32" s="165" t="n">
        <v>24</v>
      </c>
      <c r="K32" s="165" t="n">
        <v>6</v>
      </c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  <c r="AA32" s="162" t="n"/>
      <c r="AB32" s="162" t="n"/>
      <c r="AC32" s="162" t="n"/>
      <c r="AD32" s="162" t="n"/>
      <c r="AE32" s="162" t="n"/>
      <c r="AF32" s="162" t="n"/>
    </row>
    <row r="33" ht="15.75" customHeight="1">
      <c r="A33" s="162" t="n"/>
      <c r="B33" s="165" t="n">
        <v>32</v>
      </c>
      <c r="C33" s="164" t="n">
        <v>45786</v>
      </c>
      <c r="D33" s="165" t="inlineStr">
        <is>
          <t>202 G. HUERTAS-LA MANIGUA</t>
        </is>
      </c>
      <c r="E33" s="165" t="n">
        <v>40976</v>
      </c>
      <c r="F33" s="165" t="inlineStr">
        <is>
          <t>EDWIN ROJAS</t>
        </is>
      </c>
      <c r="G33" s="165" t="n">
        <v>2940</v>
      </c>
      <c r="H33" s="165" t="n"/>
      <c r="I33" s="165" t="n">
        <v>2908</v>
      </c>
      <c r="J33" s="165" t="n">
        <v>21</v>
      </c>
      <c r="K33" s="165" t="n">
        <v>7</v>
      </c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  <c r="AA33" s="162" t="n"/>
      <c r="AB33" s="162" t="n"/>
      <c r="AC33" s="162" t="n"/>
      <c r="AD33" s="162" t="n"/>
      <c r="AE33" s="162" t="n"/>
      <c r="AF33" s="162" t="n"/>
    </row>
    <row r="34" ht="15.75" customHeight="1">
      <c r="A34" s="162" t="n"/>
      <c r="B34" s="165" t="n">
        <v>33</v>
      </c>
      <c r="C34" s="164" t="n">
        <v>45786</v>
      </c>
      <c r="D34" s="165" t="inlineStr">
        <is>
          <t>202 G. HUERTAS-LA MANIGUA</t>
        </is>
      </c>
      <c r="E34" s="165" t="n">
        <v>40977</v>
      </c>
      <c r="F34" s="165" t="inlineStr">
        <is>
          <t>ALEX GOMEZ</t>
        </is>
      </c>
      <c r="G34" s="165" t="n">
        <v>2940</v>
      </c>
      <c r="H34" s="165" t="n"/>
      <c r="I34" s="165" t="n">
        <v>2924</v>
      </c>
      <c r="J34" s="165" t="n">
        <v>9</v>
      </c>
      <c r="K34" s="165" t="n">
        <v>4</v>
      </c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  <c r="AA34" s="162" t="n"/>
      <c r="AB34" s="162" t="n"/>
      <c r="AC34" s="162" t="n"/>
      <c r="AD34" s="162" t="n"/>
      <c r="AE34" s="162" t="n"/>
      <c r="AF34" s="162" t="n"/>
    </row>
    <row r="35" ht="15.75" customHeight="1">
      <c r="A35" s="162" t="n"/>
      <c r="B35" s="165" t="n">
        <v>34</v>
      </c>
      <c r="C35" s="164" t="n">
        <v>45786</v>
      </c>
      <c r="D35" s="165" t="inlineStr">
        <is>
          <t>202 G. HUERTAS-LA MANIGUA</t>
        </is>
      </c>
      <c r="E35" s="165" t="n">
        <v>40978</v>
      </c>
      <c r="F35" s="165" t="inlineStr">
        <is>
          <t>DIEGO NIÑO</t>
        </is>
      </c>
      <c r="G35" s="165" t="n">
        <v>3350</v>
      </c>
      <c r="H35" s="165" t="n"/>
      <c r="I35" s="165" t="n">
        <v>3328</v>
      </c>
      <c r="J35" s="165" t="n">
        <v>12</v>
      </c>
      <c r="K35" s="165" t="n">
        <v>9</v>
      </c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  <c r="AA35" s="162" t="n"/>
      <c r="AB35" s="162" t="n"/>
      <c r="AC35" s="162" t="n"/>
      <c r="AD35" s="162" t="n"/>
      <c r="AE35" s="162" t="n"/>
      <c r="AF35" s="162" t="n"/>
    </row>
    <row r="36" ht="15.75" customHeight="1">
      <c r="A36" s="162" t="n"/>
      <c r="B36" s="165" t="n">
        <v>35</v>
      </c>
      <c r="C36" s="164" t="n">
        <v>45786</v>
      </c>
      <c r="D36" s="165" t="inlineStr">
        <is>
          <t>202 G. HUERTAS-LA MANIGUA</t>
        </is>
      </c>
      <c r="E36" s="165" t="n">
        <v>40979</v>
      </c>
      <c r="F36" s="165" t="inlineStr">
        <is>
          <t>JHON ARIAS</t>
        </is>
      </c>
      <c r="G36" s="165" t="n">
        <v>3200</v>
      </c>
      <c r="H36" s="165" t="n"/>
      <c r="I36" s="165" t="n">
        <v>3165</v>
      </c>
      <c r="J36" s="165" t="n">
        <v>30</v>
      </c>
      <c r="K36" s="165" t="n">
        <v>4</v>
      </c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  <c r="AA36" s="162" t="n"/>
      <c r="AB36" s="162" t="n"/>
      <c r="AC36" s="162" t="n"/>
      <c r="AD36" s="162" t="n"/>
      <c r="AE36" s="162" t="n"/>
      <c r="AF36" s="162" t="n"/>
    </row>
    <row r="37" ht="15.75" customHeight="1">
      <c r="A37" s="162" t="n"/>
      <c r="B37" s="165" t="n">
        <v>36</v>
      </c>
      <c r="C37" s="164" t="n">
        <v>45786</v>
      </c>
      <c r="D37" s="165" t="inlineStr">
        <is>
          <t>202 G. HUERTAS-LA MANIGUA</t>
        </is>
      </c>
      <c r="E37" s="165" t="n">
        <v>40980</v>
      </c>
      <c r="F37" s="165" t="inlineStr">
        <is>
          <t>ALBERTO LOPEZ</t>
        </is>
      </c>
      <c r="G37" s="165" t="n">
        <v>3200</v>
      </c>
      <c r="H37" s="165" t="n"/>
      <c r="I37" s="165" t="n">
        <v>3165</v>
      </c>
      <c r="J37" s="165" t="n">
        <v>29</v>
      </c>
      <c r="K37" s="165" t="n">
        <v>5</v>
      </c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  <c r="AA37" s="162" t="n"/>
      <c r="AB37" s="162" t="n"/>
      <c r="AC37" s="162" t="n"/>
      <c r="AD37" s="162" t="n"/>
      <c r="AE37" s="162" t="n"/>
      <c r="AF37" s="162" t="n"/>
    </row>
    <row r="38" ht="15.75" customHeight="1">
      <c r="A38" s="162" t="n"/>
      <c r="B38" s="165" t="n">
        <v>37</v>
      </c>
      <c r="C38" s="164" t="n">
        <v>45786</v>
      </c>
      <c r="D38" s="165" t="inlineStr">
        <is>
          <t>202 G. HUERTAS-LA MANIGUA</t>
        </is>
      </c>
      <c r="E38" s="165" t="n">
        <v>40985</v>
      </c>
      <c r="F38" s="165" t="inlineStr">
        <is>
          <t>JOSE SOLER</t>
        </is>
      </c>
      <c r="G38" s="165" t="n">
        <v>3280</v>
      </c>
      <c r="H38" s="165" t="n"/>
      <c r="I38" s="165" t="n">
        <v>3248</v>
      </c>
      <c r="J38" s="165" t="n">
        <v>18</v>
      </c>
      <c r="K38" s="165" t="n">
        <v>9</v>
      </c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  <c r="AA38" s="162" t="n"/>
      <c r="AB38" s="162" t="n"/>
      <c r="AC38" s="162" t="n"/>
      <c r="AD38" s="162" t="n"/>
      <c r="AE38" s="162" t="n"/>
      <c r="AF38" s="162" t="n"/>
    </row>
    <row r="39" ht="15.75" customHeight="1">
      <c r="A39" s="162" t="n"/>
      <c r="B39" s="165" t="n">
        <v>38</v>
      </c>
      <c r="C39" s="164" t="n">
        <v>45786</v>
      </c>
      <c r="D39" s="165" t="inlineStr">
        <is>
          <t>202 G. HUERTAS-LA MANIGUA</t>
        </is>
      </c>
      <c r="E39" s="165" t="n">
        <v>40987</v>
      </c>
      <c r="F39" s="165" t="inlineStr">
        <is>
          <t>FERNANDO OYUELA</t>
        </is>
      </c>
      <c r="G39" s="165" t="n">
        <v>3280</v>
      </c>
      <c r="H39" s="165" t="n"/>
      <c r="I39" s="165" t="n">
        <v>3277</v>
      </c>
      <c r="J39" s="165" t="n">
        <v>12</v>
      </c>
      <c r="K39" s="165" t="n">
        <v>-13</v>
      </c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  <c r="AA39" s="162" t="n"/>
      <c r="AB39" s="162" t="n"/>
      <c r="AC39" s="162" t="n"/>
      <c r="AD39" s="162" t="n"/>
      <c r="AE39" s="162" t="n"/>
      <c r="AF39" s="162" t="n"/>
    </row>
    <row r="40" ht="15.75" customHeight="1">
      <c r="A40" s="162" t="n"/>
      <c r="B40" s="165" t="n">
        <v>39</v>
      </c>
      <c r="C40" s="164" t="n">
        <v>45786</v>
      </c>
      <c r="D40" s="165" t="inlineStr">
        <is>
          <t>202 G. HUERTAS-LA MANIGUA</t>
        </is>
      </c>
      <c r="E40" s="165" t="n">
        <v>40992</v>
      </c>
      <c r="F40" s="165" t="inlineStr">
        <is>
          <t>WILMER PIÑEROS</t>
        </is>
      </c>
      <c r="G40" s="165" t="n">
        <v>3180</v>
      </c>
      <c r="H40" s="165" t="n"/>
      <c r="I40" s="165" t="n">
        <v>3119</v>
      </c>
      <c r="J40" s="165" t="n">
        <v>11</v>
      </c>
      <c r="K40" s="165" t="n">
        <v>49</v>
      </c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  <c r="AA40" s="162" t="n"/>
      <c r="AB40" s="162" t="n"/>
      <c r="AC40" s="162" t="n"/>
      <c r="AD40" s="162" t="n"/>
      <c r="AE40" s="162" t="n"/>
      <c r="AF40" s="162" t="n"/>
    </row>
    <row r="41" ht="15.75" customHeight="1">
      <c r="A41" s="162" t="n"/>
      <c r="B41" s="165" t="n">
        <v>40</v>
      </c>
      <c r="C41" s="164" t="n">
        <v>45787</v>
      </c>
      <c r="D41" s="165" t="inlineStr">
        <is>
          <t>202 G. HUERTAS</t>
        </is>
      </c>
      <c r="E41" s="165" t="n">
        <v>68290</v>
      </c>
      <c r="F41" s="165" t="inlineStr">
        <is>
          <t>MARCOS LOPEZ</t>
        </is>
      </c>
      <c r="G41" s="165" t="n">
        <v>2742</v>
      </c>
      <c r="H41" s="165" t="n"/>
      <c r="I41" s="165" t="n">
        <v>2722</v>
      </c>
      <c r="J41" s="165" t="n">
        <v>25</v>
      </c>
      <c r="K41" s="165" t="n">
        <v>-10</v>
      </c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  <c r="AA41" s="162" t="n"/>
      <c r="AB41" s="162" t="n"/>
      <c r="AC41" s="162" t="n"/>
      <c r="AD41" s="162" t="n"/>
      <c r="AE41" s="162" t="n"/>
      <c r="AF41" s="162" t="n"/>
    </row>
    <row r="42" ht="15" customHeight="1">
      <c r="A42" s="162" t="n"/>
      <c r="B42" s="165" t="n">
        <v>41</v>
      </c>
      <c r="C42" s="164" t="n">
        <v>45787</v>
      </c>
      <c r="D42" s="166" t="inlineStr">
        <is>
          <t>202 G. HUERTAS-LA MANIGUA</t>
        </is>
      </c>
      <c r="E42" s="166" t="n">
        <v>40993</v>
      </c>
      <c r="F42" s="166" t="inlineStr">
        <is>
          <t>HENRY ROMERO</t>
        </is>
      </c>
      <c r="G42" s="166" t="n">
        <v>3230</v>
      </c>
      <c r="H42" s="166" t="n"/>
      <c r="I42" s="166" t="n">
        <v>3208</v>
      </c>
      <c r="J42" s="166" t="n">
        <v>7</v>
      </c>
      <c r="K42" s="166" t="n">
        <v>12</v>
      </c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  <c r="AA42" s="162" t="n"/>
      <c r="AB42" s="162" t="n"/>
      <c r="AC42" s="162" t="n"/>
      <c r="AD42" s="162" t="n"/>
      <c r="AE42" s="162" t="n"/>
      <c r="AF42" s="162" t="n"/>
    </row>
    <row r="43" ht="15" customHeight="1">
      <c r="A43" s="162" t="n"/>
      <c r="B43" s="165" t="n">
        <v>42</v>
      </c>
      <c r="C43" s="164" t="n">
        <v>45787</v>
      </c>
      <c r="D43" s="166" t="inlineStr">
        <is>
          <t>202 G. HUERTAS-LA MANIGUA</t>
        </is>
      </c>
      <c r="E43" s="166" t="n">
        <v>40994</v>
      </c>
      <c r="F43" s="166" t="inlineStr">
        <is>
          <t>EDWIN ROJAS</t>
        </is>
      </c>
      <c r="G43" s="166" t="n">
        <v>3240</v>
      </c>
      <c r="H43" s="166" t="n"/>
      <c r="I43" s="166" t="n">
        <v>3216</v>
      </c>
      <c r="J43" s="166" t="n">
        <v>6</v>
      </c>
      <c r="K43" s="166" t="n">
        <v>16</v>
      </c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  <c r="AA43" s="162" t="n"/>
      <c r="AB43" s="162" t="n"/>
      <c r="AC43" s="162" t="n"/>
      <c r="AD43" s="162" t="n"/>
      <c r="AE43" s="162" t="n"/>
      <c r="AF43" s="162" t="n"/>
    </row>
    <row r="44" ht="15.75" customHeight="1">
      <c r="A44" s="113" t="n"/>
      <c r="B44" s="163" t="n">
        <v>1</v>
      </c>
      <c r="C44" s="164" t="n">
        <v>45789</v>
      </c>
      <c r="D44" s="165" t="inlineStr">
        <is>
          <t>202 G. HUERTAS-LA MANIGUA</t>
        </is>
      </c>
      <c r="E44" s="165" t="n">
        <v>41018</v>
      </c>
      <c r="F44" s="165" t="inlineStr">
        <is>
          <t>JAIRO CUBILLOS</t>
        </is>
      </c>
      <c r="G44" s="165" t="n">
        <v>2201</v>
      </c>
      <c r="H44" s="165" t="n"/>
      <c r="I44" s="165" t="n">
        <v>2187</v>
      </c>
      <c r="J44" s="165" t="n">
        <v>7</v>
      </c>
      <c r="K44" s="165" t="n">
        <v>3</v>
      </c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</row>
    <row r="45" ht="15.75" customHeight="1">
      <c r="A45" s="113" t="n"/>
      <c r="B45" s="165" t="n">
        <v>2</v>
      </c>
      <c r="C45" s="164" t="n">
        <v>45789</v>
      </c>
      <c r="D45" s="165" t="inlineStr">
        <is>
          <t>202 G. HUERTAS-LA MANIGUA</t>
        </is>
      </c>
      <c r="E45" s="165" t="n">
        <v>41019</v>
      </c>
      <c r="F45" s="165" t="inlineStr">
        <is>
          <t>EDWIN ROJAS</t>
        </is>
      </c>
      <c r="G45" s="165" t="n">
        <v>2201</v>
      </c>
      <c r="H45" s="165" t="n"/>
      <c r="I45" s="165" t="n">
        <v>2190</v>
      </c>
      <c r="J45" s="165" t="n">
        <v>5</v>
      </c>
      <c r="K45" s="165" t="n">
        <v>3</v>
      </c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</row>
    <row r="46" ht="15.75" customHeight="1">
      <c r="A46" s="113" t="n"/>
      <c r="B46" s="165" t="n">
        <v>3</v>
      </c>
      <c r="C46" s="164" t="n">
        <v>45790</v>
      </c>
      <c r="D46" s="165" t="inlineStr">
        <is>
          <t>202 G. HUERTAS-LA MANIGUA</t>
        </is>
      </c>
      <c r="E46" s="165" t="n">
        <v>41034</v>
      </c>
      <c r="F46" s="165" t="inlineStr">
        <is>
          <t>YAIR RIVEROS</t>
        </is>
      </c>
      <c r="G46" s="165" t="n">
        <v>2718</v>
      </c>
      <c r="H46" s="165" t="n"/>
      <c r="I46" s="165" t="n">
        <v>2716</v>
      </c>
      <c r="J46" s="165" t="n">
        <v>12</v>
      </c>
      <c r="K46" s="165" t="n">
        <v>-13</v>
      </c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</row>
    <row r="47" ht="15.75" customHeight="1">
      <c r="A47" s="113" t="n"/>
      <c r="B47" s="165" t="n">
        <v>4</v>
      </c>
      <c r="C47" s="164" t="n">
        <v>45790</v>
      </c>
      <c r="D47" s="165" t="inlineStr">
        <is>
          <t>202 G. HUERTAS-LA MANIGUA</t>
        </is>
      </c>
      <c r="E47" s="165" t="n">
        <v>41035</v>
      </c>
      <c r="F47" s="165" t="inlineStr">
        <is>
          <t>JHON AGUIRRE</t>
        </is>
      </c>
      <c r="G47" s="165" t="n">
        <v>2106</v>
      </c>
      <c r="H47" s="165" t="n"/>
      <c r="I47" s="165" t="n">
        <v>2100</v>
      </c>
      <c r="J47" s="165" t="n">
        <v>11</v>
      </c>
      <c r="K47" s="165" t="n">
        <v>-8</v>
      </c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</row>
    <row r="48" ht="15.75" customHeight="1">
      <c r="A48" s="113" t="n"/>
      <c r="B48" s="165" t="n">
        <v>5</v>
      </c>
      <c r="C48" s="164" t="n">
        <v>45791</v>
      </c>
      <c r="D48" s="165" t="inlineStr">
        <is>
          <t>202 G. HUERTAS-LA MANIGUA</t>
        </is>
      </c>
      <c r="E48" s="165" t="n">
        <v>41046</v>
      </c>
      <c r="F48" s="165" t="inlineStr">
        <is>
          <t>EDUAN CAVIEDES</t>
        </is>
      </c>
      <c r="G48" s="165" t="n">
        <v>3050</v>
      </c>
      <c r="H48" s="165" t="n"/>
      <c r="I48" s="165" t="n">
        <v>2944</v>
      </c>
      <c r="J48" s="165" t="n">
        <v>97</v>
      </c>
      <c r="K48" s="165" t="n">
        <v>7</v>
      </c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</row>
    <row r="49" ht="15.75" customHeight="1">
      <c r="A49" s="113" t="n"/>
      <c r="B49" s="165" t="n">
        <v>6</v>
      </c>
      <c r="C49" s="164" t="n">
        <v>45791</v>
      </c>
      <c r="D49" s="166" t="inlineStr">
        <is>
          <t>202 G. HUERTAS-LA MANIGUA</t>
        </is>
      </c>
      <c r="E49" s="166" t="n">
        <v>41049</v>
      </c>
      <c r="F49" s="166" t="inlineStr">
        <is>
          <t>DIEGO NIÑO</t>
        </is>
      </c>
      <c r="G49" s="166" t="n">
        <v>2738</v>
      </c>
      <c r="H49" s="166" t="n"/>
      <c r="I49" s="166" t="n">
        <v>2619</v>
      </c>
      <c r="J49" s="166" t="n">
        <v>114</v>
      </c>
      <c r="K49" s="166" t="n">
        <v>2</v>
      </c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</row>
    <row r="50" ht="15.75" customHeight="1">
      <c r="A50" s="113" t="n"/>
      <c r="B50" s="165" t="n">
        <v>7</v>
      </c>
      <c r="C50" s="164" t="n">
        <v>45792</v>
      </c>
      <c r="D50" s="166" t="inlineStr">
        <is>
          <t>202 G. HUERTAS-LA MANIGUA</t>
        </is>
      </c>
      <c r="E50" s="166" t="n">
        <v>41064</v>
      </c>
      <c r="F50" s="166" t="inlineStr">
        <is>
          <t>EDWIN ROJAS</t>
        </is>
      </c>
      <c r="G50" s="166" t="n">
        <v>2534</v>
      </c>
      <c r="H50" s="166" t="n"/>
      <c r="I50" s="166" t="n">
        <v>2490</v>
      </c>
      <c r="J50" s="166" t="n">
        <v>36</v>
      </c>
      <c r="K50" s="166" t="n">
        <v>6</v>
      </c>
      <c r="L50" s="113" t="n"/>
      <c r="M50" s="113" t="n"/>
      <c r="N50" s="113" t="n"/>
      <c r="O50" s="113" t="n"/>
      <c r="P50" s="113" t="n"/>
      <c r="Q50" s="113" t="n"/>
      <c r="R50" s="113" t="n"/>
      <c r="S50" s="113" t="n"/>
      <c r="T50" s="113" t="n"/>
      <c r="U50" s="113" t="n"/>
      <c r="V50" s="113" t="n"/>
      <c r="W50" s="113" t="n"/>
      <c r="X50" s="113" t="n"/>
      <c r="Y50" s="113" t="n"/>
      <c r="Z50" s="113" t="n"/>
      <c r="AA50" s="113" t="n"/>
      <c r="AB50" s="113" t="n"/>
      <c r="AC50" s="113" t="n"/>
      <c r="AD50" s="113" t="n"/>
      <c r="AE50" s="113" t="n"/>
      <c r="AF50" s="113" t="n"/>
    </row>
    <row r="51" ht="15.75" customHeight="1">
      <c r="A51" s="113" t="n"/>
      <c r="B51" s="165" t="n">
        <v>8</v>
      </c>
      <c r="C51" s="164" t="n">
        <v>45792</v>
      </c>
      <c r="D51" s="166" t="inlineStr">
        <is>
          <t>202 G. HUERTAS-LA MANIGUA</t>
        </is>
      </c>
      <c r="E51" s="166" t="n">
        <v>41065</v>
      </c>
      <c r="F51" s="166" t="inlineStr">
        <is>
          <t>FABIO ALDANA</t>
        </is>
      </c>
      <c r="G51" s="166" t="n">
        <v>2534</v>
      </c>
      <c r="H51" s="166" t="n"/>
      <c r="I51" s="166" t="n">
        <v>2494</v>
      </c>
      <c r="J51" s="166" t="n">
        <v>33</v>
      </c>
      <c r="K51" s="166" t="n">
        <v>5</v>
      </c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  <c r="AB51" s="113" t="n"/>
      <c r="AC51" s="113" t="n"/>
      <c r="AD51" s="113" t="n"/>
      <c r="AE51" s="113" t="n"/>
      <c r="AF51" s="113" t="n"/>
    </row>
    <row r="52" ht="15.75" customHeight="1">
      <c r="A52" s="113" t="n"/>
      <c r="B52" s="165" t="n">
        <v>9</v>
      </c>
      <c r="C52" s="164" t="n">
        <v>45792</v>
      </c>
      <c r="D52" s="166" t="inlineStr">
        <is>
          <t>202 G. HUERTAS-LA MANIGUA</t>
        </is>
      </c>
      <c r="E52" s="166" t="n">
        <v>41066</v>
      </c>
      <c r="F52" s="166" t="inlineStr">
        <is>
          <t>JHON AGUIRRE</t>
        </is>
      </c>
      <c r="G52" s="166" t="n">
        <v>2534</v>
      </c>
      <c r="H52" s="166" t="n"/>
      <c r="I52" s="166" t="n">
        <v>2498</v>
      </c>
      <c r="J52" s="166" t="n">
        <v>29</v>
      </c>
      <c r="K52" s="166" t="n">
        <v>5</v>
      </c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13" t="n"/>
      <c r="X52" s="113" t="n"/>
      <c r="Y52" s="113" t="n"/>
      <c r="Z52" s="113" t="n"/>
      <c r="AA52" s="113" t="n"/>
      <c r="AB52" s="113" t="n"/>
      <c r="AC52" s="113" t="n"/>
      <c r="AD52" s="113" t="n"/>
      <c r="AE52" s="113" t="n"/>
      <c r="AF52" s="113" t="n"/>
    </row>
    <row r="53" ht="15.75" customHeight="1">
      <c r="A53" s="113" t="n"/>
      <c r="B53" s="163" t="n">
        <v>1</v>
      </c>
      <c r="C53" s="164" t="n">
        <v>45796</v>
      </c>
      <c r="D53" s="165" t="inlineStr">
        <is>
          <t>202 G. HUERTAS</t>
        </is>
      </c>
      <c r="E53" s="165" t="n">
        <v>201269</v>
      </c>
      <c r="F53" s="165" t="inlineStr">
        <is>
          <t>DAZA MARCOS</t>
        </is>
      </c>
      <c r="G53" s="165" t="n">
        <v>2456</v>
      </c>
      <c r="H53" s="165" t="n"/>
      <c r="I53" s="165" t="n">
        <v>2391</v>
      </c>
      <c r="J53" s="165" t="n">
        <v>95</v>
      </c>
      <c r="K53" s="165" t="n">
        <v>-35</v>
      </c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13" t="n"/>
      <c r="X53" s="113" t="n"/>
      <c r="Y53" s="113" t="n"/>
      <c r="Z53" s="113" t="n"/>
      <c r="AA53" s="113" t="n"/>
      <c r="AB53" s="113" t="n"/>
      <c r="AC53" s="113" t="n"/>
      <c r="AD53" s="113" t="n"/>
      <c r="AE53" s="113" t="n"/>
      <c r="AF53" s="113" t="n"/>
    </row>
    <row r="54" ht="15.75" customHeight="1">
      <c r="A54" s="113" t="n"/>
      <c r="B54" s="165" t="n">
        <v>2</v>
      </c>
      <c r="C54" s="164" t="n">
        <v>45796</v>
      </c>
      <c r="D54" s="165" t="inlineStr">
        <is>
          <t>202 G. HUERTAS</t>
        </is>
      </c>
      <c r="E54" s="165" t="n">
        <v>201272</v>
      </c>
      <c r="F54" s="165" t="inlineStr">
        <is>
          <t>JHON FREDY ECHEVERRIA</t>
        </is>
      </c>
      <c r="G54" s="165" t="n">
        <v>2456</v>
      </c>
      <c r="H54" s="165" t="n"/>
      <c r="I54" s="165" t="n">
        <v>2360</v>
      </c>
      <c r="J54" s="165" t="n">
        <v>87</v>
      </c>
      <c r="K54" s="165" t="n">
        <v>-2</v>
      </c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13" t="n"/>
      <c r="W54" s="113" t="n"/>
      <c r="X54" s="113" t="n"/>
      <c r="Y54" s="113" t="n"/>
      <c r="Z54" s="113" t="n"/>
      <c r="AA54" s="113" t="n"/>
      <c r="AB54" s="113" t="n"/>
      <c r="AC54" s="113" t="n"/>
      <c r="AD54" s="113" t="n"/>
      <c r="AE54" s="113" t="n"/>
      <c r="AF54" s="113" t="n"/>
    </row>
    <row r="55" ht="15.75" customHeight="1">
      <c r="A55" s="113" t="n"/>
      <c r="B55" s="165" t="n">
        <v>3</v>
      </c>
      <c r="C55" s="164" t="n">
        <v>45796</v>
      </c>
      <c r="D55" s="165" t="inlineStr">
        <is>
          <t>202 G. HUERTAS</t>
        </is>
      </c>
      <c r="E55" s="165" t="n">
        <v>201273</v>
      </c>
      <c r="F55" s="165" t="inlineStr">
        <is>
          <t>JORGE LUIS OVIEDO BARRIOS</t>
        </is>
      </c>
      <c r="G55" s="165" t="n">
        <v>2600</v>
      </c>
      <c r="H55" s="165" t="n"/>
      <c r="I55" s="165" t="n">
        <v>2362</v>
      </c>
      <c r="J55" s="165" t="n">
        <v>105</v>
      </c>
      <c r="K55" s="165" t="n">
        <v>126</v>
      </c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13" t="n"/>
      <c r="X55" s="113" t="n"/>
      <c r="Y55" s="113" t="n"/>
      <c r="Z55" s="113" t="n"/>
      <c r="AA55" s="113" t="n"/>
      <c r="AB55" s="113" t="n"/>
      <c r="AC55" s="113" t="n"/>
      <c r="AD55" s="113" t="n"/>
      <c r="AE55" s="113" t="n"/>
      <c r="AF55" s="113" t="n"/>
    </row>
    <row r="56" ht="15.75" customHeight="1">
      <c r="A56" s="113" t="n"/>
      <c r="B56" s="165" t="n">
        <v>4</v>
      </c>
      <c r="C56" s="164" t="n">
        <v>45796</v>
      </c>
      <c r="D56" s="165" t="inlineStr">
        <is>
          <t>202 G. HUERTAS-LA MANIGUA</t>
        </is>
      </c>
      <c r="E56" s="165" t="n">
        <v>41113</v>
      </c>
      <c r="F56" s="165" t="inlineStr">
        <is>
          <t>JOSE SOLER</t>
        </is>
      </c>
      <c r="G56" s="165" t="n">
        <v>2600</v>
      </c>
      <c r="H56" s="165" t="n"/>
      <c r="I56" s="165" t="n">
        <v>2452</v>
      </c>
      <c r="J56" s="165" t="n">
        <v>145</v>
      </c>
      <c r="K56" s="165" t="n">
        <v>1</v>
      </c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13" t="n"/>
      <c r="X56" s="113" t="n"/>
      <c r="Y56" s="113" t="n"/>
      <c r="Z56" s="113" t="n"/>
      <c r="AA56" s="113" t="n"/>
      <c r="AB56" s="113" t="n"/>
      <c r="AC56" s="113" t="n"/>
      <c r="AD56" s="113" t="n"/>
      <c r="AE56" s="113" t="n"/>
      <c r="AF56" s="113" t="n"/>
    </row>
    <row r="57" ht="15.75" customHeight="1">
      <c r="A57" s="113" t="n"/>
      <c r="B57" s="165" t="n">
        <v>5</v>
      </c>
      <c r="C57" s="164" t="n">
        <v>45796</v>
      </c>
      <c r="D57" s="165" t="inlineStr">
        <is>
          <t>202 G. HUERTAS-LA MANIGUA</t>
        </is>
      </c>
      <c r="E57" s="165" t="n">
        <v>41114</v>
      </c>
      <c r="F57" s="165" t="inlineStr">
        <is>
          <t>YAIR RIVEROS</t>
        </is>
      </c>
      <c r="G57" s="165" t="n">
        <v>2600</v>
      </c>
      <c r="H57" s="165" t="n"/>
      <c r="I57" s="165" t="n">
        <v>2454</v>
      </c>
      <c r="J57" s="165" t="n">
        <v>144</v>
      </c>
      <c r="K57" s="165" t="n">
        <v>0</v>
      </c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n"/>
      <c r="W57" s="113" t="n"/>
      <c r="X57" s="113" t="n"/>
      <c r="Y57" s="113" t="n"/>
      <c r="Z57" s="113" t="n"/>
      <c r="AA57" s="113" t="n"/>
      <c r="AB57" s="113" t="n"/>
      <c r="AC57" s="113" t="n"/>
      <c r="AD57" s="113" t="n"/>
      <c r="AE57" s="113" t="n"/>
      <c r="AF57" s="113" t="n"/>
    </row>
    <row r="58" ht="15.75" customHeight="1">
      <c r="A58" s="113" t="n"/>
      <c r="B58" s="165" t="n">
        <v>6</v>
      </c>
      <c r="C58" s="164" t="n">
        <v>45797</v>
      </c>
      <c r="D58" s="166" t="inlineStr">
        <is>
          <t>202 G. HUERTAS-LA MANIGUA</t>
        </is>
      </c>
      <c r="E58" s="166" t="n">
        <v>41122</v>
      </c>
      <c r="F58" s="166" t="inlineStr">
        <is>
          <t>JHON ARIAS</t>
        </is>
      </c>
      <c r="G58" s="166" t="n">
        <v>2925</v>
      </c>
      <c r="H58" s="166" t="n"/>
      <c r="I58" s="166" t="n">
        <v>2894</v>
      </c>
      <c r="J58" s="166" t="n">
        <v>15</v>
      </c>
      <c r="K58" s="166" t="n">
        <v>11</v>
      </c>
      <c r="L58" s="113" t="n"/>
      <c r="M58" s="113" t="n"/>
      <c r="N58" s="113" t="n"/>
      <c r="O58" s="113" t="n"/>
      <c r="P58" s="113" t="n"/>
      <c r="Q58" s="113" t="n"/>
      <c r="R58" s="113" t="n"/>
      <c r="S58" s="113" t="n"/>
      <c r="T58" s="113" t="n"/>
      <c r="U58" s="113" t="n"/>
      <c r="V58" s="113" t="n"/>
      <c r="W58" s="113" t="n"/>
      <c r="X58" s="113" t="n"/>
      <c r="Y58" s="113" t="n"/>
      <c r="Z58" s="113" t="n"/>
      <c r="AA58" s="113" t="n"/>
      <c r="AB58" s="113" t="n"/>
      <c r="AC58" s="113" t="n"/>
      <c r="AD58" s="113" t="n"/>
      <c r="AE58" s="113" t="n"/>
      <c r="AF58" s="113" t="n"/>
    </row>
    <row r="59" ht="15.75" customHeight="1">
      <c r="A59" s="113" t="n"/>
      <c r="B59" s="165" t="n">
        <v>7</v>
      </c>
      <c r="C59" s="164" t="n">
        <v>45797</v>
      </c>
      <c r="D59" s="166" t="inlineStr">
        <is>
          <t>202 G. HUERTAS-LA MANIGUA</t>
        </is>
      </c>
      <c r="E59" s="166" t="n">
        <v>41123</v>
      </c>
      <c r="F59" s="166" t="inlineStr">
        <is>
          <t>ALBERTO HERRERA</t>
        </is>
      </c>
      <c r="G59" s="166" t="n">
        <v>2925</v>
      </c>
      <c r="H59" s="166" t="n"/>
      <c r="I59" s="166" t="n">
        <v>2893</v>
      </c>
      <c r="J59" s="166" t="n">
        <v>16</v>
      </c>
      <c r="K59" s="166" t="n">
        <v>11</v>
      </c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13" t="n"/>
      <c r="W59" s="113" t="n"/>
      <c r="X59" s="113" t="n"/>
      <c r="Y59" s="113" t="n"/>
      <c r="Z59" s="113" t="n"/>
      <c r="AA59" s="113" t="n"/>
      <c r="AB59" s="113" t="n"/>
      <c r="AC59" s="113" t="n"/>
      <c r="AD59" s="113" t="n"/>
      <c r="AE59" s="113" t="n"/>
      <c r="AF59" s="113" t="n"/>
    </row>
    <row r="60" ht="15.75" customHeight="1">
      <c r="A60" s="113" t="n"/>
      <c r="B60" s="165" t="n">
        <v>8</v>
      </c>
      <c r="C60" s="164" t="n">
        <v>45797</v>
      </c>
      <c r="D60" s="166" t="inlineStr">
        <is>
          <t>202 G. HUERTAS-LA MANIGUA</t>
        </is>
      </c>
      <c r="E60" s="166" t="n">
        <v>41124</v>
      </c>
      <c r="F60" s="166" t="inlineStr">
        <is>
          <t>DUMAR ANGARITA</t>
        </is>
      </c>
      <c r="G60" s="166" t="n">
        <v>2925</v>
      </c>
      <c r="H60" s="166" t="n"/>
      <c r="I60" s="166" t="n">
        <v>2902</v>
      </c>
      <c r="J60" s="166" t="n">
        <v>12</v>
      </c>
      <c r="K60" s="166" t="n">
        <v>6</v>
      </c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13" t="n"/>
      <c r="X60" s="113" t="n"/>
      <c r="Y60" s="113" t="n"/>
      <c r="Z60" s="113" t="n"/>
      <c r="AA60" s="113" t="n"/>
      <c r="AB60" s="113" t="n"/>
      <c r="AC60" s="113" t="n"/>
      <c r="AD60" s="113" t="n"/>
      <c r="AE60" s="113" t="n"/>
      <c r="AF60" s="113" t="n"/>
    </row>
    <row r="61" ht="15.75" customHeight="1">
      <c r="A61" s="113" t="n"/>
      <c r="B61" s="165" t="n">
        <v>9</v>
      </c>
      <c r="C61" s="164" t="n">
        <v>45797</v>
      </c>
      <c r="D61" s="166" t="inlineStr">
        <is>
          <t>202 G. HUERTAS-LA MANIGUA</t>
        </is>
      </c>
      <c r="E61" s="166" t="n">
        <v>41132</v>
      </c>
      <c r="F61" s="166" t="inlineStr">
        <is>
          <t>EDWIN ROJAS</t>
        </is>
      </c>
      <c r="G61" s="166" t="n">
        <v>3156</v>
      </c>
      <c r="H61" s="166" t="n"/>
      <c r="I61" s="166" t="n">
        <v>3090</v>
      </c>
      <c r="J61" s="166" t="n">
        <v>50</v>
      </c>
      <c r="K61" s="166" t="n">
        <v>10</v>
      </c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113" t="n"/>
      <c r="U61" s="113" t="n"/>
      <c r="V61" s="113" t="n"/>
      <c r="W61" s="113" t="n"/>
      <c r="X61" s="113" t="n"/>
      <c r="Y61" s="113" t="n"/>
      <c r="Z61" s="113" t="n"/>
      <c r="AA61" s="113" t="n"/>
      <c r="AB61" s="113" t="n"/>
      <c r="AC61" s="113" t="n"/>
      <c r="AD61" s="113" t="n"/>
      <c r="AE61" s="113" t="n"/>
      <c r="AF61" s="113" t="n"/>
    </row>
    <row r="62" ht="15.75" customHeight="1">
      <c r="A62" s="113" t="n"/>
      <c r="B62" s="165" t="n">
        <v>10</v>
      </c>
      <c r="C62" s="164" t="n">
        <v>45797</v>
      </c>
      <c r="D62" s="166" t="inlineStr">
        <is>
          <t>202 G. HUERTAS-LA MANIGUA</t>
        </is>
      </c>
      <c r="E62" s="166" t="n">
        <v>41133</v>
      </c>
      <c r="F62" s="166" t="inlineStr">
        <is>
          <t>JHON AGUIRRE</t>
        </is>
      </c>
      <c r="G62" s="166" t="n">
        <v>3240</v>
      </c>
      <c r="H62" s="166" t="n"/>
      <c r="I62" s="166" t="n">
        <v>3183</v>
      </c>
      <c r="J62" s="166" t="n">
        <v>43</v>
      </c>
      <c r="K62" s="166" t="n">
        <v>7</v>
      </c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113" t="n"/>
      <c r="U62" s="113" t="n"/>
      <c r="V62" s="113" t="n"/>
      <c r="W62" s="113" t="n"/>
      <c r="X62" s="113" t="n"/>
      <c r="Y62" s="113" t="n"/>
      <c r="Z62" s="113" t="n"/>
      <c r="AA62" s="113" t="n"/>
      <c r="AB62" s="113" t="n"/>
      <c r="AC62" s="113" t="n"/>
      <c r="AD62" s="113" t="n"/>
      <c r="AE62" s="113" t="n"/>
      <c r="AF62" s="113" t="n"/>
    </row>
    <row r="63" ht="15.75" customHeight="1">
      <c r="A63" s="113" t="n"/>
      <c r="B63" s="165" t="n">
        <v>11</v>
      </c>
      <c r="C63" s="164" t="n">
        <v>45797</v>
      </c>
      <c r="D63" s="166" t="inlineStr">
        <is>
          <t>202 G. HUERTAS-LA MANIGUA</t>
        </is>
      </c>
      <c r="E63" s="166" t="n">
        <v>41134</v>
      </c>
      <c r="F63" s="166" t="inlineStr">
        <is>
          <t>JAIRO CUBILLOS</t>
        </is>
      </c>
      <c r="G63" s="166" t="n">
        <v>2440</v>
      </c>
      <c r="H63" s="166" t="n"/>
      <c r="I63" s="166" t="n">
        <v>2389</v>
      </c>
      <c r="J63" s="166" t="n">
        <v>67</v>
      </c>
      <c r="K63" s="166" t="n">
        <v>-18</v>
      </c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13" t="n"/>
      <c r="W63" s="113" t="n"/>
      <c r="X63" s="113" t="n"/>
      <c r="Y63" s="113" t="n"/>
      <c r="Z63" s="113" t="n"/>
      <c r="AA63" s="113" t="n"/>
      <c r="AB63" s="113" t="n"/>
      <c r="AC63" s="113" t="n"/>
      <c r="AD63" s="113" t="n"/>
      <c r="AE63" s="113" t="n"/>
      <c r="AF63" s="113" t="n"/>
    </row>
    <row r="64" ht="15.75" customHeight="1">
      <c r="A64" s="113" t="n"/>
      <c r="B64" s="165" t="n">
        <v>12</v>
      </c>
      <c r="C64" s="164" t="n">
        <v>45798</v>
      </c>
      <c r="D64" s="166" t="inlineStr">
        <is>
          <t>202 G. HUERTAS-LA MANIGUA</t>
        </is>
      </c>
      <c r="E64" s="166" t="n">
        <v>41145</v>
      </c>
      <c r="F64" s="166" t="inlineStr">
        <is>
          <t>WILMER PIÑEROS</t>
        </is>
      </c>
      <c r="G64" s="166" t="n">
        <v>2800</v>
      </c>
      <c r="H64" s="166" t="n"/>
      <c r="I64" s="166" t="n">
        <v>2762</v>
      </c>
      <c r="J64" s="166" t="n">
        <v>13</v>
      </c>
      <c r="K64" s="166" t="n">
        <v>21</v>
      </c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113" t="n"/>
      <c r="U64" s="113" t="n"/>
      <c r="V64" s="113" t="n"/>
      <c r="W64" s="113" t="n"/>
      <c r="X64" s="113" t="n"/>
      <c r="Y64" s="113" t="n"/>
      <c r="Z64" s="113" t="n"/>
      <c r="AA64" s="113" t="n"/>
      <c r="AB64" s="113" t="n"/>
      <c r="AC64" s="113" t="n"/>
      <c r="AD64" s="113" t="n"/>
      <c r="AE64" s="113" t="n"/>
      <c r="AF64" s="113" t="n"/>
    </row>
    <row r="65" ht="15.75" customHeight="1">
      <c r="A65" s="113" t="n"/>
      <c r="B65" s="165" t="n">
        <v>13</v>
      </c>
      <c r="C65" s="164" t="n">
        <v>45798</v>
      </c>
      <c r="D65" s="166" t="inlineStr">
        <is>
          <t>202 G. HUERTAS-LA MANIGUA</t>
        </is>
      </c>
      <c r="E65" s="166" t="n">
        <v>41146</v>
      </c>
      <c r="F65" s="166" t="inlineStr">
        <is>
          <t>EDUAN CAVIEDES</t>
        </is>
      </c>
      <c r="G65" s="166" t="n">
        <v>2750</v>
      </c>
      <c r="H65" s="166" t="n"/>
      <c r="I65" s="166" t="n">
        <v>2727</v>
      </c>
      <c r="J65" s="166" t="n">
        <v>20</v>
      </c>
      <c r="K65" s="166" t="n">
        <v>1</v>
      </c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113" t="n"/>
      <c r="U65" s="113" t="n"/>
      <c r="V65" s="113" t="n"/>
      <c r="W65" s="113" t="n"/>
      <c r="X65" s="113" t="n"/>
      <c r="Y65" s="113" t="n"/>
      <c r="Z65" s="113" t="n"/>
      <c r="AA65" s="113" t="n"/>
      <c r="AB65" s="113" t="n"/>
      <c r="AC65" s="113" t="n"/>
      <c r="AD65" s="113" t="n"/>
      <c r="AE65" s="113" t="n"/>
      <c r="AF65" s="113" t="n"/>
    </row>
    <row r="66" ht="15.75" customHeight="1">
      <c r="A66" s="113" t="n"/>
      <c r="B66" s="165" t="n">
        <v>14</v>
      </c>
      <c r="C66" s="164" t="n">
        <v>45798</v>
      </c>
      <c r="D66" s="166" t="inlineStr">
        <is>
          <t>202 G. HUERTAS-LA MANIGUA</t>
        </is>
      </c>
      <c r="E66" s="166" t="n">
        <v>41147</v>
      </c>
      <c r="F66" s="166" t="inlineStr">
        <is>
          <t>YAIR RIVEROS</t>
        </is>
      </c>
      <c r="G66" s="166" t="n">
        <v>2750</v>
      </c>
      <c r="H66" s="166" t="n"/>
      <c r="I66" s="166" t="n">
        <v>2733</v>
      </c>
      <c r="J66" s="166" t="n">
        <v>19</v>
      </c>
      <c r="K66" s="166" t="n">
        <v>-5</v>
      </c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  <c r="AA66" s="113" t="n"/>
      <c r="AB66" s="113" t="n"/>
      <c r="AC66" s="113" t="n"/>
      <c r="AD66" s="113" t="n"/>
      <c r="AE66" s="113" t="n"/>
      <c r="AF66" s="113" t="n"/>
    </row>
    <row r="67" ht="15.75" customHeight="1">
      <c r="A67" s="113" t="n"/>
      <c r="B67" s="165" t="n">
        <v>15</v>
      </c>
      <c r="C67" s="164" t="n">
        <v>45798</v>
      </c>
      <c r="D67" s="166" t="inlineStr">
        <is>
          <t>202 G. HUERTAS-LA MANIGUA</t>
        </is>
      </c>
      <c r="E67" s="166" t="n">
        <v>41158</v>
      </c>
      <c r="F67" s="166" t="inlineStr">
        <is>
          <t>ALBERTO GOMEZ</t>
        </is>
      </c>
      <c r="G67" s="166" t="n">
        <v>2750</v>
      </c>
      <c r="H67" s="166" t="n"/>
      <c r="I67" s="166" t="n">
        <v>2721</v>
      </c>
      <c r="J67" s="166" t="n">
        <v>21</v>
      </c>
      <c r="K67" s="166" t="n">
        <v>3</v>
      </c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13" t="n"/>
      <c r="W67" s="113" t="n"/>
      <c r="X67" s="113" t="n"/>
      <c r="Y67" s="113" t="n"/>
      <c r="Z67" s="113" t="n"/>
      <c r="AA67" s="113" t="n"/>
      <c r="AB67" s="113" t="n"/>
      <c r="AC67" s="113" t="n"/>
      <c r="AD67" s="113" t="n"/>
      <c r="AE67" s="113" t="n"/>
      <c r="AF67" s="113" t="n"/>
    </row>
    <row r="68" ht="15.75" customHeight="1">
      <c r="A68" s="113" t="n"/>
      <c r="B68" s="165" t="n">
        <v>16</v>
      </c>
      <c r="C68" s="164" t="n">
        <v>45798</v>
      </c>
      <c r="D68" s="166" t="inlineStr">
        <is>
          <t>202 G. HUERTAS-LA MANIGUA</t>
        </is>
      </c>
      <c r="E68" s="166" t="n">
        <v>41159</v>
      </c>
      <c r="F68" s="166" t="inlineStr">
        <is>
          <t>DIEGO NIÑO</t>
        </is>
      </c>
      <c r="G68" s="166" t="n">
        <v>2168</v>
      </c>
      <c r="H68" s="166" t="n"/>
      <c r="I68" s="166" t="n">
        <v>2132</v>
      </c>
      <c r="J68" s="166" t="n">
        <v>28</v>
      </c>
      <c r="K68" s="166" t="n">
        <v>4</v>
      </c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n"/>
      <c r="W68" s="113" t="n"/>
      <c r="X68" s="113" t="n"/>
      <c r="Y68" s="113" t="n"/>
      <c r="Z68" s="113" t="n"/>
      <c r="AA68" s="113" t="n"/>
      <c r="AB68" s="113" t="n"/>
      <c r="AC68" s="113" t="n"/>
      <c r="AD68" s="113" t="n"/>
      <c r="AE68" s="113" t="n"/>
      <c r="AF68" s="113" t="n"/>
    </row>
    <row r="69" ht="15.75" customHeight="1">
      <c r="A69" s="113" t="n"/>
      <c r="B69" s="165" t="n">
        <v>17</v>
      </c>
      <c r="C69" s="164" t="n">
        <v>45799</v>
      </c>
      <c r="D69" s="166" t="inlineStr">
        <is>
          <t>202 G. HUERTAS-LA MANIGUA</t>
        </is>
      </c>
      <c r="E69" s="166" t="n">
        <v>41173</v>
      </c>
      <c r="F69" s="166" t="inlineStr">
        <is>
          <t>DIEGO NIÑO</t>
        </is>
      </c>
      <c r="G69" s="166" t="n">
        <v>3600</v>
      </c>
      <c r="H69" s="166" t="n"/>
      <c r="I69" s="166" t="n">
        <v>3426</v>
      </c>
      <c r="J69" s="166" t="n">
        <v>161</v>
      </c>
      <c r="K69" s="166" t="n">
        <v>9</v>
      </c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13" t="n"/>
      <c r="X69" s="113" t="n"/>
      <c r="Y69" s="113" t="n"/>
      <c r="Z69" s="113" t="n"/>
      <c r="AA69" s="113" t="n"/>
      <c r="AB69" s="113" t="n"/>
      <c r="AC69" s="113" t="n"/>
      <c r="AD69" s="113" t="n"/>
      <c r="AE69" s="113" t="n"/>
      <c r="AF69" s="113" t="n"/>
    </row>
    <row r="70" ht="15.75" customHeight="1">
      <c r="A70" s="113" t="n"/>
      <c r="B70" s="165" t="n">
        <v>18</v>
      </c>
      <c r="C70" s="164" t="n">
        <v>45800</v>
      </c>
      <c r="D70" s="166" t="inlineStr">
        <is>
          <t>202 G. HUERTAS-LA MANIGUA</t>
        </is>
      </c>
      <c r="E70" s="166" t="n">
        <v>41192</v>
      </c>
      <c r="F70" s="166" t="inlineStr">
        <is>
          <t>JHON AGUIRRE</t>
        </is>
      </c>
      <c r="G70" s="166" t="n">
        <v>3240</v>
      </c>
      <c r="H70" s="166" t="n"/>
      <c r="I70" s="166" t="n">
        <v>3223</v>
      </c>
      <c r="J70" s="166" t="n">
        <v>10</v>
      </c>
      <c r="K70" s="166" t="n">
        <v>2</v>
      </c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n"/>
      <c r="W70" s="113" t="n"/>
      <c r="X70" s="113" t="n"/>
      <c r="Y70" s="113" t="n"/>
      <c r="Z70" s="113" t="n"/>
      <c r="AA70" s="113" t="n"/>
      <c r="AB70" s="113" t="n"/>
      <c r="AC70" s="113" t="n"/>
      <c r="AD70" s="113" t="n"/>
      <c r="AE70" s="113" t="n"/>
      <c r="AF70" s="113" t="n"/>
    </row>
    <row r="71" ht="15.75" customHeight="1">
      <c r="A71" s="113" t="n"/>
      <c r="B71" s="165" t="n">
        <v>19</v>
      </c>
      <c r="C71" s="164" t="n">
        <v>45800</v>
      </c>
      <c r="D71" s="166" t="inlineStr">
        <is>
          <t>202 G. HUERTAS-LA MANIGUA</t>
        </is>
      </c>
      <c r="E71" s="166" t="n">
        <v>41193</v>
      </c>
      <c r="F71" s="166" t="inlineStr">
        <is>
          <t>ALEX GOMEZ</t>
        </is>
      </c>
      <c r="G71" s="166" t="n">
        <v>3240</v>
      </c>
      <c r="H71" s="166" t="n"/>
      <c r="I71" s="166" t="n">
        <v>3233</v>
      </c>
      <c r="J71" s="166" t="n">
        <v>8</v>
      </c>
      <c r="K71" s="166" t="n">
        <v>-2</v>
      </c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13" t="n"/>
      <c r="W71" s="113" t="n"/>
      <c r="X71" s="113" t="n"/>
      <c r="Y71" s="113" t="n"/>
      <c r="Z71" s="113" t="n"/>
      <c r="AA71" s="113" t="n"/>
      <c r="AB71" s="113" t="n"/>
      <c r="AC71" s="113" t="n"/>
      <c r="AD71" s="113" t="n"/>
      <c r="AE71" s="113" t="n"/>
      <c r="AF71" s="113" t="n"/>
    </row>
    <row r="72" ht="15.75" customHeight="1">
      <c r="A72" s="113" t="n"/>
      <c r="B72" s="165" t="n">
        <v>20</v>
      </c>
      <c r="C72" s="164" t="n">
        <v>45800</v>
      </c>
      <c r="D72" s="166" t="inlineStr">
        <is>
          <t>202 G. HUERTAS-LA MANIGUA</t>
        </is>
      </c>
      <c r="E72" s="166" t="n">
        <v>41194</v>
      </c>
      <c r="F72" s="166" t="inlineStr">
        <is>
          <t>DIEGO NIÑO</t>
        </is>
      </c>
      <c r="G72" s="166" t="n">
        <v>3240</v>
      </c>
      <c r="H72" s="166" t="n"/>
      <c r="I72" s="166" t="n">
        <v>3227</v>
      </c>
      <c r="J72" s="166" t="n">
        <v>8</v>
      </c>
      <c r="K72" s="166" t="n">
        <v>0</v>
      </c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13" t="n"/>
      <c r="X72" s="113" t="n"/>
      <c r="Y72" s="113" t="n"/>
      <c r="Z72" s="113" t="n"/>
      <c r="AA72" s="113" t="n"/>
      <c r="AB72" s="113" t="n"/>
      <c r="AC72" s="113" t="n"/>
      <c r="AD72" s="113" t="n"/>
      <c r="AE72" s="113" t="n"/>
      <c r="AF72" s="113" t="n"/>
    </row>
    <row r="73" ht="15.75" customHeight="1">
      <c r="A73" s="113" t="n"/>
      <c r="B73" s="165" t="n">
        <v>21</v>
      </c>
      <c r="C73" s="164" t="n">
        <v>45800</v>
      </c>
      <c r="D73" s="166" t="inlineStr">
        <is>
          <t>202 G. HUERTAS-LA MANIGUA</t>
        </is>
      </c>
      <c r="E73" s="166" t="n">
        <v>41195</v>
      </c>
      <c r="F73" s="166" t="inlineStr">
        <is>
          <t>YAIR RIVEROS</t>
        </is>
      </c>
      <c r="G73" s="166" t="n">
        <v>3240</v>
      </c>
      <c r="H73" s="166" t="n"/>
      <c r="I73" s="166" t="n">
        <v>3218</v>
      </c>
      <c r="J73" s="166" t="n">
        <v>7</v>
      </c>
      <c r="K73" s="166" t="n">
        <v>8</v>
      </c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13" t="n"/>
      <c r="Y73" s="113" t="n"/>
      <c r="Z73" s="113" t="n"/>
      <c r="AA73" s="113" t="n"/>
      <c r="AB73" s="113" t="n"/>
      <c r="AC73" s="113" t="n"/>
      <c r="AD73" s="113" t="n"/>
      <c r="AE73" s="113" t="n"/>
      <c r="AF73" s="113" t="n"/>
    </row>
    <row r="74" ht="15.75" customHeight="1">
      <c r="A74" s="113" t="n"/>
      <c r="B74" s="165" t="n">
        <v>22</v>
      </c>
      <c r="C74" s="164" t="n">
        <v>45800</v>
      </c>
      <c r="D74" s="165" t="inlineStr">
        <is>
          <t>202 G. HUERTAS-LA MANIGUA</t>
        </is>
      </c>
      <c r="E74" s="165" t="n">
        <v>41196</v>
      </c>
      <c r="F74" s="165" t="inlineStr">
        <is>
          <t>JAIRO CUBILLOS</t>
        </is>
      </c>
      <c r="G74" s="165" t="n">
        <v>3240</v>
      </c>
      <c r="H74" s="165" t="n"/>
      <c r="I74" s="165" t="n">
        <v>3230</v>
      </c>
      <c r="J74" s="165" t="n">
        <v>6</v>
      </c>
      <c r="K74" s="165" t="n">
        <v>2</v>
      </c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13" t="n"/>
      <c r="X74" s="113" t="n"/>
      <c r="Y74" s="113" t="n"/>
      <c r="Z74" s="113" t="n"/>
      <c r="AA74" s="113" t="n"/>
      <c r="AB74" s="113" t="n"/>
      <c r="AC74" s="113" t="n"/>
      <c r="AD74" s="113" t="n"/>
      <c r="AE74" s="113" t="n"/>
      <c r="AF74" s="113" t="n"/>
    </row>
    <row r="75" ht="15.75" customHeight="1">
      <c r="A75" s="113" t="n"/>
      <c r="B75" s="165" t="n">
        <v>23</v>
      </c>
      <c r="C75" s="164" t="n">
        <v>45800</v>
      </c>
      <c r="D75" s="165" t="inlineStr">
        <is>
          <t>202 G. HUERTAS</t>
        </is>
      </c>
      <c r="E75" s="165" t="n">
        <v>201373</v>
      </c>
      <c r="F75" s="165" t="inlineStr">
        <is>
          <t>GUSTAVO MONROY FONSECA</t>
        </is>
      </c>
      <c r="G75" s="165" t="n">
        <v>1971</v>
      </c>
      <c r="H75" s="165" t="n"/>
      <c r="I75" s="165" t="n">
        <v>1947</v>
      </c>
      <c r="J75" s="165" t="n">
        <v>18</v>
      </c>
      <c r="K75" s="165" t="n">
        <v>-15</v>
      </c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13" t="n"/>
      <c r="X75" s="113" t="n"/>
      <c r="Y75" s="113" t="n"/>
      <c r="Z75" s="113" t="n"/>
      <c r="AA75" s="113" t="n"/>
      <c r="AB75" s="113" t="n"/>
      <c r="AC75" s="113" t="n"/>
      <c r="AD75" s="113" t="n"/>
      <c r="AE75" s="113" t="n"/>
      <c r="AF75" s="113" t="n"/>
    </row>
    <row r="76" ht="15.75" customHeight="1">
      <c r="A76" s="113" t="n"/>
      <c r="B76" s="165" t="n">
        <v>24</v>
      </c>
      <c r="C76" s="164" t="n">
        <v>45800</v>
      </c>
      <c r="D76" s="165" t="inlineStr">
        <is>
          <t>202 G. HUERTAS</t>
        </is>
      </c>
      <c r="E76" s="165" t="n">
        <v>201374</v>
      </c>
      <c r="F76" s="165" t="inlineStr">
        <is>
          <t>JEISSON ECHEVERRIA</t>
        </is>
      </c>
      <c r="G76" s="165" t="n">
        <v>2825</v>
      </c>
      <c r="H76" s="165" t="n"/>
      <c r="I76" s="165" t="n">
        <v>2691</v>
      </c>
      <c r="J76" s="165" t="n">
        <v>101</v>
      </c>
      <c r="K76" s="165" t="n">
        <v>7</v>
      </c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13" t="n"/>
      <c r="Y76" s="113" t="n"/>
      <c r="Z76" s="113" t="n"/>
      <c r="AA76" s="113" t="n"/>
      <c r="AB76" s="113" t="n"/>
      <c r="AC76" s="113" t="n"/>
      <c r="AD76" s="113" t="n"/>
      <c r="AE76" s="113" t="n"/>
      <c r="AF76" s="113" t="n"/>
    </row>
    <row r="77" ht="15.75" customHeight="1">
      <c r="A77" s="113" t="n"/>
      <c r="B77" s="165" t="n">
        <v>25</v>
      </c>
      <c r="C77" s="164" t="n">
        <v>45801</v>
      </c>
      <c r="D77" s="165" t="inlineStr">
        <is>
          <t>202 G. HUERTAS</t>
        </is>
      </c>
      <c r="E77" s="165" t="n">
        <v>201381</v>
      </c>
      <c r="F77" s="165" t="inlineStr">
        <is>
          <t>FABIO FAJARDO AGUILAR</t>
        </is>
      </c>
      <c r="G77" s="165" t="n">
        <v>3000</v>
      </c>
      <c r="H77" s="165" t="n"/>
      <c r="I77" s="165" t="n">
        <v>2881</v>
      </c>
      <c r="J77" s="165" t="n">
        <v>78</v>
      </c>
      <c r="K77" s="165" t="n">
        <v>28</v>
      </c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13" t="n"/>
      <c r="Y77" s="113" t="n"/>
      <c r="Z77" s="113" t="n"/>
      <c r="AA77" s="113" t="n"/>
      <c r="AB77" s="113" t="n"/>
      <c r="AC77" s="113" t="n"/>
      <c r="AD77" s="113" t="n"/>
      <c r="AE77" s="113" t="n"/>
      <c r="AF77" s="113" t="n"/>
    </row>
    <row r="78" ht="15.75" customHeight="1">
      <c r="A78" s="113" t="n"/>
      <c r="B78" s="165" t="n">
        <v>26</v>
      </c>
      <c r="C78" s="164" t="n">
        <v>45801</v>
      </c>
      <c r="D78" s="165" t="inlineStr">
        <is>
          <t>202 G. HUERTAS-LA MANIGUA</t>
        </is>
      </c>
      <c r="E78" s="165" t="n">
        <v>41222</v>
      </c>
      <c r="F78" s="165" t="inlineStr">
        <is>
          <t>WILMER PIÑEROS</t>
        </is>
      </c>
      <c r="G78" s="165" t="n">
        <v>2848</v>
      </c>
      <c r="H78" s="165" t="n"/>
      <c r="I78" s="165" t="n">
        <v>2830</v>
      </c>
      <c r="J78" s="165" t="n">
        <v>15</v>
      </c>
      <c r="K78" s="165" t="n">
        <v>1</v>
      </c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13" t="n"/>
      <c r="W78" s="113" t="n"/>
      <c r="X78" s="113" t="n"/>
      <c r="Y78" s="113" t="n"/>
      <c r="Z78" s="113" t="n"/>
      <c r="AA78" s="113" t="n"/>
      <c r="AB78" s="113" t="n"/>
      <c r="AC78" s="113" t="n"/>
      <c r="AD78" s="113" t="n"/>
      <c r="AE78" s="113" t="n"/>
      <c r="AF78" s="113" t="n"/>
    </row>
    <row r="79" ht="15.75" customHeight="1">
      <c r="A79" s="113" t="n"/>
      <c r="B79" s="165" t="n">
        <v>27</v>
      </c>
      <c r="C79" s="164" t="n">
        <v>45801</v>
      </c>
      <c r="D79" s="165" t="inlineStr">
        <is>
          <t>202 G. HUERTAS-LA MANIGUA</t>
        </is>
      </c>
      <c r="E79" s="165" t="n">
        <v>41223</v>
      </c>
      <c r="F79" s="165" t="inlineStr">
        <is>
          <t>JOSE SOLER</t>
        </is>
      </c>
      <c r="G79" s="165" t="n">
        <v>2848</v>
      </c>
      <c r="H79" s="165" t="n"/>
      <c r="I79" s="165" t="n">
        <v>2829</v>
      </c>
      <c r="J79" s="165" t="n">
        <v>17</v>
      </c>
      <c r="K79" s="165" t="n">
        <v>0</v>
      </c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13" t="n"/>
      <c r="Y79" s="113" t="n"/>
      <c r="Z79" s="113" t="n"/>
      <c r="AA79" s="113" t="n"/>
      <c r="AB79" s="113" t="n"/>
      <c r="AC79" s="113" t="n"/>
      <c r="AD79" s="113" t="n"/>
      <c r="AE79" s="113" t="n"/>
      <c r="AF79" s="113" t="n"/>
    </row>
    <row r="80" ht="15.75" customHeight="1">
      <c r="A80" s="113" t="n"/>
      <c r="B80" s="165" t="n">
        <v>28</v>
      </c>
      <c r="C80" s="164" t="n">
        <v>45801</v>
      </c>
      <c r="D80" s="165" t="inlineStr">
        <is>
          <t>202 G. HUERTAS-LA MANIGUA</t>
        </is>
      </c>
      <c r="E80" s="165" t="n">
        <v>41224</v>
      </c>
      <c r="F80" s="165" t="inlineStr">
        <is>
          <t>FERNANDO OYUELA</t>
        </is>
      </c>
      <c r="G80" s="165" t="n">
        <v>2848</v>
      </c>
      <c r="H80" s="165" t="n"/>
      <c r="I80" s="165" t="n">
        <v>2811</v>
      </c>
      <c r="J80" s="165" t="n">
        <v>17</v>
      </c>
      <c r="K80" s="165" t="n">
        <v>18</v>
      </c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13" t="n"/>
      <c r="Y80" s="113" t="n"/>
      <c r="Z80" s="113" t="n"/>
      <c r="AA80" s="113" t="n"/>
      <c r="AB80" s="113" t="n"/>
      <c r="AC80" s="113" t="n"/>
      <c r="AD80" s="113" t="n"/>
      <c r="AE80" s="113" t="n"/>
      <c r="AF80" s="113" t="n"/>
    </row>
    <row r="81" ht="15.75" customHeight="1">
      <c r="A81" s="113" t="n"/>
      <c r="B81" s="165" t="n">
        <v>29</v>
      </c>
      <c r="C81" s="164" t="n">
        <v>45801</v>
      </c>
      <c r="D81" s="165" t="inlineStr">
        <is>
          <t>202 G. HUERTAS-LA MANIGUA</t>
        </is>
      </c>
      <c r="E81" s="165" t="n">
        <v>41225</v>
      </c>
      <c r="F81" s="165" t="inlineStr">
        <is>
          <t>EDWIN ROJAS</t>
        </is>
      </c>
      <c r="G81" s="165" t="n">
        <v>2168</v>
      </c>
      <c r="H81" s="165" t="n"/>
      <c r="I81" s="165" t="n">
        <v>2153</v>
      </c>
      <c r="J81" s="165" t="n">
        <v>18</v>
      </c>
      <c r="K81" s="165" t="n">
        <v>-5</v>
      </c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13" t="n"/>
      <c r="X81" s="113" t="n"/>
      <c r="Y81" s="113" t="n"/>
      <c r="Z81" s="113" t="n"/>
      <c r="AA81" s="113" t="n"/>
      <c r="AB81" s="113" t="n"/>
      <c r="AC81" s="113" t="n"/>
      <c r="AD81" s="113" t="n"/>
      <c r="AE81" s="113" t="n"/>
      <c r="AF81" s="113" t="n"/>
    </row>
    <row r="82" ht="15.75" customHeight="1">
      <c r="A82" s="113" t="n"/>
      <c r="B82" s="165" t="n">
        <v>30</v>
      </c>
      <c r="C82" s="164" t="n">
        <v>45801</v>
      </c>
      <c r="D82" s="165" t="inlineStr">
        <is>
          <t>202 G. HUERTAS-LA MANIGUA</t>
        </is>
      </c>
      <c r="E82" s="165" t="n">
        <v>41226</v>
      </c>
      <c r="F82" s="165" t="inlineStr">
        <is>
          <t>DIEGO NIÑO</t>
        </is>
      </c>
      <c r="G82" s="165" t="n">
        <v>3600</v>
      </c>
      <c r="H82" s="165" t="n"/>
      <c r="I82" s="165" t="n">
        <v>3566</v>
      </c>
      <c r="J82" s="165" t="n">
        <v>19</v>
      </c>
      <c r="K82" s="165" t="n">
        <v>13</v>
      </c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13" t="n"/>
      <c r="X82" s="113" t="n"/>
      <c r="Y82" s="113" t="n"/>
      <c r="Z82" s="113" t="n"/>
      <c r="AA82" s="113" t="n"/>
      <c r="AB82" s="113" t="n"/>
      <c r="AC82" s="113" t="n"/>
      <c r="AD82" s="113" t="n"/>
      <c r="AE82" s="113" t="n"/>
      <c r="AF82" s="113" t="n"/>
    </row>
    <row r="83" ht="15.75" customHeight="1">
      <c r="A83" s="113" t="n"/>
      <c r="B83" s="165" t="n">
        <v>31</v>
      </c>
      <c r="C83" s="164" t="n">
        <v>45801</v>
      </c>
      <c r="D83" s="165" t="inlineStr">
        <is>
          <t>202 G. HUERTAS-LA MANIGUA</t>
        </is>
      </c>
      <c r="E83" s="165" t="n">
        <v>41227</v>
      </c>
      <c r="F83" s="165" t="inlineStr">
        <is>
          <t>ALEX GOMEZ</t>
        </is>
      </c>
      <c r="G83" s="165" t="n">
        <v>3060</v>
      </c>
      <c r="H83" s="165" t="n"/>
      <c r="I83" s="165" t="n">
        <v>3030</v>
      </c>
      <c r="J83" s="165" t="n">
        <v>28</v>
      </c>
      <c r="K83" s="165" t="n">
        <v>-1</v>
      </c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13" t="n"/>
      <c r="X83" s="113" t="n"/>
      <c r="Y83" s="113" t="n"/>
      <c r="Z83" s="113" t="n"/>
      <c r="AA83" s="113" t="n"/>
      <c r="AB83" s="113" t="n"/>
      <c r="AC83" s="113" t="n"/>
      <c r="AD83" s="113" t="n"/>
      <c r="AE83" s="113" t="n"/>
      <c r="AF83" s="113" t="n"/>
    </row>
    <row r="84" ht="15.75" customHeight="1">
      <c r="A84" s="113" t="n"/>
      <c r="B84" s="113" t="n"/>
      <c r="C84" s="113" t="n"/>
      <c r="D84" s="113" t="n"/>
      <c r="E84" s="113" t="n"/>
      <c r="F84" s="113" t="n"/>
      <c r="G84" s="146">
        <f>SUM(G53:G83)</f>
        <v/>
      </c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13" t="n"/>
      <c r="X84" s="113" t="n"/>
      <c r="Y84" s="113" t="n"/>
      <c r="Z84" s="113" t="n"/>
      <c r="AA84" s="113" t="n"/>
      <c r="AB84" s="113" t="n"/>
      <c r="AC84" s="113" t="n"/>
      <c r="AD84" s="113" t="n"/>
      <c r="AE84" s="113" t="n"/>
      <c r="AF84" s="113" t="n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371"/>
  <sheetViews>
    <sheetView workbookViewId="0">
      <selection activeCell="A1" sqref="A1"/>
    </sheetView>
  </sheetViews>
  <sheetFormatPr baseColWidth="8" defaultRowHeight="15"/>
  <cols>
    <col width="11.43" customWidth="1" min="1" max="1"/>
    <col width="12.86" customWidth="1" min="2" max="2"/>
    <col width="15" customWidth="1" min="3" max="3"/>
    <col width="11.43" customWidth="1" min="4" max="4"/>
    <col width="11.57" customWidth="1" min="5" max="5"/>
    <col width="19.43" customWidth="1" min="6" max="6"/>
    <col width="11.57" customWidth="1" min="7" max="7"/>
    <col width="26.86" customWidth="1" min="13" max="13"/>
    <col width="11.43" customWidth="1" min="14" max="14"/>
  </cols>
  <sheetData>
    <row r="1" ht="18.75" customHeight="1">
      <c r="A1" s="167" t="n"/>
      <c r="B1" s="168" t="inlineStr">
        <is>
          <t>ITEM</t>
        </is>
      </c>
      <c r="C1" s="169" t="inlineStr">
        <is>
          <t>FECHA</t>
        </is>
      </c>
      <c r="D1" s="170" t="inlineStr">
        <is>
          <t>Nombre Granja</t>
        </is>
      </c>
      <c r="E1" s="169" t="inlineStr">
        <is>
          <t>PLANILLA</t>
        </is>
      </c>
      <c r="F1" s="170" t="inlineStr">
        <is>
          <t>CONDUCTOR</t>
        </is>
      </c>
      <c r="G1" s="171" t="inlineStr">
        <is>
          <t>ENVIADOS</t>
        </is>
      </c>
      <c r="H1" s="171" t="inlineStr">
        <is>
          <t>serviagro</t>
        </is>
      </c>
      <c r="I1" s="172" t="inlineStr">
        <is>
          <t>RECIBIDOS</t>
        </is>
      </c>
      <c r="J1" s="173" t="inlineStr">
        <is>
          <t>AHOGADOS</t>
        </is>
      </c>
      <c r="K1" s="172" t="inlineStr">
        <is>
          <t>DESCARTADOS</t>
        </is>
      </c>
      <c r="L1" s="174" t="inlineStr">
        <is>
          <t>DIFE</t>
        </is>
      </c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62" t="n"/>
      <c r="AB1" s="162" t="n"/>
      <c r="AC1" s="162" t="n"/>
      <c r="AD1" s="162" t="n"/>
      <c r="AE1" s="162" t="n"/>
      <c r="AF1" s="162" t="n"/>
      <c r="AG1" s="162" t="n"/>
      <c r="AH1" s="162" t="n"/>
      <c r="AI1" s="162" t="n"/>
      <c r="AJ1" s="162" t="n"/>
      <c r="AK1" s="162" t="n"/>
      <c r="AL1" s="162" t="n"/>
      <c r="AM1" s="162" t="n"/>
      <c r="AN1" s="162" t="n"/>
      <c r="AO1" s="162" t="n"/>
      <c r="AP1" s="162" t="n"/>
      <c r="AQ1" s="162" t="n"/>
      <c r="AR1" s="162" t="n"/>
      <c r="AS1" s="162" t="n"/>
      <c r="AT1" s="162" t="n"/>
      <c r="AU1" s="162" t="n"/>
      <c r="AV1" s="162" t="n"/>
      <c r="AW1" s="162" t="n"/>
      <c r="AX1" s="162" t="n"/>
      <c r="AY1" s="162" t="n"/>
      <c r="AZ1" s="162" t="n"/>
      <c r="BA1" s="162" t="n"/>
      <c r="BB1" s="162" t="n"/>
      <c r="BC1" s="162" t="n"/>
      <c r="BD1" s="162" t="n"/>
      <c r="BE1" s="162" t="n"/>
      <c r="BF1" s="162" t="n"/>
      <c r="BG1" s="162" t="n"/>
      <c r="BH1" s="162" t="n"/>
      <c r="BI1" s="162" t="n"/>
      <c r="BJ1" s="162" t="n"/>
      <c r="BK1" s="162" t="n"/>
      <c r="BL1" s="162" t="n"/>
      <c r="BM1" s="162" t="n"/>
      <c r="BN1" s="162" t="n"/>
      <c r="BO1" s="162" t="n"/>
      <c r="BP1" s="162" t="n"/>
      <c r="BQ1" s="162" t="n"/>
      <c r="BR1" s="162" t="n"/>
      <c r="BS1" s="162" t="n"/>
      <c r="BT1" s="162" t="n"/>
      <c r="BU1" s="162" t="n"/>
      <c r="BV1" s="162" t="n"/>
      <c r="BW1" s="162" t="n"/>
      <c r="BX1" s="162" t="n"/>
      <c r="BY1" s="162" t="n"/>
      <c r="BZ1" s="162" t="n"/>
      <c r="CA1" s="162" t="n"/>
      <c r="CB1" s="162" t="n"/>
      <c r="CC1" s="162" t="n"/>
      <c r="CD1" s="162" t="n"/>
      <c r="CE1" s="162" t="n"/>
      <c r="CF1" s="162" t="n"/>
      <c r="CG1" s="162" t="n"/>
      <c r="CH1" s="162" t="n"/>
      <c r="CI1" s="162" t="n"/>
      <c r="CJ1" s="162" t="n"/>
      <c r="CK1" s="162" t="n"/>
      <c r="CL1" s="162" t="n"/>
      <c r="CM1" s="162" t="n"/>
      <c r="CN1" s="162" t="n"/>
      <c r="CO1" s="162" t="n"/>
      <c r="CP1" s="162" t="n"/>
      <c r="CQ1" s="162" t="n"/>
      <c r="CR1" s="162" t="n"/>
      <c r="CS1" s="162" t="n"/>
      <c r="CT1" s="162" t="n"/>
    </row>
    <row r="2" ht="18.75" customHeight="1">
      <c r="A2" s="175" t="n">
        <v>1</v>
      </c>
      <c r="B2" s="176" t="n">
        <v>1</v>
      </c>
      <c r="C2" s="177" t="n">
        <v>45748</v>
      </c>
      <c r="D2" s="178" t="inlineStr">
        <is>
          <t>200 G. GARCERAS</t>
        </is>
      </c>
      <c r="E2" s="178" t="n">
        <v>40298</v>
      </c>
      <c r="F2" s="178" t="inlineStr">
        <is>
          <t>JOSE SOLER</t>
        </is>
      </c>
      <c r="G2" s="179" t="n">
        <v>3254</v>
      </c>
      <c r="H2" s="179" t="n">
        <v>3254</v>
      </c>
      <c r="I2" s="179" t="n">
        <v>3244</v>
      </c>
      <c r="J2" s="179" t="n">
        <v>6</v>
      </c>
      <c r="K2" s="179" t="n">
        <v>6</v>
      </c>
      <c r="L2" s="180" t="n">
        <v>-2</v>
      </c>
      <c r="M2" s="162">
        <f>29608+13016</f>
        <v/>
      </c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  <c r="AA2" s="162" t="n"/>
      <c r="AB2" s="162" t="n"/>
      <c r="AC2" s="162" t="n"/>
      <c r="AD2" s="162" t="n"/>
      <c r="AE2" s="162" t="n"/>
      <c r="AF2" s="162" t="n"/>
      <c r="AG2" s="162" t="n"/>
      <c r="AH2" s="162" t="n"/>
      <c r="AI2" s="162" t="n"/>
      <c r="AJ2" s="162" t="n"/>
      <c r="AK2" s="162" t="n"/>
      <c r="AL2" s="162" t="n"/>
      <c r="AM2" s="162" t="n"/>
      <c r="AN2" s="162" t="n"/>
      <c r="AO2" s="162" t="n"/>
      <c r="AP2" s="162" t="n"/>
      <c r="AQ2" s="162" t="n"/>
      <c r="AR2" s="162" t="n"/>
      <c r="AS2" s="162" t="n"/>
      <c r="AT2" s="162" t="n"/>
      <c r="AU2" s="162" t="n"/>
      <c r="AV2" s="162" t="n"/>
      <c r="AW2" s="162" t="n"/>
      <c r="AX2" s="162" t="n"/>
      <c r="AY2" s="162" t="n"/>
      <c r="AZ2" s="162" t="n"/>
      <c r="BA2" s="162" t="n"/>
      <c r="BB2" s="162" t="n"/>
      <c r="BC2" s="162" t="n"/>
      <c r="BD2" s="162" t="n"/>
      <c r="BE2" s="162" t="n"/>
      <c r="BF2" s="162" t="n"/>
      <c r="BG2" s="162" t="n"/>
      <c r="BH2" s="162" t="n"/>
      <c r="BI2" s="162" t="n"/>
      <c r="BJ2" s="162" t="n"/>
      <c r="BK2" s="162" t="n"/>
      <c r="BL2" s="162" t="n"/>
      <c r="BM2" s="162" t="n"/>
      <c r="BN2" s="162" t="n"/>
      <c r="BO2" s="162" t="n"/>
      <c r="BP2" s="162" t="n"/>
      <c r="BQ2" s="162" t="n"/>
      <c r="BR2" s="162" t="n"/>
      <c r="BS2" s="162" t="n"/>
      <c r="BT2" s="162" t="n"/>
      <c r="BU2" s="162" t="n"/>
      <c r="BV2" s="162" t="n"/>
      <c r="BW2" s="162" t="n"/>
      <c r="BX2" s="162" t="n"/>
      <c r="BY2" s="162" t="n"/>
      <c r="BZ2" s="162" t="n"/>
      <c r="CA2" s="162" t="n"/>
      <c r="CB2" s="162" t="n"/>
      <c r="CC2" s="162" t="n"/>
      <c r="CD2" s="162" t="n"/>
      <c r="CE2" s="162" t="n"/>
      <c r="CF2" s="162" t="n"/>
      <c r="CG2" s="162" t="n"/>
      <c r="CH2" s="162" t="n"/>
      <c r="CI2" s="162" t="n"/>
      <c r="CJ2" s="162" t="n"/>
      <c r="CK2" s="162" t="n"/>
      <c r="CL2" s="162" t="n"/>
      <c r="CM2" s="162" t="n"/>
      <c r="CN2" s="162" t="n"/>
      <c r="CO2" s="162" t="n"/>
      <c r="CP2" s="162" t="n"/>
      <c r="CQ2" s="162" t="n"/>
      <c r="CR2" s="162" t="n"/>
      <c r="CS2" s="162" t="n"/>
      <c r="CT2" s="162" t="n"/>
    </row>
    <row r="3" ht="18.75" customHeight="1">
      <c r="A3" s="175" t="n">
        <v>2</v>
      </c>
      <c r="B3" s="181" t="n">
        <v>2</v>
      </c>
      <c r="C3" s="182" t="n">
        <v>45748</v>
      </c>
      <c r="D3" s="183" t="inlineStr">
        <is>
          <t>200 G. GARCERAS</t>
        </is>
      </c>
      <c r="E3" s="183" t="n">
        <v>40299</v>
      </c>
      <c r="F3" s="183" t="inlineStr">
        <is>
          <t>JAIRO CUBILLOS</t>
        </is>
      </c>
      <c r="G3" s="184" t="n">
        <v>3254</v>
      </c>
      <c r="H3" s="184" t="n">
        <v>3254</v>
      </c>
      <c r="I3" s="184" t="n">
        <v>3240</v>
      </c>
      <c r="J3" s="184" t="n">
        <v>6</v>
      </c>
      <c r="K3" s="184" t="n">
        <v>10</v>
      </c>
      <c r="L3" s="185" t="n">
        <v>-2</v>
      </c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  <c r="AA3" s="162" t="n"/>
      <c r="AB3" s="162" t="n"/>
      <c r="AC3" s="162" t="n"/>
      <c r="AD3" s="162" t="n"/>
      <c r="AE3" s="162" t="n"/>
      <c r="AF3" s="162" t="n"/>
      <c r="AG3" s="162" t="n"/>
      <c r="AH3" s="162" t="n"/>
      <c r="AI3" s="162" t="n"/>
      <c r="AJ3" s="162" t="n"/>
      <c r="AK3" s="162" t="n"/>
      <c r="AL3" s="162" t="n"/>
      <c r="AM3" s="162" t="n"/>
      <c r="AN3" s="162" t="n"/>
      <c r="AO3" s="162" t="n"/>
      <c r="AP3" s="162" t="n"/>
      <c r="AQ3" s="162" t="n"/>
      <c r="AR3" s="162" t="n"/>
      <c r="AS3" s="162" t="n"/>
      <c r="AT3" s="162" t="n"/>
      <c r="AU3" s="162" t="n"/>
      <c r="AV3" s="162" t="n"/>
      <c r="AW3" s="162" t="n"/>
      <c r="AX3" s="162" t="n"/>
      <c r="AY3" s="162" t="n"/>
      <c r="AZ3" s="162" t="n"/>
      <c r="BA3" s="162" t="n"/>
      <c r="BB3" s="162" t="n"/>
      <c r="BC3" s="162" t="n"/>
      <c r="BD3" s="162" t="n"/>
      <c r="BE3" s="162" t="n"/>
      <c r="BF3" s="162" t="n"/>
      <c r="BG3" s="162" t="n"/>
      <c r="BH3" s="162" t="n"/>
      <c r="BI3" s="162" t="n"/>
      <c r="BJ3" s="162" t="n"/>
      <c r="BK3" s="162" t="n"/>
      <c r="BL3" s="162" t="n"/>
      <c r="BM3" s="162" t="n"/>
      <c r="BN3" s="162" t="n"/>
      <c r="BO3" s="162" t="n"/>
      <c r="BP3" s="162" t="n"/>
      <c r="BQ3" s="162" t="n"/>
      <c r="BR3" s="162" t="n"/>
      <c r="BS3" s="162" t="n"/>
      <c r="BT3" s="162" t="n"/>
      <c r="BU3" s="162" t="n"/>
      <c r="BV3" s="162" t="n"/>
      <c r="BW3" s="162" t="n"/>
      <c r="BX3" s="162" t="n"/>
      <c r="BY3" s="162" t="n"/>
      <c r="BZ3" s="162" t="n"/>
      <c r="CA3" s="162" t="n"/>
      <c r="CB3" s="162" t="n"/>
      <c r="CC3" s="162" t="n"/>
      <c r="CD3" s="162" t="n"/>
      <c r="CE3" s="162" t="n"/>
      <c r="CF3" s="162" t="n"/>
      <c r="CG3" s="162" t="n"/>
      <c r="CH3" s="162" t="n"/>
      <c r="CI3" s="162" t="n"/>
      <c r="CJ3" s="162" t="n"/>
      <c r="CK3" s="162" t="n"/>
      <c r="CL3" s="162" t="n"/>
      <c r="CM3" s="162" t="n"/>
      <c r="CN3" s="162" t="n"/>
      <c r="CO3" s="162" t="n"/>
      <c r="CP3" s="162" t="n"/>
      <c r="CQ3" s="162" t="n"/>
      <c r="CR3" s="162" t="n"/>
      <c r="CS3" s="162" t="n"/>
      <c r="CT3" s="162" t="n"/>
    </row>
    <row r="4" ht="18.75" customHeight="1">
      <c r="A4" s="175" t="n">
        <v>3</v>
      </c>
      <c r="B4" s="181" t="n">
        <v>3</v>
      </c>
      <c r="C4" s="182" t="n">
        <v>45748</v>
      </c>
      <c r="D4" s="183" t="inlineStr">
        <is>
          <t>200 G. GARCERAS</t>
        </is>
      </c>
      <c r="E4" s="183" t="n">
        <v>40300</v>
      </c>
      <c r="F4" s="183" t="inlineStr">
        <is>
          <t>ALBERTO LOPEZ</t>
        </is>
      </c>
      <c r="G4" s="184" t="n">
        <v>3252</v>
      </c>
      <c r="H4" s="184" t="n">
        <v>3254</v>
      </c>
      <c r="I4" s="184" t="n">
        <v>3240</v>
      </c>
      <c r="J4" s="184" t="n">
        <v>2</v>
      </c>
      <c r="K4" s="184" t="n">
        <v>11</v>
      </c>
      <c r="L4" s="185" t="n">
        <v>-1</v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162" t="n"/>
      <c r="AF4" s="162" t="n"/>
      <c r="AG4" s="162" t="n"/>
      <c r="AH4" s="162" t="n"/>
      <c r="AI4" s="162" t="n"/>
      <c r="AJ4" s="162" t="n"/>
      <c r="AK4" s="162" t="n"/>
      <c r="AL4" s="162" t="n"/>
      <c r="AM4" s="162" t="n"/>
      <c r="AN4" s="162" t="n"/>
      <c r="AO4" s="162" t="n"/>
      <c r="AP4" s="162" t="n"/>
      <c r="AQ4" s="162" t="n"/>
      <c r="AR4" s="162" t="n"/>
      <c r="AS4" s="162" t="n"/>
      <c r="AT4" s="162" t="n"/>
      <c r="AU4" s="162" t="n"/>
      <c r="AV4" s="162" t="n"/>
      <c r="AW4" s="162" t="n"/>
      <c r="AX4" s="162" t="n"/>
      <c r="AY4" s="162" t="n"/>
      <c r="AZ4" s="162" t="n"/>
      <c r="BA4" s="162" t="n"/>
      <c r="BB4" s="162" t="n"/>
      <c r="BC4" s="162" t="n"/>
      <c r="BD4" s="162" t="n"/>
      <c r="BE4" s="162" t="n"/>
      <c r="BF4" s="162" t="n"/>
      <c r="BG4" s="162" t="n"/>
      <c r="BH4" s="162" t="n"/>
      <c r="BI4" s="162" t="n"/>
      <c r="BJ4" s="162" t="n"/>
      <c r="BK4" s="162" t="n"/>
      <c r="BL4" s="162" t="n"/>
      <c r="BM4" s="162" t="n"/>
      <c r="BN4" s="162" t="n"/>
      <c r="BO4" s="162" t="n"/>
      <c r="BP4" s="162" t="n"/>
      <c r="BQ4" s="162" t="n"/>
      <c r="BR4" s="162" t="n"/>
      <c r="BS4" s="162" t="n"/>
      <c r="BT4" s="162" t="n"/>
      <c r="BU4" s="162" t="n"/>
      <c r="BV4" s="162" t="n"/>
      <c r="BW4" s="162" t="n"/>
      <c r="BX4" s="162" t="n"/>
      <c r="BY4" s="162" t="n"/>
      <c r="BZ4" s="162" t="n"/>
      <c r="CA4" s="162" t="n"/>
      <c r="CB4" s="162" t="n"/>
      <c r="CC4" s="162" t="n"/>
      <c r="CD4" s="162" t="n"/>
      <c r="CE4" s="162" t="n"/>
      <c r="CF4" s="162" t="n"/>
      <c r="CG4" s="162" t="n"/>
      <c r="CH4" s="162" t="n"/>
      <c r="CI4" s="162" t="n"/>
      <c r="CJ4" s="162" t="n"/>
      <c r="CK4" s="162" t="n"/>
      <c r="CL4" s="162" t="n"/>
      <c r="CM4" s="162" t="n"/>
      <c r="CN4" s="162" t="n"/>
      <c r="CO4" s="162" t="n"/>
      <c r="CP4" s="162" t="n"/>
      <c r="CQ4" s="162" t="n"/>
      <c r="CR4" s="162" t="n"/>
      <c r="CS4" s="162" t="n"/>
      <c r="CT4" s="162" t="n"/>
    </row>
    <row r="5" ht="18.75" customHeight="1">
      <c r="A5" s="175" t="n">
        <v>4</v>
      </c>
      <c r="B5" s="181" t="n">
        <v>4</v>
      </c>
      <c r="C5" s="182" t="n">
        <v>45748</v>
      </c>
      <c r="D5" s="183" t="inlineStr">
        <is>
          <t>200 G. GARCERAS</t>
        </is>
      </c>
      <c r="E5" s="183" t="n">
        <v>40301</v>
      </c>
      <c r="F5" s="183" t="inlineStr">
        <is>
          <t>JHON AGUIRRE</t>
        </is>
      </c>
      <c r="G5" s="184" t="n">
        <v>3254</v>
      </c>
      <c r="H5" s="184" t="n">
        <v>3254</v>
      </c>
      <c r="I5" s="184" t="n">
        <v>3247</v>
      </c>
      <c r="J5" s="184" t="n">
        <v>3</v>
      </c>
      <c r="K5" s="184" t="n">
        <v>5</v>
      </c>
      <c r="L5" s="185" t="n">
        <v>-1</v>
      </c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  <c r="AA5" s="162" t="n"/>
      <c r="AB5" s="162" t="n"/>
      <c r="AC5" s="162" t="n"/>
      <c r="AD5" s="162" t="n"/>
      <c r="AE5" s="162" t="n"/>
      <c r="AF5" s="162" t="n"/>
      <c r="AG5" s="162" t="n"/>
      <c r="AH5" s="162" t="n"/>
      <c r="AI5" s="162" t="n"/>
      <c r="AJ5" s="162" t="n"/>
      <c r="AK5" s="162" t="n"/>
      <c r="AL5" s="162" t="n"/>
      <c r="AM5" s="162" t="n"/>
      <c r="AN5" s="162" t="n"/>
      <c r="AO5" s="162" t="n"/>
      <c r="AP5" s="162" t="n"/>
      <c r="AQ5" s="162" t="n"/>
      <c r="AR5" s="162" t="n"/>
      <c r="AS5" s="162" t="n"/>
      <c r="AT5" s="162" t="n"/>
      <c r="AU5" s="162" t="n"/>
      <c r="AV5" s="162" t="n"/>
      <c r="AW5" s="162" t="n"/>
      <c r="AX5" s="162" t="n"/>
      <c r="AY5" s="162" t="n"/>
      <c r="AZ5" s="162" t="n"/>
      <c r="BA5" s="162" t="n"/>
      <c r="BB5" s="162" t="n"/>
      <c r="BC5" s="162" t="n"/>
      <c r="BD5" s="162" t="n"/>
      <c r="BE5" s="162" t="n"/>
      <c r="BF5" s="162" t="n"/>
      <c r="BG5" s="162" t="n"/>
      <c r="BH5" s="162" t="n"/>
      <c r="BI5" s="162" t="n"/>
      <c r="BJ5" s="162" t="n"/>
      <c r="BK5" s="162" t="n"/>
      <c r="BL5" s="162" t="n"/>
      <c r="BM5" s="162" t="n"/>
      <c r="BN5" s="162" t="n"/>
      <c r="BO5" s="162" t="n"/>
      <c r="BP5" s="162" t="n"/>
      <c r="BQ5" s="162" t="n"/>
      <c r="BR5" s="162" t="n"/>
      <c r="BS5" s="162" t="n"/>
      <c r="BT5" s="162" t="n"/>
      <c r="BU5" s="162" t="n"/>
      <c r="BV5" s="162" t="n"/>
      <c r="BW5" s="162" t="n"/>
      <c r="BX5" s="162" t="n"/>
      <c r="BY5" s="162" t="n"/>
      <c r="BZ5" s="162" t="n"/>
      <c r="CA5" s="162" t="n"/>
      <c r="CB5" s="162" t="n"/>
      <c r="CC5" s="162" t="n"/>
      <c r="CD5" s="162" t="n"/>
      <c r="CE5" s="162" t="n"/>
      <c r="CF5" s="162" t="n"/>
      <c r="CG5" s="162" t="n"/>
      <c r="CH5" s="162" t="n"/>
      <c r="CI5" s="162" t="n"/>
      <c r="CJ5" s="162" t="n"/>
      <c r="CK5" s="162" t="n"/>
      <c r="CL5" s="162" t="n"/>
      <c r="CM5" s="162" t="n"/>
      <c r="CN5" s="162" t="n"/>
      <c r="CO5" s="162" t="n"/>
      <c r="CP5" s="162" t="n"/>
      <c r="CQ5" s="162" t="n"/>
      <c r="CR5" s="162" t="n"/>
      <c r="CS5" s="162" t="n"/>
      <c r="CT5" s="162" t="n"/>
    </row>
    <row r="6" ht="18.75" customHeight="1">
      <c r="A6" s="175" t="n">
        <v>5</v>
      </c>
      <c r="B6" s="181" t="n">
        <v>5</v>
      </c>
      <c r="C6" s="186" t="n">
        <v>45749</v>
      </c>
      <c r="D6" s="183" t="inlineStr">
        <is>
          <t>200 G. GARCERAS</t>
        </is>
      </c>
      <c r="E6" s="183" t="n">
        <v>40309</v>
      </c>
      <c r="F6" s="183" t="inlineStr">
        <is>
          <t>EDUAN CAVIEDES</t>
        </is>
      </c>
      <c r="G6" s="184" t="n">
        <v>3747</v>
      </c>
      <c r="H6" s="184" t="n">
        <v>3747</v>
      </c>
      <c r="I6" s="184" t="n">
        <v>3735</v>
      </c>
      <c r="J6" s="184" t="n">
        <v>1</v>
      </c>
      <c r="K6" s="184" t="n">
        <v>14</v>
      </c>
      <c r="L6" s="185" t="n">
        <v>-3</v>
      </c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  <c r="AA6" s="162" t="n"/>
      <c r="AB6" s="162" t="n"/>
      <c r="AC6" s="162" t="n"/>
      <c r="AD6" s="162" t="n"/>
      <c r="AE6" s="162" t="n"/>
      <c r="AF6" s="162" t="n"/>
      <c r="AG6" s="162" t="n"/>
      <c r="AH6" s="162" t="n"/>
      <c r="AI6" s="162" t="n"/>
      <c r="AJ6" s="162" t="n"/>
      <c r="AK6" s="162" t="n"/>
      <c r="AL6" s="162" t="n"/>
      <c r="AM6" s="162" t="n"/>
      <c r="AN6" s="162" t="n"/>
      <c r="AO6" s="162" t="n"/>
      <c r="AP6" s="162" t="n"/>
      <c r="AQ6" s="162" t="n"/>
      <c r="AR6" s="162" t="n"/>
      <c r="AS6" s="162" t="n"/>
      <c r="AT6" s="162" t="n"/>
      <c r="AU6" s="162" t="n"/>
      <c r="AV6" s="162" t="n"/>
      <c r="AW6" s="162" t="n"/>
      <c r="AX6" s="162" t="n"/>
      <c r="AY6" s="162" t="n"/>
      <c r="AZ6" s="162" t="n"/>
      <c r="BA6" s="162" t="n"/>
      <c r="BB6" s="162" t="n"/>
      <c r="BC6" s="162" t="n"/>
      <c r="BD6" s="162" t="n"/>
      <c r="BE6" s="162" t="n"/>
      <c r="BF6" s="162" t="n"/>
      <c r="BG6" s="162" t="n"/>
      <c r="BH6" s="162" t="n"/>
      <c r="BI6" s="162" t="n"/>
      <c r="BJ6" s="162" t="n"/>
      <c r="BK6" s="162" t="n"/>
      <c r="BL6" s="162" t="n"/>
      <c r="BM6" s="162" t="n"/>
      <c r="BN6" s="162" t="n"/>
      <c r="BO6" s="162" t="n"/>
      <c r="BP6" s="162" t="n"/>
      <c r="BQ6" s="162" t="n"/>
      <c r="BR6" s="162" t="n"/>
      <c r="BS6" s="162" t="n"/>
      <c r="BT6" s="162" t="n"/>
      <c r="BU6" s="162" t="n"/>
      <c r="BV6" s="162" t="n"/>
      <c r="BW6" s="162" t="n"/>
      <c r="BX6" s="162" t="n"/>
      <c r="BY6" s="162" t="n"/>
      <c r="BZ6" s="162" t="n"/>
      <c r="CA6" s="162" t="n"/>
      <c r="CB6" s="162" t="n"/>
      <c r="CC6" s="162" t="n"/>
      <c r="CD6" s="162" t="n"/>
      <c r="CE6" s="162" t="n"/>
      <c r="CF6" s="162" t="n"/>
      <c r="CG6" s="162" t="n"/>
      <c r="CH6" s="162" t="n"/>
      <c r="CI6" s="162" t="n"/>
      <c r="CJ6" s="162" t="n"/>
      <c r="CK6" s="162" t="n"/>
      <c r="CL6" s="162" t="n"/>
      <c r="CM6" s="162" t="n"/>
      <c r="CN6" s="162" t="n"/>
      <c r="CO6" s="162" t="n"/>
      <c r="CP6" s="162" t="n"/>
      <c r="CQ6" s="162" t="n"/>
      <c r="CR6" s="162" t="n"/>
      <c r="CS6" s="162" t="n"/>
      <c r="CT6" s="162" t="n"/>
    </row>
    <row r="7" ht="18.75" customHeight="1">
      <c r="A7" s="175" t="n">
        <v>6</v>
      </c>
      <c r="B7" s="181" t="n">
        <v>6</v>
      </c>
      <c r="C7" s="182" t="n">
        <v>45749</v>
      </c>
      <c r="D7" s="183" t="inlineStr">
        <is>
          <t>200 G. GARCERAS</t>
        </is>
      </c>
      <c r="E7" s="183" t="n">
        <v>40310</v>
      </c>
      <c r="F7" s="183" t="inlineStr">
        <is>
          <t>EDWIN ROJAS</t>
        </is>
      </c>
      <c r="G7" s="184" t="n">
        <v>3747</v>
      </c>
      <c r="H7" s="184" t="n">
        <v>3747</v>
      </c>
      <c r="I7" s="184" t="n">
        <v>3737</v>
      </c>
      <c r="J7" s="184" t="n">
        <v>1</v>
      </c>
      <c r="K7" s="184" t="n">
        <v>12</v>
      </c>
      <c r="L7" s="185" t="n">
        <v>-3</v>
      </c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  <c r="AA7" s="162" t="n"/>
      <c r="AB7" s="162" t="n"/>
      <c r="AC7" s="162" t="n"/>
      <c r="AD7" s="162" t="n"/>
      <c r="AE7" s="162" t="n"/>
      <c r="AF7" s="162" t="n"/>
      <c r="AG7" s="162" t="n"/>
      <c r="AH7" s="162" t="n"/>
      <c r="AI7" s="162" t="n"/>
      <c r="AJ7" s="162" t="n"/>
      <c r="AK7" s="162" t="n"/>
      <c r="AL7" s="162" t="n"/>
      <c r="AM7" s="162" t="n"/>
      <c r="AN7" s="162" t="n"/>
      <c r="AO7" s="162" t="n"/>
      <c r="AP7" s="162" t="n"/>
      <c r="AQ7" s="162" t="n"/>
      <c r="AR7" s="162" t="n"/>
      <c r="AS7" s="162" t="n"/>
      <c r="AT7" s="162" t="n"/>
      <c r="AU7" s="162" t="n"/>
      <c r="AV7" s="162" t="n"/>
      <c r="AW7" s="162" t="n"/>
      <c r="AX7" s="162" t="n"/>
      <c r="AY7" s="162" t="n"/>
      <c r="AZ7" s="162" t="n"/>
      <c r="BA7" s="162" t="n"/>
      <c r="BB7" s="162" t="n"/>
      <c r="BC7" s="162" t="n"/>
      <c r="BD7" s="162" t="n"/>
      <c r="BE7" s="162" t="n"/>
      <c r="BF7" s="162" t="n"/>
      <c r="BG7" s="162" t="n"/>
      <c r="BH7" s="162" t="n"/>
      <c r="BI7" s="162" t="n"/>
      <c r="BJ7" s="162" t="n"/>
      <c r="BK7" s="162" t="n"/>
      <c r="BL7" s="162" t="n"/>
      <c r="BM7" s="162" t="n"/>
      <c r="BN7" s="162" t="n"/>
      <c r="BO7" s="162" t="n"/>
      <c r="BP7" s="162" t="n"/>
      <c r="BQ7" s="162" t="n"/>
      <c r="BR7" s="162" t="n"/>
      <c r="BS7" s="162" t="n"/>
      <c r="BT7" s="162" t="n"/>
      <c r="BU7" s="162" t="n"/>
      <c r="BV7" s="162" t="n"/>
      <c r="BW7" s="162" t="n"/>
      <c r="BX7" s="162" t="n"/>
      <c r="BY7" s="162" t="n"/>
      <c r="BZ7" s="162" t="n"/>
      <c r="CA7" s="162" t="n"/>
      <c r="CB7" s="162" t="n"/>
      <c r="CC7" s="162" t="n"/>
      <c r="CD7" s="162" t="n"/>
      <c r="CE7" s="162" t="n"/>
      <c r="CF7" s="162" t="n"/>
      <c r="CG7" s="162" t="n"/>
      <c r="CH7" s="162" t="n"/>
      <c r="CI7" s="162" t="n"/>
      <c r="CJ7" s="162" t="n"/>
      <c r="CK7" s="162" t="n"/>
      <c r="CL7" s="162" t="n"/>
      <c r="CM7" s="162" t="n"/>
      <c r="CN7" s="162" t="n"/>
      <c r="CO7" s="162" t="n"/>
      <c r="CP7" s="162" t="n"/>
      <c r="CQ7" s="162" t="n"/>
      <c r="CR7" s="162" t="n"/>
      <c r="CS7" s="162" t="n"/>
      <c r="CT7" s="162" t="n"/>
    </row>
    <row r="8" ht="18.75" customHeight="1">
      <c r="A8" s="175" t="n">
        <v>7</v>
      </c>
      <c r="B8" s="181" t="n">
        <v>7</v>
      </c>
      <c r="C8" s="182" t="n">
        <v>45749</v>
      </c>
      <c r="D8" s="183" t="inlineStr">
        <is>
          <t>200 G. GARCERAS</t>
        </is>
      </c>
      <c r="E8" s="183" t="n">
        <v>40311</v>
      </c>
      <c r="F8" s="183" t="inlineStr">
        <is>
          <t>FABIO ALDANA</t>
        </is>
      </c>
      <c r="G8" s="184" t="n">
        <v>3071</v>
      </c>
      <c r="H8" s="184" t="n">
        <v>3071</v>
      </c>
      <c r="I8" s="184" t="n">
        <v>3070</v>
      </c>
      <c r="J8" s="184" t="n">
        <v>6</v>
      </c>
      <c r="K8" s="184" t="n">
        <v>1</v>
      </c>
      <c r="L8" s="185" t="n">
        <v>-6</v>
      </c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  <c r="AA8" s="162" t="n"/>
      <c r="AB8" s="162" t="n"/>
      <c r="AC8" s="162" t="n"/>
      <c r="AD8" s="162" t="n"/>
      <c r="AE8" s="162" t="n"/>
      <c r="AF8" s="162" t="n"/>
      <c r="AG8" s="162" t="n"/>
      <c r="AH8" s="162" t="n"/>
      <c r="AI8" s="162" t="n"/>
      <c r="AJ8" s="162" t="n"/>
      <c r="AK8" s="162" t="n"/>
      <c r="AL8" s="162" t="n"/>
      <c r="AM8" s="162" t="n"/>
      <c r="AN8" s="162" t="n"/>
      <c r="AO8" s="162" t="n"/>
      <c r="AP8" s="162" t="n"/>
      <c r="AQ8" s="162" t="n"/>
      <c r="AR8" s="162" t="n"/>
      <c r="AS8" s="162" t="n"/>
      <c r="AT8" s="162" t="n"/>
      <c r="AU8" s="162" t="n"/>
      <c r="AV8" s="162" t="n"/>
      <c r="AW8" s="162" t="n"/>
      <c r="AX8" s="162" t="n"/>
      <c r="AY8" s="162" t="n"/>
      <c r="AZ8" s="162" t="n"/>
      <c r="BA8" s="162" t="n"/>
      <c r="BB8" s="162" t="n"/>
      <c r="BC8" s="162" t="n"/>
      <c r="BD8" s="162" t="n"/>
      <c r="BE8" s="162" t="n"/>
      <c r="BF8" s="162" t="n"/>
      <c r="BG8" s="162" t="n"/>
      <c r="BH8" s="162" t="n"/>
      <c r="BI8" s="162" t="n"/>
      <c r="BJ8" s="162" t="n"/>
      <c r="BK8" s="162" t="n"/>
      <c r="BL8" s="162" t="n"/>
      <c r="BM8" s="162" t="n"/>
      <c r="BN8" s="162" t="n"/>
      <c r="BO8" s="162" t="n"/>
      <c r="BP8" s="162" t="n"/>
      <c r="BQ8" s="162" t="n"/>
      <c r="BR8" s="162" t="n"/>
      <c r="BS8" s="162" t="n"/>
      <c r="BT8" s="162" t="n"/>
      <c r="BU8" s="162" t="n"/>
      <c r="BV8" s="162" t="n"/>
      <c r="BW8" s="162" t="n"/>
      <c r="BX8" s="162" t="n"/>
      <c r="BY8" s="162" t="n"/>
      <c r="BZ8" s="162" t="n"/>
      <c r="CA8" s="162" t="n"/>
      <c r="CB8" s="162" t="n"/>
      <c r="CC8" s="162" t="n"/>
      <c r="CD8" s="162" t="n"/>
      <c r="CE8" s="162" t="n"/>
      <c r="CF8" s="162" t="n"/>
      <c r="CG8" s="162" t="n"/>
      <c r="CH8" s="162" t="n"/>
      <c r="CI8" s="162" t="n"/>
      <c r="CJ8" s="162" t="n"/>
      <c r="CK8" s="162" t="n"/>
      <c r="CL8" s="162" t="n"/>
      <c r="CM8" s="162" t="n"/>
      <c r="CN8" s="162" t="n"/>
      <c r="CO8" s="162" t="n"/>
      <c r="CP8" s="162" t="n"/>
      <c r="CQ8" s="162" t="n"/>
      <c r="CR8" s="162" t="n"/>
      <c r="CS8" s="162" t="n"/>
      <c r="CT8" s="162" t="n"/>
    </row>
    <row r="9" ht="18.75" customHeight="1">
      <c r="A9" s="175" t="n">
        <v>8</v>
      </c>
      <c r="B9" s="181" t="n">
        <v>8</v>
      </c>
      <c r="C9" s="182" t="n">
        <v>45749</v>
      </c>
      <c r="D9" s="183" t="inlineStr">
        <is>
          <t>200 G. GARCERAS</t>
        </is>
      </c>
      <c r="E9" s="183" t="n">
        <v>40312</v>
      </c>
      <c r="F9" s="183" t="inlineStr">
        <is>
          <t>ALBERTO LOPEZ</t>
        </is>
      </c>
      <c r="G9" s="184" t="n">
        <v>3071</v>
      </c>
      <c r="H9" s="184" t="n">
        <v>3071</v>
      </c>
      <c r="I9" s="184" t="n">
        <v>3067</v>
      </c>
      <c r="J9" s="184" t="n">
        <v>5</v>
      </c>
      <c r="K9" s="184" t="n">
        <v>4</v>
      </c>
      <c r="L9" s="185" t="n">
        <v>-5</v>
      </c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2" t="n"/>
      <c r="AF9" s="162" t="n"/>
      <c r="AG9" s="162" t="n"/>
      <c r="AH9" s="162" t="n"/>
      <c r="AI9" s="162" t="n"/>
      <c r="AJ9" s="162" t="n"/>
      <c r="AK9" s="162" t="n"/>
      <c r="AL9" s="162" t="n"/>
      <c r="AM9" s="162" t="n"/>
      <c r="AN9" s="162" t="n"/>
      <c r="AO9" s="162" t="n"/>
      <c r="AP9" s="162" t="n"/>
      <c r="AQ9" s="162" t="n"/>
      <c r="AR9" s="162" t="n"/>
      <c r="AS9" s="162" t="n"/>
      <c r="AT9" s="162" t="n"/>
      <c r="AU9" s="162" t="n"/>
      <c r="AV9" s="162" t="n"/>
      <c r="AW9" s="162" t="n"/>
      <c r="AX9" s="162" t="n"/>
      <c r="AY9" s="162" t="n"/>
      <c r="AZ9" s="162" t="n"/>
      <c r="BA9" s="162" t="n"/>
      <c r="BB9" s="162" t="n"/>
      <c r="BC9" s="162" t="n"/>
      <c r="BD9" s="162" t="n"/>
      <c r="BE9" s="162" t="n"/>
      <c r="BF9" s="162" t="n"/>
      <c r="BG9" s="162" t="n"/>
      <c r="BH9" s="162" t="n"/>
      <c r="BI9" s="162" t="n"/>
      <c r="BJ9" s="162" t="n"/>
      <c r="BK9" s="162" t="n"/>
      <c r="BL9" s="162" t="n"/>
      <c r="BM9" s="162" t="n"/>
      <c r="BN9" s="162" t="n"/>
      <c r="BO9" s="162" t="n"/>
      <c r="BP9" s="162" t="n"/>
      <c r="BQ9" s="162" t="n"/>
      <c r="BR9" s="162" t="n"/>
      <c r="BS9" s="162" t="n"/>
      <c r="BT9" s="162" t="n"/>
      <c r="BU9" s="162" t="n"/>
      <c r="BV9" s="162" t="n"/>
      <c r="BW9" s="162" t="n"/>
      <c r="BX9" s="162" t="n"/>
      <c r="BY9" s="162" t="n"/>
      <c r="BZ9" s="162" t="n"/>
      <c r="CA9" s="162" t="n"/>
      <c r="CB9" s="162" t="n"/>
      <c r="CC9" s="162" t="n"/>
      <c r="CD9" s="162" t="n"/>
      <c r="CE9" s="162" t="n"/>
      <c r="CF9" s="162" t="n"/>
      <c r="CG9" s="162" t="n"/>
      <c r="CH9" s="162" t="n"/>
      <c r="CI9" s="162" t="n"/>
      <c r="CJ9" s="162" t="n"/>
      <c r="CK9" s="162" t="n"/>
      <c r="CL9" s="162" t="n"/>
      <c r="CM9" s="162" t="n"/>
      <c r="CN9" s="162" t="n"/>
      <c r="CO9" s="162" t="n"/>
      <c r="CP9" s="162" t="n"/>
      <c r="CQ9" s="162" t="n"/>
      <c r="CR9" s="162" t="n"/>
      <c r="CS9" s="162" t="n"/>
      <c r="CT9" s="162" t="n"/>
    </row>
    <row r="10" ht="18.75" customHeight="1">
      <c r="A10" s="175" t="n">
        <v>9</v>
      </c>
      <c r="B10" s="181" t="n">
        <v>9</v>
      </c>
      <c r="C10" s="182" t="n">
        <v>45749</v>
      </c>
      <c r="D10" s="183" t="inlineStr">
        <is>
          <t>200 G. GARCERAS</t>
        </is>
      </c>
      <c r="E10" s="183" t="n">
        <v>40313</v>
      </c>
      <c r="F10" s="183" t="inlineStr">
        <is>
          <t>JHON AGUIRRE</t>
        </is>
      </c>
      <c r="G10" s="184" t="n">
        <v>3096</v>
      </c>
      <c r="H10" s="184" t="n">
        <v>3096</v>
      </c>
      <c r="I10" s="184" t="n">
        <v>3140</v>
      </c>
      <c r="J10" s="184" t="n">
        <v>4</v>
      </c>
      <c r="K10" s="184" t="n">
        <v>5</v>
      </c>
      <c r="L10" s="185" t="n">
        <v>-53</v>
      </c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  <c r="AA10" s="162" t="n"/>
      <c r="AB10" s="162" t="n"/>
      <c r="AC10" s="162" t="n"/>
      <c r="AD10" s="162" t="n"/>
      <c r="AE10" s="162" t="n"/>
      <c r="AF10" s="162" t="n"/>
      <c r="AG10" s="162" t="n"/>
      <c r="AH10" s="162" t="n"/>
      <c r="AI10" s="162" t="n"/>
      <c r="AJ10" s="162" t="n"/>
      <c r="AK10" s="162" t="n"/>
      <c r="AL10" s="162" t="n"/>
      <c r="AM10" s="162" t="n"/>
      <c r="AN10" s="162" t="n"/>
      <c r="AO10" s="162" t="n"/>
      <c r="AP10" s="162" t="n"/>
      <c r="AQ10" s="162" t="n"/>
      <c r="AR10" s="162" t="n"/>
      <c r="AS10" s="162" t="n"/>
      <c r="AT10" s="162" t="n"/>
      <c r="AU10" s="162" t="n"/>
      <c r="AV10" s="162" t="n"/>
      <c r="AW10" s="162" t="n"/>
      <c r="AX10" s="162" t="n"/>
      <c r="AY10" s="162" t="n"/>
      <c r="AZ10" s="162" t="n"/>
      <c r="BA10" s="162" t="n"/>
      <c r="BB10" s="162" t="n"/>
      <c r="BC10" s="162" t="n"/>
      <c r="BD10" s="162" t="n"/>
      <c r="BE10" s="162" t="n"/>
      <c r="BF10" s="162" t="n"/>
      <c r="BG10" s="162" t="n"/>
      <c r="BH10" s="162" t="n"/>
      <c r="BI10" s="162" t="n"/>
      <c r="BJ10" s="162" t="n"/>
      <c r="BK10" s="162" t="n"/>
      <c r="BL10" s="162" t="n"/>
      <c r="BM10" s="162" t="n"/>
      <c r="BN10" s="162" t="n"/>
      <c r="BO10" s="162" t="n"/>
      <c r="BP10" s="162" t="n"/>
      <c r="BQ10" s="162" t="n"/>
      <c r="BR10" s="162" t="n"/>
      <c r="BS10" s="162" t="n"/>
      <c r="BT10" s="162" t="n"/>
      <c r="BU10" s="162" t="n"/>
      <c r="BV10" s="162" t="n"/>
      <c r="BW10" s="162" t="n"/>
      <c r="BX10" s="162" t="n"/>
      <c r="BY10" s="162" t="n"/>
      <c r="BZ10" s="162" t="n"/>
      <c r="CA10" s="162" t="n"/>
      <c r="CB10" s="162" t="n"/>
      <c r="CC10" s="162" t="n"/>
      <c r="CD10" s="162" t="n"/>
      <c r="CE10" s="162" t="n"/>
      <c r="CF10" s="162" t="n"/>
      <c r="CG10" s="162" t="n"/>
      <c r="CH10" s="162" t="n"/>
      <c r="CI10" s="162" t="n"/>
      <c r="CJ10" s="162" t="n"/>
      <c r="CK10" s="162" t="n"/>
      <c r="CL10" s="162" t="n"/>
      <c r="CM10" s="162" t="n"/>
      <c r="CN10" s="162" t="n"/>
      <c r="CO10" s="162" t="n"/>
      <c r="CP10" s="162" t="n"/>
      <c r="CQ10" s="162" t="n"/>
      <c r="CR10" s="162" t="n"/>
      <c r="CS10" s="162" t="n"/>
      <c r="CT10" s="162" t="n"/>
    </row>
    <row r="11" ht="18.75" customHeight="1">
      <c r="A11" s="175" t="n">
        <v>10</v>
      </c>
      <c r="B11" s="181" t="n">
        <v>10</v>
      </c>
      <c r="C11" s="182" t="n">
        <v>45749</v>
      </c>
      <c r="D11" s="183" t="inlineStr">
        <is>
          <t>200 G. GARCERAS</t>
        </is>
      </c>
      <c r="E11" s="183" t="n">
        <v>40314</v>
      </c>
      <c r="F11" s="183" t="inlineStr">
        <is>
          <t>JAIRO CUBILLOS</t>
        </is>
      </c>
      <c r="G11" s="184" t="n">
        <v>3228</v>
      </c>
      <c r="H11" s="184" t="n">
        <v>3228</v>
      </c>
      <c r="I11" s="184" t="n">
        <v>3210</v>
      </c>
      <c r="J11" s="184" t="n">
        <v>9</v>
      </c>
      <c r="K11" s="184" t="n">
        <v>9</v>
      </c>
      <c r="L11" s="185" t="n">
        <v>0</v>
      </c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  <c r="AA11" s="162" t="n"/>
      <c r="AB11" s="162" t="n"/>
      <c r="AC11" s="162" t="n"/>
      <c r="AD11" s="162" t="n"/>
      <c r="AE11" s="162" t="n"/>
      <c r="AF11" s="162" t="n"/>
      <c r="AG11" s="162" t="n"/>
      <c r="AH11" s="162" t="n"/>
      <c r="AI11" s="162" t="n"/>
      <c r="AJ11" s="162" t="n"/>
      <c r="AK11" s="162" t="n"/>
      <c r="AL11" s="162" t="n"/>
      <c r="AM11" s="162" t="n"/>
      <c r="AN11" s="162" t="n"/>
      <c r="AO11" s="162" t="n"/>
      <c r="AP11" s="162" t="n"/>
      <c r="AQ11" s="162" t="n"/>
      <c r="AR11" s="162" t="n"/>
      <c r="AS11" s="162" t="n"/>
      <c r="AT11" s="162" t="n"/>
      <c r="AU11" s="162" t="n"/>
      <c r="AV11" s="162" t="n"/>
      <c r="AW11" s="162" t="n"/>
      <c r="AX11" s="162" t="n"/>
      <c r="AY11" s="162" t="n"/>
      <c r="AZ11" s="162" t="n"/>
      <c r="BA11" s="162" t="n"/>
      <c r="BB11" s="162" t="n"/>
      <c r="BC11" s="162" t="n"/>
      <c r="BD11" s="162" t="n"/>
      <c r="BE11" s="162" t="n"/>
      <c r="BF11" s="162" t="n"/>
      <c r="BG11" s="162" t="n"/>
      <c r="BH11" s="162" t="n"/>
      <c r="BI11" s="162" t="n"/>
      <c r="BJ11" s="162" t="n"/>
      <c r="BK11" s="162" t="n"/>
      <c r="BL11" s="162" t="n"/>
      <c r="BM11" s="162" t="n"/>
      <c r="BN11" s="162" t="n"/>
      <c r="BO11" s="162" t="n"/>
      <c r="BP11" s="162" t="n"/>
      <c r="BQ11" s="162" t="n"/>
      <c r="BR11" s="162" t="n"/>
      <c r="BS11" s="162" t="n"/>
      <c r="BT11" s="162" t="n"/>
      <c r="BU11" s="162" t="n"/>
      <c r="BV11" s="162" t="n"/>
      <c r="BW11" s="162" t="n"/>
      <c r="BX11" s="162" t="n"/>
      <c r="BY11" s="162" t="n"/>
      <c r="BZ11" s="162" t="n"/>
      <c r="CA11" s="162" t="n"/>
      <c r="CB11" s="162" t="n"/>
      <c r="CC11" s="162" t="n"/>
      <c r="CD11" s="162" t="n"/>
      <c r="CE11" s="162" t="n"/>
      <c r="CF11" s="162" t="n"/>
      <c r="CG11" s="162" t="n"/>
      <c r="CH11" s="162" t="n"/>
      <c r="CI11" s="162" t="n"/>
      <c r="CJ11" s="162" t="n"/>
      <c r="CK11" s="162" t="n"/>
      <c r="CL11" s="162" t="n"/>
      <c r="CM11" s="162" t="n"/>
      <c r="CN11" s="162" t="n"/>
      <c r="CO11" s="162" t="n"/>
      <c r="CP11" s="162" t="n"/>
      <c r="CQ11" s="162" t="n"/>
      <c r="CR11" s="162" t="n"/>
      <c r="CS11" s="162" t="n"/>
      <c r="CT11" s="162" t="n"/>
    </row>
    <row r="12" ht="15" customHeight="1">
      <c r="A12" s="175" t="n">
        <v>11</v>
      </c>
      <c r="B12" s="181" t="n">
        <v>11</v>
      </c>
      <c r="C12" s="182" t="n">
        <v>45749</v>
      </c>
      <c r="D12" s="187" t="inlineStr">
        <is>
          <t>200 G. GARCERAS</t>
        </is>
      </c>
      <c r="E12" s="187" t="n">
        <v>40315</v>
      </c>
      <c r="F12" s="187" t="inlineStr">
        <is>
          <t>JOSE SOLER</t>
        </is>
      </c>
      <c r="G12" s="188" t="n">
        <v>3228</v>
      </c>
      <c r="H12" s="188" t="n">
        <v>3228</v>
      </c>
      <c r="I12" s="188" t="n">
        <v>3219</v>
      </c>
      <c r="J12" s="188" t="n">
        <v>3</v>
      </c>
      <c r="K12" s="188" t="n">
        <v>6</v>
      </c>
      <c r="L12" s="189" t="n">
        <v>0</v>
      </c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  <c r="AA12" s="162" t="n"/>
      <c r="AB12" s="162" t="n"/>
      <c r="AC12" s="162" t="n"/>
      <c r="AD12" s="162" t="n"/>
      <c r="AE12" s="162" t="n"/>
      <c r="AF12" s="162" t="n"/>
      <c r="AG12" s="162" t="n"/>
      <c r="AH12" s="162" t="n"/>
      <c r="AI12" s="162" t="n"/>
      <c r="AJ12" s="162" t="n"/>
      <c r="AK12" s="162" t="n"/>
      <c r="AL12" s="162" t="n"/>
      <c r="AM12" s="162" t="n"/>
      <c r="AN12" s="162" t="n"/>
      <c r="AO12" s="162" t="n"/>
      <c r="AP12" s="162" t="n"/>
      <c r="AQ12" s="162" t="n"/>
      <c r="AR12" s="162" t="n"/>
      <c r="AS12" s="162" t="n"/>
      <c r="AT12" s="162" t="n"/>
      <c r="AU12" s="162" t="n"/>
      <c r="AV12" s="162" t="n"/>
      <c r="AW12" s="162" t="n"/>
      <c r="AX12" s="162" t="n"/>
      <c r="AY12" s="162" t="n"/>
      <c r="AZ12" s="162" t="n"/>
      <c r="BA12" s="162" t="n"/>
      <c r="BB12" s="162" t="n"/>
      <c r="BC12" s="162" t="n"/>
      <c r="BD12" s="162" t="n"/>
      <c r="BE12" s="162" t="n"/>
      <c r="BF12" s="162" t="n"/>
      <c r="BG12" s="162" t="n"/>
      <c r="BH12" s="162" t="n"/>
      <c r="BI12" s="162" t="n"/>
      <c r="BJ12" s="162" t="n"/>
      <c r="BK12" s="162" t="n"/>
      <c r="BL12" s="162" t="n"/>
      <c r="BM12" s="162" t="n"/>
      <c r="BN12" s="162" t="n"/>
      <c r="BO12" s="162" t="n"/>
      <c r="BP12" s="162" t="n"/>
      <c r="BQ12" s="162" t="n"/>
      <c r="BR12" s="162" t="n"/>
      <c r="BS12" s="162" t="n"/>
      <c r="BT12" s="162" t="n"/>
      <c r="BU12" s="162" t="n"/>
      <c r="BV12" s="162" t="n"/>
      <c r="BW12" s="162" t="n"/>
      <c r="BX12" s="162" t="n"/>
      <c r="BY12" s="162" t="n"/>
      <c r="BZ12" s="162" t="n"/>
      <c r="CA12" s="162" t="n"/>
      <c r="CB12" s="162" t="n"/>
      <c r="CC12" s="162" t="n"/>
      <c r="CD12" s="162" t="n"/>
      <c r="CE12" s="162" t="n"/>
      <c r="CF12" s="162" t="n"/>
      <c r="CG12" s="162" t="n"/>
      <c r="CH12" s="162" t="n"/>
      <c r="CI12" s="162" t="n"/>
      <c r="CJ12" s="162" t="n"/>
      <c r="CK12" s="162" t="n"/>
      <c r="CL12" s="162" t="n"/>
      <c r="CM12" s="162" t="n"/>
      <c r="CN12" s="162" t="n"/>
      <c r="CO12" s="162" t="n"/>
      <c r="CP12" s="162" t="n"/>
      <c r="CQ12" s="162" t="n"/>
      <c r="CR12" s="162" t="n"/>
      <c r="CS12" s="162" t="n"/>
      <c r="CT12" s="162" t="n"/>
    </row>
    <row r="13" ht="15" customHeight="1">
      <c r="A13" s="175" t="n">
        <v>12</v>
      </c>
      <c r="B13" s="181" t="n">
        <v>12</v>
      </c>
      <c r="C13" s="182" t="n">
        <v>45749</v>
      </c>
      <c r="D13" s="187" t="inlineStr">
        <is>
          <t>200 G. GARCERAS</t>
        </is>
      </c>
      <c r="E13" s="187" t="n">
        <v>40316</v>
      </c>
      <c r="F13" s="187" t="inlineStr">
        <is>
          <t>WILMER PIÑEROS</t>
        </is>
      </c>
      <c r="G13" s="188" t="n">
        <v>2907</v>
      </c>
      <c r="H13" s="188" t="n">
        <v>2907</v>
      </c>
      <c r="I13" s="188" t="n">
        <v>2904</v>
      </c>
      <c r="J13" s="188" t="n">
        <v>9</v>
      </c>
      <c r="K13" s="188" t="n">
        <v>3</v>
      </c>
      <c r="L13" s="189" t="n">
        <v>-9</v>
      </c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  <c r="AA13" s="162" t="n"/>
      <c r="AB13" s="162" t="n"/>
      <c r="AC13" s="162" t="n"/>
      <c r="AD13" s="162" t="n"/>
      <c r="AE13" s="162" t="n"/>
      <c r="AF13" s="162" t="n"/>
      <c r="AG13" s="162" t="n"/>
      <c r="AH13" s="162" t="n"/>
      <c r="AI13" s="162" t="n"/>
      <c r="AJ13" s="162" t="n"/>
      <c r="AK13" s="162" t="n"/>
      <c r="AL13" s="162" t="n"/>
      <c r="AM13" s="162" t="n"/>
      <c r="AN13" s="162" t="n"/>
      <c r="AO13" s="162" t="n"/>
      <c r="AP13" s="162" t="n"/>
      <c r="AQ13" s="162" t="n"/>
      <c r="AR13" s="162" t="n"/>
      <c r="AS13" s="162" t="n"/>
      <c r="AT13" s="162" t="n"/>
      <c r="AU13" s="162" t="n"/>
      <c r="AV13" s="162" t="n"/>
      <c r="AW13" s="162" t="n"/>
      <c r="AX13" s="162" t="n"/>
      <c r="AY13" s="162" t="n"/>
      <c r="AZ13" s="162" t="n"/>
      <c r="BA13" s="162" t="n"/>
      <c r="BB13" s="162" t="n"/>
      <c r="BC13" s="162" t="n"/>
      <c r="BD13" s="162" t="n"/>
      <c r="BE13" s="162" t="n"/>
      <c r="BF13" s="162" t="n"/>
      <c r="BG13" s="162" t="n"/>
      <c r="BH13" s="162" t="n"/>
      <c r="BI13" s="162" t="n"/>
      <c r="BJ13" s="162" t="n"/>
      <c r="BK13" s="162" t="n"/>
      <c r="BL13" s="162" t="n"/>
      <c r="BM13" s="162" t="n"/>
      <c r="BN13" s="162" t="n"/>
      <c r="BO13" s="162" t="n"/>
      <c r="BP13" s="162" t="n"/>
      <c r="BQ13" s="162" t="n"/>
      <c r="BR13" s="162" t="n"/>
      <c r="BS13" s="162" t="n"/>
      <c r="BT13" s="162" t="n"/>
      <c r="BU13" s="162" t="n"/>
      <c r="BV13" s="162" t="n"/>
      <c r="BW13" s="162" t="n"/>
      <c r="BX13" s="162" t="n"/>
      <c r="BY13" s="162" t="n"/>
      <c r="BZ13" s="162" t="n"/>
      <c r="CA13" s="162" t="n"/>
      <c r="CB13" s="162" t="n"/>
      <c r="CC13" s="162" t="n"/>
      <c r="CD13" s="162" t="n"/>
      <c r="CE13" s="162" t="n"/>
      <c r="CF13" s="162" t="n"/>
      <c r="CG13" s="162" t="n"/>
      <c r="CH13" s="162" t="n"/>
      <c r="CI13" s="162" t="n"/>
      <c r="CJ13" s="162" t="n"/>
      <c r="CK13" s="162" t="n"/>
      <c r="CL13" s="162" t="n"/>
      <c r="CM13" s="162" t="n"/>
      <c r="CN13" s="162" t="n"/>
      <c r="CO13" s="162" t="n"/>
      <c r="CP13" s="162" t="n"/>
      <c r="CQ13" s="162" t="n"/>
      <c r="CR13" s="162" t="n"/>
      <c r="CS13" s="162" t="n"/>
      <c r="CT13" s="162" t="n"/>
    </row>
    <row r="14" ht="15" customHeight="1">
      <c r="A14" s="175" t="n">
        <v>13</v>
      </c>
      <c r="B14" s="181" t="n">
        <v>13</v>
      </c>
      <c r="C14" s="182" t="n">
        <v>45749</v>
      </c>
      <c r="D14" s="187" t="inlineStr">
        <is>
          <t>200 G. GARCERAS</t>
        </is>
      </c>
      <c r="E14" s="187" t="n">
        <v>40317</v>
      </c>
      <c r="F14" s="187" t="inlineStr">
        <is>
          <t>YAIR PIÑEREOS</t>
        </is>
      </c>
      <c r="G14" s="188" t="n">
        <v>3016</v>
      </c>
      <c r="H14" s="188" t="n">
        <v>3016</v>
      </c>
      <c r="I14" s="188" t="n">
        <v>3052</v>
      </c>
      <c r="J14" s="188" t="n">
        <v>4</v>
      </c>
      <c r="K14" s="188" t="n">
        <v>6</v>
      </c>
      <c r="L14" s="189" t="n">
        <v>-46</v>
      </c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  <c r="AA14" s="162" t="n"/>
      <c r="AB14" s="162" t="n"/>
      <c r="AC14" s="162" t="n"/>
      <c r="AD14" s="162" t="n"/>
      <c r="AE14" s="162" t="n"/>
      <c r="AF14" s="162" t="n"/>
      <c r="AG14" s="162" t="n"/>
      <c r="AH14" s="162" t="n"/>
      <c r="AI14" s="162" t="n"/>
      <c r="AJ14" s="162" t="n"/>
      <c r="AK14" s="162" t="n"/>
      <c r="AL14" s="162" t="n"/>
      <c r="AM14" s="162" t="n"/>
      <c r="AN14" s="162" t="n"/>
      <c r="AO14" s="162" t="n"/>
      <c r="AP14" s="162" t="n"/>
      <c r="AQ14" s="162" t="n"/>
      <c r="AR14" s="162" t="n"/>
      <c r="AS14" s="162" t="n"/>
      <c r="AT14" s="162" t="n"/>
      <c r="AU14" s="162" t="n"/>
      <c r="AV14" s="162" t="n"/>
      <c r="AW14" s="162" t="n"/>
      <c r="AX14" s="162" t="n"/>
      <c r="AY14" s="162" t="n"/>
      <c r="AZ14" s="162" t="n"/>
      <c r="BA14" s="162" t="n"/>
      <c r="BB14" s="162" t="n"/>
      <c r="BC14" s="162" t="n"/>
      <c r="BD14" s="162" t="n"/>
      <c r="BE14" s="162" t="n"/>
      <c r="BF14" s="162" t="n"/>
      <c r="BG14" s="162" t="n"/>
      <c r="BH14" s="162" t="n"/>
      <c r="BI14" s="162" t="n"/>
      <c r="BJ14" s="162" t="n"/>
      <c r="BK14" s="162" t="n"/>
      <c r="BL14" s="162" t="n"/>
      <c r="BM14" s="162" t="n"/>
      <c r="BN14" s="162" t="n"/>
      <c r="BO14" s="162" t="n"/>
      <c r="BP14" s="162" t="n"/>
      <c r="BQ14" s="162" t="n"/>
      <c r="BR14" s="162" t="n"/>
      <c r="BS14" s="162" t="n"/>
      <c r="BT14" s="162" t="n"/>
      <c r="BU14" s="162" t="n"/>
      <c r="BV14" s="162" t="n"/>
      <c r="BW14" s="162" t="n"/>
      <c r="BX14" s="162" t="n"/>
      <c r="BY14" s="162" t="n"/>
      <c r="BZ14" s="162" t="n"/>
      <c r="CA14" s="162" t="n"/>
      <c r="CB14" s="162" t="n"/>
      <c r="CC14" s="162" t="n"/>
      <c r="CD14" s="162" t="n"/>
      <c r="CE14" s="162" t="n"/>
      <c r="CF14" s="162" t="n"/>
      <c r="CG14" s="162" t="n"/>
      <c r="CH14" s="162" t="n"/>
      <c r="CI14" s="162" t="n"/>
      <c r="CJ14" s="162" t="n"/>
      <c r="CK14" s="162" t="n"/>
      <c r="CL14" s="162" t="n"/>
      <c r="CM14" s="162" t="n"/>
      <c r="CN14" s="162" t="n"/>
      <c r="CO14" s="162" t="n"/>
      <c r="CP14" s="162" t="n"/>
      <c r="CQ14" s="162" t="n"/>
      <c r="CR14" s="162" t="n"/>
      <c r="CS14" s="162" t="n"/>
      <c r="CT14" s="162" t="n"/>
    </row>
    <row r="15" ht="15" customHeight="1">
      <c r="A15" s="175" t="n">
        <v>14</v>
      </c>
      <c r="B15" s="181" t="n">
        <v>14</v>
      </c>
      <c r="C15" s="182" t="n">
        <v>45749</v>
      </c>
      <c r="D15" s="187" t="inlineStr">
        <is>
          <t>200 G. GARCERAS</t>
        </is>
      </c>
      <c r="E15" s="187" t="n">
        <v>40318</v>
      </c>
      <c r="F15" s="187" t="inlineStr">
        <is>
          <t>DUMAR ANGARITA</t>
        </is>
      </c>
      <c r="G15" s="188" t="n">
        <v>3016</v>
      </c>
      <c r="H15" s="188" t="n">
        <v>3016</v>
      </c>
      <c r="I15" s="188" t="n">
        <v>3015</v>
      </c>
      <c r="J15" s="188" t="n">
        <v>1</v>
      </c>
      <c r="K15" s="188" t="n">
        <v>3</v>
      </c>
      <c r="L15" s="189" t="n">
        <v>-3</v>
      </c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  <c r="AA15" s="162" t="n"/>
      <c r="AB15" s="162" t="n"/>
      <c r="AC15" s="162" t="n"/>
      <c r="AD15" s="162" t="n"/>
      <c r="AE15" s="162" t="n"/>
      <c r="AF15" s="162" t="n"/>
      <c r="AG15" s="162" t="n"/>
      <c r="AH15" s="162" t="n"/>
      <c r="AI15" s="162" t="n"/>
      <c r="AJ15" s="162" t="n"/>
      <c r="AK15" s="162" t="n"/>
      <c r="AL15" s="162" t="n"/>
      <c r="AM15" s="162" t="n"/>
      <c r="AN15" s="162" t="n"/>
      <c r="AO15" s="162" t="n"/>
      <c r="AP15" s="162" t="n"/>
      <c r="AQ15" s="162" t="n"/>
      <c r="AR15" s="162" t="n"/>
      <c r="AS15" s="162" t="n"/>
      <c r="AT15" s="162" t="n"/>
      <c r="AU15" s="162" t="n"/>
      <c r="AV15" s="162" t="n"/>
      <c r="AW15" s="162" t="n"/>
      <c r="AX15" s="162" t="n"/>
      <c r="AY15" s="162" t="n"/>
      <c r="AZ15" s="162" t="n"/>
      <c r="BA15" s="162" t="n"/>
      <c r="BB15" s="162" t="n"/>
      <c r="BC15" s="162" t="n"/>
      <c r="BD15" s="162" t="n"/>
      <c r="BE15" s="162" t="n"/>
      <c r="BF15" s="162" t="n"/>
      <c r="BG15" s="162" t="n"/>
      <c r="BH15" s="162" t="n"/>
      <c r="BI15" s="162" t="n"/>
      <c r="BJ15" s="162" t="n"/>
      <c r="BK15" s="162" t="n"/>
      <c r="BL15" s="162" t="n"/>
      <c r="BM15" s="162" t="n"/>
      <c r="BN15" s="162" t="n"/>
      <c r="BO15" s="162" t="n"/>
      <c r="BP15" s="162" t="n"/>
      <c r="BQ15" s="162" t="n"/>
      <c r="BR15" s="162" t="n"/>
      <c r="BS15" s="162" t="n"/>
      <c r="BT15" s="162" t="n"/>
      <c r="BU15" s="162" t="n"/>
      <c r="BV15" s="162" t="n"/>
      <c r="BW15" s="162" t="n"/>
      <c r="BX15" s="162" t="n"/>
      <c r="BY15" s="162" t="n"/>
      <c r="BZ15" s="162" t="n"/>
      <c r="CA15" s="162" t="n"/>
      <c r="CB15" s="162" t="n"/>
      <c r="CC15" s="162" t="n"/>
      <c r="CD15" s="162" t="n"/>
      <c r="CE15" s="162" t="n"/>
      <c r="CF15" s="162" t="n"/>
      <c r="CG15" s="162" t="n"/>
      <c r="CH15" s="162" t="n"/>
      <c r="CI15" s="162" t="n"/>
      <c r="CJ15" s="162" t="n"/>
      <c r="CK15" s="162" t="n"/>
      <c r="CL15" s="162" t="n"/>
      <c r="CM15" s="162" t="n"/>
      <c r="CN15" s="162" t="n"/>
      <c r="CO15" s="162" t="n"/>
      <c r="CP15" s="162" t="n"/>
      <c r="CQ15" s="162" t="n"/>
      <c r="CR15" s="162" t="n"/>
      <c r="CS15" s="162" t="n"/>
      <c r="CT15" s="162" t="n"/>
    </row>
    <row r="16" ht="15" customHeight="1">
      <c r="A16" s="175" t="n">
        <v>15</v>
      </c>
      <c r="B16" s="181" t="n">
        <v>15</v>
      </c>
      <c r="C16" s="182" t="n">
        <v>45749</v>
      </c>
      <c r="D16" s="187" t="inlineStr">
        <is>
          <t>200 G. GARCERAS</t>
        </is>
      </c>
      <c r="E16" s="187" t="n">
        <v>40319</v>
      </c>
      <c r="F16" s="187" t="inlineStr">
        <is>
          <t>ALEX GOMEZ</t>
        </is>
      </c>
      <c r="G16" s="188" t="n">
        <v>3016</v>
      </c>
      <c r="H16" s="188" t="n">
        <v>3016</v>
      </c>
      <c r="I16" s="188" t="n">
        <v>3041</v>
      </c>
      <c r="J16" s="188" t="n">
        <v>2</v>
      </c>
      <c r="K16" s="188" t="n">
        <v>4</v>
      </c>
      <c r="L16" s="189" t="n">
        <v>-31</v>
      </c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  <c r="BH16" s="162" t="n"/>
      <c r="BI16" s="162" t="n"/>
      <c r="BJ16" s="162" t="n"/>
      <c r="BK16" s="162" t="n"/>
      <c r="BL16" s="162" t="n"/>
      <c r="BM16" s="162" t="n"/>
      <c r="BN16" s="162" t="n"/>
      <c r="BO16" s="162" t="n"/>
      <c r="BP16" s="162" t="n"/>
      <c r="BQ16" s="162" t="n"/>
      <c r="BR16" s="162" t="n"/>
      <c r="BS16" s="162" t="n"/>
      <c r="BT16" s="162" t="n"/>
      <c r="BU16" s="162" t="n"/>
      <c r="BV16" s="162" t="n"/>
      <c r="BW16" s="162" t="n"/>
      <c r="BX16" s="162" t="n"/>
      <c r="BY16" s="162" t="n"/>
      <c r="BZ16" s="162" t="n"/>
      <c r="CA16" s="162" t="n"/>
      <c r="CB16" s="162" t="n"/>
      <c r="CC16" s="162" t="n"/>
      <c r="CD16" s="162" t="n"/>
      <c r="CE16" s="162" t="n"/>
      <c r="CF16" s="162" t="n"/>
      <c r="CG16" s="162" t="n"/>
      <c r="CH16" s="162" t="n"/>
      <c r="CI16" s="162" t="n"/>
      <c r="CJ16" s="162" t="n"/>
      <c r="CK16" s="162" t="n"/>
      <c r="CL16" s="162" t="n"/>
      <c r="CM16" s="162" t="n"/>
      <c r="CN16" s="162" t="n"/>
      <c r="CO16" s="162" t="n"/>
      <c r="CP16" s="162" t="n"/>
      <c r="CQ16" s="162" t="n"/>
      <c r="CR16" s="162" t="n"/>
      <c r="CS16" s="162" t="n"/>
      <c r="CT16" s="162" t="n"/>
    </row>
    <row r="17" ht="15" customHeight="1">
      <c r="A17" s="175" t="n">
        <v>16</v>
      </c>
      <c r="B17" s="181" t="n">
        <v>16</v>
      </c>
      <c r="C17" s="182" t="n">
        <v>45749</v>
      </c>
      <c r="D17" s="187" t="inlineStr">
        <is>
          <t>200 G. GARCERAS</t>
        </is>
      </c>
      <c r="E17" s="187" t="n">
        <v>40320</v>
      </c>
      <c r="F17" s="187" t="inlineStr">
        <is>
          <t>HENRY ROMERO</t>
        </is>
      </c>
      <c r="G17" s="188" t="n">
        <v>3016</v>
      </c>
      <c r="H17" s="188" t="n">
        <v>3016</v>
      </c>
      <c r="I17" s="188" t="n">
        <v>3043</v>
      </c>
      <c r="J17" s="188" t="n">
        <v>8</v>
      </c>
      <c r="K17" s="188" t="n">
        <v>2</v>
      </c>
      <c r="L17" s="189" t="n">
        <v>-37</v>
      </c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  <c r="AA17" s="162" t="n"/>
      <c r="AB17" s="162" t="n"/>
      <c r="AC17" s="162" t="n"/>
      <c r="AD17" s="162" t="n"/>
      <c r="AE17" s="162" t="n"/>
      <c r="AF17" s="162" t="n"/>
      <c r="AG17" s="162" t="n"/>
      <c r="AH17" s="162" t="n"/>
      <c r="AI17" s="162" t="n"/>
      <c r="AJ17" s="162" t="n"/>
      <c r="AK17" s="162" t="n"/>
      <c r="AL17" s="162" t="n"/>
      <c r="AM17" s="162" t="n"/>
      <c r="AN17" s="162" t="n"/>
      <c r="AO17" s="162" t="n"/>
      <c r="AP17" s="162" t="n"/>
      <c r="AQ17" s="162" t="n"/>
      <c r="AR17" s="162" t="n"/>
      <c r="AS17" s="162" t="n"/>
      <c r="AT17" s="162" t="n"/>
      <c r="AU17" s="162" t="n"/>
      <c r="AV17" s="162" t="n"/>
      <c r="AW17" s="162" t="n"/>
      <c r="AX17" s="162" t="n"/>
      <c r="AY17" s="162" t="n"/>
      <c r="AZ17" s="162" t="n"/>
      <c r="BA17" s="162" t="n"/>
      <c r="BB17" s="162" t="n"/>
      <c r="BC17" s="162" t="n"/>
      <c r="BD17" s="162" t="n"/>
      <c r="BE17" s="162" t="n"/>
      <c r="BF17" s="162" t="n"/>
      <c r="BG17" s="162" t="n"/>
      <c r="BH17" s="162" t="n"/>
      <c r="BI17" s="162" t="n"/>
      <c r="BJ17" s="162" t="n"/>
      <c r="BK17" s="162" t="n"/>
      <c r="BL17" s="162" t="n"/>
      <c r="BM17" s="162" t="n"/>
      <c r="BN17" s="162" t="n"/>
      <c r="BO17" s="162" t="n"/>
      <c r="BP17" s="162" t="n"/>
      <c r="BQ17" s="162" t="n"/>
      <c r="BR17" s="162" t="n"/>
      <c r="BS17" s="162" t="n"/>
      <c r="BT17" s="162" t="n"/>
      <c r="BU17" s="162" t="n"/>
      <c r="BV17" s="162" t="n"/>
      <c r="BW17" s="162" t="n"/>
      <c r="BX17" s="162" t="n"/>
      <c r="BY17" s="162" t="n"/>
      <c r="BZ17" s="162" t="n"/>
      <c r="CA17" s="162" t="n"/>
      <c r="CB17" s="162" t="n"/>
      <c r="CC17" s="162" t="n"/>
      <c r="CD17" s="162" t="n"/>
      <c r="CE17" s="162" t="n"/>
      <c r="CF17" s="162" t="n"/>
      <c r="CG17" s="162" t="n"/>
      <c r="CH17" s="162" t="n"/>
      <c r="CI17" s="162" t="n"/>
      <c r="CJ17" s="162" t="n"/>
      <c r="CK17" s="162" t="n"/>
      <c r="CL17" s="162" t="n"/>
      <c r="CM17" s="162" t="n"/>
      <c r="CN17" s="162" t="n"/>
      <c r="CO17" s="162" t="n"/>
      <c r="CP17" s="162" t="n"/>
      <c r="CQ17" s="162" t="n"/>
      <c r="CR17" s="162" t="n"/>
      <c r="CS17" s="162" t="n"/>
      <c r="CT17" s="162" t="n"/>
    </row>
    <row r="18" ht="15" customHeight="1">
      <c r="A18" s="175" t="n">
        <v>17</v>
      </c>
      <c r="B18" s="181" t="n">
        <v>17</v>
      </c>
      <c r="C18" s="186" t="n">
        <v>45750</v>
      </c>
      <c r="D18" s="187" t="inlineStr">
        <is>
          <t>200 G. GARCERAS</t>
        </is>
      </c>
      <c r="E18" s="187" t="n">
        <v>40328</v>
      </c>
      <c r="F18" s="187" t="inlineStr">
        <is>
          <t>EDWIN ROJAS</t>
        </is>
      </c>
      <c r="G18" s="188" t="n">
        <v>3092</v>
      </c>
      <c r="H18" s="188" t="n">
        <v>3092</v>
      </c>
      <c r="I18" s="188" t="n">
        <v>3068</v>
      </c>
      <c r="J18" s="188" t="n">
        <v>2</v>
      </c>
      <c r="K18" s="188" t="n">
        <v>5</v>
      </c>
      <c r="L18" s="189" t="n">
        <v>17</v>
      </c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  <c r="AA18" s="162" t="n"/>
      <c r="AB18" s="162" t="n"/>
      <c r="AC18" s="162" t="n"/>
      <c r="AD18" s="162" t="n"/>
      <c r="AE18" s="162" t="n"/>
      <c r="AF18" s="162" t="n"/>
      <c r="AG18" s="162" t="n"/>
      <c r="AH18" s="162" t="n"/>
      <c r="AI18" s="162" t="n"/>
      <c r="AJ18" s="162" t="n"/>
      <c r="AK18" s="162" t="n"/>
      <c r="AL18" s="162" t="n"/>
      <c r="AM18" s="162" t="n"/>
      <c r="AN18" s="162" t="n"/>
      <c r="AO18" s="162" t="n"/>
      <c r="AP18" s="162" t="n"/>
      <c r="AQ18" s="162" t="n"/>
      <c r="AR18" s="162" t="n"/>
      <c r="AS18" s="162" t="n"/>
      <c r="AT18" s="162" t="n"/>
      <c r="AU18" s="162" t="n"/>
      <c r="AV18" s="162" t="n"/>
      <c r="AW18" s="162" t="n"/>
      <c r="AX18" s="162" t="n"/>
      <c r="AY18" s="162" t="n"/>
      <c r="AZ18" s="162" t="n"/>
      <c r="BA18" s="162" t="n"/>
      <c r="BB18" s="162" t="n"/>
      <c r="BC18" s="162" t="n"/>
      <c r="BD18" s="162" t="n"/>
      <c r="BE18" s="162" t="n"/>
      <c r="BF18" s="162" t="n"/>
      <c r="BG18" s="162" t="n"/>
      <c r="BH18" s="162" t="n"/>
      <c r="BI18" s="162" t="n"/>
      <c r="BJ18" s="162" t="n"/>
      <c r="BK18" s="162" t="n"/>
      <c r="BL18" s="162" t="n"/>
      <c r="BM18" s="162" t="n"/>
      <c r="BN18" s="162" t="n"/>
      <c r="BO18" s="162" t="n"/>
      <c r="BP18" s="162" t="n"/>
      <c r="BQ18" s="162" t="n"/>
      <c r="BR18" s="162" t="n"/>
      <c r="BS18" s="162" t="n"/>
      <c r="BT18" s="162" t="n"/>
      <c r="BU18" s="162" t="n"/>
      <c r="BV18" s="162" t="n"/>
      <c r="BW18" s="162" t="n"/>
      <c r="BX18" s="162" t="n"/>
      <c r="BY18" s="162" t="n"/>
      <c r="BZ18" s="162" t="n"/>
      <c r="CA18" s="162" t="n"/>
      <c r="CB18" s="162" t="n"/>
      <c r="CC18" s="162" t="n"/>
      <c r="CD18" s="162" t="n"/>
      <c r="CE18" s="162" t="n"/>
      <c r="CF18" s="162" t="n"/>
      <c r="CG18" s="162" t="n"/>
      <c r="CH18" s="162" t="n"/>
      <c r="CI18" s="162" t="n"/>
      <c r="CJ18" s="162" t="n"/>
      <c r="CK18" s="162" t="n"/>
      <c r="CL18" s="162" t="n"/>
      <c r="CM18" s="162" t="n"/>
      <c r="CN18" s="162" t="n"/>
      <c r="CO18" s="162" t="n"/>
      <c r="CP18" s="162" t="n"/>
      <c r="CQ18" s="162" t="n"/>
      <c r="CR18" s="162" t="n"/>
      <c r="CS18" s="162" t="n"/>
      <c r="CT18" s="162" t="n"/>
    </row>
    <row r="19" ht="15" customHeight="1">
      <c r="A19" s="175" t="n">
        <v>18</v>
      </c>
      <c r="B19" s="181" t="n">
        <v>18</v>
      </c>
      <c r="C19" s="182" t="n">
        <v>45750</v>
      </c>
      <c r="D19" s="187" t="inlineStr">
        <is>
          <t>200 G. GARCERAS</t>
        </is>
      </c>
      <c r="E19" s="187" t="n">
        <v>40329</v>
      </c>
      <c r="F19" s="187" t="inlineStr">
        <is>
          <t>FABIO ALDANA</t>
        </is>
      </c>
      <c r="G19" s="188" t="n">
        <v>3092</v>
      </c>
      <c r="H19" s="188" t="n">
        <v>3092</v>
      </c>
      <c r="I19" s="188" t="n">
        <v>3172</v>
      </c>
      <c r="J19" s="188" t="n">
        <v>2</v>
      </c>
      <c r="K19" s="188" t="n">
        <v>3</v>
      </c>
      <c r="L19" s="189" t="n">
        <v>-85</v>
      </c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  <c r="AA19" s="162" t="n"/>
      <c r="AB19" s="162" t="n"/>
      <c r="AC19" s="162" t="n"/>
      <c r="AD19" s="162" t="n"/>
      <c r="AE19" s="162" t="n"/>
      <c r="AF19" s="162" t="n"/>
      <c r="AG19" s="162" t="n"/>
      <c r="AH19" s="162" t="n"/>
      <c r="AI19" s="162" t="n"/>
      <c r="AJ19" s="162" t="n"/>
      <c r="AK19" s="162" t="n"/>
      <c r="AL19" s="162" t="n"/>
      <c r="AM19" s="162" t="n"/>
      <c r="AN19" s="162" t="n"/>
      <c r="AO19" s="162" t="n"/>
      <c r="AP19" s="162" t="n"/>
      <c r="AQ19" s="162" t="n"/>
      <c r="AR19" s="162" t="n"/>
      <c r="AS19" s="162" t="n"/>
      <c r="AT19" s="162" t="n"/>
      <c r="AU19" s="162" t="n"/>
      <c r="AV19" s="162" t="n"/>
      <c r="AW19" s="162" t="n"/>
      <c r="AX19" s="162" t="n"/>
      <c r="AY19" s="162" t="n"/>
      <c r="AZ19" s="162" t="n"/>
      <c r="BA19" s="162" t="n"/>
      <c r="BB19" s="162" t="n"/>
      <c r="BC19" s="162" t="n"/>
      <c r="BD19" s="162" t="n"/>
      <c r="BE19" s="162" t="n"/>
      <c r="BF19" s="162" t="n"/>
      <c r="BG19" s="162" t="n"/>
      <c r="BH19" s="162" t="n"/>
      <c r="BI19" s="162" t="n"/>
      <c r="BJ19" s="162" t="n"/>
      <c r="BK19" s="162" t="n"/>
      <c r="BL19" s="162" t="n"/>
      <c r="BM19" s="162" t="n"/>
      <c r="BN19" s="162" t="n"/>
      <c r="BO19" s="162" t="n"/>
      <c r="BP19" s="162" t="n"/>
      <c r="BQ19" s="162" t="n"/>
      <c r="BR19" s="162" t="n"/>
      <c r="BS19" s="162" t="n"/>
      <c r="BT19" s="162" t="n"/>
      <c r="BU19" s="162" t="n"/>
      <c r="BV19" s="162" t="n"/>
      <c r="BW19" s="162" t="n"/>
      <c r="BX19" s="162" t="n"/>
      <c r="BY19" s="162" t="n"/>
      <c r="BZ19" s="162" t="n"/>
      <c r="CA19" s="162" t="n"/>
      <c r="CB19" s="162" t="n"/>
      <c r="CC19" s="162" t="n"/>
      <c r="CD19" s="162" t="n"/>
      <c r="CE19" s="162" t="n"/>
      <c r="CF19" s="162" t="n"/>
      <c r="CG19" s="162" t="n"/>
      <c r="CH19" s="162" t="n"/>
      <c r="CI19" s="162" t="n"/>
      <c r="CJ19" s="162" t="n"/>
      <c r="CK19" s="162" t="n"/>
      <c r="CL19" s="162" t="n"/>
      <c r="CM19" s="162" t="n"/>
      <c r="CN19" s="162" t="n"/>
      <c r="CO19" s="162" t="n"/>
      <c r="CP19" s="162" t="n"/>
      <c r="CQ19" s="162" t="n"/>
      <c r="CR19" s="162" t="n"/>
      <c r="CS19" s="162" t="n"/>
      <c r="CT19" s="162" t="n"/>
    </row>
    <row r="20" ht="15" customHeight="1">
      <c r="A20" s="175" t="n">
        <v>19</v>
      </c>
      <c r="B20" s="181" t="n">
        <v>19</v>
      </c>
      <c r="C20" s="182" t="n">
        <v>45750</v>
      </c>
      <c r="D20" s="187" t="inlineStr">
        <is>
          <t>200 G. GARCERAS</t>
        </is>
      </c>
      <c r="E20" s="187" t="n">
        <v>40330</v>
      </c>
      <c r="F20" s="187" t="inlineStr">
        <is>
          <t>JAIRO CUBILLOS</t>
        </is>
      </c>
      <c r="G20" s="188" t="n">
        <v>3092</v>
      </c>
      <c r="H20" s="188" t="n">
        <v>3092</v>
      </c>
      <c r="I20" s="188" t="n">
        <v>3084</v>
      </c>
      <c r="J20" s="188" t="n">
        <v>2</v>
      </c>
      <c r="K20" s="188" t="n">
        <v>8</v>
      </c>
      <c r="L20" s="189" t="n">
        <v>-2</v>
      </c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  <c r="AA20" s="162" t="n"/>
      <c r="AB20" s="162" t="n"/>
      <c r="AC20" s="162" t="n"/>
      <c r="AD20" s="162" t="n"/>
      <c r="AE20" s="162" t="n"/>
      <c r="AF20" s="162" t="n"/>
      <c r="AG20" s="162" t="n"/>
      <c r="AH20" s="162" t="n"/>
      <c r="AI20" s="162" t="n"/>
      <c r="AJ20" s="162" t="n"/>
      <c r="AK20" s="162" t="n"/>
      <c r="AL20" s="162" t="n"/>
      <c r="AM20" s="162" t="n"/>
      <c r="AN20" s="162" t="n"/>
      <c r="AO20" s="162" t="n"/>
      <c r="AP20" s="162" t="n"/>
      <c r="AQ20" s="162" t="n"/>
      <c r="AR20" s="162" t="n"/>
      <c r="AS20" s="162" t="n"/>
      <c r="AT20" s="162" t="n"/>
      <c r="AU20" s="162" t="n"/>
      <c r="AV20" s="162" t="n"/>
      <c r="AW20" s="162" t="n"/>
      <c r="AX20" s="162" t="n"/>
      <c r="AY20" s="162" t="n"/>
      <c r="AZ20" s="162" t="n"/>
      <c r="BA20" s="162" t="n"/>
      <c r="BB20" s="162" t="n"/>
      <c r="BC20" s="162" t="n"/>
      <c r="BD20" s="162" t="n"/>
      <c r="BE20" s="162" t="n"/>
      <c r="BF20" s="162" t="n"/>
      <c r="BG20" s="162" t="n"/>
      <c r="BH20" s="162" t="n"/>
      <c r="BI20" s="162" t="n"/>
      <c r="BJ20" s="162" t="n"/>
      <c r="BK20" s="162" t="n"/>
      <c r="BL20" s="162" t="n"/>
      <c r="BM20" s="162" t="n"/>
      <c r="BN20" s="162" t="n"/>
      <c r="BO20" s="162" t="n"/>
      <c r="BP20" s="162" t="n"/>
      <c r="BQ20" s="162" t="n"/>
      <c r="BR20" s="162" t="n"/>
      <c r="BS20" s="162" t="n"/>
      <c r="BT20" s="162" t="n"/>
      <c r="BU20" s="162" t="n"/>
      <c r="BV20" s="162" t="n"/>
      <c r="BW20" s="162" t="n"/>
      <c r="BX20" s="162" t="n"/>
      <c r="BY20" s="162" t="n"/>
      <c r="BZ20" s="162" t="n"/>
      <c r="CA20" s="162" t="n"/>
      <c r="CB20" s="162" t="n"/>
      <c r="CC20" s="162" t="n"/>
      <c r="CD20" s="162" t="n"/>
      <c r="CE20" s="162" t="n"/>
      <c r="CF20" s="162" t="n"/>
      <c r="CG20" s="162" t="n"/>
      <c r="CH20" s="162" t="n"/>
      <c r="CI20" s="162" t="n"/>
      <c r="CJ20" s="162" t="n"/>
      <c r="CK20" s="162" t="n"/>
      <c r="CL20" s="162" t="n"/>
      <c r="CM20" s="162" t="n"/>
      <c r="CN20" s="162" t="n"/>
      <c r="CO20" s="162" t="n"/>
      <c r="CP20" s="162" t="n"/>
      <c r="CQ20" s="162" t="n"/>
      <c r="CR20" s="162" t="n"/>
      <c r="CS20" s="162" t="n"/>
      <c r="CT20" s="162" t="n"/>
    </row>
    <row r="21" ht="15" customHeight="1">
      <c r="A21" s="175" t="n">
        <v>20</v>
      </c>
      <c r="B21" s="181" t="n">
        <v>20</v>
      </c>
      <c r="C21" s="182" t="n">
        <v>45750</v>
      </c>
      <c r="D21" s="187" t="inlineStr">
        <is>
          <t>200 G. GARCERAS</t>
        </is>
      </c>
      <c r="E21" s="187" t="n">
        <v>40331</v>
      </c>
      <c r="F21" s="187" t="inlineStr">
        <is>
          <t>YAIR RIVEROS</t>
        </is>
      </c>
      <c r="G21" s="188" t="n">
        <v>3092</v>
      </c>
      <c r="H21" s="188" t="n">
        <v>3092</v>
      </c>
      <c r="I21" s="188" t="n">
        <v>3082</v>
      </c>
      <c r="J21" s="188" t="n">
        <v>2</v>
      </c>
      <c r="K21" s="188" t="n">
        <v>8</v>
      </c>
      <c r="L21" s="189" t="n">
        <v>0</v>
      </c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  <c r="AA21" s="162" t="n"/>
      <c r="AB21" s="162" t="n"/>
      <c r="AC21" s="162" t="n"/>
      <c r="AD21" s="162" t="n"/>
      <c r="AE21" s="162" t="n"/>
      <c r="AF21" s="162" t="n"/>
      <c r="AG21" s="162" t="n"/>
      <c r="AH21" s="162" t="n"/>
      <c r="AI21" s="162" t="n"/>
      <c r="AJ21" s="162" t="n"/>
      <c r="AK21" s="162" t="n"/>
      <c r="AL21" s="162" t="n"/>
      <c r="AM21" s="162" t="n"/>
      <c r="AN21" s="162" t="n"/>
      <c r="AO21" s="162" t="n"/>
      <c r="AP21" s="162" t="n"/>
      <c r="AQ21" s="162" t="n"/>
      <c r="AR21" s="162" t="n"/>
      <c r="AS21" s="162" t="n"/>
      <c r="AT21" s="162" t="n"/>
      <c r="AU21" s="162" t="n"/>
      <c r="AV21" s="162" t="n"/>
      <c r="AW21" s="162" t="n"/>
      <c r="AX21" s="162" t="n"/>
      <c r="AY21" s="162" t="n"/>
      <c r="AZ21" s="162" t="n"/>
      <c r="BA21" s="162" t="n"/>
      <c r="BB21" s="162" t="n"/>
      <c r="BC21" s="162" t="n"/>
      <c r="BD21" s="162" t="n"/>
      <c r="BE21" s="162" t="n"/>
      <c r="BF21" s="162" t="n"/>
      <c r="BG21" s="162" t="n"/>
      <c r="BH21" s="162" t="n"/>
      <c r="BI21" s="162" t="n"/>
      <c r="BJ21" s="162" t="n"/>
      <c r="BK21" s="162" t="n"/>
      <c r="BL21" s="162" t="n"/>
      <c r="BM21" s="162" t="n"/>
      <c r="BN21" s="162" t="n"/>
      <c r="BO21" s="162" t="n"/>
      <c r="BP21" s="162" t="n"/>
      <c r="BQ21" s="162" t="n"/>
      <c r="BR21" s="162" t="n"/>
      <c r="BS21" s="162" t="n"/>
      <c r="BT21" s="162" t="n"/>
      <c r="BU21" s="162" t="n"/>
      <c r="BV21" s="162" t="n"/>
      <c r="BW21" s="162" t="n"/>
      <c r="BX21" s="162" t="n"/>
      <c r="BY21" s="162" t="n"/>
      <c r="BZ21" s="162" t="n"/>
      <c r="CA21" s="162" t="n"/>
      <c r="CB21" s="162" t="n"/>
      <c r="CC21" s="162" t="n"/>
      <c r="CD21" s="162" t="n"/>
      <c r="CE21" s="162" t="n"/>
      <c r="CF21" s="162" t="n"/>
      <c r="CG21" s="162" t="n"/>
      <c r="CH21" s="162" t="n"/>
      <c r="CI21" s="162" t="n"/>
      <c r="CJ21" s="162" t="n"/>
      <c r="CK21" s="162" t="n"/>
      <c r="CL21" s="162" t="n"/>
      <c r="CM21" s="162" t="n"/>
      <c r="CN21" s="162" t="n"/>
      <c r="CO21" s="162" t="n"/>
      <c r="CP21" s="162" t="n"/>
      <c r="CQ21" s="162" t="n"/>
      <c r="CR21" s="162" t="n"/>
      <c r="CS21" s="162" t="n"/>
      <c r="CT21" s="162" t="n"/>
    </row>
    <row r="22" ht="15" customHeight="1">
      <c r="A22" s="175" t="n">
        <v>21</v>
      </c>
      <c r="B22" s="181" t="n">
        <v>21</v>
      </c>
      <c r="C22" s="182" t="n">
        <v>45750</v>
      </c>
      <c r="D22" s="187" t="inlineStr">
        <is>
          <t>200 G. GARCERAS</t>
        </is>
      </c>
      <c r="E22" s="187" t="n">
        <v>40332</v>
      </c>
      <c r="F22" s="187" t="inlineStr">
        <is>
          <t>EDUAN CAVIEDES</t>
        </is>
      </c>
      <c r="G22" s="188" t="n">
        <v>3345</v>
      </c>
      <c r="H22" s="188" t="n">
        <v>3345</v>
      </c>
      <c r="I22" s="188" t="n">
        <v>3332</v>
      </c>
      <c r="J22" s="188" t="n">
        <v>4</v>
      </c>
      <c r="K22" s="188" t="n">
        <v>10</v>
      </c>
      <c r="L22" s="189" t="n">
        <v>-1</v>
      </c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  <c r="AA22" s="162" t="n"/>
      <c r="AB22" s="162" t="n"/>
      <c r="AC22" s="162" t="n"/>
      <c r="AD22" s="162" t="n"/>
      <c r="AE22" s="162" t="n"/>
      <c r="AF22" s="162" t="n"/>
      <c r="AG22" s="162" t="n"/>
      <c r="AH22" s="162" t="n"/>
      <c r="AI22" s="162" t="n"/>
      <c r="AJ22" s="162" t="n"/>
      <c r="AK22" s="162" t="n"/>
      <c r="AL22" s="162" t="n"/>
      <c r="AM22" s="162" t="n"/>
      <c r="AN22" s="162" t="n"/>
      <c r="AO22" s="162" t="n"/>
      <c r="AP22" s="162" t="n"/>
      <c r="AQ22" s="162" t="n"/>
      <c r="AR22" s="162" t="n"/>
      <c r="AS22" s="162" t="n"/>
      <c r="AT22" s="162" t="n"/>
      <c r="AU22" s="162" t="n"/>
      <c r="AV22" s="162" t="n"/>
      <c r="AW22" s="162" t="n"/>
      <c r="AX22" s="162" t="n"/>
      <c r="AY22" s="162" t="n"/>
      <c r="AZ22" s="162" t="n"/>
      <c r="BA22" s="162" t="n"/>
      <c r="BB22" s="162" t="n"/>
      <c r="BC22" s="162" t="n"/>
      <c r="BD22" s="162" t="n"/>
      <c r="BE22" s="162" t="n"/>
      <c r="BF22" s="162" t="n"/>
      <c r="BG22" s="162" t="n"/>
      <c r="BH22" s="162" t="n"/>
      <c r="BI22" s="162" t="n"/>
      <c r="BJ22" s="162" t="n"/>
      <c r="BK22" s="162" t="n"/>
      <c r="BL22" s="162" t="n"/>
      <c r="BM22" s="162" t="n"/>
      <c r="BN22" s="162" t="n"/>
      <c r="BO22" s="162" t="n"/>
      <c r="BP22" s="162" t="n"/>
      <c r="BQ22" s="162" t="n"/>
      <c r="BR22" s="162" t="n"/>
      <c r="BS22" s="162" t="n"/>
      <c r="BT22" s="162" t="n"/>
      <c r="BU22" s="162" t="n"/>
      <c r="BV22" s="162" t="n"/>
      <c r="BW22" s="162" t="n"/>
      <c r="BX22" s="162" t="n"/>
      <c r="BY22" s="162" t="n"/>
      <c r="BZ22" s="162" t="n"/>
      <c r="CA22" s="162" t="n"/>
      <c r="CB22" s="162" t="n"/>
      <c r="CC22" s="162" t="n"/>
      <c r="CD22" s="162" t="n"/>
      <c r="CE22" s="162" t="n"/>
      <c r="CF22" s="162" t="n"/>
      <c r="CG22" s="162" t="n"/>
      <c r="CH22" s="162" t="n"/>
      <c r="CI22" s="162" t="n"/>
      <c r="CJ22" s="162" t="n"/>
      <c r="CK22" s="162" t="n"/>
      <c r="CL22" s="162" t="n"/>
      <c r="CM22" s="162" t="n"/>
      <c r="CN22" s="162" t="n"/>
      <c r="CO22" s="162" t="n"/>
      <c r="CP22" s="162" t="n"/>
      <c r="CQ22" s="162" t="n"/>
      <c r="CR22" s="162" t="n"/>
      <c r="CS22" s="162" t="n"/>
      <c r="CT22" s="162" t="n"/>
    </row>
    <row r="23" ht="15" customHeight="1">
      <c r="A23" s="175" t="n">
        <v>22</v>
      </c>
      <c r="B23" s="181" t="n">
        <v>22</v>
      </c>
      <c r="C23" s="182" t="n">
        <v>45750</v>
      </c>
      <c r="D23" s="187" t="inlineStr">
        <is>
          <t>200 G. GARCERAS</t>
        </is>
      </c>
      <c r="E23" s="187" t="n">
        <v>40333</v>
      </c>
      <c r="F23" s="187" t="inlineStr">
        <is>
          <t>ALBERTO LOPEZ</t>
        </is>
      </c>
      <c r="G23" s="188" t="n">
        <v>3345</v>
      </c>
      <c r="H23" s="188" t="n">
        <v>3345</v>
      </c>
      <c r="I23" s="188" t="n">
        <v>3337</v>
      </c>
      <c r="J23" s="188" t="n">
        <v>3</v>
      </c>
      <c r="K23" s="188" t="n">
        <v>6</v>
      </c>
      <c r="L23" s="189" t="n">
        <v>-1</v>
      </c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  <c r="AA23" s="162" t="n"/>
      <c r="AB23" s="162" t="n"/>
      <c r="AC23" s="162" t="n"/>
      <c r="AD23" s="162" t="n"/>
      <c r="AE23" s="162" t="n"/>
      <c r="AF23" s="162" t="n"/>
      <c r="AG23" s="162" t="n"/>
      <c r="AH23" s="162" t="n"/>
      <c r="AI23" s="162" t="n"/>
      <c r="AJ23" s="162" t="n"/>
      <c r="AK23" s="162" t="n"/>
      <c r="AL23" s="162" t="n"/>
      <c r="AM23" s="162" t="n"/>
      <c r="AN23" s="162" t="n"/>
      <c r="AO23" s="162" t="n"/>
      <c r="AP23" s="162" t="n"/>
      <c r="AQ23" s="162" t="n"/>
      <c r="AR23" s="162" t="n"/>
      <c r="AS23" s="162" t="n"/>
      <c r="AT23" s="162" t="n"/>
      <c r="AU23" s="162" t="n"/>
      <c r="AV23" s="162" t="n"/>
      <c r="AW23" s="162" t="n"/>
      <c r="AX23" s="162" t="n"/>
      <c r="AY23" s="162" t="n"/>
      <c r="AZ23" s="162" t="n"/>
      <c r="BA23" s="162" t="n"/>
      <c r="BB23" s="162" t="n"/>
      <c r="BC23" s="162" t="n"/>
      <c r="BD23" s="162" t="n"/>
      <c r="BE23" s="162" t="n"/>
      <c r="BF23" s="162" t="n"/>
      <c r="BG23" s="162" t="n"/>
      <c r="BH23" s="162" t="n"/>
      <c r="BI23" s="162" t="n"/>
      <c r="BJ23" s="162" t="n"/>
      <c r="BK23" s="162" t="n"/>
      <c r="BL23" s="162" t="n"/>
      <c r="BM23" s="162" t="n"/>
      <c r="BN23" s="162" t="n"/>
      <c r="BO23" s="162" t="n"/>
      <c r="BP23" s="162" t="n"/>
      <c r="BQ23" s="162" t="n"/>
      <c r="BR23" s="162" t="n"/>
      <c r="BS23" s="162" t="n"/>
      <c r="BT23" s="162" t="n"/>
      <c r="BU23" s="162" t="n"/>
      <c r="BV23" s="162" t="n"/>
      <c r="BW23" s="162" t="n"/>
      <c r="BX23" s="162" t="n"/>
      <c r="BY23" s="162" t="n"/>
      <c r="BZ23" s="162" t="n"/>
      <c r="CA23" s="162" t="n"/>
      <c r="CB23" s="162" t="n"/>
      <c r="CC23" s="162" t="n"/>
      <c r="CD23" s="162" t="n"/>
      <c r="CE23" s="162" t="n"/>
      <c r="CF23" s="162" t="n"/>
      <c r="CG23" s="162" t="n"/>
      <c r="CH23" s="162" t="n"/>
      <c r="CI23" s="162" t="n"/>
      <c r="CJ23" s="162" t="n"/>
      <c r="CK23" s="162" t="n"/>
      <c r="CL23" s="162" t="n"/>
      <c r="CM23" s="162" t="n"/>
      <c r="CN23" s="162" t="n"/>
      <c r="CO23" s="162" t="n"/>
      <c r="CP23" s="162" t="n"/>
      <c r="CQ23" s="162" t="n"/>
      <c r="CR23" s="162" t="n"/>
      <c r="CS23" s="162" t="n"/>
      <c r="CT23" s="162" t="n"/>
    </row>
    <row r="24" ht="15" customHeight="1">
      <c r="A24" s="175" t="n">
        <v>23</v>
      </c>
      <c r="B24" s="181" t="n">
        <v>23</v>
      </c>
      <c r="C24" s="182" t="n">
        <v>45750</v>
      </c>
      <c r="D24" s="187" t="inlineStr">
        <is>
          <t>200 G. GARCERAS</t>
        </is>
      </c>
      <c r="E24" s="187" t="n">
        <v>40334</v>
      </c>
      <c r="F24" s="187" t="inlineStr">
        <is>
          <t>DIEGO NIÑO</t>
        </is>
      </c>
      <c r="G24" s="188" t="n">
        <v>3100</v>
      </c>
      <c r="H24" s="188" t="n">
        <v>3100</v>
      </c>
      <c r="I24" s="188" t="n">
        <v>3071</v>
      </c>
      <c r="J24" s="188" t="n">
        <v>5</v>
      </c>
      <c r="K24" s="188" t="n">
        <v>19</v>
      </c>
      <c r="L24" s="189" t="n">
        <v>5</v>
      </c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  <c r="AA24" s="162" t="n"/>
      <c r="AB24" s="162" t="n"/>
      <c r="AC24" s="162" t="n"/>
      <c r="AD24" s="162" t="n"/>
      <c r="AE24" s="162" t="n"/>
      <c r="AF24" s="162" t="n"/>
      <c r="AG24" s="162" t="n"/>
      <c r="AH24" s="162" t="n"/>
      <c r="AI24" s="162" t="n"/>
      <c r="AJ24" s="162" t="n"/>
      <c r="AK24" s="162" t="n"/>
      <c r="AL24" s="162" t="n"/>
      <c r="AM24" s="162" t="n"/>
      <c r="AN24" s="162" t="n"/>
      <c r="AO24" s="162" t="n"/>
      <c r="AP24" s="162" t="n"/>
      <c r="AQ24" s="162" t="n"/>
      <c r="AR24" s="162" t="n"/>
      <c r="AS24" s="162" t="n"/>
      <c r="AT24" s="162" t="n"/>
      <c r="AU24" s="162" t="n"/>
      <c r="AV24" s="162" t="n"/>
      <c r="AW24" s="162" t="n"/>
      <c r="AX24" s="162" t="n"/>
      <c r="AY24" s="162" t="n"/>
      <c r="AZ24" s="162" t="n"/>
      <c r="BA24" s="162" t="n"/>
      <c r="BB24" s="162" t="n"/>
      <c r="BC24" s="162" t="n"/>
      <c r="BD24" s="162" t="n"/>
      <c r="BE24" s="162" t="n"/>
      <c r="BF24" s="162" t="n"/>
      <c r="BG24" s="162" t="n"/>
      <c r="BH24" s="162" t="n"/>
      <c r="BI24" s="162" t="n"/>
      <c r="BJ24" s="162" t="n"/>
      <c r="BK24" s="162" t="n"/>
      <c r="BL24" s="162" t="n"/>
      <c r="BM24" s="162" t="n"/>
      <c r="BN24" s="162" t="n"/>
      <c r="BO24" s="162" t="n"/>
      <c r="BP24" s="162" t="n"/>
      <c r="BQ24" s="162" t="n"/>
      <c r="BR24" s="162" t="n"/>
      <c r="BS24" s="162" t="n"/>
      <c r="BT24" s="162" t="n"/>
      <c r="BU24" s="162" t="n"/>
      <c r="BV24" s="162" t="n"/>
      <c r="BW24" s="162" t="n"/>
      <c r="BX24" s="162" t="n"/>
      <c r="BY24" s="162" t="n"/>
      <c r="BZ24" s="162" t="n"/>
      <c r="CA24" s="162" t="n"/>
      <c r="CB24" s="162" t="n"/>
      <c r="CC24" s="162" t="n"/>
      <c r="CD24" s="162" t="n"/>
      <c r="CE24" s="162" t="n"/>
      <c r="CF24" s="162" t="n"/>
      <c r="CG24" s="162" t="n"/>
      <c r="CH24" s="162" t="n"/>
      <c r="CI24" s="162" t="n"/>
      <c r="CJ24" s="162" t="n"/>
      <c r="CK24" s="162" t="n"/>
      <c r="CL24" s="162" t="n"/>
      <c r="CM24" s="162" t="n"/>
      <c r="CN24" s="162" t="n"/>
      <c r="CO24" s="162" t="n"/>
      <c r="CP24" s="162" t="n"/>
      <c r="CQ24" s="162" t="n"/>
      <c r="CR24" s="162" t="n"/>
      <c r="CS24" s="162" t="n"/>
      <c r="CT24" s="162" t="n"/>
    </row>
    <row r="25" ht="15" customHeight="1">
      <c r="A25" s="175" t="n">
        <v>24</v>
      </c>
      <c r="B25" s="181" t="n">
        <v>24</v>
      </c>
      <c r="C25" s="182" t="n">
        <v>45750</v>
      </c>
      <c r="D25" s="187" t="inlineStr">
        <is>
          <t>200 G. GARCERAS</t>
        </is>
      </c>
      <c r="E25" s="187" t="n">
        <v>40342</v>
      </c>
      <c r="F25" s="187" t="inlineStr">
        <is>
          <t>JHON ROJAS</t>
        </is>
      </c>
      <c r="G25" s="188" t="n">
        <v>3100</v>
      </c>
      <c r="H25" s="188" t="n">
        <v>3100</v>
      </c>
      <c r="I25" s="188" t="n">
        <v>3106</v>
      </c>
      <c r="J25" s="188" t="n">
        <v>4</v>
      </c>
      <c r="K25" s="188" t="n">
        <v>2</v>
      </c>
      <c r="L25" s="189" t="n">
        <v>-12</v>
      </c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  <c r="AA25" s="162" t="n"/>
      <c r="AB25" s="162" t="n"/>
      <c r="AC25" s="162" t="n"/>
      <c r="AD25" s="162" t="n"/>
      <c r="AE25" s="162" t="n"/>
      <c r="AF25" s="162" t="n"/>
      <c r="AG25" s="162" t="n"/>
      <c r="AH25" s="162" t="n"/>
      <c r="AI25" s="162" t="n"/>
      <c r="AJ25" s="162" t="n"/>
      <c r="AK25" s="162" t="n"/>
      <c r="AL25" s="162" t="n"/>
      <c r="AM25" s="162" t="n"/>
      <c r="AN25" s="162" t="n"/>
      <c r="AO25" s="162" t="n"/>
      <c r="AP25" s="162" t="n"/>
      <c r="AQ25" s="162" t="n"/>
      <c r="AR25" s="162" t="n"/>
      <c r="AS25" s="162" t="n"/>
      <c r="AT25" s="162" t="n"/>
      <c r="AU25" s="162" t="n"/>
      <c r="AV25" s="162" t="n"/>
      <c r="AW25" s="162" t="n"/>
      <c r="AX25" s="162" t="n"/>
      <c r="AY25" s="162" t="n"/>
      <c r="AZ25" s="162" t="n"/>
      <c r="BA25" s="162" t="n"/>
      <c r="BB25" s="162" t="n"/>
      <c r="BC25" s="162" t="n"/>
      <c r="BD25" s="162" t="n"/>
      <c r="BE25" s="162" t="n"/>
      <c r="BF25" s="162" t="n"/>
      <c r="BG25" s="162" t="n"/>
      <c r="BH25" s="162" t="n"/>
      <c r="BI25" s="162" t="n"/>
      <c r="BJ25" s="162" t="n"/>
      <c r="BK25" s="162" t="n"/>
      <c r="BL25" s="162" t="n"/>
      <c r="BM25" s="162" t="n"/>
      <c r="BN25" s="162" t="n"/>
      <c r="BO25" s="162" t="n"/>
      <c r="BP25" s="162" t="n"/>
      <c r="BQ25" s="162" t="n"/>
      <c r="BR25" s="162" t="n"/>
      <c r="BS25" s="162" t="n"/>
      <c r="BT25" s="162" t="n"/>
      <c r="BU25" s="162" t="n"/>
      <c r="BV25" s="162" t="n"/>
      <c r="BW25" s="162" t="n"/>
      <c r="BX25" s="162" t="n"/>
      <c r="BY25" s="162" t="n"/>
      <c r="BZ25" s="162" t="n"/>
      <c r="CA25" s="162" t="n"/>
      <c r="CB25" s="162" t="n"/>
      <c r="CC25" s="162" t="n"/>
      <c r="CD25" s="162" t="n"/>
      <c r="CE25" s="162" t="n"/>
      <c r="CF25" s="162" t="n"/>
      <c r="CG25" s="162" t="n"/>
      <c r="CH25" s="162" t="n"/>
      <c r="CI25" s="162" t="n"/>
      <c r="CJ25" s="162" t="n"/>
      <c r="CK25" s="162" t="n"/>
      <c r="CL25" s="162" t="n"/>
      <c r="CM25" s="162" t="n"/>
      <c r="CN25" s="162" t="n"/>
      <c r="CO25" s="162" t="n"/>
      <c r="CP25" s="162" t="n"/>
      <c r="CQ25" s="162" t="n"/>
      <c r="CR25" s="162" t="n"/>
      <c r="CS25" s="162" t="n"/>
      <c r="CT25" s="162" t="n"/>
    </row>
    <row r="26" ht="15" customHeight="1">
      <c r="A26" s="175" t="n">
        <v>25</v>
      </c>
      <c r="B26" s="181" t="n">
        <v>25</v>
      </c>
      <c r="C26" s="182" t="n">
        <v>45750</v>
      </c>
      <c r="D26" s="187" t="inlineStr">
        <is>
          <t>200 G. GARCERAS</t>
        </is>
      </c>
      <c r="E26" s="187" t="n">
        <v>40343</v>
      </c>
      <c r="F26" s="187" t="inlineStr">
        <is>
          <t>DUMAR ANGARITA</t>
        </is>
      </c>
      <c r="G26" s="188" t="n">
        <v>3046</v>
      </c>
      <c r="H26" s="188" t="n">
        <v>3046</v>
      </c>
      <c r="I26" s="188" t="n">
        <v>3080</v>
      </c>
      <c r="J26" s="188" t="n">
        <v>4</v>
      </c>
      <c r="K26" s="188" t="n">
        <v>3</v>
      </c>
      <c r="L26" s="189" t="n">
        <v>-41</v>
      </c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  <c r="AA26" s="162" t="n"/>
      <c r="AB26" s="162" t="n"/>
      <c r="AC26" s="162" t="n"/>
      <c r="AD26" s="162" t="n"/>
      <c r="AE26" s="162" t="n"/>
      <c r="AF26" s="162" t="n"/>
      <c r="AG26" s="162" t="n"/>
      <c r="AH26" s="162" t="n"/>
      <c r="AI26" s="162" t="n"/>
      <c r="AJ26" s="162" t="n"/>
      <c r="AK26" s="162" t="n"/>
      <c r="AL26" s="162" t="n"/>
      <c r="AM26" s="162" t="n"/>
      <c r="AN26" s="162" t="n"/>
      <c r="AO26" s="162" t="n"/>
      <c r="AP26" s="162" t="n"/>
      <c r="AQ26" s="162" t="n"/>
      <c r="AR26" s="162" t="n"/>
      <c r="AS26" s="162" t="n"/>
      <c r="AT26" s="162" t="n"/>
      <c r="AU26" s="162" t="n"/>
      <c r="AV26" s="162" t="n"/>
      <c r="AW26" s="162" t="n"/>
      <c r="AX26" s="162" t="n"/>
      <c r="AY26" s="162" t="n"/>
      <c r="AZ26" s="162" t="n"/>
      <c r="BA26" s="162" t="n"/>
      <c r="BB26" s="162" t="n"/>
      <c r="BC26" s="162" t="n"/>
      <c r="BD26" s="162" t="n"/>
      <c r="BE26" s="162" t="n"/>
      <c r="BF26" s="162" t="n"/>
      <c r="BG26" s="162" t="n"/>
      <c r="BH26" s="162" t="n"/>
      <c r="BI26" s="162" t="n"/>
      <c r="BJ26" s="162" t="n"/>
      <c r="BK26" s="162" t="n"/>
      <c r="BL26" s="162" t="n"/>
      <c r="BM26" s="162" t="n"/>
      <c r="BN26" s="162" t="n"/>
      <c r="BO26" s="162" t="n"/>
      <c r="BP26" s="162" t="n"/>
      <c r="BQ26" s="162" t="n"/>
      <c r="BR26" s="162" t="n"/>
      <c r="BS26" s="162" t="n"/>
      <c r="BT26" s="162" t="n"/>
      <c r="BU26" s="162" t="n"/>
      <c r="BV26" s="162" t="n"/>
      <c r="BW26" s="162" t="n"/>
      <c r="BX26" s="162" t="n"/>
      <c r="BY26" s="162" t="n"/>
      <c r="BZ26" s="162" t="n"/>
      <c r="CA26" s="162" t="n"/>
      <c r="CB26" s="162" t="n"/>
      <c r="CC26" s="162" t="n"/>
      <c r="CD26" s="162" t="n"/>
      <c r="CE26" s="162" t="n"/>
      <c r="CF26" s="162" t="n"/>
      <c r="CG26" s="162" t="n"/>
      <c r="CH26" s="162" t="n"/>
      <c r="CI26" s="162" t="n"/>
      <c r="CJ26" s="162" t="n"/>
      <c r="CK26" s="162" t="n"/>
      <c r="CL26" s="162" t="n"/>
      <c r="CM26" s="162" t="n"/>
      <c r="CN26" s="162" t="n"/>
      <c r="CO26" s="162" t="n"/>
      <c r="CP26" s="162" t="n"/>
      <c r="CQ26" s="162" t="n"/>
      <c r="CR26" s="162" t="n"/>
      <c r="CS26" s="162" t="n"/>
      <c r="CT26" s="162" t="n"/>
    </row>
    <row r="27" ht="15" customHeight="1">
      <c r="A27" s="175" t="n">
        <v>26</v>
      </c>
      <c r="B27" s="181" t="n">
        <v>26</v>
      </c>
      <c r="C27" s="182" t="n">
        <v>45750</v>
      </c>
      <c r="D27" s="187" t="inlineStr">
        <is>
          <t>218 G. SAN JOSE 1</t>
        </is>
      </c>
      <c r="E27" s="187" t="n">
        <v>40344</v>
      </c>
      <c r="F27" s="187" t="inlineStr">
        <is>
          <t>MANUEL QUITIAN</t>
        </is>
      </c>
      <c r="G27" s="188" t="n">
        <v>3700</v>
      </c>
      <c r="H27" s="188" t="n">
        <v>3700</v>
      </c>
      <c r="I27" s="188" t="n">
        <v>3669</v>
      </c>
      <c r="J27" s="188" t="n">
        <v>4</v>
      </c>
      <c r="K27" s="188" t="n">
        <v>32</v>
      </c>
      <c r="L27" s="189" t="n">
        <v>-5</v>
      </c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  <c r="AA27" s="162" t="n"/>
      <c r="AB27" s="162" t="n"/>
      <c r="AC27" s="162" t="n"/>
      <c r="AD27" s="162" t="n"/>
      <c r="AE27" s="162" t="n"/>
      <c r="AF27" s="162" t="n"/>
      <c r="AG27" s="162" t="n"/>
      <c r="AH27" s="162" t="n"/>
      <c r="AI27" s="162" t="n"/>
      <c r="AJ27" s="162" t="n"/>
      <c r="AK27" s="162" t="n"/>
      <c r="AL27" s="162" t="n"/>
      <c r="AM27" s="162" t="n"/>
      <c r="AN27" s="162" t="n"/>
      <c r="AO27" s="162" t="n"/>
      <c r="AP27" s="162" t="n"/>
      <c r="AQ27" s="162" t="n"/>
      <c r="AR27" s="162" t="n"/>
      <c r="AS27" s="162" t="n"/>
      <c r="AT27" s="162" t="n"/>
      <c r="AU27" s="162" t="n"/>
      <c r="AV27" s="162" t="n"/>
      <c r="AW27" s="162" t="n"/>
      <c r="AX27" s="162" t="n"/>
      <c r="AY27" s="162" t="n"/>
      <c r="AZ27" s="162" t="n"/>
      <c r="BA27" s="162" t="n"/>
      <c r="BB27" s="162" t="n"/>
      <c r="BC27" s="162" t="n"/>
      <c r="BD27" s="162" t="n"/>
      <c r="BE27" s="162" t="n"/>
      <c r="BF27" s="162" t="n"/>
      <c r="BG27" s="162" t="n"/>
      <c r="BH27" s="162" t="n"/>
      <c r="BI27" s="162" t="n"/>
      <c r="BJ27" s="162" t="n"/>
      <c r="BK27" s="162" t="n"/>
      <c r="BL27" s="162" t="n"/>
      <c r="BM27" s="162" t="n"/>
      <c r="BN27" s="162" t="n"/>
      <c r="BO27" s="162" t="n"/>
      <c r="BP27" s="162" t="n"/>
      <c r="BQ27" s="162" t="n"/>
      <c r="BR27" s="162" t="n"/>
      <c r="BS27" s="162" t="n"/>
      <c r="BT27" s="162" t="n"/>
      <c r="BU27" s="162" t="n"/>
      <c r="BV27" s="162" t="n"/>
      <c r="BW27" s="162" t="n"/>
      <c r="BX27" s="162" t="n"/>
      <c r="BY27" s="162" t="n"/>
      <c r="BZ27" s="162" t="n"/>
      <c r="CA27" s="162" t="n"/>
      <c r="CB27" s="162" t="n"/>
      <c r="CC27" s="162" t="n"/>
      <c r="CD27" s="162" t="n"/>
      <c r="CE27" s="162" t="n"/>
      <c r="CF27" s="162" t="n"/>
      <c r="CG27" s="162" t="n"/>
      <c r="CH27" s="162" t="n"/>
      <c r="CI27" s="162" t="n"/>
      <c r="CJ27" s="162" t="n"/>
      <c r="CK27" s="162" t="n"/>
      <c r="CL27" s="162" t="n"/>
      <c r="CM27" s="162" t="n"/>
      <c r="CN27" s="162" t="n"/>
      <c r="CO27" s="162" t="n"/>
      <c r="CP27" s="162" t="n"/>
      <c r="CQ27" s="162" t="n"/>
      <c r="CR27" s="162" t="n"/>
      <c r="CS27" s="162" t="n"/>
      <c r="CT27" s="162" t="n"/>
    </row>
    <row r="28" ht="15" customHeight="1">
      <c r="A28" s="175" t="n">
        <v>27</v>
      </c>
      <c r="B28" s="181" t="n">
        <v>27</v>
      </c>
      <c r="C28" s="182" t="n">
        <v>45750</v>
      </c>
      <c r="D28" s="187" t="inlineStr">
        <is>
          <t>218 G. SAN JOSE 1</t>
        </is>
      </c>
      <c r="E28" s="187" t="n">
        <v>40345</v>
      </c>
      <c r="F28" s="187" t="inlineStr">
        <is>
          <t>ALEX GOMEZ</t>
        </is>
      </c>
      <c r="G28" s="188" t="n">
        <v>3700</v>
      </c>
      <c r="H28" s="188" t="n">
        <v>3700</v>
      </c>
      <c r="I28" s="188" t="n">
        <v>3680</v>
      </c>
      <c r="J28" s="188" t="n">
        <v>4</v>
      </c>
      <c r="K28" s="188" t="n">
        <v>11</v>
      </c>
      <c r="L28" s="189" t="n">
        <v>5</v>
      </c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  <c r="AA28" s="162" t="n"/>
      <c r="AB28" s="162" t="n"/>
      <c r="AC28" s="162" t="n"/>
      <c r="AD28" s="162" t="n"/>
      <c r="AE28" s="162" t="n"/>
      <c r="AF28" s="162" t="n"/>
      <c r="AG28" s="162" t="n"/>
      <c r="AH28" s="162" t="n"/>
      <c r="AI28" s="162" t="n"/>
      <c r="AJ28" s="162" t="n"/>
      <c r="AK28" s="162" t="n"/>
      <c r="AL28" s="162" t="n"/>
      <c r="AM28" s="162" t="n"/>
      <c r="AN28" s="162" t="n"/>
      <c r="AO28" s="162" t="n"/>
      <c r="AP28" s="162" t="n"/>
      <c r="AQ28" s="162" t="n"/>
      <c r="AR28" s="162" t="n"/>
      <c r="AS28" s="162" t="n"/>
      <c r="AT28" s="162" t="n"/>
      <c r="AU28" s="162" t="n"/>
      <c r="AV28" s="162" t="n"/>
      <c r="AW28" s="162" t="n"/>
      <c r="AX28" s="162" t="n"/>
      <c r="AY28" s="162" t="n"/>
      <c r="AZ28" s="162" t="n"/>
      <c r="BA28" s="162" t="n"/>
      <c r="BB28" s="162" t="n"/>
      <c r="BC28" s="162" t="n"/>
      <c r="BD28" s="162" t="n"/>
      <c r="BE28" s="162" t="n"/>
      <c r="BF28" s="162" t="n"/>
      <c r="BG28" s="162" t="n"/>
      <c r="BH28" s="162" t="n"/>
      <c r="BI28" s="162" t="n"/>
      <c r="BJ28" s="162" t="n"/>
      <c r="BK28" s="162" t="n"/>
      <c r="BL28" s="162" t="n"/>
      <c r="BM28" s="162" t="n"/>
      <c r="BN28" s="162" t="n"/>
      <c r="BO28" s="162" t="n"/>
      <c r="BP28" s="162" t="n"/>
      <c r="BQ28" s="162" t="n"/>
      <c r="BR28" s="162" t="n"/>
      <c r="BS28" s="162" t="n"/>
      <c r="BT28" s="162" t="n"/>
      <c r="BU28" s="162" t="n"/>
      <c r="BV28" s="162" t="n"/>
      <c r="BW28" s="162" t="n"/>
      <c r="BX28" s="162" t="n"/>
      <c r="BY28" s="162" t="n"/>
      <c r="BZ28" s="162" t="n"/>
      <c r="CA28" s="162" t="n"/>
      <c r="CB28" s="162" t="n"/>
      <c r="CC28" s="162" t="n"/>
      <c r="CD28" s="162" t="n"/>
      <c r="CE28" s="162" t="n"/>
      <c r="CF28" s="162" t="n"/>
      <c r="CG28" s="162" t="n"/>
      <c r="CH28" s="162" t="n"/>
      <c r="CI28" s="162" t="n"/>
      <c r="CJ28" s="162" t="n"/>
      <c r="CK28" s="162" t="n"/>
      <c r="CL28" s="162" t="n"/>
      <c r="CM28" s="162" t="n"/>
      <c r="CN28" s="162" t="n"/>
      <c r="CO28" s="162" t="n"/>
      <c r="CP28" s="162" t="n"/>
      <c r="CQ28" s="162" t="n"/>
      <c r="CR28" s="162" t="n"/>
      <c r="CS28" s="162" t="n"/>
      <c r="CT28" s="162" t="n"/>
    </row>
    <row r="29" ht="15" customHeight="1">
      <c r="A29" s="175" t="n">
        <v>28</v>
      </c>
      <c r="B29" s="181" t="n">
        <v>28</v>
      </c>
      <c r="C29" s="186" t="n">
        <v>45751</v>
      </c>
      <c r="D29" s="187" t="inlineStr">
        <is>
          <t>200 G. GARCERAS</t>
        </is>
      </c>
      <c r="E29" s="187" t="n">
        <v>40353</v>
      </c>
      <c r="F29" s="187" t="inlineStr">
        <is>
          <t>JAIRO CUBILLOS</t>
        </is>
      </c>
      <c r="G29" s="188" t="n">
        <v>3369</v>
      </c>
      <c r="H29" s="188" t="n">
        <v>3369</v>
      </c>
      <c r="I29" s="188" t="n">
        <v>3357</v>
      </c>
      <c r="J29" s="188" t="n">
        <v>3</v>
      </c>
      <c r="K29" s="188" t="n">
        <v>8</v>
      </c>
      <c r="L29" s="189" t="n">
        <v>1</v>
      </c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  <c r="AA29" s="162" t="n"/>
      <c r="AB29" s="162" t="n"/>
      <c r="AC29" s="162" t="n"/>
      <c r="AD29" s="162" t="n"/>
      <c r="AE29" s="162" t="n"/>
      <c r="AF29" s="162" t="n"/>
      <c r="AG29" s="162" t="n"/>
      <c r="AH29" s="162" t="n"/>
      <c r="AI29" s="162" t="n"/>
      <c r="AJ29" s="162" t="n"/>
      <c r="AK29" s="162" t="n"/>
      <c r="AL29" s="162" t="n"/>
      <c r="AM29" s="162" t="n"/>
      <c r="AN29" s="162" t="n"/>
      <c r="AO29" s="162" t="n"/>
      <c r="AP29" s="162" t="n"/>
      <c r="AQ29" s="162" t="n"/>
      <c r="AR29" s="162" t="n"/>
      <c r="AS29" s="162" t="n"/>
      <c r="AT29" s="162" t="n"/>
      <c r="AU29" s="162" t="n"/>
      <c r="AV29" s="162" t="n"/>
      <c r="AW29" s="162" t="n"/>
      <c r="AX29" s="162" t="n"/>
      <c r="AY29" s="162" t="n"/>
      <c r="AZ29" s="162" t="n"/>
      <c r="BA29" s="162" t="n"/>
      <c r="BB29" s="162" t="n"/>
      <c r="BC29" s="162" t="n"/>
      <c r="BD29" s="162" t="n"/>
      <c r="BE29" s="162" t="n"/>
      <c r="BF29" s="162" t="n"/>
      <c r="BG29" s="162" t="n"/>
      <c r="BH29" s="162" t="n"/>
      <c r="BI29" s="162" t="n"/>
      <c r="BJ29" s="162" t="n"/>
      <c r="BK29" s="162" t="n"/>
      <c r="BL29" s="162" t="n"/>
      <c r="BM29" s="162" t="n"/>
      <c r="BN29" s="162" t="n"/>
      <c r="BO29" s="162" t="n"/>
      <c r="BP29" s="162" t="n"/>
      <c r="BQ29" s="162" t="n"/>
      <c r="BR29" s="162" t="n"/>
      <c r="BS29" s="162" t="n"/>
      <c r="BT29" s="162" t="n"/>
      <c r="BU29" s="162" t="n"/>
      <c r="BV29" s="162" t="n"/>
      <c r="BW29" s="162" t="n"/>
      <c r="BX29" s="162" t="n"/>
      <c r="BY29" s="162" t="n"/>
      <c r="BZ29" s="162" t="n"/>
      <c r="CA29" s="162" t="n"/>
      <c r="CB29" s="162" t="n"/>
      <c r="CC29" s="162" t="n"/>
      <c r="CD29" s="162" t="n"/>
      <c r="CE29" s="162" t="n"/>
      <c r="CF29" s="162" t="n"/>
      <c r="CG29" s="162" t="n"/>
      <c r="CH29" s="162" t="n"/>
      <c r="CI29" s="162" t="n"/>
      <c r="CJ29" s="162" t="n"/>
      <c r="CK29" s="162" t="n"/>
      <c r="CL29" s="162" t="n"/>
      <c r="CM29" s="162" t="n"/>
      <c r="CN29" s="162" t="n"/>
      <c r="CO29" s="162" t="n"/>
      <c r="CP29" s="162" t="n"/>
      <c r="CQ29" s="162" t="n"/>
      <c r="CR29" s="162" t="n"/>
      <c r="CS29" s="162" t="n"/>
      <c r="CT29" s="162" t="n"/>
    </row>
    <row r="30" ht="15" customHeight="1">
      <c r="A30" s="175" t="n">
        <v>29</v>
      </c>
      <c r="B30" s="181" t="n">
        <v>29</v>
      </c>
      <c r="C30" s="182" t="n">
        <v>45751</v>
      </c>
      <c r="D30" s="187" t="inlineStr">
        <is>
          <t>200 G. GARCERAS</t>
        </is>
      </c>
      <c r="E30" s="187" t="n">
        <v>40354</v>
      </c>
      <c r="F30" s="187" t="inlineStr">
        <is>
          <t>HENRY ROMERO</t>
        </is>
      </c>
      <c r="G30" s="188" t="n">
        <v>3369</v>
      </c>
      <c r="H30" s="188" t="n">
        <v>3369</v>
      </c>
      <c r="I30" s="188" t="n">
        <v>3357</v>
      </c>
      <c r="J30" s="188" t="n">
        <v>3</v>
      </c>
      <c r="K30" s="188" t="n">
        <v>6</v>
      </c>
      <c r="L30" s="189" t="n">
        <v>3</v>
      </c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  <c r="AA30" s="162" t="n"/>
      <c r="AB30" s="162" t="n"/>
      <c r="AC30" s="162" t="n"/>
      <c r="AD30" s="162" t="n"/>
      <c r="AE30" s="162" t="n"/>
      <c r="AF30" s="162" t="n"/>
      <c r="AG30" s="162" t="n"/>
      <c r="AH30" s="162" t="n"/>
      <c r="AI30" s="162" t="n"/>
      <c r="AJ30" s="162" t="n"/>
      <c r="AK30" s="162" t="n"/>
      <c r="AL30" s="162" t="n"/>
      <c r="AM30" s="162" t="n"/>
      <c r="AN30" s="162" t="n"/>
      <c r="AO30" s="162" t="n"/>
      <c r="AP30" s="162" t="n"/>
      <c r="AQ30" s="162" t="n"/>
      <c r="AR30" s="162" t="n"/>
      <c r="AS30" s="162" t="n"/>
      <c r="AT30" s="162" t="n"/>
      <c r="AU30" s="162" t="n"/>
      <c r="AV30" s="162" t="n"/>
      <c r="AW30" s="162" t="n"/>
      <c r="AX30" s="162" t="n"/>
      <c r="AY30" s="162" t="n"/>
      <c r="AZ30" s="162" t="n"/>
      <c r="BA30" s="162" t="n"/>
      <c r="BB30" s="162" t="n"/>
      <c r="BC30" s="162" t="n"/>
      <c r="BD30" s="162" t="n"/>
      <c r="BE30" s="162" t="n"/>
      <c r="BF30" s="162" t="n"/>
      <c r="BG30" s="162" t="n"/>
      <c r="BH30" s="162" t="n"/>
      <c r="BI30" s="162" t="n"/>
      <c r="BJ30" s="162" t="n"/>
      <c r="BK30" s="162" t="n"/>
      <c r="BL30" s="162" t="n"/>
      <c r="BM30" s="162" t="n"/>
      <c r="BN30" s="162" t="n"/>
      <c r="BO30" s="162" t="n"/>
      <c r="BP30" s="162" t="n"/>
      <c r="BQ30" s="162" t="n"/>
      <c r="BR30" s="162" t="n"/>
      <c r="BS30" s="162" t="n"/>
      <c r="BT30" s="162" t="n"/>
      <c r="BU30" s="162" t="n"/>
      <c r="BV30" s="162" t="n"/>
      <c r="BW30" s="162" t="n"/>
      <c r="BX30" s="162" t="n"/>
      <c r="BY30" s="162" t="n"/>
      <c r="BZ30" s="162" t="n"/>
      <c r="CA30" s="162" t="n"/>
      <c r="CB30" s="162" t="n"/>
      <c r="CC30" s="162" t="n"/>
      <c r="CD30" s="162" t="n"/>
      <c r="CE30" s="162" t="n"/>
      <c r="CF30" s="162" t="n"/>
      <c r="CG30" s="162" t="n"/>
      <c r="CH30" s="162" t="n"/>
      <c r="CI30" s="162" t="n"/>
      <c r="CJ30" s="162" t="n"/>
      <c r="CK30" s="162" t="n"/>
      <c r="CL30" s="162" t="n"/>
      <c r="CM30" s="162" t="n"/>
      <c r="CN30" s="162" t="n"/>
      <c r="CO30" s="162" t="n"/>
      <c r="CP30" s="162" t="n"/>
      <c r="CQ30" s="162" t="n"/>
      <c r="CR30" s="162" t="n"/>
      <c r="CS30" s="162" t="n"/>
      <c r="CT30" s="162" t="n"/>
    </row>
    <row r="31" ht="15" customHeight="1">
      <c r="A31" s="175" t="n">
        <v>30</v>
      </c>
      <c r="B31" s="181" t="n">
        <v>30</v>
      </c>
      <c r="C31" s="182" t="n">
        <v>45751</v>
      </c>
      <c r="D31" s="187" t="inlineStr">
        <is>
          <t>200 G. GARCERAS</t>
        </is>
      </c>
      <c r="E31" s="187" t="n">
        <v>40355</v>
      </c>
      <c r="F31" s="187" t="inlineStr">
        <is>
          <t>YAIR RIVEROS</t>
        </is>
      </c>
      <c r="G31" s="188" t="n">
        <v>3369</v>
      </c>
      <c r="H31" s="188" t="n">
        <v>3369</v>
      </c>
      <c r="I31" s="188" t="n">
        <v>3361</v>
      </c>
      <c r="J31" s="188" t="n">
        <v>2</v>
      </c>
      <c r="K31" s="188" t="n">
        <v>4</v>
      </c>
      <c r="L31" s="189" t="n">
        <v>2</v>
      </c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  <c r="AA31" s="162" t="n"/>
      <c r="AB31" s="162" t="n"/>
      <c r="AC31" s="162" t="n"/>
      <c r="AD31" s="162" t="n"/>
      <c r="AE31" s="162" t="n"/>
      <c r="AF31" s="162" t="n"/>
      <c r="AG31" s="162" t="n"/>
      <c r="AH31" s="162" t="n"/>
      <c r="AI31" s="162" t="n"/>
      <c r="AJ31" s="162" t="n"/>
      <c r="AK31" s="162" t="n"/>
      <c r="AL31" s="162" t="n"/>
      <c r="AM31" s="162" t="n"/>
      <c r="AN31" s="162" t="n"/>
      <c r="AO31" s="162" t="n"/>
      <c r="AP31" s="162" t="n"/>
      <c r="AQ31" s="162" t="n"/>
      <c r="AR31" s="162" t="n"/>
      <c r="AS31" s="162" t="n"/>
      <c r="AT31" s="162" t="n"/>
      <c r="AU31" s="162" t="n"/>
      <c r="AV31" s="162" t="n"/>
      <c r="AW31" s="162" t="n"/>
      <c r="AX31" s="162" t="n"/>
      <c r="AY31" s="162" t="n"/>
      <c r="AZ31" s="162" t="n"/>
      <c r="BA31" s="162" t="n"/>
      <c r="BB31" s="162" t="n"/>
      <c r="BC31" s="162" t="n"/>
      <c r="BD31" s="162" t="n"/>
      <c r="BE31" s="162" t="n"/>
      <c r="BF31" s="162" t="n"/>
      <c r="BG31" s="162" t="n"/>
      <c r="BH31" s="162" t="n"/>
      <c r="BI31" s="162" t="n"/>
      <c r="BJ31" s="162" t="n"/>
      <c r="BK31" s="162" t="n"/>
      <c r="BL31" s="162" t="n"/>
      <c r="BM31" s="162" t="n"/>
      <c r="BN31" s="162" t="n"/>
      <c r="BO31" s="162" t="n"/>
      <c r="BP31" s="162" t="n"/>
      <c r="BQ31" s="162" t="n"/>
      <c r="BR31" s="162" t="n"/>
      <c r="BS31" s="162" t="n"/>
      <c r="BT31" s="162" t="n"/>
      <c r="BU31" s="162" t="n"/>
      <c r="BV31" s="162" t="n"/>
      <c r="BW31" s="162" t="n"/>
      <c r="BX31" s="162" t="n"/>
      <c r="BY31" s="162" t="n"/>
      <c r="BZ31" s="162" t="n"/>
      <c r="CA31" s="162" t="n"/>
      <c r="CB31" s="162" t="n"/>
      <c r="CC31" s="162" t="n"/>
      <c r="CD31" s="162" t="n"/>
      <c r="CE31" s="162" t="n"/>
      <c r="CF31" s="162" t="n"/>
      <c r="CG31" s="162" t="n"/>
      <c r="CH31" s="162" t="n"/>
      <c r="CI31" s="162" t="n"/>
      <c r="CJ31" s="162" t="n"/>
      <c r="CK31" s="162" t="n"/>
      <c r="CL31" s="162" t="n"/>
      <c r="CM31" s="162" t="n"/>
      <c r="CN31" s="162" t="n"/>
      <c r="CO31" s="162" t="n"/>
      <c r="CP31" s="162" t="n"/>
      <c r="CQ31" s="162" t="n"/>
      <c r="CR31" s="162" t="n"/>
      <c r="CS31" s="162" t="n"/>
      <c r="CT31" s="162" t="n"/>
    </row>
    <row r="32" ht="15" customHeight="1">
      <c r="A32" s="175" t="n">
        <v>31</v>
      </c>
      <c r="B32" s="181" t="n">
        <v>31</v>
      </c>
      <c r="C32" s="182" t="n">
        <v>45751</v>
      </c>
      <c r="D32" s="187" t="inlineStr">
        <is>
          <t>200 G. GARCERAS</t>
        </is>
      </c>
      <c r="E32" s="187" t="n">
        <v>40356</v>
      </c>
      <c r="F32" s="187" t="inlineStr">
        <is>
          <t>EDWIN ROJAS</t>
        </is>
      </c>
      <c r="G32" s="188" t="n">
        <v>2946</v>
      </c>
      <c r="H32" s="188" t="n">
        <v>2946</v>
      </c>
      <c r="I32" s="188" t="n">
        <v>2940</v>
      </c>
      <c r="J32" s="188" t="n">
        <v>2</v>
      </c>
      <c r="K32" s="188" t="n">
        <v>3</v>
      </c>
      <c r="L32" s="189" t="n">
        <v>1</v>
      </c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  <c r="AA32" s="162" t="n"/>
      <c r="AB32" s="162" t="n"/>
      <c r="AC32" s="162" t="n"/>
      <c r="AD32" s="162" t="n"/>
      <c r="AE32" s="162" t="n"/>
      <c r="AF32" s="162" t="n"/>
      <c r="AG32" s="162" t="n"/>
      <c r="AH32" s="162" t="n"/>
      <c r="AI32" s="162" t="n"/>
      <c r="AJ32" s="162" t="n"/>
      <c r="AK32" s="162" t="n"/>
      <c r="AL32" s="162" t="n"/>
      <c r="AM32" s="162" t="n"/>
      <c r="AN32" s="162" t="n"/>
      <c r="AO32" s="162" t="n"/>
      <c r="AP32" s="162" t="n"/>
      <c r="AQ32" s="162" t="n"/>
      <c r="AR32" s="162" t="n"/>
      <c r="AS32" s="162" t="n"/>
      <c r="AT32" s="162" t="n"/>
      <c r="AU32" s="162" t="n"/>
      <c r="AV32" s="162" t="n"/>
      <c r="AW32" s="162" t="n"/>
      <c r="AX32" s="162" t="n"/>
      <c r="AY32" s="162" t="n"/>
      <c r="AZ32" s="162" t="n"/>
      <c r="BA32" s="162" t="n"/>
      <c r="BB32" s="162" t="n"/>
      <c r="BC32" s="162" t="n"/>
      <c r="BD32" s="162" t="n"/>
      <c r="BE32" s="162" t="n"/>
      <c r="BF32" s="162" t="n"/>
      <c r="BG32" s="162" t="n"/>
      <c r="BH32" s="162" t="n"/>
      <c r="BI32" s="162" t="n"/>
      <c r="BJ32" s="162" t="n"/>
      <c r="BK32" s="162" t="n"/>
      <c r="BL32" s="162" t="n"/>
      <c r="BM32" s="162" t="n"/>
      <c r="BN32" s="162" t="n"/>
      <c r="BO32" s="162" t="n"/>
      <c r="BP32" s="162" t="n"/>
      <c r="BQ32" s="162" t="n"/>
      <c r="BR32" s="162" t="n"/>
      <c r="BS32" s="162" t="n"/>
      <c r="BT32" s="162" t="n"/>
      <c r="BU32" s="162" t="n"/>
      <c r="BV32" s="162" t="n"/>
      <c r="BW32" s="162" t="n"/>
      <c r="BX32" s="162" t="n"/>
      <c r="BY32" s="162" t="n"/>
      <c r="BZ32" s="162" t="n"/>
      <c r="CA32" s="162" t="n"/>
      <c r="CB32" s="162" t="n"/>
      <c r="CC32" s="162" t="n"/>
      <c r="CD32" s="162" t="n"/>
      <c r="CE32" s="162" t="n"/>
      <c r="CF32" s="162" t="n"/>
      <c r="CG32" s="162" t="n"/>
      <c r="CH32" s="162" t="n"/>
      <c r="CI32" s="162" t="n"/>
      <c r="CJ32" s="162" t="n"/>
      <c r="CK32" s="162" t="n"/>
      <c r="CL32" s="162" t="n"/>
      <c r="CM32" s="162" t="n"/>
      <c r="CN32" s="162" t="n"/>
      <c r="CO32" s="162" t="n"/>
      <c r="CP32" s="162" t="n"/>
      <c r="CQ32" s="162" t="n"/>
      <c r="CR32" s="162" t="n"/>
      <c r="CS32" s="162" t="n"/>
      <c r="CT32" s="162" t="n"/>
    </row>
    <row r="33" ht="15" customHeight="1">
      <c r="A33" s="175" t="n">
        <v>32</v>
      </c>
      <c r="B33" s="181" t="n">
        <v>32</v>
      </c>
      <c r="C33" s="182" t="n">
        <v>45751</v>
      </c>
      <c r="D33" s="187" t="inlineStr">
        <is>
          <t>200 G. GARCERAS</t>
        </is>
      </c>
      <c r="E33" s="187" t="n">
        <v>40357</v>
      </c>
      <c r="F33" s="187" t="inlineStr">
        <is>
          <t>JOSE SOLER</t>
        </is>
      </c>
      <c r="G33" s="188" t="n">
        <v>2946</v>
      </c>
      <c r="H33" s="188" t="n">
        <v>2946</v>
      </c>
      <c r="I33" s="188" t="n">
        <v>2938</v>
      </c>
      <c r="J33" s="188" t="n">
        <v>3</v>
      </c>
      <c r="K33" s="188" t="n">
        <v>2</v>
      </c>
      <c r="L33" s="189" t="n">
        <v>3</v>
      </c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  <c r="AA33" s="162" t="n"/>
      <c r="AB33" s="162" t="n"/>
      <c r="AC33" s="162" t="n"/>
      <c r="AD33" s="162" t="n"/>
      <c r="AE33" s="162" t="n"/>
      <c r="AF33" s="162" t="n"/>
      <c r="AG33" s="162" t="n"/>
      <c r="AH33" s="162" t="n"/>
      <c r="AI33" s="162" t="n"/>
      <c r="AJ33" s="162" t="n"/>
      <c r="AK33" s="162" t="n"/>
      <c r="AL33" s="162" t="n"/>
      <c r="AM33" s="162" t="n"/>
      <c r="AN33" s="162" t="n"/>
      <c r="AO33" s="162" t="n"/>
      <c r="AP33" s="162" t="n"/>
      <c r="AQ33" s="162" t="n"/>
      <c r="AR33" s="162" t="n"/>
      <c r="AS33" s="162" t="n"/>
      <c r="AT33" s="162" t="n"/>
      <c r="AU33" s="162" t="n"/>
      <c r="AV33" s="162" t="n"/>
      <c r="AW33" s="162" t="n"/>
      <c r="AX33" s="162" t="n"/>
      <c r="AY33" s="162" t="n"/>
      <c r="AZ33" s="162" t="n"/>
      <c r="BA33" s="162" t="n"/>
      <c r="BB33" s="162" t="n"/>
      <c r="BC33" s="162" t="n"/>
      <c r="BD33" s="162" t="n"/>
      <c r="BE33" s="162" t="n"/>
      <c r="BF33" s="162" t="n"/>
      <c r="BG33" s="162" t="n"/>
      <c r="BH33" s="162" t="n"/>
      <c r="BI33" s="162" t="n"/>
      <c r="BJ33" s="162" t="n"/>
      <c r="BK33" s="162" t="n"/>
      <c r="BL33" s="162" t="n"/>
      <c r="BM33" s="162" t="n"/>
      <c r="BN33" s="162" t="n"/>
      <c r="BO33" s="162" t="n"/>
      <c r="BP33" s="162" t="n"/>
      <c r="BQ33" s="162" t="n"/>
      <c r="BR33" s="162" t="n"/>
      <c r="BS33" s="162" t="n"/>
      <c r="BT33" s="162" t="n"/>
      <c r="BU33" s="162" t="n"/>
      <c r="BV33" s="162" t="n"/>
      <c r="BW33" s="162" t="n"/>
      <c r="BX33" s="162" t="n"/>
      <c r="BY33" s="162" t="n"/>
      <c r="BZ33" s="162" t="n"/>
      <c r="CA33" s="162" t="n"/>
      <c r="CB33" s="162" t="n"/>
      <c r="CC33" s="162" t="n"/>
      <c r="CD33" s="162" t="n"/>
      <c r="CE33" s="162" t="n"/>
      <c r="CF33" s="162" t="n"/>
      <c r="CG33" s="162" t="n"/>
      <c r="CH33" s="162" t="n"/>
      <c r="CI33" s="162" t="n"/>
      <c r="CJ33" s="162" t="n"/>
      <c r="CK33" s="162" t="n"/>
      <c r="CL33" s="162" t="n"/>
      <c r="CM33" s="162" t="n"/>
      <c r="CN33" s="162" t="n"/>
      <c r="CO33" s="162" t="n"/>
      <c r="CP33" s="162" t="n"/>
      <c r="CQ33" s="162" t="n"/>
      <c r="CR33" s="162" t="n"/>
      <c r="CS33" s="162" t="n"/>
      <c r="CT33" s="162" t="n"/>
    </row>
    <row r="34" ht="15" customHeight="1">
      <c r="A34" s="175" t="n">
        <v>33</v>
      </c>
      <c r="B34" s="181" t="n">
        <v>33</v>
      </c>
      <c r="C34" s="182" t="n">
        <v>45751</v>
      </c>
      <c r="D34" s="187" t="inlineStr">
        <is>
          <t>200 G. GARCERAS</t>
        </is>
      </c>
      <c r="E34" s="187" t="n">
        <v>40358</v>
      </c>
      <c r="F34" s="187" t="inlineStr">
        <is>
          <t>MANUEL QUITIAN</t>
        </is>
      </c>
      <c r="G34" s="188" t="n">
        <v>2808</v>
      </c>
      <c r="H34" s="188" t="n">
        <v>2808</v>
      </c>
      <c r="I34" s="188" t="n">
        <v>2799</v>
      </c>
      <c r="J34" s="188" t="n">
        <v>2</v>
      </c>
      <c r="K34" s="188" t="n">
        <v>2</v>
      </c>
      <c r="L34" s="189" t="n">
        <v>5</v>
      </c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  <c r="AA34" s="162" t="n"/>
      <c r="AB34" s="162" t="n"/>
      <c r="AC34" s="162" t="n"/>
      <c r="AD34" s="162" t="n"/>
      <c r="AE34" s="162" t="n"/>
      <c r="AF34" s="162" t="n"/>
      <c r="AG34" s="162" t="n"/>
      <c r="AH34" s="162" t="n"/>
      <c r="AI34" s="162" t="n"/>
      <c r="AJ34" s="162" t="n"/>
      <c r="AK34" s="162" t="n"/>
      <c r="AL34" s="162" t="n"/>
      <c r="AM34" s="162" t="n"/>
      <c r="AN34" s="162" t="n"/>
      <c r="AO34" s="162" t="n"/>
      <c r="AP34" s="162" t="n"/>
      <c r="AQ34" s="162" t="n"/>
      <c r="AR34" s="162" t="n"/>
      <c r="AS34" s="162" t="n"/>
      <c r="AT34" s="162" t="n"/>
      <c r="AU34" s="162" t="n"/>
      <c r="AV34" s="162" t="n"/>
      <c r="AW34" s="162" t="n"/>
      <c r="AX34" s="162" t="n"/>
      <c r="AY34" s="162" t="n"/>
      <c r="AZ34" s="162" t="n"/>
      <c r="BA34" s="162" t="n"/>
      <c r="BB34" s="162" t="n"/>
      <c r="BC34" s="162" t="n"/>
      <c r="BD34" s="162" t="n"/>
      <c r="BE34" s="162" t="n"/>
      <c r="BF34" s="162" t="n"/>
      <c r="BG34" s="162" t="n"/>
      <c r="BH34" s="162" t="n"/>
      <c r="BI34" s="162" t="n"/>
      <c r="BJ34" s="162" t="n"/>
      <c r="BK34" s="162" t="n"/>
      <c r="BL34" s="162" t="n"/>
      <c r="BM34" s="162" t="n"/>
      <c r="BN34" s="162" t="n"/>
      <c r="BO34" s="162" t="n"/>
      <c r="BP34" s="162" t="n"/>
      <c r="BQ34" s="162" t="n"/>
      <c r="BR34" s="162" t="n"/>
      <c r="BS34" s="162" t="n"/>
      <c r="BT34" s="162" t="n"/>
      <c r="BU34" s="162" t="n"/>
      <c r="BV34" s="162" t="n"/>
      <c r="BW34" s="162" t="n"/>
      <c r="BX34" s="162" t="n"/>
      <c r="BY34" s="162" t="n"/>
      <c r="BZ34" s="162" t="n"/>
      <c r="CA34" s="162" t="n"/>
      <c r="CB34" s="162" t="n"/>
      <c r="CC34" s="162" t="n"/>
      <c r="CD34" s="162" t="n"/>
      <c r="CE34" s="162" t="n"/>
      <c r="CF34" s="162" t="n"/>
      <c r="CG34" s="162" t="n"/>
      <c r="CH34" s="162" t="n"/>
      <c r="CI34" s="162" t="n"/>
      <c r="CJ34" s="162" t="n"/>
      <c r="CK34" s="162" t="n"/>
      <c r="CL34" s="162" t="n"/>
      <c r="CM34" s="162" t="n"/>
      <c r="CN34" s="162" t="n"/>
      <c r="CO34" s="162" t="n"/>
      <c r="CP34" s="162" t="n"/>
      <c r="CQ34" s="162" t="n"/>
      <c r="CR34" s="162" t="n"/>
      <c r="CS34" s="162" t="n"/>
      <c r="CT34" s="162" t="n"/>
    </row>
    <row r="35" ht="15" customHeight="1">
      <c r="A35" s="175" t="n">
        <v>34</v>
      </c>
      <c r="B35" s="181" t="n">
        <v>34</v>
      </c>
      <c r="C35" s="182" t="n">
        <v>45751</v>
      </c>
      <c r="D35" s="187" t="inlineStr">
        <is>
          <t>200 G. GARCERAS</t>
        </is>
      </c>
      <c r="E35" s="187" t="n">
        <v>40359</v>
      </c>
      <c r="F35" s="187" t="inlineStr">
        <is>
          <t>JHON AGUIRRE</t>
        </is>
      </c>
      <c r="G35" s="188" t="n">
        <v>3855</v>
      </c>
      <c r="H35" s="188" t="n">
        <v>3855</v>
      </c>
      <c r="I35" s="188" t="n">
        <v>3841</v>
      </c>
      <c r="J35" s="188" t="n">
        <v>4</v>
      </c>
      <c r="K35" s="188" t="n">
        <v>3</v>
      </c>
      <c r="L35" s="189" t="n">
        <v>7</v>
      </c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  <c r="AA35" s="162" t="n"/>
      <c r="AB35" s="162" t="n"/>
      <c r="AC35" s="162" t="n"/>
      <c r="AD35" s="162" t="n"/>
      <c r="AE35" s="162" t="n"/>
      <c r="AF35" s="162" t="n"/>
      <c r="AG35" s="162" t="n"/>
      <c r="AH35" s="162" t="n"/>
      <c r="AI35" s="162" t="n"/>
      <c r="AJ35" s="162" t="n"/>
      <c r="AK35" s="162" t="n"/>
      <c r="AL35" s="162" t="n"/>
      <c r="AM35" s="162" t="n"/>
      <c r="AN35" s="162" t="n"/>
      <c r="AO35" s="162" t="n"/>
      <c r="AP35" s="162" t="n"/>
      <c r="AQ35" s="162" t="n"/>
      <c r="AR35" s="162" t="n"/>
      <c r="AS35" s="162" t="n"/>
      <c r="AT35" s="162" t="n"/>
      <c r="AU35" s="162" t="n"/>
      <c r="AV35" s="162" t="n"/>
      <c r="AW35" s="162" t="n"/>
      <c r="AX35" s="162" t="n"/>
      <c r="AY35" s="162" t="n"/>
      <c r="AZ35" s="162" t="n"/>
      <c r="BA35" s="162" t="n"/>
      <c r="BB35" s="162" t="n"/>
      <c r="BC35" s="162" t="n"/>
      <c r="BD35" s="162" t="n"/>
      <c r="BE35" s="162" t="n"/>
      <c r="BF35" s="162" t="n"/>
      <c r="BG35" s="162" t="n"/>
      <c r="BH35" s="162" t="n"/>
      <c r="BI35" s="162" t="n"/>
      <c r="BJ35" s="162" t="n"/>
      <c r="BK35" s="162" t="n"/>
      <c r="BL35" s="162" t="n"/>
      <c r="BM35" s="162" t="n"/>
      <c r="BN35" s="162" t="n"/>
      <c r="BO35" s="162" t="n"/>
      <c r="BP35" s="162" t="n"/>
      <c r="BQ35" s="162" t="n"/>
      <c r="BR35" s="162" t="n"/>
      <c r="BS35" s="162" t="n"/>
      <c r="BT35" s="162" t="n"/>
      <c r="BU35" s="162" t="n"/>
      <c r="BV35" s="162" t="n"/>
      <c r="BW35" s="162" t="n"/>
      <c r="BX35" s="162" t="n"/>
      <c r="BY35" s="162" t="n"/>
      <c r="BZ35" s="162" t="n"/>
      <c r="CA35" s="162" t="n"/>
      <c r="CB35" s="162" t="n"/>
      <c r="CC35" s="162" t="n"/>
      <c r="CD35" s="162" t="n"/>
      <c r="CE35" s="162" t="n"/>
      <c r="CF35" s="162" t="n"/>
      <c r="CG35" s="162" t="n"/>
      <c r="CH35" s="162" t="n"/>
      <c r="CI35" s="162" t="n"/>
      <c r="CJ35" s="162" t="n"/>
      <c r="CK35" s="162" t="n"/>
      <c r="CL35" s="162" t="n"/>
      <c r="CM35" s="162" t="n"/>
      <c r="CN35" s="162" t="n"/>
      <c r="CO35" s="162" t="n"/>
      <c r="CP35" s="162" t="n"/>
      <c r="CQ35" s="162" t="n"/>
      <c r="CR35" s="162" t="n"/>
      <c r="CS35" s="162" t="n"/>
      <c r="CT35" s="162" t="n"/>
    </row>
    <row r="36" ht="15" customHeight="1">
      <c r="A36" s="175" t="n">
        <v>35</v>
      </c>
      <c r="B36" s="181" t="n">
        <v>35</v>
      </c>
      <c r="C36" s="182" t="n">
        <v>45751</v>
      </c>
      <c r="D36" s="187" t="inlineStr">
        <is>
          <t>200 G. GARCERAS</t>
        </is>
      </c>
      <c r="E36" s="187" t="n">
        <v>40360</v>
      </c>
      <c r="F36" s="187" t="inlineStr">
        <is>
          <t>EDUAN CAVIEDES</t>
        </is>
      </c>
      <c r="G36" s="188" t="n">
        <v>3855</v>
      </c>
      <c r="H36" s="188" t="n">
        <v>3855</v>
      </c>
      <c r="I36" s="188" t="n">
        <v>3838</v>
      </c>
      <c r="J36" s="188" t="n">
        <v>3</v>
      </c>
      <c r="K36" s="188" t="n">
        <v>6</v>
      </c>
      <c r="L36" s="189" t="n">
        <v>8</v>
      </c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  <c r="AA36" s="162" t="n"/>
      <c r="AB36" s="162" t="n"/>
      <c r="AC36" s="162" t="n"/>
      <c r="AD36" s="162" t="n"/>
      <c r="AE36" s="162" t="n"/>
      <c r="AF36" s="162" t="n"/>
      <c r="AG36" s="162" t="n"/>
      <c r="AH36" s="162" t="n"/>
      <c r="AI36" s="162" t="n"/>
      <c r="AJ36" s="162" t="n"/>
      <c r="AK36" s="162" t="n"/>
      <c r="AL36" s="162" t="n"/>
      <c r="AM36" s="162" t="n"/>
      <c r="AN36" s="162" t="n"/>
      <c r="AO36" s="162" t="n"/>
      <c r="AP36" s="162" t="n"/>
      <c r="AQ36" s="162" t="n"/>
      <c r="AR36" s="162" t="n"/>
      <c r="AS36" s="162" t="n"/>
      <c r="AT36" s="162" t="n"/>
      <c r="AU36" s="162" t="n"/>
      <c r="AV36" s="162" t="n"/>
      <c r="AW36" s="162" t="n"/>
      <c r="AX36" s="162" t="n"/>
      <c r="AY36" s="162" t="n"/>
      <c r="AZ36" s="162" t="n"/>
      <c r="BA36" s="162" t="n"/>
      <c r="BB36" s="162" t="n"/>
      <c r="BC36" s="162" t="n"/>
      <c r="BD36" s="162" t="n"/>
      <c r="BE36" s="162" t="n"/>
      <c r="BF36" s="162" t="n"/>
      <c r="BG36" s="162" t="n"/>
      <c r="BH36" s="162" t="n"/>
      <c r="BI36" s="162" t="n"/>
      <c r="BJ36" s="162" t="n"/>
      <c r="BK36" s="162" t="n"/>
      <c r="BL36" s="162" t="n"/>
      <c r="BM36" s="162" t="n"/>
      <c r="BN36" s="162" t="n"/>
      <c r="BO36" s="162" t="n"/>
      <c r="BP36" s="162" t="n"/>
      <c r="BQ36" s="162" t="n"/>
      <c r="BR36" s="162" t="n"/>
      <c r="BS36" s="162" t="n"/>
      <c r="BT36" s="162" t="n"/>
      <c r="BU36" s="162" t="n"/>
      <c r="BV36" s="162" t="n"/>
      <c r="BW36" s="162" t="n"/>
      <c r="BX36" s="162" t="n"/>
      <c r="BY36" s="162" t="n"/>
      <c r="BZ36" s="162" t="n"/>
      <c r="CA36" s="162" t="n"/>
      <c r="CB36" s="162" t="n"/>
      <c r="CC36" s="162" t="n"/>
      <c r="CD36" s="162" t="n"/>
      <c r="CE36" s="162" t="n"/>
      <c r="CF36" s="162" t="n"/>
      <c r="CG36" s="162" t="n"/>
      <c r="CH36" s="162" t="n"/>
      <c r="CI36" s="162" t="n"/>
      <c r="CJ36" s="162" t="n"/>
      <c r="CK36" s="162" t="n"/>
      <c r="CL36" s="162" t="n"/>
      <c r="CM36" s="162" t="n"/>
      <c r="CN36" s="162" t="n"/>
      <c r="CO36" s="162" t="n"/>
      <c r="CP36" s="162" t="n"/>
      <c r="CQ36" s="162" t="n"/>
      <c r="CR36" s="162" t="n"/>
      <c r="CS36" s="162" t="n"/>
      <c r="CT36" s="162" t="n"/>
    </row>
    <row r="37" ht="15" customHeight="1">
      <c r="A37" s="175" t="n">
        <v>36</v>
      </c>
      <c r="B37" s="181" t="n">
        <v>36</v>
      </c>
      <c r="C37" s="186" t="n">
        <v>45752</v>
      </c>
      <c r="D37" s="187" t="inlineStr">
        <is>
          <t>200 G. GARCERAS</t>
        </is>
      </c>
      <c r="E37" s="187" t="n">
        <v>40375</v>
      </c>
      <c r="F37" s="187" t="inlineStr">
        <is>
          <t>ALBERTO LOPEZ</t>
        </is>
      </c>
      <c r="G37" s="188" t="n">
        <v>3063</v>
      </c>
      <c r="H37" s="188" t="n">
        <v>3063</v>
      </c>
      <c r="I37" s="188" t="n">
        <v>3057</v>
      </c>
      <c r="J37" s="188" t="n">
        <v>4</v>
      </c>
      <c r="K37" s="188" t="n">
        <v>3</v>
      </c>
      <c r="L37" s="189" t="n">
        <v>-1</v>
      </c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  <c r="AT37" s="162" t="n"/>
      <c r="AU37" s="162" t="n"/>
      <c r="AV37" s="162" t="n"/>
      <c r="AW37" s="162" t="n"/>
      <c r="AX37" s="162" t="n"/>
      <c r="AY37" s="162" t="n"/>
      <c r="AZ37" s="162" t="n"/>
      <c r="BA37" s="162" t="n"/>
      <c r="BB37" s="162" t="n"/>
      <c r="BC37" s="162" t="n"/>
      <c r="BD37" s="162" t="n"/>
      <c r="BE37" s="162" t="n"/>
      <c r="BF37" s="162" t="n"/>
      <c r="BG37" s="162" t="n"/>
      <c r="BH37" s="162" t="n"/>
      <c r="BI37" s="162" t="n"/>
      <c r="BJ37" s="162" t="n"/>
      <c r="BK37" s="162" t="n"/>
      <c r="BL37" s="162" t="n"/>
      <c r="BM37" s="162" t="n"/>
      <c r="BN37" s="162" t="n"/>
      <c r="BO37" s="162" t="n"/>
      <c r="BP37" s="162" t="n"/>
      <c r="BQ37" s="162" t="n"/>
      <c r="BR37" s="162" t="n"/>
      <c r="BS37" s="162" t="n"/>
      <c r="BT37" s="162" t="n"/>
      <c r="BU37" s="162" t="n"/>
      <c r="BV37" s="162" t="n"/>
      <c r="BW37" s="162" t="n"/>
      <c r="BX37" s="162" t="n"/>
      <c r="BY37" s="162" t="n"/>
      <c r="BZ37" s="162" t="n"/>
      <c r="CA37" s="162" t="n"/>
      <c r="CB37" s="162" t="n"/>
      <c r="CC37" s="162" t="n"/>
      <c r="CD37" s="162" t="n"/>
      <c r="CE37" s="162" t="n"/>
      <c r="CF37" s="162" t="n"/>
      <c r="CG37" s="162" t="n"/>
      <c r="CH37" s="162" t="n"/>
      <c r="CI37" s="162" t="n"/>
      <c r="CJ37" s="162" t="n"/>
      <c r="CK37" s="162" t="n"/>
      <c r="CL37" s="162" t="n"/>
      <c r="CM37" s="162" t="n"/>
      <c r="CN37" s="162" t="n"/>
      <c r="CO37" s="162" t="n"/>
      <c r="CP37" s="162" t="n"/>
      <c r="CQ37" s="162" t="n"/>
      <c r="CR37" s="162" t="n"/>
      <c r="CS37" s="162" t="n"/>
      <c r="CT37" s="162" t="n"/>
    </row>
    <row r="38" ht="15" customHeight="1">
      <c r="A38" s="175" t="n">
        <v>37</v>
      </c>
      <c r="B38" s="181" t="n">
        <v>37</v>
      </c>
      <c r="C38" s="182" t="n">
        <v>45752</v>
      </c>
      <c r="D38" s="187" t="inlineStr">
        <is>
          <t>200 G. GARCERAS</t>
        </is>
      </c>
      <c r="E38" s="187" t="n">
        <v>40376</v>
      </c>
      <c r="F38" s="187" t="inlineStr">
        <is>
          <t>EDUAN CAVIEDES</t>
        </is>
      </c>
      <c r="G38" s="188" t="n">
        <v>3063</v>
      </c>
      <c r="H38" s="188" t="n">
        <v>3063</v>
      </c>
      <c r="I38" s="188" t="n">
        <v>3055</v>
      </c>
      <c r="J38" s="188" t="n">
        <v>2</v>
      </c>
      <c r="K38" s="188" t="n">
        <v>5</v>
      </c>
      <c r="L38" s="189" t="n">
        <v>1</v>
      </c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  <c r="AA38" s="162" t="n"/>
      <c r="AB38" s="162" t="n"/>
      <c r="AC38" s="162" t="n"/>
      <c r="AD38" s="162" t="n"/>
      <c r="AE38" s="162" t="n"/>
      <c r="AF38" s="162" t="n"/>
      <c r="AG38" s="162" t="n"/>
      <c r="AH38" s="162" t="n"/>
      <c r="AI38" s="162" t="n"/>
      <c r="AJ38" s="162" t="n"/>
      <c r="AK38" s="162" t="n"/>
      <c r="AL38" s="162" t="n"/>
      <c r="AM38" s="162" t="n"/>
      <c r="AN38" s="162" t="n"/>
      <c r="AO38" s="162" t="n"/>
      <c r="AP38" s="162" t="n"/>
      <c r="AQ38" s="162" t="n"/>
      <c r="AR38" s="162" t="n"/>
      <c r="AS38" s="162" t="n"/>
      <c r="AT38" s="162" t="n"/>
      <c r="AU38" s="162" t="n"/>
      <c r="AV38" s="162" t="n"/>
      <c r="AW38" s="162" t="n"/>
      <c r="AX38" s="162" t="n"/>
      <c r="AY38" s="162" t="n"/>
      <c r="AZ38" s="162" t="n"/>
      <c r="BA38" s="162" t="n"/>
      <c r="BB38" s="162" t="n"/>
      <c r="BC38" s="162" t="n"/>
      <c r="BD38" s="162" t="n"/>
      <c r="BE38" s="162" t="n"/>
      <c r="BF38" s="162" t="n"/>
      <c r="BG38" s="162" t="n"/>
      <c r="BH38" s="162" t="n"/>
      <c r="BI38" s="162" t="n"/>
      <c r="BJ38" s="162" t="n"/>
      <c r="BK38" s="162" t="n"/>
      <c r="BL38" s="162" t="n"/>
      <c r="BM38" s="162" t="n"/>
      <c r="BN38" s="162" t="n"/>
      <c r="BO38" s="162" t="n"/>
      <c r="BP38" s="162" t="n"/>
      <c r="BQ38" s="162" t="n"/>
      <c r="BR38" s="162" t="n"/>
      <c r="BS38" s="162" t="n"/>
      <c r="BT38" s="162" t="n"/>
      <c r="BU38" s="162" t="n"/>
      <c r="BV38" s="162" t="n"/>
      <c r="BW38" s="162" t="n"/>
      <c r="BX38" s="162" t="n"/>
      <c r="BY38" s="162" t="n"/>
      <c r="BZ38" s="162" t="n"/>
      <c r="CA38" s="162" t="n"/>
      <c r="CB38" s="162" t="n"/>
      <c r="CC38" s="162" t="n"/>
      <c r="CD38" s="162" t="n"/>
      <c r="CE38" s="162" t="n"/>
      <c r="CF38" s="162" t="n"/>
      <c r="CG38" s="162" t="n"/>
      <c r="CH38" s="162" t="n"/>
      <c r="CI38" s="162" t="n"/>
      <c r="CJ38" s="162" t="n"/>
      <c r="CK38" s="162" t="n"/>
      <c r="CL38" s="162" t="n"/>
      <c r="CM38" s="162" t="n"/>
      <c r="CN38" s="162" t="n"/>
      <c r="CO38" s="162" t="n"/>
      <c r="CP38" s="162" t="n"/>
      <c r="CQ38" s="162" t="n"/>
      <c r="CR38" s="162" t="n"/>
      <c r="CS38" s="162" t="n"/>
      <c r="CT38" s="162" t="n"/>
    </row>
    <row r="39" ht="15" customHeight="1">
      <c r="A39" s="175" t="n">
        <v>38</v>
      </c>
      <c r="B39" s="181" t="n">
        <v>38</v>
      </c>
      <c r="C39" s="182" t="n">
        <v>45752</v>
      </c>
      <c r="D39" s="187" t="inlineStr">
        <is>
          <t>200 G. GARCERAS</t>
        </is>
      </c>
      <c r="E39" s="187" t="n">
        <v>40377</v>
      </c>
      <c r="F39" s="187" t="inlineStr">
        <is>
          <t>EDWIN ROJAS</t>
        </is>
      </c>
      <c r="G39" s="188" t="n">
        <v>3063</v>
      </c>
      <c r="H39" s="188" t="n">
        <v>3063</v>
      </c>
      <c r="I39" s="188" t="n">
        <v>3058</v>
      </c>
      <c r="J39" s="188" t="n">
        <v>3</v>
      </c>
      <c r="K39" s="188" t="n">
        <v>2</v>
      </c>
      <c r="L39" s="189" t="n">
        <v>0</v>
      </c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  <c r="AA39" s="162" t="n"/>
      <c r="AB39" s="162" t="n"/>
      <c r="AC39" s="162" t="n"/>
      <c r="AD39" s="162" t="n"/>
      <c r="AE39" s="162" t="n"/>
      <c r="AF39" s="162" t="n"/>
      <c r="AG39" s="162" t="n"/>
      <c r="AH39" s="162" t="n"/>
      <c r="AI39" s="162" t="n"/>
      <c r="AJ39" s="162" t="n"/>
      <c r="AK39" s="162" t="n"/>
      <c r="AL39" s="162" t="n"/>
      <c r="AM39" s="162" t="n"/>
      <c r="AN39" s="162" t="n"/>
      <c r="AO39" s="162" t="n"/>
      <c r="AP39" s="162" t="n"/>
      <c r="AQ39" s="162" t="n"/>
      <c r="AR39" s="162" t="n"/>
      <c r="AS39" s="162" t="n"/>
      <c r="AT39" s="162" t="n"/>
      <c r="AU39" s="162" t="n"/>
      <c r="AV39" s="162" t="n"/>
      <c r="AW39" s="162" t="n"/>
      <c r="AX39" s="162" t="n"/>
      <c r="AY39" s="162" t="n"/>
      <c r="AZ39" s="162" t="n"/>
      <c r="BA39" s="162" t="n"/>
      <c r="BB39" s="162" t="n"/>
      <c r="BC39" s="162" t="n"/>
      <c r="BD39" s="162" t="n"/>
      <c r="BE39" s="162" t="n"/>
      <c r="BF39" s="162" t="n"/>
      <c r="BG39" s="162" t="n"/>
      <c r="BH39" s="162" t="n"/>
      <c r="BI39" s="162" t="n"/>
      <c r="BJ39" s="162" t="n"/>
      <c r="BK39" s="162" t="n"/>
      <c r="BL39" s="162" t="n"/>
      <c r="BM39" s="162" t="n"/>
      <c r="BN39" s="162" t="n"/>
      <c r="BO39" s="162" t="n"/>
      <c r="BP39" s="162" t="n"/>
      <c r="BQ39" s="162" t="n"/>
      <c r="BR39" s="162" t="n"/>
      <c r="BS39" s="162" t="n"/>
      <c r="BT39" s="162" t="n"/>
      <c r="BU39" s="162" t="n"/>
      <c r="BV39" s="162" t="n"/>
      <c r="BW39" s="162" t="n"/>
      <c r="BX39" s="162" t="n"/>
      <c r="BY39" s="162" t="n"/>
      <c r="BZ39" s="162" t="n"/>
      <c r="CA39" s="162" t="n"/>
      <c r="CB39" s="162" t="n"/>
      <c r="CC39" s="162" t="n"/>
      <c r="CD39" s="162" t="n"/>
      <c r="CE39" s="162" t="n"/>
      <c r="CF39" s="162" t="n"/>
      <c r="CG39" s="162" t="n"/>
      <c r="CH39" s="162" t="n"/>
      <c r="CI39" s="162" t="n"/>
      <c r="CJ39" s="162" t="n"/>
      <c r="CK39" s="162" t="n"/>
      <c r="CL39" s="162" t="n"/>
      <c r="CM39" s="162" t="n"/>
      <c r="CN39" s="162" t="n"/>
      <c r="CO39" s="162" t="n"/>
      <c r="CP39" s="162" t="n"/>
      <c r="CQ39" s="162" t="n"/>
      <c r="CR39" s="162" t="n"/>
      <c r="CS39" s="162" t="n"/>
      <c r="CT39" s="162" t="n"/>
    </row>
    <row r="40" ht="15" customHeight="1">
      <c r="A40" s="175" t="n">
        <v>39</v>
      </c>
      <c r="B40" s="181" t="n">
        <v>39</v>
      </c>
      <c r="C40" s="182" t="n">
        <v>45752</v>
      </c>
      <c r="D40" s="187" t="inlineStr">
        <is>
          <t>200 G. GARCERAS</t>
        </is>
      </c>
      <c r="E40" s="187" t="n">
        <v>40378</v>
      </c>
      <c r="F40" s="187" t="inlineStr">
        <is>
          <t>ALEX GOMEZ</t>
        </is>
      </c>
      <c r="G40" s="188" t="n">
        <v>3063</v>
      </c>
      <c r="H40" s="188" t="n">
        <v>3063</v>
      </c>
      <c r="I40" s="188" t="n">
        <v>3059</v>
      </c>
      <c r="J40" s="188" t="n">
        <v>4</v>
      </c>
      <c r="K40" s="188" t="n">
        <v>1</v>
      </c>
      <c r="L40" s="189" t="n">
        <v>-1</v>
      </c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  <c r="AA40" s="162" t="n"/>
      <c r="AB40" s="162" t="n"/>
      <c r="AC40" s="162" t="n"/>
      <c r="AD40" s="162" t="n"/>
      <c r="AE40" s="162" t="n"/>
      <c r="AF40" s="162" t="n"/>
      <c r="AG40" s="162" t="n"/>
      <c r="AH40" s="162" t="n"/>
      <c r="AI40" s="162" t="n"/>
      <c r="AJ40" s="162" t="n"/>
      <c r="AK40" s="162" t="n"/>
      <c r="AL40" s="162" t="n"/>
      <c r="AM40" s="162" t="n"/>
      <c r="AN40" s="162" t="n"/>
      <c r="AO40" s="162" t="n"/>
      <c r="AP40" s="162" t="n"/>
      <c r="AQ40" s="162" t="n"/>
      <c r="AR40" s="162" t="n"/>
      <c r="AS40" s="162" t="n"/>
      <c r="AT40" s="162" t="n"/>
      <c r="AU40" s="162" t="n"/>
      <c r="AV40" s="162" t="n"/>
      <c r="AW40" s="162" t="n"/>
      <c r="AX40" s="162" t="n"/>
      <c r="AY40" s="162" t="n"/>
      <c r="AZ40" s="162" t="n"/>
      <c r="BA40" s="162" t="n"/>
      <c r="BB40" s="162" t="n"/>
      <c r="BC40" s="162" t="n"/>
      <c r="BD40" s="162" t="n"/>
      <c r="BE40" s="162" t="n"/>
      <c r="BF40" s="162" t="n"/>
      <c r="BG40" s="162" t="n"/>
      <c r="BH40" s="162" t="n"/>
      <c r="BI40" s="162" t="n"/>
      <c r="BJ40" s="162" t="n"/>
      <c r="BK40" s="162" t="n"/>
      <c r="BL40" s="162" t="n"/>
      <c r="BM40" s="162" t="n"/>
      <c r="BN40" s="162" t="n"/>
      <c r="BO40" s="162" t="n"/>
      <c r="BP40" s="162" t="n"/>
      <c r="BQ40" s="162" t="n"/>
      <c r="BR40" s="162" t="n"/>
      <c r="BS40" s="162" t="n"/>
      <c r="BT40" s="162" t="n"/>
      <c r="BU40" s="162" t="n"/>
      <c r="BV40" s="162" t="n"/>
      <c r="BW40" s="162" t="n"/>
      <c r="BX40" s="162" t="n"/>
      <c r="BY40" s="162" t="n"/>
      <c r="BZ40" s="162" t="n"/>
      <c r="CA40" s="162" t="n"/>
      <c r="CB40" s="162" t="n"/>
      <c r="CC40" s="162" t="n"/>
      <c r="CD40" s="162" t="n"/>
      <c r="CE40" s="162" t="n"/>
      <c r="CF40" s="162" t="n"/>
      <c r="CG40" s="162" t="n"/>
      <c r="CH40" s="162" t="n"/>
      <c r="CI40" s="162" t="n"/>
      <c r="CJ40" s="162" t="n"/>
      <c r="CK40" s="162" t="n"/>
      <c r="CL40" s="162" t="n"/>
      <c r="CM40" s="162" t="n"/>
      <c r="CN40" s="162" t="n"/>
      <c r="CO40" s="162" t="n"/>
      <c r="CP40" s="162" t="n"/>
      <c r="CQ40" s="162" t="n"/>
      <c r="CR40" s="162" t="n"/>
      <c r="CS40" s="162" t="n"/>
      <c r="CT40" s="162" t="n"/>
    </row>
    <row r="41" ht="15" customHeight="1">
      <c r="A41" s="175" t="n">
        <v>40</v>
      </c>
      <c r="B41" s="181" t="n">
        <v>40</v>
      </c>
      <c r="C41" s="182" t="n">
        <v>45752</v>
      </c>
      <c r="D41" s="187" t="inlineStr">
        <is>
          <t>200 G. GARCERAS</t>
        </is>
      </c>
      <c r="E41" s="187" t="n">
        <v>40379</v>
      </c>
      <c r="F41" s="187" t="inlineStr">
        <is>
          <t>FABIO ALDANA</t>
        </is>
      </c>
      <c r="G41" s="188" t="n">
        <v>3364</v>
      </c>
      <c r="H41" s="188" t="n">
        <v>3364</v>
      </c>
      <c r="I41" s="188" t="n">
        <v>3354</v>
      </c>
      <c r="J41" s="188" t="n">
        <v>2</v>
      </c>
      <c r="K41" s="188" t="n">
        <v>4</v>
      </c>
      <c r="L41" s="189" t="n">
        <v>4</v>
      </c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  <c r="AA41" s="162" t="n"/>
      <c r="AB41" s="162" t="n"/>
      <c r="AC41" s="162" t="n"/>
      <c r="AD41" s="162" t="n"/>
      <c r="AE41" s="162" t="n"/>
      <c r="AF41" s="162" t="n"/>
      <c r="AG41" s="162" t="n"/>
      <c r="AH41" s="162" t="n"/>
      <c r="AI41" s="162" t="n"/>
      <c r="AJ41" s="162" t="n"/>
      <c r="AK41" s="162" t="n"/>
      <c r="AL41" s="162" t="n"/>
      <c r="AM41" s="162" t="n"/>
      <c r="AN41" s="162" t="n"/>
      <c r="AO41" s="162" t="n"/>
      <c r="AP41" s="162" t="n"/>
      <c r="AQ41" s="162" t="n"/>
      <c r="AR41" s="162" t="n"/>
      <c r="AS41" s="162" t="n"/>
      <c r="AT41" s="162" t="n"/>
      <c r="AU41" s="162" t="n"/>
      <c r="AV41" s="162" t="n"/>
      <c r="AW41" s="162" t="n"/>
      <c r="AX41" s="162" t="n"/>
      <c r="AY41" s="162" t="n"/>
      <c r="AZ41" s="162" t="n"/>
      <c r="BA41" s="162" t="n"/>
      <c r="BB41" s="162" t="n"/>
      <c r="BC41" s="162" t="n"/>
      <c r="BD41" s="162" t="n"/>
      <c r="BE41" s="162" t="n"/>
      <c r="BF41" s="162" t="n"/>
      <c r="BG41" s="162" t="n"/>
      <c r="BH41" s="162" t="n"/>
      <c r="BI41" s="162" t="n"/>
      <c r="BJ41" s="162" t="n"/>
      <c r="BK41" s="162" t="n"/>
      <c r="BL41" s="162" t="n"/>
      <c r="BM41" s="162" t="n"/>
      <c r="BN41" s="162" t="n"/>
      <c r="BO41" s="162" t="n"/>
      <c r="BP41" s="162" t="n"/>
      <c r="BQ41" s="162" t="n"/>
      <c r="BR41" s="162" t="n"/>
      <c r="BS41" s="162" t="n"/>
      <c r="BT41" s="162" t="n"/>
      <c r="BU41" s="162" t="n"/>
      <c r="BV41" s="162" t="n"/>
      <c r="BW41" s="162" t="n"/>
      <c r="BX41" s="162" t="n"/>
      <c r="BY41" s="162" t="n"/>
      <c r="BZ41" s="162" t="n"/>
      <c r="CA41" s="162" t="n"/>
      <c r="CB41" s="162" t="n"/>
      <c r="CC41" s="162" t="n"/>
      <c r="CD41" s="162" t="n"/>
      <c r="CE41" s="162" t="n"/>
      <c r="CF41" s="162" t="n"/>
      <c r="CG41" s="162" t="n"/>
      <c r="CH41" s="162" t="n"/>
      <c r="CI41" s="162" t="n"/>
      <c r="CJ41" s="162" t="n"/>
      <c r="CK41" s="162" t="n"/>
      <c r="CL41" s="162" t="n"/>
      <c r="CM41" s="162" t="n"/>
      <c r="CN41" s="162" t="n"/>
      <c r="CO41" s="162" t="n"/>
      <c r="CP41" s="162" t="n"/>
      <c r="CQ41" s="162" t="n"/>
      <c r="CR41" s="162" t="n"/>
      <c r="CS41" s="162" t="n"/>
      <c r="CT41" s="162" t="n"/>
    </row>
    <row r="42" ht="15" customHeight="1">
      <c r="A42" s="175" t="n">
        <v>41</v>
      </c>
      <c r="B42" s="181" t="n">
        <v>41</v>
      </c>
      <c r="C42" s="182" t="n">
        <v>45752</v>
      </c>
      <c r="D42" s="187" t="inlineStr">
        <is>
          <t>200 G. GARCERAS</t>
        </is>
      </c>
      <c r="E42" s="187" t="n">
        <v>40380</v>
      </c>
      <c r="F42" s="187" t="inlineStr">
        <is>
          <t>WILMER PIÑEROS</t>
        </is>
      </c>
      <c r="G42" s="188" t="n">
        <v>3364</v>
      </c>
      <c r="H42" s="188" t="n">
        <v>3364</v>
      </c>
      <c r="I42" s="188" t="n">
        <v>3352</v>
      </c>
      <c r="J42" s="188" t="n">
        <v>1</v>
      </c>
      <c r="K42" s="188" t="n">
        <v>6</v>
      </c>
      <c r="L42" s="189" t="n">
        <v>5</v>
      </c>
      <c r="M42" s="190" t="inlineStr">
        <is>
          <t>LLANO</t>
        </is>
      </c>
      <c r="N42" s="190" t="inlineStr">
        <is>
          <t>01 AL 05 ABRIL</t>
        </is>
      </c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  <c r="AA42" s="162" t="n"/>
      <c r="AB42" s="162" t="n"/>
      <c r="AC42" s="162" t="n"/>
      <c r="AD42" s="162" t="n"/>
      <c r="AE42" s="162" t="n"/>
      <c r="AF42" s="162" t="n"/>
      <c r="AG42" s="162" t="n"/>
      <c r="AH42" s="162" t="n"/>
      <c r="AI42" s="162" t="n"/>
      <c r="AJ42" s="162" t="n"/>
      <c r="AK42" s="162" t="n"/>
      <c r="AL42" s="162" t="n"/>
      <c r="AM42" s="162" t="n"/>
      <c r="AN42" s="162" t="n"/>
      <c r="AO42" s="162" t="n"/>
      <c r="AP42" s="162" t="n"/>
      <c r="AQ42" s="162" t="n"/>
      <c r="AR42" s="162" t="n"/>
      <c r="AS42" s="162" t="n"/>
      <c r="AT42" s="162" t="n"/>
      <c r="AU42" s="162" t="n"/>
      <c r="AV42" s="162" t="n"/>
      <c r="AW42" s="162" t="n"/>
      <c r="AX42" s="162" t="n"/>
      <c r="AY42" s="162" t="n"/>
      <c r="AZ42" s="162" t="n"/>
      <c r="BA42" s="162" t="n"/>
      <c r="BB42" s="162" t="n"/>
      <c r="BC42" s="162" t="n"/>
      <c r="BD42" s="162" t="n"/>
      <c r="BE42" s="162" t="n"/>
      <c r="BF42" s="162" t="n"/>
      <c r="BG42" s="162" t="n"/>
      <c r="BH42" s="162" t="n"/>
      <c r="BI42" s="162" t="n"/>
      <c r="BJ42" s="162" t="n"/>
      <c r="BK42" s="162" t="n"/>
      <c r="BL42" s="162" t="n"/>
      <c r="BM42" s="162" t="n"/>
      <c r="BN42" s="162" t="n"/>
      <c r="BO42" s="162" t="n"/>
      <c r="BP42" s="162" t="n"/>
      <c r="BQ42" s="162" t="n"/>
      <c r="BR42" s="162" t="n"/>
      <c r="BS42" s="162" t="n"/>
      <c r="BT42" s="162" t="n"/>
      <c r="BU42" s="162" t="n"/>
      <c r="BV42" s="162" t="n"/>
      <c r="BW42" s="162" t="n"/>
      <c r="BX42" s="162" t="n"/>
      <c r="BY42" s="162" t="n"/>
      <c r="BZ42" s="162" t="n"/>
      <c r="CA42" s="162" t="n"/>
      <c r="CB42" s="162" t="n"/>
      <c r="CC42" s="162" t="n"/>
      <c r="CD42" s="162" t="n"/>
      <c r="CE42" s="162" t="n"/>
      <c r="CF42" s="162" t="n"/>
      <c r="CG42" s="162" t="n"/>
      <c r="CH42" s="162" t="n"/>
      <c r="CI42" s="162" t="n"/>
      <c r="CJ42" s="162" t="n"/>
      <c r="CK42" s="162" t="n"/>
      <c r="CL42" s="162" t="n"/>
      <c r="CM42" s="162" t="n"/>
      <c r="CN42" s="162" t="n"/>
      <c r="CO42" s="162" t="n"/>
      <c r="CP42" s="162" t="n"/>
      <c r="CQ42" s="162" t="n"/>
      <c r="CR42" s="162" t="n"/>
      <c r="CS42" s="162" t="n"/>
      <c r="CT42" s="162" t="n"/>
    </row>
    <row r="43" ht="15" customHeight="1">
      <c r="A43" s="175" t="n">
        <v>42</v>
      </c>
      <c r="B43" s="181" t="n">
        <v>42</v>
      </c>
      <c r="C43" s="182" t="n">
        <v>45752</v>
      </c>
      <c r="D43" s="187" t="inlineStr">
        <is>
          <t>200 G. GARCERAS</t>
        </is>
      </c>
      <c r="E43" s="187" t="n">
        <v>40381</v>
      </c>
      <c r="F43" s="187" t="inlineStr">
        <is>
          <t>JHON ARIAS</t>
        </is>
      </c>
      <c r="G43" s="188" t="n">
        <v>3364</v>
      </c>
      <c r="H43" s="188" t="n">
        <v>3364</v>
      </c>
      <c r="I43" s="188" t="n">
        <v>3364</v>
      </c>
      <c r="J43" s="188" t="n">
        <v>5</v>
      </c>
      <c r="K43" s="188" t="n">
        <v>2</v>
      </c>
      <c r="L43" s="189" t="n">
        <v>-7</v>
      </c>
      <c r="M43" s="162" t="inlineStr">
        <is>
          <t>VIAJES</t>
        </is>
      </c>
      <c r="N43" s="191" t="n">
        <v>43</v>
      </c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  <c r="AA43" s="162" t="n"/>
      <c r="AB43" s="162" t="n"/>
      <c r="AC43" s="162" t="n"/>
      <c r="AD43" s="162" t="n"/>
      <c r="AE43" s="162" t="n"/>
      <c r="AF43" s="162" t="n"/>
      <c r="AG43" s="162" t="n"/>
      <c r="AH43" s="162" t="n"/>
      <c r="AI43" s="162" t="n"/>
      <c r="AJ43" s="162" t="n"/>
      <c r="AK43" s="162" t="n"/>
      <c r="AL43" s="162" t="n"/>
      <c r="AM43" s="162" t="n"/>
      <c r="AN43" s="162" t="n"/>
      <c r="AO43" s="162" t="n"/>
      <c r="AP43" s="162" t="n"/>
      <c r="AQ43" s="162" t="n"/>
      <c r="AR43" s="162" t="n"/>
      <c r="AS43" s="162" t="n"/>
      <c r="AT43" s="162" t="n"/>
      <c r="AU43" s="162" t="n"/>
      <c r="AV43" s="162" t="n"/>
      <c r="AW43" s="162" t="n"/>
      <c r="AX43" s="162" t="n"/>
      <c r="AY43" s="162" t="n"/>
      <c r="AZ43" s="162" t="n"/>
      <c r="BA43" s="162" t="n"/>
      <c r="BB43" s="162" t="n"/>
      <c r="BC43" s="162" t="n"/>
      <c r="BD43" s="162" t="n"/>
      <c r="BE43" s="162" t="n"/>
      <c r="BF43" s="162" t="n"/>
      <c r="BG43" s="162" t="n"/>
      <c r="BH43" s="162" t="n"/>
      <c r="BI43" s="162" t="n"/>
      <c r="BJ43" s="162" t="n"/>
      <c r="BK43" s="162" t="n"/>
      <c r="BL43" s="162" t="n"/>
      <c r="BM43" s="162" t="n"/>
      <c r="BN43" s="162" t="n"/>
      <c r="BO43" s="162" t="n"/>
      <c r="BP43" s="162" t="n"/>
      <c r="BQ43" s="162" t="n"/>
      <c r="BR43" s="162" t="n"/>
      <c r="BS43" s="162" t="n"/>
      <c r="BT43" s="162" t="n"/>
      <c r="BU43" s="162" t="n"/>
      <c r="BV43" s="162" t="n"/>
      <c r="BW43" s="162" t="n"/>
      <c r="BX43" s="162" t="n"/>
      <c r="BY43" s="162" t="n"/>
      <c r="BZ43" s="162" t="n"/>
      <c r="CA43" s="162" t="n"/>
      <c r="CB43" s="162" t="n"/>
      <c r="CC43" s="162" t="n"/>
      <c r="CD43" s="162" t="n"/>
      <c r="CE43" s="162" t="n"/>
      <c r="CF43" s="162" t="n"/>
      <c r="CG43" s="162" t="n"/>
      <c r="CH43" s="162" t="n"/>
      <c r="CI43" s="162" t="n"/>
      <c r="CJ43" s="162" t="n"/>
      <c r="CK43" s="162" t="n"/>
      <c r="CL43" s="162" t="n"/>
      <c r="CM43" s="162" t="n"/>
      <c r="CN43" s="162" t="n"/>
      <c r="CO43" s="162" t="n"/>
      <c r="CP43" s="162" t="n"/>
      <c r="CQ43" s="162" t="n"/>
      <c r="CR43" s="162" t="n"/>
      <c r="CS43" s="162" t="n"/>
      <c r="CT43" s="162" t="n"/>
    </row>
    <row r="44" ht="15" customHeight="1">
      <c r="A44" s="175" t="n">
        <v>43</v>
      </c>
      <c r="B44" s="192" t="n">
        <v>43</v>
      </c>
      <c r="C44" s="193" t="n">
        <v>45752</v>
      </c>
      <c r="D44" s="194" t="inlineStr">
        <is>
          <t>200 G. GARCERAS</t>
        </is>
      </c>
      <c r="E44" s="194" t="n">
        <v>40382</v>
      </c>
      <c r="F44" s="194" t="inlineStr">
        <is>
          <t>DUMAR ANGARITA</t>
        </is>
      </c>
      <c r="G44" s="195" t="n">
        <v>3100</v>
      </c>
      <c r="H44" s="195" t="n">
        <v>3140</v>
      </c>
      <c r="I44" s="195" t="n">
        <v>3137</v>
      </c>
      <c r="J44" s="195" t="n">
        <v>5</v>
      </c>
      <c r="K44" s="195" t="n">
        <v>3</v>
      </c>
      <c r="L44" s="196" t="n">
        <v>-45</v>
      </c>
      <c r="M44" s="162" t="inlineStr">
        <is>
          <t>TOTAL POLLOS</t>
        </is>
      </c>
      <c r="N44" s="191">
        <f>SUM(H6:H48)</f>
        <v/>
      </c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  <c r="AA44" s="162" t="n"/>
      <c r="AB44" s="162" t="n"/>
      <c r="AC44" s="162" t="n"/>
      <c r="AD44" s="162" t="n"/>
      <c r="AE44" s="162" t="n"/>
      <c r="AF44" s="162" t="n"/>
      <c r="AG44" s="162" t="n"/>
      <c r="AH44" s="162" t="n"/>
      <c r="AI44" s="162" t="n"/>
      <c r="AJ44" s="162" t="n"/>
      <c r="AK44" s="162" t="n"/>
      <c r="AL44" s="162" t="n"/>
      <c r="AM44" s="162" t="n"/>
      <c r="AN44" s="162" t="n"/>
      <c r="AO44" s="162" t="n"/>
      <c r="AP44" s="162" t="n"/>
      <c r="AQ44" s="162" t="n"/>
      <c r="AR44" s="162" t="n"/>
      <c r="AS44" s="162" t="n"/>
      <c r="AT44" s="162" t="n"/>
      <c r="AU44" s="162" t="n"/>
      <c r="AV44" s="162" t="n"/>
      <c r="AW44" s="162" t="n"/>
      <c r="AX44" s="162" t="n"/>
      <c r="AY44" s="162" t="n"/>
      <c r="AZ44" s="162" t="n"/>
      <c r="BA44" s="162" t="n"/>
      <c r="BB44" s="162" t="n"/>
      <c r="BC44" s="162" t="n"/>
      <c r="BD44" s="162" t="n"/>
      <c r="BE44" s="162" t="n"/>
      <c r="BF44" s="162" t="n"/>
      <c r="BG44" s="162" t="n"/>
      <c r="BH44" s="162" t="n"/>
      <c r="BI44" s="162" t="n"/>
      <c r="BJ44" s="162" t="n"/>
      <c r="BK44" s="162" t="n"/>
      <c r="BL44" s="162" t="n"/>
      <c r="BM44" s="162" t="n"/>
      <c r="BN44" s="162" t="n"/>
      <c r="BO44" s="162" t="n"/>
      <c r="BP44" s="162" t="n"/>
      <c r="BQ44" s="162" t="n"/>
      <c r="BR44" s="162" t="n"/>
      <c r="BS44" s="162" t="n"/>
      <c r="BT44" s="162" t="n"/>
      <c r="BU44" s="162" t="n"/>
      <c r="BV44" s="162" t="n"/>
      <c r="BW44" s="162" t="n"/>
      <c r="BX44" s="162" t="n"/>
      <c r="BY44" s="162" t="n"/>
      <c r="BZ44" s="162" t="n"/>
      <c r="CA44" s="162" t="n"/>
      <c r="CB44" s="162" t="n"/>
      <c r="CC44" s="162" t="n"/>
      <c r="CD44" s="162" t="n"/>
      <c r="CE44" s="162" t="n"/>
      <c r="CF44" s="162" t="n"/>
      <c r="CG44" s="162" t="n"/>
      <c r="CH44" s="162" t="n"/>
      <c r="CI44" s="162" t="n"/>
      <c r="CJ44" s="162" t="n"/>
      <c r="CK44" s="162" t="n"/>
      <c r="CL44" s="162" t="n"/>
      <c r="CM44" s="162" t="n"/>
      <c r="CN44" s="162" t="n"/>
      <c r="CO44" s="162" t="n"/>
      <c r="CP44" s="162" t="n"/>
      <c r="CQ44" s="162" t="n"/>
      <c r="CR44" s="162" t="n"/>
      <c r="CS44" s="162" t="n"/>
      <c r="CT44" s="162" t="n"/>
    </row>
    <row r="45" ht="18.75" customHeight="1">
      <c r="A45" s="175" t="n">
        <v>44</v>
      </c>
      <c r="B45" s="176" t="n">
        <v>1</v>
      </c>
      <c r="C45" s="177" t="n">
        <v>45754</v>
      </c>
      <c r="D45" s="178" t="inlineStr">
        <is>
          <t>200 G. GARCERAS</t>
        </is>
      </c>
      <c r="E45" s="178" t="n">
        <v>40383</v>
      </c>
      <c r="F45" s="178" t="inlineStr">
        <is>
          <t>YAIR RIVEROS</t>
        </is>
      </c>
      <c r="G45" s="179" t="n">
        <v>3419</v>
      </c>
      <c r="H45" s="179" t="n">
        <v>3419</v>
      </c>
      <c r="I45" s="179" t="n">
        <v>3408</v>
      </c>
      <c r="J45" s="179" t="n">
        <v>6</v>
      </c>
      <c r="K45" s="179" t="n">
        <v>5</v>
      </c>
      <c r="L45" s="180" t="n">
        <v>0</v>
      </c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  <c r="AA45" s="162" t="n"/>
      <c r="AB45" s="162" t="n"/>
      <c r="AC45" s="162" t="n"/>
      <c r="AD45" s="162" t="n"/>
      <c r="AE45" s="162" t="n"/>
      <c r="AF45" s="162" t="n"/>
      <c r="AG45" s="162" t="n"/>
      <c r="AH45" s="162" t="n"/>
      <c r="AI45" s="162" t="n"/>
      <c r="AJ45" s="162" t="n"/>
      <c r="AK45" s="162" t="n"/>
      <c r="AL45" s="162" t="n"/>
      <c r="AM45" s="162" t="n"/>
      <c r="AN45" s="162" t="n"/>
      <c r="AO45" s="162" t="n"/>
      <c r="AP45" s="162" t="n"/>
      <c r="AQ45" s="162" t="n"/>
      <c r="AR45" s="162" t="n"/>
      <c r="AS45" s="162" t="n"/>
      <c r="AT45" s="162" t="n"/>
      <c r="AU45" s="162" t="n"/>
      <c r="AV45" s="162" t="n"/>
      <c r="AW45" s="162" t="n"/>
      <c r="AX45" s="162" t="n"/>
      <c r="AY45" s="162" t="n"/>
      <c r="AZ45" s="162" t="n"/>
      <c r="BA45" s="162" t="n"/>
      <c r="BB45" s="162" t="n"/>
      <c r="BC45" s="162" t="n"/>
      <c r="BD45" s="162" t="n"/>
      <c r="BE45" s="162" t="n"/>
      <c r="BF45" s="162" t="n"/>
      <c r="BG45" s="162" t="n"/>
      <c r="BH45" s="162" t="n"/>
      <c r="BI45" s="162" t="n"/>
      <c r="BJ45" s="162" t="n"/>
      <c r="BK45" s="162" t="n"/>
      <c r="BL45" s="162" t="n"/>
      <c r="BM45" s="162" t="n"/>
      <c r="BN45" s="162" t="n"/>
      <c r="BO45" s="162" t="n"/>
      <c r="BP45" s="162" t="n"/>
      <c r="BQ45" s="162" t="n"/>
      <c r="BR45" s="162" t="n"/>
      <c r="BS45" s="162" t="n"/>
      <c r="BT45" s="162" t="n"/>
      <c r="BU45" s="162" t="n"/>
      <c r="BV45" s="162" t="n"/>
      <c r="BW45" s="162" t="n"/>
      <c r="BX45" s="162" t="n"/>
      <c r="BY45" s="162" t="n"/>
      <c r="BZ45" s="162" t="n"/>
      <c r="CA45" s="162" t="n"/>
      <c r="CB45" s="162" t="n"/>
      <c r="CC45" s="162" t="n"/>
      <c r="CD45" s="162" t="n"/>
      <c r="CE45" s="162" t="n"/>
      <c r="CF45" s="162" t="n"/>
      <c r="CG45" s="162" t="n"/>
      <c r="CH45" s="162" t="n"/>
      <c r="CI45" s="162" t="n"/>
      <c r="CJ45" s="162" t="n"/>
      <c r="CK45" s="162" t="n"/>
      <c r="CL45" s="162" t="n"/>
      <c r="CM45" s="162" t="n"/>
      <c r="CN45" s="162" t="n"/>
      <c r="CO45" s="162" t="n"/>
      <c r="CP45" s="162" t="n"/>
      <c r="CQ45" s="162" t="n"/>
      <c r="CR45" s="162" t="n"/>
      <c r="CS45" s="162" t="n"/>
      <c r="CT45" s="162" t="n"/>
    </row>
    <row r="46" ht="18.75" customHeight="1">
      <c r="A46" s="175" t="n">
        <v>45</v>
      </c>
      <c r="B46" s="181" t="n">
        <v>2</v>
      </c>
      <c r="C46" s="182" t="n">
        <v>45754</v>
      </c>
      <c r="D46" s="183" t="inlineStr">
        <is>
          <t>200 G. GARCERAS</t>
        </is>
      </c>
      <c r="E46" s="183" t="n">
        <v>40384</v>
      </c>
      <c r="F46" s="183" t="inlineStr">
        <is>
          <t>JHON AGUIRRE</t>
        </is>
      </c>
      <c r="G46" s="184" t="n">
        <v>3419</v>
      </c>
      <c r="H46" s="184" t="n">
        <v>3419</v>
      </c>
      <c r="I46" s="184" t="n">
        <v>3412</v>
      </c>
      <c r="J46" s="184" t="n">
        <v>3</v>
      </c>
      <c r="K46" s="184" t="n">
        <v>5</v>
      </c>
      <c r="L46" s="185" t="n">
        <v>-1</v>
      </c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  <c r="AA46" s="162" t="n"/>
      <c r="AB46" s="162" t="n"/>
      <c r="AC46" s="162" t="n"/>
      <c r="AD46" s="162" t="n"/>
      <c r="AE46" s="162" t="n"/>
      <c r="AF46" s="162" t="n"/>
      <c r="AG46" s="162" t="n"/>
      <c r="AH46" s="162" t="n"/>
      <c r="AI46" s="162" t="n"/>
      <c r="AJ46" s="162" t="n"/>
      <c r="AK46" s="162" t="n"/>
      <c r="AL46" s="162" t="n"/>
      <c r="AM46" s="162" t="n"/>
      <c r="AN46" s="162" t="n"/>
      <c r="AO46" s="162" t="n"/>
      <c r="AP46" s="162" t="n"/>
      <c r="AQ46" s="162" t="n"/>
      <c r="AR46" s="162" t="n"/>
      <c r="AS46" s="162" t="n"/>
      <c r="AT46" s="162" t="n"/>
      <c r="AU46" s="162" t="n"/>
      <c r="AV46" s="162" t="n"/>
      <c r="AW46" s="162" t="n"/>
      <c r="AX46" s="162" t="n"/>
      <c r="AY46" s="162" t="n"/>
      <c r="AZ46" s="162" t="n"/>
      <c r="BA46" s="162" t="n"/>
      <c r="BB46" s="162" t="n"/>
      <c r="BC46" s="162" t="n"/>
      <c r="BD46" s="162" t="n"/>
      <c r="BE46" s="162" t="n"/>
      <c r="BF46" s="162" t="n"/>
      <c r="BG46" s="162" t="n"/>
      <c r="BH46" s="162" t="n"/>
      <c r="BI46" s="162" t="n"/>
      <c r="BJ46" s="162" t="n"/>
      <c r="BK46" s="162" t="n"/>
      <c r="BL46" s="162" t="n"/>
      <c r="BM46" s="162" t="n"/>
      <c r="BN46" s="162" t="n"/>
      <c r="BO46" s="162" t="n"/>
      <c r="BP46" s="162" t="n"/>
      <c r="BQ46" s="162" t="n"/>
      <c r="BR46" s="162" t="n"/>
      <c r="BS46" s="162" t="n"/>
      <c r="BT46" s="162" t="n"/>
      <c r="BU46" s="162" t="n"/>
      <c r="BV46" s="162" t="n"/>
      <c r="BW46" s="162" t="n"/>
      <c r="BX46" s="162" t="n"/>
      <c r="BY46" s="162" t="n"/>
      <c r="BZ46" s="162" t="n"/>
      <c r="CA46" s="162" t="n"/>
      <c r="CB46" s="162" t="n"/>
      <c r="CC46" s="162" t="n"/>
      <c r="CD46" s="162" t="n"/>
      <c r="CE46" s="162" t="n"/>
      <c r="CF46" s="162" t="n"/>
      <c r="CG46" s="162" t="n"/>
      <c r="CH46" s="162" t="n"/>
      <c r="CI46" s="162" t="n"/>
      <c r="CJ46" s="162" t="n"/>
      <c r="CK46" s="162" t="n"/>
      <c r="CL46" s="162" t="n"/>
      <c r="CM46" s="162" t="n"/>
      <c r="CN46" s="162" t="n"/>
      <c r="CO46" s="162" t="n"/>
      <c r="CP46" s="162" t="n"/>
      <c r="CQ46" s="162" t="n"/>
      <c r="CR46" s="162" t="n"/>
      <c r="CS46" s="162" t="n"/>
      <c r="CT46" s="162" t="n"/>
    </row>
    <row r="47" ht="18.75" customHeight="1">
      <c r="A47" s="175" t="n">
        <v>46</v>
      </c>
      <c r="B47" s="181" t="n">
        <v>3</v>
      </c>
      <c r="C47" s="182" t="n">
        <v>45754</v>
      </c>
      <c r="D47" s="183" t="inlineStr">
        <is>
          <t>200 G. GARCERAS</t>
        </is>
      </c>
      <c r="E47" s="183" t="n">
        <v>40385</v>
      </c>
      <c r="F47" s="183" t="inlineStr">
        <is>
          <t>JOSE SOLER</t>
        </is>
      </c>
      <c r="G47" s="184" t="n">
        <v>3531</v>
      </c>
      <c r="H47" s="184" t="n">
        <v>3531</v>
      </c>
      <c r="I47" s="184" t="n">
        <v>3524</v>
      </c>
      <c r="J47" s="184" t="n">
        <v>2</v>
      </c>
      <c r="K47" s="184" t="n">
        <v>5</v>
      </c>
      <c r="L47" s="185" t="n">
        <v>0</v>
      </c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  <c r="AA47" s="162" t="n"/>
      <c r="AB47" s="162" t="n"/>
      <c r="AC47" s="162" t="n"/>
      <c r="AD47" s="162" t="n"/>
      <c r="AE47" s="162" t="n"/>
      <c r="AF47" s="162" t="n"/>
      <c r="AG47" s="162" t="n"/>
      <c r="AH47" s="162" t="n"/>
      <c r="AI47" s="162" t="n"/>
      <c r="AJ47" s="162" t="n"/>
      <c r="AK47" s="162" t="n"/>
      <c r="AL47" s="162" t="n"/>
      <c r="AM47" s="162" t="n"/>
      <c r="AN47" s="162" t="n"/>
      <c r="AO47" s="162" t="n"/>
      <c r="AP47" s="162" t="n"/>
      <c r="AQ47" s="162" t="n"/>
      <c r="AR47" s="162" t="n"/>
      <c r="AS47" s="162" t="n"/>
      <c r="AT47" s="162" t="n"/>
      <c r="AU47" s="162" t="n"/>
      <c r="AV47" s="162" t="n"/>
      <c r="AW47" s="162" t="n"/>
      <c r="AX47" s="162" t="n"/>
      <c r="AY47" s="162" t="n"/>
      <c r="AZ47" s="162" t="n"/>
      <c r="BA47" s="162" t="n"/>
      <c r="BB47" s="162" t="n"/>
      <c r="BC47" s="162" t="n"/>
      <c r="BD47" s="162" t="n"/>
      <c r="BE47" s="162" t="n"/>
      <c r="BF47" s="162" t="n"/>
      <c r="BG47" s="162" t="n"/>
      <c r="BH47" s="162" t="n"/>
      <c r="BI47" s="162" t="n"/>
      <c r="BJ47" s="162" t="n"/>
      <c r="BK47" s="162" t="n"/>
      <c r="BL47" s="162" t="n"/>
      <c r="BM47" s="162" t="n"/>
      <c r="BN47" s="162" t="n"/>
      <c r="BO47" s="162" t="n"/>
      <c r="BP47" s="162" t="n"/>
      <c r="BQ47" s="162" t="n"/>
      <c r="BR47" s="162" t="n"/>
      <c r="BS47" s="162" t="n"/>
      <c r="BT47" s="162" t="n"/>
      <c r="BU47" s="162" t="n"/>
      <c r="BV47" s="162" t="n"/>
      <c r="BW47" s="162" t="n"/>
      <c r="BX47" s="162" t="n"/>
      <c r="BY47" s="162" t="n"/>
      <c r="BZ47" s="162" t="n"/>
      <c r="CA47" s="162" t="n"/>
      <c r="CB47" s="162" t="n"/>
      <c r="CC47" s="162" t="n"/>
      <c r="CD47" s="162" t="n"/>
      <c r="CE47" s="162" t="n"/>
      <c r="CF47" s="162" t="n"/>
      <c r="CG47" s="162" t="n"/>
      <c r="CH47" s="162" t="n"/>
      <c r="CI47" s="162" t="n"/>
      <c r="CJ47" s="162" t="n"/>
      <c r="CK47" s="162" t="n"/>
      <c r="CL47" s="162" t="n"/>
      <c r="CM47" s="162" t="n"/>
      <c r="CN47" s="162" t="n"/>
      <c r="CO47" s="162" t="n"/>
      <c r="CP47" s="162" t="n"/>
      <c r="CQ47" s="162" t="n"/>
      <c r="CR47" s="162" t="n"/>
      <c r="CS47" s="162" t="n"/>
      <c r="CT47" s="162" t="n"/>
    </row>
    <row r="48" ht="18.75" customHeight="1">
      <c r="A48" s="175" t="n">
        <v>47</v>
      </c>
      <c r="B48" s="181" t="n">
        <v>4</v>
      </c>
      <c r="C48" s="182" t="n">
        <v>45754</v>
      </c>
      <c r="D48" s="183" t="inlineStr">
        <is>
          <t>200 G. GARCERAS</t>
        </is>
      </c>
      <c r="E48" s="183" t="n">
        <v>40386</v>
      </c>
      <c r="F48" s="183" t="inlineStr">
        <is>
          <t>JAIRO CUBILLOS</t>
        </is>
      </c>
      <c r="G48" s="184" t="n">
        <v>3789</v>
      </c>
      <c r="H48" s="184" t="n">
        <v>3789</v>
      </c>
      <c r="I48" s="184" t="n">
        <v>3756</v>
      </c>
      <c r="J48" s="184" t="n">
        <v>21</v>
      </c>
      <c r="K48" s="184" t="n">
        <v>6</v>
      </c>
      <c r="L48" s="185" t="n">
        <v>6</v>
      </c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  <c r="AA48" s="162" t="n"/>
      <c r="AB48" s="162" t="n"/>
      <c r="AC48" s="162" t="n"/>
      <c r="AD48" s="162" t="n"/>
      <c r="AE48" s="162" t="n"/>
      <c r="AF48" s="162" t="n"/>
      <c r="AG48" s="162" t="n"/>
      <c r="AH48" s="162" t="n"/>
      <c r="AI48" s="162" t="n"/>
      <c r="AJ48" s="162" t="n"/>
      <c r="AK48" s="162" t="n"/>
      <c r="AL48" s="162" t="n"/>
      <c r="AM48" s="162" t="n"/>
      <c r="AN48" s="162" t="n"/>
      <c r="AO48" s="162" t="n"/>
      <c r="AP48" s="162" t="n"/>
      <c r="AQ48" s="162" t="n"/>
      <c r="AR48" s="162" t="n"/>
      <c r="AS48" s="162" t="n"/>
      <c r="AT48" s="162" t="n"/>
      <c r="AU48" s="162" t="n"/>
      <c r="AV48" s="162" t="n"/>
      <c r="AW48" s="162" t="n"/>
      <c r="AX48" s="162" t="n"/>
      <c r="AY48" s="162" t="n"/>
      <c r="AZ48" s="162" t="n"/>
      <c r="BA48" s="162" t="n"/>
      <c r="BB48" s="162" t="n"/>
      <c r="BC48" s="162" t="n"/>
      <c r="BD48" s="162" t="n"/>
      <c r="BE48" s="162" t="n"/>
      <c r="BF48" s="162" t="n"/>
      <c r="BG48" s="162" t="n"/>
      <c r="BH48" s="162" t="n"/>
      <c r="BI48" s="162" t="n"/>
      <c r="BJ48" s="162" t="n"/>
      <c r="BK48" s="162" t="n"/>
      <c r="BL48" s="162" t="n"/>
      <c r="BM48" s="162" t="n"/>
      <c r="BN48" s="162" t="n"/>
      <c r="BO48" s="162" t="n"/>
      <c r="BP48" s="162" t="n"/>
      <c r="BQ48" s="162" t="n"/>
      <c r="BR48" s="162" t="n"/>
      <c r="BS48" s="162" t="n"/>
      <c r="BT48" s="162" t="n"/>
      <c r="BU48" s="162" t="n"/>
      <c r="BV48" s="162" t="n"/>
      <c r="BW48" s="162" t="n"/>
      <c r="BX48" s="162" t="n"/>
      <c r="BY48" s="162" t="n"/>
      <c r="BZ48" s="162" t="n"/>
      <c r="CA48" s="162" t="n"/>
      <c r="CB48" s="162" t="n"/>
      <c r="CC48" s="162" t="n"/>
      <c r="CD48" s="162" t="n"/>
      <c r="CE48" s="162" t="n"/>
      <c r="CF48" s="162" t="n"/>
      <c r="CG48" s="162" t="n"/>
      <c r="CH48" s="162" t="n"/>
      <c r="CI48" s="162" t="n"/>
      <c r="CJ48" s="162" t="n"/>
      <c r="CK48" s="162" t="n"/>
      <c r="CL48" s="162" t="n"/>
      <c r="CM48" s="162" t="n"/>
      <c r="CN48" s="162" t="n"/>
      <c r="CO48" s="162" t="n"/>
      <c r="CP48" s="162" t="n"/>
      <c r="CQ48" s="162" t="n"/>
      <c r="CR48" s="162" t="n"/>
      <c r="CS48" s="162" t="n"/>
      <c r="CT48" s="162" t="n"/>
    </row>
    <row r="49" ht="18.75" customHeight="1">
      <c r="A49" s="175" t="n">
        <v>48</v>
      </c>
      <c r="B49" s="181" t="n">
        <v>5</v>
      </c>
      <c r="C49" s="182" t="n">
        <v>45754</v>
      </c>
      <c r="D49" s="183" t="inlineStr">
        <is>
          <t>200 G. GARCERAS</t>
        </is>
      </c>
      <c r="E49" s="183" t="n">
        <v>40387</v>
      </c>
      <c r="F49" s="183" t="inlineStr">
        <is>
          <t>MANUEL QUITIAN</t>
        </is>
      </c>
      <c r="G49" s="184" t="n">
        <v>3789</v>
      </c>
      <c r="H49" s="184" t="n">
        <v>3789</v>
      </c>
      <c r="I49" s="184" t="n">
        <v>3779</v>
      </c>
      <c r="J49" s="184" t="n">
        <v>2</v>
      </c>
      <c r="K49" s="184" t="n">
        <v>4</v>
      </c>
      <c r="L49" s="185" t="n">
        <v>4</v>
      </c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  <c r="AA49" s="162" t="n"/>
      <c r="AB49" s="162" t="n"/>
      <c r="AC49" s="162" t="n"/>
      <c r="AD49" s="162" t="n"/>
      <c r="AE49" s="162" t="n"/>
      <c r="AF49" s="162" t="n"/>
      <c r="AG49" s="162" t="n"/>
      <c r="AH49" s="162" t="n"/>
      <c r="AI49" s="162" t="n"/>
      <c r="AJ49" s="162" t="n"/>
      <c r="AK49" s="162" t="n"/>
      <c r="AL49" s="162" t="n"/>
      <c r="AM49" s="162" t="n"/>
      <c r="AN49" s="162" t="n"/>
      <c r="AO49" s="162" t="n"/>
      <c r="AP49" s="162" t="n"/>
      <c r="AQ49" s="162" t="n"/>
      <c r="AR49" s="162" t="n"/>
      <c r="AS49" s="162" t="n"/>
      <c r="AT49" s="162" t="n"/>
      <c r="AU49" s="162" t="n"/>
      <c r="AV49" s="162" t="n"/>
      <c r="AW49" s="162" t="n"/>
      <c r="AX49" s="162" t="n"/>
      <c r="AY49" s="162" t="n"/>
      <c r="AZ49" s="162" t="n"/>
      <c r="BA49" s="162" t="n"/>
      <c r="BB49" s="162" t="n"/>
      <c r="BC49" s="162" t="n"/>
      <c r="BD49" s="162" t="n"/>
      <c r="BE49" s="162" t="n"/>
      <c r="BF49" s="162" t="n"/>
      <c r="BG49" s="162" t="n"/>
      <c r="BH49" s="162" t="n"/>
      <c r="BI49" s="162" t="n"/>
      <c r="BJ49" s="162" t="n"/>
      <c r="BK49" s="162" t="n"/>
      <c r="BL49" s="162" t="n"/>
      <c r="BM49" s="162" t="n"/>
      <c r="BN49" s="162" t="n"/>
      <c r="BO49" s="162" t="n"/>
      <c r="BP49" s="162" t="n"/>
      <c r="BQ49" s="162" t="n"/>
      <c r="BR49" s="162" t="n"/>
      <c r="BS49" s="162" t="n"/>
      <c r="BT49" s="162" t="n"/>
      <c r="BU49" s="162" t="n"/>
      <c r="BV49" s="162" t="n"/>
      <c r="BW49" s="162" t="n"/>
      <c r="BX49" s="162" t="n"/>
      <c r="BY49" s="162" t="n"/>
      <c r="BZ49" s="162" t="n"/>
      <c r="CA49" s="162" t="n"/>
      <c r="CB49" s="162" t="n"/>
      <c r="CC49" s="162" t="n"/>
      <c r="CD49" s="162" t="n"/>
      <c r="CE49" s="162" t="n"/>
      <c r="CF49" s="162" t="n"/>
      <c r="CG49" s="162" t="n"/>
      <c r="CH49" s="162" t="n"/>
      <c r="CI49" s="162" t="n"/>
      <c r="CJ49" s="162" t="n"/>
      <c r="CK49" s="162" t="n"/>
      <c r="CL49" s="162" t="n"/>
      <c r="CM49" s="162" t="n"/>
      <c r="CN49" s="162" t="n"/>
      <c r="CO49" s="162" t="n"/>
      <c r="CP49" s="162" t="n"/>
      <c r="CQ49" s="162" t="n"/>
      <c r="CR49" s="162" t="n"/>
      <c r="CS49" s="162" t="n"/>
      <c r="CT49" s="162" t="n"/>
    </row>
    <row r="50" ht="18.75" customHeight="1">
      <c r="A50" s="175" t="n">
        <v>49</v>
      </c>
      <c r="B50" s="181" t="n">
        <v>6</v>
      </c>
      <c r="C50" s="182" t="n">
        <v>45754</v>
      </c>
      <c r="D50" s="183" t="inlineStr">
        <is>
          <t>218 G. SAN JOSE 1</t>
        </is>
      </c>
      <c r="E50" s="183" t="n">
        <v>40388</v>
      </c>
      <c r="F50" s="183" t="inlineStr">
        <is>
          <t>DIEGO NIÑO</t>
        </is>
      </c>
      <c r="G50" s="184" t="n">
        <v>3599</v>
      </c>
      <c r="H50" s="184" t="n">
        <v>3599</v>
      </c>
      <c r="I50" s="184" t="n">
        <v>3587</v>
      </c>
      <c r="J50" s="184" t="n">
        <v>1</v>
      </c>
      <c r="K50" s="184" t="n">
        <v>5</v>
      </c>
      <c r="L50" s="185" t="n">
        <v>6</v>
      </c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  <c r="AA50" s="162" t="n"/>
      <c r="AB50" s="162" t="n"/>
      <c r="AC50" s="162" t="n"/>
      <c r="AD50" s="162" t="n"/>
      <c r="AE50" s="162" t="n"/>
      <c r="AF50" s="162" t="n"/>
      <c r="AG50" s="162" t="n"/>
      <c r="AH50" s="162" t="n"/>
      <c r="AI50" s="162" t="n"/>
      <c r="AJ50" s="162" t="n"/>
      <c r="AK50" s="162" t="n"/>
      <c r="AL50" s="162" t="n"/>
      <c r="AM50" s="162" t="n"/>
      <c r="AN50" s="162" t="n"/>
      <c r="AO50" s="162" t="n"/>
      <c r="AP50" s="162" t="n"/>
      <c r="AQ50" s="162" t="n"/>
      <c r="AR50" s="162" t="n"/>
      <c r="AS50" s="162" t="n"/>
      <c r="AT50" s="162" t="n"/>
      <c r="AU50" s="162" t="n"/>
      <c r="AV50" s="162" t="n"/>
      <c r="AW50" s="162" t="n"/>
      <c r="AX50" s="162" t="n"/>
      <c r="AY50" s="162" t="n"/>
      <c r="AZ50" s="162" t="n"/>
      <c r="BA50" s="162" t="n"/>
      <c r="BB50" s="162" t="n"/>
      <c r="BC50" s="162" t="n"/>
      <c r="BD50" s="162" t="n"/>
      <c r="BE50" s="162" t="n"/>
      <c r="BF50" s="162" t="n"/>
      <c r="BG50" s="162" t="n"/>
      <c r="BH50" s="162" t="n"/>
      <c r="BI50" s="162" t="n"/>
      <c r="BJ50" s="162" t="n"/>
      <c r="BK50" s="162" t="n"/>
      <c r="BL50" s="162" t="n"/>
      <c r="BM50" s="162" t="n"/>
      <c r="BN50" s="162" t="n"/>
      <c r="BO50" s="162" t="n"/>
      <c r="BP50" s="162" t="n"/>
      <c r="BQ50" s="162" t="n"/>
      <c r="BR50" s="162" t="n"/>
      <c r="BS50" s="162" t="n"/>
      <c r="BT50" s="162" t="n"/>
      <c r="BU50" s="162" t="n"/>
      <c r="BV50" s="162" t="n"/>
      <c r="BW50" s="162" t="n"/>
      <c r="BX50" s="162" t="n"/>
      <c r="BY50" s="162" t="n"/>
      <c r="BZ50" s="162" t="n"/>
      <c r="CA50" s="162" t="n"/>
      <c r="CB50" s="162" t="n"/>
      <c r="CC50" s="162" t="n"/>
      <c r="CD50" s="162" t="n"/>
      <c r="CE50" s="162" t="n"/>
      <c r="CF50" s="162" t="n"/>
      <c r="CG50" s="162" t="n"/>
      <c r="CH50" s="162" t="n"/>
      <c r="CI50" s="162" t="n"/>
      <c r="CJ50" s="162" t="n"/>
      <c r="CK50" s="162" t="n"/>
      <c r="CL50" s="162" t="n"/>
      <c r="CM50" s="162" t="n"/>
      <c r="CN50" s="162" t="n"/>
      <c r="CO50" s="162" t="n"/>
      <c r="CP50" s="162" t="n"/>
      <c r="CQ50" s="162" t="n"/>
      <c r="CR50" s="162" t="n"/>
      <c r="CS50" s="162" t="n"/>
      <c r="CT50" s="162" t="n"/>
    </row>
    <row r="51" ht="18.75" customHeight="1">
      <c r="A51" s="175" t="n">
        <v>50</v>
      </c>
      <c r="B51" s="181" t="n">
        <v>7</v>
      </c>
      <c r="C51" s="182" t="n">
        <v>45754</v>
      </c>
      <c r="D51" s="183" t="inlineStr">
        <is>
          <t>218 G. SAN JOSE 1</t>
        </is>
      </c>
      <c r="E51" s="183" t="n">
        <v>40397</v>
      </c>
      <c r="F51" s="183" t="inlineStr">
        <is>
          <t>YAIR RIVEROS</t>
        </is>
      </c>
      <c r="G51" s="184" t="n">
        <v>3599</v>
      </c>
      <c r="H51" s="184" t="n">
        <v>3599</v>
      </c>
      <c r="I51" s="184" t="n">
        <v>3565</v>
      </c>
      <c r="J51" s="184" t="n">
        <v>4</v>
      </c>
      <c r="K51" s="184" t="n">
        <v>32</v>
      </c>
      <c r="L51" s="185" t="n">
        <v>-2</v>
      </c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  <c r="AA51" s="162" t="n"/>
      <c r="AB51" s="162" t="n"/>
      <c r="AC51" s="162" t="n"/>
      <c r="AD51" s="162" t="n"/>
      <c r="AE51" s="162" t="n"/>
      <c r="AF51" s="162" t="n"/>
      <c r="AG51" s="162" t="n"/>
      <c r="AH51" s="162" t="n"/>
      <c r="AI51" s="162" t="n"/>
      <c r="AJ51" s="162" t="n"/>
      <c r="AK51" s="162" t="n"/>
      <c r="AL51" s="162" t="n"/>
      <c r="AM51" s="162" t="n"/>
      <c r="AN51" s="162" t="n"/>
      <c r="AO51" s="162" t="n"/>
      <c r="AP51" s="162" t="n"/>
      <c r="AQ51" s="162" t="n"/>
      <c r="AR51" s="162" t="n"/>
      <c r="AS51" s="162" t="n"/>
      <c r="AT51" s="162" t="n"/>
      <c r="AU51" s="162" t="n"/>
      <c r="AV51" s="162" t="n"/>
      <c r="AW51" s="162" t="n"/>
      <c r="AX51" s="162" t="n"/>
      <c r="AY51" s="162" t="n"/>
      <c r="AZ51" s="162" t="n"/>
      <c r="BA51" s="162" t="n"/>
      <c r="BB51" s="162" t="n"/>
      <c r="BC51" s="162" t="n"/>
      <c r="BD51" s="162" t="n"/>
      <c r="BE51" s="162" t="n"/>
      <c r="BF51" s="162" t="n"/>
      <c r="BG51" s="162" t="n"/>
      <c r="BH51" s="162" t="n"/>
      <c r="BI51" s="162" t="n"/>
      <c r="BJ51" s="162" t="n"/>
      <c r="BK51" s="162" t="n"/>
      <c r="BL51" s="162" t="n"/>
      <c r="BM51" s="162" t="n"/>
      <c r="BN51" s="162" t="n"/>
      <c r="BO51" s="162" t="n"/>
      <c r="BP51" s="162" t="n"/>
      <c r="BQ51" s="162" t="n"/>
      <c r="BR51" s="162" t="n"/>
      <c r="BS51" s="162" t="n"/>
      <c r="BT51" s="162" t="n"/>
      <c r="BU51" s="162" t="n"/>
      <c r="BV51" s="162" t="n"/>
      <c r="BW51" s="162" t="n"/>
      <c r="BX51" s="162" t="n"/>
      <c r="BY51" s="162" t="n"/>
      <c r="BZ51" s="162" t="n"/>
      <c r="CA51" s="162" t="n"/>
      <c r="CB51" s="162" t="n"/>
      <c r="CC51" s="162" t="n"/>
      <c r="CD51" s="162" t="n"/>
      <c r="CE51" s="162" t="n"/>
      <c r="CF51" s="162" t="n"/>
      <c r="CG51" s="162" t="n"/>
      <c r="CH51" s="162" t="n"/>
      <c r="CI51" s="162" t="n"/>
      <c r="CJ51" s="162" t="n"/>
      <c r="CK51" s="162" t="n"/>
      <c r="CL51" s="162" t="n"/>
      <c r="CM51" s="162" t="n"/>
      <c r="CN51" s="162" t="n"/>
      <c r="CO51" s="162" t="n"/>
      <c r="CP51" s="162" t="n"/>
      <c r="CQ51" s="162" t="n"/>
      <c r="CR51" s="162" t="n"/>
      <c r="CS51" s="162" t="n"/>
      <c r="CT51" s="162" t="n"/>
    </row>
    <row r="52" ht="18.75" customHeight="1">
      <c r="A52" s="175" t="n">
        <v>51</v>
      </c>
      <c r="B52" s="181" t="n">
        <v>8</v>
      </c>
      <c r="C52" s="182" t="n">
        <v>45754</v>
      </c>
      <c r="D52" s="183" t="inlineStr">
        <is>
          <t>218 G. SAN JOSE 1</t>
        </is>
      </c>
      <c r="E52" s="183" t="n">
        <v>40398</v>
      </c>
      <c r="F52" s="183" t="inlineStr">
        <is>
          <t>JHON AGUIRRE</t>
        </is>
      </c>
      <c r="G52" s="184" t="n">
        <v>3599</v>
      </c>
      <c r="H52" s="184" t="n">
        <v>3599</v>
      </c>
      <c r="I52" s="184" t="n">
        <v>3563</v>
      </c>
      <c r="J52" s="184" t="n">
        <v>5</v>
      </c>
      <c r="K52" s="184" t="n">
        <v>34</v>
      </c>
      <c r="L52" s="185" t="n">
        <v>-3</v>
      </c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  <c r="AA52" s="162" t="n"/>
      <c r="AB52" s="162" t="n"/>
      <c r="AC52" s="162" t="n"/>
      <c r="AD52" s="162" t="n"/>
      <c r="AE52" s="162" t="n"/>
      <c r="AF52" s="162" t="n"/>
      <c r="AG52" s="162" t="n"/>
      <c r="AH52" s="162" t="n"/>
      <c r="AI52" s="162" t="n"/>
      <c r="AJ52" s="162" t="n"/>
      <c r="AK52" s="162" t="n"/>
      <c r="AL52" s="162" t="n"/>
      <c r="AM52" s="162" t="n"/>
      <c r="AN52" s="162" t="n"/>
      <c r="AO52" s="162" t="n"/>
      <c r="AP52" s="162" t="n"/>
      <c r="AQ52" s="162" t="n"/>
      <c r="AR52" s="162" t="n"/>
      <c r="AS52" s="162" t="n"/>
      <c r="AT52" s="162" t="n"/>
      <c r="AU52" s="162" t="n"/>
      <c r="AV52" s="162" t="n"/>
      <c r="AW52" s="162" t="n"/>
      <c r="AX52" s="162" t="n"/>
      <c r="AY52" s="162" t="n"/>
      <c r="AZ52" s="162" t="n"/>
      <c r="BA52" s="162" t="n"/>
      <c r="BB52" s="162" t="n"/>
      <c r="BC52" s="162" t="n"/>
      <c r="BD52" s="162" t="n"/>
      <c r="BE52" s="162" t="n"/>
      <c r="BF52" s="162" t="n"/>
      <c r="BG52" s="162" t="n"/>
      <c r="BH52" s="162" t="n"/>
      <c r="BI52" s="162" t="n"/>
      <c r="BJ52" s="162" t="n"/>
      <c r="BK52" s="162" t="n"/>
      <c r="BL52" s="162" t="n"/>
      <c r="BM52" s="162" t="n"/>
      <c r="BN52" s="162" t="n"/>
      <c r="BO52" s="162" t="n"/>
      <c r="BP52" s="162" t="n"/>
      <c r="BQ52" s="162" t="n"/>
      <c r="BR52" s="162" t="n"/>
      <c r="BS52" s="162" t="n"/>
      <c r="BT52" s="162" t="n"/>
      <c r="BU52" s="162" t="n"/>
      <c r="BV52" s="162" t="n"/>
      <c r="BW52" s="162" t="n"/>
      <c r="BX52" s="162" t="n"/>
      <c r="BY52" s="162" t="n"/>
      <c r="BZ52" s="162" t="n"/>
      <c r="CA52" s="162" t="n"/>
      <c r="CB52" s="162" t="n"/>
      <c r="CC52" s="162" t="n"/>
      <c r="CD52" s="162" t="n"/>
      <c r="CE52" s="162" t="n"/>
      <c r="CF52" s="162" t="n"/>
      <c r="CG52" s="162" t="n"/>
      <c r="CH52" s="162" t="n"/>
      <c r="CI52" s="162" t="n"/>
      <c r="CJ52" s="162" t="n"/>
      <c r="CK52" s="162" t="n"/>
      <c r="CL52" s="162" t="n"/>
      <c r="CM52" s="162" t="n"/>
      <c r="CN52" s="162" t="n"/>
      <c r="CO52" s="162" t="n"/>
      <c r="CP52" s="162" t="n"/>
      <c r="CQ52" s="162" t="n"/>
      <c r="CR52" s="162" t="n"/>
      <c r="CS52" s="162" t="n"/>
      <c r="CT52" s="162" t="n"/>
    </row>
    <row r="53" ht="18.75" customHeight="1">
      <c r="A53" s="175" t="n">
        <v>52</v>
      </c>
      <c r="B53" s="197" t="n">
        <v>9</v>
      </c>
      <c r="C53" s="198" t="n">
        <v>45754</v>
      </c>
      <c r="D53" s="199" t="inlineStr">
        <is>
          <t>218 G. SAN JOSE 1</t>
        </is>
      </c>
      <c r="E53" s="199" t="n">
        <v>40399</v>
      </c>
      <c r="F53" s="199" t="inlineStr">
        <is>
          <t>JOSE SOLER</t>
        </is>
      </c>
      <c r="G53" s="200" t="n">
        <v>3599</v>
      </c>
      <c r="H53" s="200" t="n">
        <v>3599</v>
      </c>
      <c r="I53" s="200" t="n">
        <v>3574</v>
      </c>
      <c r="J53" s="200" t="n">
        <v>2</v>
      </c>
      <c r="K53" s="200" t="n">
        <v>30</v>
      </c>
      <c r="L53" s="201" t="n">
        <v>-7</v>
      </c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  <c r="AA53" s="162" t="n"/>
      <c r="AB53" s="162" t="n"/>
      <c r="AC53" s="162" t="n"/>
      <c r="AD53" s="162" t="n"/>
      <c r="AE53" s="162" t="n"/>
      <c r="AF53" s="162" t="n"/>
      <c r="AG53" s="162" t="n"/>
      <c r="AH53" s="162" t="n"/>
      <c r="AI53" s="162" t="n"/>
      <c r="AJ53" s="162" t="n"/>
      <c r="AK53" s="162" t="n"/>
      <c r="AL53" s="162" t="n"/>
      <c r="AM53" s="162" t="n"/>
      <c r="AN53" s="162" t="n"/>
      <c r="AO53" s="162" t="n"/>
      <c r="AP53" s="162" t="n"/>
      <c r="AQ53" s="162" t="n"/>
      <c r="AR53" s="162" t="n"/>
      <c r="AS53" s="162" t="n"/>
      <c r="AT53" s="162" t="n"/>
      <c r="AU53" s="162" t="n"/>
      <c r="AV53" s="162" t="n"/>
      <c r="AW53" s="162" t="n"/>
      <c r="AX53" s="162" t="n"/>
      <c r="AY53" s="162" t="n"/>
      <c r="AZ53" s="162" t="n"/>
      <c r="BA53" s="162" t="n"/>
      <c r="BB53" s="162" t="n"/>
      <c r="BC53" s="162" t="n"/>
      <c r="BD53" s="162" t="n"/>
      <c r="BE53" s="162" t="n"/>
      <c r="BF53" s="162" t="n"/>
      <c r="BG53" s="162" t="n"/>
      <c r="BH53" s="162" t="n"/>
      <c r="BI53" s="162" t="n"/>
      <c r="BJ53" s="162" t="n"/>
      <c r="BK53" s="162" t="n"/>
      <c r="BL53" s="162" t="n"/>
      <c r="BM53" s="162" t="n"/>
      <c r="BN53" s="162" t="n"/>
      <c r="BO53" s="162" t="n"/>
      <c r="BP53" s="162" t="n"/>
      <c r="BQ53" s="162" t="n"/>
      <c r="BR53" s="162" t="n"/>
      <c r="BS53" s="162" t="n"/>
      <c r="BT53" s="162" t="n"/>
      <c r="BU53" s="162" t="n"/>
      <c r="BV53" s="162" t="n"/>
      <c r="BW53" s="162" t="n"/>
      <c r="BX53" s="162" t="n"/>
      <c r="BY53" s="162" t="n"/>
      <c r="BZ53" s="162" t="n"/>
      <c r="CA53" s="162" t="n"/>
      <c r="CB53" s="162" t="n"/>
      <c r="CC53" s="162" t="n"/>
      <c r="CD53" s="162" t="n"/>
      <c r="CE53" s="162" t="n"/>
      <c r="CF53" s="162" t="n"/>
      <c r="CG53" s="162" t="n"/>
      <c r="CH53" s="162" t="n"/>
      <c r="CI53" s="162" t="n"/>
      <c r="CJ53" s="162" t="n"/>
      <c r="CK53" s="162" t="n"/>
      <c r="CL53" s="162" t="n"/>
      <c r="CM53" s="162" t="n"/>
      <c r="CN53" s="162" t="n"/>
      <c r="CO53" s="162" t="n"/>
      <c r="CP53" s="162" t="n"/>
      <c r="CQ53" s="162" t="n"/>
      <c r="CR53" s="162" t="n"/>
      <c r="CS53" s="162" t="n"/>
      <c r="CT53" s="162" t="n"/>
    </row>
    <row r="54" ht="18.75" customHeight="1">
      <c r="A54" s="175" t="n">
        <v>53</v>
      </c>
      <c r="B54" s="176" t="n">
        <v>10</v>
      </c>
      <c r="C54" s="177" t="n">
        <v>45755</v>
      </c>
      <c r="D54" s="178" t="inlineStr">
        <is>
          <t>200 G. GARCERAS</t>
        </is>
      </c>
      <c r="E54" s="178" t="n">
        <v>40400</v>
      </c>
      <c r="F54" s="178" t="inlineStr">
        <is>
          <t>HENRY ROMERO</t>
        </is>
      </c>
      <c r="G54" s="179" t="n">
        <v>2400</v>
      </c>
      <c r="H54" s="179" t="n">
        <v>2400</v>
      </c>
      <c r="I54" s="179" t="n">
        <v>2428</v>
      </c>
      <c r="J54" s="179" t="n">
        <v>1</v>
      </c>
      <c r="K54" s="179" t="n">
        <v>6</v>
      </c>
      <c r="L54" s="180" t="n">
        <v>-35</v>
      </c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  <c r="AA54" s="162" t="n"/>
      <c r="AB54" s="162" t="n"/>
      <c r="AC54" s="162" t="n"/>
      <c r="AD54" s="162" t="n"/>
      <c r="AE54" s="162" t="n"/>
      <c r="AF54" s="162" t="n"/>
      <c r="AG54" s="162" t="n"/>
      <c r="AH54" s="162" t="n"/>
      <c r="AI54" s="162" t="n"/>
      <c r="AJ54" s="162" t="n"/>
      <c r="AK54" s="162" t="n"/>
      <c r="AL54" s="162" t="n"/>
      <c r="AM54" s="162" t="n"/>
      <c r="AN54" s="162" t="n"/>
      <c r="AO54" s="162" t="n"/>
      <c r="AP54" s="162" t="n"/>
      <c r="AQ54" s="162" t="n"/>
      <c r="AR54" s="162" t="n"/>
      <c r="AS54" s="162" t="n"/>
      <c r="AT54" s="162" t="n"/>
      <c r="AU54" s="162" t="n"/>
      <c r="AV54" s="162" t="n"/>
      <c r="AW54" s="162" t="n"/>
      <c r="AX54" s="162" t="n"/>
      <c r="AY54" s="162" t="n"/>
      <c r="AZ54" s="162" t="n"/>
      <c r="BA54" s="162" t="n"/>
      <c r="BB54" s="162" t="n"/>
      <c r="BC54" s="162" t="n"/>
      <c r="BD54" s="162" t="n"/>
      <c r="BE54" s="162" t="n"/>
      <c r="BF54" s="162" t="n"/>
      <c r="BG54" s="162" t="n"/>
      <c r="BH54" s="162" t="n"/>
      <c r="BI54" s="162" t="n"/>
      <c r="BJ54" s="162" t="n"/>
      <c r="BK54" s="162" t="n"/>
      <c r="BL54" s="162" t="n"/>
      <c r="BM54" s="162" t="n"/>
      <c r="BN54" s="162" t="n"/>
      <c r="BO54" s="162" t="n"/>
      <c r="BP54" s="162" t="n"/>
      <c r="BQ54" s="162" t="n"/>
      <c r="BR54" s="162" t="n"/>
      <c r="BS54" s="162" t="n"/>
      <c r="BT54" s="162" t="n"/>
      <c r="BU54" s="162" t="n"/>
      <c r="BV54" s="162" t="n"/>
      <c r="BW54" s="162" t="n"/>
      <c r="BX54" s="162" t="n"/>
      <c r="BY54" s="162" t="n"/>
      <c r="BZ54" s="162" t="n"/>
      <c r="CA54" s="162" t="n"/>
      <c r="CB54" s="162" t="n"/>
      <c r="CC54" s="162" t="n"/>
      <c r="CD54" s="162" t="n"/>
      <c r="CE54" s="162" t="n"/>
      <c r="CF54" s="162" t="n"/>
      <c r="CG54" s="162" t="n"/>
      <c r="CH54" s="162" t="n"/>
      <c r="CI54" s="162" t="n"/>
      <c r="CJ54" s="162" t="n"/>
      <c r="CK54" s="162" t="n"/>
      <c r="CL54" s="162" t="n"/>
      <c r="CM54" s="162" t="n"/>
      <c r="CN54" s="162" t="n"/>
      <c r="CO54" s="162" t="n"/>
      <c r="CP54" s="162" t="n"/>
      <c r="CQ54" s="162" t="n"/>
      <c r="CR54" s="162" t="n"/>
      <c r="CS54" s="162" t="n"/>
      <c r="CT54" s="162" t="n"/>
    </row>
    <row r="55" ht="15" customHeight="1">
      <c r="A55" s="175" t="n">
        <v>54</v>
      </c>
      <c r="B55" s="181" t="n">
        <v>11</v>
      </c>
      <c r="C55" s="182" t="n">
        <v>45755</v>
      </c>
      <c r="D55" s="187" t="inlineStr">
        <is>
          <t>200 G. GARCERAS</t>
        </is>
      </c>
      <c r="E55" s="187" t="n">
        <v>40401</v>
      </c>
      <c r="F55" s="187" t="inlineStr">
        <is>
          <t>ALBERTO LOPEZ</t>
        </is>
      </c>
      <c r="G55" s="188" t="n">
        <v>2400</v>
      </c>
      <c r="H55" s="188" t="n">
        <v>2400</v>
      </c>
      <c r="I55" s="188" t="n">
        <v>2397</v>
      </c>
      <c r="J55" s="188" t="n">
        <v>1</v>
      </c>
      <c r="K55" s="188" t="n">
        <v>3</v>
      </c>
      <c r="L55" s="189" t="n">
        <v>-1</v>
      </c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  <c r="AA55" s="162" t="n"/>
      <c r="AB55" s="162" t="n"/>
      <c r="AC55" s="162" t="n"/>
      <c r="AD55" s="162" t="n"/>
      <c r="AE55" s="162" t="n"/>
      <c r="AF55" s="162" t="n"/>
      <c r="AG55" s="162" t="n"/>
      <c r="AH55" s="162" t="n"/>
      <c r="AI55" s="162" t="n"/>
      <c r="AJ55" s="162" t="n"/>
      <c r="AK55" s="162" t="n"/>
      <c r="AL55" s="162" t="n"/>
      <c r="AM55" s="162" t="n"/>
      <c r="AN55" s="162" t="n"/>
      <c r="AO55" s="162" t="n"/>
      <c r="AP55" s="162" t="n"/>
      <c r="AQ55" s="162" t="n"/>
      <c r="AR55" s="162" t="n"/>
      <c r="AS55" s="162" t="n"/>
      <c r="AT55" s="162" t="n"/>
      <c r="AU55" s="162" t="n"/>
      <c r="AV55" s="162" t="n"/>
      <c r="AW55" s="162" t="n"/>
      <c r="AX55" s="162" t="n"/>
      <c r="AY55" s="162" t="n"/>
      <c r="AZ55" s="162" t="n"/>
      <c r="BA55" s="162" t="n"/>
      <c r="BB55" s="162" t="n"/>
      <c r="BC55" s="162" t="n"/>
      <c r="BD55" s="162" t="n"/>
      <c r="BE55" s="162" t="n"/>
      <c r="BF55" s="162" t="n"/>
      <c r="BG55" s="162" t="n"/>
      <c r="BH55" s="162" t="n"/>
      <c r="BI55" s="162" t="n"/>
      <c r="BJ55" s="162" t="n"/>
      <c r="BK55" s="162" t="n"/>
      <c r="BL55" s="162" t="n"/>
      <c r="BM55" s="162" t="n"/>
      <c r="BN55" s="162" t="n"/>
      <c r="BO55" s="162" t="n"/>
      <c r="BP55" s="162" t="n"/>
      <c r="BQ55" s="162" t="n"/>
      <c r="BR55" s="162" t="n"/>
      <c r="BS55" s="162" t="n"/>
      <c r="BT55" s="162" t="n"/>
      <c r="BU55" s="162" t="n"/>
      <c r="BV55" s="162" t="n"/>
      <c r="BW55" s="162" t="n"/>
      <c r="BX55" s="162" t="n"/>
      <c r="BY55" s="162" t="n"/>
      <c r="BZ55" s="162" t="n"/>
      <c r="CA55" s="162" t="n"/>
      <c r="CB55" s="162" t="n"/>
      <c r="CC55" s="162" t="n"/>
      <c r="CD55" s="162" t="n"/>
      <c r="CE55" s="162" t="n"/>
      <c r="CF55" s="162" t="n"/>
      <c r="CG55" s="162" t="n"/>
      <c r="CH55" s="162" t="n"/>
      <c r="CI55" s="162" t="n"/>
      <c r="CJ55" s="162" t="n"/>
      <c r="CK55" s="162" t="n"/>
      <c r="CL55" s="162" t="n"/>
      <c r="CM55" s="162" t="n"/>
      <c r="CN55" s="162" t="n"/>
      <c r="CO55" s="162" t="n"/>
      <c r="CP55" s="162" t="n"/>
      <c r="CQ55" s="162" t="n"/>
      <c r="CR55" s="162" t="n"/>
      <c r="CS55" s="162" t="n"/>
      <c r="CT55" s="162" t="n"/>
    </row>
    <row r="56" ht="15" customHeight="1">
      <c r="A56" s="175" t="n">
        <v>55</v>
      </c>
      <c r="B56" s="181" t="n">
        <v>12</v>
      </c>
      <c r="C56" s="182" t="n">
        <v>45755</v>
      </c>
      <c r="D56" s="187" t="inlineStr">
        <is>
          <t>200 G. GARCERAS</t>
        </is>
      </c>
      <c r="E56" s="187" t="n">
        <v>40402</v>
      </c>
      <c r="F56" s="187" t="inlineStr">
        <is>
          <t>DUMAR ANGARITA</t>
        </is>
      </c>
      <c r="G56" s="188" t="n">
        <v>2198</v>
      </c>
      <c r="H56" s="188" t="n">
        <v>2198</v>
      </c>
      <c r="I56" s="188" t="n">
        <v>2194</v>
      </c>
      <c r="J56" s="188" t="n">
        <v>1</v>
      </c>
      <c r="K56" s="188" t="n">
        <v>4</v>
      </c>
      <c r="L56" s="189" t="n">
        <v>-1</v>
      </c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  <c r="AA56" s="162" t="n"/>
      <c r="AB56" s="162" t="n"/>
      <c r="AC56" s="162" t="n"/>
      <c r="AD56" s="162" t="n"/>
      <c r="AE56" s="162" t="n"/>
      <c r="AF56" s="162" t="n"/>
      <c r="AG56" s="162" t="n"/>
      <c r="AH56" s="162" t="n"/>
      <c r="AI56" s="162" t="n"/>
      <c r="AJ56" s="162" t="n"/>
      <c r="AK56" s="162" t="n"/>
      <c r="AL56" s="162" t="n"/>
      <c r="AM56" s="162" t="n"/>
      <c r="AN56" s="162" t="n"/>
      <c r="AO56" s="162" t="n"/>
      <c r="AP56" s="162" t="n"/>
      <c r="AQ56" s="162" t="n"/>
      <c r="AR56" s="162" t="n"/>
      <c r="AS56" s="162" t="n"/>
      <c r="AT56" s="162" t="n"/>
      <c r="AU56" s="162" t="n"/>
      <c r="AV56" s="162" t="n"/>
      <c r="AW56" s="162" t="n"/>
      <c r="AX56" s="162" t="n"/>
      <c r="AY56" s="162" t="n"/>
      <c r="AZ56" s="162" t="n"/>
      <c r="BA56" s="162" t="n"/>
      <c r="BB56" s="162" t="n"/>
      <c r="BC56" s="162" t="n"/>
      <c r="BD56" s="162" t="n"/>
      <c r="BE56" s="162" t="n"/>
      <c r="BF56" s="162" t="n"/>
      <c r="BG56" s="162" t="n"/>
      <c r="BH56" s="162" t="n"/>
      <c r="BI56" s="162" t="n"/>
      <c r="BJ56" s="162" t="n"/>
      <c r="BK56" s="162" t="n"/>
      <c r="BL56" s="162" t="n"/>
      <c r="BM56" s="162" t="n"/>
      <c r="BN56" s="162" t="n"/>
      <c r="BO56" s="162" t="n"/>
      <c r="BP56" s="162" t="n"/>
      <c r="BQ56" s="162" t="n"/>
      <c r="BR56" s="162" t="n"/>
      <c r="BS56" s="162" t="n"/>
      <c r="BT56" s="162" t="n"/>
      <c r="BU56" s="162" t="n"/>
      <c r="BV56" s="162" t="n"/>
      <c r="BW56" s="162" t="n"/>
      <c r="BX56" s="162" t="n"/>
      <c r="BY56" s="162" t="n"/>
      <c r="BZ56" s="162" t="n"/>
      <c r="CA56" s="162" t="n"/>
      <c r="CB56" s="162" t="n"/>
      <c r="CC56" s="162" t="n"/>
      <c r="CD56" s="162" t="n"/>
      <c r="CE56" s="162" t="n"/>
      <c r="CF56" s="162" t="n"/>
      <c r="CG56" s="162" t="n"/>
      <c r="CH56" s="162" t="n"/>
      <c r="CI56" s="162" t="n"/>
      <c r="CJ56" s="162" t="n"/>
      <c r="CK56" s="162" t="n"/>
      <c r="CL56" s="162" t="n"/>
      <c r="CM56" s="162" t="n"/>
      <c r="CN56" s="162" t="n"/>
      <c r="CO56" s="162" t="n"/>
      <c r="CP56" s="162" t="n"/>
      <c r="CQ56" s="162" t="n"/>
      <c r="CR56" s="162" t="n"/>
      <c r="CS56" s="162" t="n"/>
      <c r="CT56" s="162" t="n"/>
    </row>
    <row r="57" ht="15" customHeight="1">
      <c r="A57" s="175" t="n">
        <v>56</v>
      </c>
      <c r="B57" s="181" t="n">
        <v>13</v>
      </c>
      <c r="C57" s="182" t="n">
        <v>45755</v>
      </c>
      <c r="D57" s="187" t="inlineStr">
        <is>
          <t>221 G. MALAGUEÑA</t>
        </is>
      </c>
      <c r="E57" s="187" t="n">
        <v>40403</v>
      </c>
      <c r="F57" s="187" t="inlineStr">
        <is>
          <t>ALEX GOMEZ</t>
        </is>
      </c>
      <c r="G57" s="188" t="n">
        <v>3240</v>
      </c>
      <c r="H57" s="188" t="n">
        <v>3240</v>
      </c>
      <c r="I57" s="188" t="n">
        <v>3226</v>
      </c>
      <c r="J57" s="188" t="n">
        <v>7</v>
      </c>
      <c r="K57" s="188" t="n">
        <v>8</v>
      </c>
      <c r="L57" s="189" t="n">
        <v>-1</v>
      </c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  <c r="AA57" s="162" t="n"/>
      <c r="AB57" s="162" t="n"/>
      <c r="AC57" s="162" t="n"/>
      <c r="AD57" s="162" t="n"/>
      <c r="AE57" s="162" t="n"/>
      <c r="AF57" s="162" t="n"/>
      <c r="AG57" s="162" t="n"/>
      <c r="AH57" s="162" t="n"/>
      <c r="AI57" s="162" t="n"/>
      <c r="AJ57" s="162" t="n"/>
      <c r="AK57" s="162" t="n"/>
      <c r="AL57" s="162" t="n"/>
      <c r="AM57" s="162" t="n"/>
      <c r="AN57" s="162" t="n"/>
      <c r="AO57" s="162" t="n"/>
      <c r="AP57" s="162" t="n"/>
      <c r="AQ57" s="162" t="n"/>
      <c r="AR57" s="162" t="n"/>
      <c r="AS57" s="162" t="n"/>
      <c r="AT57" s="162" t="n"/>
      <c r="AU57" s="162" t="n"/>
      <c r="AV57" s="162" t="n"/>
      <c r="AW57" s="162" t="n"/>
      <c r="AX57" s="162" t="n"/>
      <c r="AY57" s="162" t="n"/>
      <c r="AZ57" s="162" t="n"/>
      <c r="BA57" s="162" t="n"/>
      <c r="BB57" s="162" t="n"/>
      <c r="BC57" s="162" t="n"/>
      <c r="BD57" s="162" t="n"/>
      <c r="BE57" s="162" t="n"/>
      <c r="BF57" s="162" t="n"/>
      <c r="BG57" s="162" t="n"/>
      <c r="BH57" s="162" t="n"/>
      <c r="BI57" s="162" t="n"/>
      <c r="BJ57" s="162" t="n"/>
      <c r="BK57" s="162" t="n"/>
      <c r="BL57" s="162" t="n"/>
      <c r="BM57" s="162" t="n"/>
      <c r="BN57" s="162" t="n"/>
      <c r="BO57" s="162" t="n"/>
      <c r="BP57" s="162" t="n"/>
      <c r="BQ57" s="162" t="n"/>
      <c r="BR57" s="162" t="n"/>
      <c r="BS57" s="162" t="n"/>
      <c r="BT57" s="162" t="n"/>
      <c r="BU57" s="162" t="n"/>
      <c r="BV57" s="162" t="n"/>
      <c r="BW57" s="162" t="n"/>
      <c r="BX57" s="162" t="n"/>
      <c r="BY57" s="162" t="n"/>
      <c r="BZ57" s="162" t="n"/>
      <c r="CA57" s="162" t="n"/>
      <c r="CB57" s="162" t="n"/>
      <c r="CC57" s="162" t="n"/>
      <c r="CD57" s="162" t="n"/>
      <c r="CE57" s="162" t="n"/>
      <c r="CF57" s="162" t="n"/>
      <c r="CG57" s="162" t="n"/>
      <c r="CH57" s="162" t="n"/>
      <c r="CI57" s="162" t="n"/>
      <c r="CJ57" s="162" t="n"/>
      <c r="CK57" s="162" t="n"/>
      <c r="CL57" s="162" t="n"/>
      <c r="CM57" s="162" t="n"/>
      <c r="CN57" s="162" t="n"/>
      <c r="CO57" s="162" t="n"/>
      <c r="CP57" s="162" t="n"/>
      <c r="CQ57" s="162" t="n"/>
      <c r="CR57" s="162" t="n"/>
      <c r="CS57" s="162" t="n"/>
      <c r="CT57" s="162" t="n"/>
    </row>
    <row r="58" ht="15" customHeight="1">
      <c r="A58" s="175" t="n">
        <v>57</v>
      </c>
      <c r="B58" s="181" t="n">
        <v>14</v>
      </c>
      <c r="C58" s="182" t="n">
        <v>45755</v>
      </c>
      <c r="D58" s="187" t="inlineStr">
        <is>
          <t>221 G. MALAGUEÑA</t>
        </is>
      </c>
      <c r="E58" s="187" t="n">
        <v>40404</v>
      </c>
      <c r="F58" s="187" t="inlineStr">
        <is>
          <t>EDWIN ROJAS</t>
        </is>
      </c>
      <c r="G58" s="188" t="n">
        <v>3240</v>
      </c>
      <c r="H58" s="188" t="n">
        <v>3240</v>
      </c>
      <c r="I58" s="188" t="n">
        <v>3229</v>
      </c>
      <c r="J58" s="188" t="n">
        <v>3</v>
      </c>
      <c r="K58" s="188" t="n">
        <v>8</v>
      </c>
      <c r="L58" s="189" t="n">
        <v>0</v>
      </c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  <c r="AA58" s="162" t="n"/>
      <c r="AB58" s="162" t="n"/>
      <c r="AC58" s="162" t="n"/>
      <c r="AD58" s="162" t="n"/>
      <c r="AE58" s="162" t="n"/>
      <c r="AF58" s="162" t="n"/>
      <c r="AG58" s="162" t="n"/>
      <c r="AH58" s="162" t="n"/>
      <c r="AI58" s="162" t="n"/>
      <c r="AJ58" s="162" t="n"/>
      <c r="AK58" s="162" t="n"/>
      <c r="AL58" s="162" t="n"/>
      <c r="AM58" s="162" t="n"/>
      <c r="AN58" s="162" t="n"/>
      <c r="AO58" s="162" t="n"/>
      <c r="AP58" s="162" t="n"/>
      <c r="AQ58" s="162" t="n"/>
      <c r="AR58" s="162" t="n"/>
      <c r="AS58" s="162" t="n"/>
      <c r="AT58" s="162" t="n"/>
      <c r="AU58" s="162" t="n"/>
      <c r="AV58" s="162" t="n"/>
      <c r="AW58" s="162" t="n"/>
      <c r="AX58" s="162" t="n"/>
      <c r="AY58" s="162" t="n"/>
      <c r="AZ58" s="162" t="n"/>
      <c r="BA58" s="162" t="n"/>
      <c r="BB58" s="162" t="n"/>
      <c r="BC58" s="162" t="n"/>
      <c r="BD58" s="162" t="n"/>
      <c r="BE58" s="162" t="n"/>
      <c r="BF58" s="162" t="n"/>
      <c r="BG58" s="162" t="n"/>
      <c r="BH58" s="162" t="n"/>
      <c r="BI58" s="162" t="n"/>
      <c r="BJ58" s="162" t="n"/>
      <c r="BK58" s="162" t="n"/>
      <c r="BL58" s="162" t="n"/>
      <c r="BM58" s="162" t="n"/>
      <c r="BN58" s="162" t="n"/>
      <c r="BO58" s="162" t="n"/>
      <c r="BP58" s="162" t="n"/>
      <c r="BQ58" s="162" t="n"/>
      <c r="BR58" s="162" t="n"/>
      <c r="BS58" s="162" t="n"/>
      <c r="BT58" s="162" t="n"/>
      <c r="BU58" s="162" t="n"/>
      <c r="BV58" s="162" t="n"/>
      <c r="BW58" s="162" t="n"/>
      <c r="BX58" s="162" t="n"/>
      <c r="BY58" s="162" t="n"/>
      <c r="BZ58" s="162" t="n"/>
      <c r="CA58" s="162" t="n"/>
      <c r="CB58" s="162" t="n"/>
      <c r="CC58" s="162" t="n"/>
      <c r="CD58" s="162" t="n"/>
      <c r="CE58" s="162" t="n"/>
      <c r="CF58" s="162" t="n"/>
      <c r="CG58" s="162" t="n"/>
      <c r="CH58" s="162" t="n"/>
      <c r="CI58" s="162" t="n"/>
      <c r="CJ58" s="162" t="n"/>
      <c r="CK58" s="162" t="n"/>
      <c r="CL58" s="162" t="n"/>
      <c r="CM58" s="162" t="n"/>
      <c r="CN58" s="162" t="n"/>
      <c r="CO58" s="162" t="n"/>
      <c r="CP58" s="162" t="n"/>
      <c r="CQ58" s="162" t="n"/>
      <c r="CR58" s="162" t="n"/>
      <c r="CS58" s="162" t="n"/>
      <c r="CT58" s="162" t="n"/>
    </row>
    <row r="59" ht="15" customHeight="1">
      <c r="A59" s="175" t="n">
        <v>58</v>
      </c>
      <c r="B59" s="181" t="n">
        <v>15</v>
      </c>
      <c r="C59" s="182" t="n">
        <v>45755</v>
      </c>
      <c r="D59" s="187" t="inlineStr">
        <is>
          <t>221 G. MALAGUEÑA</t>
        </is>
      </c>
      <c r="E59" s="187" t="n">
        <v>40405</v>
      </c>
      <c r="F59" s="187" t="inlineStr">
        <is>
          <t>WILMER PIÑEROS</t>
        </is>
      </c>
      <c r="G59" s="188" t="n">
        <v>3240</v>
      </c>
      <c r="H59" s="188" t="n">
        <v>3240</v>
      </c>
      <c r="I59" s="188" t="n">
        <v>3227</v>
      </c>
      <c r="J59" s="188" t="n">
        <v>2</v>
      </c>
      <c r="K59" s="188" t="n">
        <v>11</v>
      </c>
      <c r="L59" s="189" t="n">
        <v>0</v>
      </c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  <c r="AA59" s="162" t="n"/>
      <c r="AB59" s="162" t="n"/>
      <c r="AC59" s="162" t="n"/>
      <c r="AD59" s="162" t="n"/>
      <c r="AE59" s="162" t="n"/>
      <c r="AF59" s="162" t="n"/>
      <c r="AG59" s="162" t="n"/>
      <c r="AH59" s="162" t="n"/>
      <c r="AI59" s="162" t="n"/>
      <c r="AJ59" s="162" t="n"/>
      <c r="AK59" s="162" t="n"/>
      <c r="AL59" s="162" t="n"/>
      <c r="AM59" s="162" t="n"/>
      <c r="AN59" s="162" t="n"/>
      <c r="AO59" s="162" t="n"/>
      <c r="AP59" s="162" t="n"/>
      <c r="AQ59" s="162" t="n"/>
      <c r="AR59" s="162" t="n"/>
      <c r="AS59" s="162" t="n"/>
      <c r="AT59" s="162" t="n"/>
      <c r="AU59" s="162" t="n"/>
      <c r="AV59" s="162" t="n"/>
      <c r="AW59" s="162" t="n"/>
      <c r="AX59" s="162" t="n"/>
      <c r="AY59" s="162" t="n"/>
      <c r="AZ59" s="162" t="n"/>
      <c r="BA59" s="162" t="n"/>
      <c r="BB59" s="162" t="n"/>
      <c r="BC59" s="162" t="n"/>
      <c r="BD59" s="162" t="n"/>
      <c r="BE59" s="162" t="n"/>
      <c r="BF59" s="162" t="n"/>
      <c r="BG59" s="162" t="n"/>
      <c r="BH59" s="162" t="n"/>
      <c r="BI59" s="162" t="n"/>
      <c r="BJ59" s="162" t="n"/>
      <c r="BK59" s="162" t="n"/>
      <c r="BL59" s="162" t="n"/>
      <c r="BM59" s="162" t="n"/>
      <c r="BN59" s="162" t="n"/>
      <c r="BO59" s="162" t="n"/>
      <c r="BP59" s="162" t="n"/>
      <c r="BQ59" s="162" t="n"/>
      <c r="BR59" s="162" t="n"/>
      <c r="BS59" s="162" t="n"/>
      <c r="BT59" s="162" t="n"/>
      <c r="BU59" s="162" t="n"/>
      <c r="BV59" s="162" t="n"/>
      <c r="BW59" s="162" t="n"/>
      <c r="BX59" s="162" t="n"/>
      <c r="BY59" s="162" t="n"/>
      <c r="BZ59" s="162" t="n"/>
      <c r="CA59" s="162" t="n"/>
      <c r="CB59" s="162" t="n"/>
      <c r="CC59" s="162" t="n"/>
      <c r="CD59" s="162" t="n"/>
      <c r="CE59" s="162" t="n"/>
      <c r="CF59" s="162" t="n"/>
      <c r="CG59" s="162" t="n"/>
      <c r="CH59" s="162" t="n"/>
      <c r="CI59" s="162" t="n"/>
      <c r="CJ59" s="162" t="n"/>
      <c r="CK59" s="162" t="n"/>
      <c r="CL59" s="162" t="n"/>
      <c r="CM59" s="162" t="n"/>
      <c r="CN59" s="162" t="n"/>
      <c r="CO59" s="162" t="n"/>
      <c r="CP59" s="162" t="n"/>
      <c r="CQ59" s="162" t="n"/>
      <c r="CR59" s="162" t="n"/>
      <c r="CS59" s="162" t="n"/>
      <c r="CT59" s="162" t="n"/>
    </row>
    <row r="60" ht="15" customHeight="1">
      <c r="A60" s="175" t="n">
        <v>59</v>
      </c>
      <c r="B60" s="181" t="n">
        <v>16</v>
      </c>
      <c r="C60" s="182" t="n">
        <v>45755</v>
      </c>
      <c r="D60" s="187" t="inlineStr">
        <is>
          <t>218 G. SAN JOSE 1</t>
        </is>
      </c>
      <c r="E60" s="187" t="n">
        <v>40406</v>
      </c>
      <c r="F60" s="187" t="inlineStr">
        <is>
          <t>EDUAN CAVIEDES</t>
        </is>
      </c>
      <c r="G60" s="188" t="n">
        <v>2657</v>
      </c>
      <c r="H60" s="188" t="n">
        <v>2657</v>
      </c>
      <c r="I60" s="188" t="n">
        <v>2630</v>
      </c>
      <c r="J60" s="188" t="n">
        <v>3</v>
      </c>
      <c r="K60" s="188" t="n">
        <v>26</v>
      </c>
      <c r="L60" s="189" t="n">
        <v>-2</v>
      </c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  <c r="AA60" s="162" t="n"/>
      <c r="AB60" s="162" t="n"/>
      <c r="AC60" s="162" t="n"/>
      <c r="AD60" s="162" t="n"/>
      <c r="AE60" s="162" t="n"/>
      <c r="AF60" s="162" t="n"/>
      <c r="AG60" s="162" t="n"/>
      <c r="AH60" s="162" t="n"/>
      <c r="AI60" s="162" t="n"/>
      <c r="AJ60" s="162" t="n"/>
      <c r="AK60" s="162" t="n"/>
      <c r="AL60" s="162" t="n"/>
      <c r="AM60" s="162" t="n"/>
      <c r="AN60" s="162" t="n"/>
      <c r="AO60" s="162" t="n"/>
      <c r="AP60" s="162" t="n"/>
      <c r="AQ60" s="162" t="n"/>
      <c r="AR60" s="162" t="n"/>
      <c r="AS60" s="162" t="n"/>
      <c r="AT60" s="162" t="n"/>
      <c r="AU60" s="162" t="n"/>
      <c r="AV60" s="162" t="n"/>
      <c r="AW60" s="162" t="n"/>
      <c r="AX60" s="162" t="n"/>
      <c r="AY60" s="162" t="n"/>
      <c r="AZ60" s="162" t="n"/>
      <c r="BA60" s="162" t="n"/>
      <c r="BB60" s="162" t="n"/>
      <c r="BC60" s="162" t="n"/>
      <c r="BD60" s="162" t="n"/>
      <c r="BE60" s="162" t="n"/>
      <c r="BF60" s="162" t="n"/>
      <c r="BG60" s="162" t="n"/>
      <c r="BH60" s="162" t="n"/>
      <c r="BI60" s="162" t="n"/>
      <c r="BJ60" s="162" t="n"/>
      <c r="BK60" s="162" t="n"/>
      <c r="BL60" s="162" t="n"/>
      <c r="BM60" s="162" t="n"/>
      <c r="BN60" s="162" t="n"/>
      <c r="BO60" s="162" t="n"/>
      <c r="BP60" s="162" t="n"/>
      <c r="BQ60" s="162" t="n"/>
      <c r="BR60" s="162" t="n"/>
      <c r="BS60" s="162" t="n"/>
      <c r="BT60" s="162" t="n"/>
      <c r="BU60" s="162" t="n"/>
      <c r="BV60" s="162" t="n"/>
      <c r="BW60" s="162" t="n"/>
      <c r="BX60" s="162" t="n"/>
      <c r="BY60" s="162" t="n"/>
      <c r="BZ60" s="162" t="n"/>
      <c r="CA60" s="162" t="n"/>
      <c r="CB60" s="162" t="n"/>
      <c r="CC60" s="162" t="n"/>
      <c r="CD60" s="162" t="n"/>
      <c r="CE60" s="162" t="n"/>
      <c r="CF60" s="162" t="n"/>
      <c r="CG60" s="162" t="n"/>
      <c r="CH60" s="162" t="n"/>
      <c r="CI60" s="162" t="n"/>
      <c r="CJ60" s="162" t="n"/>
      <c r="CK60" s="162" t="n"/>
      <c r="CL60" s="162" t="n"/>
      <c r="CM60" s="162" t="n"/>
      <c r="CN60" s="162" t="n"/>
      <c r="CO60" s="162" t="n"/>
      <c r="CP60" s="162" t="n"/>
      <c r="CQ60" s="162" t="n"/>
      <c r="CR60" s="162" t="n"/>
      <c r="CS60" s="162" t="n"/>
      <c r="CT60" s="162" t="n"/>
    </row>
    <row r="61" ht="15" customHeight="1">
      <c r="A61" s="175" t="n">
        <v>60</v>
      </c>
      <c r="B61" s="181" t="n">
        <v>17</v>
      </c>
      <c r="C61" s="182" t="n">
        <v>45755</v>
      </c>
      <c r="D61" s="187" t="inlineStr">
        <is>
          <t>218 G. SAN JOSE 1</t>
        </is>
      </c>
      <c r="E61" s="187" t="n">
        <v>40414</v>
      </c>
      <c r="F61" s="187" t="inlineStr">
        <is>
          <t>ALBERTO LOPEZ</t>
        </is>
      </c>
      <c r="G61" s="188" t="n">
        <v>2657</v>
      </c>
      <c r="H61" s="188" t="n">
        <v>2657</v>
      </c>
      <c r="I61" s="188" t="n">
        <v>2643</v>
      </c>
      <c r="J61" s="188" t="n">
        <v>2</v>
      </c>
      <c r="K61" s="188" t="n">
        <v>22</v>
      </c>
      <c r="L61" s="189" t="n">
        <v>-10</v>
      </c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  <c r="AA61" s="162" t="n"/>
      <c r="AB61" s="162" t="n"/>
      <c r="AC61" s="162" t="n"/>
      <c r="AD61" s="162" t="n"/>
      <c r="AE61" s="162" t="n"/>
      <c r="AF61" s="162" t="n"/>
      <c r="AG61" s="162" t="n"/>
      <c r="AH61" s="162" t="n"/>
      <c r="AI61" s="162" t="n"/>
      <c r="AJ61" s="162" t="n"/>
      <c r="AK61" s="162" t="n"/>
      <c r="AL61" s="162" t="n"/>
      <c r="AM61" s="162" t="n"/>
      <c r="AN61" s="162" t="n"/>
      <c r="AO61" s="162" t="n"/>
      <c r="AP61" s="162" t="n"/>
      <c r="AQ61" s="162" t="n"/>
      <c r="AR61" s="162" t="n"/>
      <c r="AS61" s="162" t="n"/>
      <c r="AT61" s="162" t="n"/>
      <c r="AU61" s="162" t="n"/>
      <c r="AV61" s="162" t="n"/>
      <c r="AW61" s="162" t="n"/>
      <c r="AX61" s="162" t="n"/>
      <c r="AY61" s="162" t="n"/>
      <c r="AZ61" s="162" t="n"/>
      <c r="BA61" s="162" t="n"/>
      <c r="BB61" s="162" t="n"/>
      <c r="BC61" s="162" t="n"/>
      <c r="BD61" s="162" t="n"/>
      <c r="BE61" s="162" t="n"/>
      <c r="BF61" s="162" t="n"/>
      <c r="BG61" s="162" t="n"/>
      <c r="BH61" s="162" t="n"/>
      <c r="BI61" s="162" t="n"/>
      <c r="BJ61" s="162" t="n"/>
      <c r="BK61" s="162" t="n"/>
      <c r="BL61" s="162" t="n"/>
      <c r="BM61" s="162" t="n"/>
      <c r="BN61" s="162" t="n"/>
      <c r="BO61" s="162" t="n"/>
      <c r="BP61" s="162" t="n"/>
      <c r="BQ61" s="162" t="n"/>
      <c r="BR61" s="162" t="n"/>
      <c r="BS61" s="162" t="n"/>
      <c r="BT61" s="162" t="n"/>
      <c r="BU61" s="162" t="n"/>
      <c r="BV61" s="162" t="n"/>
      <c r="BW61" s="162" t="n"/>
      <c r="BX61" s="162" t="n"/>
      <c r="BY61" s="162" t="n"/>
      <c r="BZ61" s="162" t="n"/>
      <c r="CA61" s="162" t="n"/>
      <c r="CB61" s="162" t="n"/>
      <c r="CC61" s="162" t="n"/>
      <c r="CD61" s="162" t="n"/>
      <c r="CE61" s="162" t="n"/>
      <c r="CF61" s="162" t="n"/>
      <c r="CG61" s="162" t="n"/>
      <c r="CH61" s="162" t="n"/>
      <c r="CI61" s="162" t="n"/>
      <c r="CJ61" s="162" t="n"/>
      <c r="CK61" s="162" t="n"/>
      <c r="CL61" s="162" t="n"/>
      <c r="CM61" s="162" t="n"/>
      <c r="CN61" s="162" t="n"/>
      <c r="CO61" s="162" t="n"/>
      <c r="CP61" s="162" t="n"/>
      <c r="CQ61" s="162" t="n"/>
      <c r="CR61" s="162" t="n"/>
      <c r="CS61" s="162" t="n"/>
      <c r="CT61" s="162" t="n"/>
    </row>
    <row r="62" ht="15" customHeight="1">
      <c r="A62" s="175" t="n">
        <v>61</v>
      </c>
      <c r="B62" s="181" t="n">
        <v>18</v>
      </c>
      <c r="C62" s="182" t="n">
        <v>45755</v>
      </c>
      <c r="D62" s="187" t="inlineStr">
        <is>
          <t>218 G. SAN JOSE 1</t>
        </is>
      </c>
      <c r="E62" s="187" t="n">
        <v>40415</v>
      </c>
      <c r="F62" s="187" t="inlineStr">
        <is>
          <t>HENRY ROMERO</t>
        </is>
      </c>
      <c r="G62" s="188" t="n">
        <v>2657</v>
      </c>
      <c r="H62" s="188" t="n">
        <v>2657</v>
      </c>
      <c r="I62" s="188" t="n">
        <v>2643</v>
      </c>
      <c r="J62" s="188" t="n">
        <v>2</v>
      </c>
      <c r="K62" s="188" t="n">
        <v>22</v>
      </c>
      <c r="L62" s="189" t="n">
        <v>-10</v>
      </c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  <c r="AA62" s="162" t="n"/>
      <c r="AB62" s="162" t="n"/>
      <c r="AC62" s="162" t="n"/>
      <c r="AD62" s="162" t="n"/>
      <c r="AE62" s="162" t="n"/>
      <c r="AF62" s="162" t="n"/>
      <c r="AG62" s="162" t="n"/>
      <c r="AH62" s="162" t="n"/>
      <c r="AI62" s="162" t="n"/>
      <c r="AJ62" s="162" t="n"/>
      <c r="AK62" s="162" t="n"/>
      <c r="AL62" s="162" t="n"/>
      <c r="AM62" s="162" t="n"/>
      <c r="AN62" s="162" t="n"/>
      <c r="AO62" s="162" t="n"/>
      <c r="AP62" s="162" t="n"/>
      <c r="AQ62" s="162" t="n"/>
      <c r="AR62" s="162" t="n"/>
      <c r="AS62" s="162" t="n"/>
      <c r="AT62" s="162" t="n"/>
      <c r="AU62" s="162" t="n"/>
      <c r="AV62" s="162" t="n"/>
      <c r="AW62" s="162" t="n"/>
      <c r="AX62" s="162" t="n"/>
      <c r="AY62" s="162" t="n"/>
      <c r="AZ62" s="162" t="n"/>
      <c r="BA62" s="162" t="n"/>
      <c r="BB62" s="162" t="n"/>
      <c r="BC62" s="162" t="n"/>
      <c r="BD62" s="162" t="n"/>
      <c r="BE62" s="162" t="n"/>
      <c r="BF62" s="162" t="n"/>
      <c r="BG62" s="162" t="n"/>
      <c r="BH62" s="162" t="n"/>
      <c r="BI62" s="162" t="n"/>
      <c r="BJ62" s="162" t="n"/>
      <c r="BK62" s="162" t="n"/>
      <c r="BL62" s="162" t="n"/>
      <c r="BM62" s="162" t="n"/>
      <c r="BN62" s="162" t="n"/>
      <c r="BO62" s="162" t="n"/>
      <c r="BP62" s="162" t="n"/>
      <c r="BQ62" s="162" t="n"/>
      <c r="BR62" s="162" t="n"/>
      <c r="BS62" s="162" t="n"/>
      <c r="BT62" s="162" t="n"/>
      <c r="BU62" s="162" t="n"/>
      <c r="BV62" s="162" t="n"/>
      <c r="BW62" s="162" t="n"/>
      <c r="BX62" s="162" t="n"/>
      <c r="BY62" s="162" t="n"/>
      <c r="BZ62" s="162" t="n"/>
      <c r="CA62" s="162" t="n"/>
      <c r="CB62" s="162" t="n"/>
      <c r="CC62" s="162" t="n"/>
      <c r="CD62" s="162" t="n"/>
      <c r="CE62" s="162" t="n"/>
      <c r="CF62" s="162" t="n"/>
      <c r="CG62" s="162" t="n"/>
      <c r="CH62" s="162" t="n"/>
      <c r="CI62" s="162" t="n"/>
      <c r="CJ62" s="162" t="n"/>
      <c r="CK62" s="162" t="n"/>
      <c r="CL62" s="162" t="n"/>
      <c r="CM62" s="162" t="n"/>
      <c r="CN62" s="162" t="n"/>
      <c r="CO62" s="162" t="n"/>
      <c r="CP62" s="162" t="n"/>
      <c r="CQ62" s="162" t="n"/>
      <c r="CR62" s="162" t="n"/>
      <c r="CS62" s="162" t="n"/>
      <c r="CT62" s="162" t="n"/>
    </row>
    <row r="63" ht="15" customHeight="1">
      <c r="A63" s="175" t="n">
        <v>62</v>
      </c>
      <c r="B63" s="181" t="n">
        <v>19</v>
      </c>
      <c r="C63" s="182" t="n">
        <v>45755</v>
      </c>
      <c r="D63" s="187" t="inlineStr">
        <is>
          <t>218 G. SAN JOSE 1</t>
        </is>
      </c>
      <c r="E63" s="187" t="n">
        <v>40416</v>
      </c>
      <c r="F63" s="187" t="inlineStr">
        <is>
          <t>DUMAR ANGARITA</t>
        </is>
      </c>
      <c r="G63" s="188" t="n">
        <v>3179</v>
      </c>
      <c r="H63" s="188" t="n">
        <v>3179</v>
      </c>
      <c r="I63" s="188" t="n">
        <v>3156</v>
      </c>
      <c r="J63" s="188" t="n">
        <v>7</v>
      </c>
      <c r="K63" s="188" t="n">
        <v>15</v>
      </c>
      <c r="L63" s="189" t="n">
        <v>1</v>
      </c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  <c r="AA63" s="162" t="n"/>
      <c r="AB63" s="162" t="n"/>
      <c r="AC63" s="162" t="n"/>
      <c r="AD63" s="162" t="n"/>
      <c r="AE63" s="162" t="n"/>
      <c r="AF63" s="162" t="n"/>
      <c r="AG63" s="162" t="n"/>
      <c r="AH63" s="162" t="n"/>
      <c r="AI63" s="162" t="n"/>
      <c r="AJ63" s="162" t="n"/>
      <c r="AK63" s="162" t="n"/>
      <c r="AL63" s="162" t="n"/>
      <c r="AM63" s="162" t="n"/>
      <c r="AN63" s="162" t="n"/>
      <c r="AO63" s="162" t="n"/>
      <c r="AP63" s="162" t="n"/>
      <c r="AQ63" s="162" t="n"/>
      <c r="AR63" s="162" t="n"/>
      <c r="AS63" s="162" t="n"/>
      <c r="AT63" s="162" t="n"/>
      <c r="AU63" s="162" t="n"/>
      <c r="AV63" s="162" t="n"/>
      <c r="AW63" s="162" t="n"/>
      <c r="AX63" s="162" t="n"/>
      <c r="AY63" s="162" t="n"/>
      <c r="AZ63" s="162" t="n"/>
      <c r="BA63" s="162" t="n"/>
      <c r="BB63" s="162" t="n"/>
      <c r="BC63" s="162" t="n"/>
      <c r="BD63" s="162" t="n"/>
      <c r="BE63" s="162" t="n"/>
      <c r="BF63" s="162" t="n"/>
      <c r="BG63" s="162" t="n"/>
      <c r="BH63" s="162" t="n"/>
      <c r="BI63" s="162" t="n"/>
      <c r="BJ63" s="162" t="n"/>
      <c r="BK63" s="162" t="n"/>
      <c r="BL63" s="162" t="n"/>
      <c r="BM63" s="162" t="n"/>
      <c r="BN63" s="162" t="n"/>
      <c r="BO63" s="162" t="n"/>
      <c r="BP63" s="162" t="n"/>
      <c r="BQ63" s="162" t="n"/>
      <c r="BR63" s="162" t="n"/>
      <c r="BS63" s="162" t="n"/>
      <c r="BT63" s="162" t="n"/>
      <c r="BU63" s="162" t="n"/>
      <c r="BV63" s="162" t="n"/>
      <c r="BW63" s="162" t="n"/>
      <c r="BX63" s="162" t="n"/>
      <c r="BY63" s="162" t="n"/>
      <c r="BZ63" s="162" t="n"/>
      <c r="CA63" s="162" t="n"/>
      <c r="CB63" s="162" t="n"/>
      <c r="CC63" s="162" t="n"/>
      <c r="CD63" s="162" t="n"/>
      <c r="CE63" s="162" t="n"/>
      <c r="CF63" s="162" t="n"/>
      <c r="CG63" s="162" t="n"/>
      <c r="CH63" s="162" t="n"/>
      <c r="CI63" s="162" t="n"/>
      <c r="CJ63" s="162" t="n"/>
      <c r="CK63" s="162" t="n"/>
      <c r="CL63" s="162" t="n"/>
      <c r="CM63" s="162" t="n"/>
      <c r="CN63" s="162" t="n"/>
      <c r="CO63" s="162" t="n"/>
      <c r="CP63" s="162" t="n"/>
      <c r="CQ63" s="162" t="n"/>
      <c r="CR63" s="162" t="n"/>
      <c r="CS63" s="162" t="n"/>
      <c r="CT63" s="162" t="n"/>
    </row>
    <row r="64" ht="15" customHeight="1">
      <c r="A64" s="175" t="n">
        <v>63</v>
      </c>
      <c r="B64" s="181" t="n">
        <v>20</v>
      </c>
      <c r="C64" s="182" t="n">
        <v>45755</v>
      </c>
      <c r="D64" s="187" t="inlineStr">
        <is>
          <t>218 G. SAN JOSE 1</t>
        </is>
      </c>
      <c r="E64" s="187" t="n">
        <v>40417</v>
      </c>
      <c r="F64" s="187" t="inlineStr">
        <is>
          <t>ALEX GOMEZ</t>
        </is>
      </c>
      <c r="G64" s="188" t="n">
        <v>3179</v>
      </c>
      <c r="H64" s="188" t="n">
        <v>3179</v>
      </c>
      <c r="I64" s="188" t="n">
        <v>3161</v>
      </c>
      <c r="J64" s="188" t="n">
        <v>1</v>
      </c>
      <c r="K64" s="188" t="n">
        <v>14</v>
      </c>
      <c r="L64" s="189" t="n">
        <v>3</v>
      </c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  <c r="AA64" s="162" t="n"/>
      <c r="AB64" s="162" t="n"/>
      <c r="AC64" s="162" t="n"/>
      <c r="AD64" s="162" t="n"/>
      <c r="AE64" s="162" t="n"/>
      <c r="AF64" s="162" t="n"/>
      <c r="AG64" s="162" t="n"/>
      <c r="AH64" s="162" t="n"/>
      <c r="AI64" s="162" t="n"/>
      <c r="AJ64" s="162" t="n"/>
      <c r="AK64" s="162" t="n"/>
      <c r="AL64" s="162" t="n"/>
      <c r="AM64" s="162" t="n"/>
      <c r="AN64" s="162" t="n"/>
      <c r="AO64" s="162" t="n"/>
      <c r="AP64" s="162" t="n"/>
      <c r="AQ64" s="162" t="n"/>
      <c r="AR64" s="162" t="n"/>
      <c r="AS64" s="162" t="n"/>
      <c r="AT64" s="162" t="n"/>
      <c r="AU64" s="162" t="n"/>
      <c r="AV64" s="162" t="n"/>
      <c r="AW64" s="162" t="n"/>
      <c r="AX64" s="162" t="n"/>
      <c r="AY64" s="162" t="n"/>
      <c r="AZ64" s="162" t="n"/>
      <c r="BA64" s="162" t="n"/>
      <c r="BB64" s="162" t="n"/>
      <c r="BC64" s="162" t="n"/>
      <c r="BD64" s="162" t="n"/>
      <c r="BE64" s="162" t="n"/>
      <c r="BF64" s="162" t="n"/>
      <c r="BG64" s="162" t="n"/>
      <c r="BH64" s="162" t="n"/>
      <c r="BI64" s="162" t="n"/>
      <c r="BJ64" s="162" t="n"/>
      <c r="BK64" s="162" t="n"/>
      <c r="BL64" s="162" t="n"/>
      <c r="BM64" s="162" t="n"/>
      <c r="BN64" s="162" t="n"/>
      <c r="BO64" s="162" t="n"/>
      <c r="BP64" s="162" t="n"/>
      <c r="BQ64" s="162" t="n"/>
      <c r="BR64" s="162" t="n"/>
      <c r="BS64" s="162" t="n"/>
      <c r="BT64" s="162" t="n"/>
      <c r="BU64" s="162" t="n"/>
      <c r="BV64" s="162" t="n"/>
      <c r="BW64" s="162" t="n"/>
      <c r="BX64" s="162" t="n"/>
      <c r="BY64" s="162" t="n"/>
      <c r="BZ64" s="162" t="n"/>
      <c r="CA64" s="162" t="n"/>
      <c r="CB64" s="162" t="n"/>
      <c r="CC64" s="162" t="n"/>
      <c r="CD64" s="162" t="n"/>
      <c r="CE64" s="162" t="n"/>
      <c r="CF64" s="162" t="n"/>
      <c r="CG64" s="162" t="n"/>
      <c r="CH64" s="162" t="n"/>
      <c r="CI64" s="162" t="n"/>
      <c r="CJ64" s="162" t="n"/>
      <c r="CK64" s="162" t="n"/>
      <c r="CL64" s="162" t="n"/>
      <c r="CM64" s="162" t="n"/>
      <c r="CN64" s="162" t="n"/>
      <c r="CO64" s="162" t="n"/>
      <c r="CP64" s="162" t="n"/>
      <c r="CQ64" s="162" t="n"/>
      <c r="CR64" s="162" t="n"/>
      <c r="CS64" s="162" t="n"/>
      <c r="CT64" s="162" t="n"/>
    </row>
    <row r="65" ht="15" customHeight="1">
      <c r="A65" s="175" t="n">
        <v>64</v>
      </c>
      <c r="B65" s="181" t="n">
        <v>21</v>
      </c>
      <c r="C65" s="182" t="n">
        <v>45755</v>
      </c>
      <c r="D65" s="187" t="inlineStr">
        <is>
          <t>218 G. SAN JOSE 1</t>
        </is>
      </c>
      <c r="E65" s="187" t="n">
        <v>40418</v>
      </c>
      <c r="F65" s="187" t="inlineStr">
        <is>
          <t>EDWIN ROJAS</t>
        </is>
      </c>
      <c r="G65" s="188" t="n">
        <v>1620</v>
      </c>
      <c r="H65" s="188" t="n">
        <v>1620</v>
      </c>
      <c r="I65" s="188" t="n">
        <v>1600</v>
      </c>
      <c r="J65" s="188" t="n">
        <v>4</v>
      </c>
      <c r="K65" s="188" t="n">
        <v>16</v>
      </c>
      <c r="L65" s="189" t="n">
        <v>0</v>
      </c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  <c r="AA65" s="162" t="n"/>
      <c r="AB65" s="162" t="n"/>
      <c r="AC65" s="162" t="n"/>
      <c r="AD65" s="162" t="n"/>
      <c r="AE65" s="162" t="n"/>
      <c r="AF65" s="162" t="n"/>
      <c r="AG65" s="162" t="n"/>
      <c r="AH65" s="162" t="n"/>
      <c r="AI65" s="162" t="n"/>
      <c r="AJ65" s="162" t="n"/>
      <c r="AK65" s="162" t="n"/>
      <c r="AL65" s="162" t="n"/>
      <c r="AM65" s="162" t="n"/>
      <c r="AN65" s="162" t="n"/>
      <c r="AO65" s="162" t="n"/>
      <c r="AP65" s="162" t="n"/>
      <c r="AQ65" s="162" t="n"/>
      <c r="AR65" s="162" t="n"/>
      <c r="AS65" s="162" t="n"/>
      <c r="AT65" s="162" t="n"/>
      <c r="AU65" s="162" t="n"/>
      <c r="AV65" s="162" t="n"/>
      <c r="AW65" s="162" t="n"/>
      <c r="AX65" s="162" t="n"/>
      <c r="AY65" s="162" t="n"/>
      <c r="AZ65" s="162" t="n"/>
      <c r="BA65" s="162" t="n"/>
      <c r="BB65" s="162" t="n"/>
      <c r="BC65" s="162" t="n"/>
      <c r="BD65" s="162" t="n"/>
      <c r="BE65" s="162" t="n"/>
      <c r="BF65" s="162" t="n"/>
      <c r="BG65" s="162" t="n"/>
      <c r="BH65" s="162" t="n"/>
      <c r="BI65" s="162" t="n"/>
      <c r="BJ65" s="162" t="n"/>
      <c r="BK65" s="162" t="n"/>
      <c r="BL65" s="162" t="n"/>
      <c r="BM65" s="162" t="n"/>
      <c r="BN65" s="162" t="n"/>
      <c r="BO65" s="162" t="n"/>
      <c r="BP65" s="162" t="n"/>
      <c r="BQ65" s="162" t="n"/>
      <c r="BR65" s="162" t="n"/>
      <c r="BS65" s="162" t="n"/>
      <c r="BT65" s="162" t="n"/>
      <c r="BU65" s="162" t="n"/>
      <c r="BV65" s="162" t="n"/>
      <c r="BW65" s="162" t="n"/>
      <c r="BX65" s="162" t="n"/>
      <c r="BY65" s="162" t="n"/>
      <c r="BZ65" s="162" t="n"/>
      <c r="CA65" s="162" t="n"/>
      <c r="CB65" s="162" t="n"/>
      <c r="CC65" s="162" t="n"/>
      <c r="CD65" s="162" t="n"/>
      <c r="CE65" s="162" t="n"/>
      <c r="CF65" s="162" t="n"/>
      <c r="CG65" s="162" t="n"/>
      <c r="CH65" s="162" t="n"/>
      <c r="CI65" s="162" t="n"/>
      <c r="CJ65" s="162" t="n"/>
      <c r="CK65" s="162" t="n"/>
      <c r="CL65" s="162" t="n"/>
      <c r="CM65" s="162" t="n"/>
      <c r="CN65" s="162" t="n"/>
      <c r="CO65" s="162" t="n"/>
      <c r="CP65" s="162" t="n"/>
      <c r="CQ65" s="162" t="n"/>
      <c r="CR65" s="162" t="n"/>
      <c r="CS65" s="162" t="n"/>
      <c r="CT65" s="162" t="n"/>
    </row>
    <row r="66" ht="15" customHeight="1">
      <c r="A66" s="175" t="n">
        <v>65</v>
      </c>
      <c r="B66" s="181" t="n">
        <v>22</v>
      </c>
      <c r="C66" s="182" t="n">
        <v>45755</v>
      </c>
      <c r="D66" s="187" t="inlineStr">
        <is>
          <t>218 G. SAN JOSE 1</t>
        </is>
      </c>
      <c r="E66" s="187" t="n">
        <v>40419</v>
      </c>
      <c r="F66" s="187" t="inlineStr">
        <is>
          <t>WILMER PIÑEROS</t>
        </is>
      </c>
      <c r="G66" s="188" t="n">
        <v>1620</v>
      </c>
      <c r="H66" s="188" t="n">
        <v>1620</v>
      </c>
      <c r="I66" s="188" t="n">
        <v>1594</v>
      </c>
      <c r="J66" s="188" t="n">
        <v>5</v>
      </c>
      <c r="K66" s="188" t="n">
        <v>17</v>
      </c>
      <c r="L66" s="189" t="n">
        <v>4</v>
      </c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  <c r="AA66" s="162" t="n"/>
      <c r="AB66" s="162" t="n"/>
      <c r="AC66" s="162" t="n"/>
      <c r="AD66" s="162" t="n"/>
      <c r="AE66" s="162" t="n"/>
      <c r="AF66" s="162" t="n"/>
      <c r="AG66" s="162" t="n"/>
      <c r="AH66" s="162" t="n"/>
      <c r="AI66" s="162" t="n"/>
      <c r="AJ66" s="162" t="n"/>
      <c r="AK66" s="162" t="n"/>
      <c r="AL66" s="162" t="n"/>
      <c r="AM66" s="162" t="n"/>
      <c r="AN66" s="162" t="n"/>
      <c r="AO66" s="162" t="n"/>
      <c r="AP66" s="162" t="n"/>
      <c r="AQ66" s="162" t="n"/>
      <c r="AR66" s="162" t="n"/>
      <c r="AS66" s="162" t="n"/>
      <c r="AT66" s="162" t="n"/>
      <c r="AU66" s="162" t="n"/>
      <c r="AV66" s="162" t="n"/>
      <c r="AW66" s="162" t="n"/>
      <c r="AX66" s="162" t="n"/>
      <c r="AY66" s="162" t="n"/>
      <c r="AZ66" s="162" t="n"/>
      <c r="BA66" s="162" t="n"/>
      <c r="BB66" s="162" t="n"/>
      <c r="BC66" s="162" t="n"/>
      <c r="BD66" s="162" t="n"/>
      <c r="BE66" s="162" t="n"/>
      <c r="BF66" s="162" t="n"/>
      <c r="BG66" s="162" t="n"/>
      <c r="BH66" s="162" t="n"/>
      <c r="BI66" s="162" t="n"/>
      <c r="BJ66" s="162" t="n"/>
      <c r="BK66" s="162" t="n"/>
      <c r="BL66" s="162" t="n"/>
      <c r="BM66" s="162" t="n"/>
      <c r="BN66" s="162" t="n"/>
      <c r="BO66" s="162" t="n"/>
      <c r="BP66" s="162" t="n"/>
      <c r="BQ66" s="162" t="n"/>
      <c r="BR66" s="162" t="n"/>
      <c r="BS66" s="162" t="n"/>
      <c r="BT66" s="162" t="n"/>
      <c r="BU66" s="162" t="n"/>
      <c r="BV66" s="162" t="n"/>
      <c r="BW66" s="162" t="n"/>
      <c r="BX66" s="162" t="n"/>
      <c r="BY66" s="162" t="n"/>
      <c r="BZ66" s="162" t="n"/>
      <c r="CA66" s="162" t="n"/>
      <c r="CB66" s="162" t="n"/>
      <c r="CC66" s="162" t="n"/>
      <c r="CD66" s="162" t="n"/>
      <c r="CE66" s="162" t="n"/>
      <c r="CF66" s="162" t="n"/>
      <c r="CG66" s="162" t="n"/>
      <c r="CH66" s="162" t="n"/>
      <c r="CI66" s="162" t="n"/>
      <c r="CJ66" s="162" t="n"/>
      <c r="CK66" s="162" t="n"/>
      <c r="CL66" s="162" t="n"/>
      <c r="CM66" s="162" t="n"/>
      <c r="CN66" s="162" t="n"/>
      <c r="CO66" s="162" t="n"/>
      <c r="CP66" s="162" t="n"/>
      <c r="CQ66" s="162" t="n"/>
      <c r="CR66" s="162" t="n"/>
      <c r="CS66" s="162" t="n"/>
      <c r="CT66" s="162" t="n"/>
    </row>
    <row r="67" ht="15" customHeight="1">
      <c r="A67" s="175" t="n">
        <v>66</v>
      </c>
      <c r="B67" s="197" t="n">
        <v>23</v>
      </c>
      <c r="C67" s="198" t="n">
        <v>45755</v>
      </c>
      <c r="D67" s="202" t="inlineStr">
        <is>
          <t>218 G. SAN JOSE 1</t>
        </is>
      </c>
      <c r="E67" s="202" t="n">
        <v>40420</v>
      </c>
      <c r="F67" s="202" t="inlineStr">
        <is>
          <t>DIEGO NIÑO</t>
        </is>
      </c>
      <c r="G67" s="203" t="n">
        <v>3570</v>
      </c>
      <c r="H67" s="203" t="n">
        <v>3570</v>
      </c>
      <c r="I67" s="203" t="n">
        <v>3539</v>
      </c>
      <c r="J67" s="203" t="n">
        <v>2</v>
      </c>
      <c r="K67" s="203" t="n">
        <v>16</v>
      </c>
      <c r="L67" s="204" t="n">
        <v>13</v>
      </c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  <c r="AA67" s="162" t="n"/>
      <c r="AB67" s="162" t="n"/>
      <c r="AC67" s="162" t="n"/>
      <c r="AD67" s="162" t="n"/>
      <c r="AE67" s="162" t="n"/>
      <c r="AF67" s="162" t="n"/>
      <c r="AG67" s="162" t="n"/>
      <c r="AH67" s="162" t="n"/>
      <c r="AI67" s="162" t="n"/>
      <c r="AJ67" s="162" t="n"/>
      <c r="AK67" s="162" t="n"/>
      <c r="AL67" s="162" t="n"/>
      <c r="AM67" s="162" t="n"/>
      <c r="AN67" s="162" t="n"/>
      <c r="AO67" s="162" t="n"/>
      <c r="AP67" s="162" t="n"/>
      <c r="AQ67" s="162" t="n"/>
      <c r="AR67" s="162" t="n"/>
      <c r="AS67" s="162" t="n"/>
      <c r="AT67" s="162" t="n"/>
      <c r="AU67" s="162" t="n"/>
      <c r="AV67" s="162" t="n"/>
      <c r="AW67" s="162" t="n"/>
      <c r="AX67" s="162" t="n"/>
      <c r="AY67" s="162" t="n"/>
      <c r="AZ67" s="162" t="n"/>
      <c r="BA67" s="162" t="n"/>
      <c r="BB67" s="162" t="n"/>
      <c r="BC67" s="162" t="n"/>
      <c r="BD67" s="162" t="n"/>
      <c r="BE67" s="162" t="n"/>
      <c r="BF67" s="162" t="n"/>
      <c r="BG67" s="162" t="n"/>
      <c r="BH67" s="162" t="n"/>
      <c r="BI67" s="162" t="n"/>
      <c r="BJ67" s="162" t="n"/>
      <c r="BK67" s="162" t="n"/>
      <c r="BL67" s="162" t="n"/>
      <c r="BM67" s="162" t="n"/>
      <c r="BN67" s="162" t="n"/>
      <c r="BO67" s="162" t="n"/>
      <c r="BP67" s="162" t="n"/>
      <c r="BQ67" s="162" t="n"/>
      <c r="BR67" s="162" t="n"/>
      <c r="BS67" s="162" t="n"/>
      <c r="BT67" s="162" t="n"/>
      <c r="BU67" s="162" t="n"/>
      <c r="BV67" s="162" t="n"/>
      <c r="BW67" s="162" t="n"/>
      <c r="BX67" s="162" t="n"/>
      <c r="BY67" s="162" t="n"/>
      <c r="BZ67" s="162" t="n"/>
      <c r="CA67" s="162" t="n"/>
      <c r="CB67" s="162" t="n"/>
      <c r="CC67" s="162" t="n"/>
      <c r="CD67" s="162" t="n"/>
      <c r="CE67" s="162" t="n"/>
      <c r="CF67" s="162" t="n"/>
      <c r="CG67" s="162" t="n"/>
      <c r="CH67" s="162" t="n"/>
      <c r="CI67" s="162" t="n"/>
      <c r="CJ67" s="162" t="n"/>
      <c r="CK67" s="162" t="n"/>
      <c r="CL67" s="162" t="n"/>
      <c r="CM67" s="162" t="n"/>
      <c r="CN67" s="162" t="n"/>
      <c r="CO67" s="162" t="n"/>
      <c r="CP67" s="162" t="n"/>
      <c r="CQ67" s="162" t="n"/>
      <c r="CR67" s="162" t="n"/>
      <c r="CS67" s="162" t="n"/>
      <c r="CT67" s="162" t="n"/>
    </row>
    <row r="68" ht="15" customHeight="1">
      <c r="A68" s="175" t="n">
        <v>67</v>
      </c>
      <c r="B68" s="176" t="n">
        <v>24</v>
      </c>
      <c r="C68" s="177" t="n">
        <v>45757</v>
      </c>
      <c r="D68" s="205" t="inlineStr">
        <is>
          <t>200 G. GARCERAS</t>
        </is>
      </c>
      <c r="E68" s="205" t="n">
        <v>40440</v>
      </c>
      <c r="F68" s="205" t="inlineStr">
        <is>
          <t>JOSE SOLER</t>
        </is>
      </c>
      <c r="G68" s="206" t="n">
        <v>3504</v>
      </c>
      <c r="H68" s="206" t="n">
        <v>3504</v>
      </c>
      <c r="I68" s="206" t="n">
        <v>3491</v>
      </c>
      <c r="J68" s="206" t="n">
        <v>4</v>
      </c>
      <c r="K68" s="206" t="n">
        <v>11</v>
      </c>
      <c r="L68" s="207" t="n">
        <v>-2</v>
      </c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  <c r="AA68" s="162" t="n"/>
      <c r="AB68" s="162" t="n"/>
      <c r="AC68" s="162" t="n"/>
      <c r="AD68" s="162" t="n"/>
      <c r="AE68" s="162" t="n"/>
      <c r="AF68" s="162" t="n"/>
      <c r="AG68" s="162" t="n"/>
      <c r="AH68" s="162" t="n"/>
      <c r="AI68" s="162" t="n"/>
      <c r="AJ68" s="162" t="n"/>
      <c r="AK68" s="162" t="n"/>
      <c r="AL68" s="162" t="n"/>
      <c r="AM68" s="162" t="n"/>
      <c r="AN68" s="162" t="n"/>
      <c r="AO68" s="162" t="n"/>
      <c r="AP68" s="162" t="n"/>
      <c r="AQ68" s="162" t="n"/>
      <c r="AR68" s="162" t="n"/>
      <c r="AS68" s="162" t="n"/>
      <c r="AT68" s="162" t="n"/>
      <c r="AU68" s="162" t="n"/>
      <c r="AV68" s="162" t="n"/>
      <c r="AW68" s="162" t="n"/>
      <c r="AX68" s="162" t="n"/>
      <c r="AY68" s="162" t="n"/>
      <c r="AZ68" s="162" t="n"/>
      <c r="BA68" s="162" t="n"/>
      <c r="BB68" s="162" t="n"/>
      <c r="BC68" s="162" t="n"/>
      <c r="BD68" s="162" t="n"/>
      <c r="BE68" s="162" t="n"/>
      <c r="BF68" s="162" t="n"/>
      <c r="BG68" s="162" t="n"/>
      <c r="BH68" s="162" t="n"/>
      <c r="BI68" s="162" t="n"/>
      <c r="BJ68" s="162" t="n"/>
      <c r="BK68" s="162" t="n"/>
      <c r="BL68" s="162" t="n"/>
      <c r="BM68" s="162" t="n"/>
      <c r="BN68" s="162" t="n"/>
      <c r="BO68" s="162" t="n"/>
      <c r="BP68" s="162" t="n"/>
      <c r="BQ68" s="162" t="n"/>
      <c r="BR68" s="162" t="n"/>
      <c r="BS68" s="162" t="n"/>
      <c r="BT68" s="162" t="n"/>
      <c r="BU68" s="162" t="n"/>
      <c r="BV68" s="162" t="n"/>
      <c r="BW68" s="162" t="n"/>
      <c r="BX68" s="162" t="n"/>
      <c r="BY68" s="162" t="n"/>
      <c r="BZ68" s="162" t="n"/>
      <c r="CA68" s="162" t="n"/>
      <c r="CB68" s="162" t="n"/>
      <c r="CC68" s="162" t="n"/>
      <c r="CD68" s="162" t="n"/>
      <c r="CE68" s="162" t="n"/>
      <c r="CF68" s="162" t="n"/>
      <c r="CG68" s="162" t="n"/>
      <c r="CH68" s="162" t="n"/>
      <c r="CI68" s="162" t="n"/>
      <c r="CJ68" s="162" t="n"/>
      <c r="CK68" s="162" t="n"/>
      <c r="CL68" s="162" t="n"/>
      <c r="CM68" s="162" t="n"/>
      <c r="CN68" s="162" t="n"/>
      <c r="CO68" s="162" t="n"/>
      <c r="CP68" s="162" t="n"/>
      <c r="CQ68" s="162" t="n"/>
      <c r="CR68" s="162" t="n"/>
      <c r="CS68" s="162" t="n"/>
      <c r="CT68" s="162" t="n"/>
    </row>
    <row r="69" ht="15" customHeight="1">
      <c r="A69" s="175" t="n">
        <v>68</v>
      </c>
      <c r="B69" s="181" t="n">
        <v>25</v>
      </c>
      <c r="C69" s="182" t="n">
        <v>45757</v>
      </c>
      <c r="D69" s="187" t="inlineStr">
        <is>
          <t>200 G. GARCERAS</t>
        </is>
      </c>
      <c r="E69" s="187" t="n">
        <v>40441</v>
      </c>
      <c r="F69" s="187" t="inlineStr">
        <is>
          <t>WILMER PIÑEROS</t>
        </is>
      </c>
      <c r="G69" s="188" t="n">
        <v>3504</v>
      </c>
      <c r="H69" s="188" t="n">
        <v>3504</v>
      </c>
      <c r="I69" s="188" t="n">
        <v>3495</v>
      </c>
      <c r="J69" s="188" t="n">
        <v>3</v>
      </c>
      <c r="K69" s="188" t="n">
        <v>9</v>
      </c>
      <c r="L69" s="189" t="n">
        <v>-3</v>
      </c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  <c r="AA69" s="162" t="n"/>
      <c r="AB69" s="162" t="n"/>
      <c r="AC69" s="162" t="n"/>
      <c r="AD69" s="162" t="n"/>
      <c r="AE69" s="162" t="n"/>
      <c r="AF69" s="162" t="n"/>
      <c r="AG69" s="162" t="n"/>
      <c r="AH69" s="162" t="n"/>
      <c r="AI69" s="162" t="n"/>
      <c r="AJ69" s="162" t="n"/>
      <c r="AK69" s="162" t="n"/>
      <c r="AL69" s="162" t="n"/>
      <c r="AM69" s="162" t="n"/>
      <c r="AN69" s="162" t="n"/>
      <c r="AO69" s="162" t="n"/>
      <c r="AP69" s="162" t="n"/>
      <c r="AQ69" s="162" t="n"/>
      <c r="AR69" s="162" t="n"/>
      <c r="AS69" s="162" t="n"/>
      <c r="AT69" s="162" t="n"/>
      <c r="AU69" s="162" t="n"/>
      <c r="AV69" s="162" t="n"/>
      <c r="AW69" s="162" t="n"/>
      <c r="AX69" s="162" t="n"/>
      <c r="AY69" s="162" t="n"/>
      <c r="AZ69" s="162" t="n"/>
      <c r="BA69" s="162" t="n"/>
      <c r="BB69" s="162" t="n"/>
      <c r="BC69" s="162" t="n"/>
      <c r="BD69" s="162" t="n"/>
      <c r="BE69" s="162" t="n"/>
      <c r="BF69" s="162" t="n"/>
      <c r="BG69" s="162" t="n"/>
      <c r="BH69" s="162" t="n"/>
      <c r="BI69" s="162" t="n"/>
      <c r="BJ69" s="162" t="n"/>
      <c r="BK69" s="162" t="n"/>
      <c r="BL69" s="162" t="n"/>
      <c r="BM69" s="162" t="n"/>
      <c r="BN69" s="162" t="n"/>
      <c r="BO69" s="162" t="n"/>
      <c r="BP69" s="162" t="n"/>
      <c r="BQ69" s="162" t="n"/>
      <c r="BR69" s="162" t="n"/>
      <c r="BS69" s="162" t="n"/>
      <c r="BT69" s="162" t="n"/>
      <c r="BU69" s="162" t="n"/>
      <c r="BV69" s="162" t="n"/>
      <c r="BW69" s="162" t="n"/>
      <c r="BX69" s="162" t="n"/>
      <c r="BY69" s="162" t="n"/>
      <c r="BZ69" s="162" t="n"/>
      <c r="CA69" s="162" t="n"/>
      <c r="CB69" s="162" t="n"/>
      <c r="CC69" s="162" t="n"/>
      <c r="CD69" s="162" t="n"/>
      <c r="CE69" s="162" t="n"/>
      <c r="CF69" s="162" t="n"/>
      <c r="CG69" s="162" t="n"/>
      <c r="CH69" s="162" t="n"/>
      <c r="CI69" s="162" t="n"/>
      <c r="CJ69" s="162" t="n"/>
      <c r="CK69" s="162" t="n"/>
      <c r="CL69" s="162" t="n"/>
      <c r="CM69" s="162" t="n"/>
      <c r="CN69" s="162" t="n"/>
      <c r="CO69" s="162" t="n"/>
      <c r="CP69" s="162" t="n"/>
      <c r="CQ69" s="162" t="n"/>
      <c r="CR69" s="162" t="n"/>
      <c r="CS69" s="162" t="n"/>
      <c r="CT69" s="162" t="n"/>
    </row>
    <row r="70" ht="15" customHeight="1">
      <c r="A70" s="175" t="n">
        <v>69</v>
      </c>
      <c r="B70" s="181" t="n">
        <v>26</v>
      </c>
      <c r="C70" s="182" t="n">
        <v>45757</v>
      </c>
      <c r="D70" s="187" t="inlineStr">
        <is>
          <t>200 G. GARCERAS</t>
        </is>
      </c>
      <c r="E70" s="187" t="n">
        <v>40442</v>
      </c>
      <c r="F70" s="187" t="inlineStr">
        <is>
          <t>EDWIN ROJAS</t>
        </is>
      </c>
      <c r="G70" s="188" t="n">
        <v>3504</v>
      </c>
      <c r="H70" s="188" t="n">
        <v>3504</v>
      </c>
      <c r="I70" s="188" t="n">
        <v>3494</v>
      </c>
      <c r="J70" s="188" t="n">
        <v>4</v>
      </c>
      <c r="K70" s="188" t="n">
        <v>8</v>
      </c>
      <c r="L70" s="189" t="n">
        <v>-2</v>
      </c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  <c r="AA70" s="162" t="n"/>
      <c r="AB70" s="162" t="n"/>
      <c r="AC70" s="162" t="n"/>
      <c r="AD70" s="162" t="n"/>
      <c r="AE70" s="162" t="n"/>
      <c r="AF70" s="162" t="n"/>
      <c r="AG70" s="162" t="n"/>
      <c r="AH70" s="162" t="n"/>
      <c r="AI70" s="162" t="n"/>
      <c r="AJ70" s="162" t="n"/>
      <c r="AK70" s="162" t="n"/>
      <c r="AL70" s="162" t="n"/>
      <c r="AM70" s="162" t="n"/>
      <c r="AN70" s="162" t="n"/>
      <c r="AO70" s="162" t="n"/>
      <c r="AP70" s="162" t="n"/>
      <c r="AQ70" s="162" t="n"/>
      <c r="AR70" s="162" t="n"/>
      <c r="AS70" s="162" t="n"/>
      <c r="AT70" s="162" t="n"/>
      <c r="AU70" s="162" t="n"/>
      <c r="AV70" s="162" t="n"/>
      <c r="AW70" s="162" t="n"/>
      <c r="AX70" s="162" t="n"/>
      <c r="AY70" s="162" t="n"/>
      <c r="AZ70" s="162" t="n"/>
      <c r="BA70" s="162" t="n"/>
      <c r="BB70" s="162" t="n"/>
      <c r="BC70" s="162" t="n"/>
      <c r="BD70" s="162" t="n"/>
      <c r="BE70" s="162" t="n"/>
      <c r="BF70" s="162" t="n"/>
      <c r="BG70" s="162" t="n"/>
      <c r="BH70" s="162" t="n"/>
      <c r="BI70" s="162" t="n"/>
      <c r="BJ70" s="162" t="n"/>
      <c r="BK70" s="162" t="n"/>
      <c r="BL70" s="162" t="n"/>
      <c r="BM70" s="162" t="n"/>
      <c r="BN70" s="162" t="n"/>
      <c r="BO70" s="162" t="n"/>
      <c r="BP70" s="162" t="n"/>
      <c r="BQ70" s="162" t="n"/>
      <c r="BR70" s="162" t="n"/>
      <c r="BS70" s="162" t="n"/>
      <c r="BT70" s="162" t="n"/>
      <c r="BU70" s="162" t="n"/>
      <c r="BV70" s="162" t="n"/>
      <c r="BW70" s="162" t="n"/>
      <c r="BX70" s="162" t="n"/>
      <c r="BY70" s="162" t="n"/>
      <c r="BZ70" s="162" t="n"/>
      <c r="CA70" s="162" t="n"/>
      <c r="CB70" s="162" t="n"/>
      <c r="CC70" s="162" t="n"/>
      <c r="CD70" s="162" t="n"/>
      <c r="CE70" s="162" t="n"/>
      <c r="CF70" s="162" t="n"/>
      <c r="CG70" s="162" t="n"/>
      <c r="CH70" s="162" t="n"/>
      <c r="CI70" s="162" t="n"/>
      <c r="CJ70" s="162" t="n"/>
      <c r="CK70" s="162" t="n"/>
      <c r="CL70" s="162" t="n"/>
      <c r="CM70" s="162" t="n"/>
      <c r="CN70" s="162" t="n"/>
      <c r="CO70" s="162" t="n"/>
      <c r="CP70" s="162" t="n"/>
      <c r="CQ70" s="162" t="n"/>
      <c r="CR70" s="162" t="n"/>
      <c r="CS70" s="162" t="n"/>
      <c r="CT70" s="162" t="n"/>
    </row>
    <row r="71" ht="15" customHeight="1">
      <c r="A71" s="175" t="n">
        <v>70</v>
      </c>
      <c r="B71" s="181" t="n">
        <v>27</v>
      </c>
      <c r="C71" s="182" t="n">
        <v>45757</v>
      </c>
      <c r="D71" s="187" t="inlineStr">
        <is>
          <t>200 G. GARCERAS</t>
        </is>
      </c>
      <c r="E71" s="187" t="n">
        <v>40443</v>
      </c>
      <c r="F71" s="187" t="inlineStr">
        <is>
          <t>FABIO ALDANA</t>
        </is>
      </c>
      <c r="G71" s="188" t="n">
        <v>3504</v>
      </c>
      <c r="H71" s="188" t="n">
        <v>3504</v>
      </c>
      <c r="I71" s="188" t="n">
        <v>3472</v>
      </c>
      <c r="J71" s="188" t="n">
        <v>5</v>
      </c>
      <c r="K71" s="188" t="n">
        <v>8</v>
      </c>
      <c r="L71" s="189" t="n">
        <v>19</v>
      </c>
      <c r="M71" s="162" t="inlineStr">
        <is>
          <t>VARADO</t>
        </is>
      </c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  <c r="AA71" s="162" t="n"/>
      <c r="AB71" s="162" t="n"/>
      <c r="AC71" s="162" t="n"/>
      <c r="AD71" s="162" t="n"/>
      <c r="AE71" s="162" t="n"/>
      <c r="AF71" s="162" t="n"/>
      <c r="AG71" s="162" t="n"/>
      <c r="AH71" s="162" t="n"/>
      <c r="AI71" s="162" t="n"/>
      <c r="AJ71" s="162" t="n"/>
      <c r="AK71" s="162" t="n"/>
      <c r="AL71" s="162" t="n"/>
      <c r="AM71" s="162" t="n"/>
      <c r="AN71" s="162" t="n"/>
      <c r="AO71" s="162" t="n"/>
      <c r="AP71" s="162" t="n"/>
      <c r="AQ71" s="162" t="n"/>
      <c r="AR71" s="162" t="n"/>
      <c r="AS71" s="162" t="n"/>
      <c r="AT71" s="162" t="n"/>
      <c r="AU71" s="162" t="n"/>
      <c r="AV71" s="162" t="n"/>
      <c r="AW71" s="162" t="n"/>
      <c r="AX71" s="162" t="n"/>
      <c r="AY71" s="162" t="n"/>
      <c r="AZ71" s="162" t="n"/>
      <c r="BA71" s="162" t="n"/>
      <c r="BB71" s="162" t="n"/>
      <c r="BC71" s="162" t="n"/>
      <c r="BD71" s="162" t="n"/>
      <c r="BE71" s="162" t="n"/>
      <c r="BF71" s="162" t="n"/>
      <c r="BG71" s="162" t="n"/>
      <c r="BH71" s="162" t="n"/>
      <c r="BI71" s="162" t="n"/>
      <c r="BJ71" s="162" t="n"/>
      <c r="BK71" s="162" t="n"/>
      <c r="BL71" s="162" t="n"/>
      <c r="BM71" s="162" t="n"/>
      <c r="BN71" s="162" t="n"/>
      <c r="BO71" s="162" t="n"/>
      <c r="BP71" s="162" t="n"/>
      <c r="BQ71" s="162" t="n"/>
      <c r="BR71" s="162" t="n"/>
      <c r="BS71" s="162" t="n"/>
      <c r="BT71" s="162" t="n"/>
      <c r="BU71" s="162" t="n"/>
      <c r="BV71" s="162" t="n"/>
      <c r="BW71" s="162" t="n"/>
      <c r="BX71" s="162" t="n"/>
      <c r="BY71" s="162" t="n"/>
      <c r="BZ71" s="162" t="n"/>
      <c r="CA71" s="162" t="n"/>
      <c r="CB71" s="162" t="n"/>
      <c r="CC71" s="162" t="n"/>
      <c r="CD71" s="162" t="n"/>
      <c r="CE71" s="162" t="n"/>
      <c r="CF71" s="162" t="n"/>
      <c r="CG71" s="162" t="n"/>
      <c r="CH71" s="162" t="n"/>
      <c r="CI71" s="162" t="n"/>
      <c r="CJ71" s="162" t="n"/>
      <c r="CK71" s="162" t="n"/>
      <c r="CL71" s="162" t="n"/>
      <c r="CM71" s="162" t="n"/>
      <c r="CN71" s="162" t="n"/>
      <c r="CO71" s="162" t="n"/>
      <c r="CP71" s="162" t="n"/>
      <c r="CQ71" s="162" t="n"/>
      <c r="CR71" s="162" t="n"/>
      <c r="CS71" s="162" t="n"/>
      <c r="CT71" s="162" t="n"/>
    </row>
    <row r="72" ht="15" customHeight="1">
      <c r="A72" s="175" t="n">
        <v>71</v>
      </c>
      <c r="B72" s="181" t="n">
        <v>28</v>
      </c>
      <c r="C72" s="182" t="n">
        <v>45757</v>
      </c>
      <c r="D72" s="187" t="inlineStr">
        <is>
          <t>221 G. MALAGUEÑA</t>
        </is>
      </c>
      <c r="E72" s="187" t="n">
        <v>40444</v>
      </c>
      <c r="F72" s="187" t="inlineStr">
        <is>
          <t>MANUEL QUITIAN</t>
        </is>
      </c>
      <c r="G72" s="188" t="n">
        <v>3503</v>
      </c>
      <c r="H72" s="188" t="n">
        <v>3503</v>
      </c>
      <c r="I72" s="188" t="n">
        <v>3475</v>
      </c>
      <c r="J72" s="188" t="n">
        <v>3</v>
      </c>
      <c r="K72" s="188" t="n">
        <v>7</v>
      </c>
      <c r="L72" s="189" t="n">
        <v>18</v>
      </c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  <c r="AA72" s="162" t="n"/>
      <c r="AB72" s="162" t="n"/>
      <c r="AC72" s="162" t="n"/>
      <c r="AD72" s="162" t="n"/>
      <c r="AE72" s="162" t="n"/>
      <c r="AF72" s="162" t="n"/>
      <c r="AG72" s="162" t="n"/>
      <c r="AH72" s="162" t="n"/>
      <c r="AI72" s="162" t="n"/>
      <c r="AJ72" s="162" t="n"/>
      <c r="AK72" s="162" t="n"/>
      <c r="AL72" s="162" t="n"/>
      <c r="AM72" s="162" t="n"/>
      <c r="AN72" s="162" t="n"/>
      <c r="AO72" s="162" t="n"/>
      <c r="AP72" s="162" t="n"/>
      <c r="AQ72" s="162" t="n"/>
      <c r="AR72" s="162" t="n"/>
      <c r="AS72" s="162" t="n"/>
      <c r="AT72" s="162" t="n"/>
      <c r="AU72" s="162" t="n"/>
      <c r="AV72" s="162" t="n"/>
      <c r="AW72" s="162" t="n"/>
      <c r="AX72" s="162" t="n"/>
      <c r="AY72" s="162" t="n"/>
      <c r="AZ72" s="162" t="n"/>
      <c r="BA72" s="162" t="n"/>
      <c r="BB72" s="162" t="n"/>
      <c r="BC72" s="162" t="n"/>
      <c r="BD72" s="162" t="n"/>
      <c r="BE72" s="162" t="n"/>
      <c r="BF72" s="162" t="n"/>
      <c r="BG72" s="162" t="n"/>
      <c r="BH72" s="162" t="n"/>
      <c r="BI72" s="162" t="n"/>
      <c r="BJ72" s="162" t="n"/>
      <c r="BK72" s="162" t="n"/>
      <c r="BL72" s="162" t="n"/>
      <c r="BM72" s="162" t="n"/>
      <c r="BN72" s="162" t="n"/>
      <c r="BO72" s="162" t="n"/>
      <c r="BP72" s="162" t="n"/>
      <c r="BQ72" s="162" t="n"/>
      <c r="BR72" s="162" t="n"/>
      <c r="BS72" s="162" t="n"/>
      <c r="BT72" s="162" t="n"/>
      <c r="BU72" s="162" t="n"/>
      <c r="BV72" s="162" t="n"/>
      <c r="BW72" s="162" t="n"/>
      <c r="BX72" s="162" t="n"/>
      <c r="BY72" s="162" t="n"/>
      <c r="BZ72" s="162" t="n"/>
      <c r="CA72" s="162" t="n"/>
      <c r="CB72" s="162" t="n"/>
      <c r="CC72" s="162" t="n"/>
      <c r="CD72" s="162" t="n"/>
      <c r="CE72" s="162" t="n"/>
      <c r="CF72" s="162" t="n"/>
      <c r="CG72" s="162" t="n"/>
      <c r="CH72" s="162" t="n"/>
      <c r="CI72" s="162" t="n"/>
      <c r="CJ72" s="162" t="n"/>
      <c r="CK72" s="162" t="n"/>
      <c r="CL72" s="162" t="n"/>
      <c r="CM72" s="162" t="n"/>
      <c r="CN72" s="162" t="n"/>
      <c r="CO72" s="162" t="n"/>
      <c r="CP72" s="162" t="n"/>
      <c r="CQ72" s="162" t="n"/>
      <c r="CR72" s="162" t="n"/>
      <c r="CS72" s="162" t="n"/>
      <c r="CT72" s="162" t="n"/>
    </row>
    <row r="73" ht="15" customHeight="1">
      <c r="A73" s="175" t="n">
        <v>72</v>
      </c>
      <c r="B73" s="181" t="n">
        <v>29</v>
      </c>
      <c r="C73" s="182" t="n">
        <v>45757</v>
      </c>
      <c r="D73" s="187" t="inlineStr">
        <is>
          <t>200 G. GARCERAS</t>
        </is>
      </c>
      <c r="E73" s="187" t="n">
        <v>40445</v>
      </c>
      <c r="F73" s="187" t="inlineStr">
        <is>
          <t>JHON ARIAS</t>
        </is>
      </c>
      <c r="G73" s="188" t="n">
        <v>3506</v>
      </c>
      <c r="H73" s="188" t="n">
        <v>3506</v>
      </c>
      <c r="I73" s="188" t="n">
        <v>3479</v>
      </c>
      <c r="J73" s="188" t="n">
        <v>2</v>
      </c>
      <c r="K73" s="188" t="n">
        <v>6</v>
      </c>
      <c r="L73" s="189" t="n">
        <v>19</v>
      </c>
      <c r="M73" s="162" t="inlineStr">
        <is>
          <t>TRANSBORDO</t>
        </is>
      </c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  <c r="AA73" s="162" t="n"/>
      <c r="AB73" s="162" t="n"/>
      <c r="AC73" s="162" t="n"/>
      <c r="AD73" s="162" t="n"/>
      <c r="AE73" s="162" t="n"/>
      <c r="AF73" s="162" t="n"/>
      <c r="AG73" s="162" t="n"/>
      <c r="AH73" s="162" t="n"/>
      <c r="AI73" s="162" t="n"/>
      <c r="AJ73" s="162" t="n"/>
      <c r="AK73" s="162" t="n"/>
      <c r="AL73" s="162" t="n"/>
      <c r="AM73" s="162" t="n"/>
      <c r="AN73" s="162" t="n"/>
      <c r="AO73" s="162" t="n"/>
      <c r="AP73" s="162" t="n"/>
      <c r="AQ73" s="162" t="n"/>
      <c r="AR73" s="162" t="n"/>
      <c r="AS73" s="162" t="n"/>
      <c r="AT73" s="162" t="n"/>
      <c r="AU73" s="162" t="n"/>
      <c r="AV73" s="162" t="n"/>
      <c r="AW73" s="162" t="n"/>
      <c r="AX73" s="162" t="n"/>
      <c r="AY73" s="162" t="n"/>
      <c r="AZ73" s="162" t="n"/>
      <c r="BA73" s="162" t="n"/>
      <c r="BB73" s="162" t="n"/>
      <c r="BC73" s="162" t="n"/>
      <c r="BD73" s="162" t="n"/>
      <c r="BE73" s="162" t="n"/>
      <c r="BF73" s="162" t="n"/>
      <c r="BG73" s="162" t="n"/>
      <c r="BH73" s="162" t="n"/>
      <c r="BI73" s="162" t="n"/>
      <c r="BJ73" s="162" t="n"/>
      <c r="BK73" s="162" t="n"/>
      <c r="BL73" s="162" t="n"/>
      <c r="BM73" s="162" t="n"/>
      <c r="BN73" s="162" t="n"/>
      <c r="BO73" s="162" t="n"/>
      <c r="BP73" s="162" t="n"/>
      <c r="BQ73" s="162" t="n"/>
      <c r="BR73" s="162" t="n"/>
      <c r="BS73" s="162" t="n"/>
      <c r="BT73" s="162" t="n"/>
      <c r="BU73" s="162" t="n"/>
      <c r="BV73" s="162" t="n"/>
      <c r="BW73" s="162" t="n"/>
      <c r="BX73" s="162" t="n"/>
      <c r="BY73" s="162" t="n"/>
      <c r="BZ73" s="162" t="n"/>
      <c r="CA73" s="162" t="n"/>
      <c r="CB73" s="162" t="n"/>
      <c r="CC73" s="162" t="n"/>
      <c r="CD73" s="162" t="n"/>
      <c r="CE73" s="162" t="n"/>
      <c r="CF73" s="162" t="n"/>
      <c r="CG73" s="162" t="n"/>
      <c r="CH73" s="162" t="n"/>
      <c r="CI73" s="162" t="n"/>
      <c r="CJ73" s="162" t="n"/>
      <c r="CK73" s="162" t="n"/>
      <c r="CL73" s="162" t="n"/>
      <c r="CM73" s="162" t="n"/>
      <c r="CN73" s="162" t="n"/>
      <c r="CO73" s="162" t="n"/>
      <c r="CP73" s="162" t="n"/>
      <c r="CQ73" s="162" t="n"/>
      <c r="CR73" s="162" t="n"/>
      <c r="CS73" s="162" t="n"/>
      <c r="CT73" s="162" t="n"/>
    </row>
    <row r="74" ht="15" customHeight="1">
      <c r="A74" s="175" t="n">
        <v>73</v>
      </c>
      <c r="B74" s="181" t="n">
        <v>30</v>
      </c>
      <c r="C74" s="182" t="n">
        <v>45757</v>
      </c>
      <c r="D74" s="187" t="inlineStr">
        <is>
          <t>221 G. MALAGUEÑA</t>
        </is>
      </c>
      <c r="E74" s="187" t="n">
        <v>40446</v>
      </c>
      <c r="F74" s="187" t="inlineStr">
        <is>
          <t>JOSE SOLER</t>
        </is>
      </c>
      <c r="G74" s="188" t="n">
        <v>3503</v>
      </c>
      <c r="H74" s="188" t="n">
        <v>3506</v>
      </c>
      <c r="I74" s="188" t="n">
        <v>3479</v>
      </c>
      <c r="J74" s="188" t="n">
        <v>3</v>
      </c>
      <c r="K74" s="188" t="n">
        <v>7</v>
      </c>
      <c r="L74" s="189" t="n">
        <v>14</v>
      </c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  <c r="AA74" s="162" t="n"/>
      <c r="AB74" s="162" t="n"/>
      <c r="AC74" s="162" t="n"/>
      <c r="AD74" s="162" t="n"/>
      <c r="AE74" s="162" t="n"/>
      <c r="AF74" s="162" t="n"/>
      <c r="AG74" s="162" t="n"/>
      <c r="AH74" s="162" t="n"/>
      <c r="AI74" s="162" t="n"/>
      <c r="AJ74" s="162" t="n"/>
      <c r="AK74" s="162" t="n"/>
      <c r="AL74" s="162" t="n"/>
      <c r="AM74" s="162" t="n"/>
      <c r="AN74" s="162" t="n"/>
      <c r="AO74" s="162" t="n"/>
      <c r="AP74" s="162" t="n"/>
      <c r="AQ74" s="162" t="n"/>
      <c r="AR74" s="162" t="n"/>
      <c r="AS74" s="162" t="n"/>
      <c r="AT74" s="162" t="n"/>
      <c r="AU74" s="162" t="n"/>
      <c r="AV74" s="162" t="n"/>
      <c r="AW74" s="162" t="n"/>
      <c r="AX74" s="162" t="n"/>
      <c r="AY74" s="162" t="n"/>
      <c r="AZ74" s="162" t="n"/>
      <c r="BA74" s="162" t="n"/>
      <c r="BB74" s="162" t="n"/>
      <c r="BC74" s="162" t="n"/>
      <c r="BD74" s="162" t="n"/>
      <c r="BE74" s="162" t="n"/>
      <c r="BF74" s="162" t="n"/>
      <c r="BG74" s="162" t="n"/>
      <c r="BH74" s="162" t="n"/>
      <c r="BI74" s="162" t="n"/>
      <c r="BJ74" s="162" t="n"/>
      <c r="BK74" s="162" t="n"/>
      <c r="BL74" s="162" t="n"/>
      <c r="BM74" s="162" t="n"/>
      <c r="BN74" s="162" t="n"/>
      <c r="BO74" s="162" t="n"/>
      <c r="BP74" s="162" t="n"/>
      <c r="BQ74" s="162" t="n"/>
      <c r="BR74" s="162" t="n"/>
      <c r="BS74" s="162" t="n"/>
      <c r="BT74" s="162" t="n"/>
      <c r="BU74" s="162" t="n"/>
      <c r="BV74" s="162" t="n"/>
      <c r="BW74" s="162" t="n"/>
      <c r="BX74" s="162" t="n"/>
      <c r="BY74" s="162" t="n"/>
      <c r="BZ74" s="162" t="n"/>
      <c r="CA74" s="162" t="n"/>
      <c r="CB74" s="162" t="n"/>
      <c r="CC74" s="162" t="n"/>
      <c r="CD74" s="162" t="n"/>
      <c r="CE74" s="162" t="n"/>
      <c r="CF74" s="162" t="n"/>
      <c r="CG74" s="162" t="n"/>
      <c r="CH74" s="162" t="n"/>
      <c r="CI74" s="162" t="n"/>
      <c r="CJ74" s="162" t="n"/>
      <c r="CK74" s="162" t="n"/>
      <c r="CL74" s="162" t="n"/>
      <c r="CM74" s="162" t="n"/>
      <c r="CN74" s="162" t="n"/>
      <c r="CO74" s="162" t="n"/>
      <c r="CP74" s="162" t="n"/>
      <c r="CQ74" s="162" t="n"/>
      <c r="CR74" s="162" t="n"/>
      <c r="CS74" s="162" t="n"/>
      <c r="CT74" s="162" t="n"/>
    </row>
    <row r="75" ht="15" customHeight="1">
      <c r="A75" s="175" t="n">
        <v>74</v>
      </c>
      <c r="B75" s="181" t="n">
        <v>31</v>
      </c>
      <c r="C75" s="182" t="n">
        <v>45757</v>
      </c>
      <c r="D75" s="187" t="inlineStr">
        <is>
          <t>200 G. GARCERAS</t>
        </is>
      </c>
      <c r="E75" s="187" t="n">
        <v>40447</v>
      </c>
      <c r="F75" s="187" t="inlineStr">
        <is>
          <t>YAIR RIVEROS</t>
        </is>
      </c>
      <c r="G75" s="188" t="n">
        <v>3506</v>
      </c>
      <c r="H75" s="188" t="n">
        <v>3506</v>
      </c>
      <c r="I75" s="188" t="n">
        <v>3507</v>
      </c>
      <c r="J75" s="188" t="n">
        <v>0</v>
      </c>
      <c r="K75" s="188" t="n">
        <v>3</v>
      </c>
      <c r="L75" s="189" t="n">
        <v>-4</v>
      </c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  <c r="AA75" s="162" t="n"/>
      <c r="AB75" s="162" t="n"/>
      <c r="AC75" s="162" t="n"/>
      <c r="AD75" s="162" t="n"/>
      <c r="AE75" s="162" t="n"/>
      <c r="AF75" s="162" t="n"/>
      <c r="AG75" s="162" t="n"/>
      <c r="AH75" s="162" t="n"/>
      <c r="AI75" s="162" t="n"/>
      <c r="AJ75" s="162" t="n"/>
      <c r="AK75" s="162" t="n"/>
      <c r="AL75" s="162" t="n"/>
      <c r="AM75" s="162" t="n"/>
      <c r="AN75" s="162" t="n"/>
      <c r="AO75" s="162" t="n"/>
      <c r="AP75" s="162" t="n"/>
      <c r="AQ75" s="162" t="n"/>
      <c r="AR75" s="162" t="n"/>
      <c r="AS75" s="162" t="n"/>
      <c r="AT75" s="162" t="n"/>
      <c r="AU75" s="162" t="n"/>
      <c r="AV75" s="162" t="n"/>
      <c r="AW75" s="162" t="n"/>
      <c r="AX75" s="162" t="n"/>
      <c r="AY75" s="162" t="n"/>
      <c r="AZ75" s="162" t="n"/>
      <c r="BA75" s="162" t="n"/>
      <c r="BB75" s="162" t="n"/>
      <c r="BC75" s="162" t="n"/>
      <c r="BD75" s="162" t="n"/>
      <c r="BE75" s="162" t="n"/>
      <c r="BF75" s="162" t="n"/>
      <c r="BG75" s="162" t="n"/>
      <c r="BH75" s="162" t="n"/>
      <c r="BI75" s="162" t="n"/>
      <c r="BJ75" s="162" t="n"/>
      <c r="BK75" s="162" t="n"/>
      <c r="BL75" s="162" t="n"/>
      <c r="BM75" s="162" t="n"/>
      <c r="BN75" s="162" t="n"/>
      <c r="BO75" s="162" t="n"/>
      <c r="BP75" s="162" t="n"/>
      <c r="BQ75" s="162" t="n"/>
      <c r="BR75" s="162" t="n"/>
      <c r="BS75" s="162" t="n"/>
      <c r="BT75" s="162" t="n"/>
      <c r="BU75" s="162" t="n"/>
      <c r="BV75" s="162" t="n"/>
      <c r="BW75" s="162" t="n"/>
      <c r="BX75" s="162" t="n"/>
      <c r="BY75" s="162" t="n"/>
      <c r="BZ75" s="162" t="n"/>
      <c r="CA75" s="162" t="n"/>
      <c r="CB75" s="162" t="n"/>
      <c r="CC75" s="162" t="n"/>
      <c r="CD75" s="162" t="n"/>
      <c r="CE75" s="162" t="n"/>
      <c r="CF75" s="162" t="n"/>
      <c r="CG75" s="162" t="n"/>
      <c r="CH75" s="162" t="n"/>
      <c r="CI75" s="162" t="n"/>
      <c r="CJ75" s="162" t="n"/>
      <c r="CK75" s="162" t="n"/>
      <c r="CL75" s="162" t="n"/>
      <c r="CM75" s="162" t="n"/>
      <c r="CN75" s="162" t="n"/>
      <c r="CO75" s="162" t="n"/>
      <c r="CP75" s="162" t="n"/>
      <c r="CQ75" s="162" t="n"/>
      <c r="CR75" s="162" t="n"/>
      <c r="CS75" s="162" t="n"/>
      <c r="CT75" s="162" t="n"/>
    </row>
    <row r="76" ht="15" customHeight="1">
      <c r="A76" s="175" t="n">
        <v>75</v>
      </c>
      <c r="B76" s="197" t="n">
        <v>32</v>
      </c>
      <c r="C76" s="198" t="n">
        <v>45757</v>
      </c>
      <c r="D76" s="202" t="inlineStr">
        <is>
          <t>221 G. MALAGUEÑA</t>
        </is>
      </c>
      <c r="E76" s="202" t="n">
        <v>40447</v>
      </c>
      <c r="F76" s="202" t="inlineStr">
        <is>
          <t>JOSE SOLER</t>
        </is>
      </c>
      <c r="G76" s="203" t="n">
        <v>3506</v>
      </c>
      <c r="H76" s="203" t="n">
        <v>3506</v>
      </c>
      <c r="I76" s="203" t="n">
        <v>3507</v>
      </c>
      <c r="J76" s="203" t="n">
        <v>0</v>
      </c>
      <c r="K76" s="203" t="n">
        <v>3</v>
      </c>
      <c r="L76" s="204" t="n">
        <v>-4</v>
      </c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  <c r="AA76" s="162" t="n"/>
      <c r="AB76" s="162" t="n"/>
      <c r="AC76" s="162" t="n"/>
      <c r="AD76" s="162" t="n"/>
      <c r="AE76" s="162" t="n"/>
      <c r="AF76" s="162" t="n"/>
      <c r="AG76" s="162" t="n"/>
      <c r="AH76" s="162" t="n"/>
      <c r="AI76" s="162" t="n"/>
      <c r="AJ76" s="162" t="n"/>
      <c r="AK76" s="162" t="n"/>
      <c r="AL76" s="162" t="n"/>
      <c r="AM76" s="162" t="n"/>
      <c r="AN76" s="162" t="n"/>
      <c r="AO76" s="162" t="n"/>
      <c r="AP76" s="162" t="n"/>
      <c r="AQ76" s="162" t="n"/>
      <c r="AR76" s="162" t="n"/>
      <c r="AS76" s="162" t="n"/>
      <c r="AT76" s="162" t="n"/>
      <c r="AU76" s="162" t="n"/>
      <c r="AV76" s="162" t="n"/>
      <c r="AW76" s="162" t="n"/>
      <c r="AX76" s="162" t="n"/>
      <c r="AY76" s="162" t="n"/>
      <c r="AZ76" s="162" t="n"/>
      <c r="BA76" s="162" t="n"/>
      <c r="BB76" s="162" t="n"/>
      <c r="BC76" s="162" t="n"/>
      <c r="BD76" s="162" t="n"/>
      <c r="BE76" s="162" t="n"/>
      <c r="BF76" s="162" t="n"/>
      <c r="BG76" s="162" t="n"/>
      <c r="BH76" s="162" t="n"/>
      <c r="BI76" s="162" t="n"/>
      <c r="BJ76" s="162" t="n"/>
      <c r="BK76" s="162" t="n"/>
      <c r="BL76" s="162" t="n"/>
      <c r="BM76" s="162" t="n"/>
      <c r="BN76" s="162" t="n"/>
      <c r="BO76" s="162" t="n"/>
      <c r="BP76" s="162" t="n"/>
      <c r="BQ76" s="162" t="n"/>
      <c r="BR76" s="162" t="n"/>
      <c r="BS76" s="162" t="n"/>
      <c r="BT76" s="162" t="n"/>
      <c r="BU76" s="162" t="n"/>
      <c r="BV76" s="162" t="n"/>
      <c r="BW76" s="162" t="n"/>
      <c r="BX76" s="162" t="n"/>
      <c r="BY76" s="162" t="n"/>
      <c r="BZ76" s="162" t="n"/>
      <c r="CA76" s="162" t="n"/>
      <c r="CB76" s="162" t="n"/>
      <c r="CC76" s="162" t="n"/>
      <c r="CD76" s="162" t="n"/>
      <c r="CE76" s="162" t="n"/>
      <c r="CF76" s="162" t="n"/>
      <c r="CG76" s="162" t="n"/>
      <c r="CH76" s="162" t="n"/>
      <c r="CI76" s="162" t="n"/>
      <c r="CJ76" s="162" t="n"/>
      <c r="CK76" s="162" t="n"/>
      <c r="CL76" s="162" t="n"/>
      <c r="CM76" s="162" t="n"/>
      <c r="CN76" s="162" t="n"/>
      <c r="CO76" s="162" t="n"/>
      <c r="CP76" s="162" t="n"/>
      <c r="CQ76" s="162" t="n"/>
      <c r="CR76" s="162" t="n"/>
      <c r="CS76" s="162" t="n"/>
      <c r="CT76" s="162" t="n"/>
    </row>
    <row r="77" ht="15" customHeight="1">
      <c r="A77" s="175" t="n">
        <v>76</v>
      </c>
      <c r="B77" s="176" t="n">
        <v>33</v>
      </c>
      <c r="C77" s="177" t="n">
        <v>45758</v>
      </c>
      <c r="D77" s="205" t="inlineStr">
        <is>
          <t>200 G. GARCERAS</t>
        </is>
      </c>
      <c r="E77" s="205" t="n">
        <v>40468</v>
      </c>
      <c r="F77" s="205" t="inlineStr">
        <is>
          <t>WILMER PIÑEROS</t>
        </is>
      </c>
      <c r="G77" s="206" t="n">
        <v>3409</v>
      </c>
      <c r="H77" s="206" t="n">
        <v>3409</v>
      </c>
      <c r="I77" s="206" t="n">
        <v>3406</v>
      </c>
      <c r="J77" s="206" t="n">
        <v>3</v>
      </c>
      <c r="K77" s="206" t="n">
        <v>6</v>
      </c>
      <c r="L77" s="207" t="n">
        <v>-6</v>
      </c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  <c r="AA77" s="162" t="n"/>
      <c r="AB77" s="162" t="n"/>
      <c r="AC77" s="162" t="n"/>
      <c r="AD77" s="162" t="n"/>
      <c r="AE77" s="162" t="n"/>
      <c r="AF77" s="162" t="n"/>
      <c r="AG77" s="162" t="n"/>
      <c r="AH77" s="162" t="n"/>
      <c r="AI77" s="162" t="n"/>
      <c r="AJ77" s="162" t="n"/>
      <c r="AK77" s="162" t="n"/>
      <c r="AL77" s="162" t="n"/>
      <c r="AM77" s="162" t="n"/>
      <c r="AN77" s="162" t="n"/>
      <c r="AO77" s="162" t="n"/>
      <c r="AP77" s="162" t="n"/>
      <c r="AQ77" s="162" t="n"/>
      <c r="AR77" s="162" t="n"/>
      <c r="AS77" s="162" t="n"/>
      <c r="AT77" s="162" t="n"/>
      <c r="AU77" s="162" t="n"/>
      <c r="AV77" s="162" t="n"/>
      <c r="AW77" s="162" t="n"/>
      <c r="AX77" s="162" t="n"/>
      <c r="AY77" s="162" t="n"/>
      <c r="AZ77" s="162" t="n"/>
      <c r="BA77" s="162" t="n"/>
      <c r="BB77" s="162" t="n"/>
      <c r="BC77" s="162" t="n"/>
      <c r="BD77" s="162" t="n"/>
      <c r="BE77" s="162" t="n"/>
      <c r="BF77" s="162" t="n"/>
      <c r="BG77" s="162" t="n"/>
      <c r="BH77" s="162" t="n"/>
      <c r="BI77" s="162" t="n"/>
      <c r="BJ77" s="162" t="n"/>
      <c r="BK77" s="162" t="n"/>
      <c r="BL77" s="162" t="n"/>
      <c r="BM77" s="162" t="n"/>
      <c r="BN77" s="162" t="n"/>
      <c r="BO77" s="162" t="n"/>
      <c r="BP77" s="162" t="n"/>
      <c r="BQ77" s="162" t="n"/>
      <c r="BR77" s="162" t="n"/>
      <c r="BS77" s="162" t="n"/>
      <c r="BT77" s="162" t="n"/>
      <c r="BU77" s="162" t="n"/>
      <c r="BV77" s="162" t="n"/>
      <c r="BW77" s="162" t="n"/>
      <c r="BX77" s="162" t="n"/>
      <c r="BY77" s="162" t="n"/>
      <c r="BZ77" s="162" t="n"/>
      <c r="CA77" s="162" t="n"/>
      <c r="CB77" s="162" t="n"/>
      <c r="CC77" s="162" t="n"/>
      <c r="CD77" s="162" t="n"/>
      <c r="CE77" s="162" t="n"/>
      <c r="CF77" s="162" t="n"/>
      <c r="CG77" s="162" t="n"/>
      <c r="CH77" s="162" t="n"/>
      <c r="CI77" s="162" t="n"/>
      <c r="CJ77" s="162" t="n"/>
      <c r="CK77" s="162" t="n"/>
      <c r="CL77" s="162" t="n"/>
      <c r="CM77" s="162" t="n"/>
      <c r="CN77" s="162" t="n"/>
      <c r="CO77" s="162" t="n"/>
      <c r="CP77" s="162" t="n"/>
      <c r="CQ77" s="162" t="n"/>
      <c r="CR77" s="162" t="n"/>
      <c r="CS77" s="162" t="n"/>
      <c r="CT77" s="162" t="n"/>
    </row>
    <row r="78" ht="15" customHeight="1">
      <c r="A78" s="175" t="n">
        <v>77</v>
      </c>
      <c r="B78" s="181" t="n">
        <v>34</v>
      </c>
      <c r="C78" s="182" t="n">
        <v>45758</v>
      </c>
      <c r="D78" s="187" t="inlineStr">
        <is>
          <t>200 G. GARCERAS</t>
        </is>
      </c>
      <c r="E78" s="187" t="n">
        <v>40469</v>
      </c>
      <c r="F78" s="187" t="inlineStr">
        <is>
          <t>DIEGO NIÑO</t>
        </is>
      </c>
      <c r="G78" s="188" t="n">
        <v>3259</v>
      </c>
      <c r="H78" s="188" t="n">
        <v>3274</v>
      </c>
      <c r="I78" s="188" t="n">
        <v>3256</v>
      </c>
      <c r="J78" s="188" t="n">
        <v>3</v>
      </c>
      <c r="K78" s="188" t="n">
        <v>5</v>
      </c>
      <c r="L78" s="189" t="n">
        <v>-5</v>
      </c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  <c r="AA78" s="162" t="n"/>
      <c r="AB78" s="162" t="n"/>
      <c r="AC78" s="162" t="n"/>
      <c r="AD78" s="162" t="n"/>
      <c r="AE78" s="162" t="n"/>
      <c r="AF78" s="162" t="n"/>
      <c r="AG78" s="162" t="n"/>
      <c r="AH78" s="162" t="n"/>
      <c r="AI78" s="162" t="n"/>
      <c r="AJ78" s="162" t="n"/>
      <c r="AK78" s="162" t="n"/>
      <c r="AL78" s="162" t="n"/>
      <c r="AM78" s="162" t="n"/>
      <c r="AN78" s="162" t="n"/>
      <c r="AO78" s="162" t="n"/>
      <c r="AP78" s="162" t="n"/>
      <c r="AQ78" s="162" t="n"/>
      <c r="AR78" s="162" t="n"/>
      <c r="AS78" s="162" t="n"/>
      <c r="AT78" s="162" t="n"/>
      <c r="AU78" s="162" t="n"/>
      <c r="AV78" s="162" t="n"/>
      <c r="AW78" s="162" t="n"/>
      <c r="AX78" s="162" t="n"/>
      <c r="AY78" s="162" t="n"/>
      <c r="AZ78" s="162" t="n"/>
      <c r="BA78" s="162" t="n"/>
      <c r="BB78" s="162" t="n"/>
      <c r="BC78" s="162" t="n"/>
      <c r="BD78" s="162" t="n"/>
      <c r="BE78" s="162" t="n"/>
      <c r="BF78" s="162" t="n"/>
      <c r="BG78" s="162" t="n"/>
      <c r="BH78" s="162" t="n"/>
      <c r="BI78" s="162" t="n"/>
      <c r="BJ78" s="162" t="n"/>
      <c r="BK78" s="162" t="n"/>
      <c r="BL78" s="162" t="n"/>
      <c r="BM78" s="162" t="n"/>
      <c r="BN78" s="162" t="n"/>
      <c r="BO78" s="162" t="n"/>
      <c r="BP78" s="162" t="n"/>
      <c r="BQ78" s="162" t="n"/>
      <c r="BR78" s="162" t="n"/>
      <c r="BS78" s="162" t="n"/>
      <c r="BT78" s="162" t="n"/>
      <c r="BU78" s="162" t="n"/>
      <c r="BV78" s="162" t="n"/>
      <c r="BW78" s="162" t="n"/>
      <c r="BX78" s="162" t="n"/>
      <c r="BY78" s="162" t="n"/>
      <c r="BZ78" s="162" t="n"/>
      <c r="CA78" s="162" t="n"/>
      <c r="CB78" s="162" t="n"/>
      <c r="CC78" s="162" t="n"/>
      <c r="CD78" s="162" t="n"/>
      <c r="CE78" s="162" t="n"/>
      <c r="CF78" s="162" t="n"/>
      <c r="CG78" s="162" t="n"/>
      <c r="CH78" s="162" t="n"/>
      <c r="CI78" s="162" t="n"/>
      <c r="CJ78" s="162" t="n"/>
      <c r="CK78" s="162" t="n"/>
      <c r="CL78" s="162" t="n"/>
      <c r="CM78" s="162" t="n"/>
      <c r="CN78" s="162" t="n"/>
      <c r="CO78" s="162" t="n"/>
      <c r="CP78" s="162" t="n"/>
      <c r="CQ78" s="162" t="n"/>
      <c r="CR78" s="162" t="n"/>
      <c r="CS78" s="162" t="n"/>
      <c r="CT78" s="162" t="n"/>
    </row>
    <row r="79" ht="15" customHeight="1">
      <c r="A79" s="175" t="n">
        <v>78</v>
      </c>
      <c r="B79" s="181" t="n">
        <v>35</v>
      </c>
      <c r="C79" s="182" t="n">
        <v>45758</v>
      </c>
      <c r="D79" s="187" t="inlineStr">
        <is>
          <t>200 G. GARCERAS</t>
        </is>
      </c>
      <c r="E79" s="187" t="n">
        <v>40470</v>
      </c>
      <c r="F79" s="187" t="inlineStr">
        <is>
          <t>JHON ARIAS</t>
        </is>
      </c>
      <c r="G79" s="188" t="n">
        <v>3300</v>
      </c>
      <c r="H79" s="188" t="n">
        <v>3300</v>
      </c>
      <c r="I79" s="188" t="n">
        <v>3292</v>
      </c>
      <c r="J79" s="188" t="n">
        <v>6</v>
      </c>
      <c r="K79" s="188" t="n">
        <v>5</v>
      </c>
      <c r="L79" s="189" t="n">
        <v>-3</v>
      </c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  <c r="AA79" s="162" t="n"/>
      <c r="AB79" s="162" t="n"/>
      <c r="AC79" s="162" t="n"/>
      <c r="AD79" s="162" t="n"/>
      <c r="AE79" s="162" t="n"/>
      <c r="AF79" s="162" t="n"/>
      <c r="AG79" s="162" t="n"/>
      <c r="AH79" s="162" t="n"/>
      <c r="AI79" s="162" t="n"/>
      <c r="AJ79" s="162" t="n"/>
      <c r="AK79" s="162" t="n"/>
      <c r="AL79" s="162" t="n"/>
      <c r="AM79" s="162" t="n"/>
      <c r="AN79" s="162" t="n"/>
      <c r="AO79" s="162" t="n"/>
      <c r="AP79" s="162" t="n"/>
      <c r="AQ79" s="162" t="n"/>
      <c r="AR79" s="162" t="n"/>
      <c r="AS79" s="162" t="n"/>
      <c r="AT79" s="162" t="n"/>
      <c r="AU79" s="162" t="n"/>
      <c r="AV79" s="162" t="n"/>
      <c r="AW79" s="162" t="n"/>
      <c r="AX79" s="162" t="n"/>
      <c r="AY79" s="162" t="n"/>
      <c r="AZ79" s="162" t="n"/>
      <c r="BA79" s="162" t="n"/>
      <c r="BB79" s="162" t="n"/>
      <c r="BC79" s="162" t="n"/>
      <c r="BD79" s="162" t="n"/>
      <c r="BE79" s="162" t="n"/>
      <c r="BF79" s="162" t="n"/>
      <c r="BG79" s="162" t="n"/>
      <c r="BH79" s="162" t="n"/>
      <c r="BI79" s="162" t="n"/>
      <c r="BJ79" s="162" t="n"/>
      <c r="BK79" s="162" t="n"/>
      <c r="BL79" s="162" t="n"/>
      <c r="BM79" s="162" t="n"/>
      <c r="BN79" s="162" t="n"/>
      <c r="BO79" s="162" t="n"/>
      <c r="BP79" s="162" t="n"/>
      <c r="BQ79" s="162" t="n"/>
      <c r="BR79" s="162" t="n"/>
      <c r="BS79" s="162" t="n"/>
      <c r="BT79" s="162" t="n"/>
      <c r="BU79" s="162" t="n"/>
      <c r="BV79" s="162" t="n"/>
      <c r="BW79" s="162" t="n"/>
      <c r="BX79" s="162" t="n"/>
      <c r="BY79" s="162" t="n"/>
      <c r="BZ79" s="162" t="n"/>
      <c r="CA79" s="162" t="n"/>
      <c r="CB79" s="162" t="n"/>
      <c r="CC79" s="162" t="n"/>
      <c r="CD79" s="162" t="n"/>
      <c r="CE79" s="162" t="n"/>
      <c r="CF79" s="162" t="n"/>
      <c r="CG79" s="162" t="n"/>
      <c r="CH79" s="162" t="n"/>
      <c r="CI79" s="162" t="n"/>
      <c r="CJ79" s="162" t="n"/>
      <c r="CK79" s="162" t="n"/>
      <c r="CL79" s="162" t="n"/>
      <c r="CM79" s="162" t="n"/>
      <c r="CN79" s="162" t="n"/>
      <c r="CO79" s="162" t="n"/>
      <c r="CP79" s="162" t="n"/>
      <c r="CQ79" s="162" t="n"/>
      <c r="CR79" s="162" t="n"/>
      <c r="CS79" s="162" t="n"/>
      <c r="CT79" s="162" t="n"/>
    </row>
    <row r="80" ht="15" customHeight="1">
      <c r="A80" s="175" t="n">
        <v>79</v>
      </c>
      <c r="B80" s="181" t="n">
        <v>36</v>
      </c>
      <c r="C80" s="182" t="n">
        <v>45758</v>
      </c>
      <c r="D80" s="187" t="inlineStr">
        <is>
          <t>200 G. GARCERAS</t>
        </is>
      </c>
      <c r="E80" s="187" t="n">
        <v>40471</v>
      </c>
      <c r="F80" s="187" t="inlineStr">
        <is>
          <t>ALEX GOMEZ</t>
        </is>
      </c>
      <c r="G80" s="188" t="n">
        <v>3300</v>
      </c>
      <c r="H80" s="188" t="n">
        <v>3300</v>
      </c>
      <c r="I80" s="188" t="n">
        <v>3295</v>
      </c>
      <c r="J80" s="188" t="n">
        <v>5</v>
      </c>
      <c r="K80" s="188" t="n">
        <v>5</v>
      </c>
      <c r="L80" s="189" t="n">
        <v>-5</v>
      </c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  <c r="AA80" s="162" t="n"/>
      <c r="AB80" s="162" t="n"/>
      <c r="AC80" s="162" t="n"/>
      <c r="AD80" s="162" t="n"/>
      <c r="AE80" s="162" t="n"/>
      <c r="AF80" s="162" t="n"/>
      <c r="AG80" s="162" t="n"/>
      <c r="AH80" s="162" t="n"/>
      <c r="AI80" s="162" t="n"/>
      <c r="AJ80" s="162" t="n"/>
      <c r="AK80" s="162" t="n"/>
      <c r="AL80" s="162" t="n"/>
      <c r="AM80" s="162" t="n"/>
      <c r="AN80" s="162" t="n"/>
      <c r="AO80" s="162" t="n"/>
      <c r="AP80" s="162" t="n"/>
      <c r="AQ80" s="162" t="n"/>
      <c r="AR80" s="162" t="n"/>
      <c r="AS80" s="162" t="n"/>
      <c r="AT80" s="162" t="n"/>
      <c r="AU80" s="162" t="n"/>
      <c r="AV80" s="162" t="n"/>
      <c r="AW80" s="162" t="n"/>
      <c r="AX80" s="162" t="n"/>
      <c r="AY80" s="162" t="n"/>
      <c r="AZ80" s="162" t="n"/>
      <c r="BA80" s="162" t="n"/>
      <c r="BB80" s="162" t="n"/>
      <c r="BC80" s="162" t="n"/>
      <c r="BD80" s="162" t="n"/>
      <c r="BE80" s="162" t="n"/>
      <c r="BF80" s="162" t="n"/>
      <c r="BG80" s="162" t="n"/>
      <c r="BH80" s="162" t="n"/>
      <c r="BI80" s="162" t="n"/>
      <c r="BJ80" s="162" t="n"/>
      <c r="BK80" s="162" t="n"/>
      <c r="BL80" s="162" t="n"/>
      <c r="BM80" s="162" t="n"/>
      <c r="BN80" s="162" t="n"/>
      <c r="BO80" s="162" t="n"/>
      <c r="BP80" s="162" t="n"/>
      <c r="BQ80" s="162" t="n"/>
      <c r="BR80" s="162" t="n"/>
      <c r="BS80" s="162" t="n"/>
      <c r="BT80" s="162" t="n"/>
      <c r="BU80" s="162" t="n"/>
      <c r="BV80" s="162" t="n"/>
      <c r="BW80" s="162" t="n"/>
      <c r="BX80" s="162" t="n"/>
      <c r="BY80" s="162" t="n"/>
      <c r="BZ80" s="162" t="n"/>
      <c r="CA80" s="162" t="n"/>
      <c r="CB80" s="162" t="n"/>
      <c r="CC80" s="162" t="n"/>
      <c r="CD80" s="162" t="n"/>
      <c r="CE80" s="162" t="n"/>
      <c r="CF80" s="162" t="n"/>
      <c r="CG80" s="162" t="n"/>
      <c r="CH80" s="162" t="n"/>
      <c r="CI80" s="162" t="n"/>
      <c r="CJ80" s="162" t="n"/>
      <c r="CK80" s="162" t="n"/>
      <c r="CL80" s="162" t="n"/>
      <c r="CM80" s="162" t="n"/>
      <c r="CN80" s="162" t="n"/>
      <c r="CO80" s="162" t="n"/>
      <c r="CP80" s="162" t="n"/>
      <c r="CQ80" s="162" t="n"/>
      <c r="CR80" s="162" t="n"/>
      <c r="CS80" s="162" t="n"/>
      <c r="CT80" s="162" t="n"/>
    </row>
    <row r="81" ht="15" customHeight="1">
      <c r="A81" s="175" t="n">
        <v>80</v>
      </c>
      <c r="B81" s="181" t="n">
        <v>37</v>
      </c>
      <c r="C81" s="182" t="n">
        <v>45758</v>
      </c>
      <c r="D81" s="187" t="inlineStr">
        <is>
          <t>200 G. GARCERAS</t>
        </is>
      </c>
      <c r="E81" s="187" t="n">
        <v>40472</v>
      </c>
      <c r="F81" s="187" t="inlineStr">
        <is>
          <t>FABIO ALDANA</t>
        </is>
      </c>
      <c r="G81" s="188" t="n">
        <v>3300</v>
      </c>
      <c r="H81" s="188" t="n">
        <v>3300</v>
      </c>
      <c r="I81" s="188" t="n">
        <v>3294</v>
      </c>
      <c r="J81" s="188" t="n">
        <v>6</v>
      </c>
      <c r="K81" s="188" t="n">
        <v>3</v>
      </c>
      <c r="L81" s="189" t="n">
        <v>-3</v>
      </c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  <c r="AA81" s="162" t="n"/>
      <c r="AB81" s="162" t="n"/>
      <c r="AC81" s="162" t="n"/>
      <c r="AD81" s="162" t="n"/>
      <c r="AE81" s="162" t="n"/>
      <c r="AF81" s="162" t="n"/>
      <c r="AG81" s="162" t="n"/>
      <c r="AH81" s="162" t="n"/>
      <c r="AI81" s="162" t="n"/>
      <c r="AJ81" s="162" t="n"/>
      <c r="AK81" s="162" t="n"/>
      <c r="AL81" s="162" t="n"/>
      <c r="AM81" s="162" t="n"/>
      <c r="AN81" s="162" t="n"/>
      <c r="AO81" s="162" t="n"/>
      <c r="AP81" s="162" t="n"/>
      <c r="AQ81" s="162" t="n"/>
      <c r="AR81" s="162" t="n"/>
      <c r="AS81" s="162" t="n"/>
      <c r="AT81" s="162" t="n"/>
      <c r="AU81" s="162" t="n"/>
      <c r="AV81" s="162" t="n"/>
      <c r="AW81" s="162" t="n"/>
      <c r="AX81" s="162" t="n"/>
      <c r="AY81" s="162" t="n"/>
      <c r="AZ81" s="162" t="n"/>
      <c r="BA81" s="162" t="n"/>
      <c r="BB81" s="162" t="n"/>
      <c r="BC81" s="162" t="n"/>
      <c r="BD81" s="162" t="n"/>
      <c r="BE81" s="162" t="n"/>
      <c r="BF81" s="162" t="n"/>
      <c r="BG81" s="162" t="n"/>
      <c r="BH81" s="162" t="n"/>
      <c r="BI81" s="162" t="n"/>
      <c r="BJ81" s="162" t="n"/>
      <c r="BK81" s="162" t="n"/>
      <c r="BL81" s="162" t="n"/>
      <c r="BM81" s="162" t="n"/>
      <c r="BN81" s="162" t="n"/>
      <c r="BO81" s="162" t="n"/>
      <c r="BP81" s="162" t="n"/>
      <c r="BQ81" s="162" t="n"/>
      <c r="BR81" s="162" t="n"/>
      <c r="BS81" s="162" t="n"/>
      <c r="BT81" s="162" t="n"/>
      <c r="BU81" s="162" t="n"/>
      <c r="BV81" s="162" t="n"/>
      <c r="BW81" s="162" t="n"/>
      <c r="BX81" s="162" t="n"/>
      <c r="BY81" s="162" t="n"/>
      <c r="BZ81" s="162" t="n"/>
      <c r="CA81" s="162" t="n"/>
      <c r="CB81" s="162" t="n"/>
      <c r="CC81" s="162" t="n"/>
      <c r="CD81" s="162" t="n"/>
      <c r="CE81" s="162" t="n"/>
      <c r="CF81" s="162" t="n"/>
      <c r="CG81" s="162" t="n"/>
      <c r="CH81" s="162" t="n"/>
      <c r="CI81" s="162" t="n"/>
      <c r="CJ81" s="162" t="n"/>
      <c r="CK81" s="162" t="n"/>
      <c r="CL81" s="162" t="n"/>
      <c r="CM81" s="162" t="n"/>
      <c r="CN81" s="162" t="n"/>
      <c r="CO81" s="162" t="n"/>
      <c r="CP81" s="162" t="n"/>
      <c r="CQ81" s="162" t="n"/>
      <c r="CR81" s="162" t="n"/>
      <c r="CS81" s="162" t="n"/>
      <c r="CT81" s="162" t="n"/>
    </row>
    <row r="82" ht="15" customHeight="1">
      <c r="A82" s="175" t="n">
        <v>81</v>
      </c>
      <c r="B82" s="181" t="n">
        <v>38</v>
      </c>
      <c r="C82" s="182" t="n">
        <v>45758</v>
      </c>
      <c r="D82" s="187" t="inlineStr">
        <is>
          <t>200 G. GARCERAS</t>
        </is>
      </c>
      <c r="E82" s="187" t="n">
        <v>40473</v>
      </c>
      <c r="F82" s="187" t="inlineStr">
        <is>
          <t>EDWIN ROJAS</t>
        </is>
      </c>
      <c r="G82" s="188" t="n">
        <v>3300</v>
      </c>
      <c r="H82" s="188" t="n">
        <v>3300</v>
      </c>
      <c r="I82" s="188" t="n">
        <v>3293</v>
      </c>
      <c r="J82" s="188" t="n">
        <v>8</v>
      </c>
      <c r="K82" s="188" t="n">
        <v>5</v>
      </c>
      <c r="L82" s="189" t="n">
        <v>-6</v>
      </c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  <c r="AA82" s="162" t="n"/>
      <c r="AB82" s="162" t="n"/>
      <c r="AC82" s="162" t="n"/>
      <c r="AD82" s="162" t="n"/>
      <c r="AE82" s="162" t="n"/>
      <c r="AF82" s="162" t="n"/>
      <c r="AG82" s="162" t="n"/>
      <c r="AH82" s="162" t="n"/>
      <c r="AI82" s="162" t="n"/>
      <c r="AJ82" s="162" t="n"/>
      <c r="AK82" s="162" t="n"/>
      <c r="AL82" s="162" t="n"/>
      <c r="AM82" s="162" t="n"/>
      <c r="AN82" s="162" t="n"/>
      <c r="AO82" s="162" t="n"/>
      <c r="AP82" s="162" t="n"/>
      <c r="AQ82" s="162" t="n"/>
      <c r="AR82" s="162" t="n"/>
      <c r="AS82" s="162" t="n"/>
      <c r="AT82" s="162" t="n"/>
      <c r="AU82" s="162" t="n"/>
      <c r="AV82" s="162" t="n"/>
      <c r="AW82" s="162" t="n"/>
      <c r="AX82" s="162" t="n"/>
      <c r="AY82" s="162" t="n"/>
      <c r="AZ82" s="162" t="n"/>
      <c r="BA82" s="162" t="n"/>
      <c r="BB82" s="162" t="n"/>
      <c r="BC82" s="162" t="n"/>
      <c r="BD82" s="162" t="n"/>
      <c r="BE82" s="162" t="n"/>
      <c r="BF82" s="162" t="n"/>
      <c r="BG82" s="162" t="n"/>
      <c r="BH82" s="162" t="n"/>
      <c r="BI82" s="162" t="n"/>
      <c r="BJ82" s="162" t="n"/>
      <c r="BK82" s="162" t="n"/>
      <c r="BL82" s="162" t="n"/>
      <c r="BM82" s="162" t="n"/>
      <c r="BN82" s="162" t="n"/>
      <c r="BO82" s="162" t="n"/>
      <c r="BP82" s="162" t="n"/>
      <c r="BQ82" s="162" t="n"/>
      <c r="BR82" s="162" t="n"/>
      <c r="BS82" s="162" t="n"/>
      <c r="BT82" s="162" t="n"/>
      <c r="BU82" s="162" t="n"/>
      <c r="BV82" s="162" t="n"/>
      <c r="BW82" s="162" t="n"/>
      <c r="BX82" s="162" t="n"/>
      <c r="BY82" s="162" t="n"/>
      <c r="BZ82" s="162" t="n"/>
      <c r="CA82" s="162" t="n"/>
      <c r="CB82" s="162" t="n"/>
      <c r="CC82" s="162" t="n"/>
      <c r="CD82" s="162" t="n"/>
      <c r="CE82" s="162" t="n"/>
      <c r="CF82" s="162" t="n"/>
      <c r="CG82" s="162" t="n"/>
      <c r="CH82" s="162" t="n"/>
      <c r="CI82" s="162" t="n"/>
      <c r="CJ82" s="162" t="n"/>
      <c r="CK82" s="162" t="n"/>
      <c r="CL82" s="162" t="n"/>
      <c r="CM82" s="162" t="n"/>
      <c r="CN82" s="162" t="n"/>
      <c r="CO82" s="162" t="n"/>
      <c r="CP82" s="162" t="n"/>
      <c r="CQ82" s="162" t="n"/>
      <c r="CR82" s="162" t="n"/>
      <c r="CS82" s="162" t="n"/>
      <c r="CT82" s="162" t="n"/>
    </row>
    <row r="83" ht="15" customHeight="1">
      <c r="A83" s="175" t="n">
        <v>82</v>
      </c>
      <c r="B83" s="181" t="n">
        <v>39</v>
      </c>
      <c r="C83" s="182" t="n">
        <v>45758</v>
      </c>
      <c r="D83" s="187" t="inlineStr">
        <is>
          <t>200 G. GARCERAS</t>
        </is>
      </c>
      <c r="E83" s="187" t="n">
        <v>40474</v>
      </c>
      <c r="F83" s="187" t="inlineStr">
        <is>
          <t>MANUEL QUITIAN</t>
        </is>
      </c>
      <c r="G83" s="188" t="n">
        <v>2678</v>
      </c>
      <c r="H83" s="188" t="n">
        <v>2778</v>
      </c>
      <c r="I83" s="188" t="n">
        <v>2671</v>
      </c>
      <c r="J83" s="188" t="n">
        <v>4</v>
      </c>
      <c r="K83" s="188" t="n">
        <v>3</v>
      </c>
      <c r="L83" s="189" t="n">
        <v>0</v>
      </c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  <c r="AA83" s="162" t="n"/>
      <c r="AB83" s="162" t="n"/>
      <c r="AC83" s="162" t="n"/>
      <c r="AD83" s="162" t="n"/>
      <c r="AE83" s="162" t="n"/>
      <c r="AF83" s="162" t="n"/>
      <c r="AG83" s="162" t="n"/>
      <c r="AH83" s="162" t="n"/>
      <c r="AI83" s="162" t="n"/>
      <c r="AJ83" s="162" t="n"/>
      <c r="AK83" s="162" t="n"/>
      <c r="AL83" s="162" t="n"/>
      <c r="AM83" s="162" t="n"/>
      <c r="AN83" s="162" t="n"/>
      <c r="AO83" s="162" t="n"/>
      <c r="AP83" s="162" t="n"/>
      <c r="AQ83" s="162" t="n"/>
      <c r="AR83" s="162" t="n"/>
      <c r="AS83" s="162" t="n"/>
      <c r="AT83" s="162" t="n"/>
      <c r="AU83" s="162" t="n"/>
      <c r="AV83" s="162" t="n"/>
      <c r="AW83" s="162" t="n"/>
      <c r="AX83" s="162" t="n"/>
      <c r="AY83" s="162" t="n"/>
      <c r="AZ83" s="162" t="n"/>
      <c r="BA83" s="162" t="n"/>
      <c r="BB83" s="162" t="n"/>
      <c r="BC83" s="162" t="n"/>
      <c r="BD83" s="162" t="n"/>
      <c r="BE83" s="162" t="n"/>
      <c r="BF83" s="162" t="n"/>
      <c r="BG83" s="162" t="n"/>
      <c r="BH83" s="162" t="n"/>
      <c r="BI83" s="162" t="n"/>
      <c r="BJ83" s="162" t="n"/>
      <c r="BK83" s="162" t="n"/>
      <c r="BL83" s="162" t="n"/>
      <c r="BM83" s="162" t="n"/>
      <c r="BN83" s="162" t="n"/>
      <c r="BO83" s="162" t="n"/>
      <c r="BP83" s="162" t="n"/>
      <c r="BQ83" s="162" t="n"/>
      <c r="BR83" s="162" t="n"/>
      <c r="BS83" s="162" t="n"/>
      <c r="BT83" s="162" t="n"/>
      <c r="BU83" s="162" t="n"/>
      <c r="BV83" s="162" t="n"/>
      <c r="BW83" s="162" t="n"/>
      <c r="BX83" s="162" t="n"/>
      <c r="BY83" s="162" t="n"/>
      <c r="BZ83" s="162" t="n"/>
      <c r="CA83" s="162" t="n"/>
      <c r="CB83" s="162" t="n"/>
      <c r="CC83" s="162" t="n"/>
      <c r="CD83" s="162" t="n"/>
      <c r="CE83" s="162" t="n"/>
      <c r="CF83" s="162" t="n"/>
      <c r="CG83" s="162" t="n"/>
      <c r="CH83" s="162" t="n"/>
      <c r="CI83" s="162" t="n"/>
      <c r="CJ83" s="162" t="n"/>
      <c r="CK83" s="162" t="n"/>
      <c r="CL83" s="162" t="n"/>
      <c r="CM83" s="162" t="n"/>
      <c r="CN83" s="162" t="n"/>
      <c r="CO83" s="162" t="n"/>
      <c r="CP83" s="162" t="n"/>
      <c r="CQ83" s="162" t="n"/>
      <c r="CR83" s="162" t="n"/>
      <c r="CS83" s="162" t="n"/>
      <c r="CT83" s="162" t="n"/>
    </row>
    <row r="84" ht="15" customHeight="1">
      <c r="A84" s="175" t="n">
        <v>83</v>
      </c>
      <c r="B84" s="181" t="n">
        <v>40</v>
      </c>
      <c r="C84" s="182" t="n">
        <v>45758</v>
      </c>
      <c r="D84" s="187" t="inlineStr">
        <is>
          <t>200 G. GARCERAS</t>
        </is>
      </c>
      <c r="E84" s="187" t="n">
        <v>40482</v>
      </c>
      <c r="F84" s="187" t="inlineStr">
        <is>
          <t>WILMER PIÑEROS</t>
        </is>
      </c>
      <c r="G84" s="188" t="n">
        <v>2678</v>
      </c>
      <c r="H84" s="188" t="n">
        <v>2678</v>
      </c>
      <c r="I84" s="188" t="n">
        <v>2642</v>
      </c>
      <c r="J84" s="188" t="n">
        <v>14</v>
      </c>
      <c r="K84" s="188" t="n">
        <v>170</v>
      </c>
      <c r="L84" s="189" t="n">
        <v>-148</v>
      </c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  <c r="AA84" s="162" t="n"/>
      <c r="AB84" s="162" t="n"/>
      <c r="AC84" s="162" t="n"/>
      <c r="AD84" s="162" t="n"/>
      <c r="AE84" s="162" t="n"/>
      <c r="AF84" s="162" t="n"/>
      <c r="AG84" s="162" t="n"/>
      <c r="AH84" s="162" t="n"/>
      <c r="AI84" s="162" t="n"/>
      <c r="AJ84" s="162" t="n"/>
      <c r="AK84" s="162" t="n"/>
      <c r="AL84" s="162" t="n"/>
      <c r="AM84" s="162" t="n"/>
      <c r="AN84" s="162" t="n"/>
      <c r="AO84" s="162" t="n"/>
      <c r="AP84" s="162" t="n"/>
      <c r="AQ84" s="162" t="n"/>
      <c r="AR84" s="162" t="n"/>
      <c r="AS84" s="162" t="n"/>
      <c r="AT84" s="162" t="n"/>
      <c r="AU84" s="162" t="n"/>
      <c r="AV84" s="162" t="n"/>
      <c r="AW84" s="162" t="n"/>
      <c r="AX84" s="162" t="n"/>
      <c r="AY84" s="162" t="n"/>
      <c r="AZ84" s="162" t="n"/>
      <c r="BA84" s="162" t="n"/>
      <c r="BB84" s="162" t="n"/>
      <c r="BC84" s="162" t="n"/>
      <c r="BD84" s="162" t="n"/>
      <c r="BE84" s="162" t="n"/>
      <c r="BF84" s="162" t="n"/>
      <c r="BG84" s="162" t="n"/>
      <c r="BH84" s="162" t="n"/>
      <c r="BI84" s="162" t="n"/>
      <c r="BJ84" s="162" t="n"/>
      <c r="BK84" s="162" t="n"/>
      <c r="BL84" s="162" t="n"/>
      <c r="BM84" s="162" t="n"/>
      <c r="BN84" s="162" t="n"/>
      <c r="BO84" s="162" t="n"/>
      <c r="BP84" s="162" t="n"/>
      <c r="BQ84" s="162" t="n"/>
      <c r="BR84" s="162" t="n"/>
      <c r="BS84" s="162" t="n"/>
      <c r="BT84" s="162" t="n"/>
      <c r="BU84" s="162" t="n"/>
      <c r="BV84" s="162" t="n"/>
      <c r="BW84" s="162" t="n"/>
      <c r="BX84" s="162" t="n"/>
      <c r="BY84" s="162" t="n"/>
      <c r="BZ84" s="162" t="n"/>
      <c r="CA84" s="162" t="n"/>
      <c r="CB84" s="162" t="n"/>
      <c r="CC84" s="162" t="n"/>
      <c r="CD84" s="162" t="n"/>
      <c r="CE84" s="162" t="n"/>
      <c r="CF84" s="162" t="n"/>
      <c r="CG84" s="162" t="n"/>
      <c r="CH84" s="162" t="n"/>
      <c r="CI84" s="162" t="n"/>
      <c r="CJ84" s="162" t="n"/>
      <c r="CK84" s="162" t="n"/>
      <c r="CL84" s="162" t="n"/>
      <c r="CM84" s="162" t="n"/>
      <c r="CN84" s="162" t="n"/>
      <c r="CO84" s="162" t="n"/>
      <c r="CP84" s="162" t="n"/>
      <c r="CQ84" s="162" t="n"/>
      <c r="CR84" s="162" t="n"/>
      <c r="CS84" s="162" t="n"/>
      <c r="CT84" s="162" t="n"/>
    </row>
    <row r="85" ht="15" customHeight="1">
      <c r="A85" s="175" t="n">
        <v>84</v>
      </c>
      <c r="B85" s="181" t="n">
        <v>41</v>
      </c>
      <c r="C85" s="182" t="n">
        <v>45758</v>
      </c>
      <c r="D85" s="187" t="inlineStr">
        <is>
          <t>200 G. GARCERAS</t>
        </is>
      </c>
      <c r="E85" s="187" t="n">
        <v>40483</v>
      </c>
      <c r="F85" s="187" t="inlineStr">
        <is>
          <t>DIEGO NIÑO</t>
        </is>
      </c>
      <c r="G85" s="188" t="n">
        <v>2426</v>
      </c>
      <c r="H85" s="188" t="n">
        <v>2426</v>
      </c>
      <c r="I85" s="188" t="n">
        <v>2430</v>
      </c>
      <c r="J85" s="188" t="n">
        <v>0</v>
      </c>
      <c r="K85" s="188" t="n">
        <v>10</v>
      </c>
      <c r="L85" s="189" t="n">
        <v>-14</v>
      </c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  <c r="AA85" s="162" t="n"/>
      <c r="AB85" s="162" t="n"/>
      <c r="AC85" s="162" t="n"/>
      <c r="AD85" s="162" t="n"/>
      <c r="AE85" s="162" t="n"/>
      <c r="AF85" s="162" t="n"/>
      <c r="AG85" s="162" t="n"/>
      <c r="AH85" s="162" t="n"/>
      <c r="AI85" s="162" t="n"/>
      <c r="AJ85" s="162" t="n"/>
      <c r="AK85" s="162" t="n"/>
      <c r="AL85" s="162" t="n"/>
      <c r="AM85" s="162" t="n"/>
      <c r="AN85" s="162" t="n"/>
      <c r="AO85" s="162" t="n"/>
      <c r="AP85" s="162" t="n"/>
      <c r="AQ85" s="162" t="n"/>
      <c r="AR85" s="162" t="n"/>
      <c r="AS85" s="162" t="n"/>
      <c r="AT85" s="162" t="n"/>
      <c r="AU85" s="162" t="n"/>
      <c r="AV85" s="162" t="n"/>
      <c r="AW85" s="162" t="n"/>
      <c r="AX85" s="162" t="n"/>
      <c r="AY85" s="162" t="n"/>
      <c r="AZ85" s="162" t="n"/>
      <c r="BA85" s="162" t="n"/>
      <c r="BB85" s="162" t="n"/>
      <c r="BC85" s="162" t="n"/>
      <c r="BD85" s="162" t="n"/>
      <c r="BE85" s="162" t="n"/>
      <c r="BF85" s="162" t="n"/>
      <c r="BG85" s="162" t="n"/>
      <c r="BH85" s="162" t="n"/>
      <c r="BI85" s="162" t="n"/>
      <c r="BJ85" s="162" t="n"/>
      <c r="BK85" s="162" t="n"/>
      <c r="BL85" s="162" t="n"/>
      <c r="BM85" s="162" t="n"/>
      <c r="BN85" s="162" t="n"/>
      <c r="BO85" s="162" t="n"/>
      <c r="BP85" s="162" t="n"/>
      <c r="BQ85" s="162" t="n"/>
      <c r="BR85" s="162" t="n"/>
      <c r="BS85" s="162" t="n"/>
      <c r="BT85" s="162" t="n"/>
      <c r="BU85" s="162" t="n"/>
      <c r="BV85" s="162" t="n"/>
      <c r="BW85" s="162" t="n"/>
      <c r="BX85" s="162" t="n"/>
      <c r="BY85" s="162" t="n"/>
      <c r="BZ85" s="162" t="n"/>
      <c r="CA85" s="162" t="n"/>
      <c r="CB85" s="162" t="n"/>
      <c r="CC85" s="162" t="n"/>
      <c r="CD85" s="162" t="n"/>
      <c r="CE85" s="162" t="n"/>
      <c r="CF85" s="162" t="n"/>
      <c r="CG85" s="162" t="n"/>
      <c r="CH85" s="162" t="n"/>
      <c r="CI85" s="162" t="n"/>
      <c r="CJ85" s="162" t="n"/>
      <c r="CK85" s="162" t="n"/>
      <c r="CL85" s="162" t="n"/>
      <c r="CM85" s="162" t="n"/>
      <c r="CN85" s="162" t="n"/>
      <c r="CO85" s="162" t="n"/>
      <c r="CP85" s="162" t="n"/>
      <c r="CQ85" s="162" t="n"/>
      <c r="CR85" s="162" t="n"/>
      <c r="CS85" s="162" t="n"/>
      <c r="CT85" s="162" t="n"/>
    </row>
    <row r="86" ht="15" customHeight="1">
      <c r="A86" s="175" t="n">
        <v>85</v>
      </c>
      <c r="B86" s="181" t="n">
        <v>42</v>
      </c>
      <c r="C86" s="182" t="n">
        <v>45758</v>
      </c>
      <c r="D86" s="187" t="inlineStr">
        <is>
          <t>200 G. GARCERAS</t>
        </is>
      </c>
      <c r="E86" s="187" t="n">
        <v>40484</v>
      </c>
      <c r="F86" s="187" t="inlineStr">
        <is>
          <t>JHON ARIAS</t>
        </is>
      </c>
      <c r="G86" s="188" t="n">
        <v>3240</v>
      </c>
      <c r="H86" s="188" t="n">
        <v>3240</v>
      </c>
      <c r="I86" s="188" t="n">
        <v>3228</v>
      </c>
      <c r="J86" s="188" t="n">
        <v>3</v>
      </c>
      <c r="K86" s="188" t="n">
        <v>9</v>
      </c>
      <c r="L86" s="189" t="n">
        <v>0</v>
      </c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  <c r="AA86" s="162" t="n"/>
      <c r="AB86" s="162" t="n"/>
      <c r="AC86" s="162" t="n"/>
      <c r="AD86" s="162" t="n"/>
      <c r="AE86" s="162" t="n"/>
      <c r="AF86" s="162" t="n"/>
      <c r="AG86" s="162" t="n"/>
      <c r="AH86" s="162" t="n"/>
      <c r="AI86" s="162" t="n"/>
      <c r="AJ86" s="162" t="n"/>
      <c r="AK86" s="162" t="n"/>
      <c r="AL86" s="162" t="n"/>
      <c r="AM86" s="162" t="n"/>
      <c r="AN86" s="162" t="n"/>
      <c r="AO86" s="162" t="n"/>
      <c r="AP86" s="162" t="n"/>
      <c r="AQ86" s="162" t="n"/>
      <c r="AR86" s="162" t="n"/>
      <c r="AS86" s="162" t="n"/>
      <c r="AT86" s="162" t="n"/>
      <c r="AU86" s="162" t="n"/>
      <c r="AV86" s="162" t="n"/>
      <c r="AW86" s="162" t="n"/>
      <c r="AX86" s="162" t="n"/>
      <c r="AY86" s="162" t="n"/>
      <c r="AZ86" s="162" t="n"/>
      <c r="BA86" s="162" t="n"/>
      <c r="BB86" s="162" t="n"/>
      <c r="BC86" s="162" t="n"/>
      <c r="BD86" s="162" t="n"/>
      <c r="BE86" s="162" t="n"/>
      <c r="BF86" s="162" t="n"/>
      <c r="BG86" s="162" t="n"/>
      <c r="BH86" s="162" t="n"/>
      <c r="BI86" s="162" t="n"/>
      <c r="BJ86" s="162" t="n"/>
      <c r="BK86" s="162" t="n"/>
      <c r="BL86" s="162" t="n"/>
      <c r="BM86" s="162" t="n"/>
      <c r="BN86" s="162" t="n"/>
      <c r="BO86" s="162" t="n"/>
      <c r="BP86" s="162" t="n"/>
      <c r="BQ86" s="162" t="n"/>
      <c r="BR86" s="162" t="n"/>
      <c r="BS86" s="162" t="n"/>
      <c r="BT86" s="162" t="n"/>
      <c r="BU86" s="162" t="n"/>
      <c r="BV86" s="162" t="n"/>
      <c r="BW86" s="162" t="n"/>
      <c r="BX86" s="162" t="n"/>
      <c r="BY86" s="162" t="n"/>
      <c r="BZ86" s="162" t="n"/>
      <c r="CA86" s="162" t="n"/>
      <c r="CB86" s="162" t="n"/>
      <c r="CC86" s="162" t="n"/>
      <c r="CD86" s="162" t="n"/>
      <c r="CE86" s="162" t="n"/>
      <c r="CF86" s="162" t="n"/>
      <c r="CG86" s="162" t="n"/>
      <c r="CH86" s="162" t="n"/>
      <c r="CI86" s="162" t="n"/>
      <c r="CJ86" s="162" t="n"/>
      <c r="CK86" s="162" t="n"/>
      <c r="CL86" s="162" t="n"/>
      <c r="CM86" s="162" t="n"/>
      <c r="CN86" s="162" t="n"/>
      <c r="CO86" s="162" t="n"/>
      <c r="CP86" s="162" t="n"/>
      <c r="CQ86" s="162" t="n"/>
      <c r="CR86" s="162" t="n"/>
      <c r="CS86" s="162" t="n"/>
      <c r="CT86" s="162" t="n"/>
    </row>
    <row r="87" ht="15" customHeight="1">
      <c r="A87" s="175" t="n">
        <v>86</v>
      </c>
      <c r="B87" s="181" t="n">
        <v>43</v>
      </c>
      <c r="C87" s="182" t="n">
        <v>45758</v>
      </c>
      <c r="D87" s="187" t="inlineStr">
        <is>
          <t>221 G. MALAGUEÑA</t>
        </is>
      </c>
      <c r="E87" s="187" t="n">
        <v>40485</v>
      </c>
      <c r="F87" s="187" t="inlineStr">
        <is>
          <t>ALEX GOMEZ</t>
        </is>
      </c>
      <c r="G87" s="188" t="n">
        <v>3388</v>
      </c>
      <c r="H87" s="188" t="n">
        <v>3388</v>
      </c>
      <c r="I87" s="188" t="n">
        <v>3374</v>
      </c>
      <c r="J87" s="188" t="n">
        <v>4</v>
      </c>
      <c r="K87" s="188" t="n">
        <v>4</v>
      </c>
      <c r="L87" s="189" t="n">
        <v>6</v>
      </c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  <c r="AA87" s="162" t="n"/>
      <c r="AB87" s="162" t="n"/>
      <c r="AC87" s="162" t="n"/>
      <c r="AD87" s="162" t="n"/>
      <c r="AE87" s="162" t="n"/>
      <c r="AF87" s="162" t="n"/>
      <c r="AG87" s="162" t="n"/>
      <c r="AH87" s="162" t="n"/>
      <c r="AI87" s="162" t="n"/>
      <c r="AJ87" s="162" t="n"/>
      <c r="AK87" s="162" t="n"/>
      <c r="AL87" s="162" t="n"/>
      <c r="AM87" s="162" t="n"/>
      <c r="AN87" s="162" t="n"/>
      <c r="AO87" s="162" t="n"/>
      <c r="AP87" s="162" t="n"/>
      <c r="AQ87" s="162" t="n"/>
      <c r="AR87" s="162" t="n"/>
      <c r="AS87" s="162" t="n"/>
      <c r="AT87" s="162" t="n"/>
      <c r="AU87" s="162" t="n"/>
      <c r="AV87" s="162" t="n"/>
      <c r="AW87" s="162" t="n"/>
      <c r="AX87" s="162" t="n"/>
      <c r="AY87" s="162" t="n"/>
      <c r="AZ87" s="162" t="n"/>
      <c r="BA87" s="162" t="n"/>
      <c r="BB87" s="162" t="n"/>
      <c r="BC87" s="162" t="n"/>
      <c r="BD87" s="162" t="n"/>
      <c r="BE87" s="162" t="n"/>
      <c r="BF87" s="162" t="n"/>
      <c r="BG87" s="162" t="n"/>
      <c r="BH87" s="162" t="n"/>
      <c r="BI87" s="162" t="n"/>
      <c r="BJ87" s="162" t="n"/>
      <c r="BK87" s="162" t="n"/>
      <c r="BL87" s="162" t="n"/>
      <c r="BM87" s="162" t="n"/>
      <c r="BN87" s="162" t="n"/>
      <c r="BO87" s="162" t="n"/>
      <c r="BP87" s="162" t="n"/>
      <c r="BQ87" s="162" t="n"/>
      <c r="BR87" s="162" t="n"/>
      <c r="BS87" s="162" t="n"/>
      <c r="BT87" s="162" t="n"/>
      <c r="BU87" s="162" t="n"/>
      <c r="BV87" s="162" t="n"/>
      <c r="BW87" s="162" t="n"/>
      <c r="BX87" s="162" t="n"/>
      <c r="BY87" s="162" t="n"/>
      <c r="BZ87" s="162" t="n"/>
      <c r="CA87" s="162" t="n"/>
      <c r="CB87" s="162" t="n"/>
      <c r="CC87" s="162" t="n"/>
      <c r="CD87" s="162" t="n"/>
      <c r="CE87" s="162" t="n"/>
      <c r="CF87" s="162" t="n"/>
      <c r="CG87" s="162" t="n"/>
      <c r="CH87" s="162" t="n"/>
      <c r="CI87" s="162" t="n"/>
      <c r="CJ87" s="162" t="n"/>
      <c r="CK87" s="162" t="n"/>
      <c r="CL87" s="162" t="n"/>
      <c r="CM87" s="162" t="n"/>
      <c r="CN87" s="162" t="n"/>
      <c r="CO87" s="162" t="n"/>
      <c r="CP87" s="162" t="n"/>
      <c r="CQ87" s="162" t="n"/>
      <c r="CR87" s="162" t="n"/>
      <c r="CS87" s="162" t="n"/>
      <c r="CT87" s="162" t="n"/>
    </row>
    <row r="88" ht="15" customHeight="1">
      <c r="A88" s="175" t="n">
        <v>87</v>
      </c>
      <c r="B88" s="181" t="n">
        <v>44</v>
      </c>
      <c r="C88" s="182" t="n">
        <v>45758</v>
      </c>
      <c r="D88" s="187" t="inlineStr">
        <is>
          <t>221 G. MALAGUEÑA</t>
        </is>
      </c>
      <c r="E88" s="187" t="n">
        <v>40486</v>
      </c>
      <c r="F88" s="187" t="inlineStr">
        <is>
          <t>FABIO ALDANA</t>
        </is>
      </c>
      <c r="G88" s="188" t="n">
        <v>3388</v>
      </c>
      <c r="H88" s="188" t="n">
        <v>3388</v>
      </c>
      <c r="I88" s="188" t="n">
        <v>3373</v>
      </c>
      <c r="J88" s="188" t="n">
        <v>3</v>
      </c>
      <c r="K88" s="188" t="n">
        <v>6</v>
      </c>
      <c r="L88" s="189" t="n">
        <v>6</v>
      </c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  <c r="AA88" s="162" t="n"/>
      <c r="AB88" s="162" t="n"/>
      <c r="AC88" s="162" t="n"/>
      <c r="AD88" s="162" t="n"/>
      <c r="AE88" s="162" t="n"/>
      <c r="AF88" s="162" t="n"/>
      <c r="AG88" s="162" t="n"/>
      <c r="AH88" s="162" t="n"/>
      <c r="AI88" s="162" t="n"/>
      <c r="AJ88" s="162" t="n"/>
      <c r="AK88" s="162" t="n"/>
      <c r="AL88" s="162" t="n"/>
      <c r="AM88" s="162" t="n"/>
      <c r="AN88" s="162" t="n"/>
      <c r="AO88" s="162" t="n"/>
      <c r="AP88" s="162" t="n"/>
      <c r="AQ88" s="162" t="n"/>
      <c r="AR88" s="162" t="n"/>
      <c r="AS88" s="162" t="n"/>
      <c r="AT88" s="162" t="n"/>
      <c r="AU88" s="162" t="n"/>
      <c r="AV88" s="162" t="n"/>
      <c r="AW88" s="162" t="n"/>
      <c r="AX88" s="162" t="n"/>
      <c r="AY88" s="162" t="n"/>
      <c r="AZ88" s="162" t="n"/>
      <c r="BA88" s="162" t="n"/>
      <c r="BB88" s="162" t="n"/>
      <c r="BC88" s="162" t="n"/>
      <c r="BD88" s="162" t="n"/>
      <c r="BE88" s="162" t="n"/>
      <c r="BF88" s="162" t="n"/>
      <c r="BG88" s="162" t="n"/>
      <c r="BH88" s="162" t="n"/>
      <c r="BI88" s="162" t="n"/>
      <c r="BJ88" s="162" t="n"/>
      <c r="BK88" s="162" t="n"/>
      <c r="BL88" s="162" t="n"/>
      <c r="BM88" s="162" t="n"/>
      <c r="BN88" s="162" t="n"/>
      <c r="BO88" s="162" t="n"/>
      <c r="BP88" s="162" t="n"/>
      <c r="BQ88" s="162" t="n"/>
      <c r="BR88" s="162" t="n"/>
      <c r="BS88" s="162" t="n"/>
      <c r="BT88" s="162" t="n"/>
      <c r="BU88" s="162" t="n"/>
      <c r="BV88" s="162" t="n"/>
      <c r="BW88" s="162" t="n"/>
      <c r="BX88" s="162" t="n"/>
      <c r="BY88" s="162" t="n"/>
      <c r="BZ88" s="162" t="n"/>
      <c r="CA88" s="162" t="n"/>
      <c r="CB88" s="162" t="n"/>
      <c r="CC88" s="162" t="n"/>
      <c r="CD88" s="162" t="n"/>
      <c r="CE88" s="162" t="n"/>
      <c r="CF88" s="162" t="n"/>
      <c r="CG88" s="162" t="n"/>
      <c r="CH88" s="162" t="n"/>
      <c r="CI88" s="162" t="n"/>
      <c r="CJ88" s="162" t="n"/>
      <c r="CK88" s="162" t="n"/>
      <c r="CL88" s="162" t="n"/>
      <c r="CM88" s="162" t="n"/>
      <c r="CN88" s="162" t="n"/>
      <c r="CO88" s="162" t="n"/>
      <c r="CP88" s="162" t="n"/>
      <c r="CQ88" s="162" t="n"/>
      <c r="CR88" s="162" t="n"/>
      <c r="CS88" s="162" t="n"/>
      <c r="CT88" s="162" t="n"/>
    </row>
    <row r="89" ht="15" customHeight="1">
      <c r="A89" s="175" t="n">
        <v>88</v>
      </c>
      <c r="B89" s="181" t="n">
        <v>45</v>
      </c>
      <c r="C89" s="182" t="n">
        <v>45758</v>
      </c>
      <c r="D89" s="187" t="inlineStr">
        <is>
          <t>221 G. MALAGUEÑA</t>
        </is>
      </c>
      <c r="E89" s="187" t="n">
        <v>40487</v>
      </c>
      <c r="F89" s="187" t="inlineStr">
        <is>
          <t>EDWIN ROJAS</t>
        </is>
      </c>
      <c r="G89" s="188" t="n">
        <v>3388</v>
      </c>
      <c r="H89" s="188" t="n">
        <v>3388</v>
      </c>
      <c r="I89" s="188" t="n">
        <v>3371</v>
      </c>
      <c r="J89" s="188" t="n">
        <v>3</v>
      </c>
      <c r="K89" s="188" t="n">
        <v>7</v>
      </c>
      <c r="L89" s="189" t="n">
        <v>7</v>
      </c>
      <c r="M89" s="190" t="inlineStr">
        <is>
          <t>LLANO</t>
        </is>
      </c>
      <c r="N89" s="190" t="inlineStr">
        <is>
          <t>07 AL 11 ABRIL</t>
        </is>
      </c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  <c r="AA89" s="162" t="n"/>
      <c r="AB89" s="162" t="n"/>
      <c r="AC89" s="162" t="n"/>
      <c r="AD89" s="162" t="n"/>
      <c r="AE89" s="162" t="n"/>
      <c r="AF89" s="162" t="n"/>
      <c r="AG89" s="162" t="n"/>
      <c r="AH89" s="162" t="n"/>
      <c r="AI89" s="162" t="n"/>
      <c r="AJ89" s="162" t="n"/>
      <c r="AK89" s="162" t="n"/>
      <c r="AL89" s="162" t="n"/>
      <c r="AM89" s="162" t="n"/>
      <c r="AN89" s="162" t="n"/>
      <c r="AO89" s="162" t="n"/>
      <c r="AP89" s="162" t="n"/>
      <c r="AQ89" s="162" t="n"/>
      <c r="AR89" s="162" t="n"/>
      <c r="AS89" s="162" t="n"/>
      <c r="AT89" s="162" t="n"/>
      <c r="AU89" s="162" t="n"/>
      <c r="AV89" s="162" t="n"/>
      <c r="AW89" s="162" t="n"/>
      <c r="AX89" s="162" t="n"/>
      <c r="AY89" s="162" t="n"/>
      <c r="AZ89" s="162" t="n"/>
      <c r="BA89" s="162" t="n"/>
      <c r="BB89" s="162" t="n"/>
      <c r="BC89" s="162" t="n"/>
      <c r="BD89" s="162" t="n"/>
      <c r="BE89" s="162" t="n"/>
      <c r="BF89" s="162" t="n"/>
      <c r="BG89" s="162" t="n"/>
      <c r="BH89" s="162" t="n"/>
      <c r="BI89" s="162" t="n"/>
      <c r="BJ89" s="162" t="n"/>
      <c r="BK89" s="162" t="n"/>
      <c r="BL89" s="162" t="n"/>
      <c r="BM89" s="162" t="n"/>
      <c r="BN89" s="162" t="n"/>
      <c r="BO89" s="162" t="n"/>
      <c r="BP89" s="162" t="n"/>
      <c r="BQ89" s="162" t="n"/>
      <c r="BR89" s="162" t="n"/>
      <c r="BS89" s="162" t="n"/>
      <c r="BT89" s="162" t="n"/>
      <c r="BU89" s="162" t="n"/>
      <c r="BV89" s="162" t="n"/>
      <c r="BW89" s="162" t="n"/>
      <c r="BX89" s="162" t="n"/>
      <c r="BY89" s="162" t="n"/>
      <c r="BZ89" s="162" t="n"/>
      <c r="CA89" s="162" t="n"/>
      <c r="CB89" s="162" t="n"/>
      <c r="CC89" s="162" t="n"/>
      <c r="CD89" s="162" t="n"/>
      <c r="CE89" s="162" t="n"/>
      <c r="CF89" s="162" t="n"/>
      <c r="CG89" s="162" t="n"/>
      <c r="CH89" s="162" t="n"/>
      <c r="CI89" s="162" t="n"/>
      <c r="CJ89" s="162" t="n"/>
      <c r="CK89" s="162" t="n"/>
      <c r="CL89" s="162" t="n"/>
      <c r="CM89" s="162" t="n"/>
      <c r="CN89" s="162" t="n"/>
      <c r="CO89" s="162" t="n"/>
      <c r="CP89" s="162" t="n"/>
      <c r="CQ89" s="162" t="n"/>
      <c r="CR89" s="162" t="n"/>
      <c r="CS89" s="162" t="n"/>
      <c r="CT89" s="162" t="n"/>
    </row>
    <row r="90" ht="15" customHeight="1">
      <c r="A90" s="175" t="n">
        <v>89</v>
      </c>
      <c r="B90" s="181" t="n">
        <v>46</v>
      </c>
      <c r="C90" s="182" t="n">
        <v>45758</v>
      </c>
      <c r="D90" s="187" t="inlineStr">
        <is>
          <t>221 G. MALAGUEÑA</t>
        </is>
      </c>
      <c r="E90" s="187" t="n">
        <v>40488</v>
      </c>
      <c r="F90" s="187" t="inlineStr">
        <is>
          <t>MANUEL QUITIAN</t>
        </is>
      </c>
      <c r="G90" s="188" t="n">
        <v>3465</v>
      </c>
      <c r="H90" s="188" t="n">
        <v>3465</v>
      </c>
      <c r="I90" s="188" t="n">
        <v>3453</v>
      </c>
      <c r="J90" s="188" t="n">
        <v>2</v>
      </c>
      <c r="K90" s="188" t="n">
        <v>10</v>
      </c>
      <c r="L90" s="189" t="n">
        <v>0</v>
      </c>
      <c r="M90" s="162" t="inlineStr">
        <is>
          <t>VIAJES</t>
        </is>
      </c>
      <c r="N90" s="162">
        <f>+B92</f>
        <v/>
      </c>
      <c r="O90" s="113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  <c r="AA90" s="162" t="n"/>
      <c r="AB90" s="162" t="n"/>
      <c r="AC90" s="162" t="n"/>
      <c r="AD90" s="162" t="n"/>
      <c r="AE90" s="162" t="n"/>
      <c r="AF90" s="162" t="n"/>
      <c r="AG90" s="162" t="n"/>
      <c r="AH90" s="162" t="n"/>
      <c r="AI90" s="162" t="n"/>
      <c r="AJ90" s="162" t="n"/>
      <c r="AK90" s="162" t="n"/>
      <c r="AL90" s="162" t="n"/>
      <c r="AM90" s="162" t="n"/>
      <c r="AN90" s="162" t="n"/>
      <c r="AO90" s="162" t="n"/>
      <c r="AP90" s="162" t="n"/>
      <c r="AQ90" s="162" t="n"/>
      <c r="AR90" s="162" t="n"/>
      <c r="AS90" s="162" t="n"/>
      <c r="AT90" s="162" t="n"/>
      <c r="AU90" s="162" t="n"/>
      <c r="AV90" s="162" t="n"/>
      <c r="AW90" s="162" t="n"/>
      <c r="AX90" s="162" t="n"/>
      <c r="AY90" s="162" t="n"/>
      <c r="AZ90" s="162" t="n"/>
      <c r="BA90" s="162" t="n"/>
      <c r="BB90" s="162" t="n"/>
      <c r="BC90" s="162" t="n"/>
      <c r="BD90" s="162" t="n"/>
      <c r="BE90" s="162" t="n"/>
      <c r="BF90" s="162" t="n"/>
      <c r="BG90" s="162" t="n"/>
      <c r="BH90" s="162" t="n"/>
      <c r="BI90" s="162" t="n"/>
      <c r="BJ90" s="162" t="n"/>
      <c r="BK90" s="162" t="n"/>
      <c r="BL90" s="162" t="n"/>
      <c r="BM90" s="162" t="n"/>
      <c r="BN90" s="162" t="n"/>
      <c r="BO90" s="162" t="n"/>
      <c r="BP90" s="162" t="n"/>
      <c r="BQ90" s="162" t="n"/>
      <c r="BR90" s="162" t="n"/>
      <c r="BS90" s="162" t="n"/>
      <c r="BT90" s="162" t="n"/>
      <c r="BU90" s="162" t="n"/>
      <c r="BV90" s="162" t="n"/>
      <c r="BW90" s="162" t="n"/>
      <c r="BX90" s="162" t="n"/>
      <c r="BY90" s="162" t="n"/>
      <c r="BZ90" s="162" t="n"/>
      <c r="CA90" s="162" t="n"/>
      <c r="CB90" s="162" t="n"/>
      <c r="CC90" s="162" t="n"/>
      <c r="CD90" s="162" t="n"/>
      <c r="CE90" s="162" t="n"/>
      <c r="CF90" s="162" t="n"/>
      <c r="CG90" s="162" t="n"/>
      <c r="CH90" s="162" t="n"/>
      <c r="CI90" s="162" t="n"/>
      <c r="CJ90" s="162" t="n"/>
      <c r="CK90" s="162" t="n"/>
      <c r="CL90" s="162" t="n"/>
      <c r="CM90" s="162" t="n"/>
      <c r="CN90" s="162" t="n"/>
      <c r="CO90" s="162" t="n"/>
      <c r="CP90" s="162" t="n"/>
      <c r="CQ90" s="162" t="n"/>
      <c r="CR90" s="162" t="n"/>
      <c r="CS90" s="162" t="n"/>
      <c r="CT90" s="162" t="n"/>
    </row>
    <row r="91" ht="15" customHeight="1">
      <c r="A91" s="175" t="n">
        <v>90</v>
      </c>
      <c r="B91" s="181" t="n">
        <v>47</v>
      </c>
      <c r="C91" s="182" t="n">
        <v>45758</v>
      </c>
      <c r="D91" s="187" t="inlineStr">
        <is>
          <t>221 G. MALAGUEÑA</t>
        </is>
      </c>
      <c r="E91" s="187" t="n">
        <v>40489</v>
      </c>
      <c r="F91" s="187" t="inlineStr">
        <is>
          <t>JAIRO CUBILLOS</t>
        </is>
      </c>
      <c r="G91" s="188" t="n">
        <v>3883</v>
      </c>
      <c r="H91" s="188" t="n">
        <v>3883</v>
      </c>
      <c r="I91" s="188" t="n">
        <v>3866</v>
      </c>
      <c r="J91" s="188" t="n">
        <v>1</v>
      </c>
      <c r="K91" s="188" t="n">
        <v>9</v>
      </c>
      <c r="L91" s="189" t="n">
        <v>7</v>
      </c>
      <c r="M91" s="162" t="inlineStr">
        <is>
          <t>TOTAL POLLOS</t>
        </is>
      </c>
      <c r="N91" s="162">
        <f>SUM(H45:H92)</f>
        <v/>
      </c>
      <c r="O91" s="113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  <c r="AA91" s="162" t="n"/>
      <c r="AB91" s="162" t="n"/>
      <c r="AC91" s="162" t="n"/>
      <c r="AD91" s="162" t="n"/>
      <c r="AE91" s="162" t="n"/>
      <c r="AF91" s="162" t="n"/>
      <c r="AG91" s="162" t="n"/>
      <c r="AH91" s="162" t="n"/>
      <c r="AI91" s="162" t="n"/>
      <c r="AJ91" s="162" t="n"/>
      <c r="AK91" s="162" t="n"/>
      <c r="AL91" s="162" t="n"/>
      <c r="AM91" s="162" t="n"/>
      <c r="AN91" s="162" t="n"/>
      <c r="AO91" s="162" t="n"/>
      <c r="AP91" s="162" t="n"/>
      <c r="AQ91" s="162" t="n"/>
      <c r="AR91" s="162" t="n"/>
      <c r="AS91" s="162" t="n"/>
      <c r="AT91" s="162" t="n"/>
      <c r="AU91" s="162" t="n"/>
      <c r="AV91" s="162" t="n"/>
      <c r="AW91" s="162" t="n"/>
      <c r="AX91" s="162" t="n"/>
      <c r="AY91" s="162" t="n"/>
      <c r="AZ91" s="162" t="n"/>
      <c r="BA91" s="162" t="n"/>
      <c r="BB91" s="162" t="n"/>
      <c r="BC91" s="162" t="n"/>
      <c r="BD91" s="162" t="n"/>
      <c r="BE91" s="162" t="n"/>
      <c r="BF91" s="162" t="n"/>
      <c r="BG91" s="162" t="n"/>
      <c r="BH91" s="162" t="n"/>
      <c r="BI91" s="162" t="n"/>
      <c r="BJ91" s="162" t="n"/>
      <c r="BK91" s="162" t="n"/>
      <c r="BL91" s="162" t="n"/>
      <c r="BM91" s="162" t="n"/>
      <c r="BN91" s="162" t="n"/>
      <c r="BO91" s="162" t="n"/>
      <c r="BP91" s="162" t="n"/>
      <c r="BQ91" s="162" t="n"/>
      <c r="BR91" s="162" t="n"/>
      <c r="BS91" s="162" t="n"/>
      <c r="BT91" s="162" t="n"/>
      <c r="BU91" s="162" t="n"/>
      <c r="BV91" s="162" t="n"/>
      <c r="BW91" s="162" t="n"/>
      <c r="BX91" s="162" t="n"/>
      <c r="BY91" s="162" t="n"/>
      <c r="BZ91" s="162" t="n"/>
      <c r="CA91" s="162" t="n"/>
      <c r="CB91" s="162" t="n"/>
      <c r="CC91" s="162" t="n"/>
      <c r="CD91" s="162" t="n"/>
      <c r="CE91" s="162" t="n"/>
      <c r="CF91" s="162" t="n"/>
      <c r="CG91" s="162" t="n"/>
      <c r="CH91" s="162" t="n"/>
      <c r="CI91" s="162" t="n"/>
      <c r="CJ91" s="162" t="n"/>
      <c r="CK91" s="162" t="n"/>
      <c r="CL91" s="162" t="n"/>
      <c r="CM91" s="162" t="n"/>
      <c r="CN91" s="162" t="n"/>
      <c r="CO91" s="162" t="n"/>
      <c r="CP91" s="162" t="n"/>
      <c r="CQ91" s="162" t="n"/>
      <c r="CR91" s="162" t="n"/>
      <c r="CS91" s="162" t="n"/>
      <c r="CT91" s="162" t="n"/>
    </row>
    <row r="92" ht="15" customHeight="1">
      <c r="A92" s="175" t="n">
        <v>91</v>
      </c>
      <c r="B92" s="192" t="n">
        <v>48</v>
      </c>
      <c r="C92" s="193" t="n">
        <v>45758</v>
      </c>
      <c r="D92" s="194" t="inlineStr">
        <is>
          <t>221 G. MALAGUEÑA</t>
        </is>
      </c>
      <c r="E92" s="194" t="n">
        <v>40490</v>
      </c>
      <c r="F92" s="194" t="inlineStr">
        <is>
          <t>YAIR RIVEROS</t>
        </is>
      </c>
      <c r="G92" s="195" t="n">
        <v>3888</v>
      </c>
      <c r="H92" s="195" t="n">
        <v>3883</v>
      </c>
      <c r="I92" s="195" t="n">
        <v>3876</v>
      </c>
      <c r="J92" s="195" t="n">
        <v>5</v>
      </c>
      <c r="K92" s="195" t="n">
        <v>8</v>
      </c>
      <c r="L92" s="196" t="n">
        <v>-1</v>
      </c>
      <c r="M92" s="113" t="n"/>
      <c r="N92" s="113" t="n"/>
      <c r="O92" s="113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  <c r="AA92" s="162" t="n"/>
      <c r="AB92" s="162" t="n"/>
      <c r="AC92" s="162" t="n"/>
      <c r="AD92" s="162" t="n"/>
      <c r="AE92" s="162" t="n"/>
      <c r="AF92" s="162" t="n"/>
      <c r="AG92" s="162" t="n"/>
      <c r="AH92" s="162" t="n"/>
      <c r="AI92" s="162" t="n"/>
      <c r="AJ92" s="162" t="n"/>
      <c r="AK92" s="162" t="n"/>
      <c r="AL92" s="162" t="n"/>
      <c r="AM92" s="162" t="n"/>
      <c r="AN92" s="162" t="n"/>
      <c r="AO92" s="162" t="n"/>
      <c r="AP92" s="162" t="n"/>
      <c r="AQ92" s="162" t="n"/>
      <c r="AR92" s="162" t="n"/>
      <c r="AS92" s="162" t="n"/>
      <c r="AT92" s="162" t="n"/>
      <c r="AU92" s="162" t="n"/>
      <c r="AV92" s="162" t="n"/>
      <c r="AW92" s="162" t="n"/>
      <c r="AX92" s="162" t="n"/>
      <c r="AY92" s="162" t="n"/>
      <c r="AZ92" s="162" t="n"/>
      <c r="BA92" s="162" t="n"/>
      <c r="BB92" s="162" t="n"/>
      <c r="BC92" s="162" t="n"/>
      <c r="BD92" s="162" t="n"/>
      <c r="BE92" s="162" t="n"/>
      <c r="BF92" s="162" t="n"/>
      <c r="BG92" s="162" t="n"/>
      <c r="BH92" s="162" t="n"/>
      <c r="BI92" s="162" t="n"/>
      <c r="BJ92" s="162" t="n"/>
      <c r="BK92" s="162" t="n"/>
      <c r="BL92" s="162" t="n"/>
      <c r="BM92" s="162" t="n"/>
      <c r="BN92" s="162" t="n"/>
      <c r="BO92" s="162" t="n"/>
      <c r="BP92" s="162" t="n"/>
      <c r="BQ92" s="162" t="n"/>
      <c r="BR92" s="162" t="n"/>
      <c r="BS92" s="162" t="n"/>
      <c r="BT92" s="162" t="n"/>
      <c r="BU92" s="162" t="n"/>
      <c r="BV92" s="162" t="n"/>
      <c r="BW92" s="162" t="n"/>
      <c r="BX92" s="162" t="n"/>
      <c r="BY92" s="162" t="n"/>
      <c r="BZ92" s="162" t="n"/>
      <c r="CA92" s="162" t="n"/>
      <c r="CB92" s="162" t="n"/>
      <c r="CC92" s="162" t="n"/>
      <c r="CD92" s="162" t="n"/>
      <c r="CE92" s="162" t="n"/>
      <c r="CF92" s="162" t="n"/>
      <c r="CG92" s="162" t="n"/>
      <c r="CH92" s="162" t="n"/>
      <c r="CI92" s="162" t="n"/>
      <c r="CJ92" s="162" t="n"/>
      <c r="CK92" s="162" t="n"/>
      <c r="CL92" s="162" t="n"/>
      <c r="CM92" s="162" t="n"/>
      <c r="CN92" s="162" t="n"/>
      <c r="CO92" s="162" t="n"/>
      <c r="CP92" s="162" t="n"/>
      <c r="CQ92" s="162" t="n"/>
      <c r="CR92" s="162" t="n"/>
      <c r="CS92" s="162" t="n"/>
      <c r="CT92" s="162" t="n"/>
    </row>
    <row r="93" ht="18.75" customHeight="1">
      <c r="A93" s="175" t="n">
        <v>92</v>
      </c>
      <c r="B93" s="208" t="n">
        <v>1</v>
      </c>
      <c r="C93" s="209" t="n">
        <v>45759</v>
      </c>
      <c r="D93" s="205" t="inlineStr">
        <is>
          <t>221 G. MALAGUEÑA</t>
        </is>
      </c>
      <c r="E93" s="205" t="n">
        <v>40491</v>
      </c>
      <c r="F93" s="205" t="inlineStr">
        <is>
          <t>YAIR RIVEROS</t>
        </is>
      </c>
      <c r="G93" s="206" t="n">
        <v>3935</v>
      </c>
      <c r="H93" s="206" t="n">
        <v>3935</v>
      </c>
      <c r="I93" s="206" t="n">
        <v>3918</v>
      </c>
      <c r="J93" s="206" t="n">
        <v>2</v>
      </c>
      <c r="K93" s="206" t="n">
        <v>13</v>
      </c>
      <c r="L93" s="207" t="n">
        <v>2</v>
      </c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  <c r="AA93" s="162" t="n"/>
      <c r="AB93" s="162" t="n"/>
      <c r="AC93" s="162" t="n"/>
      <c r="AD93" s="162" t="n"/>
      <c r="AE93" s="162" t="n"/>
      <c r="AF93" s="162" t="n"/>
      <c r="AG93" s="162" t="n"/>
      <c r="AH93" s="162" t="n"/>
      <c r="AI93" s="162" t="n"/>
      <c r="AJ93" s="162" t="n"/>
      <c r="AK93" s="162" t="n"/>
      <c r="AL93" s="162" t="n"/>
      <c r="AM93" s="162" t="n"/>
      <c r="AN93" s="162" t="n"/>
      <c r="AO93" s="162" t="n"/>
      <c r="AP93" s="162" t="n"/>
      <c r="AQ93" s="162" t="n"/>
      <c r="AR93" s="162" t="n"/>
      <c r="AS93" s="162" t="n"/>
      <c r="AT93" s="162" t="n"/>
      <c r="AU93" s="162" t="n"/>
      <c r="AV93" s="162" t="n"/>
      <c r="AW93" s="162" t="n"/>
      <c r="AX93" s="162" t="n"/>
      <c r="AY93" s="162" t="n"/>
      <c r="AZ93" s="162" t="n"/>
      <c r="BA93" s="162" t="n"/>
      <c r="BB93" s="162" t="n"/>
      <c r="BC93" s="162" t="n"/>
      <c r="BD93" s="162" t="n"/>
      <c r="BE93" s="162" t="n"/>
      <c r="BF93" s="162" t="n"/>
      <c r="BG93" s="162" t="n"/>
      <c r="BH93" s="162" t="n"/>
      <c r="BI93" s="162" t="n"/>
      <c r="BJ93" s="162" t="n"/>
      <c r="BK93" s="162" t="n"/>
      <c r="BL93" s="162" t="n"/>
      <c r="BM93" s="162" t="n"/>
      <c r="BN93" s="162" t="n"/>
      <c r="BO93" s="162" t="n"/>
      <c r="BP93" s="162" t="n"/>
      <c r="BQ93" s="162" t="n"/>
      <c r="BR93" s="162" t="n"/>
      <c r="BS93" s="162" t="n"/>
      <c r="BT93" s="162" t="n"/>
      <c r="BU93" s="162" t="n"/>
      <c r="BV93" s="162" t="n"/>
      <c r="BW93" s="162" t="n"/>
      <c r="BX93" s="162" t="n"/>
      <c r="BY93" s="162" t="n"/>
      <c r="BZ93" s="162" t="n"/>
      <c r="CA93" s="162" t="n"/>
      <c r="CB93" s="162" t="n"/>
      <c r="CC93" s="162" t="n"/>
      <c r="CD93" s="162" t="n"/>
      <c r="CE93" s="162" t="n"/>
      <c r="CF93" s="162" t="n"/>
      <c r="CG93" s="162" t="n"/>
      <c r="CH93" s="162" t="n"/>
      <c r="CI93" s="162" t="n"/>
      <c r="CJ93" s="162" t="n"/>
      <c r="CK93" s="162" t="n"/>
      <c r="CL93" s="162" t="n"/>
      <c r="CM93" s="162" t="n"/>
      <c r="CN93" s="162" t="n"/>
      <c r="CO93" s="162" t="n"/>
      <c r="CP93" s="162" t="n"/>
      <c r="CQ93" s="162" t="n"/>
      <c r="CR93" s="162" t="n"/>
      <c r="CS93" s="162" t="n"/>
      <c r="CT93" s="162" t="n"/>
    </row>
    <row r="94" ht="18.75" customHeight="1">
      <c r="A94" s="175" t="n">
        <v>93</v>
      </c>
      <c r="B94" s="210" t="n">
        <v>2</v>
      </c>
      <c r="C94" s="211" t="n">
        <v>45759</v>
      </c>
      <c r="D94" s="187" t="inlineStr">
        <is>
          <t>221 G. MALAGUEÑA</t>
        </is>
      </c>
      <c r="E94" s="187" t="n">
        <v>40492</v>
      </c>
      <c r="F94" s="187" t="inlineStr">
        <is>
          <t>DIEGO NIÑO</t>
        </is>
      </c>
      <c r="G94" s="188" t="n">
        <v>3935</v>
      </c>
      <c r="H94" s="188" t="n">
        <v>3935</v>
      </c>
      <c r="I94" s="188" t="n">
        <v>3920</v>
      </c>
      <c r="J94" s="188" t="n">
        <v>2</v>
      </c>
      <c r="K94" s="188" t="n">
        <v>12</v>
      </c>
      <c r="L94" s="189" t="n">
        <v>1</v>
      </c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  <c r="AA94" s="162" t="n"/>
      <c r="AB94" s="162" t="n"/>
      <c r="AC94" s="162" t="n"/>
      <c r="AD94" s="162" t="n"/>
      <c r="AE94" s="162" t="n"/>
      <c r="AF94" s="162" t="n"/>
      <c r="AG94" s="162" t="n"/>
      <c r="AH94" s="162" t="n"/>
      <c r="AI94" s="162" t="n"/>
      <c r="AJ94" s="162" t="n"/>
      <c r="AK94" s="162" t="n"/>
      <c r="AL94" s="162" t="n"/>
      <c r="AM94" s="162" t="n"/>
      <c r="AN94" s="162" t="n"/>
      <c r="AO94" s="162" t="n"/>
      <c r="AP94" s="162" t="n"/>
      <c r="AQ94" s="162" t="n"/>
      <c r="AR94" s="162" t="n"/>
      <c r="AS94" s="162" t="n"/>
      <c r="AT94" s="162" t="n"/>
      <c r="AU94" s="162" t="n"/>
      <c r="AV94" s="162" t="n"/>
      <c r="AW94" s="162" t="n"/>
      <c r="AX94" s="162" t="n"/>
      <c r="AY94" s="162" t="n"/>
      <c r="AZ94" s="162" t="n"/>
      <c r="BA94" s="162" t="n"/>
      <c r="BB94" s="162" t="n"/>
      <c r="BC94" s="162" t="n"/>
      <c r="BD94" s="162" t="n"/>
      <c r="BE94" s="162" t="n"/>
      <c r="BF94" s="162" t="n"/>
      <c r="BG94" s="162" t="n"/>
      <c r="BH94" s="162" t="n"/>
      <c r="BI94" s="162" t="n"/>
      <c r="BJ94" s="162" t="n"/>
      <c r="BK94" s="162" t="n"/>
      <c r="BL94" s="162" t="n"/>
      <c r="BM94" s="162" t="n"/>
      <c r="BN94" s="162" t="n"/>
      <c r="BO94" s="162" t="n"/>
      <c r="BP94" s="162" t="n"/>
      <c r="BQ94" s="162" t="n"/>
      <c r="BR94" s="162" t="n"/>
      <c r="BS94" s="162" t="n"/>
      <c r="BT94" s="162" t="n"/>
      <c r="BU94" s="162" t="n"/>
      <c r="BV94" s="162" t="n"/>
      <c r="BW94" s="162" t="n"/>
      <c r="BX94" s="162" t="n"/>
      <c r="BY94" s="162" t="n"/>
      <c r="BZ94" s="162" t="n"/>
      <c r="CA94" s="162" t="n"/>
      <c r="CB94" s="162" t="n"/>
      <c r="CC94" s="162" t="n"/>
      <c r="CD94" s="162" t="n"/>
      <c r="CE94" s="162" t="n"/>
      <c r="CF94" s="162" t="n"/>
      <c r="CG94" s="162" t="n"/>
      <c r="CH94" s="162" t="n"/>
      <c r="CI94" s="162" t="n"/>
      <c r="CJ94" s="162" t="n"/>
      <c r="CK94" s="162" t="n"/>
      <c r="CL94" s="162" t="n"/>
      <c r="CM94" s="162" t="n"/>
      <c r="CN94" s="162" t="n"/>
      <c r="CO94" s="162" t="n"/>
      <c r="CP94" s="162" t="n"/>
      <c r="CQ94" s="162" t="n"/>
      <c r="CR94" s="162" t="n"/>
      <c r="CS94" s="162" t="n"/>
      <c r="CT94" s="162" t="n"/>
    </row>
    <row r="95" ht="18.75" customHeight="1">
      <c r="A95" s="175" t="n">
        <v>94</v>
      </c>
      <c r="B95" s="210" t="n">
        <v>3</v>
      </c>
      <c r="C95" s="211" t="n">
        <v>45759</v>
      </c>
      <c r="D95" s="187" t="inlineStr">
        <is>
          <t>221 G. MALAGUEÑA</t>
        </is>
      </c>
      <c r="E95" s="187" t="n">
        <v>40493</v>
      </c>
      <c r="F95" s="187" t="inlineStr">
        <is>
          <t>FABIO ALDANA</t>
        </is>
      </c>
      <c r="G95" s="188" t="n">
        <v>3371</v>
      </c>
      <c r="H95" s="188" t="n">
        <v>3371</v>
      </c>
      <c r="I95" s="188" t="n">
        <v>3363</v>
      </c>
      <c r="J95" s="188" t="n">
        <v>3</v>
      </c>
      <c r="K95" s="188" t="n">
        <v>5</v>
      </c>
      <c r="L95" s="189" t="n">
        <v>0</v>
      </c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  <c r="AA95" s="162" t="n"/>
      <c r="AB95" s="162" t="n"/>
      <c r="AC95" s="162" t="n"/>
      <c r="AD95" s="162" t="n"/>
      <c r="AE95" s="162" t="n"/>
      <c r="AF95" s="162" t="n"/>
      <c r="AG95" s="162" t="n"/>
      <c r="AH95" s="162" t="n"/>
      <c r="AI95" s="162" t="n"/>
      <c r="AJ95" s="162" t="n"/>
      <c r="AK95" s="162" t="n"/>
      <c r="AL95" s="162" t="n"/>
      <c r="AM95" s="162" t="n"/>
      <c r="AN95" s="162" t="n"/>
      <c r="AO95" s="162" t="n"/>
      <c r="AP95" s="162" t="n"/>
      <c r="AQ95" s="162" t="n"/>
      <c r="AR95" s="162" t="n"/>
      <c r="AS95" s="162" t="n"/>
      <c r="AT95" s="162" t="n"/>
      <c r="AU95" s="162" t="n"/>
      <c r="AV95" s="162" t="n"/>
      <c r="AW95" s="162" t="n"/>
      <c r="AX95" s="162" t="n"/>
      <c r="AY95" s="162" t="n"/>
      <c r="AZ95" s="162" t="n"/>
      <c r="BA95" s="162" t="n"/>
      <c r="BB95" s="162" t="n"/>
      <c r="BC95" s="162" t="n"/>
      <c r="BD95" s="162" t="n"/>
      <c r="BE95" s="162" t="n"/>
      <c r="BF95" s="162" t="n"/>
      <c r="BG95" s="162" t="n"/>
      <c r="BH95" s="162" t="n"/>
      <c r="BI95" s="162" t="n"/>
      <c r="BJ95" s="162" t="n"/>
      <c r="BK95" s="162" t="n"/>
      <c r="BL95" s="162" t="n"/>
      <c r="BM95" s="162" t="n"/>
      <c r="BN95" s="162" t="n"/>
      <c r="BO95" s="162" t="n"/>
      <c r="BP95" s="162" t="n"/>
      <c r="BQ95" s="162" t="n"/>
      <c r="BR95" s="162" t="n"/>
      <c r="BS95" s="162" t="n"/>
      <c r="BT95" s="162" t="n"/>
      <c r="BU95" s="162" t="n"/>
      <c r="BV95" s="162" t="n"/>
      <c r="BW95" s="162" t="n"/>
      <c r="BX95" s="162" t="n"/>
      <c r="BY95" s="162" t="n"/>
      <c r="BZ95" s="162" t="n"/>
      <c r="CA95" s="162" t="n"/>
      <c r="CB95" s="162" t="n"/>
      <c r="CC95" s="162" t="n"/>
      <c r="CD95" s="162" t="n"/>
      <c r="CE95" s="162" t="n"/>
      <c r="CF95" s="162" t="n"/>
      <c r="CG95" s="162" t="n"/>
      <c r="CH95" s="162" t="n"/>
      <c r="CI95" s="162" t="n"/>
      <c r="CJ95" s="162" t="n"/>
      <c r="CK95" s="162" t="n"/>
      <c r="CL95" s="162" t="n"/>
      <c r="CM95" s="162" t="n"/>
      <c r="CN95" s="162" t="n"/>
      <c r="CO95" s="162" t="n"/>
      <c r="CP95" s="162" t="n"/>
      <c r="CQ95" s="162" t="n"/>
      <c r="CR95" s="162" t="n"/>
      <c r="CS95" s="162" t="n"/>
      <c r="CT95" s="162" t="n"/>
    </row>
    <row r="96" ht="18.75" customHeight="1">
      <c r="A96" s="175" t="n">
        <v>95</v>
      </c>
      <c r="B96" s="210" t="n">
        <v>4</v>
      </c>
      <c r="C96" s="211" t="n">
        <v>45759</v>
      </c>
      <c r="D96" s="187" t="inlineStr">
        <is>
          <t>221 G. MALAGUEÑA</t>
        </is>
      </c>
      <c r="E96" s="187" t="n">
        <v>40494</v>
      </c>
      <c r="F96" s="187" t="inlineStr">
        <is>
          <t>JAIRO CUBILLOS</t>
        </is>
      </c>
      <c r="G96" s="188" t="n">
        <v>3371</v>
      </c>
      <c r="H96" s="188" t="n">
        <v>3371</v>
      </c>
      <c r="I96" s="188" t="n">
        <v>3361</v>
      </c>
      <c r="J96" s="188" t="n">
        <v>5</v>
      </c>
      <c r="K96" s="188" t="n">
        <v>5</v>
      </c>
      <c r="L96" s="189" t="n">
        <v>0</v>
      </c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  <c r="AA96" s="162" t="n"/>
      <c r="AB96" s="162" t="n"/>
      <c r="AC96" s="162" t="n"/>
      <c r="AD96" s="162" t="n"/>
      <c r="AE96" s="162" t="n"/>
      <c r="AF96" s="162" t="n"/>
      <c r="AG96" s="162" t="n"/>
      <c r="AH96" s="162" t="n"/>
      <c r="AI96" s="162" t="n"/>
      <c r="AJ96" s="162" t="n"/>
      <c r="AK96" s="162" t="n"/>
      <c r="AL96" s="162" t="n"/>
      <c r="AM96" s="162" t="n"/>
      <c r="AN96" s="162" t="n"/>
      <c r="AO96" s="162" t="n"/>
      <c r="AP96" s="162" t="n"/>
      <c r="AQ96" s="162" t="n"/>
      <c r="AR96" s="162" t="n"/>
      <c r="AS96" s="162" t="n"/>
      <c r="AT96" s="162" t="n"/>
      <c r="AU96" s="162" t="n"/>
      <c r="AV96" s="162" t="n"/>
      <c r="AW96" s="162" t="n"/>
      <c r="AX96" s="162" t="n"/>
      <c r="AY96" s="162" t="n"/>
      <c r="AZ96" s="162" t="n"/>
      <c r="BA96" s="162" t="n"/>
      <c r="BB96" s="162" t="n"/>
      <c r="BC96" s="162" t="n"/>
      <c r="BD96" s="162" t="n"/>
      <c r="BE96" s="162" t="n"/>
      <c r="BF96" s="162" t="n"/>
      <c r="BG96" s="162" t="n"/>
      <c r="BH96" s="162" t="n"/>
      <c r="BI96" s="162" t="n"/>
      <c r="BJ96" s="162" t="n"/>
      <c r="BK96" s="162" t="n"/>
      <c r="BL96" s="162" t="n"/>
      <c r="BM96" s="162" t="n"/>
      <c r="BN96" s="162" t="n"/>
      <c r="BO96" s="162" t="n"/>
      <c r="BP96" s="162" t="n"/>
      <c r="BQ96" s="162" t="n"/>
      <c r="BR96" s="162" t="n"/>
      <c r="BS96" s="162" t="n"/>
      <c r="BT96" s="162" t="n"/>
      <c r="BU96" s="162" t="n"/>
      <c r="BV96" s="162" t="n"/>
      <c r="BW96" s="162" t="n"/>
      <c r="BX96" s="162" t="n"/>
      <c r="BY96" s="162" t="n"/>
      <c r="BZ96" s="162" t="n"/>
      <c r="CA96" s="162" t="n"/>
      <c r="CB96" s="162" t="n"/>
      <c r="CC96" s="162" t="n"/>
      <c r="CD96" s="162" t="n"/>
      <c r="CE96" s="162" t="n"/>
      <c r="CF96" s="162" t="n"/>
      <c r="CG96" s="162" t="n"/>
      <c r="CH96" s="162" t="n"/>
      <c r="CI96" s="162" t="n"/>
      <c r="CJ96" s="162" t="n"/>
      <c r="CK96" s="162" t="n"/>
      <c r="CL96" s="162" t="n"/>
      <c r="CM96" s="162" t="n"/>
      <c r="CN96" s="162" t="n"/>
      <c r="CO96" s="162" t="n"/>
      <c r="CP96" s="162" t="n"/>
      <c r="CQ96" s="162" t="n"/>
      <c r="CR96" s="162" t="n"/>
      <c r="CS96" s="162" t="n"/>
      <c r="CT96" s="162" t="n"/>
    </row>
    <row r="97" ht="18.75" customHeight="1">
      <c r="A97" s="175" t="n">
        <v>96</v>
      </c>
      <c r="B97" s="210" t="n">
        <v>5</v>
      </c>
      <c r="C97" s="211" t="n">
        <v>45759</v>
      </c>
      <c r="D97" s="187" t="inlineStr">
        <is>
          <t>221 G. MALAGUEÑA</t>
        </is>
      </c>
      <c r="E97" s="187" t="n">
        <v>40495</v>
      </c>
      <c r="F97" s="187" t="inlineStr">
        <is>
          <t>EDWIN ROJAS</t>
        </is>
      </c>
      <c r="G97" s="188" t="n">
        <v>3353</v>
      </c>
      <c r="H97" s="188" t="n">
        <v>3353</v>
      </c>
      <c r="I97" s="188" t="n">
        <v>3332</v>
      </c>
      <c r="J97" s="188" t="n">
        <v>4</v>
      </c>
      <c r="K97" s="188" t="n">
        <v>17</v>
      </c>
      <c r="L97" s="189" t="n">
        <v>0</v>
      </c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  <c r="AA97" s="162" t="n"/>
      <c r="AB97" s="162" t="n"/>
      <c r="AC97" s="162" t="n"/>
      <c r="AD97" s="162" t="n"/>
      <c r="AE97" s="162" t="n"/>
      <c r="AF97" s="162" t="n"/>
      <c r="AG97" s="162" t="n"/>
      <c r="AH97" s="162" t="n"/>
      <c r="AI97" s="162" t="n"/>
      <c r="AJ97" s="162" t="n"/>
      <c r="AK97" s="162" t="n"/>
      <c r="AL97" s="162" t="n"/>
      <c r="AM97" s="162" t="n"/>
      <c r="AN97" s="162" t="n"/>
      <c r="AO97" s="162" t="n"/>
      <c r="AP97" s="162" t="n"/>
      <c r="AQ97" s="162" t="n"/>
      <c r="AR97" s="162" t="n"/>
      <c r="AS97" s="162" t="n"/>
      <c r="AT97" s="162" t="n"/>
      <c r="AU97" s="162" t="n"/>
      <c r="AV97" s="162" t="n"/>
      <c r="AW97" s="162" t="n"/>
      <c r="AX97" s="162" t="n"/>
      <c r="AY97" s="162" t="n"/>
      <c r="AZ97" s="162" t="n"/>
      <c r="BA97" s="162" t="n"/>
      <c r="BB97" s="162" t="n"/>
      <c r="BC97" s="162" t="n"/>
      <c r="BD97" s="162" t="n"/>
      <c r="BE97" s="162" t="n"/>
      <c r="BF97" s="162" t="n"/>
      <c r="BG97" s="162" t="n"/>
      <c r="BH97" s="162" t="n"/>
      <c r="BI97" s="162" t="n"/>
      <c r="BJ97" s="162" t="n"/>
      <c r="BK97" s="162" t="n"/>
      <c r="BL97" s="162" t="n"/>
      <c r="BM97" s="162" t="n"/>
      <c r="BN97" s="162" t="n"/>
      <c r="BO97" s="162" t="n"/>
      <c r="BP97" s="162" t="n"/>
      <c r="BQ97" s="162" t="n"/>
      <c r="BR97" s="162" t="n"/>
      <c r="BS97" s="162" t="n"/>
      <c r="BT97" s="162" t="n"/>
      <c r="BU97" s="162" t="n"/>
      <c r="BV97" s="162" t="n"/>
      <c r="BW97" s="162" t="n"/>
      <c r="BX97" s="162" t="n"/>
      <c r="BY97" s="162" t="n"/>
      <c r="BZ97" s="162" t="n"/>
      <c r="CA97" s="162" t="n"/>
      <c r="CB97" s="162" t="n"/>
      <c r="CC97" s="162" t="n"/>
      <c r="CD97" s="162" t="n"/>
      <c r="CE97" s="162" t="n"/>
      <c r="CF97" s="162" t="n"/>
      <c r="CG97" s="162" t="n"/>
      <c r="CH97" s="162" t="n"/>
      <c r="CI97" s="162" t="n"/>
      <c r="CJ97" s="162" t="n"/>
      <c r="CK97" s="162" t="n"/>
      <c r="CL97" s="162" t="n"/>
      <c r="CM97" s="162" t="n"/>
      <c r="CN97" s="162" t="n"/>
      <c r="CO97" s="162" t="n"/>
      <c r="CP97" s="162" t="n"/>
      <c r="CQ97" s="162" t="n"/>
      <c r="CR97" s="162" t="n"/>
      <c r="CS97" s="162" t="n"/>
      <c r="CT97" s="162" t="n"/>
    </row>
    <row r="98" ht="18.75" customHeight="1">
      <c r="A98" s="175" t="n">
        <v>97</v>
      </c>
      <c r="B98" s="212" t="n">
        <v>6</v>
      </c>
      <c r="C98" s="213" t="n">
        <v>45759</v>
      </c>
      <c r="D98" s="194" t="inlineStr">
        <is>
          <t>200 G. GARCERAS</t>
        </is>
      </c>
      <c r="E98" s="194" t="n">
        <v>40496</v>
      </c>
      <c r="F98" s="194" t="inlineStr">
        <is>
          <t>HENRY ROMERO</t>
        </is>
      </c>
      <c r="G98" s="195" t="n">
        <v>2907</v>
      </c>
      <c r="H98" s="195" t="n">
        <v>2907</v>
      </c>
      <c r="I98" s="195" t="n">
        <v>2890</v>
      </c>
      <c r="J98" s="195" t="n">
        <v>0</v>
      </c>
      <c r="K98" s="195" t="n">
        <v>9</v>
      </c>
      <c r="L98" s="196" t="n">
        <v>8</v>
      </c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  <c r="AA98" s="162" t="n"/>
      <c r="AB98" s="162" t="n"/>
      <c r="AC98" s="162" t="n"/>
      <c r="AD98" s="162" t="n"/>
      <c r="AE98" s="162" t="n"/>
      <c r="AF98" s="162" t="n"/>
      <c r="AG98" s="162" t="n"/>
      <c r="AH98" s="162" t="n"/>
      <c r="AI98" s="162" t="n"/>
      <c r="AJ98" s="162" t="n"/>
      <c r="AK98" s="162" t="n"/>
      <c r="AL98" s="162" t="n"/>
      <c r="AM98" s="162" t="n"/>
      <c r="AN98" s="162" t="n"/>
      <c r="AO98" s="162" t="n"/>
      <c r="AP98" s="162" t="n"/>
      <c r="AQ98" s="162" t="n"/>
      <c r="AR98" s="162" t="n"/>
      <c r="AS98" s="162" t="n"/>
      <c r="AT98" s="162" t="n"/>
      <c r="AU98" s="162" t="n"/>
      <c r="AV98" s="162" t="n"/>
      <c r="AW98" s="162" t="n"/>
      <c r="AX98" s="162" t="n"/>
      <c r="AY98" s="162" t="n"/>
      <c r="AZ98" s="162" t="n"/>
      <c r="BA98" s="162" t="n"/>
      <c r="BB98" s="162" t="n"/>
      <c r="BC98" s="162" t="n"/>
      <c r="BD98" s="162" t="n"/>
      <c r="BE98" s="162" t="n"/>
      <c r="BF98" s="162" t="n"/>
      <c r="BG98" s="162" t="n"/>
      <c r="BH98" s="162" t="n"/>
      <c r="BI98" s="162" t="n"/>
      <c r="BJ98" s="162" t="n"/>
      <c r="BK98" s="162" t="n"/>
      <c r="BL98" s="162" t="n"/>
      <c r="BM98" s="162" t="n"/>
      <c r="BN98" s="162" t="n"/>
      <c r="BO98" s="162" t="n"/>
      <c r="BP98" s="162" t="n"/>
      <c r="BQ98" s="162" t="n"/>
      <c r="BR98" s="162" t="n"/>
      <c r="BS98" s="162" t="n"/>
      <c r="BT98" s="162" t="n"/>
      <c r="BU98" s="162" t="n"/>
      <c r="BV98" s="162" t="n"/>
      <c r="BW98" s="162" t="n"/>
      <c r="BX98" s="162" t="n"/>
      <c r="BY98" s="162" t="n"/>
      <c r="BZ98" s="162" t="n"/>
      <c r="CA98" s="162" t="n"/>
      <c r="CB98" s="162" t="n"/>
      <c r="CC98" s="162" t="n"/>
      <c r="CD98" s="162" t="n"/>
      <c r="CE98" s="162" t="n"/>
      <c r="CF98" s="162" t="n"/>
      <c r="CG98" s="162" t="n"/>
      <c r="CH98" s="162" t="n"/>
      <c r="CI98" s="162" t="n"/>
      <c r="CJ98" s="162" t="n"/>
      <c r="CK98" s="162" t="n"/>
      <c r="CL98" s="162" t="n"/>
      <c r="CM98" s="162" t="n"/>
      <c r="CN98" s="162" t="n"/>
      <c r="CO98" s="162" t="n"/>
      <c r="CP98" s="162" t="n"/>
      <c r="CQ98" s="162" t="n"/>
      <c r="CR98" s="162" t="n"/>
      <c r="CS98" s="162" t="n"/>
      <c r="CT98" s="162" t="n"/>
    </row>
    <row r="99" ht="18.75" customHeight="1">
      <c r="A99" s="175" t="n">
        <v>98</v>
      </c>
      <c r="B99" s="214" t="n">
        <v>7</v>
      </c>
      <c r="C99" s="215" t="n">
        <v>45760</v>
      </c>
      <c r="D99" s="216" t="inlineStr">
        <is>
          <t>221 G. MALAGUEÑA</t>
        </is>
      </c>
      <c r="E99" s="216" t="n">
        <v>40511</v>
      </c>
      <c r="F99" s="216" t="inlineStr">
        <is>
          <t>ALBERTO LOPEZ</t>
        </is>
      </c>
      <c r="G99" s="217" t="n">
        <v>3748</v>
      </c>
      <c r="H99" s="217" t="n">
        <v>3748</v>
      </c>
      <c r="I99" s="217" t="n">
        <v>3728</v>
      </c>
      <c r="J99" s="217" t="n">
        <v>2</v>
      </c>
      <c r="K99" s="217" t="n">
        <v>9</v>
      </c>
      <c r="L99" s="218" t="n">
        <v>9</v>
      </c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  <c r="AA99" s="162" t="n"/>
      <c r="AB99" s="162" t="n"/>
      <c r="AC99" s="162" t="n"/>
      <c r="AD99" s="162" t="n"/>
      <c r="AE99" s="162" t="n"/>
      <c r="AF99" s="162" t="n"/>
      <c r="AG99" s="162" t="n"/>
      <c r="AH99" s="162" t="n"/>
      <c r="AI99" s="162" t="n"/>
      <c r="AJ99" s="162" t="n"/>
      <c r="AK99" s="162" t="n"/>
      <c r="AL99" s="162" t="n"/>
      <c r="AM99" s="162" t="n"/>
      <c r="AN99" s="162" t="n"/>
      <c r="AO99" s="162" t="n"/>
      <c r="AP99" s="162" t="n"/>
      <c r="AQ99" s="162" t="n"/>
      <c r="AR99" s="162" t="n"/>
      <c r="AS99" s="162" t="n"/>
      <c r="AT99" s="162" t="n"/>
      <c r="AU99" s="162" t="n"/>
      <c r="AV99" s="162" t="n"/>
      <c r="AW99" s="162" t="n"/>
      <c r="AX99" s="162" t="n"/>
      <c r="AY99" s="162" t="n"/>
      <c r="AZ99" s="162" t="n"/>
      <c r="BA99" s="162" t="n"/>
      <c r="BB99" s="162" t="n"/>
      <c r="BC99" s="162" t="n"/>
      <c r="BD99" s="162" t="n"/>
      <c r="BE99" s="162" t="n"/>
      <c r="BF99" s="162" t="n"/>
      <c r="BG99" s="162" t="n"/>
      <c r="BH99" s="162" t="n"/>
      <c r="BI99" s="162" t="n"/>
      <c r="BJ99" s="162" t="n"/>
      <c r="BK99" s="162" t="n"/>
      <c r="BL99" s="162" t="n"/>
      <c r="BM99" s="162" t="n"/>
      <c r="BN99" s="162" t="n"/>
      <c r="BO99" s="162" t="n"/>
      <c r="BP99" s="162" t="n"/>
      <c r="BQ99" s="162" t="n"/>
      <c r="BR99" s="162" t="n"/>
      <c r="BS99" s="162" t="n"/>
      <c r="BT99" s="162" t="n"/>
      <c r="BU99" s="162" t="n"/>
      <c r="BV99" s="162" t="n"/>
      <c r="BW99" s="162" t="n"/>
      <c r="BX99" s="162" t="n"/>
      <c r="BY99" s="162" t="n"/>
      <c r="BZ99" s="162" t="n"/>
      <c r="CA99" s="162" t="n"/>
      <c r="CB99" s="162" t="n"/>
      <c r="CC99" s="162" t="n"/>
      <c r="CD99" s="162" t="n"/>
      <c r="CE99" s="162" t="n"/>
      <c r="CF99" s="162" t="n"/>
      <c r="CG99" s="162" t="n"/>
      <c r="CH99" s="162" t="n"/>
      <c r="CI99" s="162" t="n"/>
      <c r="CJ99" s="162" t="n"/>
      <c r="CK99" s="162" t="n"/>
      <c r="CL99" s="162" t="n"/>
      <c r="CM99" s="162" t="n"/>
      <c r="CN99" s="162" t="n"/>
      <c r="CO99" s="162" t="n"/>
      <c r="CP99" s="162" t="n"/>
      <c r="CQ99" s="162" t="n"/>
      <c r="CR99" s="162" t="n"/>
      <c r="CS99" s="162" t="n"/>
      <c r="CT99" s="162" t="n"/>
    </row>
    <row r="100" ht="18.75" customHeight="1">
      <c r="A100" s="175" t="n">
        <v>99</v>
      </c>
      <c r="B100" s="210" t="n">
        <v>8</v>
      </c>
      <c r="C100" s="211" t="n">
        <v>45760</v>
      </c>
      <c r="D100" s="187" t="inlineStr">
        <is>
          <t>221 G. MALAGUEÑA</t>
        </is>
      </c>
      <c r="E100" s="187" t="n">
        <v>40512</v>
      </c>
      <c r="F100" s="187" t="inlineStr">
        <is>
          <t>FABIO ALDANA</t>
        </is>
      </c>
      <c r="G100" s="188" t="n">
        <v>3748</v>
      </c>
      <c r="H100" s="188" t="n">
        <v>3748</v>
      </c>
      <c r="I100" s="188" t="n">
        <v>3725</v>
      </c>
      <c r="J100" s="188" t="n">
        <v>3</v>
      </c>
      <c r="K100" s="188" t="n">
        <v>11</v>
      </c>
      <c r="L100" s="189" t="n">
        <v>9</v>
      </c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  <c r="AA100" s="162" t="n"/>
      <c r="AB100" s="162" t="n"/>
      <c r="AC100" s="162" t="n"/>
      <c r="AD100" s="162" t="n"/>
      <c r="AE100" s="162" t="n"/>
      <c r="AF100" s="162" t="n"/>
      <c r="AG100" s="162" t="n"/>
      <c r="AH100" s="162" t="n"/>
      <c r="AI100" s="162" t="n"/>
      <c r="AJ100" s="162" t="n"/>
      <c r="AK100" s="162" t="n"/>
      <c r="AL100" s="162" t="n"/>
      <c r="AM100" s="162" t="n"/>
      <c r="AN100" s="162" t="n"/>
      <c r="AO100" s="162" t="n"/>
      <c r="AP100" s="162" t="n"/>
      <c r="AQ100" s="162" t="n"/>
      <c r="AR100" s="162" t="n"/>
      <c r="AS100" s="162" t="n"/>
      <c r="AT100" s="162" t="n"/>
      <c r="AU100" s="162" t="n"/>
      <c r="AV100" s="162" t="n"/>
      <c r="AW100" s="162" t="n"/>
      <c r="AX100" s="162" t="n"/>
      <c r="AY100" s="162" t="n"/>
      <c r="AZ100" s="162" t="n"/>
      <c r="BA100" s="162" t="n"/>
      <c r="BB100" s="162" t="n"/>
      <c r="BC100" s="162" t="n"/>
      <c r="BD100" s="162" t="n"/>
      <c r="BE100" s="162" t="n"/>
      <c r="BF100" s="162" t="n"/>
      <c r="BG100" s="162" t="n"/>
      <c r="BH100" s="162" t="n"/>
      <c r="BI100" s="162" t="n"/>
      <c r="BJ100" s="162" t="n"/>
      <c r="BK100" s="162" t="n"/>
      <c r="BL100" s="162" t="n"/>
      <c r="BM100" s="162" t="n"/>
      <c r="BN100" s="162" t="n"/>
      <c r="BO100" s="162" t="n"/>
      <c r="BP100" s="162" t="n"/>
      <c r="BQ100" s="162" t="n"/>
      <c r="BR100" s="162" t="n"/>
      <c r="BS100" s="162" t="n"/>
      <c r="BT100" s="162" t="n"/>
      <c r="BU100" s="162" t="n"/>
      <c r="BV100" s="162" t="n"/>
      <c r="BW100" s="162" t="n"/>
      <c r="BX100" s="162" t="n"/>
      <c r="BY100" s="162" t="n"/>
      <c r="BZ100" s="162" t="n"/>
      <c r="CA100" s="162" t="n"/>
      <c r="CB100" s="162" t="n"/>
      <c r="CC100" s="162" t="n"/>
      <c r="CD100" s="162" t="n"/>
      <c r="CE100" s="162" t="n"/>
      <c r="CF100" s="162" t="n"/>
      <c r="CG100" s="162" t="n"/>
      <c r="CH100" s="162" t="n"/>
      <c r="CI100" s="162" t="n"/>
      <c r="CJ100" s="162" t="n"/>
      <c r="CK100" s="162" t="n"/>
      <c r="CL100" s="162" t="n"/>
      <c r="CM100" s="162" t="n"/>
      <c r="CN100" s="162" t="n"/>
      <c r="CO100" s="162" t="n"/>
      <c r="CP100" s="162" t="n"/>
      <c r="CQ100" s="162" t="n"/>
      <c r="CR100" s="162" t="n"/>
      <c r="CS100" s="162" t="n"/>
      <c r="CT100" s="162" t="n"/>
    </row>
    <row r="101" ht="18.75" customHeight="1">
      <c r="A101" s="175" t="n">
        <v>100</v>
      </c>
      <c r="B101" s="210" t="n">
        <v>9</v>
      </c>
      <c r="C101" s="211" t="n">
        <v>45760</v>
      </c>
      <c r="D101" s="187" t="inlineStr">
        <is>
          <t>221 G. MALAGUEÑA</t>
        </is>
      </c>
      <c r="E101" s="187" t="n">
        <v>40513</v>
      </c>
      <c r="F101" s="187" t="inlineStr">
        <is>
          <t>JAIRO CUBILLOS</t>
        </is>
      </c>
      <c r="G101" s="188" t="n">
        <v>3748</v>
      </c>
      <c r="H101" s="188" t="n">
        <v>3748</v>
      </c>
      <c r="I101" s="188" t="n">
        <v>3727</v>
      </c>
      <c r="J101" s="188" t="n">
        <v>3</v>
      </c>
      <c r="K101" s="188" t="n">
        <v>9</v>
      </c>
      <c r="L101" s="189" t="n">
        <v>9</v>
      </c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  <c r="AA101" s="162" t="n"/>
      <c r="AB101" s="162" t="n"/>
      <c r="AC101" s="162" t="n"/>
      <c r="AD101" s="162" t="n"/>
      <c r="AE101" s="162" t="n"/>
      <c r="AF101" s="162" t="n"/>
      <c r="AG101" s="162" t="n"/>
      <c r="AH101" s="162" t="n"/>
      <c r="AI101" s="162" t="n"/>
      <c r="AJ101" s="162" t="n"/>
      <c r="AK101" s="162" t="n"/>
      <c r="AL101" s="162" t="n"/>
      <c r="AM101" s="162" t="n"/>
      <c r="AN101" s="162" t="n"/>
      <c r="AO101" s="162" t="n"/>
      <c r="AP101" s="162" t="n"/>
      <c r="AQ101" s="162" t="n"/>
      <c r="AR101" s="162" t="n"/>
      <c r="AS101" s="162" t="n"/>
      <c r="AT101" s="162" t="n"/>
      <c r="AU101" s="162" t="n"/>
      <c r="AV101" s="162" t="n"/>
      <c r="AW101" s="162" t="n"/>
      <c r="AX101" s="162" t="n"/>
      <c r="AY101" s="162" t="n"/>
      <c r="AZ101" s="162" t="n"/>
      <c r="BA101" s="162" t="n"/>
      <c r="BB101" s="162" t="n"/>
      <c r="BC101" s="162" t="n"/>
      <c r="BD101" s="162" t="n"/>
      <c r="BE101" s="162" t="n"/>
      <c r="BF101" s="162" t="n"/>
      <c r="BG101" s="162" t="n"/>
      <c r="BH101" s="162" t="n"/>
      <c r="BI101" s="162" t="n"/>
      <c r="BJ101" s="162" t="n"/>
      <c r="BK101" s="162" t="n"/>
      <c r="BL101" s="162" t="n"/>
      <c r="BM101" s="162" t="n"/>
      <c r="BN101" s="162" t="n"/>
      <c r="BO101" s="162" t="n"/>
      <c r="BP101" s="162" t="n"/>
      <c r="BQ101" s="162" t="n"/>
      <c r="BR101" s="162" t="n"/>
      <c r="BS101" s="162" t="n"/>
      <c r="BT101" s="162" t="n"/>
      <c r="BU101" s="162" t="n"/>
      <c r="BV101" s="162" t="n"/>
      <c r="BW101" s="162" t="n"/>
      <c r="BX101" s="162" t="n"/>
      <c r="BY101" s="162" t="n"/>
      <c r="BZ101" s="162" t="n"/>
      <c r="CA101" s="162" t="n"/>
      <c r="CB101" s="162" t="n"/>
      <c r="CC101" s="162" t="n"/>
      <c r="CD101" s="162" t="n"/>
      <c r="CE101" s="162" t="n"/>
      <c r="CF101" s="162" t="n"/>
      <c r="CG101" s="162" t="n"/>
      <c r="CH101" s="162" t="n"/>
      <c r="CI101" s="162" t="n"/>
      <c r="CJ101" s="162" t="n"/>
      <c r="CK101" s="162" t="n"/>
      <c r="CL101" s="162" t="n"/>
      <c r="CM101" s="162" t="n"/>
      <c r="CN101" s="162" t="n"/>
      <c r="CO101" s="162" t="n"/>
      <c r="CP101" s="162" t="n"/>
      <c r="CQ101" s="162" t="n"/>
      <c r="CR101" s="162" t="n"/>
      <c r="CS101" s="162" t="n"/>
      <c r="CT101" s="162" t="n"/>
    </row>
    <row r="102" ht="18.75" customHeight="1">
      <c r="A102" s="175" t="n">
        <v>101</v>
      </c>
      <c r="B102" s="210" t="n">
        <v>10</v>
      </c>
      <c r="C102" s="211" t="n">
        <v>45760</v>
      </c>
      <c r="D102" s="187" t="inlineStr">
        <is>
          <t>221 G. MALAGUEÑA</t>
        </is>
      </c>
      <c r="E102" s="187" t="n">
        <v>40514</v>
      </c>
      <c r="F102" s="187" t="inlineStr">
        <is>
          <t>YAIR RIVEROS</t>
        </is>
      </c>
      <c r="G102" s="188" t="n">
        <v>3748</v>
      </c>
      <c r="H102" s="188" t="n">
        <v>3748</v>
      </c>
      <c r="I102" s="188" t="n">
        <v>3728</v>
      </c>
      <c r="J102" s="188" t="n">
        <v>4</v>
      </c>
      <c r="K102" s="188" t="n">
        <v>8</v>
      </c>
      <c r="L102" s="189" t="n">
        <v>8</v>
      </c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  <c r="AA102" s="162" t="n"/>
      <c r="AB102" s="162" t="n"/>
      <c r="AC102" s="162" t="n"/>
      <c r="AD102" s="162" t="n"/>
      <c r="AE102" s="162" t="n"/>
      <c r="AF102" s="162" t="n"/>
      <c r="AG102" s="162" t="n"/>
      <c r="AH102" s="162" t="n"/>
      <c r="AI102" s="162" t="n"/>
      <c r="AJ102" s="162" t="n"/>
      <c r="AK102" s="162" t="n"/>
      <c r="AL102" s="162" t="n"/>
      <c r="AM102" s="162" t="n"/>
      <c r="AN102" s="162" t="n"/>
      <c r="AO102" s="162" t="n"/>
      <c r="AP102" s="162" t="n"/>
      <c r="AQ102" s="162" t="n"/>
      <c r="AR102" s="162" t="n"/>
      <c r="AS102" s="162" t="n"/>
      <c r="AT102" s="162" t="n"/>
      <c r="AU102" s="162" t="n"/>
      <c r="AV102" s="162" t="n"/>
      <c r="AW102" s="162" t="n"/>
      <c r="AX102" s="162" t="n"/>
      <c r="AY102" s="162" t="n"/>
      <c r="AZ102" s="162" t="n"/>
      <c r="BA102" s="162" t="n"/>
      <c r="BB102" s="162" t="n"/>
      <c r="BC102" s="162" t="n"/>
      <c r="BD102" s="162" t="n"/>
      <c r="BE102" s="162" t="n"/>
      <c r="BF102" s="162" t="n"/>
      <c r="BG102" s="162" t="n"/>
      <c r="BH102" s="162" t="n"/>
      <c r="BI102" s="162" t="n"/>
      <c r="BJ102" s="162" t="n"/>
      <c r="BK102" s="162" t="n"/>
      <c r="BL102" s="162" t="n"/>
      <c r="BM102" s="162" t="n"/>
      <c r="BN102" s="162" t="n"/>
      <c r="BO102" s="162" t="n"/>
      <c r="BP102" s="162" t="n"/>
      <c r="BQ102" s="162" t="n"/>
      <c r="BR102" s="162" t="n"/>
      <c r="BS102" s="162" t="n"/>
      <c r="BT102" s="162" t="n"/>
      <c r="BU102" s="162" t="n"/>
      <c r="BV102" s="162" t="n"/>
      <c r="BW102" s="162" t="n"/>
      <c r="BX102" s="162" t="n"/>
      <c r="BY102" s="162" t="n"/>
      <c r="BZ102" s="162" t="n"/>
      <c r="CA102" s="162" t="n"/>
      <c r="CB102" s="162" t="n"/>
      <c r="CC102" s="162" t="n"/>
      <c r="CD102" s="162" t="n"/>
      <c r="CE102" s="162" t="n"/>
      <c r="CF102" s="162" t="n"/>
      <c r="CG102" s="162" t="n"/>
      <c r="CH102" s="162" t="n"/>
      <c r="CI102" s="162" t="n"/>
      <c r="CJ102" s="162" t="n"/>
      <c r="CK102" s="162" t="n"/>
      <c r="CL102" s="162" t="n"/>
      <c r="CM102" s="162" t="n"/>
      <c r="CN102" s="162" t="n"/>
      <c r="CO102" s="162" t="n"/>
      <c r="CP102" s="162" t="n"/>
      <c r="CQ102" s="162" t="n"/>
      <c r="CR102" s="162" t="n"/>
      <c r="CS102" s="162" t="n"/>
      <c r="CT102" s="162" t="n"/>
    </row>
    <row r="103" ht="15" customHeight="1">
      <c r="A103" s="175" t="n">
        <v>102</v>
      </c>
      <c r="B103" s="210" t="n">
        <v>11</v>
      </c>
      <c r="C103" s="211" t="n">
        <v>45760</v>
      </c>
      <c r="D103" s="187" t="inlineStr">
        <is>
          <t>221 G. MALAGUEÑA</t>
        </is>
      </c>
      <c r="E103" s="187" t="n">
        <v>40515</v>
      </c>
      <c r="F103" s="187" t="inlineStr">
        <is>
          <t>HENRY ROMERO</t>
        </is>
      </c>
      <c r="G103" s="188" t="n">
        <v>3428</v>
      </c>
      <c r="H103" s="188" t="n">
        <v>3428</v>
      </c>
      <c r="I103" s="188" t="n">
        <v>3409</v>
      </c>
      <c r="J103" s="188" t="n">
        <v>3</v>
      </c>
      <c r="K103" s="188" t="n">
        <v>10</v>
      </c>
      <c r="L103" s="189" t="n">
        <v>6</v>
      </c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  <c r="AA103" s="162" t="n"/>
      <c r="AB103" s="162" t="n"/>
      <c r="AC103" s="162" t="n"/>
      <c r="AD103" s="162" t="n"/>
      <c r="AE103" s="162" t="n"/>
      <c r="AF103" s="162" t="n"/>
      <c r="AG103" s="162" t="n"/>
      <c r="AH103" s="162" t="n"/>
      <c r="AI103" s="162" t="n"/>
      <c r="AJ103" s="162" t="n"/>
      <c r="AK103" s="162" t="n"/>
      <c r="AL103" s="162" t="n"/>
      <c r="AM103" s="162" t="n"/>
      <c r="AN103" s="162" t="n"/>
      <c r="AO103" s="162" t="n"/>
      <c r="AP103" s="162" t="n"/>
      <c r="AQ103" s="162" t="n"/>
      <c r="AR103" s="162" t="n"/>
      <c r="AS103" s="162" t="n"/>
      <c r="AT103" s="162" t="n"/>
      <c r="AU103" s="162" t="n"/>
      <c r="AV103" s="162" t="n"/>
      <c r="AW103" s="162" t="n"/>
      <c r="AX103" s="162" t="n"/>
      <c r="AY103" s="162" t="n"/>
      <c r="AZ103" s="162" t="n"/>
      <c r="BA103" s="162" t="n"/>
      <c r="BB103" s="162" t="n"/>
      <c r="BC103" s="162" t="n"/>
      <c r="BD103" s="162" t="n"/>
      <c r="BE103" s="162" t="n"/>
      <c r="BF103" s="162" t="n"/>
      <c r="BG103" s="162" t="n"/>
      <c r="BH103" s="162" t="n"/>
      <c r="BI103" s="162" t="n"/>
      <c r="BJ103" s="162" t="n"/>
      <c r="BK103" s="162" t="n"/>
      <c r="BL103" s="162" t="n"/>
      <c r="BM103" s="162" t="n"/>
      <c r="BN103" s="162" t="n"/>
      <c r="BO103" s="162" t="n"/>
      <c r="BP103" s="162" t="n"/>
      <c r="BQ103" s="162" t="n"/>
      <c r="BR103" s="162" t="n"/>
      <c r="BS103" s="162" t="n"/>
      <c r="BT103" s="162" t="n"/>
      <c r="BU103" s="162" t="n"/>
      <c r="BV103" s="162" t="n"/>
      <c r="BW103" s="162" t="n"/>
      <c r="BX103" s="162" t="n"/>
      <c r="BY103" s="162" t="n"/>
      <c r="BZ103" s="162" t="n"/>
      <c r="CA103" s="162" t="n"/>
      <c r="CB103" s="162" t="n"/>
      <c r="CC103" s="162" t="n"/>
      <c r="CD103" s="162" t="n"/>
      <c r="CE103" s="162" t="n"/>
      <c r="CF103" s="162" t="n"/>
      <c r="CG103" s="162" t="n"/>
      <c r="CH103" s="162" t="n"/>
      <c r="CI103" s="162" t="n"/>
      <c r="CJ103" s="162" t="n"/>
      <c r="CK103" s="162" t="n"/>
      <c r="CL103" s="162" t="n"/>
      <c r="CM103" s="162" t="n"/>
      <c r="CN103" s="162" t="n"/>
      <c r="CO103" s="162" t="n"/>
      <c r="CP103" s="162" t="n"/>
      <c r="CQ103" s="162" t="n"/>
      <c r="CR103" s="162" t="n"/>
      <c r="CS103" s="162" t="n"/>
      <c r="CT103" s="162" t="n"/>
    </row>
    <row r="104" ht="15" customHeight="1">
      <c r="A104" s="175" t="n">
        <v>103</v>
      </c>
      <c r="B104" s="210" t="n">
        <v>12</v>
      </c>
      <c r="C104" s="211" t="n">
        <v>45760</v>
      </c>
      <c r="D104" s="187" t="inlineStr">
        <is>
          <t>221 G. MALAGUEÑA</t>
        </is>
      </c>
      <c r="E104" s="187" t="n">
        <v>40516</v>
      </c>
      <c r="F104" s="187" t="inlineStr">
        <is>
          <t>DIEGO NIÑO</t>
        </is>
      </c>
      <c r="G104" s="188" t="n">
        <v>3428</v>
      </c>
      <c r="H104" s="188" t="n">
        <v>3428</v>
      </c>
      <c r="I104" s="188" t="n">
        <v>3410</v>
      </c>
      <c r="J104" s="188" t="n">
        <v>1</v>
      </c>
      <c r="K104" s="188" t="n">
        <v>11</v>
      </c>
      <c r="L104" s="189" t="n">
        <v>6</v>
      </c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  <c r="AA104" s="162" t="n"/>
      <c r="AB104" s="162" t="n"/>
      <c r="AC104" s="162" t="n"/>
      <c r="AD104" s="162" t="n"/>
      <c r="AE104" s="162" t="n"/>
      <c r="AF104" s="162" t="n"/>
      <c r="AG104" s="162" t="n"/>
      <c r="AH104" s="162" t="n"/>
      <c r="AI104" s="162" t="n"/>
      <c r="AJ104" s="162" t="n"/>
      <c r="AK104" s="162" t="n"/>
      <c r="AL104" s="162" t="n"/>
      <c r="AM104" s="162" t="n"/>
      <c r="AN104" s="162" t="n"/>
      <c r="AO104" s="162" t="n"/>
      <c r="AP104" s="162" t="n"/>
      <c r="AQ104" s="162" t="n"/>
      <c r="AR104" s="162" t="n"/>
      <c r="AS104" s="162" t="n"/>
      <c r="AT104" s="162" t="n"/>
      <c r="AU104" s="162" t="n"/>
      <c r="AV104" s="162" t="n"/>
      <c r="AW104" s="162" t="n"/>
      <c r="AX104" s="162" t="n"/>
      <c r="AY104" s="162" t="n"/>
      <c r="AZ104" s="162" t="n"/>
      <c r="BA104" s="162" t="n"/>
      <c r="BB104" s="162" t="n"/>
      <c r="BC104" s="162" t="n"/>
      <c r="BD104" s="162" t="n"/>
      <c r="BE104" s="162" t="n"/>
      <c r="BF104" s="162" t="n"/>
      <c r="BG104" s="162" t="n"/>
      <c r="BH104" s="162" t="n"/>
      <c r="BI104" s="162" t="n"/>
      <c r="BJ104" s="162" t="n"/>
      <c r="BK104" s="162" t="n"/>
      <c r="BL104" s="162" t="n"/>
      <c r="BM104" s="162" t="n"/>
      <c r="BN104" s="162" t="n"/>
      <c r="BO104" s="162" t="n"/>
      <c r="BP104" s="162" t="n"/>
      <c r="BQ104" s="162" t="n"/>
      <c r="BR104" s="162" t="n"/>
      <c r="BS104" s="162" t="n"/>
      <c r="BT104" s="162" t="n"/>
      <c r="BU104" s="162" t="n"/>
      <c r="BV104" s="162" t="n"/>
      <c r="BW104" s="162" t="n"/>
      <c r="BX104" s="162" t="n"/>
      <c r="BY104" s="162" t="n"/>
      <c r="BZ104" s="162" t="n"/>
      <c r="CA104" s="162" t="n"/>
      <c r="CB104" s="162" t="n"/>
      <c r="CC104" s="162" t="n"/>
      <c r="CD104" s="162" t="n"/>
      <c r="CE104" s="162" t="n"/>
      <c r="CF104" s="162" t="n"/>
      <c r="CG104" s="162" t="n"/>
      <c r="CH104" s="162" t="n"/>
      <c r="CI104" s="162" t="n"/>
      <c r="CJ104" s="162" t="n"/>
      <c r="CK104" s="162" t="n"/>
      <c r="CL104" s="162" t="n"/>
      <c r="CM104" s="162" t="n"/>
      <c r="CN104" s="162" t="n"/>
      <c r="CO104" s="162" t="n"/>
      <c r="CP104" s="162" t="n"/>
      <c r="CQ104" s="162" t="n"/>
      <c r="CR104" s="162" t="n"/>
      <c r="CS104" s="162" t="n"/>
      <c r="CT104" s="162" t="n"/>
    </row>
    <row r="105" ht="15" customHeight="1">
      <c r="A105" s="175" t="n">
        <v>104</v>
      </c>
      <c r="B105" s="212" t="n">
        <v>13</v>
      </c>
      <c r="C105" s="213" t="n">
        <v>45760</v>
      </c>
      <c r="D105" s="194" t="inlineStr">
        <is>
          <t>221 G. MALAGUEÑA</t>
        </is>
      </c>
      <c r="E105" s="194" t="n">
        <v>40517</v>
      </c>
      <c r="F105" s="194" t="inlineStr">
        <is>
          <t>JHON AGUIRRE</t>
        </is>
      </c>
      <c r="G105" s="195" t="n">
        <v>3428</v>
      </c>
      <c r="H105" s="195" t="n">
        <v>3428</v>
      </c>
      <c r="I105" s="195" t="n">
        <v>3408</v>
      </c>
      <c r="J105" s="195" t="n">
        <v>2</v>
      </c>
      <c r="K105" s="195" t="n">
        <v>11</v>
      </c>
      <c r="L105" s="196" t="n">
        <v>7</v>
      </c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  <c r="AA105" s="162" t="n"/>
      <c r="AB105" s="162" t="n"/>
      <c r="AC105" s="162" t="n"/>
      <c r="AD105" s="162" t="n"/>
      <c r="AE105" s="162" t="n"/>
      <c r="AF105" s="162" t="n"/>
      <c r="AG105" s="162" t="n"/>
      <c r="AH105" s="162" t="n"/>
      <c r="AI105" s="162" t="n"/>
      <c r="AJ105" s="162" t="n"/>
      <c r="AK105" s="162" t="n"/>
      <c r="AL105" s="162" t="n"/>
      <c r="AM105" s="162" t="n"/>
      <c r="AN105" s="162" t="n"/>
      <c r="AO105" s="162" t="n"/>
      <c r="AP105" s="162" t="n"/>
      <c r="AQ105" s="162" t="n"/>
      <c r="AR105" s="162" t="n"/>
      <c r="AS105" s="162" t="n"/>
      <c r="AT105" s="162" t="n"/>
      <c r="AU105" s="162" t="n"/>
      <c r="AV105" s="162" t="n"/>
      <c r="AW105" s="162" t="n"/>
      <c r="AX105" s="162" t="n"/>
      <c r="AY105" s="162" t="n"/>
      <c r="AZ105" s="162" t="n"/>
      <c r="BA105" s="162" t="n"/>
      <c r="BB105" s="162" t="n"/>
      <c r="BC105" s="162" t="n"/>
      <c r="BD105" s="162" t="n"/>
      <c r="BE105" s="162" t="n"/>
      <c r="BF105" s="162" t="n"/>
      <c r="BG105" s="162" t="n"/>
      <c r="BH105" s="162" t="n"/>
      <c r="BI105" s="162" t="n"/>
      <c r="BJ105" s="162" t="n"/>
      <c r="BK105" s="162" t="n"/>
      <c r="BL105" s="162" t="n"/>
      <c r="BM105" s="162" t="n"/>
      <c r="BN105" s="162" t="n"/>
      <c r="BO105" s="162" t="n"/>
      <c r="BP105" s="162" t="n"/>
      <c r="BQ105" s="162" t="n"/>
      <c r="BR105" s="162" t="n"/>
      <c r="BS105" s="162" t="n"/>
      <c r="BT105" s="162" t="n"/>
      <c r="BU105" s="162" t="n"/>
      <c r="BV105" s="162" t="n"/>
      <c r="BW105" s="162" t="n"/>
      <c r="BX105" s="162" t="n"/>
      <c r="BY105" s="162" t="n"/>
      <c r="BZ105" s="162" t="n"/>
      <c r="CA105" s="162" t="n"/>
      <c r="CB105" s="162" t="n"/>
      <c r="CC105" s="162" t="n"/>
      <c r="CD105" s="162" t="n"/>
      <c r="CE105" s="162" t="n"/>
      <c r="CF105" s="162" t="n"/>
      <c r="CG105" s="162" t="n"/>
      <c r="CH105" s="162" t="n"/>
      <c r="CI105" s="162" t="n"/>
      <c r="CJ105" s="162" t="n"/>
      <c r="CK105" s="162" t="n"/>
      <c r="CL105" s="162" t="n"/>
      <c r="CM105" s="162" t="n"/>
      <c r="CN105" s="162" t="n"/>
      <c r="CO105" s="162" t="n"/>
      <c r="CP105" s="162" t="n"/>
      <c r="CQ105" s="162" t="n"/>
      <c r="CR105" s="162" t="n"/>
      <c r="CS105" s="162" t="n"/>
      <c r="CT105" s="162" t="n"/>
    </row>
    <row r="106" ht="15" customHeight="1">
      <c r="A106" s="175" t="n">
        <v>105</v>
      </c>
      <c r="B106" s="208" t="n">
        <v>14</v>
      </c>
      <c r="C106" s="209" t="n">
        <v>45761</v>
      </c>
      <c r="D106" s="205" t="inlineStr">
        <is>
          <t>200 G. GARCERAS</t>
        </is>
      </c>
      <c r="E106" s="205" t="n">
        <v>40532</v>
      </c>
      <c r="F106" s="205" t="inlineStr">
        <is>
          <t>ALEX GOMEZ</t>
        </is>
      </c>
      <c r="G106" s="206" t="n">
        <v>3500</v>
      </c>
      <c r="H106" s="206" t="n">
        <v>3500</v>
      </c>
      <c r="I106" s="206" t="n">
        <v>3483</v>
      </c>
      <c r="J106" s="206" t="n">
        <v>8</v>
      </c>
      <c r="K106" s="206" t="n">
        <v>9</v>
      </c>
      <c r="L106" s="207" t="n">
        <v>0</v>
      </c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  <c r="AA106" s="162" t="n"/>
      <c r="AB106" s="162" t="n"/>
      <c r="AC106" s="162" t="n"/>
      <c r="AD106" s="162" t="n"/>
      <c r="AE106" s="162" t="n"/>
      <c r="AF106" s="162" t="n"/>
      <c r="AG106" s="162" t="n"/>
      <c r="AH106" s="162" t="n"/>
      <c r="AI106" s="162" t="n"/>
      <c r="AJ106" s="162" t="n"/>
      <c r="AK106" s="162" t="n"/>
      <c r="AL106" s="162" t="n"/>
      <c r="AM106" s="162" t="n"/>
      <c r="AN106" s="162" t="n"/>
      <c r="AO106" s="162" t="n"/>
      <c r="AP106" s="162" t="n"/>
      <c r="AQ106" s="162" t="n"/>
      <c r="AR106" s="162" t="n"/>
      <c r="AS106" s="162" t="n"/>
      <c r="AT106" s="162" t="n"/>
      <c r="AU106" s="162" t="n"/>
      <c r="AV106" s="162" t="n"/>
      <c r="AW106" s="162" t="n"/>
      <c r="AX106" s="162" t="n"/>
      <c r="AY106" s="162" t="n"/>
      <c r="AZ106" s="162" t="n"/>
      <c r="BA106" s="162" t="n"/>
      <c r="BB106" s="162" t="n"/>
      <c r="BC106" s="162" t="n"/>
      <c r="BD106" s="162" t="n"/>
      <c r="BE106" s="162" t="n"/>
      <c r="BF106" s="162" t="n"/>
      <c r="BG106" s="162" t="n"/>
      <c r="BH106" s="162" t="n"/>
      <c r="BI106" s="162" t="n"/>
      <c r="BJ106" s="162" t="n"/>
      <c r="BK106" s="162" t="n"/>
      <c r="BL106" s="162" t="n"/>
      <c r="BM106" s="162" t="n"/>
      <c r="BN106" s="162" t="n"/>
      <c r="BO106" s="162" t="n"/>
      <c r="BP106" s="162" t="n"/>
      <c r="BQ106" s="162" t="n"/>
      <c r="BR106" s="162" t="n"/>
      <c r="BS106" s="162" t="n"/>
      <c r="BT106" s="162" t="n"/>
      <c r="BU106" s="162" t="n"/>
      <c r="BV106" s="162" t="n"/>
      <c r="BW106" s="162" t="n"/>
      <c r="BX106" s="162" t="n"/>
      <c r="BY106" s="162" t="n"/>
      <c r="BZ106" s="162" t="n"/>
      <c r="CA106" s="162" t="n"/>
      <c r="CB106" s="162" t="n"/>
      <c r="CC106" s="162" t="n"/>
      <c r="CD106" s="162" t="n"/>
      <c r="CE106" s="162" t="n"/>
      <c r="CF106" s="162" t="n"/>
      <c r="CG106" s="162" t="n"/>
      <c r="CH106" s="162" t="n"/>
      <c r="CI106" s="162" t="n"/>
      <c r="CJ106" s="162" t="n"/>
      <c r="CK106" s="162" t="n"/>
      <c r="CL106" s="162" t="n"/>
      <c r="CM106" s="162" t="n"/>
      <c r="CN106" s="162" t="n"/>
      <c r="CO106" s="162" t="n"/>
      <c r="CP106" s="162" t="n"/>
      <c r="CQ106" s="162" t="n"/>
      <c r="CR106" s="162" t="n"/>
      <c r="CS106" s="162" t="n"/>
      <c r="CT106" s="162" t="n"/>
    </row>
    <row r="107" ht="15" customHeight="1">
      <c r="A107" s="175" t="n">
        <v>106</v>
      </c>
      <c r="B107" s="210" t="n">
        <v>15</v>
      </c>
      <c r="C107" s="211" t="n">
        <v>45761</v>
      </c>
      <c r="D107" s="187" t="inlineStr">
        <is>
          <t>200 G. GARCERAS</t>
        </is>
      </c>
      <c r="E107" s="187" t="n">
        <v>40533</v>
      </c>
      <c r="F107" s="187" t="inlineStr">
        <is>
          <t>JOSE SOLER</t>
        </is>
      </c>
      <c r="G107" s="188" t="n">
        <v>3500</v>
      </c>
      <c r="H107" s="188" t="n">
        <v>3500</v>
      </c>
      <c r="I107" s="188" t="n">
        <v>3482</v>
      </c>
      <c r="J107" s="188" t="n">
        <v>5</v>
      </c>
      <c r="K107" s="188" t="n">
        <v>9</v>
      </c>
      <c r="L107" s="189" t="n">
        <v>4</v>
      </c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  <c r="AA107" s="162" t="n"/>
      <c r="AB107" s="162" t="n"/>
      <c r="AC107" s="162" t="n"/>
      <c r="AD107" s="162" t="n"/>
      <c r="AE107" s="162" t="n"/>
      <c r="AF107" s="162" t="n"/>
      <c r="AG107" s="162" t="n"/>
      <c r="AH107" s="162" t="n"/>
      <c r="AI107" s="162" t="n"/>
      <c r="AJ107" s="162" t="n"/>
      <c r="AK107" s="162" t="n"/>
      <c r="AL107" s="162" t="n"/>
      <c r="AM107" s="162" t="n"/>
      <c r="AN107" s="162" t="n"/>
      <c r="AO107" s="162" t="n"/>
      <c r="AP107" s="162" t="n"/>
      <c r="AQ107" s="162" t="n"/>
      <c r="AR107" s="162" t="n"/>
      <c r="AS107" s="162" t="n"/>
      <c r="AT107" s="162" t="n"/>
      <c r="AU107" s="162" t="n"/>
      <c r="AV107" s="162" t="n"/>
      <c r="AW107" s="162" t="n"/>
      <c r="AX107" s="162" t="n"/>
      <c r="AY107" s="162" t="n"/>
      <c r="AZ107" s="162" t="n"/>
      <c r="BA107" s="162" t="n"/>
      <c r="BB107" s="162" t="n"/>
      <c r="BC107" s="162" t="n"/>
      <c r="BD107" s="162" t="n"/>
      <c r="BE107" s="162" t="n"/>
      <c r="BF107" s="162" t="n"/>
      <c r="BG107" s="162" t="n"/>
      <c r="BH107" s="162" t="n"/>
      <c r="BI107" s="162" t="n"/>
      <c r="BJ107" s="162" t="n"/>
      <c r="BK107" s="162" t="n"/>
      <c r="BL107" s="162" t="n"/>
      <c r="BM107" s="162" t="n"/>
      <c r="BN107" s="162" t="n"/>
      <c r="BO107" s="162" t="n"/>
      <c r="BP107" s="162" t="n"/>
      <c r="BQ107" s="162" t="n"/>
      <c r="BR107" s="162" t="n"/>
      <c r="BS107" s="162" t="n"/>
      <c r="BT107" s="162" t="n"/>
      <c r="BU107" s="162" t="n"/>
      <c r="BV107" s="162" t="n"/>
      <c r="BW107" s="162" t="n"/>
      <c r="BX107" s="162" t="n"/>
      <c r="BY107" s="162" t="n"/>
      <c r="BZ107" s="162" t="n"/>
      <c r="CA107" s="162" t="n"/>
      <c r="CB107" s="162" t="n"/>
      <c r="CC107" s="162" t="n"/>
      <c r="CD107" s="162" t="n"/>
      <c r="CE107" s="162" t="n"/>
      <c r="CF107" s="162" t="n"/>
      <c r="CG107" s="162" t="n"/>
      <c r="CH107" s="162" t="n"/>
      <c r="CI107" s="162" t="n"/>
      <c r="CJ107" s="162" t="n"/>
      <c r="CK107" s="162" t="n"/>
      <c r="CL107" s="162" t="n"/>
      <c r="CM107" s="162" t="n"/>
      <c r="CN107" s="162" t="n"/>
      <c r="CO107" s="162" t="n"/>
      <c r="CP107" s="162" t="n"/>
      <c r="CQ107" s="162" t="n"/>
      <c r="CR107" s="162" t="n"/>
      <c r="CS107" s="162" t="n"/>
      <c r="CT107" s="162" t="n"/>
    </row>
    <row r="108" ht="15" customHeight="1">
      <c r="A108" s="175" t="n">
        <v>107</v>
      </c>
      <c r="B108" s="210" t="n">
        <v>16</v>
      </c>
      <c r="C108" s="211" t="n">
        <v>45761</v>
      </c>
      <c r="D108" s="187" t="inlineStr">
        <is>
          <t>200 G. GARCERAS</t>
        </is>
      </c>
      <c r="E108" s="187" t="n">
        <v>40534</v>
      </c>
      <c r="F108" s="187" t="inlineStr">
        <is>
          <t>JAIRO CUBILLOS</t>
        </is>
      </c>
      <c r="G108" s="188" t="n">
        <v>3500</v>
      </c>
      <c r="H108" s="188" t="n">
        <v>3500</v>
      </c>
      <c r="I108" s="188" t="n">
        <v>3481</v>
      </c>
      <c r="J108" s="188" t="n">
        <v>3</v>
      </c>
      <c r="K108" s="188" t="n">
        <v>8</v>
      </c>
      <c r="L108" s="189" t="n">
        <v>8</v>
      </c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  <c r="AA108" s="162" t="n"/>
      <c r="AB108" s="162" t="n"/>
      <c r="AC108" s="162" t="n"/>
      <c r="AD108" s="162" t="n"/>
      <c r="AE108" s="162" t="n"/>
      <c r="AF108" s="162" t="n"/>
      <c r="AG108" s="162" t="n"/>
      <c r="AH108" s="162" t="n"/>
      <c r="AI108" s="162" t="n"/>
      <c r="AJ108" s="162" t="n"/>
      <c r="AK108" s="162" t="n"/>
      <c r="AL108" s="162" t="n"/>
      <c r="AM108" s="162" t="n"/>
      <c r="AN108" s="162" t="n"/>
      <c r="AO108" s="162" t="n"/>
      <c r="AP108" s="162" t="n"/>
      <c r="AQ108" s="162" t="n"/>
      <c r="AR108" s="162" t="n"/>
      <c r="AS108" s="162" t="n"/>
      <c r="AT108" s="162" t="n"/>
      <c r="AU108" s="162" t="n"/>
      <c r="AV108" s="162" t="n"/>
      <c r="AW108" s="162" t="n"/>
      <c r="AX108" s="162" t="n"/>
      <c r="AY108" s="162" t="n"/>
      <c r="AZ108" s="162" t="n"/>
      <c r="BA108" s="162" t="n"/>
      <c r="BB108" s="162" t="n"/>
      <c r="BC108" s="162" t="n"/>
      <c r="BD108" s="162" t="n"/>
      <c r="BE108" s="162" t="n"/>
      <c r="BF108" s="162" t="n"/>
      <c r="BG108" s="162" t="n"/>
      <c r="BH108" s="162" t="n"/>
      <c r="BI108" s="162" t="n"/>
      <c r="BJ108" s="162" t="n"/>
      <c r="BK108" s="162" t="n"/>
      <c r="BL108" s="162" t="n"/>
      <c r="BM108" s="162" t="n"/>
      <c r="BN108" s="162" t="n"/>
      <c r="BO108" s="162" t="n"/>
      <c r="BP108" s="162" t="n"/>
      <c r="BQ108" s="162" t="n"/>
      <c r="BR108" s="162" t="n"/>
      <c r="BS108" s="162" t="n"/>
      <c r="BT108" s="162" t="n"/>
      <c r="BU108" s="162" t="n"/>
      <c r="BV108" s="162" t="n"/>
      <c r="BW108" s="162" t="n"/>
      <c r="BX108" s="162" t="n"/>
      <c r="BY108" s="162" t="n"/>
      <c r="BZ108" s="162" t="n"/>
      <c r="CA108" s="162" t="n"/>
      <c r="CB108" s="162" t="n"/>
      <c r="CC108" s="162" t="n"/>
      <c r="CD108" s="162" t="n"/>
      <c r="CE108" s="162" t="n"/>
      <c r="CF108" s="162" t="n"/>
      <c r="CG108" s="162" t="n"/>
      <c r="CH108" s="162" t="n"/>
      <c r="CI108" s="162" t="n"/>
      <c r="CJ108" s="162" t="n"/>
      <c r="CK108" s="162" t="n"/>
      <c r="CL108" s="162" t="n"/>
      <c r="CM108" s="162" t="n"/>
      <c r="CN108" s="162" t="n"/>
      <c r="CO108" s="162" t="n"/>
      <c r="CP108" s="162" t="n"/>
      <c r="CQ108" s="162" t="n"/>
      <c r="CR108" s="162" t="n"/>
      <c r="CS108" s="162" t="n"/>
      <c r="CT108" s="162" t="n"/>
    </row>
    <row r="109" ht="15" customHeight="1">
      <c r="A109" s="175" t="n">
        <v>108</v>
      </c>
      <c r="B109" s="210" t="n">
        <v>17</v>
      </c>
      <c r="C109" s="211" t="n">
        <v>45761</v>
      </c>
      <c r="D109" s="187" t="inlineStr">
        <is>
          <t>200 G. GARCERAS</t>
        </is>
      </c>
      <c r="E109" s="187" t="n">
        <v>40535</v>
      </c>
      <c r="F109" s="187" t="inlineStr">
        <is>
          <t>DUMAR ANGARITA</t>
        </is>
      </c>
      <c r="G109" s="188" t="n">
        <v>3500</v>
      </c>
      <c r="H109" s="188" t="n">
        <v>3500</v>
      </c>
      <c r="I109" s="188" t="n">
        <v>3473</v>
      </c>
      <c r="J109" s="188" t="n">
        <v>4</v>
      </c>
      <c r="K109" s="188" t="n">
        <v>16</v>
      </c>
      <c r="L109" s="189" t="n">
        <v>7</v>
      </c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  <c r="AA109" s="162" t="n"/>
      <c r="AB109" s="162" t="n"/>
      <c r="AC109" s="162" t="n"/>
      <c r="AD109" s="162" t="n"/>
      <c r="AE109" s="162" t="n"/>
      <c r="AF109" s="162" t="n"/>
      <c r="AG109" s="162" t="n"/>
      <c r="AH109" s="162" t="n"/>
      <c r="AI109" s="162" t="n"/>
      <c r="AJ109" s="162" t="n"/>
      <c r="AK109" s="162" t="n"/>
      <c r="AL109" s="162" t="n"/>
      <c r="AM109" s="162" t="n"/>
      <c r="AN109" s="162" t="n"/>
      <c r="AO109" s="162" t="n"/>
      <c r="AP109" s="162" t="n"/>
      <c r="AQ109" s="162" t="n"/>
      <c r="AR109" s="162" t="n"/>
      <c r="AS109" s="162" t="n"/>
      <c r="AT109" s="162" t="n"/>
      <c r="AU109" s="162" t="n"/>
      <c r="AV109" s="162" t="n"/>
      <c r="AW109" s="162" t="n"/>
      <c r="AX109" s="162" t="n"/>
      <c r="AY109" s="162" t="n"/>
      <c r="AZ109" s="162" t="n"/>
      <c r="BA109" s="162" t="n"/>
      <c r="BB109" s="162" t="n"/>
      <c r="BC109" s="162" t="n"/>
      <c r="BD109" s="162" t="n"/>
      <c r="BE109" s="162" t="n"/>
      <c r="BF109" s="162" t="n"/>
      <c r="BG109" s="162" t="n"/>
      <c r="BH109" s="162" t="n"/>
      <c r="BI109" s="162" t="n"/>
      <c r="BJ109" s="162" t="n"/>
      <c r="BK109" s="162" t="n"/>
      <c r="BL109" s="162" t="n"/>
      <c r="BM109" s="162" t="n"/>
      <c r="BN109" s="162" t="n"/>
      <c r="BO109" s="162" t="n"/>
      <c r="BP109" s="162" t="n"/>
      <c r="BQ109" s="162" t="n"/>
      <c r="BR109" s="162" t="n"/>
      <c r="BS109" s="162" t="n"/>
      <c r="BT109" s="162" t="n"/>
      <c r="BU109" s="162" t="n"/>
      <c r="BV109" s="162" t="n"/>
      <c r="BW109" s="162" t="n"/>
      <c r="BX109" s="162" t="n"/>
      <c r="BY109" s="162" t="n"/>
      <c r="BZ109" s="162" t="n"/>
      <c r="CA109" s="162" t="n"/>
      <c r="CB109" s="162" t="n"/>
      <c r="CC109" s="162" t="n"/>
      <c r="CD109" s="162" t="n"/>
      <c r="CE109" s="162" t="n"/>
      <c r="CF109" s="162" t="n"/>
      <c r="CG109" s="162" t="n"/>
      <c r="CH109" s="162" t="n"/>
      <c r="CI109" s="162" t="n"/>
      <c r="CJ109" s="162" t="n"/>
      <c r="CK109" s="162" t="n"/>
      <c r="CL109" s="162" t="n"/>
      <c r="CM109" s="162" t="n"/>
      <c r="CN109" s="162" t="n"/>
      <c r="CO109" s="162" t="n"/>
      <c r="CP109" s="162" t="n"/>
      <c r="CQ109" s="162" t="n"/>
      <c r="CR109" s="162" t="n"/>
      <c r="CS109" s="162" t="n"/>
      <c r="CT109" s="162" t="n"/>
    </row>
    <row r="110" ht="15" customHeight="1">
      <c r="A110" s="175" t="n">
        <v>109</v>
      </c>
      <c r="B110" s="210" t="n">
        <v>18</v>
      </c>
      <c r="C110" s="211" t="n">
        <v>45761</v>
      </c>
      <c r="D110" s="187" t="inlineStr">
        <is>
          <t>200 G. GARCERAS</t>
        </is>
      </c>
      <c r="E110" s="187" t="n">
        <v>40536</v>
      </c>
      <c r="F110" s="187" t="inlineStr">
        <is>
          <t>DIEGO NIÑO</t>
        </is>
      </c>
      <c r="G110" s="188" t="n">
        <v>3500</v>
      </c>
      <c r="H110" s="188" t="n">
        <v>3500</v>
      </c>
      <c r="I110" s="188" t="n">
        <v>3486</v>
      </c>
      <c r="J110" s="188" t="n">
        <v>3</v>
      </c>
      <c r="K110" s="188" t="n">
        <v>6</v>
      </c>
      <c r="L110" s="189" t="n">
        <v>5</v>
      </c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  <c r="AA110" s="162" t="n"/>
      <c r="AB110" s="162" t="n"/>
      <c r="AC110" s="162" t="n"/>
      <c r="AD110" s="162" t="n"/>
      <c r="AE110" s="162" t="n"/>
      <c r="AF110" s="162" t="n"/>
      <c r="AG110" s="162" t="n"/>
      <c r="AH110" s="162" t="n"/>
      <c r="AI110" s="162" t="n"/>
      <c r="AJ110" s="162" t="n"/>
      <c r="AK110" s="162" t="n"/>
      <c r="AL110" s="162" t="n"/>
      <c r="AM110" s="162" t="n"/>
      <c r="AN110" s="162" t="n"/>
      <c r="AO110" s="162" t="n"/>
      <c r="AP110" s="162" t="n"/>
      <c r="AQ110" s="162" t="n"/>
      <c r="AR110" s="162" t="n"/>
      <c r="AS110" s="162" t="n"/>
      <c r="AT110" s="162" t="n"/>
      <c r="AU110" s="162" t="n"/>
      <c r="AV110" s="162" t="n"/>
      <c r="AW110" s="162" t="n"/>
      <c r="AX110" s="162" t="n"/>
      <c r="AY110" s="162" t="n"/>
      <c r="AZ110" s="162" t="n"/>
      <c r="BA110" s="162" t="n"/>
      <c r="BB110" s="162" t="n"/>
      <c r="BC110" s="162" t="n"/>
      <c r="BD110" s="162" t="n"/>
      <c r="BE110" s="162" t="n"/>
      <c r="BF110" s="162" t="n"/>
      <c r="BG110" s="162" t="n"/>
      <c r="BH110" s="162" t="n"/>
      <c r="BI110" s="162" t="n"/>
      <c r="BJ110" s="162" t="n"/>
      <c r="BK110" s="162" t="n"/>
      <c r="BL110" s="162" t="n"/>
      <c r="BM110" s="162" t="n"/>
      <c r="BN110" s="162" t="n"/>
      <c r="BO110" s="162" t="n"/>
      <c r="BP110" s="162" t="n"/>
      <c r="BQ110" s="162" t="n"/>
      <c r="BR110" s="162" t="n"/>
      <c r="BS110" s="162" t="n"/>
      <c r="BT110" s="162" t="n"/>
      <c r="BU110" s="162" t="n"/>
      <c r="BV110" s="162" t="n"/>
      <c r="BW110" s="162" t="n"/>
      <c r="BX110" s="162" t="n"/>
      <c r="BY110" s="162" t="n"/>
      <c r="BZ110" s="162" t="n"/>
      <c r="CA110" s="162" t="n"/>
      <c r="CB110" s="162" t="n"/>
      <c r="CC110" s="162" t="n"/>
      <c r="CD110" s="162" t="n"/>
      <c r="CE110" s="162" t="n"/>
      <c r="CF110" s="162" t="n"/>
      <c r="CG110" s="162" t="n"/>
      <c r="CH110" s="162" t="n"/>
      <c r="CI110" s="162" t="n"/>
      <c r="CJ110" s="162" t="n"/>
      <c r="CK110" s="162" t="n"/>
      <c r="CL110" s="162" t="n"/>
      <c r="CM110" s="162" t="n"/>
      <c r="CN110" s="162" t="n"/>
      <c r="CO110" s="162" t="n"/>
      <c r="CP110" s="162" t="n"/>
      <c r="CQ110" s="162" t="n"/>
      <c r="CR110" s="162" t="n"/>
      <c r="CS110" s="162" t="n"/>
      <c r="CT110" s="162" t="n"/>
    </row>
    <row r="111" ht="15" customHeight="1">
      <c r="A111" s="175" t="n">
        <v>110</v>
      </c>
      <c r="B111" s="210" t="n">
        <v>19</v>
      </c>
      <c r="C111" s="211" t="n">
        <v>45761</v>
      </c>
      <c r="D111" s="187" t="inlineStr">
        <is>
          <t>200 G. GARCERAS</t>
        </is>
      </c>
      <c r="E111" s="187" t="n">
        <v>40537</v>
      </c>
      <c r="F111" s="187" t="inlineStr">
        <is>
          <t>ALBERTO LOPEZ</t>
        </is>
      </c>
      <c r="G111" s="188" t="n">
        <v>3710</v>
      </c>
      <c r="H111" s="188" t="n">
        <v>3710</v>
      </c>
      <c r="I111" s="188" t="n">
        <v>3695</v>
      </c>
      <c r="J111" s="188" t="n">
        <v>1</v>
      </c>
      <c r="K111" s="188" t="n">
        <v>8</v>
      </c>
      <c r="L111" s="189" t="n">
        <v>6</v>
      </c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  <c r="AA111" s="162" t="n"/>
      <c r="AB111" s="162" t="n"/>
      <c r="AC111" s="162" t="n"/>
      <c r="AD111" s="162" t="n"/>
      <c r="AE111" s="162" t="n"/>
      <c r="AF111" s="162" t="n"/>
      <c r="AG111" s="162" t="n"/>
      <c r="AH111" s="162" t="n"/>
      <c r="AI111" s="162" t="n"/>
      <c r="AJ111" s="162" t="n"/>
      <c r="AK111" s="162" t="n"/>
      <c r="AL111" s="162" t="n"/>
      <c r="AM111" s="162" t="n"/>
      <c r="AN111" s="162" t="n"/>
      <c r="AO111" s="162" t="n"/>
      <c r="AP111" s="162" t="n"/>
      <c r="AQ111" s="162" t="n"/>
      <c r="AR111" s="162" t="n"/>
      <c r="AS111" s="162" t="n"/>
      <c r="AT111" s="162" t="n"/>
      <c r="AU111" s="162" t="n"/>
      <c r="AV111" s="162" t="n"/>
      <c r="AW111" s="162" t="n"/>
      <c r="AX111" s="162" t="n"/>
      <c r="AY111" s="162" t="n"/>
      <c r="AZ111" s="162" t="n"/>
      <c r="BA111" s="162" t="n"/>
      <c r="BB111" s="162" t="n"/>
      <c r="BC111" s="162" t="n"/>
      <c r="BD111" s="162" t="n"/>
      <c r="BE111" s="162" t="n"/>
      <c r="BF111" s="162" t="n"/>
      <c r="BG111" s="162" t="n"/>
      <c r="BH111" s="162" t="n"/>
      <c r="BI111" s="162" t="n"/>
      <c r="BJ111" s="162" t="n"/>
      <c r="BK111" s="162" t="n"/>
      <c r="BL111" s="162" t="n"/>
      <c r="BM111" s="162" t="n"/>
      <c r="BN111" s="162" t="n"/>
      <c r="BO111" s="162" t="n"/>
      <c r="BP111" s="162" t="n"/>
      <c r="BQ111" s="162" t="n"/>
      <c r="BR111" s="162" t="n"/>
      <c r="BS111" s="162" t="n"/>
      <c r="BT111" s="162" t="n"/>
      <c r="BU111" s="162" t="n"/>
      <c r="BV111" s="162" t="n"/>
      <c r="BW111" s="162" t="n"/>
      <c r="BX111" s="162" t="n"/>
      <c r="BY111" s="162" t="n"/>
      <c r="BZ111" s="162" t="n"/>
      <c r="CA111" s="162" t="n"/>
      <c r="CB111" s="162" t="n"/>
      <c r="CC111" s="162" t="n"/>
      <c r="CD111" s="162" t="n"/>
      <c r="CE111" s="162" t="n"/>
      <c r="CF111" s="162" t="n"/>
      <c r="CG111" s="162" t="n"/>
      <c r="CH111" s="162" t="n"/>
      <c r="CI111" s="162" t="n"/>
      <c r="CJ111" s="162" t="n"/>
      <c r="CK111" s="162" t="n"/>
      <c r="CL111" s="162" t="n"/>
      <c r="CM111" s="162" t="n"/>
      <c r="CN111" s="162" t="n"/>
      <c r="CO111" s="162" t="n"/>
      <c r="CP111" s="162" t="n"/>
      <c r="CQ111" s="162" t="n"/>
      <c r="CR111" s="162" t="n"/>
      <c r="CS111" s="162" t="n"/>
      <c r="CT111" s="162" t="n"/>
    </row>
    <row r="112" ht="15" customHeight="1">
      <c r="A112" s="175" t="n">
        <v>111</v>
      </c>
      <c r="B112" s="210" t="n">
        <v>20</v>
      </c>
      <c r="C112" s="211" t="n">
        <v>45761</v>
      </c>
      <c r="D112" s="187" t="inlineStr">
        <is>
          <t>200 G. GARCERAS</t>
        </is>
      </c>
      <c r="E112" s="187" t="n">
        <v>40538</v>
      </c>
      <c r="F112" s="187" t="inlineStr">
        <is>
          <t>HENRY ROMERO</t>
        </is>
      </c>
      <c r="G112" s="188" t="n">
        <v>3400</v>
      </c>
      <c r="H112" s="188" t="n">
        <v>3400</v>
      </c>
      <c r="I112" s="188" t="n">
        <v>3385</v>
      </c>
      <c r="J112" s="188" t="n">
        <v>3</v>
      </c>
      <c r="K112" s="188" t="n">
        <v>8</v>
      </c>
      <c r="L112" s="189" t="n">
        <v>4</v>
      </c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  <c r="AA112" s="162" t="n"/>
      <c r="AB112" s="162" t="n"/>
      <c r="AC112" s="162" t="n"/>
      <c r="AD112" s="162" t="n"/>
      <c r="AE112" s="162" t="n"/>
      <c r="AF112" s="162" t="n"/>
      <c r="AG112" s="162" t="n"/>
      <c r="AH112" s="162" t="n"/>
      <c r="AI112" s="162" t="n"/>
      <c r="AJ112" s="162" t="n"/>
      <c r="AK112" s="162" t="n"/>
      <c r="AL112" s="162" t="n"/>
      <c r="AM112" s="162" t="n"/>
      <c r="AN112" s="162" t="n"/>
      <c r="AO112" s="162" t="n"/>
      <c r="AP112" s="162" t="n"/>
      <c r="AQ112" s="162" t="n"/>
      <c r="AR112" s="162" t="n"/>
      <c r="AS112" s="162" t="n"/>
      <c r="AT112" s="162" t="n"/>
      <c r="AU112" s="162" t="n"/>
      <c r="AV112" s="162" t="n"/>
      <c r="AW112" s="162" t="n"/>
      <c r="AX112" s="162" t="n"/>
      <c r="AY112" s="162" t="n"/>
      <c r="AZ112" s="162" t="n"/>
      <c r="BA112" s="162" t="n"/>
      <c r="BB112" s="162" t="n"/>
      <c r="BC112" s="162" t="n"/>
      <c r="BD112" s="162" t="n"/>
      <c r="BE112" s="162" t="n"/>
      <c r="BF112" s="162" t="n"/>
      <c r="BG112" s="162" t="n"/>
      <c r="BH112" s="162" t="n"/>
      <c r="BI112" s="162" t="n"/>
      <c r="BJ112" s="162" t="n"/>
      <c r="BK112" s="162" t="n"/>
      <c r="BL112" s="162" t="n"/>
      <c r="BM112" s="162" t="n"/>
      <c r="BN112" s="162" t="n"/>
      <c r="BO112" s="162" t="n"/>
      <c r="BP112" s="162" t="n"/>
      <c r="BQ112" s="162" t="n"/>
      <c r="BR112" s="162" t="n"/>
      <c r="BS112" s="162" t="n"/>
      <c r="BT112" s="162" t="n"/>
      <c r="BU112" s="162" t="n"/>
      <c r="BV112" s="162" t="n"/>
      <c r="BW112" s="162" t="n"/>
      <c r="BX112" s="162" t="n"/>
      <c r="BY112" s="162" t="n"/>
      <c r="BZ112" s="162" t="n"/>
      <c r="CA112" s="162" t="n"/>
      <c r="CB112" s="162" t="n"/>
      <c r="CC112" s="162" t="n"/>
      <c r="CD112" s="162" t="n"/>
      <c r="CE112" s="162" t="n"/>
      <c r="CF112" s="162" t="n"/>
      <c r="CG112" s="162" t="n"/>
      <c r="CH112" s="162" t="n"/>
      <c r="CI112" s="162" t="n"/>
      <c r="CJ112" s="162" t="n"/>
      <c r="CK112" s="162" t="n"/>
      <c r="CL112" s="162" t="n"/>
      <c r="CM112" s="162" t="n"/>
      <c r="CN112" s="162" t="n"/>
      <c r="CO112" s="162" t="n"/>
      <c r="CP112" s="162" t="n"/>
      <c r="CQ112" s="162" t="n"/>
      <c r="CR112" s="162" t="n"/>
      <c r="CS112" s="162" t="n"/>
      <c r="CT112" s="162" t="n"/>
    </row>
    <row r="113" ht="15" customHeight="1">
      <c r="A113" s="175" t="n">
        <v>112</v>
      </c>
      <c r="B113" s="210" t="n">
        <v>21</v>
      </c>
      <c r="C113" s="211" t="n">
        <v>45761</v>
      </c>
      <c r="D113" s="187" t="inlineStr">
        <is>
          <t>200 G. GARCERAS</t>
        </is>
      </c>
      <c r="E113" s="187" t="n">
        <v>40546</v>
      </c>
      <c r="F113" s="187" t="inlineStr">
        <is>
          <t>FABIO ALDANA</t>
        </is>
      </c>
      <c r="G113" s="188" t="n">
        <v>3400</v>
      </c>
      <c r="H113" s="188" t="n">
        <v>3400</v>
      </c>
      <c r="I113" s="188" t="n">
        <v>3351</v>
      </c>
      <c r="J113" s="188" t="n">
        <v>9</v>
      </c>
      <c r="K113" s="188" t="n">
        <v>21</v>
      </c>
      <c r="L113" s="189" t="n">
        <v>19</v>
      </c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  <c r="AA113" s="162" t="n"/>
      <c r="AB113" s="162" t="n"/>
      <c r="AC113" s="162" t="n"/>
      <c r="AD113" s="162" t="n"/>
      <c r="AE113" s="162" t="n"/>
      <c r="AF113" s="162" t="n"/>
      <c r="AG113" s="162" t="n"/>
      <c r="AH113" s="162" t="n"/>
      <c r="AI113" s="162" t="n"/>
      <c r="AJ113" s="162" t="n"/>
      <c r="AK113" s="162" t="n"/>
      <c r="AL113" s="162" t="n"/>
      <c r="AM113" s="162" t="n"/>
      <c r="AN113" s="162" t="n"/>
      <c r="AO113" s="162" t="n"/>
      <c r="AP113" s="162" t="n"/>
      <c r="AQ113" s="162" t="n"/>
      <c r="AR113" s="162" t="n"/>
      <c r="AS113" s="162" t="n"/>
      <c r="AT113" s="162" t="n"/>
      <c r="AU113" s="162" t="n"/>
      <c r="AV113" s="162" t="n"/>
      <c r="AW113" s="162" t="n"/>
      <c r="AX113" s="162" t="n"/>
      <c r="AY113" s="162" t="n"/>
      <c r="AZ113" s="162" t="n"/>
      <c r="BA113" s="162" t="n"/>
      <c r="BB113" s="162" t="n"/>
      <c r="BC113" s="162" t="n"/>
      <c r="BD113" s="162" t="n"/>
      <c r="BE113" s="162" t="n"/>
      <c r="BF113" s="162" t="n"/>
      <c r="BG113" s="162" t="n"/>
      <c r="BH113" s="162" t="n"/>
      <c r="BI113" s="162" t="n"/>
      <c r="BJ113" s="162" t="n"/>
      <c r="BK113" s="162" t="n"/>
      <c r="BL113" s="162" t="n"/>
      <c r="BM113" s="162" t="n"/>
      <c r="BN113" s="162" t="n"/>
      <c r="BO113" s="162" t="n"/>
      <c r="BP113" s="162" t="n"/>
      <c r="BQ113" s="162" t="n"/>
      <c r="BR113" s="162" t="n"/>
      <c r="BS113" s="162" t="n"/>
      <c r="BT113" s="162" t="n"/>
      <c r="BU113" s="162" t="n"/>
      <c r="BV113" s="162" t="n"/>
      <c r="BW113" s="162" t="n"/>
      <c r="BX113" s="162" t="n"/>
      <c r="BY113" s="162" t="n"/>
      <c r="BZ113" s="162" t="n"/>
      <c r="CA113" s="162" t="n"/>
      <c r="CB113" s="162" t="n"/>
      <c r="CC113" s="162" t="n"/>
      <c r="CD113" s="162" t="n"/>
      <c r="CE113" s="162" t="n"/>
      <c r="CF113" s="162" t="n"/>
      <c r="CG113" s="162" t="n"/>
      <c r="CH113" s="162" t="n"/>
      <c r="CI113" s="162" t="n"/>
      <c r="CJ113" s="162" t="n"/>
      <c r="CK113" s="162" t="n"/>
      <c r="CL113" s="162" t="n"/>
      <c r="CM113" s="162" t="n"/>
      <c r="CN113" s="162" t="n"/>
      <c r="CO113" s="162" t="n"/>
      <c r="CP113" s="162" t="n"/>
      <c r="CQ113" s="162" t="n"/>
      <c r="CR113" s="162" t="n"/>
      <c r="CS113" s="162" t="n"/>
      <c r="CT113" s="162" t="n"/>
    </row>
    <row r="114" ht="15" customHeight="1">
      <c r="A114" s="175" t="n">
        <v>113</v>
      </c>
      <c r="B114" s="210" t="n">
        <v>22</v>
      </c>
      <c r="C114" s="211" t="n">
        <v>45761</v>
      </c>
      <c r="D114" s="187" t="inlineStr">
        <is>
          <t>200 G. GARCERAS</t>
        </is>
      </c>
      <c r="E114" s="187" t="n">
        <v>40547</v>
      </c>
      <c r="F114" s="187" t="inlineStr">
        <is>
          <t>JHON ARIAS</t>
        </is>
      </c>
      <c r="G114" s="188" t="n">
        <v>3400</v>
      </c>
      <c r="H114" s="188" t="n">
        <v>3400</v>
      </c>
      <c r="I114" s="188" t="n">
        <v>3350</v>
      </c>
      <c r="J114" s="188" t="n">
        <v>9</v>
      </c>
      <c r="K114" s="188" t="n">
        <v>22</v>
      </c>
      <c r="L114" s="189" t="n">
        <v>19</v>
      </c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  <c r="AA114" s="162" t="n"/>
      <c r="AB114" s="162" t="n"/>
      <c r="AC114" s="162" t="n"/>
      <c r="AD114" s="162" t="n"/>
      <c r="AE114" s="162" t="n"/>
      <c r="AF114" s="162" t="n"/>
      <c r="AG114" s="162" t="n"/>
      <c r="AH114" s="162" t="n"/>
      <c r="AI114" s="162" t="n"/>
      <c r="AJ114" s="162" t="n"/>
      <c r="AK114" s="162" t="n"/>
      <c r="AL114" s="162" t="n"/>
      <c r="AM114" s="162" t="n"/>
      <c r="AN114" s="162" t="n"/>
      <c r="AO114" s="162" t="n"/>
      <c r="AP114" s="162" t="n"/>
      <c r="AQ114" s="162" t="n"/>
      <c r="AR114" s="162" t="n"/>
      <c r="AS114" s="162" t="n"/>
      <c r="AT114" s="162" t="n"/>
      <c r="AU114" s="162" t="n"/>
      <c r="AV114" s="162" t="n"/>
      <c r="AW114" s="162" t="n"/>
      <c r="AX114" s="162" t="n"/>
      <c r="AY114" s="162" t="n"/>
      <c r="AZ114" s="162" t="n"/>
      <c r="BA114" s="162" t="n"/>
      <c r="BB114" s="162" t="n"/>
      <c r="BC114" s="162" t="n"/>
      <c r="BD114" s="162" t="n"/>
      <c r="BE114" s="162" t="n"/>
      <c r="BF114" s="162" t="n"/>
      <c r="BG114" s="162" t="n"/>
      <c r="BH114" s="162" t="n"/>
      <c r="BI114" s="162" t="n"/>
      <c r="BJ114" s="162" t="n"/>
      <c r="BK114" s="162" t="n"/>
      <c r="BL114" s="162" t="n"/>
      <c r="BM114" s="162" t="n"/>
      <c r="BN114" s="162" t="n"/>
      <c r="BO114" s="162" t="n"/>
      <c r="BP114" s="162" t="n"/>
      <c r="BQ114" s="162" t="n"/>
      <c r="BR114" s="162" t="n"/>
      <c r="BS114" s="162" t="n"/>
      <c r="BT114" s="162" t="n"/>
      <c r="BU114" s="162" t="n"/>
      <c r="BV114" s="162" t="n"/>
      <c r="BW114" s="162" t="n"/>
      <c r="BX114" s="162" t="n"/>
      <c r="BY114" s="162" t="n"/>
      <c r="BZ114" s="162" t="n"/>
      <c r="CA114" s="162" t="n"/>
      <c r="CB114" s="162" t="n"/>
      <c r="CC114" s="162" t="n"/>
      <c r="CD114" s="162" t="n"/>
      <c r="CE114" s="162" t="n"/>
      <c r="CF114" s="162" t="n"/>
      <c r="CG114" s="162" t="n"/>
      <c r="CH114" s="162" t="n"/>
      <c r="CI114" s="162" t="n"/>
      <c r="CJ114" s="162" t="n"/>
      <c r="CK114" s="162" t="n"/>
      <c r="CL114" s="162" t="n"/>
      <c r="CM114" s="162" t="n"/>
      <c r="CN114" s="162" t="n"/>
      <c r="CO114" s="162" t="n"/>
      <c r="CP114" s="162" t="n"/>
      <c r="CQ114" s="162" t="n"/>
      <c r="CR114" s="162" t="n"/>
      <c r="CS114" s="162" t="n"/>
      <c r="CT114" s="162" t="n"/>
    </row>
    <row r="115" ht="15" customHeight="1">
      <c r="A115" s="175" t="n">
        <v>114</v>
      </c>
      <c r="B115" s="210" t="n">
        <v>23</v>
      </c>
      <c r="C115" s="211" t="n">
        <v>45761</v>
      </c>
      <c r="D115" s="187" t="inlineStr">
        <is>
          <t>221 G. MALAGUEÑA</t>
        </is>
      </c>
      <c r="E115" s="187" t="n">
        <v>40548</v>
      </c>
      <c r="F115" s="187" t="inlineStr">
        <is>
          <t>ALBERTO LOPEZ</t>
        </is>
      </c>
      <c r="G115" s="188" t="n">
        <v>3467</v>
      </c>
      <c r="H115" s="188" t="n">
        <v>3467</v>
      </c>
      <c r="I115" s="188" t="n">
        <v>3451</v>
      </c>
      <c r="J115" s="188" t="n">
        <v>9</v>
      </c>
      <c r="K115" s="188" t="n">
        <v>11</v>
      </c>
      <c r="L115" s="189" t="n">
        <v>-4</v>
      </c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  <c r="AA115" s="162" t="n"/>
      <c r="AB115" s="162" t="n"/>
      <c r="AC115" s="162" t="n"/>
      <c r="AD115" s="162" t="n"/>
      <c r="AE115" s="162" t="n"/>
      <c r="AF115" s="162" t="n"/>
      <c r="AG115" s="162" t="n"/>
      <c r="AH115" s="162" t="n"/>
      <c r="AI115" s="162" t="n"/>
      <c r="AJ115" s="162" t="n"/>
      <c r="AK115" s="162" t="n"/>
      <c r="AL115" s="162" t="n"/>
      <c r="AM115" s="162" t="n"/>
      <c r="AN115" s="162" t="n"/>
      <c r="AO115" s="162" t="n"/>
      <c r="AP115" s="162" t="n"/>
      <c r="AQ115" s="162" t="n"/>
      <c r="AR115" s="162" t="n"/>
      <c r="AS115" s="162" t="n"/>
      <c r="AT115" s="162" t="n"/>
      <c r="AU115" s="162" t="n"/>
      <c r="AV115" s="162" t="n"/>
      <c r="AW115" s="162" t="n"/>
      <c r="AX115" s="162" t="n"/>
      <c r="AY115" s="162" t="n"/>
      <c r="AZ115" s="162" t="n"/>
      <c r="BA115" s="162" t="n"/>
      <c r="BB115" s="162" t="n"/>
      <c r="BC115" s="162" t="n"/>
      <c r="BD115" s="162" t="n"/>
      <c r="BE115" s="162" t="n"/>
      <c r="BF115" s="162" t="n"/>
      <c r="BG115" s="162" t="n"/>
      <c r="BH115" s="162" t="n"/>
      <c r="BI115" s="162" t="n"/>
      <c r="BJ115" s="162" t="n"/>
      <c r="BK115" s="162" t="n"/>
      <c r="BL115" s="162" t="n"/>
      <c r="BM115" s="162" t="n"/>
      <c r="BN115" s="162" t="n"/>
      <c r="BO115" s="162" t="n"/>
      <c r="BP115" s="162" t="n"/>
      <c r="BQ115" s="162" t="n"/>
      <c r="BR115" s="162" t="n"/>
      <c r="BS115" s="162" t="n"/>
      <c r="BT115" s="162" t="n"/>
      <c r="BU115" s="162" t="n"/>
      <c r="BV115" s="162" t="n"/>
      <c r="BW115" s="162" t="n"/>
      <c r="BX115" s="162" t="n"/>
      <c r="BY115" s="162" t="n"/>
      <c r="BZ115" s="162" t="n"/>
      <c r="CA115" s="162" t="n"/>
      <c r="CB115" s="162" t="n"/>
      <c r="CC115" s="162" t="n"/>
      <c r="CD115" s="162" t="n"/>
      <c r="CE115" s="162" t="n"/>
      <c r="CF115" s="162" t="n"/>
      <c r="CG115" s="162" t="n"/>
      <c r="CH115" s="162" t="n"/>
      <c r="CI115" s="162" t="n"/>
      <c r="CJ115" s="162" t="n"/>
      <c r="CK115" s="162" t="n"/>
      <c r="CL115" s="162" t="n"/>
      <c r="CM115" s="162" t="n"/>
      <c r="CN115" s="162" t="n"/>
      <c r="CO115" s="162" t="n"/>
      <c r="CP115" s="162" t="n"/>
      <c r="CQ115" s="162" t="n"/>
      <c r="CR115" s="162" t="n"/>
      <c r="CS115" s="162" t="n"/>
      <c r="CT115" s="162" t="n"/>
    </row>
    <row r="116" ht="15" customHeight="1">
      <c r="A116" s="175" t="n">
        <v>115</v>
      </c>
      <c r="B116" s="210" t="n">
        <v>24</v>
      </c>
      <c r="C116" s="211" t="n">
        <v>45761</v>
      </c>
      <c r="D116" s="187" t="inlineStr">
        <is>
          <t>221 G. MALAGUEÑA</t>
        </is>
      </c>
      <c r="E116" s="187" t="n">
        <v>40459</v>
      </c>
      <c r="F116" s="187" t="inlineStr">
        <is>
          <t>HENRY ROMERO</t>
        </is>
      </c>
      <c r="G116" s="188" t="n">
        <v>3467</v>
      </c>
      <c r="H116" s="188" t="n">
        <v>3467</v>
      </c>
      <c r="I116" s="188" t="n">
        <v>3452</v>
      </c>
      <c r="J116" s="188" t="n">
        <v>8</v>
      </c>
      <c r="K116" s="188" t="n">
        <v>10</v>
      </c>
      <c r="L116" s="189" t="n">
        <v>-3</v>
      </c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  <c r="AA116" s="162" t="n"/>
      <c r="AB116" s="162" t="n"/>
      <c r="AC116" s="162" t="n"/>
      <c r="AD116" s="162" t="n"/>
      <c r="AE116" s="162" t="n"/>
      <c r="AF116" s="162" t="n"/>
      <c r="AG116" s="162" t="n"/>
      <c r="AH116" s="162" t="n"/>
      <c r="AI116" s="162" t="n"/>
      <c r="AJ116" s="162" t="n"/>
      <c r="AK116" s="162" t="n"/>
      <c r="AL116" s="162" t="n"/>
      <c r="AM116" s="162" t="n"/>
      <c r="AN116" s="162" t="n"/>
      <c r="AO116" s="162" t="n"/>
      <c r="AP116" s="162" t="n"/>
      <c r="AQ116" s="162" t="n"/>
      <c r="AR116" s="162" t="n"/>
      <c r="AS116" s="162" t="n"/>
      <c r="AT116" s="162" t="n"/>
      <c r="AU116" s="162" t="n"/>
      <c r="AV116" s="162" t="n"/>
      <c r="AW116" s="162" t="n"/>
      <c r="AX116" s="162" t="n"/>
      <c r="AY116" s="162" t="n"/>
      <c r="AZ116" s="162" t="n"/>
      <c r="BA116" s="162" t="n"/>
      <c r="BB116" s="162" t="n"/>
      <c r="BC116" s="162" t="n"/>
      <c r="BD116" s="162" t="n"/>
      <c r="BE116" s="162" t="n"/>
      <c r="BF116" s="162" t="n"/>
      <c r="BG116" s="162" t="n"/>
      <c r="BH116" s="162" t="n"/>
      <c r="BI116" s="162" t="n"/>
      <c r="BJ116" s="162" t="n"/>
      <c r="BK116" s="162" t="n"/>
      <c r="BL116" s="162" t="n"/>
      <c r="BM116" s="162" t="n"/>
      <c r="BN116" s="162" t="n"/>
      <c r="BO116" s="162" t="n"/>
      <c r="BP116" s="162" t="n"/>
      <c r="BQ116" s="162" t="n"/>
      <c r="BR116" s="162" t="n"/>
      <c r="BS116" s="162" t="n"/>
      <c r="BT116" s="162" t="n"/>
      <c r="BU116" s="162" t="n"/>
      <c r="BV116" s="162" t="n"/>
      <c r="BW116" s="162" t="n"/>
      <c r="BX116" s="162" t="n"/>
      <c r="BY116" s="162" t="n"/>
      <c r="BZ116" s="162" t="n"/>
      <c r="CA116" s="162" t="n"/>
      <c r="CB116" s="162" t="n"/>
      <c r="CC116" s="162" t="n"/>
      <c r="CD116" s="162" t="n"/>
      <c r="CE116" s="162" t="n"/>
      <c r="CF116" s="162" t="n"/>
      <c r="CG116" s="162" t="n"/>
      <c r="CH116" s="162" t="n"/>
      <c r="CI116" s="162" t="n"/>
      <c r="CJ116" s="162" t="n"/>
      <c r="CK116" s="162" t="n"/>
      <c r="CL116" s="162" t="n"/>
      <c r="CM116" s="162" t="n"/>
      <c r="CN116" s="162" t="n"/>
      <c r="CO116" s="162" t="n"/>
      <c r="CP116" s="162" t="n"/>
      <c r="CQ116" s="162" t="n"/>
      <c r="CR116" s="162" t="n"/>
      <c r="CS116" s="162" t="n"/>
      <c r="CT116" s="162" t="n"/>
    </row>
    <row r="117" ht="15" customHeight="1">
      <c r="A117" s="175" t="n">
        <v>116</v>
      </c>
      <c r="B117" s="210" t="n">
        <v>25</v>
      </c>
      <c r="C117" s="211" t="n">
        <v>45761</v>
      </c>
      <c r="D117" s="187" t="inlineStr">
        <is>
          <t>221 G. MALAGUEÑA</t>
        </is>
      </c>
      <c r="E117" s="187" t="n">
        <v>40550</v>
      </c>
      <c r="F117" s="187" t="inlineStr">
        <is>
          <t>EDUAN CAVIEDES</t>
        </is>
      </c>
      <c r="G117" s="188" t="n">
        <v>3428</v>
      </c>
      <c r="H117" s="188" t="n">
        <v>3428</v>
      </c>
      <c r="I117" s="188" t="n">
        <v>3419</v>
      </c>
      <c r="J117" s="188" t="n">
        <v>4</v>
      </c>
      <c r="K117" s="188" t="n">
        <v>13</v>
      </c>
      <c r="L117" s="189" t="n">
        <v>-8</v>
      </c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  <c r="AA117" s="162" t="n"/>
      <c r="AB117" s="162" t="n"/>
      <c r="AC117" s="162" t="n"/>
      <c r="AD117" s="162" t="n"/>
      <c r="AE117" s="162" t="n"/>
      <c r="AF117" s="162" t="n"/>
      <c r="AG117" s="162" t="n"/>
      <c r="AH117" s="162" t="n"/>
      <c r="AI117" s="162" t="n"/>
      <c r="AJ117" s="162" t="n"/>
      <c r="AK117" s="162" t="n"/>
      <c r="AL117" s="162" t="n"/>
      <c r="AM117" s="162" t="n"/>
      <c r="AN117" s="162" t="n"/>
      <c r="AO117" s="162" t="n"/>
      <c r="AP117" s="162" t="n"/>
      <c r="AQ117" s="162" t="n"/>
      <c r="AR117" s="162" t="n"/>
      <c r="AS117" s="162" t="n"/>
      <c r="AT117" s="162" t="n"/>
      <c r="AU117" s="162" t="n"/>
      <c r="AV117" s="162" t="n"/>
      <c r="AW117" s="162" t="n"/>
      <c r="AX117" s="162" t="n"/>
      <c r="AY117" s="162" t="n"/>
      <c r="AZ117" s="162" t="n"/>
      <c r="BA117" s="162" t="n"/>
      <c r="BB117" s="162" t="n"/>
      <c r="BC117" s="162" t="n"/>
      <c r="BD117" s="162" t="n"/>
      <c r="BE117" s="162" t="n"/>
      <c r="BF117" s="162" t="n"/>
      <c r="BG117" s="162" t="n"/>
      <c r="BH117" s="162" t="n"/>
      <c r="BI117" s="162" t="n"/>
      <c r="BJ117" s="162" t="n"/>
      <c r="BK117" s="162" t="n"/>
      <c r="BL117" s="162" t="n"/>
      <c r="BM117" s="162" t="n"/>
      <c r="BN117" s="162" t="n"/>
      <c r="BO117" s="162" t="n"/>
      <c r="BP117" s="162" t="n"/>
      <c r="BQ117" s="162" t="n"/>
      <c r="BR117" s="162" t="n"/>
      <c r="BS117" s="162" t="n"/>
      <c r="BT117" s="162" t="n"/>
      <c r="BU117" s="162" t="n"/>
      <c r="BV117" s="162" t="n"/>
      <c r="BW117" s="162" t="n"/>
      <c r="BX117" s="162" t="n"/>
      <c r="BY117" s="162" t="n"/>
      <c r="BZ117" s="162" t="n"/>
      <c r="CA117" s="162" t="n"/>
      <c r="CB117" s="162" t="n"/>
      <c r="CC117" s="162" t="n"/>
      <c r="CD117" s="162" t="n"/>
      <c r="CE117" s="162" t="n"/>
      <c r="CF117" s="162" t="n"/>
      <c r="CG117" s="162" t="n"/>
      <c r="CH117" s="162" t="n"/>
      <c r="CI117" s="162" t="n"/>
      <c r="CJ117" s="162" t="n"/>
      <c r="CK117" s="162" t="n"/>
      <c r="CL117" s="162" t="n"/>
      <c r="CM117" s="162" t="n"/>
      <c r="CN117" s="162" t="n"/>
      <c r="CO117" s="162" t="n"/>
      <c r="CP117" s="162" t="n"/>
      <c r="CQ117" s="162" t="n"/>
      <c r="CR117" s="162" t="n"/>
      <c r="CS117" s="162" t="n"/>
      <c r="CT117" s="162" t="n"/>
    </row>
    <row r="118" ht="15" customHeight="1">
      <c r="A118" s="175" t="n">
        <v>117</v>
      </c>
      <c r="B118" s="212" t="n">
        <v>26</v>
      </c>
      <c r="C118" s="213" t="n">
        <v>45761</v>
      </c>
      <c r="D118" s="194" t="inlineStr">
        <is>
          <t>221 G. MALAGUEÑA</t>
        </is>
      </c>
      <c r="E118" s="194" t="n">
        <v>40551</v>
      </c>
      <c r="F118" s="194" t="inlineStr">
        <is>
          <t>MANUEL QUITIAN</t>
        </is>
      </c>
      <c r="G118" s="195" t="n">
        <v>3120</v>
      </c>
      <c r="H118" s="195" t="n">
        <v>3120</v>
      </c>
      <c r="I118" s="195" t="n">
        <v>3107</v>
      </c>
      <c r="J118" s="195" t="n">
        <v>2</v>
      </c>
      <c r="K118" s="195" t="n">
        <v>12</v>
      </c>
      <c r="L118" s="196" t="n">
        <v>-1</v>
      </c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  <c r="AA118" s="162" t="n"/>
      <c r="AB118" s="162" t="n"/>
      <c r="AC118" s="162" t="n"/>
      <c r="AD118" s="162" t="n"/>
      <c r="AE118" s="162" t="n"/>
      <c r="AF118" s="162" t="n"/>
      <c r="AG118" s="162" t="n"/>
      <c r="AH118" s="162" t="n"/>
      <c r="AI118" s="162" t="n"/>
      <c r="AJ118" s="162" t="n"/>
      <c r="AK118" s="162" t="n"/>
      <c r="AL118" s="162" t="n"/>
      <c r="AM118" s="162" t="n"/>
      <c r="AN118" s="162" t="n"/>
      <c r="AO118" s="162" t="n"/>
      <c r="AP118" s="162" t="n"/>
      <c r="AQ118" s="162" t="n"/>
      <c r="AR118" s="162" t="n"/>
      <c r="AS118" s="162" t="n"/>
      <c r="AT118" s="162" t="n"/>
      <c r="AU118" s="162" t="n"/>
      <c r="AV118" s="162" t="n"/>
      <c r="AW118" s="162" t="n"/>
      <c r="AX118" s="162" t="n"/>
      <c r="AY118" s="162" t="n"/>
      <c r="AZ118" s="162" t="n"/>
      <c r="BA118" s="162" t="n"/>
      <c r="BB118" s="162" t="n"/>
      <c r="BC118" s="162" t="n"/>
      <c r="BD118" s="162" t="n"/>
      <c r="BE118" s="162" t="n"/>
      <c r="BF118" s="162" t="n"/>
      <c r="BG118" s="162" t="n"/>
      <c r="BH118" s="162" t="n"/>
      <c r="BI118" s="162" t="n"/>
      <c r="BJ118" s="162" t="n"/>
      <c r="BK118" s="162" t="n"/>
      <c r="BL118" s="162" t="n"/>
      <c r="BM118" s="162" t="n"/>
      <c r="BN118" s="162" t="n"/>
      <c r="BO118" s="162" t="n"/>
      <c r="BP118" s="162" t="n"/>
      <c r="BQ118" s="162" t="n"/>
      <c r="BR118" s="162" t="n"/>
      <c r="BS118" s="162" t="n"/>
      <c r="BT118" s="162" t="n"/>
      <c r="BU118" s="162" t="n"/>
      <c r="BV118" s="162" t="n"/>
      <c r="BW118" s="162" t="n"/>
      <c r="BX118" s="162" t="n"/>
      <c r="BY118" s="162" t="n"/>
      <c r="BZ118" s="162" t="n"/>
      <c r="CA118" s="162" t="n"/>
      <c r="CB118" s="162" t="n"/>
      <c r="CC118" s="162" t="n"/>
      <c r="CD118" s="162" t="n"/>
      <c r="CE118" s="162" t="n"/>
      <c r="CF118" s="162" t="n"/>
      <c r="CG118" s="162" t="n"/>
      <c r="CH118" s="162" t="n"/>
      <c r="CI118" s="162" t="n"/>
      <c r="CJ118" s="162" t="n"/>
      <c r="CK118" s="162" t="n"/>
      <c r="CL118" s="162" t="n"/>
      <c r="CM118" s="162" t="n"/>
      <c r="CN118" s="162" t="n"/>
      <c r="CO118" s="162" t="n"/>
      <c r="CP118" s="162" t="n"/>
      <c r="CQ118" s="162" t="n"/>
      <c r="CR118" s="162" t="n"/>
      <c r="CS118" s="162" t="n"/>
      <c r="CT118" s="162" t="n"/>
    </row>
    <row r="119" ht="15" customHeight="1">
      <c r="A119" s="175" t="n">
        <v>118</v>
      </c>
      <c r="B119" s="208" t="n">
        <v>27</v>
      </c>
      <c r="C119" s="219" t="n">
        <v>45762</v>
      </c>
      <c r="D119" s="205" t="inlineStr">
        <is>
          <t>221 G. MALAGUEÑA</t>
        </is>
      </c>
      <c r="E119" s="205" t="n">
        <v>40559</v>
      </c>
      <c r="F119" s="205" t="inlineStr">
        <is>
          <t>WILMER PIÑEROS</t>
        </is>
      </c>
      <c r="G119" s="206" t="n">
        <v>2889</v>
      </c>
      <c r="H119" s="206" t="n">
        <v>2888</v>
      </c>
      <c r="I119" s="206" t="n">
        <v>2873</v>
      </c>
      <c r="J119" s="206" t="n">
        <v>2</v>
      </c>
      <c r="K119" s="206" t="n">
        <v>9</v>
      </c>
      <c r="L119" s="207" t="n">
        <v>5</v>
      </c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  <c r="AA119" s="162" t="n"/>
      <c r="AB119" s="162" t="n"/>
      <c r="AC119" s="162" t="n"/>
      <c r="AD119" s="162" t="n"/>
      <c r="AE119" s="162" t="n"/>
      <c r="AF119" s="162" t="n"/>
      <c r="AG119" s="162" t="n"/>
      <c r="AH119" s="162" t="n"/>
      <c r="AI119" s="162" t="n"/>
      <c r="AJ119" s="162" t="n"/>
      <c r="AK119" s="162" t="n"/>
      <c r="AL119" s="162" t="n"/>
      <c r="AM119" s="162" t="n"/>
      <c r="AN119" s="162" t="n"/>
      <c r="AO119" s="162" t="n"/>
      <c r="AP119" s="162" t="n"/>
      <c r="AQ119" s="162" t="n"/>
      <c r="AR119" s="162" t="n"/>
      <c r="AS119" s="162" t="n"/>
      <c r="AT119" s="162" t="n"/>
      <c r="AU119" s="162" t="n"/>
      <c r="AV119" s="162" t="n"/>
      <c r="AW119" s="162" t="n"/>
      <c r="AX119" s="162" t="n"/>
      <c r="AY119" s="162" t="n"/>
      <c r="AZ119" s="162" t="n"/>
      <c r="BA119" s="162" t="n"/>
      <c r="BB119" s="162" t="n"/>
      <c r="BC119" s="162" t="n"/>
      <c r="BD119" s="162" t="n"/>
      <c r="BE119" s="162" t="n"/>
      <c r="BF119" s="162" t="n"/>
      <c r="BG119" s="162" t="n"/>
      <c r="BH119" s="162" t="n"/>
      <c r="BI119" s="162" t="n"/>
      <c r="BJ119" s="162" t="n"/>
      <c r="BK119" s="162" t="n"/>
      <c r="BL119" s="162" t="n"/>
      <c r="BM119" s="162" t="n"/>
      <c r="BN119" s="162" t="n"/>
      <c r="BO119" s="162" t="n"/>
      <c r="BP119" s="162" t="n"/>
      <c r="BQ119" s="162" t="n"/>
      <c r="BR119" s="162" t="n"/>
      <c r="BS119" s="162" t="n"/>
      <c r="BT119" s="162" t="n"/>
      <c r="BU119" s="162" t="n"/>
      <c r="BV119" s="162" t="n"/>
      <c r="BW119" s="162" t="n"/>
      <c r="BX119" s="162" t="n"/>
      <c r="BY119" s="162" t="n"/>
      <c r="BZ119" s="162" t="n"/>
      <c r="CA119" s="162" t="n"/>
      <c r="CB119" s="162" t="n"/>
      <c r="CC119" s="162" t="n"/>
      <c r="CD119" s="162" t="n"/>
      <c r="CE119" s="162" t="n"/>
      <c r="CF119" s="162" t="n"/>
      <c r="CG119" s="162" t="n"/>
      <c r="CH119" s="162" t="n"/>
      <c r="CI119" s="162" t="n"/>
      <c r="CJ119" s="162" t="n"/>
      <c r="CK119" s="162" t="n"/>
      <c r="CL119" s="162" t="n"/>
      <c r="CM119" s="162" t="n"/>
      <c r="CN119" s="162" t="n"/>
      <c r="CO119" s="162" t="n"/>
      <c r="CP119" s="162" t="n"/>
      <c r="CQ119" s="162" t="n"/>
      <c r="CR119" s="162" t="n"/>
      <c r="CS119" s="162" t="n"/>
      <c r="CT119" s="162" t="n"/>
    </row>
    <row r="120" ht="15" customHeight="1">
      <c r="A120" s="175" t="n">
        <v>119</v>
      </c>
      <c r="B120" s="210" t="n">
        <v>28</v>
      </c>
      <c r="C120" s="211" t="n">
        <v>45762</v>
      </c>
      <c r="D120" s="187" t="inlineStr">
        <is>
          <t>221 G. MALAGUEÑA</t>
        </is>
      </c>
      <c r="E120" s="187" t="n">
        <v>40560</v>
      </c>
      <c r="F120" s="187" t="inlineStr">
        <is>
          <t>MANUEL QUITIAN</t>
        </is>
      </c>
      <c r="G120" s="188" t="n">
        <v>3449</v>
      </c>
      <c r="H120" s="188" t="n">
        <v>3449</v>
      </c>
      <c r="I120" s="188" t="n">
        <v>3429</v>
      </c>
      <c r="J120" s="188" t="n">
        <v>2</v>
      </c>
      <c r="K120" s="188" t="n">
        <v>10</v>
      </c>
      <c r="L120" s="189" t="n">
        <v>8</v>
      </c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  <c r="AA120" s="162" t="n"/>
      <c r="AB120" s="162" t="n"/>
      <c r="AC120" s="162" t="n"/>
      <c r="AD120" s="162" t="n"/>
      <c r="AE120" s="162" t="n"/>
      <c r="AF120" s="162" t="n"/>
      <c r="AG120" s="162" t="n"/>
      <c r="AH120" s="162" t="n"/>
      <c r="AI120" s="162" t="n"/>
      <c r="AJ120" s="162" t="n"/>
      <c r="AK120" s="162" t="n"/>
      <c r="AL120" s="162" t="n"/>
      <c r="AM120" s="162" t="n"/>
      <c r="AN120" s="162" t="n"/>
      <c r="AO120" s="162" t="n"/>
      <c r="AP120" s="162" t="n"/>
      <c r="AQ120" s="162" t="n"/>
      <c r="AR120" s="162" t="n"/>
      <c r="AS120" s="162" t="n"/>
      <c r="AT120" s="162" t="n"/>
      <c r="AU120" s="162" t="n"/>
      <c r="AV120" s="162" t="n"/>
      <c r="AW120" s="162" t="n"/>
      <c r="AX120" s="162" t="n"/>
      <c r="AY120" s="162" t="n"/>
      <c r="AZ120" s="162" t="n"/>
      <c r="BA120" s="162" t="n"/>
      <c r="BB120" s="162" t="n"/>
      <c r="BC120" s="162" t="n"/>
      <c r="BD120" s="162" t="n"/>
      <c r="BE120" s="162" t="n"/>
      <c r="BF120" s="162" t="n"/>
      <c r="BG120" s="162" t="n"/>
      <c r="BH120" s="162" t="n"/>
      <c r="BI120" s="162" t="n"/>
      <c r="BJ120" s="162" t="n"/>
      <c r="BK120" s="162" t="n"/>
      <c r="BL120" s="162" t="n"/>
      <c r="BM120" s="162" t="n"/>
      <c r="BN120" s="162" t="n"/>
      <c r="BO120" s="162" t="n"/>
      <c r="BP120" s="162" t="n"/>
      <c r="BQ120" s="162" t="n"/>
      <c r="BR120" s="162" t="n"/>
      <c r="BS120" s="162" t="n"/>
      <c r="BT120" s="162" t="n"/>
      <c r="BU120" s="162" t="n"/>
      <c r="BV120" s="162" t="n"/>
      <c r="BW120" s="162" t="n"/>
      <c r="BX120" s="162" t="n"/>
      <c r="BY120" s="162" t="n"/>
      <c r="BZ120" s="162" t="n"/>
      <c r="CA120" s="162" t="n"/>
      <c r="CB120" s="162" t="n"/>
      <c r="CC120" s="162" t="n"/>
      <c r="CD120" s="162" t="n"/>
      <c r="CE120" s="162" t="n"/>
      <c r="CF120" s="162" t="n"/>
      <c r="CG120" s="162" t="n"/>
      <c r="CH120" s="162" t="n"/>
      <c r="CI120" s="162" t="n"/>
      <c r="CJ120" s="162" t="n"/>
      <c r="CK120" s="162" t="n"/>
      <c r="CL120" s="162" t="n"/>
      <c r="CM120" s="162" t="n"/>
      <c r="CN120" s="162" t="n"/>
      <c r="CO120" s="162" t="n"/>
      <c r="CP120" s="162" t="n"/>
      <c r="CQ120" s="162" t="n"/>
      <c r="CR120" s="162" t="n"/>
      <c r="CS120" s="162" t="n"/>
      <c r="CT120" s="162" t="n"/>
    </row>
    <row r="121" ht="15" customHeight="1">
      <c r="A121" s="175" t="n">
        <v>120</v>
      </c>
      <c r="B121" s="210" t="n">
        <v>29</v>
      </c>
      <c r="C121" s="211" t="n">
        <v>45762</v>
      </c>
      <c r="D121" s="187" t="inlineStr">
        <is>
          <t>221 G. MALAGUEÑA</t>
        </is>
      </c>
      <c r="E121" s="187" t="n">
        <v>40561</v>
      </c>
      <c r="F121" s="187" t="inlineStr">
        <is>
          <t>JAIRO CUBILLOS</t>
        </is>
      </c>
      <c r="G121" s="188" t="n">
        <v>3449</v>
      </c>
      <c r="H121" s="188" t="n">
        <v>3449</v>
      </c>
      <c r="I121" s="188" t="n">
        <v>3409</v>
      </c>
      <c r="J121" s="188" t="n">
        <v>21</v>
      </c>
      <c r="K121" s="188" t="n">
        <v>30</v>
      </c>
      <c r="L121" s="189" t="n">
        <v>-11</v>
      </c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  <c r="AA121" s="162" t="n"/>
      <c r="AB121" s="162" t="n"/>
      <c r="AC121" s="162" t="n"/>
      <c r="AD121" s="162" t="n"/>
      <c r="AE121" s="162" t="n"/>
      <c r="AF121" s="162" t="n"/>
      <c r="AG121" s="162" t="n"/>
      <c r="AH121" s="162" t="n"/>
      <c r="AI121" s="162" t="n"/>
      <c r="AJ121" s="162" t="n"/>
      <c r="AK121" s="162" t="n"/>
      <c r="AL121" s="162" t="n"/>
      <c r="AM121" s="162" t="n"/>
      <c r="AN121" s="162" t="n"/>
      <c r="AO121" s="162" t="n"/>
      <c r="AP121" s="162" t="n"/>
      <c r="AQ121" s="162" t="n"/>
      <c r="AR121" s="162" t="n"/>
      <c r="AS121" s="162" t="n"/>
      <c r="AT121" s="162" t="n"/>
      <c r="AU121" s="162" t="n"/>
      <c r="AV121" s="162" t="n"/>
      <c r="AW121" s="162" t="n"/>
      <c r="AX121" s="162" t="n"/>
      <c r="AY121" s="162" t="n"/>
      <c r="AZ121" s="162" t="n"/>
      <c r="BA121" s="162" t="n"/>
      <c r="BB121" s="162" t="n"/>
      <c r="BC121" s="162" t="n"/>
      <c r="BD121" s="162" t="n"/>
      <c r="BE121" s="162" t="n"/>
      <c r="BF121" s="162" t="n"/>
      <c r="BG121" s="162" t="n"/>
      <c r="BH121" s="162" t="n"/>
      <c r="BI121" s="162" t="n"/>
      <c r="BJ121" s="162" t="n"/>
      <c r="BK121" s="162" t="n"/>
      <c r="BL121" s="162" t="n"/>
      <c r="BM121" s="162" t="n"/>
      <c r="BN121" s="162" t="n"/>
      <c r="BO121" s="162" t="n"/>
      <c r="BP121" s="162" t="n"/>
      <c r="BQ121" s="162" t="n"/>
      <c r="BR121" s="162" t="n"/>
      <c r="BS121" s="162" t="n"/>
      <c r="BT121" s="162" t="n"/>
      <c r="BU121" s="162" t="n"/>
      <c r="BV121" s="162" t="n"/>
      <c r="BW121" s="162" t="n"/>
      <c r="BX121" s="162" t="n"/>
      <c r="BY121" s="162" t="n"/>
      <c r="BZ121" s="162" t="n"/>
      <c r="CA121" s="162" t="n"/>
      <c r="CB121" s="162" t="n"/>
      <c r="CC121" s="162" t="n"/>
      <c r="CD121" s="162" t="n"/>
      <c r="CE121" s="162" t="n"/>
      <c r="CF121" s="162" t="n"/>
      <c r="CG121" s="162" t="n"/>
      <c r="CH121" s="162" t="n"/>
      <c r="CI121" s="162" t="n"/>
      <c r="CJ121" s="162" t="n"/>
      <c r="CK121" s="162" t="n"/>
      <c r="CL121" s="162" t="n"/>
      <c r="CM121" s="162" t="n"/>
      <c r="CN121" s="162" t="n"/>
      <c r="CO121" s="162" t="n"/>
      <c r="CP121" s="162" t="n"/>
      <c r="CQ121" s="162" t="n"/>
      <c r="CR121" s="162" t="n"/>
      <c r="CS121" s="162" t="n"/>
      <c r="CT121" s="162" t="n"/>
    </row>
    <row r="122" ht="15" customHeight="1">
      <c r="A122" s="175" t="n">
        <v>121</v>
      </c>
      <c r="B122" s="210" t="n">
        <v>30</v>
      </c>
      <c r="C122" s="211" t="n">
        <v>45762</v>
      </c>
      <c r="D122" s="187" t="inlineStr">
        <is>
          <t>221 G. MALAGUEÑA</t>
        </is>
      </c>
      <c r="E122" s="187" t="n">
        <v>40562</v>
      </c>
      <c r="F122" s="187" t="inlineStr">
        <is>
          <t>ALBERTO LOPEZ</t>
        </is>
      </c>
      <c r="G122" s="188" t="n">
        <v>3449</v>
      </c>
      <c r="H122" s="188" t="n">
        <v>3449</v>
      </c>
      <c r="I122" s="188" t="n">
        <v>3424</v>
      </c>
      <c r="J122" s="188" t="n">
        <v>5</v>
      </c>
      <c r="K122" s="188" t="n">
        <v>11</v>
      </c>
      <c r="L122" s="189" t="n">
        <v>9</v>
      </c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  <c r="AA122" s="162" t="n"/>
      <c r="AB122" s="162" t="n"/>
      <c r="AC122" s="162" t="n"/>
      <c r="AD122" s="162" t="n"/>
      <c r="AE122" s="162" t="n"/>
      <c r="AF122" s="162" t="n"/>
      <c r="AG122" s="162" t="n"/>
      <c r="AH122" s="162" t="n"/>
      <c r="AI122" s="162" t="n"/>
      <c r="AJ122" s="162" t="n"/>
      <c r="AK122" s="162" t="n"/>
      <c r="AL122" s="162" t="n"/>
      <c r="AM122" s="162" t="n"/>
      <c r="AN122" s="162" t="n"/>
      <c r="AO122" s="162" t="n"/>
      <c r="AP122" s="162" t="n"/>
      <c r="AQ122" s="162" t="n"/>
      <c r="AR122" s="162" t="n"/>
      <c r="AS122" s="162" t="n"/>
      <c r="AT122" s="162" t="n"/>
      <c r="AU122" s="162" t="n"/>
      <c r="AV122" s="162" t="n"/>
      <c r="AW122" s="162" t="n"/>
      <c r="AX122" s="162" t="n"/>
      <c r="AY122" s="162" t="n"/>
      <c r="AZ122" s="162" t="n"/>
      <c r="BA122" s="162" t="n"/>
      <c r="BB122" s="162" t="n"/>
      <c r="BC122" s="162" t="n"/>
      <c r="BD122" s="162" t="n"/>
      <c r="BE122" s="162" t="n"/>
      <c r="BF122" s="162" t="n"/>
      <c r="BG122" s="162" t="n"/>
      <c r="BH122" s="162" t="n"/>
      <c r="BI122" s="162" t="n"/>
      <c r="BJ122" s="162" t="n"/>
      <c r="BK122" s="162" t="n"/>
      <c r="BL122" s="162" t="n"/>
      <c r="BM122" s="162" t="n"/>
      <c r="BN122" s="162" t="n"/>
      <c r="BO122" s="162" t="n"/>
      <c r="BP122" s="162" t="n"/>
      <c r="BQ122" s="162" t="n"/>
      <c r="BR122" s="162" t="n"/>
      <c r="BS122" s="162" t="n"/>
      <c r="BT122" s="162" t="n"/>
      <c r="BU122" s="162" t="n"/>
      <c r="BV122" s="162" t="n"/>
      <c r="BW122" s="162" t="n"/>
      <c r="BX122" s="162" t="n"/>
      <c r="BY122" s="162" t="n"/>
      <c r="BZ122" s="162" t="n"/>
      <c r="CA122" s="162" t="n"/>
      <c r="CB122" s="162" t="n"/>
      <c r="CC122" s="162" t="n"/>
      <c r="CD122" s="162" t="n"/>
      <c r="CE122" s="162" t="n"/>
      <c r="CF122" s="162" t="n"/>
      <c r="CG122" s="162" t="n"/>
      <c r="CH122" s="162" t="n"/>
      <c r="CI122" s="162" t="n"/>
      <c r="CJ122" s="162" t="n"/>
      <c r="CK122" s="162" t="n"/>
      <c r="CL122" s="162" t="n"/>
      <c r="CM122" s="162" t="n"/>
      <c r="CN122" s="162" t="n"/>
      <c r="CO122" s="162" t="n"/>
      <c r="CP122" s="162" t="n"/>
      <c r="CQ122" s="162" t="n"/>
      <c r="CR122" s="162" t="n"/>
      <c r="CS122" s="162" t="n"/>
      <c r="CT122" s="162" t="n"/>
    </row>
    <row r="123" ht="15" customHeight="1">
      <c r="A123" s="175" t="n">
        <v>122</v>
      </c>
      <c r="B123" s="210" t="n">
        <v>31</v>
      </c>
      <c r="C123" s="211" t="n">
        <v>45762</v>
      </c>
      <c r="D123" s="187" t="inlineStr">
        <is>
          <t>221 G. MALAGUEÑA</t>
        </is>
      </c>
      <c r="E123" s="187" t="n">
        <v>40563</v>
      </c>
      <c r="F123" s="187" t="inlineStr">
        <is>
          <t>FABIO ALDANA</t>
        </is>
      </c>
      <c r="G123" s="188" t="n">
        <v>3040</v>
      </c>
      <c r="H123" s="188" t="n">
        <v>3040</v>
      </c>
      <c r="I123" s="188" t="n">
        <v>3025</v>
      </c>
      <c r="J123" s="188" t="n">
        <v>3</v>
      </c>
      <c r="K123" s="188" t="n">
        <v>6</v>
      </c>
      <c r="L123" s="189" t="n">
        <v>6</v>
      </c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  <c r="AA123" s="162" t="n"/>
      <c r="AB123" s="162" t="n"/>
      <c r="AC123" s="162" t="n"/>
      <c r="AD123" s="162" t="n"/>
      <c r="AE123" s="162" t="n"/>
      <c r="AF123" s="162" t="n"/>
      <c r="AG123" s="162" t="n"/>
      <c r="AH123" s="162" t="n"/>
      <c r="AI123" s="162" t="n"/>
      <c r="AJ123" s="162" t="n"/>
      <c r="AK123" s="162" t="n"/>
      <c r="AL123" s="162" t="n"/>
      <c r="AM123" s="162" t="n"/>
      <c r="AN123" s="162" t="n"/>
      <c r="AO123" s="162" t="n"/>
      <c r="AP123" s="162" t="n"/>
      <c r="AQ123" s="162" t="n"/>
      <c r="AR123" s="162" t="n"/>
      <c r="AS123" s="162" t="n"/>
      <c r="AT123" s="162" t="n"/>
      <c r="AU123" s="162" t="n"/>
      <c r="AV123" s="162" t="n"/>
      <c r="AW123" s="162" t="n"/>
      <c r="AX123" s="162" t="n"/>
      <c r="AY123" s="162" t="n"/>
      <c r="AZ123" s="162" t="n"/>
      <c r="BA123" s="162" t="n"/>
      <c r="BB123" s="162" t="n"/>
      <c r="BC123" s="162" t="n"/>
      <c r="BD123" s="162" t="n"/>
      <c r="BE123" s="162" t="n"/>
      <c r="BF123" s="162" t="n"/>
      <c r="BG123" s="162" t="n"/>
      <c r="BH123" s="162" t="n"/>
      <c r="BI123" s="162" t="n"/>
      <c r="BJ123" s="162" t="n"/>
      <c r="BK123" s="162" t="n"/>
      <c r="BL123" s="162" t="n"/>
      <c r="BM123" s="162" t="n"/>
      <c r="BN123" s="162" t="n"/>
      <c r="BO123" s="162" t="n"/>
      <c r="BP123" s="162" t="n"/>
      <c r="BQ123" s="162" t="n"/>
      <c r="BR123" s="162" t="n"/>
      <c r="BS123" s="162" t="n"/>
      <c r="BT123" s="162" t="n"/>
      <c r="BU123" s="162" t="n"/>
      <c r="BV123" s="162" t="n"/>
      <c r="BW123" s="162" t="n"/>
      <c r="BX123" s="162" t="n"/>
      <c r="BY123" s="162" t="n"/>
      <c r="BZ123" s="162" t="n"/>
      <c r="CA123" s="162" t="n"/>
      <c r="CB123" s="162" t="n"/>
      <c r="CC123" s="162" t="n"/>
      <c r="CD123" s="162" t="n"/>
      <c r="CE123" s="162" t="n"/>
      <c r="CF123" s="162" t="n"/>
      <c r="CG123" s="162" t="n"/>
      <c r="CH123" s="162" t="n"/>
      <c r="CI123" s="162" t="n"/>
      <c r="CJ123" s="162" t="n"/>
      <c r="CK123" s="162" t="n"/>
      <c r="CL123" s="162" t="n"/>
      <c r="CM123" s="162" t="n"/>
      <c r="CN123" s="162" t="n"/>
      <c r="CO123" s="162" t="n"/>
      <c r="CP123" s="162" t="n"/>
      <c r="CQ123" s="162" t="n"/>
      <c r="CR123" s="162" t="n"/>
      <c r="CS123" s="162" t="n"/>
      <c r="CT123" s="162" t="n"/>
    </row>
    <row r="124" ht="15" customHeight="1">
      <c r="A124" s="175" t="n">
        <v>123</v>
      </c>
      <c r="B124" s="210" t="n">
        <v>32</v>
      </c>
      <c r="C124" s="211" t="n">
        <v>45762</v>
      </c>
      <c r="D124" s="187" t="inlineStr">
        <is>
          <t>221 G. MALAGUEÑA</t>
        </is>
      </c>
      <c r="E124" s="187" t="n">
        <v>40564</v>
      </c>
      <c r="F124" s="187" t="inlineStr">
        <is>
          <t>JOSE SOLER</t>
        </is>
      </c>
      <c r="G124" s="188" t="n">
        <v>3267</v>
      </c>
      <c r="H124" s="188" t="n">
        <v>3267</v>
      </c>
      <c r="I124" s="188" t="n">
        <v>3225</v>
      </c>
      <c r="J124" s="188" t="n">
        <v>3</v>
      </c>
      <c r="K124" s="188" t="n">
        <v>6</v>
      </c>
      <c r="L124" s="189" t="n">
        <v>33</v>
      </c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  <c r="AA124" s="162" t="n"/>
      <c r="AB124" s="162" t="n"/>
      <c r="AC124" s="162" t="n"/>
      <c r="AD124" s="162" t="n"/>
      <c r="AE124" s="162" t="n"/>
      <c r="AF124" s="162" t="n"/>
      <c r="AG124" s="162" t="n"/>
      <c r="AH124" s="162" t="n"/>
      <c r="AI124" s="162" t="n"/>
      <c r="AJ124" s="162" t="n"/>
      <c r="AK124" s="162" t="n"/>
      <c r="AL124" s="162" t="n"/>
      <c r="AM124" s="162" t="n"/>
      <c r="AN124" s="162" t="n"/>
      <c r="AO124" s="162" t="n"/>
      <c r="AP124" s="162" t="n"/>
      <c r="AQ124" s="162" t="n"/>
      <c r="AR124" s="162" t="n"/>
      <c r="AS124" s="162" t="n"/>
      <c r="AT124" s="162" t="n"/>
      <c r="AU124" s="162" t="n"/>
      <c r="AV124" s="162" t="n"/>
      <c r="AW124" s="162" t="n"/>
      <c r="AX124" s="162" t="n"/>
      <c r="AY124" s="162" t="n"/>
      <c r="AZ124" s="162" t="n"/>
      <c r="BA124" s="162" t="n"/>
      <c r="BB124" s="162" t="n"/>
      <c r="BC124" s="162" t="n"/>
      <c r="BD124" s="162" t="n"/>
      <c r="BE124" s="162" t="n"/>
      <c r="BF124" s="162" t="n"/>
      <c r="BG124" s="162" t="n"/>
      <c r="BH124" s="162" t="n"/>
      <c r="BI124" s="162" t="n"/>
      <c r="BJ124" s="162" t="n"/>
      <c r="BK124" s="162" t="n"/>
      <c r="BL124" s="162" t="n"/>
      <c r="BM124" s="162" t="n"/>
      <c r="BN124" s="162" t="n"/>
      <c r="BO124" s="162" t="n"/>
      <c r="BP124" s="162" t="n"/>
      <c r="BQ124" s="162" t="n"/>
      <c r="BR124" s="162" t="n"/>
      <c r="BS124" s="162" t="n"/>
      <c r="BT124" s="162" t="n"/>
      <c r="BU124" s="162" t="n"/>
      <c r="BV124" s="162" t="n"/>
      <c r="BW124" s="162" t="n"/>
      <c r="BX124" s="162" t="n"/>
      <c r="BY124" s="162" t="n"/>
      <c r="BZ124" s="162" t="n"/>
      <c r="CA124" s="162" t="n"/>
      <c r="CB124" s="162" t="n"/>
      <c r="CC124" s="162" t="n"/>
      <c r="CD124" s="162" t="n"/>
      <c r="CE124" s="162" t="n"/>
      <c r="CF124" s="162" t="n"/>
      <c r="CG124" s="162" t="n"/>
      <c r="CH124" s="162" t="n"/>
      <c r="CI124" s="162" t="n"/>
      <c r="CJ124" s="162" t="n"/>
      <c r="CK124" s="162" t="n"/>
      <c r="CL124" s="162" t="n"/>
      <c r="CM124" s="162" t="n"/>
      <c r="CN124" s="162" t="n"/>
      <c r="CO124" s="162" t="n"/>
      <c r="CP124" s="162" t="n"/>
      <c r="CQ124" s="162" t="n"/>
      <c r="CR124" s="162" t="n"/>
      <c r="CS124" s="162" t="n"/>
      <c r="CT124" s="162" t="n"/>
    </row>
    <row r="125" ht="15" customHeight="1">
      <c r="A125" s="175" t="n">
        <v>124</v>
      </c>
      <c r="B125" s="210" t="n">
        <v>33</v>
      </c>
      <c r="C125" s="211" t="n">
        <v>45762</v>
      </c>
      <c r="D125" s="187" t="inlineStr">
        <is>
          <t>221 G. MALAGUEÑA</t>
        </is>
      </c>
      <c r="E125" s="187" t="n">
        <v>40565</v>
      </c>
      <c r="F125" s="187" t="inlineStr">
        <is>
          <t>ALBERTO LOPEZ</t>
        </is>
      </c>
      <c r="G125" s="188" t="n">
        <v>3267</v>
      </c>
      <c r="H125" s="188" t="n">
        <v>3267</v>
      </c>
      <c r="I125" s="188" t="n">
        <v>3223</v>
      </c>
      <c r="J125" s="188" t="n">
        <v>5</v>
      </c>
      <c r="K125" s="188" t="n">
        <v>8</v>
      </c>
      <c r="L125" s="189" t="n">
        <v>31</v>
      </c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  <c r="AA125" s="162" t="n"/>
      <c r="AB125" s="162" t="n"/>
      <c r="AC125" s="162" t="n"/>
      <c r="AD125" s="162" t="n"/>
      <c r="AE125" s="162" t="n"/>
      <c r="AF125" s="162" t="n"/>
      <c r="AG125" s="162" t="n"/>
      <c r="AH125" s="162" t="n"/>
      <c r="AI125" s="162" t="n"/>
      <c r="AJ125" s="162" t="n"/>
      <c r="AK125" s="162" t="n"/>
      <c r="AL125" s="162" t="n"/>
      <c r="AM125" s="162" t="n"/>
      <c r="AN125" s="162" t="n"/>
      <c r="AO125" s="162" t="n"/>
      <c r="AP125" s="162" t="n"/>
      <c r="AQ125" s="162" t="n"/>
      <c r="AR125" s="162" t="n"/>
      <c r="AS125" s="162" t="n"/>
      <c r="AT125" s="162" t="n"/>
      <c r="AU125" s="162" t="n"/>
      <c r="AV125" s="162" t="n"/>
      <c r="AW125" s="162" t="n"/>
      <c r="AX125" s="162" t="n"/>
      <c r="AY125" s="162" t="n"/>
      <c r="AZ125" s="162" t="n"/>
      <c r="BA125" s="162" t="n"/>
      <c r="BB125" s="162" t="n"/>
      <c r="BC125" s="162" t="n"/>
      <c r="BD125" s="162" t="n"/>
      <c r="BE125" s="162" t="n"/>
      <c r="BF125" s="162" t="n"/>
      <c r="BG125" s="162" t="n"/>
      <c r="BH125" s="162" t="n"/>
      <c r="BI125" s="162" t="n"/>
      <c r="BJ125" s="162" t="n"/>
      <c r="BK125" s="162" t="n"/>
      <c r="BL125" s="162" t="n"/>
      <c r="BM125" s="162" t="n"/>
      <c r="BN125" s="162" t="n"/>
      <c r="BO125" s="162" t="n"/>
      <c r="BP125" s="162" t="n"/>
      <c r="BQ125" s="162" t="n"/>
      <c r="BR125" s="162" t="n"/>
      <c r="BS125" s="162" t="n"/>
      <c r="BT125" s="162" t="n"/>
      <c r="BU125" s="162" t="n"/>
      <c r="BV125" s="162" t="n"/>
      <c r="BW125" s="162" t="n"/>
      <c r="BX125" s="162" t="n"/>
      <c r="BY125" s="162" t="n"/>
      <c r="BZ125" s="162" t="n"/>
      <c r="CA125" s="162" t="n"/>
      <c r="CB125" s="162" t="n"/>
      <c r="CC125" s="162" t="n"/>
      <c r="CD125" s="162" t="n"/>
      <c r="CE125" s="162" t="n"/>
      <c r="CF125" s="162" t="n"/>
      <c r="CG125" s="162" t="n"/>
      <c r="CH125" s="162" t="n"/>
      <c r="CI125" s="162" t="n"/>
      <c r="CJ125" s="162" t="n"/>
      <c r="CK125" s="162" t="n"/>
      <c r="CL125" s="162" t="n"/>
      <c r="CM125" s="162" t="n"/>
      <c r="CN125" s="162" t="n"/>
      <c r="CO125" s="162" t="n"/>
      <c r="CP125" s="162" t="n"/>
      <c r="CQ125" s="162" t="n"/>
      <c r="CR125" s="162" t="n"/>
      <c r="CS125" s="162" t="n"/>
      <c r="CT125" s="162" t="n"/>
    </row>
    <row r="126" ht="15" customHeight="1">
      <c r="A126" s="175" t="n">
        <v>125</v>
      </c>
      <c r="B126" s="210" t="n">
        <v>34</v>
      </c>
      <c r="C126" s="211" t="n">
        <v>45762</v>
      </c>
      <c r="D126" s="187" t="inlineStr">
        <is>
          <t>200 G. GARCERAS</t>
        </is>
      </c>
      <c r="E126" s="187" t="n">
        <v>40573</v>
      </c>
      <c r="F126" s="187" t="inlineStr">
        <is>
          <t>ALEX GOMEZ</t>
        </is>
      </c>
      <c r="G126" s="188" t="n">
        <v>3400</v>
      </c>
      <c r="H126" s="188" t="n">
        <v>3400</v>
      </c>
      <c r="I126" s="188" t="n">
        <v>3392</v>
      </c>
      <c r="J126" s="188" t="n">
        <v>6</v>
      </c>
      <c r="K126" s="188" t="n">
        <v>5</v>
      </c>
      <c r="L126" s="189" t="n">
        <v>-3</v>
      </c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  <c r="AA126" s="162" t="n"/>
      <c r="AB126" s="162" t="n"/>
      <c r="AC126" s="162" t="n"/>
      <c r="AD126" s="162" t="n"/>
      <c r="AE126" s="162" t="n"/>
      <c r="AF126" s="162" t="n"/>
      <c r="AG126" s="162" t="n"/>
      <c r="AH126" s="162" t="n"/>
      <c r="AI126" s="162" t="n"/>
      <c r="AJ126" s="162" t="n"/>
      <c r="AK126" s="162" t="n"/>
      <c r="AL126" s="162" t="n"/>
      <c r="AM126" s="162" t="n"/>
      <c r="AN126" s="162" t="n"/>
      <c r="AO126" s="162" t="n"/>
      <c r="AP126" s="162" t="n"/>
      <c r="AQ126" s="162" t="n"/>
      <c r="AR126" s="162" t="n"/>
      <c r="AS126" s="162" t="n"/>
      <c r="AT126" s="162" t="n"/>
      <c r="AU126" s="162" t="n"/>
      <c r="AV126" s="162" t="n"/>
      <c r="AW126" s="162" t="n"/>
      <c r="AX126" s="162" t="n"/>
      <c r="AY126" s="162" t="n"/>
      <c r="AZ126" s="162" t="n"/>
      <c r="BA126" s="162" t="n"/>
      <c r="BB126" s="162" t="n"/>
      <c r="BC126" s="162" t="n"/>
      <c r="BD126" s="162" t="n"/>
      <c r="BE126" s="162" t="n"/>
      <c r="BF126" s="162" t="n"/>
      <c r="BG126" s="162" t="n"/>
      <c r="BH126" s="162" t="n"/>
      <c r="BI126" s="162" t="n"/>
      <c r="BJ126" s="162" t="n"/>
      <c r="BK126" s="162" t="n"/>
      <c r="BL126" s="162" t="n"/>
      <c r="BM126" s="162" t="n"/>
      <c r="BN126" s="162" t="n"/>
      <c r="BO126" s="162" t="n"/>
      <c r="BP126" s="162" t="n"/>
      <c r="BQ126" s="162" t="n"/>
      <c r="BR126" s="162" t="n"/>
      <c r="BS126" s="162" t="n"/>
      <c r="BT126" s="162" t="n"/>
      <c r="BU126" s="162" t="n"/>
      <c r="BV126" s="162" t="n"/>
      <c r="BW126" s="162" t="n"/>
      <c r="BX126" s="162" t="n"/>
      <c r="BY126" s="162" t="n"/>
      <c r="BZ126" s="162" t="n"/>
      <c r="CA126" s="162" t="n"/>
      <c r="CB126" s="162" t="n"/>
      <c r="CC126" s="162" t="n"/>
      <c r="CD126" s="162" t="n"/>
      <c r="CE126" s="162" t="n"/>
      <c r="CF126" s="162" t="n"/>
      <c r="CG126" s="162" t="n"/>
      <c r="CH126" s="162" t="n"/>
      <c r="CI126" s="162" t="n"/>
      <c r="CJ126" s="162" t="n"/>
      <c r="CK126" s="162" t="n"/>
      <c r="CL126" s="162" t="n"/>
      <c r="CM126" s="162" t="n"/>
      <c r="CN126" s="162" t="n"/>
      <c r="CO126" s="162" t="n"/>
      <c r="CP126" s="162" t="n"/>
      <c r="CQ126" s="162" t="n"/>
      <c r="CR126" s="162" t="n"/>
      <c r="CS126" s="162" t="n"/>
      <c r="CT126" s="162" t="n"/>
    </row>
    <row r="127" ht="15" customHeight="1">
      <c r="A127" s="175" t="n">
        <v>126</v>
      </c>
      <c r="B127" s="210" t="n">
        <v>35</v>
      </c>
      <c r="C127" s="211" t="n">
        <v>45762</v>
      </c>
      <c r="D127" s="187" t="inlineStr">
        <is>
          <t>200 G. GARCERAS</t>
        </is>
      </c>
      <c r="E127" s="187" t="n">
        <v>40574</v>
      </c>
      <c r="F127" s="187" t="inlineStr">
        <is>
          <t>WILMER PIÑEROS</t>
        </is>
      </c>
      <c r="G127" s="188" t="n">
        <v>3888</v>
      </c>
      <c r="H127" s="188" t="n">
        <v>3888</v>
      </c>
      <c r="I127" s="188" t="n">
        <v>3882</v>
      </c>
      <c r="J127" s="188" t="n">
        <v>5</v>
      </c>
      <c r="K127" s="188" t="n">
        <v>6</v>
      </c>
      <c r="L127" s="189" t="n">
        <v>-5</v>
      </c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  <c r="AA127" s="162" t="n"/>
      <c r="AB127" s="162" t="n"/>
      <c r="AC127" s="162" t="n"/>
      <c r="AD127" s="162" t="n"/>
      <c r="AE127" s="162" t="n"/>
      <c r="AF127" s="162" t="n"/>
      <c r="AG127" s="162" t="n"/>
      <c r="AH127" s="162" t="n"/>
      <c r="AI127" s="162" t="n"/>
      <c r="AJ127" s="162" t="n"/>
      <c r="AK127" s="162" t="n"/>
      <c r="AL127" s="162" t="n"/>
      <c r="AM127" s="162" t="n"/>
      <c r="AN127" s="162" t="n"/>
      <c r="AO127" s="162" t="n"/>
      <c r="AP127" s="162" t="n"/>
      <c r="AQ127" s="162" t="n"/>
      <c r="AR127" s="162" t="n"/>
      <c r="AS127" s="162" t="n"/>
      <c r="AT127" s="162" t="n"/>
      <c r="AU127" s="162" t="n"/>
      <c r="AV127" s="162" t="n"/>
      <c r="AW127" s="162" t="n"/>
      <c r="AX127" s="162" t="n"/>
      <c r="AY127" s="162" t="n"/>
      <c r="AZ127" s="162" t="n"/>
      <c r="BA127" s="162" t="n"/>
      <c r="BB127" s="162" t="n"/>
      <c r="BC127" s="162" t="n"/>
      <c r="BD127" s="162" t="n"/>
      <c r="BE127" s="162" t="n"/>
      <c r="BF127" s="162" t="n"/>
      <c r="BG127" s="162" t="n"/>
      <c r="BH127" s="162" t="n"/>
      <c r="BI127" s="162" t="n"/>
      <c r="BJ127" s="162" t="n"/>
      <c r="BK127" s="162" t="n"/>
      <c r="BL127" s="162" t="n"/>
      <c r="BM127" s="162" t="n"/>
      <c r="BN127" s="162" t="n"/>
      <c r="BO127" s="162" t="n"/>
      <c r="BP127" s="162" t="n"/>
      <c r="BQ127" s="162" t="n"/>
      <c r="BR127" s="162" t="n"/>
      <c r="BS127" s="162" t="n"/>
      <c r="BT127" s="162" t="n"/>
      <c r="BU127" s="162" t="n"/>
      <c r="BV127" s="162" t="n"/>
      <c r="BW127" s="162" t="n"/>
      <c r="BX127" s="162" t="n"/>
      <c r="BY127" s="162" t="n"/>
      <c r="BZ127" s="162" t="n"/>
      <c r="CA127" s="162" t="n"/>
      <c r="CB127" s="162" t="n"/>
      <c r="CC127" s="162" t="n"/>
      <c r="CD127" s="162" t="n"/>
      <c r="CE127" s="162" t="n"/>
      <c r="CF127" s="162" t="n"/>
      <c r="CG127" s="162" t="n"/>
      <c r="CH127" s="162" t="n"/>
      <c r="CI127" s="162" t="n"/>
      <c r="CJ127" s="162" t="n"/>
      <c r="CK127" s="162" t="n"/>
      <c r="CL127" s="162" t="n"/>
      <c r="CM127" s="162" t="n"/>
      <c r="CN127" s="162" t="n"/>
      <c r="CO127" s="162" t="n"/>
      <c r="CP127" s="162" t="n"/>
      <c r="CQ127" s="162" t="n"/>
      <c r="CR127" s="162" t="n"/>
      <c r="CS127" s="162" t="n"/>
      <c r="CT127" s="162" t="n"/>
    </row>
    <row r="128" ht="15" customHeight="1">
      <c r="A128" s="175" t="n">
        <v>127</v>
      </c>
      <c r="B128" s="181" t="n">
        <v>36</v>
      </c>
      <c r="C128" s="182" t="n">
        <v>45762</v>
      </c>
      <c r="D128" s="187" t="inlineStr">
        <is>
          <t>200 G. GARCERAS</t>
        </is>
      </c>
      <c r="E128" s="187" t="n">
        <v>40575</v>
      </c>
      <c r="F128" s="187" t="inlineStr">
        <is>
          <t>ALBERTO HERRERA</t>
        </is>
      </c>
      <c r="G128" s="188" t="n">
        <v>3388</v>
      </c>
      <c r="H128" s="188" t="n">
        <v>3388</v>
      </c>
      <c r="I128" s="188" t="n">
        <v>3384</v>
      </c>
      <c r="J128" s="188" t="n">
        <v>9</v>
      </c>
      <c r="K128" s="188" t="n">
        <v>5</v>
      </c>
      <c r="L128" s="189" t="n">
        <v>-10</v>
      </c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  <c r="AA128" s="162" t="n"/>
      <c r="AB128" s="162" t="n"/>
      <c r="AC128" s="162" t="n"/>
      <c r="AD128" s="162" t="n"/>
      <c r="AE128" s="162" t="n"/>
      <c r="AF128" s="162" t="n"/>
      <c r="AG128" s="162" t="n"/>
      <c r="AH128" s="162" t="n"/>
      <c r="AI128" s="162" t="n"/>
      <c r="AJ128" s="162" t="n"/>
      <c r="AK128" s="162" t="n"/>
      <c r="AL128" s="162" t="n"/>
      <c r="AM128" s="162" t="n"/>
      <c r="AN128" s="162" t="n"/>
      <c r="AO128" s="162" t="n"/>
      <c r="AP128" s="162" t="n"/>
      <c r="AQ128" s="162" t="n"/>
      <c r="AR128" s="162" t="n"/>
      <c r="AS128" s="162" t="n"/>
      <c r="AT128" s="162" t="n"/>
      <c r="AU128" s="162" t="n"/>
      <c r="AV128" s="162" t="n"/>
      <c r="AW128" s="162" t="n"/>
      <c r="AX128" s="162" t="n"/>
      <c r="AY128" s="162" t="n"/>
      <c r="AZ128" s="162" t="n"/>
      <c r="BA128" s="162" t="n"/>
      <c r="BB128" s="162" t="n"/>
      <c r="BC128" s="162" t="n"/>
      <c r="BD128" s="162" t="n"/>
      <c r="BE128" s="162" t="n"/>
      <c r="BF128" s="162" t="n"/>
      <c r="BG128" s="162" t="n"/>
      <c r="BH128" s="162" t="n"/>
      <c r="BI128" s="162" t="n"/>
      <c r="BJ128" s="162" t="n"/>
      <c r="BK128" s="162" t="n"/>
      <c r="BL128" s="162" t="n"/>
      <c r="BM128" s="162" t="n"/>
      <c r="BN128" s="162" t="n"/>
      <c r="BO128" s="162" t="n"/>
      <c r="BP128" s="162" t="n"/>
      <c r="BQ128" s="162" t="n"/>
      <c r="BR128" s="162" t="n"/>
      <c r="BS128" s="162" t="n"/>
      <c r="BT128" s="162" t="n"/>
      <c r="BU128" s="162" t="n"/>
      <c r="BV128" s="162" t="n"/>
      <c r="BW128" s="162" t="n"/>
      <c r="BX128" s="162" t="n"/>
      <c r="BY128" s="162" t="n"/>
      <c r="BZ128" s="162" t="n"/>
      <c r="CA128" s="162" t="n"/>
      <c r="CB128" s="162" t="n"/>
      <c r="CC128" s="162" t="n"/>
      <c r="CD128" s="162" t="n"/>
      <c r="CE128" s="162" t="n"/>
      <c r="CF128" s="162" t="n"/>
      <c r="CG128" s="162" t="n"/>
      <c r="CH128" s="162" t="n"/>
      <c r="CI128" s="162" t="n"/>
      <c r="CJ128" s="162" t="n"/>
      <c r="CK128" s="162" t="n"/>
      <c r="CL128" s="162" t="n"/>
      <c r="CM128" s="162" t="n"/>
      <c r="CN128" s="162" t="n"/>
      <c r="CO128" s="162" t="n"/>
      <c r="CP128" s="162" t="n"/>
      <c r="CQ128" s="162" t="n"/>
      <c r="CR128" s="162" t="n"/>
      <c r="CS128" s="162" t="n"/>
      <c r="CT128" s="162" t="n"/>
    </row>
    <row r="129" ht="15" customHeight="1">
      <c r="A129" s="175" t="n">
        <v>128</v>
      </c>
      <c r="B129" s="181" t="n">
        <v>37</v>
      </c>
      <c r="C129" s="182" t="n">
        <v>45762</v>
      </c>
      <c r="D129" s="187" t="inlineStr">
        <is>
          <t>219 G. SAN JOSE 2</t>
        </is>
      </c>
      <c r="E129" s="187" t="n">
        <v>40576</v>
      </c>
      <c r="F129" s="187" t="inlineStr">
        <is>
          <t>ALBERTO LOPEZ</t>
        </is>
      </c>
      <c r="G129" s="188" t="n">
        <v>3603</v>
      </c>
      <c r="H129" s="188" t="n">
        <v>3603</v>
      </c>
      <c r="I129" s="188" t="n">
        <v>3522</v>
      </c>
      <c r="J129" s="188" t="n">
        <v>6</v>
      </c>
      <c r="K129" s="188" t="n">
        <v>66</v>
      </c>
      <c r="L129" s="189" t="n">
        <v>9</v>
      </c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  <c r="AA129" s="162" t="n"/>
      <c r="AB129" s="162" t="n"/>
      <c r="AC129" s="162" t="n"/>
      <c r="AD129" s="162" t="n"/>
      <c r="AE129" s="162" t="n"/>
      <c r="AF129" s="162" t="n"/>
      <c r="AG129" s="162" t="n"/>
      <c r="AH129" s="162" t="n"/>
      <c r="AI129" s="162" t="n"/>
      <c r="AJ129" s="162" t="n"/>
      <c r="AK129" s="162" t="n"/>
      <c r="AL129" s="162" t="n"/>
      <c r="AM129" s="162" t="n"/>
      <c r="AN129" s="162" t="n"/>
      <c r="AO129" s="162" t="n"/>
      <c r="AP129" s="162" t="n"/>
      <c r="AQ129" s="162" t="n"/>
      <c r="AR129" s="162" t="n"/>
      <c r="AS129" s="162" t="n"/>
      <c r="AT129" s="162" t="n"/>
      <c r="AU129" s="162" t="n"/>
      <c r="AV129" s="162" t="n"/>
      <c r="AW129" s="162" t="n"/>
      <c r="AX129" s="162" t="n"/>
      <c r="AY129" s="162" t="n"/>
      <c r="AZ129" s="162" t="n"/>
      <c r="BA129" s="162" t="n"/>
      <c r="BB129" s="162" t="n"/>
      <c r="BC129" s="162" t="n"/>
      <c r="BD129" s="162" t="n"/>
      <c r="BE129" s="162" t="n"/>
      <c r="BF129" s="162" t="n"/>
      <c r="BG129" s="162" t="n"/>
      <c r="BH129" s="162" t="n"/>
      <c r="BI129" s="162" t="n"/>
      <c r="BJ129" s="162" t="n"/>
      <c r="BK129" s="162" t="n"/>
      <c r="BL129" s="162" t="n"/>
      <c r="BM129" s="162" t="n"/>
      <c r="BN129" s="162" t="n"/>
      <c r="BO129" s="162" t="n"/>
      <c r="BP129" s="162" t="n"/>
      <c r="BQ129" s="162" t="n"/>
      <c r="BR129" s="162" t="n"/>
      <c r="BS129" s="162" t="n"/>
      <c r="BT129" s="162" t="n"/>
      <c r="BU129" s="162" t="n"/>
      <c r="BV129" s="162" t="n"/>
      <c r="BW129" s="162" t="n"/>
      <c r="BX129" s="162" t="n"/>
      <c r="BY129" s="162" t="n"/>
      <c r="BZ129" s="162" t="n"/>
      <c r="CA129" s="162" t="n"/>
      <c r="CB129" s="162" t="n"/>
      <c r="CC129" s="162" t="n"/>
      <c r="CD129" s="162" t="n"/>
      <c r="CE129" s="162" t="n"/>
      <c r="CF129" s="162" t="n"/>
      <c r="CG129" s="162" t="n"/>
      <c r="CH129" s="162" t="n"/>
      <c r="CI129" s="162" t="n"/>
      <c r="CJ129" s="162" t="n"/>
      <c r="CK129" s="162" t="n"/>
      <c r="CL129" s="162" t="n"/>
      <c r="CM129" s="162" t="n"/>
      <c r="CN129" s="162" t="n"/>
      <c r="CO129" s="162" t="n"/>
      <c r="CP129" s="162" t="n"/>
      <c r="CQ129" s="162" t="n"/>
      <c r="CR129" s="162" t="n"/>
      <c r="CS129" s="162" t="n"/>
      <c r="CT129" s="162" t="n"/>
    </row>
    <row r="130" ht="15" customHeight="1">
      <c r="A130" s="175" t="n">
        <v>129</v>
      </c>
      <c r="B130" s="181" t="n">
        <v>38</v>
      </c>
      <c r="C130" s="182" t="n">
        <v>45762</v>
      </c>
      <c r="D130" s="187" t="inlineStr">
        <is>
          <t>219 G. SAN JOSE 2</t>
        </is>
      </c>
      <c r="E130" s="187" t="n">
        <v>40577</v>
      </c>
      <c r="F130" s="187" t="inlineStr">
        <is>
          <t>JHON AGUIRRE</t>
        </is>
      </c>
      <c r="G130" s="188" t="n">
        <v>3603</v>
      </c>
      <c r="H130" s="188" t="n">
        <v>3603</v>
      </c>
      <c r="I130" s="188" t="n">
        <v>3531</v>
      </c>
      <c r="J130" s="188" t="n">
        <v>3</v>
      </c>
      <c r="K130" s="188" t="n">
        <v>58</v>
      </c>
      <c r="L130" s="189" t="n">
        <v>11</v>
      </c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  <c r="AA130" s="162" t="n"/>
      <c r="AB130" s="162" t="n"/>
      <c r="AC130" s="162" t="n"/>
      <c r="AD130" s="162" t="n"/>
      <c r="AE130" s="162" t="n"/>
      <c r="AF130" s="162" t="n"/>
      <c r="AG130" s="162" t="n"/>
      <c r="AH130" s="162" t="n"/>
      <c r="AI130" s="162" t="n"/>
      <c r="AJ130" s="162" t="n"/>
      <c r="AK130" s="162" t="n"/>
      <c r="AL130" s="162" t="n"/>
      <c r="AM130" s="162" t="n"/>
      <c r="AN130" s="162" t="n"/>
      <c r="AO130" s="162" t="n"/>
      <c r="AP130" s="162" t="n"/>
      <c r="AQ130" s="162" t="n"/>
      <c r="AR130" s="162" t="n"/>
      <c r="AS130" s="162" t="n"/>
      <c r="AT130" s="162" t="n"/>
      <c r="AU130" s="162" t="n"/>
      <c r="AV130" s="162" t="n"/>
      <c r="AW130" s="162" t="n"/>
      <c r="AX130" s="162" t="n"/>
      <c r="AY130" s="162" t="n"/>
      <c r="AZ130" s="162" t="n"/>
      <c r="BA130" s="162" t="n"/>
      <c r="BB130" s="162" t="n"/>
      <c r="BC130" s="162" t="n"/>
      <c r="BD130" s="162" t="n"/>
      <c r="BE130" s="162" t="n"/>
      <c r="BF130" s="162" t="n"/>
      <c r="BG130" s="162" t="n"/>
      <c r="BH130" s="162" t="n"/>
      <c r="BI130" s="162" t="n"/>
      <c r="BJ130" s="162" t="n"/>
      <c r="BK130" s="162" t="n"/>
      <c r="BL130" s="162" t="n"/>
      <c r="BM130" s="162" t="n"/>
      <c r="BN130" s="162" t="n"/>
      <c r="BO130" s="162" t="n"/>
      <c r="BP130" s="162" t="n"/>
      <c r="BQ130" s="162" t="n"/>
      <c r="BR130" s="162" t="n"/>
      <c r="BS130" s="162" t="n"/>
      <c r="BT130" s="162" t="n"/>
      <c r="BU130" s="162" t="n"/>
      <c r="BV130" s="162" t="n"/>
      <c r="BW130" s="162" t="n"/>
      <c r="BX130" s="162" t="n"/>
      <c r="BY130" s="162" t="n"/>
      <c r="BZ130" s="162" t="n"/>
      <c r="CA130" s="162" t="n"/>
      <c r="CB130" s="162" t="n"/>
      <c r="CC130" s="162" t="n"/>
      <c r="CD130" s="162" t="n"/>
      <c r="CE130" s="162" t="n"/>
      <c r="CF130" s="162" t="n"/>
      <c r="CG130" s="162" t="n"/>
      <c r="CH130" s="162" t="n"/>
      <c r="CI130" s="162" t="n"/>
      <c r="CJ130" s="162" t="n"/>
      <c r="CK130" s="162" t="n"/>
      <c r="CL130" s="162" t="n"/>
      <c r="CM130" s="162" t="n"/>
      <c r="CN130" s="162" t="n"/>
      <c r="CO130" s="162" t="n"/>
      <c r="CP130" s="162" t="n"/>
      <c r="CQ130" s="162" t="n"/>
      <c r="CR130" s="162" t="n"/>
      <c r="CS130" s="162" t="n"/>
      <c r="CT130" s="162" t="n"/>
    </row>
    <row r="131" ht="15" customHeight="1">
      <c r="A131" s="175" t="n">
        <v>130</v>
      </c>
      <c r="B131" s="181" t="n">
        <v>39</v>
      </c>
      <c r="C131" s="182" t="n">
        <v>45762</v>
      </c>
      <c r="D131" s="187" t="inlineStr">
        <is>
          <t>219 G. SAN JOSE 2</t>
        </is>
      </c>
      <c r="E131" s="187" t="n">
        <v>40578</v>
      </c>
      <c r="F131" s="187" t="inlineStr">
        <is>
          <t>DIEGO NIÑO</t>
        </is>
      </c>
      <c r="G131" s="188" t="n">
        <v>3184</v>
      </c>
      <c r="H131" s="188" t="n">
        <v>3184</v>
      </c>
      <c r="I131" s="188" t="n">
        <v>3108</v>
      </c>
      <c r="J131" s="188" t="n">
        <v>6</v>
      </c>
      <c r="K131" s="188" t="n">
        <v>71</v>
      </c>
      <c r="L131" s="189" t="n">
        <v>-1</v>
      </c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  <c r="AA131" s="162" t="n"/>
      <c r="AB131" s="162" t="n"/>
      <c r="AC131" s="162" t="n"/>
      <c r="AD131" s="162" t="n"/>
      <c r="AE131" s="162" t="n"/>
      <c r="AF131" s="162" t="n"/>
      <c r="AG131" s="162" t="n"/>
      <c r="AH131" s="162" t="n"/>
      <c r="AI131" s="162" t="n"/>
      <c r="AJ131" s="162" t="n"/>
      <c r="AK131" s="162" t="n"/>
      <c r="AL131" s="162" t="n"/>
      <c r="AM131" s="162" t="n"/>
      <c r="AN131" s="162" t="n"/>
      <c r="AO131" s="162" t="n"/>
      <c r="AP131" s="162" t="n"/>
      <c r="AQ131" s="162" t="n"/>
      <c r="AR131" s="162" t="n"/>
      <c r="AS131" s="162" t="n"/>
      <c r="AT131" s="162" t="n"/>
      <c r="AU131" s="162" t="n"/>
      <c r="AV131" s="162" t="n"/>
      <c r="AW131" s="162" t="n"/>
      <c r="AX131" s="162" t="n"/>
      <c r="AY131" s="162" t="n"/>
      <c r="AZ131" s="162" t="n"/>
      <c r="BA131" s="162" t="n"/>
      <c r="BB131" s="162" t="n"/>
      <c r="BC131" s="162" t="n"/>
      <c r="BD131" s="162" t="n"/>
      <c r="BE131" s="162" t="n"/>
      <c r="BF131" s="162" t="n"/>
      <c r="BG131" s="162" t="n"/>
      <c r="BH131" s="162" t="n"/>
      <c r="BI131" s="162" t="n"/>
      <c r="BJ131" s="162" t="n"/>
      <c r="BK131" s="162" t="n"/>
      <c r="BL131" s="162" t="n"/>
      <c r="BM131" s="162" t="n"/>
      <c r="BN131" s="162" t="n"/>
      <c r="BO131" s="162" t="n"/>
      <c r="BP131" s="162" t="n"/>
      <c r="BQ131" s="162" t="n"/>
      <c r="BR131" s="162" t="n"/>
      <c r="BS131" s="162" t="n"/>
      <c r="BT131" s="162" t="n"/>
      <c r="BU131" s="162" t="n"/>
      <c r="BV131" s="162" t="n"/>
      <c r="BW131" s="162" t="n"/>
      <c r="BX131" s="162" t="n"/>
      <c r="BY131" s="162" t="n"/>
      <c r="BZ131" s="162" t="n"/>
      <c r="CA131" s="162" t="n"/>
      <c r="CB131" s="162" t="n"/>
      <c r="CC131" s="162" t="n"/>
      <c r="CD131" s="162" t="n"/>
      <c r="CE131" s="162" t="n"/>
      <c r="CF131" s="162" t="n"/>
      <c r="CG131" s="162" t="n"/>
      <c r="CH131" s="162" t="n"/>
      <c r="CI131" s="162" t="n"/>
      <c r="CJ131" s="162" t="n"/>
      <c r="CK131" s="162" t="n"/>
      <c r="CL131" s="162" t="n"/>
      <c r="CM131" s="162" t="n"/>
      <c r="CN131" s="162" t="n"/>
      <c r="CO131" s="162" t="n"/>
      <c r="CP131" s="162" t="n"/>
      <c r="CQ131" s="162" t="n"/>
      <c r="CR131" s="162" t="n"/>
      <c r="CS131" s="162" t="n"/>
      <c r="CT131" s="162" t="n"/>
    </row>
    <row r="132" ht="15" customHeight="1">
      <c r="A132" s="175" t="n">
        <v>131</v>
      </c>
      <c r="B132" s="181" t="n">
        <v>40</v>
      </c>
      <c r="C132" s="182" t="n">
        <v>45762</v>
      </c>
      <c r="D132" s="187" t="inlineStr">
        <is>
          <t>219 G. SAN JOSE 2</t>
        </is>
      </c>
      <c r="E132" s="187" t="n">
        <v>40579</v>
      </c>
      <c r="F132" s="187" t="inlineStr">
        <is>
          <t>JHON ARIAS</t>
        </is>
      </c>
      <c r="G132" s="188" t="n">
        <v>3184</v>
      </c>
      <c r="H132" s="188" t="n">
        <v>3184</v>
      </c>
      <c r="I132" s="188" t="n">
        <v>3147</v>
      </c>
      <c r="J132" s="188" t="n">
        <v>5</v>
      </c>
      <c r="K132" s="188" t="n">
        <v>32</v>
      </c>
      <c r="L132" s="189" t="n">
        <v>0</v>
      </c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  <c r="AA132" s="162" t="n"/>
      <c r="AB132" s="162" t="n"/>
      <c r="AC132" s="162" t="n"/>
      <c r="AD132" s="162" t="n"/>
      <c r="AE132" s="162" t="n"/>
      <c r="AF132" s="162" t="n"/>
      <c r="AG132" s="162" t="n"/>
      <c r="AH132" s="162" t="n"/>
      <c r="AI132" s="162" t="n"/>
      <c r="AJ132" s="162" t="n"/>
      <c r="AK132" s="162" t="n"/>
      <c r="AL132" s="162" t="n"/>
      <c r="AM132" s="162" t="n"/>
      <c r="AN132" s="162" t="n"/>
      <c r="AO132" s="162" t="n"/>
      <c r="AP132" s="162" t="n"/>
      <c r="AQ132" s="162" t="n"/>
      <c r="AR132" s="162" t="n"/>
      <c r="AS132" s="162" t="n"/>
      <c r="AT132" s="162" t="n"/>
      <c r="AU132" s="162" t="n"/>
      <c r="AV132" s="162" t="n"/>
      <c r="AW132" s="162" t="n"/>
      <c r="AX132" s="162" t="n"/>
      <c r="AY132" s="162" t="n"/>
      <c r="AZ132" s="162" t="n"/>
      <c r="BA132" s="162" t="n"/>
      <c r="BB132" s="162" t="n"/>
      <c r="BC132" s="162" t="n"/>
      <c r="BD132" s="162" t="n"/>
      <c r="BE132" s="162" t="n"/>
      <c r="BF132" s="162" t="n"/>
      <c r="BG132" s="162" t="n"/>
      <c r="BH132" s="162" t="n"/>
      <c r="BI132" s="162" t="n"/>
      <c r="BJ132" s="162" t="n"/>
      <c r="BK132" s="162" t="n"/>
      <c r="BL132" s="162" t="n"/>
      <c r="BM132" s="162" t="n"/>
      <c r="BN132" s="162" t="n"/>
      <c r="BO132" s="162" t="n"/>
      <c r="BP132" s="162" t="n"/>
      <c r="BQ132" s="162" t="n"/>
      <c r="BR132" s="162" t="n"/>
      <c r="BS132" s="162" t="n"/>
      <c r="BT132" s="162" t="n"/>
      <c r="BU132" s="162" t="n"/>
      <c r="BV132" s="162" t="n"/>
      <c r="BW132" s="162" t="n"/>
      <c r="BX132" s="162" t="n"/>
      <c r="BY132" s="162" t="n"/>
      <c r="BZ132" s="162" t="n"/>
      <c r="CA132" s="162" t="n"/>
      <c r="CB132" s="162" t="n"/>
      <c r="CC132" s="162" t="n"/>
      <c r="CD132" s="162" t="n"/>
      <c r="CE132" s="162" t="n"/>
      <c r="CF132" s="162" t="n"/>
      <c r="CG132" s="162" t="n"/>
      <c r="CH132" s="162" t="n"/>
      <c r="CI132" s="162" t="n"/>
      <c r="CJ132" s="162" t="n"/>
      <c r="CK132" s="162" t="n"/>
      <c r="CL132" s="162" t="n"/>
      <c r="CM132" s="162" t="n"/>
      <c r="CN132" s="162" t="n"/>
      <c r="CO132" s="162" t="n"/>
      <c r="CP132" s="162" t="n"/>
      <c r="CQ132" s="162" t="n"/>
      <c r="CR132" s="162" t="n"/>
      <c r="CS132" s="162" t="n"/>
      <c r="CT132" s="162" t="n"/>
    </row>
    <row r="133" ht="15" customHeight="1">
      <c r="A133" s="175" t="n">
        <v>132</v>
      </c>
      <c r="B133" s="181" t="n">
        <v>41</v>
      </c>
      <c r="C133" s="182" t="n">
        <v>45762</v>
      </c>
      <c r="D133" s="187" t="inlineStr">
        <is>
          <t>219 G. SAN JOSE 2</t>
        </is>
      </c>
      <c r="E133" s="187" t="n">
        <v>40584</v>
      </c>
      <c r="F133" s="187" t="inlineStr">
        <is>
          <t>HENRY ROMERO</t>
        </is>
      </c>
      <c r="G133" s="188" t="n">
        <v>3184</v>
      </c>
      <c r="H133" s="188" t="n">
        <v>3184</v>
      </c>
      <c r="I133" s="188" t="n">
        <v>3171</v>
      </c>
      <c r="J133" s="188" t="n">
        <v>15</v>
      </c>
      <c r="K133" s="188" t="n">
        <v>10</v>
      </c>
      <c r="L133" s="189" t="n">
        <v>-12</v>
      </c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  <c r="AA133" s="162" t="n"/>
      <c r="AB133" s="162" t="n"/>
      <c r="AC133" s="162" t="n"/>
      <c r="AD133" s="162" t="n"/>
      <c r="AE133" s="162" t="n"/>
      <c r="AF133" s="162" t="n"/>
      <c r="AG133" s="162" t="n"/>
      <c r="AH133" s="162" t="n"/>
      <c r="AI133" s="162" t="n"/>
      <c r="AJ133" s="162" t="n"/>
      <c r="AK133" s="162" t="n"/>
      <c r="AL133" s="162" t="n"/>
      <c r="AM133" s="162" t="n"/>
      <c r="AN133" s="162" t="n"/>
      <c r="AO133" s="162" t="n"/>
      <c r="AP133" s="162" t="n"/>
      <c r="AQ133" s="162" t="n"/>
      <c r="AR133" s="162" t="n"/>
      <c r="AS133" s="162" t="n"/>
      <c r="AT133" s="162" t="n"/>
      <c r="AU133" s="162" t="n"/>
      <c r="AV133" s="162" t="n"/>
      <c r="AW133" s="162" t="n"/>
      <c r="AX133" s="162" t="n"/>
      <c r="AY133" s="162" t="n"/>
      <c r="AZ133" s="162" t="n"/>
      <c r="BA133" s="162" t="n"/>
      <c r="BB133" s="162" t="n"/>
      <c r="BC133" s="162" t="n"/>
      <c r="BD133" s="162" t="n"/>
      <c r="BE133" s="162" t="n"/>
      <c r="BF133" s="162" t="n"/>
      <c r="BG133" s="162" t="n"/>
      <c r="BH133" s="162" t="n"/>
      <c r="BI133" s="162" t="n"/>
      <c r="BJ133" s="162" t="n"/>
      <c r="BK133" s="162" t="n"/>
      <c r="BL133" s="162" t="n"/>
      <c r="BM133" s="162" t="n"/>
      <c r="BN133" s="162" t="n"/>
      <c r="BO133" s="162" t="n"/>
      <c r="BP133" s="162" t="n"/>
      <c r="BQ133" s="162" t="n"/>
      <c r="BR133" s="162" t="n"/>
      <c r="BS133" s="162" t="n"/>
      <c r="BT133" s="162" t="n"/>
      <c r="BU133" s="162" t="n"/>
      <c r="BV133" s="162" t="n"/>
      <c r="BW133" s="162" t="n"/>
      <c r="BX133" s="162" t="n"/>
      <c r="BY133" s="162" t="n"/>
      <c r="BZ133" s="162" t="n"/>
      <c r="CA133" s="162" t="n"/>
      <c r="CB133" s="162" t="n"/>
      <c r="CC133" s="162" t="n"/>
      <c r="CD133" s="162" t="n"/>
      <c r="CE133" s="162" t="n"/>
      <c r="CF133" s="162" t="n"/>
      <c r="CG133" s="162" t="n"/>
      <c r="CH133" s="162" t="n"/>
      <c r="CI133" s="162" t="n"/>
      <c r="CJ133" s="162" t="n"/>
      <c r="CK133" s="162" t="n"/>
      <c r="CL133" s="162" t="n"/>
      <c r="CM133" s="162" t="n"/>
      <c r="CN133" s="162" t="n"/>
      <c r="CO133" s="162" t="n"/>
      <c r="CP133" s="162" t="n"/>
      <c r="CQ133" s="162" t="n"/>
      <c r="CR133" s="162" t="n"/>
      <c r="CS133" s="162" t="n"/>
      <c r="CT133" s="162" t="n"/>
    </row>
    <row r="134" ht="15" customHeight="1">
      <c r="A134" s="175" t="n">
        <v>133</v>
      </c>
      <c r="B134" s="181" t="n">
        <v>42</v>
      </c>
      <c r="C134" s="182" t="n">
        <v>45762</v>
      </c>
      <c r="D134" s="187" t="inlineStr">
        <is>
          <t>219 G. SAN JOSE 2</t>
        </is>
      </c>
      <c r="E134" s="187" t="n">
        <v>40585</v>
      </c>
      <c r="F134" s="187" t="inlineStr">
        <is>
          <t>YAIR RIVEROS</t>
        </is>
      </c>
      <c r="G134" s="188" t="n">
        <v>3184</v>
      </c>
      <c r="H134" s="188" t="n">
        <v>3184</v>
      </c>
      <c r="I134" s="188" t="n">
        <v>3173</v>
      </c>
      <c r="J134" s="188" t="n">
        <v>20</v>
      </c>
      <c r="K134" s="188" t="n">
        <v>10</v>
      </c>
      <c r="L134" s="189" t="n">
        <v>-19</v>
      </c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  <c r="AA134" s="162" t="n"/>
      <c r="AB134" s="162" t="n"/>
      <c r="AC134" s="162" t="n"/>
      <c r="AD134" s="162" t="n"/>
      <c r="AE134" s="162" t="n"/>
      <c r="AF134" s="162" t="n"/>
      <c r="AG134" s="162" t="n"/>
      <c r="AH134" s="162" t="n"/>
      <c r="AI134" s="162" t="n"/>
      <c r="AJ134" s="162" t="n"/>
      <c r="AK134" s="162" t="n"/>
      <c r="AL134" s="162" t="n"/>
      <c r="AM134" s="162" t="n"/>
      <c r="AN134" s="162" t="n"/>
      <c r="AO134" s="162" t="n"/>
      <c r="AP134" s="162" t="n"/>
      <c r="AQ134" s="162" t="n"/>
      <c r="AR134" s="162" t="n"/>
      <c r="AS134" s="162" t="n"/>
      <c r="AT134" s="162" t="n"/>
      <c r="AU134" s="162" t="n"/>
      <c r="AV134" s="162" t="n"/>
      <c r="AW134" s="162" t="n"/>
      <c r="AX134" s="162" t="n"/>
      <c r="AY134" s="162" t="n"/>
      <c r="AZ134" s="162" t="n"/>
      <c r="BA134" s="162" t="n"/>
      <c r="BB134" s="162" t="n"/>
      <c r="BC134" s="162" t="n"/>
      <c r="BD134" s="162" t="n"/>
      <c r="BE134" s="162" t="n"/>
      <c r="BF134" s="162" t="n"/>
      <c r="BG134" s="162" t="n"/>
      <c r="BH134" s="162" t="n"/>
      <c r="BI134" s="162" t="n"/>
      <c r="BJ134" s="162" t="n"/>
      <c r="BK134" s="162" t="n"/>
      <c r="BL134" s="162" t="n"/>
      <c r="BM134" s="162" t="n"/>
      <c r="BN134" s="162" t="n"/>
      <c r="BO134" s="162" t="n"/>
      <c r="BP134" s="162" t="n"/>
      <c r="BQ134" s="162" t="n"/>
      <c r="BR134" s="162" t="n"/>
      <c r="BS134" s="162" t="n"/>
      <c r="BT134" s="162" t="n"/>
      <c r="BU134" s="162" t="n"/>
      <c r="BV134" s="162" t="n"/>
      <c r="BW134" s="162" t="n"/>
      <c r="BX134" s="162" t="n"/>
      <c r="BY134" s="162" t="n"/>
      <c r="BZ134" s="162" t="n"/>
      <c r="CA134" s="162" t="n"/>
      <c r="CB134" s="162" t="n"/>
      <c r="CC134" s="162" t="n"/>
      <c r="CD134" s="162" t="n"/>
      <c r="CE134" s="162" t="n"/>
      <c r="CF134" s="162" t="n"/>
      <c r="CG134" s="162" t="n"/>
      <c r="CH134" s="162" t="n"/>
      <c r="CI134" s="162" t="n"/>
      <c r="CJ134" s="162" t="n"/>
      <c r="CK134" s="162" t="n"/>
      <c r="CL134" s="162" t="n"/>
      <c r="CM134" s="162" t="n"/>
      <c r="CN134" s="162" t="n"/>
      <c r="CO134" s="162" t="n"/>
      <c r="CP134" s="162" t="n"/>
      <c r="CQ134" s="162" t="n"/>
      <c r="CR134" s="162" t="n"/>
      <c r="CS134" s="162" t="n"/>
      <c r="CT134" s="162" t="n"/>
    </row>
    <row r="135" ht="15" customHeight="1">
      <c r="A135" s="175" t="n">
        <v>134</v>
      </c>
      <c r="B135" s="192" t="n">
        <v>43</v>
      </c>
      <c r="C135" s="193" t="n">
        <v>45762</v>
      </c>
      <c r="D135" s="194" t="inlineStr">
        <is>
          <t>219 G. SAN JOSE 2</t>
        </is>
      </c>
      <c r="E135" s="194" t="n">
        <v>40586</v>
      </c>
      <c r="F135" s="194" t="inlineStr">
        <is>
          <t>MANUEL QUITIAN</t>
        </is>
      </c>
      <c r="G135" s="195" t="n">
        <v>3184</v>
      </c>
      <c r="H135" s="195" t="n">
        <v>3184</v>
      </c>
      <c r="I135" s="195" t="n">
        <v>3173</v>
      </c>
      <c r="J135" s="195" t="n">
        <v>2</v>
      </c>
      <c r="K135" s="195" t="n">
        <v>8</v>
      </c>
      <c r="L135" s="196" t="n">
        <v>1</v>
      </c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  <c r="AA135" s="162" t="n"/>
      <c r="AB135" s="162" t="n"/>
      <c r="AC135" s="162" t="n"/>
      <c r="AD135" s="162" t="n"/>
      <c r="AE135" s="162" t="n"/>
      <c r="AF135" s="162" t="n"/>
      <c r="AG135" s="162" t="n"/>
      <c r="AH135" s="162" t="n"/>
      <c r="AI135" s="162" t="n"/>
      <c r="AJ135" s="162" t="n"/>
      <c r="AK135" s="162" t="n"/>
      <c r="AL135" s="162" t="n"/>
      <c r="AM135" s="162" t="n"/>
      <c r="AN135" s="162" t="n"/>
      <c r="AO135" s="162" t="n"/>
      <c r="AP135" s="162" t="n"/>
      <c r="AQ135" s="162" t="n"/>
      <c r="AR135" s="162" t="n"/>
      <c r="AS135" s="162" t="n"/>
      <c r="AT135" s="162" t="n"/>
      <c r="AU135" s="162" t="n"/>
      <c r="AV135" s="162" t="n"/>
      <c r="AW135" s="162" t="n"/>
      <c r="AX135" s="162" t="n"/>
      <c r="AY135" s="162" t="n"/>
      <c r="AZ135" s="162" t="n"/>
      <c r="BA135" s="162" t="n"/>
      <c r="BB135" s="162" t="n"/>
      <c r="BC135" s="162" t="n"/>
      <c r="BD135" s="162" t="n"/>
      <c r="BE135" s="162" t="n"/>
      <c r="BF135" s="162" t="n"/>
      <c r="BG135" s="162" t="n"/>
      <c r="BH135" s="162" t="n"/>
      <c r="BI135" s="162" t="n"/>
      <c r="BJ135" s="162" t="n"/>
      <c r="BK135" s="162" t="n"/>
      <c r="BL135" s="162" t="n"/>
      <c r="BM135" s="162" t="n"/>
      <c r="BN135" s="162" t="n"/>
      <c r="BO135" s="162" t="n"/>
      <c r="BP135" s="162" t="n"/>
      <c r="BQ135" s="162" t="n"/>
      <c r="BR135" s="162" t="n"/>
      <c r="BS135" s="162" t="n"/>
      <c r="BT135" s="162" t="n"/>
      <c r="BU135" s="162" t="n"/>
      <c r="BV135" s="162" t="n"/>
      <c r="BW135" s="162" t="n"/>
      <c r="BX135" s="162" t="n"/>
      <c r="BY135" s="162" t="n"/>
      <c r="BZ135" s="162" t="n"/>
      <c r="CA135" s="162" t="n"/>
      <c r="CB135" s="162" t="n"/>
      <c r="CC135" s="162" t="n"/>
      <c r="CD135" s="162" t="n"/>
      <c r="CE135" s="162" t="n"/>
      <c r="CF135" s="162" t="n"/>
      <c r="CG135" s="162" t="n"/>
      <c r="CH135" s="162" t="n"/>
      <c r="CI135" s="162" t="n"/>
      <c r="CJ135" s="162" t="n"/>
      <c r="CK135" s="162" t="n"/>
      <c r="CL135" s="162" t="n"/>
      <c r="CM135" s="162" t="n"/>
      <c r="CN135" s="162" t="n"/>
      <c r="CO135" s="162" t="n"/>
      <c r="CP135" s="162" t="n"/>
      <c r="CQ135" s="162" t="n"/>
      <c r="CR135" s="162" t="n"/>
      <c r="CS135" s="162" t="n"/>
      <c r="CT135" s="162" t="n"/>
    </row>
    <row r="136" ht="15" customHeight="1">
      <c r="A136" s="175" t="n">
        <v>135</v>
      </c>
      <c r="B136" s="176" t="n">
        <v>44</v>
      </c>
      <c r="C136" s="220" t="n">
        <v>45763</v>
      </c>
      <c r="D136" s="205" t="inlineStr">
        <is>
          <t>221 G. MALAGUEÑA</t>
        </is>
      </c>
      <c r="E136" s="205" t="n">
        <v>40594</v>
      </c>
      <c r="F136" s="205" t="inlineStr">
        <is>
          <t>WILMER PIÑEROS</t>
        </is>
      </c>
      <c r="G136" s="206" t="n">
        <v>3566</v>
      </c>
      <c r="H136" s="206" t="n">
        <v>3564</v>
      </c>
      <c r="I136" s="206" t="n">
        <v>3518</v>
      </c>
      <c r="J136" s="206" t="n">
        <v>10</v>
      </c>
      <c r="K136" s="206" t="n">
        <v>15</v>
      </c>
      <c r="L136" s="207" t="n">
        <v>23</v>
      </c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  <c r="AA136" s="162" t="n"/>
      <c r="AB136" s="162" t="n"/>
      <c r="AC136" s="162" t="n"/>
      <c r="AD136" s="162" t="n"/>
      <c r="AE136" s="162" t="n"/>
      <c r="AF136" s="162" t="n"/>
      <c r="AG136" s="162" t="n"/>
      <c r="AH136" s="162" t="n"/>
      <c r="AI136" s="162" t="n"/>
      <c r="AJ136" s="162" t="n"/>
      <c r="AK136" s="162" t="n"/>
      <c r="AL136" s="162" t="n"/>
      <c r="AM136" s="162" t="n"/>
      <c r="AN136" s="162" t="n"/>
      <c r="AO136" s="162" t="n"/>
      <c r="AP136" s="162" t="n"/>
      <c r="AQ136" s="162" t="n"/>
      <c r="AR136" s="162" t="n"/>
      <c r="AS136" s="162" t="n"/>
      <c r="AT136" s="162" t="n"/>
      <c r="AU136" s="162" t="n"/>
      <c r="AV136" s="162" t="n"/>
      <c r="AW136" s="162" t="n"/>
      <c r="AX136" s="162" t="n"/>
      <c r="AY136" s="162" t="n"/>
      <c r="AZ136" s="162" t="n"/>
      <c r="BA136" s="162" t="n"/>
      <c r="BB136" s="162" t="n"/>
      <c r="BC136" s="162" t="n"/>
      <c r="BD136" s="162" t="n"/>
      <c r="BE136" s="162" t="n"/>
      <c r="BF136" s="162" t="n"/>
      <c r="BG136" s="162" t="n"/>
      <c r="BH136" s="162" t="n"/>
      <c r="BI136" s="162" t="n"/>
      <c r="BJ136" s="162" t="n"/>
      <c r="BK136" s="162" t="n"/>
      <c r="BL136" s="162" t="n"/>
      <c r="BM136" s="162" t="n"/>
      <c r="BN136" s="162" t="n"/>
      <c r="BO136" s="162" t="n"/>
      <c r="BP136" s="162" t="n"/>
      <c r="BQ136" s="162" t="n"/>
      <c r="BR136" s="162" t="n"/>
      <c r="BS136" s="162" t="n"/>
      <c r="BT136" s="162" t="n"/>
      <c r="BU136" s="162" t="n"/>
      <c r="BV136" s="162" t="n"/>
      <c r="BW136" s="162" t="n"/>
      <c r="BX136" s="162" t="n"/>
      <c r="BY136" s="162" t="n"/>
      <c r="BZ136" s="162" t="n"/>
      <c r="CA136" s="162" t="n"/>
      <c r="CB136" s="162" t="n"/>
      <c r="CC136" s="162" t="n"/>
      <c r="CD136" s="162" t="n"/>
      <c r="CE136" s="162" t="n"/>
      <c r="CF136" s="162" t="n"/>
      <c r="CG136" s="162" t="n"/>
      <c r="CH136" s="162" t="n"/>
      <c r="CI136" s="162" t="n"/>
      <c r="CJ136" s="162" t="n"/>
      <c r="CK136" s="162" t="n"/>
      <c r="CL136" s="162" t="n"/>
      <c r="CM136" s="162" t="n"/>
      <c r="CN136" s="162" t="n"/>
      <c r="CO136" s="162" t="n"/>
      <c r="CP136" s="162" t="n"/>
      <c r="CQ136" s="162" t="n"/>
      <c r="CR136" s="162" t="n"/>
      <c r="CS136" s="162" t="n"/>
      <c r="CT136" s="162" t="n"/>
    </row>
    <row r="137" ht="15" customHeight="1">
      <c r="A137" s="175" t="n">
        <v>136</v>
      </c>
      <c r="B137" s="181" t="n">
        <v>45</v>
      </c>
      <c r="C137" s="182" t="n">
        <v>45763</v>
      </c>
      <c r="D137" s="187" t="inlineStr">
        <is>
          <t>221 G. MALAGUEÑA</t>
        </is>
      </c>
      <c r="E137" s="187" t="n">
        <v>40595</v>
      </c>
      <c r="F137" s="187" t="inlineStr">
        <is>
          <t>JOSE SOLER</t>
        </is>
      </c>
      <c r="G137" s="188" t="n">
        <v>3564</v>
      </c>
      <c r="H137" s="188" t="n">
        <v>3564</v>
      </c>
      <c r="I137" s="188" t="n">
        <v>3536</v>
      </c>
      <c r="J137" s="188" t="n">
        <v>4</v>
      </c>
      <c r="K137" s="188" t="n">
        <v>4</v>
      </c>
      <c r="L137" s="189" t="n">
        <v>20</v>
      </c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  <c r="AA137" s="162" t="n"/>
      <c r="AB137" s="162" t="n"/>
      <c r="AC137" s="162" t="n"/>
      <c r="AD137" s="162" t="n"/>
      <c r="AE137" s="162" t="n"/>
      <c r="AF137" s="162" t="n"/>
      <c r="AG137" s="162" t="n"/>
      <c r="AH137" s="162" t="n"/>
      <c r="AI137" s="162" t="n"/>
      <c r="AJ137" s="162" t="n"/>
      <c r="AK137" s="162" t="n"/>
      <c r="AL137" s="162" t="n"/>
      <c r="AM137" s="162" t="n"/>
      <c r="AN137" s="162" t="n"/>
      <c r="AO137" s="162" t="n"/>
      <c r="AP137" s="162" t="n"/>
      <c r="AQ137" s="162" t="n"/>
      <c r="AR137" s="162" t="n"/>
      <c r="AS137" s="162" t="n"/>
      <c r="AT137" s="162" t="n"/>
      <c r="AU137" s="162" t="n"/>
      <c r="AV137" s="162" t="n"/>
      <c r="AW137" s="162" t="n"/>
      <c r="AX137" s="162" t="n"/>
      <c r="AY137" s="162" t="n"/>
      <c r="AZ137" s="162" t="n"/>
      <c r="BA137" s="162" t="n"/>
      <c r="BB137" s="162" t="n"/>
      <c r="BC137" s="162" t="n"/>
      <c r="BD137" s="162" t="n"/>
      <c r="BE137" s="162" t="n"/>
      <c r="BF137" s="162" t="n"/>
      <c r="BG137" s="162" t="n"/>
      <c r="BH137" s="162" t="n"/>
      <c r="BI137" s="162" t="n"/>
      <c r="BJ137" s="162" t="n"/>
      <c r="BK137" s="162" t="n"/>
      <c r="BL137" s="162" t="n"/>
      <c r="BM137" s="162" t="n"/>
      <c r="BN137" s="162" t="n"/>
      <c r="BO137" s="162" t="n"/>
      <c r="BP137" s="162" t="n"/>
      <c r="BQ137" s="162" t="n"/>
      <c r="BR137" s="162" t="n"/>
      <c r="BS137" s="162" t="n"/>
      <c r="BT137" s="162" t="n"/>
      <c r="BU137" s="162" t="n"/>
      <c r="BV137" s="162" t="n"/>
      <c r="BW137" s="162" t="n"/>
      <c r="BX137" s="162" t="n"/>
      <c r="BY137" s="162" t="n"/>
      <c r="BZ137" s="162" t="n"/>
      <c r="CA137" s="162" t="n"/>
      <c r="CB137" s="162" t="n"/>
      <c r="CC137" s="162" t="n"/>
      <c r="CD137" s="162" t="n"/>
      <c r="CE137" s="162" t="n"/>
      <c r="CF137" s="162" t="n"/>
      <c r="CG137" s="162" t="n"/>
      <c r="CH137" s="162" t="n"/>
      <c r="CI137" s="162" t="n"/>
      <c r="CJ137" s="162" t="n"/>
      <c r="CK137" s="162" t="n"/>
      <c r="CL137" s="162" t="n"/>
      <c r="CM137" s="162" t="n"/>
      <c r="CN137" s="162" t="n"/>
      <c r="CO137" s="162" t="n"/>
      <c r="CP137" s="162" t="n"/>
      <c r="CQ137" s="162" t="n"/>
      <c r="CR137" s="162" t="n"/>
      <c r="CS137" s="162" t="n"/>
      <c r="CT137" s="162" t="n"/>
    </row>
    <row r="138" ht="15" customHeight="1">
      <c r="A138" s="175" t="n">
        <v>137</v>
      </c>
      <c r="B138" s="181" t="n">
        <v>46</v>
      </c>
      <c r="C138" s="182" t="n">
        <v>45763</v>
      </c>
      <c r="D138" s="187" t="inlineStr">
        <is>
          <t>221 G. MALAGUEÑA</t>
        </is>
      </c>
      <c r="E138" s="187" t="n">
        <v>40596</v>
      </c>
      <c r="F138" s="187" t="inlineStr">
        <is>
          <t>ALBERTO LOPEZ</t>
        </is>
      </c>
      <c r="G138" s="188" t="n">
        <v>3564</v>
      </c>
      <c r="H138" s="188" t="n">
        <v>3564</v>
      </c>
      <c r="I138" s="188" t="n">
        <v>3529</v>
      </c>
      <c r="J138" s="188" t="n">
        <v>5</v>
      </c>
      <c r="K138" s="188" t="n">
        <v>5</v>
      </c>
      <c r="L138" s="189" t="n">
        <v>25</v>
      </c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  <c r="AA138" s="162" t="n"/>
      <c r="AB138" s="162" t="n"/>
      <c r="AC138" s="162" t="n"/>
      <c r="AD138" s="162" t="n"/>
      <c r="AE138" s="162" t="n"/>
      <c r="AF138" s="162" t="n"/>
      <c r="AG138" s="162" t="n"/>
      <c r="AH138" s="162" t="n"/>
      <c r="AI138" s="162" t="n"/>
      <c r="AJ138" s="162" t="n"/>
      <c r="AK138" s="162" t="n"/>
      <c r="AL138" s="162" t="n"/>
      <c r="AM138" s="162" t="n"/>
      <c r="AN138" s="162" t="n"/>
      <c r="AO138" s="162" t="n"/>
      <c r="AP138" s="162" t="n"/>
      <c r="AQ138" s="162" t="n"/>
      <c r="AR138" s="162" t="n"/>
      <c r="AS138" s="162" t="n"/>
      <c r="AT138" s="162" t="n"/>
      <c r="AU138" s="162" t="n"/>
      <c r="AV138" s="162" t="n"/>
      <c r="AW138" s="162" t="n"/>
      <c r="AX138" s="162" t="n"/>
      <c r="AY138" s="162" t="n"/>
      <c r="AZ138" s="162" t="n"/>
      <c r="BA138" s="162" t="n"/>
      <c r="BB138" s="162" t="n"/>
      <c r="BC138" s="162" t="n"/>
      <c r="BD138" s="162" t="n"/>
      <c r="BE138" s="162" t="n"/>
      <c r="BF138" s="162" t="n"/>
      <c r="BG138" s="162" t="n"/>
      <c r="BH138" s="162" t="n"/>
      <c r="BI138" s="162" t="n"/>
      <c r="BJ138" s="162" t="n"/>
      <c r="BK138" s="162" t="n"/>
      <c r="BL138" s="162" t="n"/>
      <c r="BM138" s="162" t="n"/>
      <c r="BN138" s="162" t="n"/>
      <c r="BO138" s="162" t="n"/>
      <c r="BP138" s="162" t="n"/>
      <c r="BQ138" s="162" t="n"/>
      <c r="BR138" s="162" t="n"/>
      <c r="BS138" s="162" t="n"/>
      <c r="BT138" s="162" t="n"/>
      <c r="BU138" s="162" t="n"/>
      <c r="BV138" s="162" t="n"/>
      <c r="BW138" s="162" t="n"/>
      <c r="BX138" s="162" t="n"/>
      <c r="BY138" s="162" t="n"/>
      <c r="BZ138" s="162" t="n"/>
      <c r="CA138" s="162" t="n"/>
      <c r="CB138" s="162" t="n"/>
      <c r="CC138" s="162" t="n"/>
      <c r="CD138" s="162" t="n"/>
      <c r="CE138" s="162" t="n"/>
      <c r="CF138" s="162" t="n"/>
      <c r="CG138" s="162" t="n"/>
      <c r="CH138" s="162" t="n"/>
      <c r="CI138" s="162" t="n"/>
      <c r="CJ138" s="162" t="n"/>
      <c r="CK138" s="162" t="n"/>
      <c r="CL138" s="162" t="n"/>
      <c r="CM138" s="162" t="n"/>
      <c r="CN138" s="162" t="n"/>
      <c r="CO138" s="162" t="n"/>
      <c r="CP138" s="162" t="n"/>
      <c r="CQ138" s="162" t="n"/>
      <c r="CR138" s="162" t="n"/>
      <c r="CS138" s="162" t="n"/>
      <c r="CT138" s="162" t="n"/>
    </row>
    <row r="139" ht="15" customHeight="1">
      <c r="A139" s="175" t="n">
        <v>138</v>
      </c>
      <c r="B139" s="181" t="n">
        <v>47</v>
      </c>
      <c r="C139" s="182" t="n">
        <v>45763</v>
      </c>
      <c r="D139" s="187" t="inlineStr">
        <is>
          <t>221 G. MALAGUEÑA</t>
        </is>
      </c>
      <c r="E139" s="187" t="n">
        <v>40597</v>
      </c>
      <c r="F139" s="187" t="inlineStr">
        <is>
          <t>DUMAR ANGARITA</t>
        </is>
      </c>
      <c r="G139" s="188" t="n">
        <v>3240</v>
      </c>
      <c r="H139" s="188" t="n">
        <v>3240</v>
      </c>
      <c r="I139" s="188" t="n">
        <v>3231</v>
      </c>
      <c r="J139" s="188" t="n">
        <v>5</v>
      </c>
      <c r="K139" s="188" t="n">
        <v>4</v>
      </c>
      <c r="L139" s="189" t="n">
        <v>0</v>
      </c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  <c r="AA139" s="162" t="n"/>
      <c r="AB139" s="162" t="n"/>
      <c r="AC139" s="162" t="n"/>
      <c r="AD139" s="162" t="n"/>
      <c r="AE139" s="162" t="n"/>
      <c r="AF139" s="162" t="n"/>
      <c r="AG139" s="162" t="n"/>
      <c r="AH139" s="162" t="n"/>
      <c r="AI139" s="162" t="n"/>
      <c r="AJ139" s="162" t="n"/>
      <c r="AK139" s="162" t="n"/>
      <c r="AL139" s="162" t="n"/>
      <c r="AM139" s="162" t="n"/>
      <c r="AN139" s="162" t="n"/>
      <c r="AO139" s="162" t="n"/>
      <c r="AP139" s="162" t="n"/>
      <c r="AQ139" s="162" t="n"/>
      <c r="AR139" s="162" t="n"/>
      <c r="AS139" s="162" t="n"/>
      <c r="AT139" s="162" t="n"/>
      <c r="AU139" s="162" t="n"/>
      <c r="AV139" s="162" t="n"/>
      <c r="AW139" s="162" t="n"/>
      <c r="AX139" s="162" t="n"/>
      <c r="AY139" s="162" t="n"/>
      <c r="AZ139" s="162" t="n"/>
      <c r="BA139" s="162" t="n"/>
      <c r="BB139" s="162" t="n"/>
      <c r="BC139" s="162" t="n"/>
      <c r="BD139" s="162" t="n"/>
      <c r="BE139" s="162" t="n"/>
      <c r="BF139" s="162" t="n"/>
      <c r="BG139" s="162" t="n"/>
      <c r="BH139" s="162" t="n"/>
      <c r="BI139" s="162" t="n"/>
      <c r="BJ139" s="162" t="n"/>
      <c r="BK139" s="162" t="n"/>
      <c r="BL139" s="162" t="n"/>
      <c r="BM139" s="162" t="n"/>
      <c r="BN139" s="162" t="n"/>
      <c r="BO139" s="162" t="n"/>
      <c r="BP139" s="162" t="n"/>
      <c r="BQ139" s="162" t="n"/>
      <c r="BR139" s="162" t="n"/>
      <c r="BS139" s="162" t="n"/>
      <c r="BT139" s="162" t="n"/>
      <c r="BU139" s="162" t="n"/>
      <c r="BV139" s="162" t="n"/>
      <c r="BW139" s="162" t="n"/>
      <c r="BX139" s="162" t="n"/>
      <c r="BY139" s="162" t="n"/>
      <c r="BZ139" s="162" t="n"/>
      <c r="CA139" s="162" t="n"/>
      <c r="CB139" s="162" t="n"/>
      <c r="CC139" s="162" t="n"/>
      <c r="CD139" s="162" t="n"/>
      <c r="CE139" s="162" t="n"/>
      <c r="CF139" s="162" t="n"/>
      <c r="CG139" s="162" t="n"/>
      <c r="CH139" s="162" t="n"/>
      <c r="CI139" s="162" t="n"/>
      <c r="CJ139" s="162" t="n"/>
      <c r="CK139" s="162" t="n"/>
      <c r="CL139" s="162" t="n"/>
      <c r="CM139" s="162" t="n"/>
      <c r="CN139" s="162" t="n"/>
      <c r="CO139" s="162" t="n"/>
      <c r="CP139" s="162" t="n"/>
      <c r="CQ139" s="162" t="n"/>
      <c r="CR139" s="162" t="n"/>
      <c r="CS139" s="162" t="n"/>
      <c r="CT139" s="162" t="n"/>
    </row>
    <row r="140" ht="15" customHeight="1">
      <c r="A140" s="175" t="n">
        <v>139</v>
      </c>
      <c r="B140" s="181" t="n">
        <v>48</v>
      </c>
      <c r="C140" s="182" t="n">
        <v>45763</v>
      </c>
      <c r="D140" s="187" t="inlineStr">
        <is>
          <t>221 G. MALAGUEÑA</t>
        </is>
      </c>
      <c r="E140" s="187" t="n">
        <v>40598</v>
      </c>
      <c r="F140" s="187" t="inlineStr">
        <is>
          <t>JAIRO CUBILLOS</t>
        </is>
      </c>
      <c r="G140" s="188" t="n">
        <v>3240</v>
      </c>
      <c r="H140" s="188" t="n">
        <v>3240</v>
      </c>
      <c r="I140" s="188" t="n">
        <v>3229</v>
      </c>
      <c r="J140" s="188" t="n">
        <v>6</v>
      </c>
      <c r="K140" s="188" t="n">
        <v>6</v>
      </c>
      <c r="L140" s="189" t="n">
        <v>-1</v>
      </c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  <c r="AA140" s="162" t="n"/>
      <c r="AB140" s="162" t="n"/>
      <c r="AC140" s="162" t="n"/>
      <c r="AD140" s="162" t="n"/>
      <c r="AE140" s="162" t="n"/>
      <c r="AF140" s="162" t="n"/>
      <c r="AG140" s="162" t="n"/>
      <c r="AH140" s="162" t="n"/>
      <c r="AI140" s="162" t="n"/>
      <c r="AJ140" s="162" t="n"/>
      <c r="AK140" s="162" t="n"/>
      <c r="AL140" s="162" t="n"/>
      <c r="AM140" s="162" t="n"/>
      <c r="AN140" s="162" t="n"/>
      <c r="AO140" s="162" t="n"/>
      <c r="AP140" s="162" t="n"/>
      <c r="AQ140" s="162" t="n"/>
      <c r="AR140" s="162" t="n"/>
      <c r="AS140" s="162" t="n"/>
      <c r="AT140" s="162" t="n"/>
      <c r="AU140" s="162" t="n"/>
      <c r="AV140" s="162" t="n"/>
      <c r="AW140" s="162" t="n"/>
      <c r="AX140" s="162" t="n"/>
      <c r="AY140" s="162" t="n"/>
      <c r="AZ140" s="162" t="n"/>
      <c r="BA140" s="162" t="n"/>
      <c r="BB140" s="162" t="n"/>
      <c r="BC140" s="162" t="n"/>
      <c r="BD140" s="162" t="n"/>
      <c r="BE140" s="162" t="n"/>
      <c r="BF140" s="162" t="n"/>
      <c r="BG140" s="162" t="n"/>
      <c r="BH140" s="162" t="n"/>
      <c r="BI140" s="162" t="n"/>
      <c r="BJ140" s="162" t="n"/>
      <c r="BK140" s="162" t="n"/>
      <c r="BL140" s="162" t="n"/>
      <c r="BM140" s="162" t="n"/>
      <c r="BN140" s="162" t="n"/>
      <c r="BO140" s="162" t="n"/>
      <c r="BP140" s="162" t="n"/>
      <c r="BQ140" s="162" t="n"/>
      <c r="BR140" s="162" t="n"/>
      <c r="BS140" s="162" t="n"/>
      <c r="BT140" s="162" t="n"/>
      <c r="BU140" s="162" t="n"/>
      <c r="BV140" s="162" t="n"/>
      <c r="BW140" s="162" t="n"/>
      <c r="BX140" s="162" t="n"/>
      <c r="BY140" s="162" t="n"/>
      <c r="BZ140" s="162" t="n"/>
      <c r="CA140" s="162" t="n"/>
      <c r="CB140" s="162" t="n"/>
      <c r="CC140" s="162" t="n"/>
      <c r="CD140" s="162" t="n"/>
      <c r="CE140" s="162" t="n"/>
      <c r="CF140" s="162" t="n"/>
      <c r="CG140" s="162" t="n"/>
      <c r="CH140" s="162" t="n"/>
      <c r="CI140" s="162" t="n"/>
      <c r="CJ140" s="162" t="n"/>
      <c r="CK140" s="162" t="n"/>
      <c r="CL140" s="162" t="n"/>
      <c r="CM140" s="162" t="n"/>
      <c r="CN140" s="162" t="n"/>
      <c r="CO140" s="162" t="n"/>
      <c r="CP140" s="162" t="n"/>
      <c r="CQ140" s="162" t="n"/>
      <c r="CR140" s="162" t="n"/>
      <c r="CS140" s="162" t="n"/>
      <c r="CT140" s="162" t="n"/>
    </row>
    <row r="141" ht="15" customHeight="1">
      <c r="A141" s="175" t="n">
        <v>140</v>
      </c>
      <c r="B141" s="181" t="n">
        <v>49</v>
      </c>
      <c r="C141" s="182" t="n">
        <v>45763</v>
      </c>
      <c r="D141" s="187" t="inlineStr">
        <is>
          <t>221 G. MALAGUEÑA</t>
        </is>
      </c>
      <c r="E141" s="187" t="n">
        <v>40599</v>
      </c>
      <c r="F141" s="187" t="inlineStr">
        <is>
          <t>FABIO ALDANA</t>
        </is>
      </c>
      <c r="G141" s="188" t="n">
        <v>3553</v>
      </c>
      <c r="H141" s="188" t="n">
        <v>3553</v>
      </c>
      <c r="I141" s="188" t="n">
        <v>3560</v>
      </c>
      <c r="J141" s="188" t="n">
        <v>2</v>
      </c>
      <c r="K141" s="188" t="n">
        <v>3</v>
      </c>
      <c r="L141" s="189" t="n">
        <v>-12</v>
      </c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  <c r="AA141" s="162" t="n"/>
      <c r="AB141" s="162" t="n"/>
      <c r="AC141" s="162" t="n"/>
      <c r="AD141" s="162" t="n"/>
      <c r="AE141" s="162" t="n"/>
      <c r="AF141" s="162" t="n"/>
      <c r="AG141" s="162" t="n"/>
      <c r="AH141" s="162" t="n"/>
      <c r="AI141" s="162" t="n"/>
      <c r="AJ141" s="162" t="n"/>
      <c r="AK141" s="162" t="n"/>
      <c r="AL141" s="162" t="n"/>
      <c r="AM141" s="162" t="n"/>
      <c r="AN141" s="162" t="n"/>
      <c r="AO141" s="162" t="n"/>
      <c r="AP141" s="162" t="n"/>
      <c r="AQ141" s="162" t="n"/>
      <c r="AR141" s="162" t="n"/>
      <c r="AS141" s="162" t="n"/>
      <c r="AT141" s="162" t="n"/>
      <c r="AU141" s="162" t="n"/>
      <c r="AV141" s="162" t="n"/>
      <c r="AW141" s="162" t="n"/>
      <c r="AX141" s="162" t="n"/>
      <c r="AY141" s="162" t="n"/>
      <c r="AZ141" s="162" t="n"/>
      <c r="BA141" s="162" t="n"/>
      <c r="BB141" s="162" t="n"/>
      <c r="BC141" s="162" t="n"/>
      <c r="BD141" s="162" t="n"/>
      <c r="BE141" s="162" t="n"/>
      <c r="BF141" s="162" t="n"/>
      <c r="BG141" s="162" t="n"/>
      <c r="BH141" s="162" t="n"/>
      <c r="BI141" s="162" t="n"/>
      <c r="BJ141" s="162" t="n"/>
      <c r="BK141" s="162" t="n"/>
      <c r="BL141" s="162" t="n"/>
      <c r="BM141" s="162" t="n"/>
      <c r="BN141" s="162" t="n"/>
      <c r="BO141" s="162" t="n"/>
      <c r="BP141" s="162" t="n"/>
      <c r="BQ141" s="162" t="n"/>
      <c r="BR141" s="162" t="n"/>
      <c r="BS141" s="162" t="n"/>
      <c r="BT141" s="162" t="n"/>
      <c r="BU141" s="162" t="n"/>
      <c r="BV141" s="162" t="n"/>
      <c r="BW141" s="162" t="n"/>
      <c r="BX141" s="162" t="n"/>
      <c r="BY141" s="162" t="n"/>
      <c r="BZ141" s="162" t="n"/>
      <c r="CA141" s="162" t="n"/>
      <c r="CB141" s="162" t="n"/>
      <c r="CC141" s="162" t="n"/>
      <c r="CD141" s="162" t="n"/>
      <c r="CE141" s="162" t="n"/>
      <c r="CF141" s="162" t="n"/>
      <c r="CG141" s="162" t="n"/>
      <c r="CH141" s="162" t="n"/>
      <c r="CI141" s="162" t="n"/>
      <c r="CJ141" s="162" t="n"/>
      <c r="CK141" s="162" t="n"/>
      <c r="CL141" s="162" t="n"/>
      <c r="CM141" s="162" t="n"/>
      <c r="CN141" s="162" t="n"/>
      <c r="CO141" s="162" t="n"/>
      <c r="CP141" s="162" t="n"/>
      <c r="CQ141" s="162" t="n"/>
      <c r="CR141" s="162" t="n"/>
      <c r="CS141" s="162" t="n"/>
      <c r="CT141" s="162" t="n"/>
    </row>
    <row r="142" ht="15" customHeight="1">
      <c r="A142" s="175" t="n">
        <v>141</v>
      </c>
      <c r="B142" s="181" t="n">
        <v>50</v>
      </c>
      <c r="C142" s="182" t="n">
        <v>45763</v>
      </c>
      <c r="D142" s="187" t="inlineStr">
        <is>
          <t>221 G. MALAGUEÑA</t>
        </is>
      </c>
      <c r="E142" s="187" t="n">
        <v>40600</v>
      </c>
      <c r="F142" s="187" t="inlineStr">
        <is>
          <t>JHON AGUIRRE</t>
        </is>
      </c>
      <c r="G142" s="188" t="n">
        <v>3240</v>
      </c>
      <c r="H142" s="188" t="n">
        <v>3204</v>
      </c>
      <c r="I142" s="188" t="n">
        <v>3166</v>
      </c>
      <c r="J142" s="188" t="n">
        <v>2</v>
      </c>
      <c r="K142" s="188" t="n">
        <v>21</v>
      </c>
      <c r="L142" s="189" t="n">
        <v>51</v>
      </c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  <c r="AA142" s="162" t="n"/>
      <c r="AB142" s="162" t="n"/>
      <c r="AC142" s="162" t="n"/>
      <c r="AD142" s="162" t="n"/>
      <c r="AE142" s="162" t="n"/>
      <c r="AF142" s="162" t="n"/>
      <c r="AG142" s="162" t="n"/>
      <c r="AH142" s="162" t="n"/>
      <c r="AI142" s="162" t="n"/>
      <c r="AJ142" s="162" t="n"/>
      <c r="AK142" s="162" t="n"/>
      <c r="AL142" s="162" t="n"/>
      <c r="AM142" s="162" t="n"/>
      <c r="AN142" s="162" t="n"/>
      <c r="AO142" s="162" t="n"/>
      <c r="AP142" s="162" t="n"/>
      <c r="AQ142" s="162" t="n"/>
      <c r="AR142" s="162" t="n"/>
      <c r="AS142" s="162" t="n"/>
      <c r="AT142" s="162" t="n"/>
      <c r="AU142" s="162" t="n"/>
      <c r="AV142" s="162" t="n"/>
      <c r="AW142" s="162" t="n"/>
      <c r="AX142" s="162" t="n"/>
      <c r="AY142" s="162" t="n"/>
      <c r="AZ142" s="162" t="n"/>
      <c r="BA142" s="162" t="n"/>
      <c r="BB142" s="162" t="n"/>
      <c r="BC142" s="162" t="n"/>
      <c r="BD142" s="162" t="n"/>
      <c r="BE142" s="162" t="n"/>
      <c r="BF142" s="162" t="n"/>
      <c r="BG142" s="162" t="n"/>
      <c r="BH142" s="162" t="n"/>
      <c r="BI142" s="162" t="n"/>
      <c r="BJ142" s="162" t="n"/>
      <c r="BK142" s="162" t="n"/>
      <c r="BL142" s="162" t="n"/>
      <c r="BM142" s="162" t="n"/>
      <c r="BN142" s="162" t="n"/>
      <c r="BO142" s="162" t="n"/>
      <c r="BP142" s="162" t="n"/>
      <c r="BQ142" s="162" t="n"/>
      <c r="BR142" s="162" t="n"/>
      <c r="BS142" s="162" t="n"/>
      <c r="BT142" s="162" t="n"/>
      <c r="BU142" s="162" t="n"/>
      <c r="BV142" s="162" t="n"/>
      <c r="BW142" s="162" t="n"/>
      <c r="BX142" s="162" t="n"/>
      <c r="BY142" s="162" t="n"/>
      <c r="BZ142" s="162" t="n"/>
      <c r="CA142" s="162" t="n"/>
      <c r="CB142" s="162" t="n"/>
      <c r="CC142" s="162" t="n"/>
      <c r="CD142" s="162" t="n"/>
      <c r="CE142" s="162" t="n"/>
      <c r="CF142" s="162" t="n"/>
      <c r="CG142" s="162" t="n"/>
      <c r="CH142" s="162" t="n"/>
      <c r="CI142" s="162" t="n"/>
      <c r="CJ142" s="162" t="n"/>
      <c r="CK142" s="162" t="n"/>
      <c r="CL142" s="162" t="n"/>
      <c r="CM142" s="162" t="n"/>
      <c r="CN142" s="162" t="n"/>
      <c r="CO142" s="162" t="n"/>
      <c r="CP142" s="162" t="n"/>
      <c r="CQ142" s="162" t="n"/>
      <c r="CR142" s="162" t="n"/>
      <c r="CS142" s="162" t="n"/>
      <c r="CT142" s="162" t="n"/>
    </row>
    <row r="143" ht="15" customHeight="1">
      <c r="A143" s="175" t="n">
        <v>142</v>
      </c>
      <c r="B143" s="181" t="n">
        <v>51</v>
      </c>
      <c r="C143" s="182" t="n">
        <v>45763</v>
      </c>
      <c r="D143" s="187" t="inlineStr">
        <is>
          <t>221 G. MALAGUEÑA</t>
        </is>
      </c>
      <c r="E143" s="187" t="n">
        <v>40608</v>
      </c>
      <c r="F143" s="187" t="inlineStr">
        <is>
          <t>HERNAN ROMERO</t>
        </is>
      </c>
      <c r="G143" s="188" t="n">
        <v>3204</v>
      </c>
      <c r="H143" s="188" t="n">
        <v>3204</v>
      </c>
      <c r="I143" s="188" t="n">
        <v>3189</v>
      </c>
      <c r="J143" s="188" t="n">
        <v>4</v>
      </c>
      <c r="K143" s="188" t="n">
        <v>12</v>
      </c>
      <c r="L143" s="189" t="n">
        <v>-1</v>
      </c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  <c r="AA143" s="162" t="n"/>
      <c r="AB143" s="162" t="n"/>
      <c r="AC143" s="162" t="n"/>
      <c r="AD143" s="162" t="n"/>
      <c r="AE143" s="162" t="n"/>
      <c r="AF143" s="162" t="n"/>
      <c r="AG143" s="162" t="n"/>
      <c r="AH143" s="162" t="n"/>
      <c r="AI143" s="162" t="n"/>
      <c r="AJ143" s="162" t="n"/>
      <c r="AK143" s="162" t="n"/>
      <c r="AL143" s="162" t="n"/>
      <c r="AM143" s="162" t="n"/>
      <c r="AN143" s="162" t="n"/>
      <c r="AO143" s="162" t="n"/>
      <c r="AP143" s="162" t="n"/>
      <c r="AQ143" s="162" t="n"/>
      <c r="AR143" s="162" t="n"/>
      <c r="AS143" s="162" t="n"/>
      <c r="AT143" s="162" t="n"/>
      <c r="AU143" s="162" t="n"/>
      <c r="AV143" s="162" t="n"/>
      <c r="AW143" s="162" t="n"/>
      <c r="AX143" s="162" t="n"/>
      <c r="AY143" s="162" t="n"/>
      <c r="AZ143" s="162" t="n"/>
      <c r="BA143" s="162" t="n"/>
      <c r="BB143" s="162" t="n"/>
      <c r="BC143" s="162" t="n"/>
      <c r="BD143" s="162" t="n"/>
      <c r="BE143" s="162" t="n"/>
      <c r="BF143" s="162" t="n"/>
      <c r="BG143" s="162" t="n"/>
      <c r="BH143" s="162" t="n"/>
      <c r="BI143" s="162" t="n"/>
      <c r="BJ143" s="162" t="n"/>
      <c r="BK143" s="162" t="n"/>
      <c r="BL143" s="162" t="n"/>
      <c r="BM143" s="162" t="n"/>
      <c r="BN143" s="162" t="n"/>
      <c r="BO143" s="162" t="n"/>
      <c r="BP143" s="162" t="n"/>
      <c r="BQ143" s="162" t="n"/>
      <c r="BR143" s="162" t="n"/>
      <c r="BS143" s="162" t="n"/>
      <c r="BT143" s="162" t="n"/>
      <c r="BU143" s="162" t="n"/>
      <c r="BV143" s="162" t="n"/>
      <c r="BW143" s="162" t="n"/>
      <c r="BX143" s="162" t="n"/>
      <c r="BY143" s="162" t="n"/>
      <c r="BZ143" s="162" t="n"/>
      <c r="CA143" s="162" t="n"/>
      <c r="CB143" s="162" t="n"/>
      <c r="CC143" s="162" t="n"/>
      <c r="CD143" s="162" t="n"/>
      <c r="CE143" s="162" t="n"/>
      <c r="CF143" s="162" t="n"/>
      <c r="CG143" s="162" t="n"/>
      <c r="CH143" s="162" t="n"/>
      <c r="CI143" s="162" t="n"/>
      <c r="CJ143" s="162" t="n"/>
      <c r="CK143" s="162" t="n"/>
      <c r="CL143" s="162" t="n"/>
      <c r="CM143" s="162" t="n"/>
      <c r="CN143" s="162" t="n"/>
      <c r="CO143" s="162" t="n"/>
      <c r="CP143" s="162" t="n"/>
      <c r="CQ143" s="162" t="n"/>
      <c r="CR143" s="162" t="n"/>
      <c r="CS143" s="162" t="n"/>
      <c r="CT143" s="162" t="n"/>
    </row>
    <row r="144" ht="15" customHeight="1">
      <c r="A144" s="175" t="n">
        <v>143</v>
      </c>
      <c r="B144" s="181" t="n">
        <v>52</v>
      </c>
      <c r="C144" s="182" t="n">
        <v>45763</v>
      </c>
      <c r="D144" s="187" t="inlineStr">
        <is>
          <t>221 G. MALAGUEÑA</t>
        </is>
      </c>
      <c r="E144" s="187" t="n">
        <v>40609</v>
      </c>
      <c r="F144" s="187" t="inlineStr">
        <is>
          <t>WILMER PIÑEROS</t>
        </is>
      </c>
      <c r="G144" s="188" t="n">
        <v>3204</v>
      </c>
      <c r="H144" s="188" t="n">
        <v>3204</v>
      </c>
      <c r="I144" s="188" t="n">
        <v>3187</v>
      </c>
      <c r="J144" s="188" t="n">
        <v>5</v>
      </c>
      <c r="K144" s="188" t="n">
        <v>14</v>
      </c>
      <c r="L144" s="189" t="n">
        <v>-2</v>
      </c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  <c r="AA144" s="162" t="n"/>
      <c r="AB144" s="162" t="n"/>
      <c r="AC144" s="162" t="n"/>
      <c r="AD144" s="162" t="n"/>
      <c r="AE144" s="162" t="n"/>
      <c r="AF144" s="162" t="n"/>
      <c r="AG144" s="162" t="n"/>
      <c r="AH144" s="162" t="n"/>
      <c r="AI144" s="162" t="n"/>
      <c r="AJ144" s="162" t="n"/>
      <c r="AK144" s="162" t="n"/>
      <c r="AL144" s="162" t="n"/>
      <c r="AM144" s="162" t="n"/>
      <c r="AN144" s="162" t="n"/>
      <c r="AO144" s="162" t="n"/>
      <c r="AP144" s="162" t="n"/>
      <c r="AQ144" s="162" t="n"/>
      <c r="AR144" s="162" t="n"/>
      <c r="AS144" s="162" t="n"/>
      <c r="AT144" s="162" t="n"/>
      <c r="AU144" s="162" t="n"/>
      <c r="AV144" s="162" t="n"/>
      <c r="AW144" s="162" t="n"/>
      <c r="AX144" s="162" t="n"/>
      <c r="AY144" s="162" t="n"/>
      <c r="AZ144" s="162" t="n"/>
      <c r="BA144" s="162" t="n"/>
      <c r="BB144" s="162" t="n"/>
      <c r="BC144" s="162" t="n"/>
      <c r="BD144" s="162" t="n"/>
      <c r="BE144" s="162" t="n"/>
      <c r="BF144" s="162" t="n"/>
      <c r="BG144" s="162" t="n"/>
      <c r="BH144" s="162" t="n"/>
      <c r="BI144" s="162" t="n"/>
      <c r="BJ144" s="162" t="n"/>
      <c r="BK144" s="162" t="n"/>
      <c r="BL144" s="162" t="n"/>
      <c r="BM144" s="162" t="n"/>
      <c r="BN144" s="162" t="n"/>
      <c r="BO144" s="162" t="n"/>
      <c r="BP144" s="162" t="n"/>
      <c r="BQ144" s="162" t="n"/>
      <c r="BR144" s="162" t="n"/>
      <c r="BS144" s="162" t="n"/>
      <c r="BT144" s="162" t="n"/>
      <c r="BU144" s="162" t="n"/>
      <c r="BV144" s="162" t="n"/>
      <c r="BW144" s="162" t="n"/>
      <c r="BX144" s="162" t="n"/>
      <c r="BY144" s="162" t="n"/>
      <c r="BZ144" s="162" t="n"/>
      <c r="CA144" s="162" t="n"/>
      <c r="CB144" s="162" t="n"/>
      <c r="CC144" s="162" t="n"/>
      <c r="CD144" s="162" t="n"/>
      <c r="CE144" s="162" t="n"/>
      <c r="CF144" s="162" t="n"/>
      <c r="CG144" s="162" t="n"/>
      <c r="CH144" s="162" t="n"/>
      <c r="CI144" s="162" t="n"/>
      <c r="CJ144" s="162" t="n"/>
      <c r="CK144" s="162" t="n"/>
      <c r="CL144" s="162" t="n"/>
      <c r="CM144" s="162" t="n"/>
      <c r="CN144" s="162" t="n"/>
      <c r="CO144" s="162" t="n"/>
      <c r="CP144" s="162" t="n"/>
      <c r="CQ144" s="162" t="n"/>
      <c r="CR144" s="162" t="n"/>
      <c r="CS144" s="162" t="n"/>
      <c r="CT144" s="162" t="n"/>
    </row>
    <row r="145" ht="15" customHeight="1">
      <c r="A145" s="175" t="n">
        <v>144</v>
      </c>
      <c r="B145" s="181" t="n">
        <v>53</v>
      </c>
      <c r="C145" s="182" t="n">
        <v>45763</v>
      </c>
      <c r="D145" s="187" t="inlineStr">
        <is>
          <t>219 G. SAN JOSE 2</t>
        </is>
      </c>
      <c r="E145" s="187" t="n">
        <v>40910</v>
      </c>
      <c r="F145" s="187" t="inlineStr">
        <is>
          <t>MANUEL QUITIAN</t>
        </is>
      </c>
      <c r="G145" s="188" t="n">
        <v>3532</v>
      </c>
      <c r="H145" s="188" t="n">
        <v>3532</v>
      </c>
      <c r="I145" s="188" t="n">
        <v>3508</v>
      </c>
      <c r="J145" s="188" t="n">
        <v>4</v>
      </c>
      <c r="K145" s="188" t="n">
        <v>14</v>
      </c>
      <c r="L145" s="189" t="n">
        <v>6</v>
      </c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  <c r="AA145" s="162" t="n"/>
      <c r="AB145" s="162" t="n"/>
      <c r="AC145" s="162" t="n"/>
      <c r="AD145" s="162" t="n"/>
      <c r="AE145" s="162" t="n"/>
      <c r="AF145" s="162" t="n"/>
      <c r="AG145" s="162" t="n"/>
      <c r="AH145" s="162" t="n"/>
      <c r="AI145" s="162" t="n"/>
      <c r="AJ145" s="162" t="n"/>
      <c r="AK145" s="162" t="n"/>
      <c r="AL145" s="162" t="n"/>
      <c r="AM145" s="162" t="n"/>
      <c r="AN145" s="162" t="n"/>
      <c r="AO145" s="162" t="n"/>
      <c r="AP145" s="162" t="n"/>
      <c r="AQ145" s="162" t="n"/>
      <c r="AR145" s="162" t="n"/>
      <c r="AS145" s="162" t="n"/>
      <c r="AT145" s="162" t="n"/>
      <c r="AU145" s="162" t="n"/>
      <c r="AV145" s="162" t="n"/>
      <c r="AW145" s="162" t="n"/>
      <c r="AX145" s="162" t="n"/>
      <c r="AY145" s="162" t="n"/>
      <c r="AZ145" s="162" t="n"/>
      <c r="BA145" s="162" t="n"/>
      <c r="BB145" s="162" t="n"/>
      <c r="BC145" s="162" t="n"/>
      <c r="BD145" s="162" t="n"/>
      <c r="BE145" s="162" t="n"/>
      <c r="BF145" s="162" t="n"/>
      <c r="BG145" s="162" t="n"/>
      <c r="BH145" s="162" t="n"/>
      <c r="BI145" s="162" t="n"/>
      <c r="BJ145" s="162" t="n"/>
      <c r="BK145" s="162" t="n"/>
      <c r="BL145" s="162" t="n"/>
      <c r="BM145" s="162" t="n"/>
      <c r="BN145" s="162" t="n"/>
      <c r="BO145" s="162" t="n"/>
      <c r="BP145" s="162" t="n"/>
      <c r="BQ145" s="162" t="n"/>
      <c r="BR145" s="162" t="n"/>
      <c r="BS145" s="162" t="n"/>
      <c r="BT145" s="162" t="n"/>
      <c r="BU145" s="162" t="n"/>
      <c r="BV145" s="162" t="n"/>
      <c r="BW145" s="162" t="n"/>
      <c r="BX145" s="162" t="n"/>
      <c r="BY145" s="162" t="n"/>
      <c r="BZ145" s="162" t="n"/>
      <c r="CA145" s="162" t="n"/>
      <c r="CB145" s="162" t="n"/>
      <c r="CC145" s="162" t="n"/>
      <c r="CD145" s="162" t="n"/>
      <c r="CE145" s="162" t="n"/>
      <c r="CF145" s="162" t="n"/>
      <c r="CG145" s="162" t="n"/>
      <c r="CH145" s="162" t="n"/>
      <c r="CI145" s="162" t="n"/>
      <c r="CJ145" s="162" t="n"/>
      <c r="CK145" s="162" t="n"/>
      <c r="CL145" s="162" t="n"/>
      <c r="CM145" s="162" t="n"/>
      <c r="CN145" s="162" t="n"/>
      <c r="CO145" s="162" t="n"/>
      <c r="CP145" s="162" t="n"/>
      <c r="CQ145" s="162" t="n"/>
      <c r="CR145" s="162" t="n"/>
      <c r="CS145" s="162" t="n"/>
      <c r="CT145" s="162" t="n"/>
    </row>
    <row r="146" ht="15" customHeight="1">
      <c r="A146" s="175" t="n">
        <v>145</v>
      </c>
      <c r="B146" s="181" t="n">
        <v>54</v>
      </c>
      <c r="C146" s="182" t="n">
        <v>45763</v>
      </c>
      <c r="D146" s="187" t="inlineStr">
        <is>
          <t>219 G. SAN JOSE 2</t>
        </is>
      </c>
      <c r="E146" s="187" t="n">
        <v>40611</v>
      </c>
      <c r="F146" s="187" t="inlineStr">
        <is>
          <t>JOSE SOLER</t>
        </is>
      </c>
      <c r="G146" s="188" t="n">
        <v>3532</v>
      </c>
      <c r="H146" s="188" t="n">
        <v>3532</v>
      </c>
      <c r="I146" s="188" t="n">
        <v>3507</v>
      </c>
      <c r="J146" s="188" t="n">
        <v>5</v>
      </c>
      <c r="K146" s="188" t="n">
        <v>13</v>
      </c>
      <c r="L146" s="189" t="n">
        <v>7</v>
      </c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  <c r="AA146" s="162" t="n"/>
      <c r="AB146" s="162" t="n"/>
      <c r="AC146" s="162" t="n"/>
      <c r="AD146" s="162" t="n"/>
      <c r="AE146" s="162" t="n"/>
      <c r="AF146" s="162" t="n"/>
      <c r="AG146" s="162" t="n"/>
      <c r="AH146" s="162" t="n"/>
      <c r="AI146" s="162" t="n"/>
      <c r="AJ146" s="162" t="n"/>
      <c r="AK146" s="162" t="n"/>
      <c r="AL146" s="162" t="n"/>
      <c r="AM146" s="162" t="n"/>
      <c r="AN146" s="162" t="n"/>
      <c r="AO146" s="162" t="n"/>
      <c r="AP146" s="162" t="n"/>
      <c r="AQ146" s="162" t="n"/>
      <c r="AR146" s="162" t="n"/>
      <c r="AS146" s="162" t="n"/>
      <c r="AT146" s="162" t="n"/>
      <c r="AU146" s="162" t="n"/>
      <c r="AV146" s="162" t="n"/>
      <c r="AW146" s="162" t="n"/>
      <c r="AX146" s="162" t="n"/>
      <c r="AY146" s="162" t="n"/>
      <c r="AZ146" s="162" t="n"/>
      <c r="BA146" s="162" t="n"/>
      <c r="BB146" s="162" t="n"/>
      <c r="BC146" s="162" t="n"/>
      <c r="BD146" s="162" t="n"/>
      <c r="BE146" s="162" t="n"/>
      <c r="BF146" s="162" t="n"/>
      <c r="BG146" s="162" t="n"/>
      <c r="BH146" s="162" t="n"/>
      <c r="BI146" s="162" t="n"/>
      <c r="BJ146" s="162" t="n"/>
      <c r="BK146" s="162" t="n"/>
      <c r="BL146" s="162" t="n"/>
      <c r="BM146" s="162" t="n"/>
      <c r="BN146" s="162" t="n"/>
      <c r="BO146" s="162" t="n"/>
      <c r="BP146" s="162" t="n"/>
      <c r="BQ146" s="162" t="n"/>
      <c r="BR146" s="162" t="n"/>
      <c r="BS146" s="162" t="n"/>
      <c r="BT146" s="162" t="n"/>
      <c r="BU146" s="162" t="n"/>
      <c r="BV146" s="162" t="n"/>
      <c r="BW146" s="162" t="n"/>
      <c r="BX146" s="162" t="n"/>
      <c r="BY146" s="162" t="n"/>
      <c r="BZ146" s="162" t="n"/>
      <c r="CA146" s="162" t="n"/>
      <c r="CB146" s="162" t="n"/>
      <c r="CC146" s="162" t="n"/>
      <c r="CD146" s="162" t="n"/>
      <c r="CE146" s="162" t="n"/>
      <c r="CF146" s="162" t="n"/>
      <c r="CG146" s="162" t="n"/>
      <c r="CH146" s="162" t="n"/>
      <c r="CI146" s="162" t="n"/>
      <c r="CJ146" s="162" t="n"/>
      <c r="CK146" s="162" t="n"/>
      <c r="CL146" s="162" t="n"/>
      <c r="CM146" s="162" t="n"/>
      <c r="CN146" s="162" t="n"/>
      <c r="CO146" s="162" t="n"/>
      <c r="CP146" s="162" t="n"/>
      <c r="CQ146" s="162" t="n"/>
      <c r="CR146" s="162" t="n"/>
      <c r="CS146" s="162" t="n"/>
      <c r="CT146" s="162" t="n"/>
    </row>
    <row r="147" ht="15" customHeight="1">
      <c r="A147" s="175" t="n">
        <v>146</v>
      </c>
      <c r="B147" s="181" t="n">
        <v>55</v>
      </c>
      <c r="C147" s="182" t="n">
        <v>45763</v>
      </c>
      <c r="D147" s="187" t="inlineStr">
        <is>
          <t>219 G. SAN JOSE 2</t>
        </is>
      </c>
      <c r="E147" s="187" t="n">
        <v>40612</v>
      </c>
      <c r="F147" s="187" t="inlineStr">
        <is>
          <t>DUMAR ANGARITA</t>
        </is>
      </c>
      <c r="G147" s="188" t="n">
        <v>3532</v>
      </c>
      <c r="H147" s="188" t="n">
        <v>3532</v>
      </c>
      <c r="I147" s="188" t="n">
        <v>3509</v>
      </c>
      <c r="J147" s="188" t="n">
        <v>5</v>
      </c>
      <c r="K147" s="188" t="n">
        <v>13</v>
      </c>
      <c r="L147" s="189" t="n">
        <v>5</v>
      </c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  <c r="AA147" s="162" t="n"/>
      <c r="AB147" s="162" t="n"/>
      <c r="AC147" s="162" t="n"/>
      <c r="AD147" s="162" t="n"/>
      <c r="AE147" s="162" t="n"/>
      <c r="AF147" s="162" t="n"/>
      <c r="AG147" s="162" t="n"/>
      <c r="AH147" s="162" t="n"/>
      <c r="AI147" s="162" t="n"/>
      <c r="AJ147" s="162" t="n"/>
      <c r="AK147" s="162" t="n"/>
      <c r="AL147" s="162" t="n"/>
      <c r="AM147" s="162" t="n"/>
      <c r="AN147" s="162" t="n"/>
      <c r="AO147" s="162" t="n"/>
      <c r="AP147" s="162" t="n"/>
      <c r="AQ147" s="162" t="n"/>
      <c r="AR147" s="162" t="n"/>
      <c r="AS147" s="162" t="n"/>
      <c r="AT147" s="162" t="n"/>
      <c r="AU147" s="162" t="n"/>
      <c r="AV147" s="162" t="n"/>
      <c r="AW147" s="162" t="n"/>
      <c r="AX147" s="162" t="n"/>
      <c r="AY147" s="162" t="n"/>
      <c r="AZ147" s="162" t="n"/>
      <c r="BA147" s="162" t="n"/>
      <c r="BB147" s="162" t="n"/>
      <c r="BC147" s="162" t="n"/>
      <c r="BD147" s="162" t="n"/>
      <c r="BE147" s="162" t="n"/>
      <c r="BF147" s="162" t="n"/>
      <c r="BG147" s="162" t="n"/>
      <c r="BH147" s="162" t="n"/>
      <c r="BI147" s="162" t="n"/>
      <c r="BJ147" s="162" t="n"/>
      <c r="BK147" s="162" t="n"/>
      <c r="BL147" s="162" t="n"/>
      <c r="BM147" s="162" t="n"/>
      <c r="BN147" s="162" t="n"/>
      <c r="BO147" s="162" t="n"/>
      <c r="BP147" s="162" t="n"/>
      <c r="BQ147" s="162" t="n"/>
      <c r="BR147" s="162" t="n"/>
      <c r="BS147" s="162" t="n"/>
      <c r="BT147" s="162" t="n"/>
      <c r="BU147" s="162" t="n"/>
      <c r="BV147" s="162" t="n"/>
      <c r="BW147" s="162" t="n"/>
      <c r="BX147" s="162" t="n"/>
      <c r="BY147" s="162" t="n"/>
      <c r="BZ147" s="162" t="n"/>
      <c r="CA147" s="162" t="n"/>
      <c r="CB147" s="162" t="n"/>
      <c r="CC147" s="162" t="n"/>
      <c r="CD147" s="162" t="n"/>
      <c r="CE147" s="162" t="n"/>
      <c r="CF147" s="162" t="n"/>
      <c r="CG147" s="162" t="n"/>
      <c r="CH147" s="162" t="n"/>
      <c r="CI147" s="162" t="n"/>
      <c r="CJ147" s="162" t="n"/>
      <c r="CK147" s="162" t="n"/>
      <c r="CL147" s="162" t="n"/>
      <c r="CM147" s="162" t="n"/>
      <c r="CN147" s="162" t="n"/>
      <c r="CO147" s="162" t="n"/>
      <c r="CP147" s="162" t="n"/>
      <c r="CQ147" s="162" t="n"/>
      <c r="CR147" s="162" t="n"/>
      <c r="CS147" s="162" t="n"/>
      <c r="CT147" s="162" t="n"/>
    </row>
    <row r="148" ht="15" customHeight="1">
      <c r="A148" s="175" t="n">
        <v>147</v>
      </c>
      <c r="B148" s="181" t="n">
        <v>56</v>
      </c>
      <c r="C148" s="182" t="n">
        <v>45763</v>
      </c>
      <c r="D148" s="187" t="inlineStr">
        <is>
          <t>219 G. SAN JOSE 2</t>
        </is>
      </c>
      <c r="E148" s="187" t="n">
        <v>40613</v>
      </c>
      <c r="F148" s="187" t="inlineStr">
        <is>
          <t>JHON ARIAS</t>
        </is>
      </c>
      <c r="G148" s="188" t="n">
        <v>3532</v>
      </c>
      <c r="H148" s="188" t="n">
        <v>3532</v>
      </c>
      <c r="I148" s="188" t="n">
        <v>3510</v>
      </c>
      <c r="J148" s="188" t="n">
        <v>4</v>
      </c>
      <c r="K148" s="188" t="n">
        <v>11</v>
      </c>
      <c r="L148" s="189" t="n">
        <v>7</v>
      </c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  <c r="AA148" s="162" t="n"/>
      <c r="AB148" s="162" t="n"/>
      <c r="AC148" s="162" t="n"/>
      <c r="AD148" s="162" t="n"/>
      <c r="AE148" s="162" t="n"/>
      <c r="AF148" s="162" t="n"/>
      <c r="AG148" s="162" t="n"/>
      <c r="AH148" s="162" t="n"/>
      <c r="AI148" s="162" t="n"/>
      <c r="AJ148" s="162" t="n"/>
      <c r="AK148" s="162" t="n"/>
      <c r="AL148" s="162" t="n"/>
      <c r="AM148" s="162" t="n"/>
      <c r="AN148" s="162" t="n"/>
      <c r="AO148" s="162" t="n"/>
      <c r="AP148" s="162" t="n"/>
      <c r="AQ148" s="162" t="n"/>
      <c r="AR148" s="162" t="n"/>
      <c r="AS148" s="162" t="n"/>
      <c r="AT148" s="162" t="n"/>
      <c r="AU148" s="162" t="n"/>
      <c r="AV148" s="162" t="n"/>
      <c r="AW148" s="162" t="n"/>
      <c r="AX148" s="162" t="n"/>
      <c r="AY148" s="162" t="n"/>
      <c r="AZ148" s="162" t="n"/>
      <c r="BA148" s="162" t="n"/>
      <c r="BB148" s="162" t="n"/>
      <c r="BC148" s="162" t="n"/>
      <c r="BD148" s="162" t="n"/>
      <c r="BE148" s="162" t="n"/>
      <c r="BF148" s="162" t="n"/>
      <c r="BG148" s="162" t="n"/>
      <c r="BH148" s="162" t="n"/>
      <c r="BI148" s="162" t="n"/>
      <c r="BJ148" s="162" t="n"/>
      <c r="BK148" s="162" t="n"/>
      <c r="BL148" s="162" t="n"/>
      <c r="BM148" s="162" t="n"/>
      <c r="BN148" s="162" t="n"/>
      <c r="BO148" s="162" t="n"/>
      <c r="BP148" s="162" t="n"/>
      <c r="BQ148" s="162" t="n"/>
      <c r="BR148" s="162" t="n"/>
      <c r="BS148" s="162" t="n"/>
      <c r="BT148" s="162" t="n"/>
      <c r="BU148" s="162" t="n"/>
      <c r="BV148" s="162" t="n"/>
      <c r="BW148" s="162" t="n"/>
      <c r="BX148" s="162" t="n"/>
      <c r="BY148" s="162" t="n"/>
      <c r="BZ148" s="162" t="n"/>
      <c r="CA148" s="162" t="n"/>
      <c r="CB148" s="162" t="n"/>
      <c r="CC148" s="162" t="n"/>
      <c r="CD148" s="162" t="n"/>
      <c r="CE148" s="162" t="n"/>
      <c r="CF148" s="162" t="n"/>
      <c r="CG148" s="162" t="n"/>
      <c r="CH148" s="162" t="n"/>
      <c r="CI148" s="162" t="n"/>
      <c r="CJ148" s="162" t="n"/>
      <c r="CK148" s="162" t="n"/>
      <c r="CL148" s="162" t="n"/>
      <c r="CM148" s="162" t="n"/>
      <c r="CN148" s="162" t="n"/>
      <c r="CO148" s="162" t="n"/>
      <c r="CP148" s="162" t="n"/>
      <c r="CQ148" s="162" t="n"/>
      <c r="CR148" s="162" t="n"/>
      <c r="CS148" s="162" t="n"/>
      <c r="CT148" s="162" t="n"/>
    </row>
    <row r="149" ht="15" customHeight="1">
      <c r="A149" s="175" t="n">
        <v>148</v>
      </c>
      <c r="B149" s="181" t="n">
        <v>57</v>
      </c>
      <c r="C149" s="182" t="n">
        <v>45763</v>
      </c>
      <c r="D149" s="187" t="inlineStr">
        <is>
          <t>219 G. SAN JOSE 2</t>
        </is>
      </c>
      <c r="E149" s="187" t="n">
        <v>40614</v>
      </c>
      <c r="F149" s="187" t="inlineStr">
        <is>
          <t>YAIR RIVEROS</t>
        </is>
      </c>
      <c r="G149" s="188" t="n">
        <v>2861</v>
      </c>
      <c r="H149" s="188" t="n">
        <v>2861</v>
      </c>
      <c r="I149" s="188" t="n">
        <v>2837</v>
      </c>
      <c r="J149" s="188" t="n">
        <v>3</v>
      </c>
      <c r="K149" s="188" t="n">
        <v>11</v>
      </c>
      <c r="L149" s="189" t="n">
        <v>10</v>
      </c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  <c r="AA149" s="162" t="n"/>
      <c r="AB149" s="162" t="n"/>
      <c r="AC149" s="162" t="n"/>
      <c r="AD149" s="162" t="n"/>
      <c r="AE149" s="162" t="n"/>
      <c r="AF149" s="162" t="n"/>
      <c r="AG149" s="162" t="n"/>
      <c r="AH149" s="162" t="n"/>
      <c r="AI149" s="162" t="n"/>
      <c r="AJ149" s="162" t="n"/>
      <c r="AK149" s="162" t="n"/>
      <c r="AL149" s="162" t="n"/>
      <c r="AM149" s="162" t="n"/>
      <c r="AN149" s="162" t="n"/>
      <c r="AO149" s="162" t="n"/>
      <c r="AP149" s="162" t="n"/>
      <c r="AQ149" s="162" t="n"/>
      <c r="AR149" s="162" t="n"/>
      <c r="AS149" s="162" t="n"/>
      <c r="AT149" s="162" t="n"/>
      <c r="AU149" s="162" t="n"/>
      <c r="AV149" s="162" t="n"/>
      <c r="AW149" s="162" t="n"/>
      <c r="AX149" s="162" t="n"/>
      <c r="AY149" s="162" t="n"/>
      <c r="AZ149" s="162" t="n"/>
      <c r="BA149" s="162" t="n"/>
      <c r="BB149" s="162" t="n"/>
      <c r="BC149" s="162" t="n"/>
      <c r="BD149" s="162" t="n"/>
      <c r="BE149" s="162" t="n"/>
      <c r="BF149" s="162" t="n"/>
      <c r="BG149" s="162" t="n"/>
      <c r="BH149" s="162" t="n"/>
      <c r="BI149" s="162" t="n"/>
      <c r="BJ149" s="162" t="n"/>
      <c r="BK149" s="162" t="n"/>
      <c r="BL149" s="162" t="n"/>
      <c r="BM149" s="162" t="n"/>
      <c r="BN149" s="162" t="n"/>
      <c r="BO149" s="162" t="n"/>
      <c r="BP149" s="162" t="n"/>
      <c r="BQ149" s="162" t="n"/>
      <c r="BR149" s="162" t="n"/>
      <c r="BS149" s="162" t="n"/>
      <c r="BT149" s="162" t="n"/>
      <c r="BU149" s="162" t="n"/>
      <c r="BV149" s="162" t="n"/>
      <c r="BW149" s="162" t="n"/>
      <c r="BX149" s="162" t="n"/>
      <c r="BY149" s="162" t="n"/>
      <c r="BZ149" s="162" t="n"/>
      <c r="CA149" s="162" t="n"/>
      <c r="CB149" s="162" t="n"/>
      <c r="CC149" s="162" t="n"/>
      <c r="CD149" s="162" t="n"/>
      <c r="CE149" s="162" t="n"/>
      <c r="CF149" s="162" t="n"/>
      <c r="CG149" s="162" t="n"/>
      <c r="CH149" s="162" t="n"/>
      <c r="CI149" s="162" t="n"/>
      <c r="CJ149" s="162" t="n"/>
      <c r="CK149" s="162" t="n"/>
      <c r="CL149" s="162" t="n"/>
      <c r="CM149" s="162" t="n"/>
      <c r="CN149" s="162" t="n"/>
      <c r="CO149" s="162" t="n"/>
      <c r="CP149" s="162" t="n"/>
      <c r="CQ149" s="162" t="n"/>
      <c r="CR149" s="162" t="n"/>
      <c r="CS149" s="162" t="n"/>
      <c r="CT149" s="162" t="n"/>
    </row>
    <row r="150" ht="15" customHeight="1">
      <c r="A150" s="175" t="n">
        <v>149</v>
      </c>
      <c r="B150" s="181" t="n">
        <v>58</v>
      </c>
      <c r="C150" s="182" t="n">
        <v>45763</v>
      </c>
      <c r="D150" s="187" t="inlineStr">
        <is>
          <t>219 G. SAN JOSE 2</t>
        </is>
      </c>
      <c r="E150" s="187" t="n">
        <v>40618</v>
      </c>
      <c r="F150" s="187" t="inlineStr">
        <is>
          <t>ALEX GOMEZ</t>
        </is>
      </c>
      <c r="G150" s="188" t="n">
        <v>2861</v>
      </c>
      <c r="H150" s="188" t="n">
        <v>2861</v>
      </c>
      <c r="I150" s="188" t="n">
        <v>2846</v>
      </c>
      <c r="J150" s="188" t="n">
        <v>1</v>
      </c>
      <c r="K150" s="188" t="n">
        <v>13</v>
      </c>
      <c r="L150" s="189" t="n">
        <v>1</v>
      </c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  <c r="AA150" s="162" t="n"/>
      <c r="AB150" s="162" t="n"/>
      <c r="AC150" s="162" t="n"/>
      <c r="AD150" s="162" t="n"/>
      <c r="AE150" s="162" t="n"/>
      <c r="AF150" s="162" t="n"/>
      <c r="AG150" s="162" t="n"/>
      <c r="AH150" s="162" t="n"/>
      <c r="AI150" s="162" t="n"/>
      <c r="AJ150" s="162" t="n"/>
      <c r="AK150" s="162" t="n"/>
      <c r="AL150" s="162" t="n"/>
      <c r="AM150" s="162" t="n"/>
      <c r="AN150" s="162" t="n"/>
      <c r="AO150" s="162" t="n"/>
      <c r="AP150" s="162" t="n"/>
      <c r="AQ150" s="162" t="n"/>
      <c r="AR150" s="162" t="n"/>
      <c r="AS150" s="162" t="n"/>
      <c r="AT150" s="162" t="n"/>
      <c r="AU150" s="162" t="n"/>
      <c r="AV150" s="162" t="n"/>
      <c r="AW150" s="162" t="n"/>
      <c r="AX150" s="162" t="n"/>
      <c r="AY150" s="162" t="n"/>
      <c r="AZ150" s="162" t="n"/>
      <c r="BA150" s="162" t="n"/>
      <c r="BB150" s="162" t="n"/>
      <c r="BC150" s="162" t="n"/>
      <c r="BD150" s="162" t="n"/>
      <c r="BE150" s="162" t="n"/>
      <c r="BF150" s="162" t="n"/>
      <c r="BG150" s="162" t="n"/>
      <c r="BH150" s="162" t="n"/>
      <c r="BI150" s="162" t="n"/>
      <c r="BJ150" s="162" t="n"/>
      <c r="BK150" s="162" t="n"/>
      <c r="BL150" s="162" t="n"/>
      <c r="BM150" s="162" t="n"/>
      <c r="BN150" s="162" t="n"/>
      <c r="BO150" s="162" t="n"/>
      <c r="BP150" s="162" t="n"/>
      <c r="BQ150" s="162" t="n"/>
      <c r="BR150" s="162" t="n"/>
      <c r="BS150" s="162" t="n"/>
      <c r="BT150" s="162" t="n"/>
      <c r="BU150" s="162" t="n"/>
      <c r="BV150" s="162" t="n"/>
      <c r="BW150" s="162" t="n"/>
      <c r="BX150" s="162" t="n"/>
      <c r="BY150" s="162" t="n"/>
      <c r="BZ150" s="162" t="n"/>
      <c r="CA150" s="162" t="n"/>
      <c r="CB150" s="162" t="n"/>
      <c r="CC150" s="162" t="n"/>
      <c r="CD150" s="162" t="n"/>
      <c r="CE150" s="162" t="n"/>
      <c r="CF150" s="162" t="n"/>
      <c r="CG150" s="162" t="n"/>
      <c r="CH150" s="162" t="n"/>
      <c r="CI150" s="162" t="n"/>
      <c r="CJ150" s="162" t="n"/>
      <c r="CK150" s="162" t="n"/>
      <c r="CL150" s="162" t="n"/>
      <c r="CM150" s="162" t="n"/>
      <c r="CN150" s="162" t="n"/>
      <c r="CO150" s="162" t="n"/>
      <c r="CP150" s="162" t="n"/>
      <c r="CQ150" s="162" t="n"/>
      <c r="CR150" s="162" t="n"/>
      <c r="CS150" s="162" t="n"/>
      <c r="CT150" s="162" t="n"/>
    </row>
    <row r="151" ht="15" customHeight="1">
      <c r="A151" s="175" t="n">
        <v>150</v>
      </c>
      <c r="B151" s="181" t="n">
        <v>59</v>
      </c>
      <c r="C151" s="182" t="n">
        <v>45763</v>
      </c>
      <c r="D151" s="187" t="inlineStr">
        <is>
          <t>219 G. SAN JOSE 2</t>
        </is>
      </c>
      <c r="E151" s="187" t="n">
        <v>40619</v>
      </c>
      <c r="F151" s="187" t="inlineStr">
        <is>
          <t>DIEGO NIÑO</t>
        </is>
      </c>
      <c r="G151" s="188" t="n">
        <v>2860</v>
      </c>
      <c r="H151" s="188" t="n">
        <v>2800</v>
      </c>
      <c r="I151" s="188" t="n">
        <v>2843</v>
      </c>
      <c r="J151" s="188" t="n">
        <v>1</v>
      </c>
      <c r="K151" s="188" t="n">
        <v>14</v>
      </c>
      <c r="L151" s="189" t="n">
        <v>2</v>
      </c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  <c r="AA151" s="162" t="n"/>
      <c r="AB151" s="162" t="n"/>
      <c r="AC151" s="162" t="n"/>
      <c r="AD151" s="162" t="n"/>
      <c r="AE151" s="162" t="n"/>
      <c r="AF151" s="162" t="n"/>
      <c r="AG151" s="162" t="n"/>
      <c r="AH151" s="162" t="n"/>
      <c r="AI151" s="162" t="n"/>
      <c r="AJ151" s="162" t="n"/>
      <c r="AK151" s="162" t="n"/>
      <c r="AL151" s="162" t="n"/>
      <c r="AM151" s="162" t="n"/>
      <c r="AN151" s="162" t="n"/>
      <c r="AO151" s="162" t="n"/>
      <c r="AP151" s="162" t="n"/>
      <c r="AQ151" s="162" t="n"/>
      <c r="AR151" s="162" t="n"/>
      <c r="AS151" s="162" t="n"/>
      <c r="AT151" s="162" t="n"/>
      <c r="AU151" s="162" t="n"/>
      <c r="AV151" s="162" t="n"/>
      <c r="AW151" s="162" t="n"/>
      <c r="AX151" s="162" t="n"/>
      <c r="AY151" s="162" t="n"/>
      <c r="AZ151" s="162" t="n"/>
      <c r="BA151" s="162" t="n"/>
      <c r="BB151" s="162" t="n"/>
      <c r="BC151" s="162" t="n"/>
      <c r="BD151" s="162" t="n"/>
      <c r="BE151" s="162" t="n"/>
      <c r="BF151" s="162" t="n"/>
      <c r="BG151" s="162" t="n"/>
      <c r="BH151" s="162" t="n"/>
      <c r="BI151" s="162" t="n"/>
      <c r="BJ151" s="162" t="n"/>
      <c r="BK151" s="162" t="n"/>
      <c r="BL151" s="162" t="n"/>
      <c r="BM151" s="162" t="n"/>
      <c r="BN151" s="162" t="n"/>
      <c r="BO151" s="162" t="n"/>
      <c r="BP151" s="162" t="n"/>
      <c r="BQ151" s="162" t="n"/>
      <c r="BR151" s="162" t="n"/>
      <c r="BS151" s="162" t="n"/>
      <c r="BT151" s="162" t="n"/>
      <c r="BU151" s="162" t="n"/>
      <c r="BV151" s="162" t="n"/>
      <c r="BW151" s="162" t="n"/>
      <c r="BX151" s="162" t="n"/>
      <c r="BY151" s="162" t="n"/>
      <c r="BZ151" s="162" t="n"/>
      <c r="CA151" s="162" t="n"/>
      <c r="CB151" s="162" t="n"/>
      <c r="CC151" s="162" t="n"/>
      <c r="CD151" s="162" t="n"/>
      <c r="CE151" s="162" t="n"/>
      <c r="CF151" s="162" t="n"/>
      <c r="CG151" s="162" t="n"/>
      <c r="CH151" s="162" t="n"/>
      <c r="CI151" s="162" t="n"/>
      <c r="CJ151" s="162" t="n"/>
      <c r="CK151" s="162" t="n"/>
      <c r="CL151" s="162" t="n"/>
      <c r="CM151" s="162" t="n"/>
      <c r="CN151" s="162" t="n"/>
      <c r="CO151" s="162" t="n"/>
      <c r="CP151" s="162" t="n"/>
      <c r="CQ151" s="162" t="n"/>
      <c r="CR151" s="162" t="n"/>
      <c r="CS151" s="162" t="n"/>
      <c r="CT151" s="162" t="n"/>
    </row>
    <row r="152" ht="15" customHeight="1">
      <c r="A152" s="175" t="n">
        <v>151</v>
      </c>
      <c r="B152" s="181" t="n">
        <v>60</v>
      </c>
      <c r="C152" s="182" t="n">
        <v>45763</v>
      </c>
      <c r="D152" s="187" t="inlineStr">
        <is>
          <t>219 G. SAN JOSE 2</t>
        </is>
      </c>
      <c r="E152" s="187" t="n">
        <v>40620</v>
      </c>
      <c r="F152" s="187" t="inlineStr">
        <is>
          <t>ALBERTO LOPEZ</t>
        </is>
      </c>
      <c r="G152" s="188" t="n">
        <v>3564</v>
      </c>
      <c r="H152" s="188" t="n">
        <v>3564</v>
      </c>
      <c r="I152" s="188" t="n">
        <v>3529</v>
      </c>
      <c r="J152" s="188" t="n">
        <v>4</v>
      </c>
      <c r="K152" s="188" t="n">
        <v>10</v>
      </c>
      <c r="L152" s="189" t="n">
        <v>21</v>
      </c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  <c r="AA152" s="162" t="n"/>
      <c r="AB152" s="162" t="n"/>
      <c r="AC152" s="162" t="n"/>
      <c r="AD152" s="162" t="n"/>
      <c r="AE152" s="162" t="n"/>
      <c r="AF152" s="162" t="n"/>
      <c r="AG152" s="162" t="n"/>
      <c r="AH152" s="162" t="n"/>
      <c r="AI152" s="162" t="n"/>
      <c r="AJ152" s="162" t="n"/>
      <c r="AK152" s="162" t="n"/>
      <c r="AL152" s="162" t="n"/>
      <c r="AM152" s="162" t="n"/>
      <c r="AN152" s="162" t="n"/>
      <c r="AO152" s="162" t="n"/>
      <c r="AP152" s="162" t="n"/>
      <c r="AQ152" s="162" t="n"/>
      <c r="AR152" s="162" t="n"/>
      <c r="AS152" s="162" t="n"/>
      <c r="AT152" s="162" t="n"/>
      <c r="AU152" s="162" t="n"/>
      <c r="AV152" s="162" t="n"/>
      <c r="AW152" s="162" t="n"/>
      <c r="AX152" s="162" t="n"/>
      <c r="AY152" s="162" t="n"/>
      <c r="AZ152" s="162" t="n"/>
      <c r="BA152" s="162" t="n"/>
      <c r="BB152" s="162" t="n"/>
      <c r="BC152" s="162" t="n"/>
      <c r="BD152" s="162" t="n"/>
      <c r="BE152" s="162" t="n"/>
      <c r="BF152" s="162" t="n"/>
      <c r="BG152" s="162" t="n"/>
      <c r="BH152" s="162" t="n"/>
      <c r="BI152" s="162" t="n"/>
      <c r="BJ152" s="162" t="n"/>
      <c r="BK152" s="162" t="n"/>
      <c r="BL152" s="162" t="n"/>
      <c r="BM152" s="162" t="n"/>
      <c r="BN152" s="162" t="n"/>
      <c r="BO152" s="162" t="n"/>
      <c r="BP152" s="162" t="n"/>
      <c r="BQ152" s="162" t="n"/>
      <c r="BR152" s="162" t="n"/>
      <c r="BS152" s="162" t="n"/>
      <c r="BT152" s="162" t="n"/>
      <c r="BU152" s="162" t="n"/>
      <c r="BV152" s="162" t="n"/>
      <c r="BW152" s="162" t="n"/>
      <c r="BX152" s="162" t="n"/>
      <c r="BY152" s="162" t="n"/>
      <c r="BZ152" s="162" t="n"/>
      <c r="CA152" s="162" t="n"/>
      <c r="CB152" s="162" t="n"/>
      <c r="CC152" s="162" t="n"/>
      <c r="CD152" s="162" t="n"/>
      <c r="CE152" s="162" t="n"/>
      <c r="CF152" s="162" t="n"/>
      <c r="CG152" s="162" t="n"/>
      <c r="CH152" s="162" t="n"/>
      <c r="CI152" s="162" t="n"/>
      <c r="CJ152" s="162" t="n"/>
      <c r="CK152" s="162" t="n"/>
      <c r="CL152" s="162" t="n"/>
      <c r="CM152" s="162" t="n"/>
      <c r="CN152" s="162" t="n"/>
      <c r="CO152" s="162" t="n"/>
      <c r="CP152" s="162" t="n"/>
      <c r="CQ152" s="162" t="n"/>
      <c r="CR152" s="162" t="n"/>
      <c r="CS152" s="162" t="n"/>
      <c r="CT152" s="162" t="n"/>
    </row>
    <row r="153" ht="15" customHeight="1">
      <c r="A153" s="175" t="n">
        <v>152</v>
      </c>
      <c r="B153" s="192" t="n">
        <v>61</v>
      </c>
      <c r="C153" s="193" t="n">
        <v>45763</v>
      </c>
      <c r="D153" s="194" t="inlineStr">
        <is>
          <t>219 G. SAN JOSE 2</t>
        </is>
      </c>
      <c r="E153" s="194" t="n">
        <v>40621</v>
      </c>
      <c r="F153" s="194" t="inlineStr">
        <is>
          <t>FABIO ALDANA</t>
        </is>
      </c>
      <c r="G153" s="195" t="n">
        <v>3564</v>
      </c>
      <c r="H153" s="195" t="n">
        <v>3564</v>
      </c>
      <c r="I153" s="195" t="n">
        <v>3530</v>
      </c>
      <c r="J153" s="195" t="n">
        <v>4</v>
      </c>
      <c r="K153" s="195" t="n">
        <v>10</v>
      </c>
      <c r="L153" s="196" t="n">
        <v>20</v>
      </c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  <c r="AA153" s="162" t="n"/>
      <c r="AB153" s="162" t="n"/>
      <c r="AC153" s="162" t="n"/>
      <c r="AD153" s="162" t="n"/>
      <c r="AE153" s="162" t="n"/>
      <c r="AF153" s="162" t="n"/>
      <c r="AG153" s="162" t="n"/>
      <c r="AH153" s="162" t="n"/>
      <c r="AI153" s="162" t="n"/>
      <c r="AJ153" s="162" t="n"/>
      <c r="AK153" s="162" t="n"/>
      <c r="AL153" s="162" t="n"/>
      <c r="AM153" s="162" t="n"/>
      <c r="AN153" s="162" t="n"/>
      <c r="AO153" s="162" t="n"/>
      <c r="AP153" s="162" t="n"/>
      <c r="AQ153" s="162" t="n"/>
      <c r="AR153" s="162" t="n"/>
      <c r="AS153" s="162" t="n"/>
      <c r="AT153" s="162" t="n"/>
      <c r="AU153" s="162" t="n"/>
      <c r="AV153" s="162" t="n"/>
      <c r="AW153" s="162" t="n"/>
      <c r="AX153" s="162" t="n"/>
      <c r="AY153" s="162" t="n"/>
      <c r="AZ153" s="162" t="n"/>
      <c r="BA153" s="162" t="n"/>
      <c r="BB153" s="162" t="n"/>
      <c r="BC153" s="162" t="n"/>
      <c r="BD153" s="162" t="n"/>
      <c r="BE153" s="162" t="n"/>
      <c r="BF153" s="162" t="n"/>
      <c r="BG153" s="162" t="n"/>
      <c r="BH153" s="162" t="n"/>
      <c r="BI153" s="162" t="n"/>
      <c r="BJ153" s="162" t="n"/>
      <c r="BK153" s="162" t="n"/>
      <c r="BL153" s="162" t="n"/>
      <c r="BM153" s="162" t="n"/>
      <c r="BN153" s="162" t="n"/>
      <c r="BO153" s="162" t="n"/>
      <c r="BP153" s="162" t="n"/>
      <c r="BQ153" s="162" t="n"/>
      <c r="BR153" s="162" t="n"/>
      <c r="BS153" s="162" t="n"/>
      <c r="BT153" s="162" t="n"/>
      <c r="BU153" s="162" t="n"/>
      <c r="BV153" s="162" t="n"/>
      <c r="BW153" s="162" t="n"/>
      <c r="BX153" s="162" t="n"/>
      <c r="BY153" s="162" t="n"/>
      <c r="BZ153" s="162" t="n"/>
      <c r="CA153" s="162" t="n"/>
      <c r="CB153" s="162" t="n"/>
      <c r="CC153" s="162" t="n"/>
      <c r="CD153" s="162" t="n"/>
      <c r="CE153" s="162" t="n"/>
      <c r="CF153" s="162" t="n"/>
      <c r="CG153" s="162" t="n"/>
      <c r="CH153" s="162" t="n"/>
      <c r="CI153" s="162" t="n"/>
      <c r="CJ153" s="162" t="n"/>
      <c r="CK153" s="162" t="n"/>
      <c r="CL153" s="162" t="n"/>
      <c r="CM153" s="162" t="n"/>
      <c r="CN153" s="162" t="n"/>
      <c r="CO153" s="162" t="n"/>
      <c r="CP153" s="162" t="n"/>
      <c r="CQ153" s="162" t="n"/>
      <c r="CR153" s="162" t="n"/>
      <c r="CS153" s="162" t="n"/>
      <c r="CT153" s="162" t="n"/>
    </row>
    <row r="154" ht="15" customHeight="1">
      <c r="A154" s="175" t="n">
        <v>153</v>
      </c>
      <c r="B154" s="176" t="n">
        <v>62</v>
      </c>
      <c r="C154" s="220" t="n">
        <v>45766</v>
      </c>
      <c r="D154" s="205" t="inlineStr">
        <is>
          <t>221 G. MALAGUEÑA</t>
        </is>
      </c>
      <c r="E154" s="205" t="n">
        <v>40630</v>
      </c>
      <c r="F154" s="205" t="inlineStr">
        <is>
          <t>WILMER PIÑEROS</t>
        </is>
      </c>
      <c r="G154" s="206" t="n">
        <v>3180</v>
      </c>
      <c r="H154" s="206" t="n">
        <v>3181</v>
      </c>
      <c r="I154" s="206" t="n">
        <v>3175</v>
      </c>
      <c r="J154" s="206" t="n">
        <v>2</v>
      </c>
      <c r="K154" s="206" t="n">
        <v>14</v>
      </c>
      <c r="L154" s="207" t="n">
        <v>-11</v>
      </c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  <c r="AA154" s="162" t="n"/>
      <c r="AB154" s="162" t="n"/>
      <c r="AC154" s="162" t="n"/>
      <c r="AD154" s="162" t="n"/>
      <c r="AE154" s="162" t="n"/>
      <c r="AF154" s="162" t="n"/>
      <c r="AG154" s="162" t="n"/>
      <c r="AH154" s="162" t="n"/>
      <c r="AI154" s="162" t="n"/>
      <c r="AJ154" s="162" t="n"/>
      <c r="AK154" s="162" t="n"/>
      <c r="AL154" s="162" t="n"/>
      <c r="AM154" s="162" t="n"/>
      <c r="AN154" s="162" t="n"/>
      <c r="AO154" s="162" t="n"/>
      <c r="AP154" s="162" t="n"/>
      <c r="AQ154" s="162" t="n"/>
      <c r="AR154" s="162" t="n"/>
      <c r="AS154" s="162" t="n"/>
      <c r="AT154" s="162" t="n"/>
      <c r="AU154" s="162" t="n"/>
      <c r="AV154" s="162" t="n"/>
      <c r="AW154" s="162" t="n"/>
      <c r="AX154" s="162" t="n"/>
      <c r="AY154" s="162" t="n"/>
      <c r="AZ154" s="162" t="n"/>
      <c r="BA154" s="162" t="n"/>
      <c r="BB154" s="162" t="n"/>
      <c r="BC154" s="162" t="n"/>
      <c r="BD154" s="162" t="n"/>
      <c r="BE154" s="162" t="n"/>
      <c r="BF154" s="162" t="n"/>
      <c r="BG154" s="162" t="n"/>
      <c r="BH154" s="162" t="n"/>
      <c r="BI154" s="162" t="n"/>
      <c r="BJ154" s="162" t="n"/>
      <c r="BK154" s="162" t="n"/>
      <c r="BL154" s="162" t="n"/>
      <c r="BM154" s="162" t="n"/>
      <c r="BN154" s="162" t="n"/>
      <c r="BO154" s="162" t="n"/>
      <c r="BP154" s="162" t="n"/>
      <c r="BQ154" s="162" t="n"/>
      <c r="BR154" s="162" t="n"/>
      <c r="BS154" s="162" t="n"/>
      <c r="BT154" s="162" t="n"/>
      <c r="BU154" s="162" t="n"/>
      <c r="BV154" s="162" t="n"/>
      <c r="BW154" s="162" t="n"/>
      <c r="BX154" s="162" t="n"/>
      <c r="BY154" s="162" t="n"/>
      <c r="BZ154" s="162" t="n"/>
      <c r="CA154" s="162" t="n"/>
      <c r="CB154" s="162" t="n"/>
      <c r="CC154" s="162" t="n"/>
      <c r="CD154" s="162" t="n"/>
      <c r="CE154" s="162" t="n"/>
      <c r="CF154" s="162" t="n"/>
      <c r="CG154" s="162" t="n"/>
      <c r="CH154" s="162" t="n"/>
      <c r="CI154" s="162" t="n"/>
      <c r="CJ154" s="162" t="n"/>
      <c r="CK154" s="162" t="n"/>
      <c r="CL154" s="162" t="n"/>
      <c r="CM154" s="162" t="n"/>
      <c r="CN154" s="162" t="n"/>
      <c r="CO154" s="162" t="n"/>
      <c r="CP154" s="162" t="n"/>
      <c r="CQ154" s="162" t="n"/>
      <c r="CR154" s="162" t="n"/>
      <c r="CS154" s="162" t="n"/>
      <c r="CT154" s="162" t="n"/>
    </row>
    <row r="155" ht="15" customHeight="1">
      <c r="A155" s="175" t="n">
        <v>154</v>
      </c>
      <c r="B155" s="181" t="n">
        <v>63</v>
      </c>
      <c r="C155" s="182" t="n">
        <v>45766</v>
      </c>
      <c r="D155" s="187" t="inlineStr">
        <is>
          <t>221 G. MALAGUEÑA</t>
        </is>
      </c>
      <c r="E155" s="187" t="n">
        <v>40631</v>
      </c>
      <c r="F155" s="221" t="inlineStr">
        <is>
          <t>ALBERTO LOPEZ</t>
        </is>
      </c>
      <c r="G155" s="222" t="n">
        <v>3161</v>
      </c>
      <c r="H155" s="222" t="n">
        <v>3151</v>
      </c>
      <c r="I155" s="188" t="n">
        <v>3129</v>
      </c>
      <c r="J155" s="188" t="n">
        <v>8</v>
      </c>
      <c r="K155" s="188" t="n">
        <v>17</v>
      </c>
      <c r="L155" s="189" t="n">
        <v>7</v>
      </c>
      <c r="M155" s="162" t="inlineStr">
        <is>
          <t>en audio se verifica error de suma</t>
        </is>
      </c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  <c r="AA155" s="162" t="n"/>
      <c r="AB155" s="162" t="n"/>
      <c r="AC155" s="162" t="n"/>
      <c r="AD155" s="162" t="n"/>
      <c r="AE155" s="162" t="n"/>
      <c r="AF155" s="162" t="n"/>
      <c r="AG155" s="162" t="n"/>
      <c r="AH155" s="162" t="n"/>
      <c r="AI155" s="162" t="n"/>
      <c r="AJ155" s="162" t="n"/>
      <c r="AK155" s="162" t="n"/>
      <c r="AL155" s="162" t="n"/>
      <c r="AM155" s="162" t="n"/>
      <c r="AN155" s="162" t="n"/>
      <c r="AO155" s="162" t="n"/>
      <c r="AP155" s="162" t="n"/>
      <c r="AQ155" s="162" t="n"/>
      <c r="AR155" s="162" t="n"/>
      <c r="AS155" s="162" t="n"/>
      <c r="AT155" s="162" t="n"/>
      <c r="AU155" s="162" t="n"/>
      <c r="AV155" s="162" t="n"/>
      <c r="AW155" s="162" t="n"/>
      <c r="AX155" s="162" t="n"/>
      <c r="AY155" s="162" t="n"/>
      <c r="AZ155" s="162" t="n"/>
      <c r="BA155" s="162" t="n"/>
      <c r="BB155" s="162" t="n"/>
      <c r="BC155" s="162" t="n"/>
      <c r="BD155" s="162" t="n"/>
      <c r="BE155" s="162" t="n"/>
      <c r="BF155" s="162" t="n"/>
      <c r="BG155" s="162" t="n"/>
      <c r="BH155" s="162" t="n"/>
      <c r="BI155" s="162" t="n"/>
      <c r="BJ155" s="162" t="n"/>
      <c r="BK155" s="162" t="n"/>
      <c r="BL155" s="162" t="n"/>
      <c r="BM155" s="162" t="n"/>
      <c r="BN155" s="162" t="n"/>
      <c r="BO155" s="162" t="n"/>
      <c r="BP155" s="162" t="n"/>
      <c r="BQ155" s="162" t="n"/>
      <c r="BR155" s="162" t="n"/>
      <c r="BS155" s="162" t="n"/>
      <c r="BT155" s="162" t="n"/>
      <c r="BU155" s="162" t="n"/>
      <c r="BV155" s="162" t="n"/>
      <c r="BW155" s="162" t="n"/>
      <c r="BX155" s="162" t="n"/>
      <c r="BY155" s="162" t="n"/>
      <c r="BZ155" s="162" t="n"/>
      <c r="CA155" s="162" t="n"/>
      <c r="CB155" s="162" t="n"/>
      <c r="CC155" s="162" t="n"/>
      <c r="CD155" s="162" t="n"/>
      <c r="CE155" s="162" t="n"/>
      <c r="CF155" s="162" t="n"/>
      <c r="CG155" s="162" t="n"/>
      <c r="CH155" s="162" t="n"/>
      <c r="CI155" s="162" t="n"/>
      <c r="CJ155" s="162" t="n"/>
      <c r="CK155" s="162" t="n"/>
      <c r="CL155" s="162" t="n"/>
      <c r="CM155" s="162" t="n"/>
      <c r="CN155" s="162" t="n"/>
      <c r="CO155" s="162" t="n"/>
      <c r="CP155" s="162" t="n"/>
      <c r="CQ155" s="162" t="n"/>
      <c r="CR155" s="162" t="n"/>
      <c r="CS155" s="162" t="n"/>
      <c r="CT155" s="162" t="n"/>
    </row>
    <row r="156" ht="15" customHeight="1">
      <c r="A156" s="175" t="n">
        <v>155</v>
      </c>
      <c r="B156" s="181" t="n">
        <v>64</v>
      </c>
      <c r="C156" s="182" t="n">
        <v>45766</v>
      </c>
      <c r="D156" s="187" t="inlineStr">
        <is>
          <t>221 G. MALAGUEÑA</t>
        </is>
      </c>
      <c r="E156" s="187" t="n">
        <v>40632</v>
      </c>
      <c r="F156" s="187" t="inlineStr">
        <is>
          <t>MANUEL QUITIAN</t>
        </is>
      </c>
      <c r="G156" s="188" t="n">
        <v>3579</v>
      </c>
      <c r="H156" s="188" t="n">
        <v>3579</v>
      </c>
      <c r="I156" s="188" t="n">
        <v>3562</v>
      </c>
      <c r="J156" s="188" t="n">
        <v>4</v>
      </c>
      <c r="K156" s="188" t="n">
        <v>8</v>
      </c>
      <c r="L156" s="189" t="n">
        <v>5</v>
      </c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  <c r="AA156" s="162" t="n"/>
      <c r="AB156" s="162" t="n"/>
      <c r="AC156" s="162" t="n"/>
      <c r="AD156" s="162" t="n"/>
      <c r="AE156" s="162" t="n"/>
      <c r="AF156" s="162" t="n"/>
      <c r="AG156" s="162" t="n"/>
      <c r="AH156" s="162" t="n"/>
      <c r="AI156" s="162" t="n"/>
      <c r="AJ156" s="162" t="n"/>
      <c r="AK156" s="162" t="n"/>
      <c r="AL156" s="162" t="n"/>
      <c r="AM156" s="162" t="n"/>
      <c r="AN156" s="162" t="n"/>
      <c r="AO156" s="162" t="n"/>
      <c r="AP156" s="162" t="n"/>
      <c r="AQ156" s="162" t="n"/>
      <c r="AR156" s="162" t="n"/>
      <c r="AS156" s="162" t="n"/>
      <c r="AT156" s="162" t="n"/>
      <c r="AU156" s="162" t="n"/>
      <c r="AV156" s="162" t="n"/>
      <c r="AW156" s="162" t="n"/>
      <c r="AX156" s="162" t="n"/>
      <c r="AY156" s="162" t="n"/>
      <c r="AZ156" s="162" t="n"/>
      <c r="BA156" s="162" t="n"/>
      <c r="BB156" s="162" t="n"/>
      <c r="BC156" s="162" t="n"/>
      <c r="BD156" s="162" t="n"/>
      <c r="BE156" s="162" t="n"/>
      <c r="BF156" s="162" t="n"/>
      <c r="BG156" s="162" t="n"/>
      <c r="BH156" s="162" t="n"/>
      <c r="BI156" s="162" t="n"/>
      <c r="BJ156" s="162" t="n"/>
      <c r="BK156" s="162" t="n"/>
      <c r="BL156" s="162" t="n"/>
      <c r="BM156" s="162" t="n"/>
      <c r="BN156" s="162" t="n"/>
      <c r="BO156" s="162" t="n"/>
      <c r="BP156" s="162" t="n"/>
      <c r="BQ156" s="162" t="n"/>
      <c r="BR156" s="162" t="n"/>
      <c r="BS156" s="162" t="n"/>
      <c r="BT156" s="162" t="n"/>
      <c r="BU156" s="162" t="n"/>
      <c r="BV156" s="162" t="n"/>
      <c r="BW156" s="162" t="n"/>
      <c r="BX156" s="162" t="n"/>
      <c r="BY156" s="162" t="n"/>
      <c r="BZ156" s="162" t="n"/>
      <c r="CA156" s="162" t="n"/>
      <c r="CB156" s="162" t="n"/>
      <c r="CC156" s="162" t="n"/>
      <c r="CD156" s="162" t="n"/>
      <c r="CE156" s="162" t="n"/>
      <c r="CF156" s="162" t="n"/>
      <c r="CG156" s="162" t="n"/>
      <c r="CH156" s="162" t="n"/>
      <c r="CI156" s="162" t="n"/>
      <c r="CJ156" s="162" t="n"/>
      <c r="CK156" s="162" t="n"/>
      <c r="CL156" s="162" t="n"/>
      <c r="CM156" s="162" t="n"/>
      <c r="CN156" s="162" t="n"/>
      <c r="CO156" s="162" t="n"/>
      <c r="CP156" s="162" t="n"/>
      <c r="CQ156" s="162" t="n"/>
      <c r="CR156" s="162" t="n"/>
      <c r="CS156" s="162" t="n"/>
      <c r="CT156" s="162" t="n"/>
    </row>
    <row r="157" ht="15" customHeight="1">
      <c r="A157" s="175" t="n">
        <v>156</v>
      </c>
      <c r="B157" s="181" t="n">
        <v>65</v>
      </c>
      <c r="C157" s="182" t="n">
        <v>45766</v>
      </c>
      <c r="D157" s="187" t="inlineStr">
        <is>
          <t>221 G. MALAGUEÑA</t>
        </is>
      </c>
      <c r="E157" s="187" t="n">
        <v>40633</v>
      </c>
      <c r="F157" s="187" t="inlineStr">
        <is>
          <t>FABIO ALDANA</t>
        </is>
      </c>
      <c r="G157" s="188" t="n">
        <v>3579</v>
      </c>
      <c r="H157" s="188" t="n">
        <v>3579</v>
      </c>
      <c r="I157" s="188" t="n">
        <v>3562</v>
      </c>
      <c r="J157" s="188" t="n">
        <v>3</v>
      </c>
      <c r="K157" s="188" t="n">
        <v>8</v>
      </c>
      <c r="L157" s="189" t="n">
        <v>6</v>
      </c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  <c r="AA157" s="162" t="n"/>
      <c r="AB157" s="162" t="n"/>
      <c r="AC157" s="162" t="n"/>
      <c r="AD157" s="162" t="n"/>
      <c r="AE157" s="162" t="n"/>
      <c r="AF157" s="162" t="n"/>
      <c r="AG157" s="162" t="n"/>
      <c r="AH157" s="162" t="n"/>
      <c r="AI157" s="162" t="n"/>
      <c r="AJ157" s="162" t="n"/>
      <c r="AK157" s="162" t="n"/>
      <c r="AL157" s="162" t="n"/>
      <c r="AM157" s="162" t="n"/>
      <c r="AN157" s="162" t="n"/>
      <c r="AO157" s="162" t="n"/>
      <c r="AP157" s="162" t="n"/>
      <c r="AQ157" s="162" t="n"/>
      <c r="AR157" s="162" t="n"/>
      <c r="AS157" s="162" t="n"/>
      <c r="AT157" s="162" t="n"/>
      <c r="AU157" s="162" t="n"/>
      <c r="AV157" s="162" t="n"/>
      <c r="AW157" s="162" t="n"/>
      <c r="AX157" s="162" t="n"/>
      <c r="AY157" s="162" t="n"/>
      <c r="AZ157" s="162" t="n"/>
      <c r="BA157" s="162" t="n"/>
      <c r="BB157" s="162" t="n"/>
      <c r="BC157" s="162" t="n"/>
      <c r="BD157" s="162" t="n"/>
      <c r="BE157" s="162" t="n"/>
      <c r="BF157" s="162" t="n"/>
      <c r="BG157" s="162" t="n"/>
      <c r="BH157" s="162" t="n"/>
      <c r="BI157" s="162" t="n"/>
      <c r="BJ157" s="162" t="n"/>
      <c r="BK157" s="162" t="n"/>
      <c r="BL157" s="162" t="n"/>
      <c r="BM157" s="162" t="n"/>
      <c r="BN157" s="162" t="n"/>
      <c r="BO157" s="162" t="n"/>
      <c r="BP157" s="162" t="n"/>
      <c r="BQ157" s="162" t="n"/>
      <c r="BR157" s="162" t="n"/>
      <c r="BS157" s="162" t="n"/>
      <c r="BT157" s="162" t="n"/>
      <c r="BU157" s="162" t="n"/>
      <c r="BV157" s="162" t="n"/>
      <c r="BW157" s="162" t="n"/>
      <c r="BX157" s="162" t="n"/>
      <c r="BY157" s="162" t="n"/>
      <c r="BZ157" s="162" t="n"/>
      <c r="CA157" s="162" t="n"/>
      <c r="CB157" s="162" t="n"/>
      <c r="CC157" s="162" t="n"/>
      <c r="CD157" s="162" t="n"/>
      <c r="CE157" s="162" t="n"/>
      <c r="CF157" s="162" t="n"/>
      <c r="CG157" s="162" t="n"/>
      <c r="CH157" s="162" t="n"/>
      <c r="CI157" s="162" t="n"/>
      <c r="CJ157" s="162" t="n"/>
      <c r="CK157" s="162" t="n"/>
      <c r="CL157" s="162" t="n"/>
      <c r="CM157" s="162" t="n"/>
      <c r="CN157" s="162" t="n"/>
      <c r="CO157" s="162" t="n"/>
      <c r="CP157" s="162" t="n"/>
      <c r="CQ157" s="162" t="n"/>
      <c r="CR157" s="162" t="n"/>
      <c r="CS157" s="162" t="n"/>
      <c r="CT157" s="162" t="n"/>
    </row>
    <row r="158" ht="15" customHeight="1">
      <c r="A158" s="175" t="n">
        <v>157</v>
      </c>
      <c r="B158" s="181" t="n">
        <v>66</v>
      </c>
      <c r="C158" s="182" t="n">
        <v>45766</v>
      </c>
      <c r="D158" s="187" t="inlineStr">
        <is>
          <t>221 G. MALAGUEÑA</t>
        </is>
      </c>
      <c r="E158" s="187" t="n">
        <v>40634</v>
      </c>
      <c r="F158" s="187" t="inlineStr">
        <is>
          <t>DUMAR ANGARITA</t>
        </is>
      </c>
      <c r="G158" s="188" t="n">
        <v>3579</v>
      </c>
      <c r="H158" s="188" t="n">
        <v>3579</v>
      </c>
      <c r="I158" s="188" t="n">
        <v>3574</v>
      </c>
      <c r="J158" s="188" t="n">
        <v>3</v>
      </c>
      <c r="K158" s="188" t="n">
        <v>8</v>
      </c>
      <c r="L158" s="189" t="n">
        <v>-6</v>
      </c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  <c r="AA158" s="162" t="n"/>
      <c r="AB158" s="162" t="n"/>
      <c r="AC158" s="162" t="n"/>
      <c r="AD158" s="162" t="n"/>
      <c r="AE158" s="162" t="n"/>
      <c r="AF158" s="162" t="n"/>
      <c r="AG158" s="162" t="n"/>
      <c r="AH158" s="162" t="n"/>
      <c r="AI158" s="162" t="n"/>
      <c r="AJ158" s="162" t="n"/>
      <c r="AK158" s="162" t="n"/>
      <c r="AL158" s="162" t="n"/>
      <c r="AM158" s="162" t="n"/>
      <c r="AN158" s="162" t="n"/>
      <c r="AO158" s="162" t="n"/>
      <c r="AP158" s="162" t="n"/>
      <c r="AQ158" s="162" t="n"/>
      <c r="AR158" s="162" t="n"/>
      <c r="AS158" s="162" t="n"/>
      <c r="AT158" s="162" t="n"/>
      <c r="AU158" s="162" t="n"/>
      <c r="AV158" s="162" t="n"/>
      <c r="AW158" s="162" t="n"/>
      <c r="AX158" s="162" t="n"/>
      <c r="AY158" s="162" t="n"/>
      <c r="AZ158" s="162" t="n"/>
      <c r="BA158" s="162" t="n"/>
      <c r="BB158" s="162" t="n"/>
      <c r="BC158" s="162" t="n"/>
      <c r="BD158" s="162" t="n"/>
      <c r="BE158" s="162" t="n"/>
      <c r="BF158" s="162" t="n"/>
      <c r="BG158" s="162" t="n"/>
      <c r="BH158" s="162" t="n"/>
      <c r="BI158" s="162" t="n"/>
      <c r="BJ158" s="162" t="n"/>
      <c r="BK158" s="162" t="n"/>
      <c r="BL158" s="162" t="n"/>
      <c r="BM158" s="162" t="n"/>
      <c r="BN158" s="162" t="n"/>
      <c r="BO158" s="162" t="n"/>
      <c r="BP158" s="162" t="n"/>
      <c r="BQ158" s="162" t="n"/>
      <c r="BR158" s="162" t="n"/>
      <c r="BS158" s="162" t="n"/>
      <c r="BT158" s="162" t="n"/>
      <c r="BU158" s="162" t="n"/>
      <c r="BV158" s="162" t="n"/>
      <c r="BW158" s="162" t="n"/>
      <c r="BX158" s="162" t="n"/>
      <c r="BY158" s="162" t="n"/>
      <c r="BZ158" s="162" t="n"/>
      <c r="CA158" s="162" t="n"/>
      <c r="CB158" s="162" t="n"/>
      <c r="CC158" s="162" t="n"/>
      <c r="CD158" s="162" t="n"/>
      <c r="CE158" s="162" t="n"/>
      <c r="CF158" s="162" t="n"/>
      <c r="CG158" s="162" t="n"/>
      <c r="CH158" s="162" t="n"/>
      <c r="CI158" s="162" t="n"/>
      <c r="CJ158" s="162" t="n"/>
      <c r="CK158" s="162" t="n"/>
      <c r="CL158" s="162" t="n"/>
      <c r="CM158" s="162" t="n"/>
      <c r="CN158" s="162" t="n"/>
      <c r="CO158" s="162" t="n"/>
      <c r="CP158" s="162" t="n"/>
      <c r="CQ158" s="162" t="n"/>
      <c r="CR158" s="162" t="n"/>
      <c r="CS158" s="162" t="n"/>
      <c r="CT158" s="162" t="n"/>
    </row>
    <row r="159" ht="15" customHeight="1">
      <c r="A159" s="175" t="n">
        <v>158</v>
      </c>
      <c r="B159" s="181" t="n">
        <v>67</v>
      </c>
      <c r="C159" s="182" t="n">
        <v>45766</v>
      </c>
      <c r="D159" s="187" t="inlineStr">
        <is>
          <t>221 G. MALAGUEÑA</t>
        </is>
      </c>
      <c r="E159" s="187" t="n">
        <v>40635</v>
      </c>
      <c r="F159" s="187" t="inlineStr">
        <is>
          <t>JAIRO CUBILLOS</t>
        </is>
      </c>
      <c r="G159" s="188" t="n">
        <v>3271</v>
      </c>
      <c r="H159" s="188" t="n">
        <v>3271</v>
      </c>
      <c r="I159" s="188" t="n">
        <v>3270</v>
      </c>
      <c r="J159" s="188" t="n">
        <v>3</v>
      </c>
      <c r="K159" s="188" t="n">
        <v>6</v>
      </c>
      <c r="L159" s="189" t="n">
        <v>-8</v>
      </c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  <c r="AA159" s="162" t="n"/>
      <c r="AB159" s="162" t="n"/>
      <c r="AC159" s="162" t="n"/>
      <c r="AD159" s="162" t="n"/>
      <c r="AE159" s="162" t="n"/>
      <c r="AF159" s="162" t="n"/>
      <c r="AG159" s="162" t="n"/>
      <c r="AH159" s="162" t="n"/>
      <c r="AI159" s="162" t="n"/>
      <c r="AJ159" s="162" t="n"/>
      <c r="AK159" s="162" t="n"/>
      <c r="AL159" s="162" t="n"/>
      <c r="AM159" s="162" t="n"/>
      <c r="AN159" s="162" t="n"/>
      <c r="AO159" s="162" t="n"/>
      <c r="AP159" s="162" t="n"/>
      <c r="AQ159" s="162" t="n"/>
      <c r="AR159" s="162" t="n"/>
      <c r="AS159" s="162" t="n"/>
      <c r="AT159" s="162" t="n"/>
      <c r="AU159" s="162" t="n"/>
      <c r="AV159" s="162" t="n"/>
      <c r="AW159" s="162" t="n"/>
      <c r="AX159" s="162" t="n"/>
      <c r="AY159" s="162" t="n"/>
      <c r="AZ159" s="162" t="n"/>
      <c r="BA159" s="162" t="n"/>
      <c r="BB159" s="162" t="n"/>
      <c r="BC159" s="162" t="n"/>
      <c r="BD159" s="162" t="n"/>
      <c r="BE159" s="162" t="n"/>
      <c r="BF159" s="162" t="n"/>
      <c r="BG159" s="162" t="n"/>
      <c r="BH159" s="162" t="n"/>
      <c r="BI159" s="162" t="n"/>
      <c r="BJ159" s="162" t="n"/>
      <c r="BK159" s="162" t="n"/>
      <c r="BL159" s="162" t="n"/>
      <c r="BM159" s="162" t="n"/>
      <c r="BN159" s="162" t="n"/>
      <c r="BO159" s="162" t="n"/>
      <c r="BP159" s="162" t="n"/>
      <c r="BQ159" s="162" t="n"/>
      <c r="BR159" s="162" t="n"/>
      <c r="BS159" s="162" t="n"/>
      <c r="BT159" s="162" t="n"/>
      <c r="BU159" s="162" t="n"/>
      <c r="BV159" s="162" t="n"/>
      <c r="BW159" s="162" t="n"/>
      <c r="BX159" s="162" t="n"/>
      <c r="BY159" s="162" t="n"/>
      <c r="BZ159" s="162" t="n"/>
      <c r="CA159" s="162" t="n"/>
      <c r="CB159" s="162" t="n"/>
      <c r="CC159" s="162" t="n"/>
      <c r="CD159" s="162" t="n"/>
      <c r="CE159" s="162" t="n"/>
      <c r="CF159" s="162" t="n"/>
      <c r="CG159" s="162" t="n"/>
      <c r="CH159" s="162" t="n"/>
      <c r="CI159" s="162" t="n"/>
      <c r="CJ159" s="162" t="n"/>
      <c r="CK159" s="162" t="n"/>
      <c r="CL159" s="162" t="n"/>
      <c r="CM159" s="162" t="n"/>
      <c r="CN159" s="162" t="n"/>
      <c r="CO159" s="162" t="n"/>
      <c r="CP159" s="162" t="n"/>
      <c r="CQ159" s="162" t="n"/>
      <c r="CR159" s="162" t="n"/>
      <c r="CS159" s="162" t="n"/>
      <c r="CT159" s="162" t="n"/>
    </row>
    <row r="160" ht="15" customHeight="1">
      <c r="A160" s="175" t="n">
        <v>159</v>
      </c>
      <c r="B160" s="181" t="n">
        <v>68</v>
      </c>
      <c r="C160" s="182" t="n">
        <v>45766</v>
      </c>
      <c r="D160" s="187" t="inlineStr">
        <is>
          <t>221 G. MALAGUEÑA</t>
        </is>
      </c>
      <c r="E160" s="187" t="n">
        <v>40636</v>
      </c>
      <c r="F160" s="187" t="inlineStr">
        <is>
          <t>DIEGO NIÑO</t>
        </is>
      </c>
      <c r="G160" s="188" t="n">
        <v>3445</v>
      </c>
      <c r="H160" s="188" t="n">
        <v>3445</v>
      </c>
      <c r="I160" s="188" t="n">
        <v>3427</v>
      </c>
      <c r="J160" s="188" t="n">
        <v>2</v>
      </c>
      <c r="K160" s="188" t="n">
        <v>16</v>
      </c>
      <c r="L160" s="189" t="n">
        <v>0</v>
      </c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  <c r="AA160" s="162" t="n"/>
      <c r="AB160" s="162" t="n"/>
      <c r="AC160" s="162" t="n"/>
      <c r="AD160" s="162" t="n"/>
      <c r="AE160" s="162" t="n"/>
      <c r="AF160" s="162" t="n"/>
      <c r="AG160" s="162" t="n"/>
      <c r="AH160" s="162" t="n"/>
      <c r="AI160" s="162" t="n"/>
      <c r="AJ160" s="162" t="n"/>
      <c r="AK160" s="162" t="n"/>
      <c r="AL160" s="162" t="n"/>
      <c r="AM160" s="162" t="n"/>
      <c r="AN160" s="162" t="n"/>
      <c r="AO160" s="162" t="n"/>
      <c r="AP160" s="162" t="n"/>
      <c r="AQ160" s="162" t="n"/>
      <c r="AR160" s="162" t="n"/>
      <c r="AS160" s="162" t="n"/>
      <c r="AT160" s="162" t="n"/>
      <c r="AU160" s="162" t="n"/>
      <c r="AV160" s="162" t="n"/>
      <c r="AW160" s="162" t="n"/>
      <c r="AX160" s="162" t="n"/>
      <c r="AY160" s="162" t="n"/>
      <c r="AZ160" s="162" t="n"/>
      <c r="BA160" s="162" t="n"/>
      <c r="BB160" s="162" t="n"/>
      <c r="BC160" s="162" t="n"/>
      <c r="BD160" s="162" t="n"/>
      <c r="BE160" s="162" t="n"/>
      <c r="BF160" s="162" t="n"/>
      <c r="BG160" s="162" t="n"/>
      <c r="BH160" s="162" t="n"/>
      <c r="BI160" s="162" t="n"/>
      <c r="BJ160" s="162" t="n"/>
      <c r="BK160" s="162" t="n"/>
      <c r="BL160" s="162" t="n"/>
      <c r="BM160" s="162" t="n"/>
      <c r="BN160" s="162" t="n"/>
      <c r="BO160" s="162" t="n"/>
      <c r="BP160" s="162" t="n"/>
      <c r="BQ160" s="162" t="n"/>
      <c r="BR160" s="162" t="n"/>
      <c r="BS160" s="162" t="n"/>
      <c r="BT160" s="162" t="n"/>
      <c r="BU160" s="162" t="n"/>
      <c r="BV160" s="162" t="n"/>
      <c r="BW160" s="162" t="n"/>
      <c r="BX160" s="162" t="n"/>
      <c r="BY160" s="162" t="n"/>
      <c r="BZ160" s="162" t="n"/>
      <c r="CA160" s="162" t="n"/>
      <c r="CB160" s="162" t="n"/>
      <c r="CC160" s="162" t="n"/>
      <c r="CD160" s="162" t="n"/>
      <c r="CE160" s="162" t="n"/>
      <c r="CF160" s="162" t="n"/>
      <c r="CG160" s="162" t="n"/>
      <c r="CH160" s="162" t="n"/>
      <c r="CI160" s="162" t="n"/>
      <c r="CJ160" s="162" t="n"/>
      <c r="CK160" s="162" t="n"/>
      <c r="CL160" s="162" t="n"/>
      <c r="CM160" s="162" t="n"/>
      <c r="CN160" s="162" t="n"/>
      <c r="CO160" s="162" t="n"/>
      <c r="CP160" s="162" t="n"/>
      <c r="CQ160" s="162" t="n"/>
      <c r="CR160" s="162" t="n"/>
      <c r="CS160" s="162" t="n"/>
      <c r="CT160" s="162" t="n"/>
    </row>
    <row r="161" ht="15" customHeight="1">
      <c r="A161" s="175" t="n">
        <v>160</v>
      </c>
      <c r="B161" s="181" t="n">
        <v>69</v>
      </c>
      <c r="C161" s="182" t="n">
        <v>45766</v>
      </c>
      <c r="D161" s="187" t="inlineStr">
        <is>
          <t>221 G. MALAGUEÑA</t>
        </is>
      </c>
      <c r="E161" s="187" t="n">
        <v>40644</v>
      </c>
      <c r="F161" s="187" t="inlineStr">
        <is>
          <t>WILMER PIÑEROS</t>
        </is>
      </c>
      <c r="G161" s="188" t="n">
        <v>2622</v>
      </c>
      <c r="H161" s="188" t="n">
        <v>2622</v>
      </c>
      <c r="I161" s="188" t="n">
        <v>2611</v>
      </c>
      <c r="J161" s="188" t="n">
        <v>4</v>
      </c>
      <c r="K161" s="188" t="n">
        <v>7</v>
      </c>
      <c r="L161" s="189" t="n">
        <v>0</v>
      </c>
      <c r="M161" s="190" t="inlineStr">
        <is>
          <t>LLANO</t>
        </is>
      </c>
      <c r="N161" s="190" t="inlineStr">
        <is>
          <t>12 AL 19 ABRIL</t>
        </is>
      </c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  <c r="AA161" s="162" t="n"/>
      <c r="AB161" s="162" t="n"/>
      <c r="AC161" s="162" t="n"/>
      <c r="AD161" s="162" t="n"/>
      <c r="AE161" s="162" t="n"/>
      <c r="AF161" s="162" t="n"/>
      <c r="AG161" s="162" t="n"/>
      <c r="AH161" s="162" t="n"/>
      <c r="AI161" s="162" t="n"/>
      <c r="AJ161" s="162" t="n"/>
      <c r="AK161" s="162" t="n"/>
      <c r="AL161" s="162" t="n"/>
      <c r="AM161" s="162" t="n"/>
      <c r="AN161" s="162" t="n"/>
      <c r="AO161" s="162" t="n"/>
      <c r="AP161" s="162" t="n"/>
      <c r="AQ161" s="162" t="n"/>
      <c r="AR161" s="162" t="n"/>
      <c r="AS161" s="162" t="n"/>
      <c r="AT161" s="162" t="n"/>
      <c r="AU161" s="162" t="n"/>
      <c r="AV161" s="162" t="n"/>
      <c r="AW161" s="162" t="n"/>
      <c r="AX161" s="162" t="n"/>
      <c r="AY161" s="162" t="n"/>
      <c r="AZ161" s="162" t="n"/>
      <c r="BA161" s="162" t="n"/>
      <c r="BB161" s="162" t="n"/>
      <c r="BC161" s="162" t="n"/>
      <c r="BD161" s="162" t="n"/>
      <c r="BE161" s="162" t="n"/>
      <c r="BF161" s="162" t="n"/>
      <c r="BG161" s="162" t="n"/>
      <c r="BH161" s="162" t="n"/>
      <c r="BI161" s="162" t="n"/>
      <c r="BJ161" s="162" t="n"/>
      <c r="BK161" s="162" t="n"/>
      <c r="BL161" s="162" t="n"/>
      <c r="BM161" s="162" t="n"/>
      <c r="BN161" s="162" t="n"/>
      <c r="BO161" s="162" t="n"/>
      <c r="BP161" s="162" t="n"/>
      <c r="BQ161" s="162" t="n"/>
      <c r="BR161" s="162" t="n"/>
      <c r="BS161" s="162" t="n"/>
      <c r="BT161" s="162" t="n"/>
      <c r="BU161" s="162" t="n"/>
      <c r="BV161" s="162" t="n"/>
      <c r="BW161" s="162" t="n"/>
      <c r="BX161" s="162" t="n"/>
      <c r="BY161" s="162" t="n"/>
      <c r="BZ161" s="162" t="n"/>
      <c r="CA161" s="162" t="n"/>
      <c r="CB161" s="162" t="n"/>
      <c r="CC161" s="162" t="n"/>
      <c r="CD161" s="162" t="n"/>
      <c r="CE161" s="162" t="n"/>
      <c r="CF161" s="162" t="n"/>
      <c r="CG161" s="162" t="n"/>
      <c r="CH161" s="162" t="n"/>
      <c r="CI161" s="162" t="n"/>
      <c r="CJ161" s="162" t="n"/>
      <c r="CK161" s="162" t="n"/>
      <c r="CL161" s="162" t="n"/>
      <c r="CM161" s="162" t="n"/>
      <c r="CN161" s="162" t="n"/>
      <c r="CO161" s="162" t="n"/>
      <c r="CP161" s="162" t="n"/>
      <c r="CQ161" s="162" t="n"/>
      <c r="CR161" s="162" t="n"/>
      <c r="CS161" s="162" t="n"/>
      <c r="CT161" s="162" t="n"/>
    </row>
    <row r="162" ht="15" customHeight="1">
      <c r="A162" s="175" t="n">
        <v>161</v>
      </c>
      <c r="B162" s="181" t="n">
        <v>70</v>
      </c>
      <c r="C162" s="182" t="n">
        <v>45766</v>
      </c>
      <c r="D162" s="187" t="inlineStr">
        <is>
          <t>221 G. MALAGUEÑA</t>
        </is>
      </c>
      <c r="E162" s="187" t="n">
        <v>40645</v>
      </c>
      <c r="F162" s="187" t="inlineStr">
        <is>
          <t>ALBERTO LOPEZ</t>
        </is>
      </c>
      <c r="G162" s="188" t="n">
        <v>3161</v>
      </c>
      <c r="H162" s="188" t="n">
        <v>3171</v>
      </c>
      <c r="I162" s="188" t="n">
        <v>3140</v>
      </c>
      <c r="J162" s="188" t="n">
        <v>8</v>
      </c>
      <c r="K162" s="188" t="n">
        <v>9</v>
      </c>
      <c r="L162" s="189" t="n">
        <v>4</v>
      </c>
      <c r="M162" s="162" t="inlineStr">
        <is>
          <t>VIAJES</t>
        </is>
      </c>
      <c r="N162" s="162">
        <f>+B163</f>
        <v/>
      </c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  <c r="AA162" s="162" t="n"/>
      <c r="AB162" s="162" t="n"/>
      <c r="AC162" s="162" t="n"/>
      <c r="AD162" s="162" t="n"/>
      <c r="AE162" s="162" t="n"/>
      <c r="AF162" s="162" t="n"/>
      <c r="AG162" s="162" t="n"/>
      <c r="AH162" s="162" t="n"/>
      <c r="AI162" s="162" t="n"/>
      <c r="AJ162" s="162" t="n"/>
      <c r="AK162" s="162" t="n"/>
      <c r="AL162" s="162" t="n"/>
      <c r="AM162" s="162" t="n"/>
      <c r="AN162" s="162" t="n"/>
      <c r="AO162" s="162" t="n"/>
      <c r="AP162" s="162" t="n"/>
      <c r="AQ162" s="162" t="n"/>
      <c r="AR162" s="162" t="n"/>
      <c r="AS162" s="162" t="n"/>
      <c r="AT162" s="162" t="n"/>
      <c r="AU162" s="162" t="n"/>
      <c r="AV162" s="162" t="n"/>
      <c r="AW162" s="162" t="n"/>
      <c r="AX162" s="162" t="n"/>
      <c r="AY162" s="162" t="n"/>
      <c r="AZ162" s="162" t="n"/>
      <c r="BA162" s="162" t="n"/>
      <c r="BB162" s="162" t="n"/>
      <c r="BC162" s="162" t="n"/>
      <c r="BD162" s="162" t="n"/>
      <c r="BE162" s="162" t="n"/>
      <c r="BF162" s="162" t="n"/>
      <c r="BG162" s="162" t="n"/>
      <c r="BH162" s="162" t="n"/>
      <c r="BI162" s="162" t="n"/>
      <c r="BJ162" s="162" t="n"/>
      <c r="BK162" s="162" t="n"/>
      <c r="BL162" s="162" t="n"/>
      <c r="BM162" s="162" t="n"/>
      <c r="BN162" s="162" t="n"/>
      <c r="BO162" s="162" t="n"/>
      <c r="BP162" s="162" t="n"/>
      <c r="BQ162" s="162" t="n"/>
      <c r="BR162" s="162" t="n"/>
      <c r="BS162" s="162" t="n"/>
      <c r="BT162" s="162" t="n"/>
      <c r="BU162" s="162" t="n"/>
      <c r="BV162" s="162" t="n"/>
      <c r="BW162" s="162" t="n"/>
      <c r="BX162" s="162" t="n"/>
      <c r="BY162" s="162" t="n"/>
      <c r="BZ162" s="162" t="n"/>
      <c r="CA162" s="162" t="n"/>
      <c r="CB162" s="162" t="n"/>
      <c r="CC162" s="162" t="n"/>
      <c r="CD162" s="162" t="n"/>
      <c r="CE162" s="162" t="n"/>
      <c r="CF162" s="162" t="n"/>
      <c r="CG162" s="162" t="n"/>
      <c r="CH162" s="162" t="n"/>
      <c r="CI162" s="162" t="n"/>
      <c r="CJ162" s="162" t="n"/>
      <c r="CK162" s="162" t="n"/>
      <c r="CL162" s="162" t="n"/>
      <c r="CM162" s="162" t="n"/>
      <c r="CN162" s="162" t="n"/>
      <c r="CO162" s="162" t="n"/>
      <c r="CP162" s="162" t="n"/>
      <c r="CQ162" s="162" t="n"/>
      <c r="CR162" s="162" t="n"/>
      <c r="CS162" s="162" t="n"/>
      <c r="CT162" s="162" t="n"/>
    </row>
    <row r="163" ht="15" customHeight="1">
      <c r="A163" s="175" t="n">
        <v>162</v>
      </c>
      <c r="B163" s="192" t="n">
        <v>71</v>
      </c>
      <c r="C163" s="193" t="n">
        <v>45766</v>
      </c>
      <c r="D163" s="194" t="inlineStr">
        <is>
          <t>219 G. SAN JOSE 2</t>
        </is>
      </c>
      <c r="E163" s="194" t="n">
        <v>40646</v>
      </c>
      <c r="F163" s="194" t="inlineStr">
        <is>
          <t>JAIRO CUBILLOS</t>
        </is>
      </c>
      <c r="G163" s="195" t="n">
        <v>2879</v>
      </c>
      <c r="H163" s="195" t="n">
        <v>2879</v>
      </c>
      <c r="I163" s="195" t="n">
        <v>2856</v>
      </c>
      <c r="J163" s="195" t="n">
        <v>2</v>
      </c>
      <c r="K163" s="195" t="n">
        <v>21</v>
      </c>
      <c r="L163" s="196" t="n">
        <v>0</v>
      </c>
      <c r="M163" s="162" t="inlineStr">
        <is>
          <t>TOTAL POLLOS</t>
        </is>
      </c>
      <c r="N163" s="162">
        <f>SUM(G93:G163)</f>
        <v/>
      </c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  <c r="AA163" s="162" t="n"/>
      <c r="AB163" s="162" t="n"/>
      <c r="AC163" s="162" t="n"/>
      <c r="AD163" s="162" t="n"/>
      <c r="AE163" s="162" t="n"/>
      <c r="AF163" s="162" t="n"/>
      <c r="AG163" s="162" t="n"/>
      <c r="AH163" s="162" t="n"/>
      <c r="AI163" s="162" t="n"/>
      <c r="AJ163" s="162" t="n"/>
      <c r="AK163" s="162" t="n"/>
      <c r="AL163" s="162" t="n"/>
      <c r="AM163" s="162" t="n"/>
      <c r="AN163" s="162" t="n"/>
      <c r="AO163" s="162" t="n"/>
      <c r="AP163" s="162" t="n"/>
      <c r="AQ163" s="162" t="n"/>
      <c r="AR163" s="162" t="n"/>
      <c r="AS163" s="162" t="n"/>
      <c r="AT163" s="162" t="n"/>
      <c r="AU163" s="162" t="n"/>
      <c r="AV163" s="162" t="n"/>
      <c r="AW163" s="162" t="n"/>
      <c r="AX163" s="162" t="n"/>
      <c r="AY163" s="162" t="n"/>
      <c r="AZ163" s="162" t="n"/>
      <c r="BA163" s="162" t="n"/>
      <c r="BB163" s="162" t="n"/>
      <c r="BC163" s="162" t="n"/>
      <c r="BD163" s="162" t="n"/>
      <c r="BE163" s="162" t="n"/>
      <c r="BF163" s="162" t="n"/>
      <c r="BG163" s="162" t="n"/>
      <c r="BH163" s="162" t="n"/>
      <c r="BI163" s="162" t="n"/>
      <c r="BJ163" s="162" t="n"/>
      <c r="BK163" s="162" t="n"/>
      <c r="BL163" s="162" t="n"/>
      <c r="BM163" s="162" t="n"/>
      <c r="BN163" s="162" t="n"/>
      <c r="BO163" s="162" t="n"/>
      <c r="BP163" s="162" t="n"/>
      <c r="BQ163" s="162" t="n"/>
      <c r="BR163" s="162" t="n"/>
      <c r="BS163" s="162" t="n"/>
      <c r="BT163" s="162" t="n"/>
      <c r="BU163" s="162" t="n"/>
      <c r="BV163" s="162" t="n"/>
      <c r="BW163" s="162" t="n"/>
      <c r="BX163" s="162" t="n"/>
      <c r="BY163" s="162" t="n"/>
      <c r="BZ163" s="162" t="n"/>
      <c r="CA163" s="162" t="n"/>
      <c r="CB163" s="162" t="n"/>
      <c r="CC163" s="162" t="n"/>
      <c r="CD163" s="162" t="n"/>
      <c r="CE163" s="162" t="n"/>
      <c r="CF163" s="162" t="n"/>
      <c r="CG163" s="162" t="n"/>
      <c r="CH163" s="162" t="n"/>
      <c r="CI163" s="162" t="n"/>
      <c r="CJ163" s="162" t="n"/>
      <c r="CK163" s="162" t="n"/>
      <c r="CL163" s="162" t="n"/>
      <c r="CM163" s="162" t="n"/>
      <c r="CN163" s="162" t="n"/>
      <c r="CO163" s="162" t="n"/>
      <c r="CP163" s="162" t="n"/>
      <c r="CQ163" s="162" t="n"/>
      <c r="CR163" s="162" t="n"/>
      <c r="CS163" s="162" t="n"/>
      <c r="CT163" s="162" t="n"/>
    </row>
    <row r="164" ht="18.75" customHeight="1">
      <c r="A164" s="175" t="n">
        <v>163</v>
      </c>
      <c r="B164" s="223" t="n">
        <v>1</v>
      </c>
      <c r="C164" s="224" t="n">
        <v>45768</v>
      </c>
      <c r="D164" s="225" t="inlineStr">
        <is>
          <t>221 G. MALAGUEÑA</t>
        </is>
      </c>
      <c r="E164" s="225" t="n">
        <v>40652</v>
      </c>
      <c r="F164" s="225" t="inlineStr">
        <is>
          <t>JHON AGUIRRE</t>
        </is>
      </c>
      <c r="G164" s="179" t="n">
        <v>3072</v>
      </c>
      <c r="H164" s="179" t="n">
        <v>3072</v>
      </c>
      <c r="I164" s="179" t="n">
        <v>3038</v>
      </c>
      <c r="J164" s="179" t="n">
        <v>4</v>
      </c>
      <c r="K164" s="179" t="n">
        <v>27</v>
      </c>
      <c r="L164" s="180" t="n">
        <v>3</v>
      </c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  <c r="AA164" s="162" t="n"/>
      <c r="AB164" s="162" t="n"/>
      <c r="AC164" s="162" t="n"/>
      <c r="AD164" s="162" t="n"/>
      <c r="AE164" s="162" t="n"/>
      <c r="AF164" s="162" t="n"/>
      <c r="AG164" s="162" t="n"/>
      <c r="AH164" s="162" t="n"/>
      <c r="AI164" s="162" t="n"/>
      <c r="AJ164" s="162" t="n"/>
      <c r="AK164" s="162" t="n"/>
      <c r="AL164" s="162" t="n"/>
      <c r="AM164" s="162" t="n"/>
      <c r="AN164" s="162" t="n"/>
      <c r="AO164" s="162" t="n"/>
      <c r="AP164" s="162" t="n"/>
      <c r="AQ164" s="162" t="n"/>
      <c r="AR164" s="162" t="n"/>
      <c r="AS164" s="162" t="n"/>
      <c r="AT164" s="162" t="n"/>
      <c r="AU164" s="162" t="n"/>
      <c r="AV164" s="162" t="n"/>
      <c r="AW164" s="162" t="n"/>
      <c r="AX164" s="162" t="n"/>
      <c r="AY164" s="162" t="n"/>
      <c r="AZ164" s="162" t="n"/>
      <c r="BA164" s="162" t="n"/>
      <c r="BB164" s="162" t="n"/>
      <c r="BC164" s="162" t="n"/>
      <c r="BD164" s="162" t="n"/>
      <c r="BE164" s="162" t="n"/>
      <c r="BF164" s="162" t="n"/>
      <c r="BG164" s="162" t="n"/>
      <c r="BH164" s="162" t="n"/>
      <c r="BI164" s="162" t="n"/>
      <c r="BJ164" s="162" t="n"/>
      <c r="BK164" s="162" t="n"/>
      <c r="BL164" s="162" t="n"/>
      <c r="BM164" s="162" t="n"/>
      <c r="BN164" s="162" t="n"/>
      <c r="BO164" s="162" t="n"/>
      <c r="BP164" s="162" t="n"/>
      <c r="BQ164" s="162" t="n"/>
      <c r="BR164" s="162" t="n"/>
      <c r="BS164" s="162" t="n"/>
      <c r="BT164" s="162" t="n"/>
      <c r="BU164" s="162" t="n"/>
      <c r="BV164" s="162" t="n"/>
      <c r="BW164" s="162" t="n"/>
      <c r="BX164" s="162" t="n"/>
      <c r="BY164" s="162" t="n"/>
      <c r="BZ164" s="162" t="n"/>
      <c r="CA164" s="162" t="n"/>
      <c r="CB164" s="162" t="n"/>
      <c r="CC164" s="162" t="n"/>
      <c r="CD164" s="162" t="n"/>
      <c r="CE164" s="162" t="n"/>
      <c r="CF164" s="162" t="n"/>
      <c r="CG164" s="162" t="n"/>
      <c r="CH164" s="162" t="n"/>
      <c r="CI164" s="162" t="n"/>
      <c r="CJ164" s="162" t="n"/>
      <c r="CK164" s="162" t="n"/>
      <c r="CL164" s="162" t="n"/>
      <c r="CM164" s="162" t="n"/>
      <c r="CN164" s="162" t="n"/>
      <c r="CO164" s="162" t="n"/>
      <c r="CP164" s="162" t="n"/>
      <c r="CQ164" s="162" t="n"/>
      <c r="CR164" s="162" t="n"/>
      <c r="CS164" s="162" t="n"/>
      <c r="CT164" s="162" t="n"/>
    </row>
    <row r="165" ht="18.75" customHeight="1">
      <c r="A165" s="175" t="n">
        <v>164</v>
      </c>
      <c r="B165" s="226" t="n">
        <v>2</v>
      </c>
      <c r="C165" s="164" t="n">
        <v>45768</v>
      </c>
      <c r="D165" s="165" t="inlineStr">
        <is>
          <t>219 G. SAN JOSE 2</t>
        </is>
      </c>
      <c r="E165" s="165" t="n">
        <v>40655</v>
      </c>
      <c r="F165" s="165" t="inlineStr">
        <is>
          <t>JHON ARIAS</t>
        </is>
      </c>
      <c r="G165" s="184" t="n">
        <v>3629</v>
      </c>
      <c r="H165" s="184" t="n">
        <v>3629</v>
      </c>
      <c r="I165" s="184" t="n">
        <v>3643</v>
      </c>
      <c r="J165" s="184" t="n">
        <v>2</v>
      </c>
      <c r="K165" s="184" t="n">
        <v>6</v>
      </c>
      <c r="L165" s="185" t="n">
        <v>-22</v>
      </c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  <c r="AA165" s="162" t="n"/>
      <c r="AB165" s="162" t="n"/>
      <c r="AC165" s="162" t="n"/>
      <c r="AD165" s="162" t="n"/>
      <c r="AE165" s="162" t="n"/>
      <c r="AF165" s="162" t="n"/>
      <c r="AG165" s="162" t="n"/>
      <c r="AH165" s="162" t="n"/>
      <c r="AI165" s="162" t="n"/>
      <c r="AJ165" s="162" t="n"/>
      <c r="AK165" s="162" t="n"/>
      <c r="AL165" s="162" t="n"/>
      <c r="AM165" s="162" t="n"/>
      <c r="AN165" s="162" t="n"/>
      <c r="AO165" s="162" t="n"/>
      <c r="AP165" s="162" t="n"/>
      <c r="AQ165" s="162" t="n"/>
      <c r="AR165" s="162" t="n"/>
      <c r="AS165" s="162" t="n"/>
      <c r="AT165" s="162" t="n"/>
      <c r="AU165" s="162" t="n"/>
      <c r="AV165" s="162" t="n"/>
      <c r="AW165" s="162" t="n"/>
      <c r="AX165" s="162" t="n"/>
      <c r="AY165" s="162" t="n"/>
      <c r="AZ165" s="162" t="n"/>
      <c r="BA165" s="162" t="n"/>
      <c r="BB165" s="162" t="n"/>
      <c r="BC165" s="162" t="n"/>
      <c r="BD165" s="162" t="n"/>
      <c r="BE165" s="162" t="n"/>
      <c r="BF165" s="162" t="n"/>
      <c r="BG165" s="162" t="n"/>
      <c r="BH165" s="162" t="n"/>
      <c r="BI165" s="162" t="n"/>
      <c r="BJ165" s="162" t="n"/>
      <c r="BK165" s="162" t="n"/>
      <c r="BL165" s="162" t="n"/>
      <c r="BM165" s="162" t="n"/>
      <c r="BN165" s="162" t="n"/>
      <c r="BO165" s="162" t="n"/>
      <c r="BP165" s="162" t="n"/>
      <c r="BQ165" s="162" t="n"/>
      <c r="BR165" s="162" t="n"/>
      <c r="BS165" s="162" t="n"/>
      <c r="BT165" s="162" t="n"/>
      <c r="BU165" s="162" t="n"/>
      <c r="BV165" s="162" t="n"/>
      <c r="BW165" s="162" t="n"/>
      <c r="BX165" s="162" t="n"/>
      <c r="BY165" s="162" t="n"/>
      <c r="BZ165" s="162" t="n"/>
      <c r="CA165" s="162" t="n"/>
      <c r="CB165" s="162" t="n"/>
      <c r="CC165" s="162" t="n"/>
      <c r="CD165" s="162" t="n"/>
      <c r="CE165" s="162" t="n"/>
      <c r="CF165" s="162" t="n"/>
      <c r="CG165" s="162" t="n"/>
      <c r="CH165" s="162" t="n"/>
      <c r="CI165" s="162" t="n"/>
      <c r="CJ165" s="162" t="n"/>
      <c r="CK165" s="162" t="n"/>
      <c r="CL165" s="162" t="n"/>
      <c r="CM165" s="162" t="n"/>
      <c r="CN165" s="162" t="n"/>
      <c r="CO165" s="162" t="n"/>
      <c r="CP165" s="162" t="n"/>
      <c r="CQ165" s="162" t="n"/>
      <c r="CR165" s="162" t="n"/>
      <c r="CS165" s="162" t="n"/>
      <c r="CT165" s="162" t="n"/>
    </row>
    <row r="166" ht="18.75" customHeight="1">
      <c r="A166" s="175" t="n">
        <v>165</v>
      </c>
      <c r="B166" s="226" t="n">
        <v>3</v>
      </c>
      <c r="C166" s="164" t="n">
        <v>45768</v>
      </c>
      <c r="D166" s="165" t="inlineStr">
        <is>
          <t>219 G. SAN JOSE 2</t>
        </is>
      </c>
      <c r="E166" s="165" t="n">
        <v>40656</v>
      </c>
      <c r="F166" s="165" t="inlineStr">
        <is>
          <t>JOSE SOLER</t>
        </is>
      </c>
      <c r="G166" s="184" t="n">
        <v>3629</v>
      </c>
      <c r="H166" s="184" t="n">
        <v>3629</v>
      </c>
      <c r="I166" s="184" t="n">
        <v>3646</v>
      </c>
      <c r="J166" s="184" t="n">
        <v>3</v>
      </c>
      <c r="K166" s="184" t="n">
        <v>4</v>
      </c>
      <c r="L166" s="185" t="n">
        <v>-24</v>
      </c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  <c r="AA166" s="162" t="n"/>
      <c r="AB166" s="162" t="n"/>
      <c r="AC166" s="162" t="n"/>
      <c r="AD166" s="162" t="n"/>
      <c r="AE166" s="162" t="n"/>
      <c r="AF166" s="162" t="n"/>
      <c r="AG166" s="162" t="n"/>
      <c r="AH166" s="162" t="n"/>
      <c r="AI166" s="162" t="n"/>
      <c r="AJ166" s="162" t="n"/>
      <c r="AK166" s="162" t="n"/>
      <c r="AL166" s="162" t="n"/>
      <c r="AM166" s="162" t="n"/>
      <c r="AN166" s="162" t="n"/>
      <c r="AO166" s="162" t="n"/>
      <c r="AP166" s="162" t="n"/>
      <c r="AQ166" s="162" t="n"/>
      <c r="AR166" s="162" t="n"/>
      <c r="AS166" s="162" t="n"/>
      <c r="AT166" s="162" t="n"/>
      <c r="AU166" s="162" t="n"/>
      <c r="AV166" s="162" t="n"/>
      <c r="AW166" s="162" t="n"/>
      <c r="AX166" s="162" t="n"/>
      <c r="AY166" s="162" t="n"/>
      <c r="AZ166" s="162" t="n"/>
      <c r="BA166" s="162" t="n"/>
      <c r="BB166" s="162" t="n"/>
      <c r="BC166" s="162" t="n"/>
      <c r="BD166" s="162" t="n"/>
      <c r="BE166" s="162" t="n"/>
      <c r="BF166" s="162" t="n"/>
      <c r="BG166" s="162" t="n"/>
      <c r="BH166" s="162" t="n"/>
      <c r="BI166" s="162" t="n"/>
      <c r="BJ166" s="162" t="n"/>
      <c r="BK166" s="162" t="n"/>
      <c r="BL166" s="162" t="n"/>
      <c r="BM166" s="162" t="n"/>
      <c r="BN166" s="162" t="n"/>
      <c r="BO166" s="162" t="n"/>
      <c r="BP166" s="162" t="n"/>
      <c r="BQ166" s="162" t="n"/>
      <c r="BR166" s="162" t="n"/>
      <c r="BS166" s="162" t="n"/>
      <c r="BT166" s="162" t="n"/>
      <c r="BU166" s="162" t="n"/>
      <c r="BV166" s="162" t="n"/>
      <c r="BW166" s="162" t="n"/>
      <c r="BX166" s="162" t="n"/>
      <c r="BY166" s="162" t="n"/>
      <c r="BZ166" s="162" t="n"/>
      <c r="CA166" s="162" t="n"/>
      <c r="CB166" s="162" t="n"/>
      <c r="CC166" s="162" t="n"/>
      <c r="CD166" s="162" t="n"/>
      <c r="CE166" s="162" t="n"/>
      <c r="CF166" s="162" t="n"/>
      <c r="CG166" s="162" t="n"/>
      <c r="CH166" s="162" t="n"/>
      <c r="CI166" s="162" t="n"/>
      <c r="CJ166" s="162" t="n"/>
      <c r="CK166" s="162" t="n"/>
      <c r="CL166" s="162" t="n"/>
      <c r="CM166" s="162" t="n"/>
      <c r="CN166" s="162" t="n"/>
      <c r="CO166" s="162" t="n"/>
      <c r="CP166" s="162" t="n"/>
      <c r="CQ166" s="162" t="n"/>
      <c r="CR166" s="162" t="n"/>
      <c r="CS166" s="162" t="n"/>
      <c r="CT166" s="162" t="n"/>
    </row>
    <row r="167" ht="18.75" customHeight="1">
      <c r="A167" s="175" t="n">
        <v>166</v>
      </c>
      <c r="B167" s="226" t="n">
        <v>4</v>
      </c>
      <c r="C167" s="164" t="n">
        <v>45768</v>
      </c>
      <c r="D167" s="165" t="inlineStr">
        <is>
          <t>219 G. SAN JOSE 2</t>
        </is>
      </c>
      <c r="E167" s="165" t="n">
        <v>40657</v>
      </c>
      <c r="F167" s="165" t="inlineStr">
        <is>
          <t>EDUAN CAVIEDES</t>
        </is>
      </c>
      <c r="G167" s="184" t="n">
        <v>3629</v>
      </c>
      <c r="H167" s="184" t="n">
        <v>3629</v>
      </c>
      <c r="I167" s="184" t="n">
        <v>3609</v>
      </c>
      <c r="J167" s="184" t="n">
        <v>5</v>
      </c>
      <c r="K167" s="184" t="n">
        <v>9</v>
      </c>
      <c r="L167" s="185" t="n">
        <v>6</v>
      </c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  <c r="AA167" s="162" t="n"/>
      <c r="AB167" s="162" t="n"/>
      <c r="AC167" s="162" t="n"/>
      <c r="AD167" s="162" t="n"/>
      <c r="AE167" s="162" t="n"/>
      <c r="AF167" s="162" t="n"/>
      <c r="AG167" s="162" t="n"/>
      <c r="AH167" s="162" t="n"/>
      <c r="AI167" s="162" t="n"/>
      <c r="AJ167" s="162" t="n"/>
      <c r="AK167" s="162" t="n"/>
      <c r="AL167" s="162" t="n"/>
      <c r="AM167" s="162" t="n"/>
      <c r="AN167" s="162" t="n"/>
      <c r="AO167" s="162" t="n"/>
      <c r="AP167" s="162" t="n"/>
      <c r="AQ167" s="162" t="n"/>
      <c r="AR167" s="162" t="n"/>
      <c r="AS167" s="162" t="n"/>
      <c r="AT167" s="162" t="n"/>
      <c r="AU167" s="162" t="n"/>
      <c r="AV167" s="162" t="n"/>
      <c r="AW167" s="162" t="n"/>
      <c r="AX167" s="162" t="n"/>
      <c r="AY167" s="162" t="n"/>
      <c r="AZ167" s="162" t="n"/>
      <c r="BA167" s="162" t="n"/>
      <c r="BB167" s="162" t="n"/>
      <c r="BC167" s="162" t="n"/>
      <c r="BD167" s="162" t="n"/>
      <c r="BE167" s="162" t="n"/>
      <c r="BF167" s="162" t="n"/>
      <c r="BG167" s="162" t="n"/>
      <c r="BH167" s="162" t="n"/>
      <c r="BI167" s="162" t="n"/>
      <c r="BJ167" s="162" t="n"/>
      <c r="BK167" s="162" t="n"/>
      <c r="BL167" s="162" t="n"/>
      <c r="BM167" s="162" t="n"/>
      <c r="BN167" s="162" t="n"/>
      <c r="BO167" s="162" t="n"/>
      <c r="BP167" s="162" t="n"/>
      <c r="BQ167" s="162" t="n"/>
      <c r="BR167" s="162" t="n"/>
      <c r="BS167" s="162" t="n"/>
      <c r="BT167" s="162" t="n"/>
      <c r="BU167" s="162" t="n"/>
      <c r="BV167" s="162" t="n"/>
      <c r="BW167" s="162" t="n"/>
      <c r="BX167" s="162" t="n"/>
      <c r="BY167" s="162" t="n"/>
      <c r="BZ167" s="162" t="n"/>
      <c r="CA167" s="162" t="n"/>
      <c r="CB167" s="162" t="n"/>
      <c r="CC167" s="162" t="n"/>
      <c r="CD167" s="162" t="n"/>
      <c r="CE167" s="162" t="n"/>
      <c r="CF167" s="162" t="n"/>
      <c r="CG167" s="162" t="n"/>
      <c r="CH167" s="162" t="n"/>
      <c r="CI167" s="162" t="n"/>
      <c r="CJ167" s="162" t="n"/>
      <c r="CK167" s="162" t="n"/>
      <c r="CL167" s="162" t="n"/>
      <c r="CM167" s="162" t="n"/>
      <c r="CN167" s="162" t="n"/>
      <c r="CO167" s="162" t="n"/>
      <c r="CP167" s="162" t="n"/>
      <c r="CQ167" s="162" t="n"/>
      <c r="CR167" s="162" t="n"/>
      <c r="CS167" s="162" t="n"/>
      <c r="CT167" s="162" t="n"/>
    </row>
    <row r="168" ht="18.75" customHeight="1">
      <c r="A168" s="175" t="n">
        <v>167</v>
      </c>
      <c r="B168" s="226" t="n">
        <v>5</v>
      </c>
      <c r="C168" s="164" t="n">
        <v>45768</v>
      </c>
      <c r="D168" s="165" t="inlineStr">
        <is>
          <t>219 G. SAN JOSE 2</t>
        </is>
      </c>
      <c r="E168" s="165" t="n">
        <v>40658</v>
      </c>
      <c r="F168" s="165" t="inlineStr">
        <is>
          <t>JHON AGUIRRE</t>
        </is>
      </c>
      <c r="G168" s="184" t="n">
        <v>3340</v>
      </c>
      <c r="H168" s="184" t="n">
        <v>3340</v>
      </c>
      <c r="I168" s="184" t="n">
        <v>3299</v>
      </c>
      <c r="J168" s="184" t="n">
        <v>0</v>
      </c>
      <c r="K168" s="184" t="n">
        <v>9</v>
      </c>
      <c r="L168" s="185" t="n">
        <v>32</v>
      </c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  <c r="AA168" s="162" t="n"/>
      <c r="AB168" s="162" t="n"/>
      <c r="AC168" s="162" t="n"/>
      <c r="AD168" s="162" t="n"/>
      <c r="AE168" s="162" t="n"/>
      <c r="AF168" s="162" t="n"/>
      <c r="AG168" s="162" t="n"/>
      <c r="AH168" s="162" t="n"/>
      <c r="AI168" s="162" t="n"/>
      <c r="AJ168" s="162" t="n"/>
      <c r="AK168" s="162" t="n"/>
      <c r="AL168" s="162" t="n"/>
      <c r="AM168" s="162" t="n"/>
      <c r="AN168" s="162" t="n"/>
      <c r="AO168" s="162" t="n"/>
      <c r="AP168" s="162" t="n"/>
      <c r="AQ168" s="162" t="n"/>
      <c r="AR168" s="162" t="n"/>
      <c r="AS168" s="162" t="n"/>
      <c r="AT168" s="162" t="n"/>
      <c r="AU168" s="162" t="n"/>
      <c r="AV168" s="162" t="n"/>
      <c r="AW168" s="162" t="n"/>
      <c r="AX168" s="162" t="n"/>
      <c r="AY168" s="162" t="n"/>
      <c r="AZ168" s="162" t="n"/>
      <c r="BA168" s="162" t="n"/>
      <c r="BB168" s="162" t="n"/>
      <c r="BC168" s="162" t="n"/>
      <c r="BD168" s="162" t="n"/>
      <c r="BE168" s="162" t="n"/>
      <c r="BF168" s="162" t="n"/>
      <c r="BG168" s="162" t="n"/>
      <c r="BH168" s="162" t="n"/>
      <c r="BI168" s="162" t="n"/>
      <c r="BJ168" s="162" t="n"/>
      <c r="BK168" s="162" t="n"/>
      <c r="BL168" s="162" t="n"/>
      <c r="BM168" s="162" t="n"/>
      <c r="BN168" s="162" t="n"/>
      <c r="BO168" s="162" t="n"/>
      <c r="BP168" s="162" t="n"/>
      <c r="BQ168" s="162" t="n"/>
      <c r="BR168" s="162" t="n"/>
      <c r="BS168" s="162" t="n"/>
      <c r="BT168" s="162" t="n"/>
      <c r="BU168" s="162" t="n"/>
      <c r="BV168" s="162" t="n"/>
      <c r="BW168" s="162" t="n"/>
      <c r="BX168" s="162" t="n"/>
      <c r="BY168" s="162" t="n"/>
      <c r="BZ168" s="162" t="n"/>
      <c r="CA168" s="162" t="n"/>
      <c r="CB168" s="162" t="n"/>
      <c r="CC168" s="162" t="n"/>
      <c r="CD168" s="162" t="n"/>
      <c r="CE168" s="162" t="n"/>
      <c r="CF168" s="162" t="n"/>
      <c r="CG168" s="162" t="n"/>
      <c r="CH168" s="162" t="n"/>
      <c r="CI168" s="162" t="n"/>
      <c r="CJ168" s="162" t="n"/>
      <c r="CK168" s="162" t="n"/>
      <c r="CL168" s="162" t="n"/>
      <c r="CM168" s="162" t="n"/>
      <c r="CN168" s="162" t="n"/>
      <c r="CO168" s="162" t="n"/>
      <c r="CP168" s="162" t="n"/>
      <c r="CQ168" s="162" t="n"/>
      <c r="CR168" s="162" t="n"/>
      <c r="CS168" s="162" t="n"/>
      <c r="CT168" s="162" t="n"/>
    </row>
    <row r="169" ht="18.75" customHeight="1">
      <c r="A169" s="175" t="n">
        <v>168</v>
      </c>
      <c r="B169" s="226" t="n">
        <v>6</v>
      </c>
      <c r="C169" s="164" t="n">
        <v>45768</v>
      </c>
      <c r="D169" s="165" t="inlineStr">
        <is>
          <t>219 G. SAN JOSE 2</t>
        </is>
      </c>
      <c r="E169" s="165" t="n">
        <v>40667</v>
      </c>
      <c r="F169" s="165" t="inlineStr">
        <is>
          <t>HENRY ROMERO</t>
        </is>
      </c>
      <c r="G169" s="184" t="n">
        <v>3250</v>
      </c>
      <c r="H169" s="184" t="n">
        <v>3250</v>
      </c>
      <c r="I169" s="184" t="n">
        <v>3212</v>
      </c>
      <c r="J169" s="184" t="n">
        <v>3</v>
      </c>
      <c r="K169" s="184" t="n">
        <v>13</v>
      </c>
      <c r="L169" s="185" t="n">
        <v>22</v>
      </c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  <c r="AA169" s="162" t="n"/>
      <c r="AB169" s="162" t="n"/>
      <c r="AC169" s="162" t="n"/>
      <c r="AD169" s="162" t="n"/>
      <c r="AE169" s="162" t="n"/>
      <c r="AF169" s="162" t="n"/>
      <c r="AG169" s="162" t="n"/>
      <c r="AH169" s="162" t="n"/>
      <c r="AI169" s="162" t="n"/>
      <c r="AJ169" s="162" t="n"/>
      <c r="AK169" s="162" t="n"/>
      <c r="AL169" s="162" t="n"/>
      <c r="AM169" s="162" t="n"/>
      <c r="AN169" s="162" t="n"/>
      <c r="AO169" s="162" t="n"/>
      <c r="AP169" s="162" t="n"/>
      <c r="AQ169" s="162" t="n"/>
      <c r="AR169" s="162" t="n"/>
      <c r="AS169" s="162" t="n"/>
      <c r="AT169" s="162" t="n"/>
      <c r="AU169" s="162" t="n"/>
      <c r="AV169" s="162" t="n"/>
      <c r="AW169" s="162" t="n"/>
      <c r="AX169" s="162" t="n"/>
      <c r="AY169" s="162" t="n"/>
      <c r="AZ169" s="162" t="n"/>
      <c r="BA169" s="162" t="n"/>
      <c r="BB169" s="162" t="n"/>
      <c r="BC169" s="162" t="n"/>
      <c r="BD169" s="162" t="n"/>
      <c r="BE169" s="162" t="n"/>
      <c r="BF169" s="162" t="n"/>
      <c r="BG169" s="162" t="n"/>
      <c r="BH169" s="162" t="n"/>
      <c r="BI169" s="162" t="n"/>
      <c r="BJ169" s="162" t="n"/>
      <c r="BK169" s="162" t="n"/>
      <c r="BL169" s="162" t="n"/>
      <c r="BM169" s="162" t="n"/>
      <c r="BN169" s="162" t="n"/>
      <c r="BO169" s="162" t="n"/>
      <c r="BP169" s="162" t="n"/>
      <c r="BQ169" s="162" t="n"/>
      <c r="BR169" s="162" t="n"/>
      <c r="BS169" s="162" t="n"/>
      <c r="BT169" s="162" t="n"/>
      <c r="BU169" s="162" t="n"/>
      <c r="BV169" s="162" t="n"/>
      <c r="BW169" s="162" t="n"/>
      <c r="BX169" s="162" t="n"/>
      <c r="BY169" s="162" t="n"/>
      <c r="BZ169" s="162" t="n"/>
      <c r="CA169" s="162" t="n"/>
      <c r="CB169" s="162" t="n"/>
      <c r="CC169" s="162" t="n"/>
      <c r="CD169" s="162" t="n"/>
      <c r="CE169" s="162" t="n"/>
      <c r="CF169" s="162" t="n"/>
      <c r="CG169" s="162" t="n"/>
      <c r="CH169" s="162" t="n"/>
      <c r="CI169" s="162" t="n"/>
      <c r="CJ169" s="162" t="n"/>
      <c r="CK169" s="162" t="n"/>
      <c r="CL169" s="162" t="n"/>
      <c r="CM169" s="162" t="n"/>
      <c r="CN169" s="162" t="n"/>
      <c r="CO169" s="162" t="n"/>
      <c r="CP169" s="162" t="n"/>
      <c r="CQ169" s="162" t="n"/>
      <c r="CR169" s="162" t="n"/>
      <c r="CS169" s="162" t="n"/>
      <c r="CT169" s="162" t="n"/>
    </row>
    <row r="170" ht="18.75" customHeight="1">
      <c r="A170" s="175" t="n">
        <v>169</v>
      </c>
      <c r="B170" s="226" t="n">
        <v>7</v>
      </c>
      <c r="C170" s="164" t="n">
        <v>45768</v>
      </c>
      <c r="D170" s="165" t="inlineStr">
        <is>
          <t>219 G. SAN JOSE 2</t>
        </is>
      </c>
      <c r="E170" s="165" t="n">
        <v>40668</v>
      </c>
      <c r="F170" s="165" t="inlineStr">
        <is>
          <t>ALEX GOMEZ</t>
        </is>
      </c>
      <c r="G170" s="184" t="n">
        <v>3410</v>
      </c>
      <c r="H170" s="184" t="n">
        <v>3430</v>
      </c>
      <c r="I170" s="184" t="n">
        <v>3388</v>
      </c>
      <c r="J170" s="184" t="n">
        <v>4</v>
      </c>
      <c r="K170" s="184" t="n">
        <v>14</v>
      </c>
      <c r="L170" s="185" t="n">
        <v>4</v>
      </c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  <c r="AA170" s="162" t="n"/>
      <c r="AB170" s="162" t="n"/>
      <c r="AC170" s="162" t="n"/>
      <c r="AD170" s="162" t="n"/>
      <c r="AE170" s="162" t="n"/>
      <c r="AF170" s="162" t="n"/>
      <c r="AG170" s="162" t="n"/>
      <c r="AH170" s="162" t="n"/>
      <c r="AI170" s="162" t="n"/>
      <c r="AJ170" s="162" t="n"/>
      <c r="AK170" s="162" t="n"/>
      <c r="AL170" s="162" t="n"/>
      <c r="AM170" s="162" t="n"/>
      <c r="AN170" s="162" t="n"/>
      <c r="AO170" s="162" t="n"/>
      <c r="AP170" s="162" t="n"/>
      <c r="AQ170" s="162" t="n"/>
      <c r="AR170" s="162" t="n"/>
      <c r="AS170" s="162" t="n"/>
      <c r="AT170" s="162" t="n"/>
      <c r="AU170" s="162" t="n"/>
      <c r="AV170" s="162" t="n"/>
      <c r="AW170" s="162" t="n"/>
      <c r="AX170" s="162" t="n"/>
      <c r="AY170" s="162" t="n"/>
      <c r="AZ170" s="162" t="n"/>
      <c r="BA170" s="162" t="n"/>
      <c r="BB170" s="162" t="n"/>
      <c r="BC170" s="162" t="n"/>
      <c r="BD170" s="162" t="n"/>
      <c r="BE170" s="162" t="n"/>
      <c r="BF170" s="162" t="n"/>
      <c r="BG170" s="162" t="n"/>
      <c r="BH170" s="162" t="n"/>
      <c r="BI170" s="162" t="n"/>
      <c r="BJ170" s="162" t="n"/>
      <c r="BK170" s="162" t="n"/>
      <c r="BL170" s="162" t="n"/>
      <c r="BM170" s="162" t="n"/>
      <c r="BN170" s="162" t="n"/>
      <c r="BO170" s="162" t="n"/>
      <c r="BP170" s="162" t="n"/>
      <c r="BQ170" s="162" t="n"/>
      <c r="BR170" s="162" t="n"/>
      <c r="BS170" s="162" t="n"/>
      <c r="BT170" s="162" t="n"/>
      <c r="BU170" s="162" t="n"/>
      <c r="BV170" s="162" t="n"/>
      <c r="BW170" s="162" t="n"/>
      <c r="BX170" s="162" t="n"/>
      <c r="BY170" s="162" t="n"/>
      <c r="BZ170" s="162" t="n"/>
      <c r="CA170" s="162" t="n"/>
      <c r="CB170" s="162" t="n"/>
      <c r="CC170" s="162" t="n"/>
      <c r="CD170" s="162" t="n"/>
      <c r="CE170" s="162" t="n"/>
      <c r="CF170" s="162" t="n"/>
      <c r="CG170" s="162" t="n"/>
      <c r="CH170" s="162" t="n"/>
      <c r="CI170" s="162" t="n"/>
      <c r="CJ170" s="162" t="n"/>
      <c r="CK170" s="162" t="n"/>
      <c r="CL170" s="162" t="n"/>
      <c r="CM170" s="162" t="n"/>
      <c r="CN170" s="162" t="n"/>
      <c r="CO170" s="162" t="n"/>
      <c r="CP170" s="162" t="n"/>
      <c r="CQ170" s="162" t="n"/>
      <c r="CR170" s="162" t="n"/>
      <c r="CS170" s="162" t="n"/>
      <c r="CT170" s="162" t="n"/>
    </row>
    <row r="171" ht="18.75" customHeight="1">
      <c r="A171" s="175" t="n">
        <v>170</v>
      </c>
      <c r="B171" s="226" t="n">
        <v>8</v>
      </c>
      <c r="C171" s="164" t="n">
        <v>45769</v>
      </c>
      <c r="D171" s="165" t="inlineStr">
        <is>
          <t>219 G. SAN JOSE 2</t>
        </is>
      </c>
      <c r="E171" s="165" t="n">
        <v>40683</v>
      </c>
      <c r="F171" s="165" t="inlineStr">
        <is>
          <t>ALBERTO LOPEZ</t>
        </is>
      </c>
      <c r="G171" s="184" t="n">
        <v>3564</v>
      </c>
      <c r="H171" s="184" t="n">
        <v>3564</v>
      </c>
      <c r="I171" s="184" t="n">
        <v>3533</v>
      </c>
      <c r="J171" s="184" t="n">
        <v>9</v>
      </c>
      <c r="K171" s="184" t="n">
        <v>19</v>
      </c>
      <c r="L171" s="185" t="n">
        <v>3</v>
      </c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  <c r="AA171" s="162" t="n"/>
      <c r="AB171" s="162" t="n"/>
      <c r="AC171" s="162" t="n"/>
      <c r="AD171" s="162" t="n"/>
      <c r="AE171" s="162" t="n"/>
      <c r="AF171" s="162" t="n"/>
      <c r="AG171" s="162" t="n"/>
      <c r="AH171" s="162" t="n"/>
      <c r="AI171" s="162" t="n"/>
      <c r="AJ171" s="162" t="n"/>
      <c r="AK171" s="162" t="n"/>
      <c r="AL171" s="162" t="n"/>
      <c r="AM171" s="162" t="n"/>
      <c r="AN171" s="162" t="n"/>
      <c r="AO171" s="162" t="n"/>
      <c r="AP171" s="162" t="n"/>
      <c r="AQ171" s="162" t="n"/>
      <c r="AR171" s="162" t="n"/>
      <c r="AS171" s="162" t="n"/>
      <c r="AT171" s="162" t="n"/>
      <c r="AU171" s="162" t="n"/>
      <c r="AV171" s="162" t="n"/>
      <c r="AW171" s="162" t="n"/>
      <c r="AX171" s="162" t="n"/>
      <c r="AY171" s="162" t="n"/>
      <c r="AZ171" s="162" t="n"/>
      <c r="BA171" s="162" t="n"/>
      <c r="BB171" s="162" t="n"/>
      <c r="BC171" s="162" t="n"/>
      <c r="BD171" s="162" t="n"/>
      <c r="BE171" s="162" t="n"/>
      <c r="BF171" s="162" t="n"/>
      <c r="BG171" s="162" t="n"/>
      <c r="BH171" s="162" t="n"/>
      <c r="BI171" s="162" t="n"/>
      <c r="BJ171" s="162" t="n"/>
      <c r="BK171" s="162" t="n"/>
      <c r="BL171" s="162" t="n"/>
      <c r="BM171" s="162" t="n"/>
      <c r="BN171" s="162" t="n"/>
      <c r="BO171" s="162" t="n"/>
      <c r="BP171" s="162" t="n"/>
      <c r="BQ171" s="162" t="n"/>
      <c r="BR171" s="162" t="n"/>
      <c r="BS171" s="162" t="n"/>
      <c r="BT171" s="162" t="n"/>
      <c r="BU171" s="162" t="n"/>
      <c r="BV171" s="162" t="n"/>
      <c r="BW171" s="162" t="n"/>
      <c r="BX171" s="162" t="n"/>
      <c r="BY171" s="162" t="n"/>
      <c r="BZ171" s="162" t="n"/>
      <c r="CA171" s="162" t="n"/>
      <c r="CB171" s="162" t="n"/>
      <c r="CC171" s="162" t="n"/>
      <c r="CD171" s="162" t="n"/>
      <c r="CE171" s="162" t="n"/>
      <c r="CF171" s="162" t="n"/>
      <c r="CG171" s="162" t="n"/>
      <c r="CH171" s="162" t="n"/>
      <c r="CI171" s="162" t="n"/>
      <c r="CJ171" s="162" t="n"/>
      <c r="CK171" s="162" t="n"/>
      <c r="CL171" s="162" t="n"/>
      <c r="CM171" s="162" t="n"/>
      <c r="CN171" s="162" t="n"/>
      <c r="CO171" s="162" t="n"/>
      <c r="CP171" s="162" t="n"/>
      <c r="CQ171" s="162" t="n"/>
      <c r="CR171" s="162" t="n"/>
      <c r="CS171" s="162" t="n"/>
      <c r="CT171" s="162" t="n"/>
    </row>
    <row r="172" ht="18.75" customHeight="1">
      <c r="A172" s="175" t="n">
        <v>171</v>
      </c>
      <c r="B172" s="226" t="n">
        <v>9</v>
      </c>
      <c r="C172" s="164" t="n">
        <v>45769</v>
      </c>
      <c r="D172" s="165" t="inlineStr">
        <is>
          <t>219 G. SAN JOSE 2</t>
        </is>
      </c>
      <c r="E172" s="165" t="n">
        <v>40684</v>
      </c>
      <c r="F172" s="165" t="inlineStr">
        <is>
          <t>WILMER PIÑEROS</t>
        </is>
      </c>
      <c r="G172" s="184" t="n">
        <v>3564</v>
      </c>
      <c r="H172" s="184" t="n">
        <v>3564</v>
      </c>
      <c r="I172" s="184" t="n">
        <v>3517</v>
      </c>
      <c r="J172" s="184" t="n">
        <v>2</v>
      </c>
      <c r="K172" s="184" t="n">
        <v>38</v>
      </c>
      <c r="L172" s="185" t="n">
        <v>7</v>
      </c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  <c r="AA172" s="162" t="n"/>
      <c r="AB172" s="162" t="n"/>
      <c r="AC172" s="162" t="n"/>
      <c r="AD172" s="162" t="n"/>
      <c r="AE172" s="162" t="n"/>
      <c r="AF172" s="162" t="n"/>
      <c r="AG172" s="162" t="n"/>
      <c r="AH172" s="162" t="n"/>
      <c r="AI172" s="162" t="n"/>
      <c r="AJ172" s="162" t="n"/>
      <c r="AK172" s="162" t="n"/>
      <c r="AL172" s="162" t="n"/>
      <c r="AM172" s="162" t="n"/>
      <c r="AN172" s="162" t="n"/>
      <c r="AO172" s="162" t="n"/>
      <c r="AP172" s="162" t="n"/>
      <c r="AQ172" s="162" t="n"/>
      <c r="AR172" s="162" t="n"/>
      <c r="AS172" s="162" t="n"/>
      <c r="AT172" s="162" t="n"/>
      <c r="AU172" s="162" t="n"/>
      <c r="AV172" s="162" t="n"/>
      <c r="AW172" s="162" t="n"/>
      <c r="AX172" s="162" t="n"/>
      <c r="AY172" s="162" t="n"/>
      <c r="AZ172" s="162" t="n"/>
      <c r="BA172" s="162" t="n"/>
      <c r="BB172" s="162" t="n"/>
      <c r="BC172" s="162" t="n"/>
      <c r="BD172" s="162" t="n"/>
      <c r="BE172" s="162" t="n"/>
      <c r="BF172" s="162" t="n"/>
      <c r="BG172" s="162" t="n"/>
      <c r="BH172" s="162" t="n"/>
      <c r="BI172" s="162" t="n"/>
      <c r="BJ172" s="162" t="n"/>
      <c r="BK172" s="162" t="n"/>
      <c r="BL172" s="162" t="n"/>
      <c r="BM172" s="162" t="n"/>
      <c r="BN172" s="162" t="n"/>
      <c r="BO172" s="162" t="n"/>
      <c r="BP172" s="162" t="n"/>
      <c r="BQ172" s="162" t="n"/>
      <c r="BR172" s="162" t="n"/>
      <c r="BS172" s="162" t="n"/>
      <c r="BT172" s="162" t="n"/>
      <c r="BU172" s="162" t="n"/>
      <c r="BV172" s="162" t="n"/>
      <c r="BW172" s="162" t="n"/>
      <c r="BX172" s="162" t="n"/>
      <c r="BY172" s="162" t="n"/>
      <c r="BZ172" s="162" t="n"/>
      <c r="CA172" s="162" t="n"/>
      <c r="CB172" s="162" t="n"/>
      <c r="CC172" s="162" t="n"/>
      <c r="CD172" s="162" t="n"/>
      <c r="CE172" s="162" t="n"/>
      <c r="CF172" s="162" t="n"/>
      <c r="CG172" s="162" t="n"/>
      <c r="CH172" s="162" t="n"/>
      <c r="CI172" s="162" t="n"/>
      <c r="CJ172" s="162" t="n"/>
      <c r="CK172" s="162" t="n"/>
      <c r="CL172" s="162" t="n"/>
      <c r="CM172" s="162" t="n"/>
      <c r="CN172" s="162" t="n"/>
      <c r="CO172" s="162" t="n"/>
      <c r="CP172" s="162" t="n"/>
      <c r="CQ172" s="162" t="n"/>
      <c r="CR172" s="162" t="n"/>
      <c r="CS172" s="162" t="n"/>
      <c r="CT172" s="162" t="n"/>
    </row>
    <row r="173" ht="18.75" customHeight="1">
      <c r="A173" s="175" t="n">
        <v>172</v>
      </c>
      <c r="B173" s="226" t="n">
        <v>10</v>
      </c>
      <c r="C173" s="164" t="n">
        <v>45769</v>
      </c>
      <c r="D173" s="165" t="inlineStr">
        <is>
          <t>219 G. SAN JOSE 2</t>
        </is>
      </c>
      <c r="E173" s="165" t="n">
        <v>40685</v>
      </c>
      <c r="F173" s="165" t="inlineStr">
        <is>
          <t>JAIRO CUBILLOS</t>
        </is>
      </c>
      <c r="G173" s="184" t="n">
        <v>3564</v>
      </c>
      <c r="H173" s="184" t="n">
        <v>3564</v>
      </c>
      <c r="I173" s="184" t="n">
        <v>3533</v>
      </c>
      <c r="J173" s="184" t="n">
        <v>7</v>
      </c>
      <c r="K173" s="184" t="n">
        <v>31</v>
      </c>
      <c r="L173" s="185" t="n">
        <v>-7</v>
      </c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  <c r="AA173" s="162" t="n"/>
      <c r="AB173" s="162" t="n"/>
      <c r="AC173" s="162" t="n"/>
      <c r="AD173" s="162" t="n"/>
      <c r="AE173" s="162" t="n"/>
      <c r="AF173" s="162" t="n"/>
      <c r="AG173" s="162" t="n"/>
      <c r="AH173" s="162" t="n"/>
      <c r="AI173" s="162" t="n"/>
      <c r="AJ173" s="162" t="n"/>
      <c r="AK173" s="162" t="n"/>
      <c r="AL173" s="162" t="n"/>
      <c r="AM173" s="162" t="n"/>
      <c r="AN173" s="162" t="n"/>
      <c r="AO173" s="162" t="n"/>
      <c r="AP173" s="162" t="n"/>
      <c r="AQ173" s="162" t="n"/>
      <c r="AR173" s="162" t="n"/>
      <c r="AS173" s="162" t="n"/>
      <c r="AT173" s="162" t="n"/>
      <c r="AU173" s="162" t="n"/>
      <c r="AV173" s="162" t="n"/>
      <c r="AW173" s="162" t="n"/>
      <c r="AX173" s="162" t="n"/>
      <c r="AY173" s="162" t="n"/>
      <c r="AZ173" s="162" t="n"/>
      <c r="BA173" s="162" t="n"/>
      <c r="BB173" s="162" t="n"/>
      <c r="BC173" s="162" t="n"/>
      <c r="BD173" s="162" t="n"/>
      <c r="BE173" s="162" t="n"/>
      <c r="BF173" s="162" t="n"/>
      <c r="BG173" s="162" t="n"/>
      <c r="BH173" s="162" t="n"/>
      <c r="BI173" s="162" t="n"/>
      <c r="BJ173" s="162" t="n"/>
      <c r="BK173" s="162" t="n"/>
      <c r="BL173" s="162" t="n"/>
      <c r="BM173" s="162" t="n"/>
      <c r="BN173" s="162" t="n"/>
      <c r="BO173" s="162" t="n"/>
      <c r="BP173" s="162" t="n"/>
      <c r="BQ173" s="162" t="n"/>
      <c r="BR173" s="162" t="n"/>
      <c r="BS173" s="162" t="n"/>
      <c r="BT173" s="162" t="n"/>
      <c r="BU173" s="162" t="n"/>
      <c r="BV173" s="162" t="n"/>
      <c r="BW173" s="162" t="n"/>
      <c r="BX173" s="162" t="n"/>
      <c r="BY173" s="162" t="n"/>
      <c r="BZ173" s="162" t="n"/>
      <c r="CA173" s="162" t="n"/>
      <c r="CB173" s="162" t="n"/>
      <c r="CC173" s="162" t="n"/>
      <c r="CD173" s="162" t="n"/>
      <c r="CE173" s="162" t="n"/>
      <c r="CF173" s="162" t="n"/>
      <c r="CG173" s="162" t="n"/>
      <c r="CH173" s="162" t="n"/>
      <c r="CI173" s="162" t="n"/>
      <c r="CJ173" s="162" t="n"/>
      <c r="CK173" s="162" t="n"/>
      <c r="CL173" s="162" t="n"/>
      <c r="CM173" s="162" t="n"/>
      <c r="CN173" s="162" t="n"/>
      <c r="CO173" s="162" t="n"/>
      <c r="CP173" s="162" t="n"/>
      <c r="CQ173" s="162" t="n"/>
      <c r="CR173" s="162" t="n"/>
      <c r="CS173" s="162" t="n"/>
      <c r="CT173" s="162" t="n"/>
    </row>
    <row r="174" ht="15" customHeight="1">
      <c r="A174" s="175" t="n">
        <v>173</v>
      </c>
      <c r="B174" s="226" t="n">
        <v>11</v>
      </c>
      <c r="C174" s="164" t="n">
        <v>45769</v>
      </c>
      <c r="D174" s="166" t="inlineStr">
        <is>
          <t>219 G. SAN JOSE 2</t>
        </is>
      </c>
      <c r="E174" s="166" t="n">
        <v>40686</v>
      </c>
      <c r="F174" s="166" t="inlineStr">
        <is>
          <t>JOSE SOLER</t>
        </is>
      </c>
      <c r="G174" s="188" t="n">
        <v>2838</v>
      </c>
      <c r="H174" s="188" t="n">
        <v>2838</v>
      </c>
      <c r="I174" s="188" t="n">
        <v>2821</v>
      </c>
      <c r="J174" s="188" t="n">
        <v>5</v>
      </c>
      <c r="K174" s="188" t="n">
        <v>25</v>
      </c>
      <c r="L174" s="189" t="n">
        <v>-13</v>
      </c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  <c r="AA174" s="162" t="n"/>
      <c r="AB174" s="162" t="n"/>
      <c r="AC174" s="162" t="n"/>
      <c r="AD174" s="162" t="n"/>
      <c r="AE174" s="162" t="n"/>
      <c r="AF174" s="162" t="n"/>
      <c r="AG174" s="162" t="n"/>
      <c r="AH174" s="162" t="n"/>
      <c r="AI174" s="162" t="n"/>
      <c r="AJ174" s="162" t="n"/>
      <c r="AK174" s="162" t="n"/>
      <c r="AL174" s="162" t="n"/>
      <c r="AM174" s="162" t="n"/>
      <c r="AN174" s="162" t="n"/>
      <c r="AO174" s="162" t="n"/>
      <c r="AP174" s="162" t="n"/>
      <c r="AQ174" s="162" t="n"/>
      <c r="AR174" s="162" t="n"/>
      <c r="AS174" s="162" t="n"/>
      <c r="AT174" s="162" t="n"/>
      <c r="AU174" s="162" t="n"/>
      <c r="AV174" s="162" t="n"/>
      <c r="AW174" s="162" t="n"/>
      <c r="AX174" s="162" t="n"/>
      <c r="AY174" s="162" t="n"/>
      <c r="AZ174" s="162" t="n"/>
      <c r="BA174" s="162" t="n"/>
      <c r="BB174" s="162" t="n"/>
      <c r="BC174" s="162" t="n"/>
      <c r="BD174" s="162" t="n"/>
      <c r="BE174" s="162" t="n"/>
      <c r="BF174" s="162" t="n"/>
      <c r="BG174" s="162" t="n"/>
      <c r="BH174" s="162" t="n"/>
      <c r="BI174" s="162" t="n"/>
      <c r="BJ174" s="162" t="n"/>
      <c r="BK174" s="162" t="n"/>
      <c r="BL174" s="162" t="n"/>
      <c r="BM174" s="162" t="n"/>
      <c r="BN174" s="162" t="n"/>
      <c r="BO174" s="162" t="n"/>
      <c r="BP174" s="162" t="n"/>
      <c r="BQ174" s="162" t="n"/>
      <c r="BR174" s="162" t="n"/>
      <c r="BS174" s="162" t="n"/>
      <c r="BT174" s="162" t="n"/>
      <c r="BU174" s="162" t="n"/>
      <c r="BV174" s="162" t="n"/>
      <c r="BW174" s="162" t="n"/>
      <c r="BX174" s="162" t="n"/>
      <c r="BY174" s="162" t="n"/>
      <c r="BZ174" s="162" t="n"/>
      <c r="CA174" s="162" t="n"/>
      <c r="CB174" s="162" t="n"/>
      <c r="CC174" s="162" t="n"/>
      <c r="CD174" s="162" t="n"/>
      <c r="CE174" s="162" t="n"/>
      <c r="CF174" s="162" t="n"/>
      <c r="CG174" s="162" t="n"/>
      <c r="CH174" s="162" t="n"/>
      <c r="CI174" s="162" t="n"/>
      <c r="CJ174" s="162" t="n"/>
      <c r="CK174" s="162" t="n"/>
      <c r="CL174" s="162" t="n"/>
      <c r="CM174" s="162" t="n"/>
      <c r="CN174" s="162" t="n"/>
      <c r="CO174" s="162" t="n"/>
      <c r="CP174" s="162" t="n"/>
      <c r="CQ174" s="162" t="n"/>
      <c r="CR174" s="162" t="n"/>
      <c r="CS174" s="162" t="n"/>
      <c r="CT174" s="162" t="n"/>
    </row>
    <row r="175" ht="15" customHeight="1">
      <c r="A175" s="175" t="n">
        <v>174</v>
      </c>
      <c r="B175" s="226" t="n">
        <v>12</v>
      </c>
      <c r="C175" s="164" t="n">
        <v>45770</v>
      </c>
      <c r="D175" s="166" t="inlineStr">
        <is>
          <t>219 G. SAN JOSE 2</t>
        </is>
      </c>
      <c r="E175" s="166" t="n">
        <v>40687</v>
      </c>
      <c r="F175" s="166" t="inlineStr">
        <is>
          <t>FABIO ALDANA</t>
        </is>
      </c>
      <c r="G175" s="188" t="n">
        <v>3561</v>
      </c>
      <c r="H175" s="188" t="n">
        <v>3561</v>
      </c>
      <c r="I175" s="188" t="n">
        <v>3555</v>
      </c>
      <c r="J175" s="188" t="n">
        <v>6</v>
      </c>
      <c r="K175" s="188" t="n">
        <v>6</v>
      </c>
      <c r="L175" s="189" t="n">
        <v>-6</v>
      </c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  <c r="AA175" s="162" t="n"/>
      <c r="AB175" s="162" t="n"/>
      <c r="AC175" s="162" t="n"/>
      <c r="AD175" s="162" t="n"/>
      <c r="AE175" s="162" t="n"/>
      <c r="AF175" s="162" t="n"/>
      <c r="AG175" s="162" t="n"/>
      <c r="AH175" s="162" t="n"/>
      <c r="AI175" s="162" t="n"/>
      <c r="AJ175" s="162" t="n"/>
      <c r="AK175" s="162" t="n"/>
      <c r="AL175" s="162" t="n"/>
      <c r="AM175" s="162" t="n"/>
      <c r="AN175" s="162" t="n"/>
      <c r="AO175" s="162" t="n"/>
      <c r="AP175" s="162" t="n"/>
      <c r="AQ175" s="162" t="n"/>
      <c r="AR175" s="162" t="n"/>
      <c r="AS175" s="162" t="n"/>
      <c r="AT175" s="162" t="n"/>
      <c r="AU175" s="162" t="n"/>
      <c r="AV175" s="162" t="n"/>
      <c r="AW175" s="162" t="n"/>
      <c r="AX175" s="162" t="n"/>
      <c r="AY175" s="162" t="n"/>
      <c r="AZ175" s="162" t="n"/>
      <c r="BA175" s="162" t="n"/>
      <c r="BB175" s="162" t="n"/>
      <c r="BC175" s="162" t="n"/>
      <c r="BD175" s="162" t="n"/>
      <c r="BE175" s="162" t="n"/>
      <c r="BF175" s="162" t="n"/>
      <c r="BG175" s="162" t="n"/>
      <c r="BH175" s="162" t="n"/>
      <c r="BI175" s="162" t="n"/>
      <c r="BJ175" s="162" t="n"/>
      <c r="BK175" s="162" t="n"/>
      <c r="BL175" s="162" t="n"/>
      <c r="BM175" s="162" t="n"/>
      <c r="BN175" s="162" t="n"/>
      <c r="BO175" s="162" t="n"/>
      <c r="BP175" s="162" t="n"/>
      <c r="BQ175" s="162" t="n"/>
      <c r="BR175" s="162" t="n"/>
      <c r="BS175" s="162" t="n"/>
      <c r="BT175" s="162" t="n"/>
      <c r="BU175" s="162" t="n"/>
      <c r="BV175" s="162" t="n"/>
      <c r="BW175" s="162" t="n"/>
      <c r="BX175" s="162" t="n"/>
      <c r="BY175" s="162" t="n"/>
      <c r="BZ175" s="162" t="n"/>
      <c r="CA175" s="162" t="n"/>
      <c r="CB175" s="162" t="n"/>
      <c r="CC175" s="162" t="n"/>
      <c r="CD175" s="162" t="n"/>
      <c r="CE175" s="162" t="n"/>
      <c r="CF175" s="162" t="n"/>
      <c r="CG175" s="162" t="n"/>
      <c r="CH175" s="162" t="n"/>
      <c r="CI175" s="162" t="n"/>
      <c r="CJ175" s="162" t="n"/>
      <c r="CK175" s="162" t="n"/>
      <c r="CL175" s="162" t="n"/>
      <c r="CM175" s="162" t="n"/>
      <c r="CN175" s="162" t="n"/>
      <c r="CO175" s="162" t="n"/>
      <c r="CP175" s="162" t="n"/>
      <c r="CQ175" s="162" t="n"/>
      <c r="CR175" s="162" t="n"/>
      <c r="CS175" s="162" t="n"/>
      <c r="CT175" s="162" t="n"/>
    </row>
    <row r="176" ht="15" customHeight="1">
      <c r="A176" s="175" t="n">
        <v>175</v>
      </c>
      <c r="B176" s="226" t="n">
        <v>13</v>
      </c>
      <c r="C176" s="164" t="n">
        <v>45770</v>
      </c>
      <c r="D176" s="166" t="inlineStr">
        <is>
          <t>219 G. SAN JOSE 2</t>
        </is>
      </c>
      <c r="E176" s="166" t="n">
        <v>40691</v>
      </c>
      <c r="F176" s="166" t="inlineStr">
        <is>
          <t>ALBERTO LOPEZ</t>
        </is>
      </c>
      <c r="G176" s="188" t="n">
        <v>3561</v>
      </c>
      <c r="H176" s="188" t="n">
        <v>3561</v>
      </c>
      <c r="I176" s="188" t="n">
        <v>3548</v>
      </c>
      <c r="J176" s="188" t="n">
        <v>3</v>
      </c>
      <c r="K176" s="188" t="n">
        <v>12</v>
      </c>
      <c r="L176" s="189" t="n">
        <v>-2</v>
      </c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  <c r="AA176" s="162" t="n"/>
      <c r="AB176" s="162" t="n"/>
      <c r="AC176" s="162" t="n"/>
      <c r="AD176" s="162" t="n"/>
      <c r="AE176" s="162" t="n"/>
      <c r="AF176" s="162" t="n"/>
      <c r="AG176" s="162" t="n"/>
      <c r="AH176" s="162" t="n"/>
      <c r="AI176" s="162" t="n"/>
      <c r="AJ176" s="162" t="n"/>
      <c r="AK176" s="162" t="n"/>
      <c r="AL176" s="162" t="n"/>
      <c r="AM176" s="162" t="n"/>
      <c r="AN176" s="162" t="n"/>
      <c r="AO176" s="162" t="n"/>
      <c r="AP176" s="162" t="n"/>
      <c r="AQ176" s="162" t="n"/>
      <c r="AR176" s="162" t="n"/>
      <c r="AS176" s="162" t="n"/>
      <c r="AT176" s="162" t="n"/>
      <c r="AU176" s="162" t="n"/>
      <c r="AV176" s="162" t="n"/>
      <c r="AW176" s="162" t="n"/>
      <c r="AX176" s="162" t="n"/>
      <c r="AY176" s="162" t="n"/>
      <c r="AZ176" s="162" t="n"/>
      <c r="BA176" s="162" t="n"/>
      <c r="BB176" s="162" t="n"/>
      <c r="BC176" s="162" t="n"/>
      <c r="BD176" s="162" t="n"/>
      <c r="BE176" s="162" t="n"/>
      <c r="BF176" s="162" t="n"/>
      <c r="BG176" s="162" t="n"/>
      <c r="BH176" s="162" t="n"/>
      <c r="BI176" s="162" t="n"/>
      <c r="BJ176" s="162" t="n"/>
      <c r="BK176" s="162" t="n"/>
      <c r="BL176" s="162" t="n"/>
      <c r="BM176" s="162" t="n"/>
      <c r="BN176" s="162" t="n"/>
      <c r="BO176" s="162" t="n"/>
      <c r="BP176" s="162" t="n"/>
      <c r="BQ176" s="162" t="n"/>
      <c r="BR176" s="162" t="n"/>
      <c r="BS176" s="162" t="n"/>
      <c r="BT176" s="162" t="n"/>
      <c r="BU176" s="162" t="n"/>
      <c r="BV176" s="162" t="n"/>
      <c r="BW176" s="162" t="n"/>
      <c r="BX176" s="162" t="n"/>
      <c r="BY176" s="162" t="n"/>
      <c r="BZ176" s="162" t="n"/>
      <c r="CA176" s="162" t="n"/>
      <c r="CB176" s="162" t="n"/>
      <c r="CC176" s="162" t="n"/>
      <c r="CD176" s="162" t="n"/>
      <c r="CE176" s="162" t="n"/>
      <c r="CF176" s="162" t="n"/>
      <c r="CG176" s="162" t="n"/>
      <c r="CH176" s="162" t="n"/>
      <c r="CI176" s="162" t="n"/>
      <c r="CJ176" s="162" t="n"/>
      <c r="CK176" s="162" t="n"/>
      <c r="CL176" s="162" t="n"/>
      <c r="CM176" s="162" t="n"/>
      <c r="CN176" s="162" t="n"/>
      <c r="CO176" s="162" t="n"/>
      <c r="CP176" s="162" t="n"/>
      <c r="CQ176" s="162" t="n"/>
      <c r="CR176" s="162" t="n"/>
      <c r="CS176" s="162" t="n"/>
      <c r="CT176" s="162" t="n"/>
    </row>
    <row r="177" ht="15" customHeight="1">
      <c r="A177" s="175" t="n">
        <v>176</v>
      </c>
      <c r="B177" s="226" t="n">
        <v>14</v>
      </c>
      <c r="C177" s="164" t="n">
        <v>45770</v>
      </c>
      <c r="D177" s="166" t="inlineStr">
        <is>
          <t>219 G. SAN JOSE 2</t>
        </is>
      </c>
      <c r="E177" s="166" t="n">
        <v>40692</v>
      </c>
      <c r="F177" s="166" t="inlineStr">
        <is>
          <t>ALBERTO HERRERA</t>
        </is>
      </c>
      <c r="G177" s="188" t="n">
        <v>3688</v>
      </c>
      <c r="H177" s="188" t="n">
        <v>3688</v>
      </c>
      <c r="I177" s="188" t="n">
        <v>3675</v>
      </c>
      <c r="J177" s="188" t="n">
        <v>3</v>
      </c>
      <c r="K177" s="188" t="n">
        <v>12</v>
      </c>
      <c r="L177" s="189" t="n">
        <v>-2</v>
      </c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  <c r="AA177" s="162" t="n"/>
      <c r="AB177" s="162" t="n"/>
      <c r="AC177" s="162" t="n"/>
      <c r="AD177" s="162" t="n"/>
      <c r="AE177" s="162" t="n"/>
      <c r="AF177" s="162" t="n"/>
      <c r="AG177" s="162" t="n"/>
      <c r="AH177" s="162" t="n"/>
      <c r="AI177" s="162" t="n"/>
      <c r="AJ177" s="162" t="n"/>
      <c r="AK177" s="162" t="n"/>
      <c r="AL177" s="162" t="n"/>
      <c r="AM177" s="162" t="n"/>
      <c r="AN177" s="162" t="n"/>
      <c r="AO177" s="162" t="n"/>
      <c r="AP177" s="162" t="n"/>
      <c r="AQ177" s="162" t="n"/>
      <c r="AR177" s="162" t="n"/>
      <c r="AS177" s="162" t="n"/>
      <c r="AT177" s="162" t="n"/>
      <c r="AU177" s="162" t="n"/>
      <c r="AV177" s="162" t="n"/>
      <c r="AW177" s="162" t="n"/>
      <c r="AX177" s="162" t="n"/>
      <c r="AY177" s="162" t="n"/>
      <c r="AZ177" s="162" t="n"/>
      <c r="BA177" s="162" t="n"/>
      <c r="BB177" s="162" t="n"/>
      <c r="BC177" s="162" t="n"/>
      <c r="BD177" s="162" t="n"/>
      <c r="BE177" s="162" t="n"/>
      <c r="BF177" s="162" t="n"/>
      <c r="BG177" s="162" t="n"/>
      <c r="BH177" s="162" t="n"/>
      <c r="BI177" s="162" t="n"/>
      <c r="BJ177" s="162" t="n"/>
      <c r="BK177" s="162" t="n"/>
      <c r="BL177" s="162" t="n"/>
      <c r="BM177" s="162" t="n"/>
      <c r="BN177" s="162" t="n"/>
      <c r="BO177" s="162" t="n"/>
      <c r="BP177" s="162" t="n"/>
      <c r="BQ177" s="162" t="n"/>
      <c r="BR177" s="162" t="n"/>
      <c r="BS177" s="162" t="n"/>
      <c r="BT177" s="162" t="n"/>
      <c r="BU177" s="162" t="n"/>
      <c r="BV177" s="162" t="n"/>
      <c r="BW177" s="162" t="n"/>
      <c r="BX177" s="162" t="n"/>
      <c r="BY177" s="162" t="n"/>
      <c r="BZ177" s="162" t="n"/>
      <c r="CA177" s="162" t="n"/>
      <c r="CB177" s="162" t="n"/>
      <c r="CC177" s="162" t="n"/>
      <c r="CD177" s="162" t="n"/>
      <c r="CE177" s="162" t="n"/>
      <c r="CF177" s="162" t="n"/>
      <c r="CG177" s="162" t="n"/>
      <c r="CH177" s="162" t="n"/>
      <c r="CI177" s="162" t="n"/>
      <c r="CJ177" s="162" t="n"/>
      <c r="CK177" s="162" t="n"/>
      <c r="CL177" s="162" t="n"/>
      <c r="CM177" s="162" t="n"/>
      <c r="CN177" s="162" t="n"/>
      <c r="CO177" s="162" t="n"/>
      <c r="CP177" s="162" t="n"/>
      <c r="CQ177" s="162" t="n"/>
      <c r="CR177" s="162" t="n"/>
      <c r="CS177" s="162" t="n"/>
      <c r="CT177" s="162" t="n"/>
    </row>
    <row r="178" ht="15" customHeight="1">
      <c r="A178" s="175" t="n">
        <v>177</v>
      </c>
      <c r="B178" s="226" t="n">
        <v>15</v>
      </c>
      <c r="C178" s="164" t="n">
        <v>45770</v>
      </c>
      <c r="D178" s="166" t="inlineStr">
        <is>
          <t>219 G. SAN JOSE 2</t>
        </is>
      </c>
      <c r="E178" s="166" t="n">
        <v>40693</v>
      </c>
      <c r="F178" s="166" t="inlineStr">
        <is>
          <t>FERNANDO OYUELA</t>
        </is>
      </c>
      <c r="G178" s="188" t="n">
        <v>3688</v>
      </c>
      <c r="H178" s="188" t="n">
        <v>3688</v>
      </c>
      <c r="I178" s="188" t="n">
        <v>3673</v>
      </c>
      <c r="J178" s="188" t="n">
        <v>4</v>
      </c>
      <c r="K178" s="188" t="n">
        <v>15</v>
      </c>
      <c r="L178" s="189" t="n">
        <v>-4</v>
      </c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  <c r="AA178" s="162" t="n"/>
      <c r="AB178" s="162" t="n"/>
      <c r="AC178" s="162" t="n"/>
      <c r="AD178" s="162" t="n"/>
      <c r="AE178" s="162" t="n"/>
      <c r="AF178" s="162" t="n"/>
      <c r="AG178" s="162" t="n"/>
      <c r="AH178" s="162" t="n"/>
      <c r="AI178" s="162" t="n"/>
      <c r="AJ178" s="162" t="n"/>
      <c r="AK178" s="162" t="n"/>
      <c r="AL178" s="162" t="n"/>
      <c r="AM178" s="162" t="n"/>
      <c r="AN178" s="162" t="n"/>
      <c r="AO178" s="162" t="n"/>
      <c r="AP178" s="162" t="n"/>
      <c r="AQ178" s="162" t="n"/>
      <c r="AR178" s="162" t="n"/>
      <c r="AS178" s="162" t="n"/>
      <c r="AT178" s="162" t="n"/>
      <c r="AU178" s="162" t="n"/>
      <c r="AV178" s="162" t="n"/>
      <c r="AW178" s="162" t="n"/>
      <c r="AX178" s="162" t="n"/>
      <c r="AY178" s="162" t="n"/>
      <c r="AZ178" s="162" t="n"/>
      <c r="BA178" s="162" t="n"/>
      <c r="BB178" s="162" t="n"/>
      <c r="BC178" s="162" t="n"/>
      <c r="BD178" s="162" t="n"/>
      <c r="BE178" s="162" t="n"/>
      <c r="BF178" s="162" t="n"/>
      <c r="BG178" s="162" t="n"/>
      <c r="BH178" s="162" t="n"/>
      <c r="BI178" s="162" t="n"/>
      <c r="BJ178" s="162" t="n"/>
      <c r="BK178" s="162" t="n"/>
      <c r="BL178" s="162" t="n"/>
      <c r="BM178" s="162" t="n"/>
      <c r="BN178" s="162" t="n"/>
      <c r="BO178" s="162" t="n"/>
      <c r="BP178" s="162" t="n"/>
      <c r="BQ178" s="162" t="n"/>
      <c r="BR178" s="162" t="n"/>
      <c r="BS178" s="162" t="n"/>
      <c r="BT178" s="162" t="n"/>
      <c r="BU178" s="162" t="n"/>
      <c r="BV178" s="162" t="n"/>
      <c r="BW178" s="162" t="n"/>
      <c r="BX178" s="162" t="n"/>
      <c r="BY178" s="162" t="n"/>
      <c r="BZ178" s="162" t="n"/>
      <c r="CA178" s="162" t="n"/>
      <c r="CB178" s="162" t="n"/>
      <c r="CC178" s="162" t="n"/>
      <c r="CD178" s="162" t="n"/>
      <c r="CE178" s="162" t="n"/>
      <c r="CF178" s="162" t="n"/>
      <c r="CG178" s="162" t="n"/>
      <c r="CH178" s="162" t="n"/>
      <c r="CI178" s="162" t="n"/>
      <c r="CJ178" s="162" t="n"/>
      <c r="CK178" s="162" t="n"/>
      <c r="CL178" s="162" t="n"/>
      <c r="CM178" s="162" t="n"/>
      <c r="CN178" s="162" t="n"/>
      <c r="CO178" s="162" t="n"/>
      <c r="CP178" s="162" t="n"/>
      <c r="CQ178" s="162" t="n"/>
      <c r="CR178" s="162" t="n"/>
      <c r="CS178" s="162" t="n"/>
      <c r="CT178" s="162" t="n"/>
    </row>
    <row r="179" ht="15" customHeight="1">
      <c r="A179" s="175" t="n">
        <v>178</v>
      </c>
      <c r="B179" s="226" t="n">
        <v>16</v>
      </c>
      <c r="C179" s="164" t="n">
        <v>45771</v>
      </c>
      <c r="D179" s="166" t="inlineStr">
        <is>
          <t>221 G. MALAGUEÑA</t>
        </is>
      </c>
      <c r="E179" s="166" t="n">
        <v>40702</v>
      </c>
      <c r="F179" s="166" t="inlineStr">
        <is>
          <t>FERNANDO OYUELA</t>
        </is>
      </c>
      <c r="G179" s="188" t="n">
        <v>3515</v>
      </c>
      <c r="H179" s="188" t="n">
        <v>3515</v>
      </c>
      <c r="I179" s="188" t="n">
        <v>3475</v>
      </c>
      <c r="J179" s="188" t="n">
        <v>3</v>
      </c>
      <c r="K179" s="188" t="n">
        <v>37</v>
      </c>
      <c r="L179" s="189" t="n">
        <v>0</v>
      </c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  <c r="AA179" s="162" t="n"/>
      <c r="AB179" s="162" t="n"/>
      <c r="AC179" s="162" t="n"/>
      <c r="AD179" s="162" t="n"/>
      <c r="AE179" s="162" t="n"/>
      <c r="AF179" s="162" t="n"/>
      <c r="AG179" s="162" t="n"/>
      <c r="AH179" s="162" t="n"/>
      <c r="AI179" s="162" t="n"/>
      <c r="AJ179" s="162" t="n"/>
      <c r="AK179" s="162" t="n"/>
      <c r="AL179" s="162" t="n"/>
      <c r="AM179" s="162" t="n"/>
      <c r="AN179" s="162" t="n"/>
      <c r="AO179" s="162" t="n"/>
      <c r="AP179" s="162" t="n"/>
      <c r="AQ179" s="162" t="n"/>
      <c r="AR179" s="162" t="n"/>
      <c r="AS179" s="162" t="n"/>
      <c r="AT179" s="162" t="n"/>
      <c r="AU179" s="162" t="n"/>
      <c r="AV179" s="162" t="n"/>
      <c r="AW179" s="162" t="n"/>
      <c r="AX179" s="162" t="n"/>
      <c r="AY179" s="162" t="n"/>
      <c r="AZ179" s="162" t="n"/>
      <c r="BA179" s="162" t="n"/>
      <c r="BB179" s="162" t="n"/>
      <c r="BC179" s="162" t="n"/>
      <c r="BD179" s="162" t="n"/>
      <c r="BE179" s="162" t="n"/>
      <c r="BF179" s="162" t="n"/>
      <c r="BG179" s="162" t="n"/>
      <c r="BH179" s="162" t="n"/>
      <c r="BI179" s="162" t="n"/>
      <c r="BJ179" s="162" t="n"/>
      <c r="BK179" s="162" t="n"/>
      <c r="BL179" s="162" t="n"/>
      <c r="BM179" s="162" t="n"/>
      <c r="BN179" s="162" t="n"/>
      <c r="BO179" s="162" t="n"/>
      <c r="BP179" s="162" t="n"/>
      <c r="BQ179" s="162" t="n"/>
      <c r="BR179" s="162" t="n"/>
      <c r="BS179" s="162" t="n"/>
      <c r="BT179" s="162" t="n"/>
      <c r="BU179" s="162" t="n"/>
      <c r="BV179" s="162" t="n"/>
      <c r="BW179" s="162" t="n"/>
      <c r="BX179" s="162" t="n"/>
      <c r="BY179" s="162" t="n"/>
      <c r="BZ179" s="162" t="n"/>
      <c r="CA179" s="162" t="n"/>
      <c r="CB179" s="162" t="n"/>
      <c r="CC179" s="162" t="n"/>
      <c r="CD179" s="162" t="n"/>
      <c r="CE179" s="162" t="n"/>
      <c r="CF179" s="162" t="n"/>
      <c r="CG179" s="162" t="n"/>
      <c r="CH179" s="162" t="n"/>
      <c r="CI179" s="162" t="n"/>
      <c r="CJ179" s="162" t="n"/>
      <c r="CK179" s="162" t="n"/>
      <c r="CL179" s="162" t="n"/>
      <c r="CM179" s="162" t="n"/>
      <c r="CN179" s="162" t="n"/>
      <c r="CO179" s="162" t="n"/>
      <c r="CP179" s="162" t="n"/>
      <c r="CQ179" s="162" t="n"/>
      <c r="CR179" s="162" t="n"/>
      <c r="CS179" s="162" t="n"/>
      <c r="CT179" s="162" t="n"/>
    </row>
    <row r="180" ht="15" customHeight="1">
      <c r="A180" s="175" t="n">
        <v>179</v>
      </c>
      <c r="B180" s="226" t="n">
        <v>17</v>
      </c>
      <c r="C180" s="164" t="n">
        <v>45771</v>
      </c>
      <c r="D180" s="166" t="inlineStr">
        <is>
          <t>221 G. MALAGUEÑA</t>
        </is>
      </c>
      <c r="E180" s="166" t="n">
        <v>40703</v>
      </c>
      <c r="F180" s="166" t="inlineStr">
        <is>
          <t>MANUEL QUITIAN</t>
        </is>
      </c>
      <c r="G180" s="188" t="n">
        <v>3515</v>
      </c>
      <c r="H180" s="188" t="n">
        <v>3515</v>
      </c>
      <c r="I180" s="188" t="n">
        <v>3479</v>
      </c>
      <c r="J180" s="188" t="n">
        <v>4</v>
      </c>
      <c r="K180" s="188" t="n">
        <v>33</v>
      </c>
      <c r="L180" s="189" t="n">
        <v>-1</v>
      </c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  <c r="AA180" s="162" t="n"/>
      <c r="AB180" s="162" t="n"/>
      <c r="AC180" s="162" t="n"/>
      <c r="AD180" s="162" t="n"/>
      <c r="AE180" s="162" t="n"/>
      <c r="AF180" s="162" t="n"/>
      <c r="AG180" s="162" t="n"/>
      <c r="AH180" s="162" t="n"/>
      <c r="AI180" s="162" t="n"/>
      <c r="AJ180" s="162" t="n"/>
      <c r="AK180" s="162" t="n"/>
      <c r="AL180" s="162" t="n"/>
      <c r="AM180" s="162" t="n"/>
      <c r="AN180" s="162" t="n"/>
      <c r="AO180" s="162" t="n"/>
      <c r="AP180" s="162" t="n"/>
      <c r="AQ180" s="162" t="n"/>
      <c r="AR180" s="162" t="n"/>
      <c r="AS180" s="162" t="n"/>
      <c r="AT180" s="162" t="n"/>
      <c r="AU180" s="162" t="n"/>
      <c r="AV180" s="162" t="n"/>
      <c r="AW180" s="162" t="n"/>
      <c r="AX180" s="162" t="n"/>
      <c r="AY180" s="162" t="n"/>
      <c r="AZ180" s="162" t="n"/>
      <c r="BA180" s="162" t="n"/>
      <c r="BB180" s="162" t="n"/>
      <c r="BC180" s="162" t="n"/>
      <c r="BD180" s="162" t="n"/>
      <c r="BE180" s="162" t="n"/>
      <c r="BF180" s="162" t="n"/>
      <c r="BG180" s="162" t="n"/>
      <c r="BH180" s="162" t="n"/>
      <c r="BI180" s="162" t="n"/>
      <c r="BJ180" s="162" t="n"/>
      <c r="BK180" s="162" t="n"/>
      <c r="BL180" s="162" t="n"/>
      <c r="BM180" s="162" t="n"/>
      <c r="BN180" s="162" t="n"/>
      <c r="BO180" s="162" t="n"/>
      <c r="BP180" s="162" t="n"/>
      <c r="BQ180" s="162" t="n"/>
      <c r="BR180" s="162" t="n"/>
      <c r="BS180" s="162" t="n"/>
      <c r="BT180" s="162" t="n"/>
      <c r="BU180" s="162" t="n"/>
      <c r="BV180" s="162" t="n"/>
      <c r="BW180" s="162" t="n"/>
      <c r="BX180" s="162" t="n"/>
      <c r="BY180" s="162" t="n"/>
      <c r="BZ180" s="162" t="n"/>
      <c r="CA180" s="162" t="n"/>
      <c r="CB180" s="162" t="n"/>
      <c r="CC180" s="162" t="n"/>
      <c r="CD180" s="162" t="n"/>
      <c r="CE180" s="162" t="n"/>
      <c r="CF180" s="162" t="n"/>
      <c r="CG180" s="162" t="n"/>
      <c r="CH180" s="162" t="n"/>
      <c r="CI180" s="162" t="n"/>
      <c r="CJ180" s="162" t="n"/>
      <c r="CK180" s="162" t="n"/>
      <c r="CL180" s="162" t="n"/>
      <c r="CM180" s="162" t="n"/>
      <c r="CN180" s="162" t="n"/>
      <c r="CO180" s="162" t="n"/>
      <c r="CP180" s="162" t="n"/>
      <c r="CQ180" s="162" t="n"/>
      <c r="CR180" s="162" t="n"/>
      <c r="CS180" s="162" t="n"/>
      <c r="CT180" s="162" t="n"/>
    </row>
    <row r="181" ht="15" customHeight="1">
      <c r="A181" s="175" t="n">
        <v>180</v>
      </c>
      <c r="B181" s="226" t="n">
        <v>18</v>
      </c>
      <c r="C181" s="164" t="n">
        <v>45771</v>
      </c>
      <c r="D181" s="166" t="inlineStr">
        <is>
          <t>221 G. MALAGUEÑA</t>
        </is>
      </c>
      <c r="E181" s="166" t="n">
        <v>40704</v>
      </c>
      <c r="F181" s="166" t="inlineStr">
        <is>
          <t>ALEX GOMEZ</t>
        </is>
      </c>
      <c r="G181" s="188" t="n">
        <v>3515</v>
      </c>
      <c r="H181" s="188" t="n">
        <v>3515</v>
      </c>
      <c r="I181" s="188" t="n">
        <v>3504</v>
      </c>
      <c r="J181" s="188" t="n">
        <v>3</v>
      </c>
      <c r="K181" s="188" t="n">
        <v>14</v>
      </c>
      <c r="L181" s="189" t="n">
        <v>-6</v>
      </c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  <c r="AA181" s="162" t="n"/>
      <c r="AB181" s="162" t="n"/>
      <c r="AC181" s="162" t="n"/>
      <c r="AD181" s="162" t="n"/>
      <c r="AE181" s="162" t="n"/>
      <c r="AF181" s="162" t="n"/>
      <c r="AG181" s="162" t="n"/>
      <c r="AH181" s="162" t="n"/>
      <c r="AI181" s="162" t="n"/>
      <c r="AJ181" s="162" t="n"/>
      <c r="AK181" s="162" t="n"/>
      <c r="AL181" s="162" t="n"/>
      <c r="AM181" s="162" t="n"/>
      <c r="AN181" s="162" t="n"/>
      <c r="AO181" s="162" t="n"/>
      <c r="AP181" s="162" t="n"/>
      <c r="AQ181" s="162" t="n"/>
      <c r="AR181" s="162" t="n"/>
      <c r="AS181" s="162" t="n"/>
      <c r="AT181" s="162" t="n"/>
      <c r="AU181" s="162" t="n"/>
      <c r="AV181" s="162" t="n"/>
      <c r="AW181" s="162" t="n"/>
      <c r="AX181" s="162" t="n"/>
      <c r="AY181" s="162" t="n"/>
      <c r="AZ181" s="162" t="n"/>
      <c r="BA181" s="162" t="n"/>
      <c r="BB181" s="162" t="n"/>
      <c r="BC181" s="162" t="n"/>
      <c r="BD181" s="162" t="n"/>
      <c r="BE181" s="162" t="n"/>
      <c r="BF181" s="162" t="n"/>
      <c r="BG181" s="162" t="n"/>
      <c r="BH181" s="162" t="n"/>
      <c r="BI181" s="162" t="n"/>
      <c r="BJ181" s="162" t="n"/>
      <c r="BK181" s="162" t="n"/>
      <c r="BL181" s="162" t="n"/>
      <c r="BM181" s="162" t="n"/>
      <c r="BN181" s="162" t="n"/>
      <c r="BO181" s="162" t="n"/>
      <c r="BP181" s="162" t="n"/>
      <c r="BQ181" s="162" t="n"/>
      <c r="BR181" s="162" t="n"/>
      <c r="BS181" s="162" t="n"/>
      <c r="BT181" s="162" t="n"/>
      <c r="BU181" s="162" t="n"/>
      <c r="BV181" s="162" t="n"/>
      <c r="BW181" s="162" t="n"/>
      <c r="BX181" s="162" t="n"/>
      <c r="BY181" s="162" t="n"/>
      <c r="BZ181" s="162" t="n"/>
      <c r="CA181" s="162" t="n"/>
      <c r="CB181" s="162" t="n"/>
      <c r="CC181" s="162" t="n"/>
      <c r="CD181" s="162" t="n"/>
      <c r="CE181" s="162" t="n"/>
      <c r="CF181" s="162" t="n"/>
      <c r="CG181" s="162" t="n"/>
      <c r="CH181" s="162" t="n"/>
      <c r="CI181" s="162" t="n"/>
      <c r="CJ181" s="162" t="n"/>
      <c r="CK181" s="162" t="n"/>
      <c r="CL181" s="162" t="n"/>
      <c r="CM181" s="162" t="n"/>
      <c r="CN181" s="162" t="n"/>
      <c r="CO181" s="162" t="n"/>
      <c r="CP181" s="162" t="n"/>
      <c r="CQ181" s="162" t="n"/>
      <c r="CR181" s="162" t="n"/>
      <c r="CS181" s="162" t="n"/>
      <c r="CT181" s="162" t="n"/>
    </row>
    <row r="182" ht="15" customHeight="1">
      <c r="A182" s="175" t="n">
        <v>181</v>
      </c>
      <c r="B182" s="226" t="n">
        <v>19</v>
      </c>
      <c r="C182" s="164" t="n">
        <v>45771</v>
      </c>
      <c r="D182" s="166" t="inlineStr">
        <is>
          <t>221 G. MALAGUEÑA</t>
        </is>
      </c>
      <c r="E182" s="166" t="n">
        <v>40705</v>
      </c>
      <c r="F182" s="166" t="inlineStr">
        <is>
          <t>ALBERTO HERRERA</t>
        </is>
      </c>
      <c r="G182" s="188" t="n">
        <v>3515</v>
      </c>
      <c r="H182" s="188" t="n">
        <v>3515</v>
      </c>
      <c r="I182" s="188" t="n">
        <v>3482</v>
      </c>
      <c r="J182" s="188" t="n">
        <v>2</v>
      </c>
      <c r="K182" s="188" t="n">
        <v>18</v>
      </c>
      <c r="L182" s="189" t="n">
        <v>13</v>
      </c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  <c r="AA182" s="162" t="n"/>
      <c r="AB182" s="162" t="n"/>
      <c r="AC182" s="162" t="n"/>
      <c r="AD182" s="162" t="n"/>
      <c r="AE182" s="162" t="n"/>
      <c r="AF182" s="162" t="n"/>
      <c r="AG182" s="162" t="n"/>
      <c r="AH182" s="162" t="n"/>
      <c r="AI182" s="162" t="n"/>
      <c r="AJ182" s="162" t="n"/>
      <c r="AK182" s="162" t="n"/>
      <c r="AL182" s="162" t="n"/>
      <c r="AM182" s="162" t="n"/>
      <c r="AN182" s="162" t="n"/>
      <c r="AO182" s="162" t="n"/>
      <c r="AP182" s="162" t="n"/>
      <c r="AQ182" s="162" t="n"/>
      <c r="AR182" s="162" t="n"/>
      <c r="AS182" s="162" t="n"/>
      <c r="AT182" s="162" t="n"/>
      <c r="AU182" s="162" t="n"/>
      <c r="AV182" s="162" t="n"/>
      <c r="AW182" s="162" t="n"/>
      <c r="AX182" s="162" t="n"/>
      <c r="AY182" s="162" t="n"/>
      <c r="AZ182" s="162" t="n"/>
      <c r="BA182" s="162" t="n"/>
      <c r="BB182" s="162" t="n"/>
      <c r="BC182" s="162" t="n"/>
      <c r="BD182" s="162" t="n"/>
      <c r="BE182" s="162" t="n"/>
      <c r="BF182" s="162" t="n"/>
      <c r="BG182" s="162" t="n"/>
      <c r="BH182" s="162" t="n"/>
      <c r="BI182" s="162" t="n"/>
      <c r="BJ182" s="162" t="n"/>
      <c r="BK182" s="162" t="n"/>
      <c r="BL182" s="162" t="n"/>
      <c r="BM182" s="162" t="n"/>
      <c r="BN182" s="162" t="n"/>
      <c r="BO182" s="162" t="n"/>
      <c r="BP182" s="162" t="n"/>
      <c r="BQ182" s="162" t="n"/>
      <c r="BR182" s="162" t="n"/>
      <c r="BS182" s="162" t="n"/>
      <c r="BT182" s="162" t="n"/>
      <c r="BU182" s="162" t="n"/>
      <c r="BV182" s="162" t="n"/>
      <c r="BW182" s="162" t="n"/>
      <c r="BX182" s="162" t="n"/>
      <c r="BY182" s="162" t="n"/>
      <c r="BZ182" s="162" t="n"/>
      <c r="CA182" s="162" t="n"/>
      <c r="CB182" s="162" t="n"/>
      <c r="CC182" s="162" t="n"/>
      <c r="CD182" s="162" t="n"/>
      <c r="CE182" s="162" t="n"/>
      <c r="CF182" s="162" t="n"/>
      <c r="CG182" s="162" t="n"/>
      <c r="CH182" s="162" t="n"/>
      <c r="CI182" s="162" t="n"/>
      <c r="CJ182" s="162" t="n"/>
      <c r="CK182" s="162" t="n"/>
      <c r="CL182" s="162" t="n"/>
      <c r="CM182" s="162" t="n"/>
      <c r="CN182" s="162" t="n"/>
      <c r="CO182" s="162" t="n"/>
      <c r="CP182" s="162" t="n"/>
      <c r="CQ182" s="162" t="n"/>
      <c r="CR182" s="162" t="n"/>
      <c r="CS182" s="162" t="n"/>
      <c r="CT182" s="162" t="n"/>
    </row>
    <row r="183" ht="15" customHeight="1">
      <c r="A183" s="175" t="n">
        <v>182</v>
      </c>
      <c r="B183" s="226" t="n">
        <v>20</v>
      </c>
      <c r="C183" s="164" t="n">
        <v>45771</v>
      </c>
      <c r="D183" s="166" t="inlineStr">
        <is>
          <t>221 G. MALAGUEÑA</t>
        </is>
      </c>
      <c r="E183" s="166" t="n">
        <v>40706</v>
      </c>
      <c r="F183" s="166" t="inlineStr">
        <is>
          <t>HENRY ROMERO</t>
        </is>
      </c>
      <c r="G183" s="188" t="n">
        <v>3515</v>
      </c>
      <c r="H183" s="188" t="n">
        <v>3515</v>
      </c>
      <c r="I183" s="188" t="n">
        <v>3488</v>
      </c>
      <c r="J183" s="188" t="n">
        <v>1</v>
      </c>
      <c r="K183" s="188" t="n">
        <v>13</v>
      </c>
      <c r="L183" s="189" t="n">
        <v>13</v>
      </c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  <c r="AA183" s="162" t="n"/>
      <c r="AB183" s="162" t="n"/>
      <c r="AC183" s="162" t="n"/>
      <c r="AD183" s="162" t="n"/>
      <c r="AE183" s="162" t="n"/>
      <c r="AF183" s="162" t="n"/>
      <c r="AG183" s="162" t="n"/>
      <c r="AH183" s="162" t="n"/>
      <c r="AI183" s="162" t="n"/>
      <c r="AJ183" s="162" t="n"/>
      <c r="AK183" s="162" t="n"/>
      <c r="AL183" s="162" t="n"/>
      <c r="AM183" s="162" t="n"/>
      <c r="AN183" s="162" t="n"/>
      <c r="AO183" s="162" t="n"/>
      <c r="AP183" s="162" t="n"/>
      <c r="AQ183" s="162" t="n"/>
      <c r="AR183" s="162" t="n"/>
      <c r="AS183" s="162" t="n"/>
      <c r="AT183" s="162" t="n"/>
      <c r="AU183" s="162" t="n"/>
      <c r="AV183" s="162" t="n"/>
      <c r="AW183" s="162" t="n"/>
      <c r="AX183" s="162" t="n"/>
      <c r="AY183" s="162" t="n"/>
      <c r="AZ183" s="162" t="n"/>
      <c r="BA183" s="162" t="n"/>
      <c r="BB183" s="162" t="n"/>
      <c r="BC183" s="162" t="n"/>
      <c r="BD183" s="162" t="n"/>
      <c r="BE183" s="162" t="n"/>
      <c r="BF183" s="162" t="n"/>
      <c r="BG183" s="162" t="n"/>
      <c r="BH183" s="162" t="n"/>
      <c r="BI183" s="162" t="n"/>
      <c r="BJ183" s="162" t="n"/>
      <c r="BK183" s="162" t="n"/>
      <c r="BL183" s="162" t="n"/>
      <c r="BM183" s="162" t="n"/>
      <c r="BN183" s="162" t="n"/>
      <c r="BO183" s="162" t="n"/>
      <c r="BP183" s="162" t="n"/>
      <c r="BQ183" s="162" t="n"/>
      <c r="BR183" s="162" t="n"/>
      <c r="BS183" s="162" t="n"/>
      <c r="BT183" s="162" t="n"/>
      <c r="BU183" s="162" t="n"/>
      <c r="BV183" s="162" t="n"/>
      <c r="BW183" s="162" t="n"/>
      <c r="BX183" s="162" t="n"/>
      <c r="BY183" s="162" t="n"/>
      <c r="BZ183" s="162" t="n"/>
      <c r="CA183" s="162" t="n"/>
      <c r="CB183" s="162" t="n"/>
      <c r="CC183" s="162" t="n"/>
      <c r="CD183" s="162" t="n"/>
      <c r="CE183" s="162" t="n"/>
      <c r="CF183" s="162" t="n"/>
      <c r="CG183" s="162" t="n"/>
      <c r="CH183" s="162" t="n"/>
      <c r="CI183" s="162" t="n"/>
      <c r="CJ183" s="162" t="n"/>
      <c r="CK183" s="162" t="n"/>
      <c r="CL183" s="162" t="n"/>
      <c r="CM183" s="162" t="n"/>
      <c r="CN183" s="162" t="n"/>
      <c r="CO183" s="162" t="n"/>
      <c r="CP183" s="162" t="n"/>
      <c r="CQ183" s="162" t="n"/>
      <c r="CR183" s="162" t="n"/>
      <c r="CS183" s="162" t="n"/>
      <c r="CT183" s="162" t="n"/>
    </row>
    <row r="184" ht="15" customHeight="1">
      <c r="A184" s="175" t="n">
        <v>183</v>
      </c>
      <c r="B184" s="226" t="n">
        <v>21</v>
      </c>
      <c r="C184" s="164" t="n">
        <v>45771</v>
      </c>
      <c r="D184" s="166" t="inlineStr">
        <is>
          <t>221 G. MALAGUEÑA</t>
        </is>
      </c>
      <c r="E184" s="166" t="n">
        <v>40707</v>
      </c>
      <c r="F184" s="166" t="inlineStr">
        <is>
          <t>WILMER PIÑEROS</t>
        </is>
      </c>
      <c r="G184" s="188" t="n">
        <v>3515</v>
      </c>
      <c r="H184" s="188" t="n">
        <v>3515</v>
      </c>
      <c r="I184" s="188" t="n">
        <v>3491</v>
      </c>
      <c r="J184" s="188" t="n">
        <v>5</v>
      </c>
      <c r="K184" s="188" t="n">
        <v>20</v>
      </c>
      <c r="L184" s="189" t="n">
        <v>-1</v>
      </c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  <c r="AA184" s="162" t="n"/>
      <c r="AB184" s="162" t="n"/>
      <c r="AC184" s="162" t="n"/>
      <c r="AD184" s="162" t="n"/>
      <c r="AE184" s="162" t="n"/>
      <c r="AF184" s="162" t="n"/>
      <c r="AG184" s="162" t="n"/>
      <c r="AH184" s="162" t="n"/>
      <c r="AI184" s="162" t="n"/>
      <c r="AJ184" s="162" t="n"/>
      <c r="AK184" s="162" t="n"/>
      <c r="AL184" s="162" t="n"/>
      <c r="AM184" s="162" t="n"/>
      <c r="AN184" s="162" t="n"/>
      <c r="AO184" s="162" t="n"/>
      <c r="AP184" s="162" t="n"/>
      <c r="AQ184" s="162" t="n"/>
      <c r="AR184" s="162" t="n"/>
      <c r="AS184" s="162" t="n"/>
      <c r="AT184" s="162" t="n"/>
      <c r="AU184" s="162" t="n"/>
      <c r="AV184" s="162" t="n"/>
      <c r="AW184" s="162" t="n"/>
      <c r="AX184" s="162" t="n"/>
      <c r="AY184" s="162" t="n"/>
      <c r="AZ184" s="162" t="n"/>
      <c r="BA184" s="162" t="n"/>
      <c r="BB184" s="162" t="n"/>
      <c r="BC184" s="162" t="n"/>
      <c r="BD184" s="162" t="n"/>
      <c r="BE184" s="162" t="n"/>
      <c r="BF184" s="162" t="n"/>
      <c r="BG184" s="162" t="n"/>
      <c r="BH184" s="162" t="n"/>
      <c r="BI184" s="162" t="n"/>
      <c r="BJ184" s="162" t="n"/>
      <c r="BK184" s="162" t="n"/>
      <c r="BL184" s="162" t="n"/>
      <c r="BM184" s="162" t="n"/>
      <c r="BN184" s="162" t="n"/>
      <c r="BO184" s="162" t="n"/>
      <c r="BP184" s="162" t="n"/>
      <c r="BQ184" s="162" t="n"/>
      <c r="BR184" s="162" t="n"/>
      <c r="BS184" s="162" t="n"/>
      <c r="BT184" s="162" t="n"/>
      <c r="BU184" s="162" t="n"/>
      <c r="BV184" s="162" t="n"/>
      <c r="BW184" s="162" t="n"/>
      <c r="BX184" s="162" t="n"/>
      <c r="BY184" s="162" t="n"/>
      <c r="BZ184" s="162" t="n"/>
      <c r="CA184" s="162" t="n"/>
      <c r="CB184" s="162" t="n"/>
      <c r="CC184" s="162" t="n"/>
      <c r="CD184" s="162" t="n"/>
      <c r="CE184" s="162" t="n"/>
      <c r="CF184" s="162" t="n"/>
      <c r="CG184" s="162" t="n"/>
      <c r="CH184" s="162" t="n"/>
      <c r="CI184" s="162" t="n"/>
      <c r="CJ184" s="162" t="n"/>
      <c r="CK184" s="162" t="n"/>
      <c r="CL184" s="162" t="n"/>
      <c r="CM184" s="162" t="n"/>
      <c r="CN184" s="162" t="n"/>
      <c r="CO184" s="162" t="n"/>
      <c r="CP184" s="162" t="n"/>
      <c r="CQ184" s="162" t="n"/>
      <c r="CR184" s="162" t="n"/>
      <c r="CS184" s="162" t="n"/>
      <c r="CT184" s="162" t="n"/>
    </row>
    <row r="185" ht="15" customHeight="1">
      <c r="A185" s="175" t="n">
        <v>184</v>
      </c>
      <c r="B185" s="226" t="n">
        <v>22</v>
      </c>
      <c r="C185" s="164" t="n">
        <v>45771</v>
      </c>
      <c r="D185" s="166" t="inlineStr">
        <is>
          <t>221 G. MALAGUEÑA</t>
        </is>
      </c>
      <c r="E185" s="166" t="n">
        <v>40708</v>
      </c>
      <c r="F185" s="166" t="inlineStr">
        <is>
          <t>DIEGO NIÑO</t>
        </is>
      </c>
      <c r="G185" s="188" t="n">
        <v>3515</v>
      </c>
      <c r="H185" s="188" t="n">
        <v>3515</v>
      </c>
      <c r="I185" s="188" t="n">
        <v>3491</v>
      </c>
      <c r="J185" s="188" t="n">
        <v>5</v>
      </c>
      <c r="K185" s="188" t="n">
        <v>20</v>
      </c>
      <c r="L185" s="189" t="n">
        <v>-1</v>
      </c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  <c r="AA185" s="162" t="n"/>
      <c r="AB185" s="162" t="n"/>
      <c r="AC185" s="162" t="n"/>
      <c r="AD185" s="162" t="n"/>
      <c r="AE185" s="162" t="n"/>
      <c r="AF185" s="162" t="n"/>
      <c r="AG185" s="162" t="n"/>
      <c r="AH185" s="162" t="n"/>
      <c r="AI185" s="162" t="n"/>
      <c r="AJ185" s="162" t="n"/>
      <c r="AK185" s="162" t="n"/>
      <c r="AL185" s="162" t="n"/>
      <c r="AM185" s="162" t="n"/>
      <c r="AN185" s="162" t="n"/>
      <c r="AO185" s="162" t="n"/>
      <c r="AP185" s="162" t="n"/>
      <c r="AQ185" s="162" t="n"/>
      <c r="AR185" s="162" t="n"/>
      <c r="AS185" s="162" t="n"/>
      <c r="AT185" s="162" t="n"/>
      <c r="AU185" s="162" t="n"/>
      <c r="AV185" s="162" t="n"/>
      <c r="AW185" s="162" t="n"/>
      <c r="AX185" s="162" t="n"/>
      <c r="AY185" s="162" t="n"/>
      <c r="AZ185" s="162" t="n"/>
      <c r="BA185" s="162" t="n"/>
      <c r="BB185" s="162" t="n"/>
      <c r="BC185" s="162" t="n"/>
      <c r="BD185" s="162" t="n"/>
      <c r="BE185" s="162" t="n"/>
      <c r="BF185" s="162" t="n"/>
      <c r="BG185" s="162" t="n"/>
      <c r="BH185" s="162" t="n"/>
      <c r="BI185" s="162" t="n"/>
      <c r="BJ185" s="162" t="n"/>
      <c r="BK185" s="162" t="n"/>
      <c r="BL185" s="162" t="n"/>
      <c r="BM185" s="162" t="n"/>
      <c r="BN185" s="162" t="n"/>
      <c r="BO185" s="162" t="n"/>
      <c r="BP185" s="162" t="n"/>
      <c r="BQ185" s="162" t="n"/>
      <c r="BR185" s="162" t="n"/>
      <c r="BS185" s="162" t="n"/>
      <c r="BT185" s="162" t="n"/>
      <c r="BU185" s="162" t="n"/>
      <c r="BV185" s="162" t="n"/>
      <c r="BW185" s="162" t="n"/>
      <c r="BX185" s="162" t="n"/>
      <c r="BY185" s="162" t="n"/>
      <c r="BZ185" s="162" t="n"/>
      <c r="CA185" s="162" t="n"/>
      <c r="CB185" s="162" t="n"/>
      <c r="CC185" s="162" t="n"/>
      <c r="CD185" s="162" t="n"/>
      <c r="CE185" s="162" t="n"/>
      <c r="CF185" s="162" t="n"/>
      <c r="CG185" s="162" t="n"/>
      <c r="CH185" s="162" t="n"/>
      <c r="CI185" s="162" t="n"/>
      <c r="CJ185" s="162" t="n"/>
      <c r="CK185" s="162" t="n"/>
      <c r="CL185" s="162" t="n"/>
      <c r="CM185" s="162" t="n"/>
      <c r="CN185" s="162" t="n"/>
      <c r="CO185" s="162" t="n"/>
      <c r="CP185" s="162" t="n"/>
      <c r="CQ185" s="162" t="n"/>
      <c r="CR185" s="162" t="n"/>
      <c r="CS185" s="162" t="n"/>
      <c r="CT185" s="162" t="n"/>
    </row>
    <row r="186" ht="15" customHeight="1">
      <c r="A186" s="175" t="n">
        <v>185</v>
      </c>
      <c r="B186" s="226" t="n">
        <v>23</v>
      </c>
      <c r="C186" s="164" t="n">
        <v>45771</v>
      </c>
      <c r="D186" s="166" t="inlineStr">
        <is>
          <t>221 G. MALAGUEÑA</t>
        </is>
      </c>
      <c r="E186" s="166" t="n">
        <v>40716</v>
      </c>
      <c r="F186" s="166" t="inlineStr">
        <is>
          <t>DIEGO NIÑO</t>
        </is>
      </c>
      <c r="G186" s="188" t="n">
        <v>3515</v>
      </c>
      <c r="H186" s="188" t="n">
        <v>3515</v>
      </c>
      <c r="I186" s="188" t="n">
        <v>3488</v>
      </c>
      <c r="J186" s="188" t="n">
        <v>7</v>
      </c>
      <c r="K186" s="188" t="n">
        <v>20</v>
      </c>
      <c r="L186" s="189" t="n">
        <v>0</v>
      </c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  <c r="AA186" s="162" t="n"/>
      <c r="AB186" s="162" t="n"/>
      <c r="AC186" s="162" t="n"/>
      <c r="AD186" s="162" t="n"/>
      <c r="AE186" s="162" t="n"/>
      <c r="AF186" s="162" t="n"/>
      <c r="AG186" s="162" t="n"/>
      <c r="AH186" s="162" t="n"/>
      <c r="AI186" s="162" t="n"/>
      <c r="AJ186" s="162" t="n"/>
      <c r="AK186" s="162" t="n"/>
      <c r="AL186" s="162" t="n"/>
      <c r="AM186" s="162" t="n"/>
      <c r="AN186" s="162" t="n"/>
      <c r="AO186" s="162" t="n"/>
      <c r="AP186" s="162" t="n"/>
      <c r="AQ186" s="162" t="n"/>
      <c r="AR186" s="162" t="n"/>
      <c r="AS186" s="162" t="n"/>
      <c r="AT186" s="162" t="n"/>
      <c r="AU186" s="162" t="n"/>
      <c r="AV186" s="162" t="n"/>
      <c r="AW186" s="162" t="n"/>
      <c r="AX186" s="162" t="n"/>
      <c r="AY186" s="162" t="n"/>
      <c r="AZ186" s="162" t="n"/>
      <c r="BA186" s="162" t="n"/>
      <c r="BB186" s="162" t="n"/>
      <c r="BC186" s="162" t="n"/>
      <c r="BD186" s="162" t="n"/>
      <c r="BE186" s="162" t="n"/>
      <c r="BF186" s="162" t="n"/>
      <c r="BG186" s="162" t="n"/>
      <c r="BH186" s="162" t="n"/>
      <c r="BI186" s="162" t="n"/>
      <c r="BJ186" s="162" t="n"/>
      <c r="BK186" s="162" t="n"/>
      <c r="BL186" s="162" t="n"/>
      <c r="BM186" s="162" t="n"/>
      <c r="BN186" s="162" t="n"/>
      <c r="BO186" s="162" t="n"/>
      <c r="BP186" s="162" t="n"/>
      <c r="BQ186" s="162" t="n"/>
      <c r="BR186" s="162" t="n"/>
      <c r="BS186" s="162" t="n"/>
      <c r="BT186" s="162" t="n"/>
      <c r="BU186" s="162" t="n"/>
      <c r="BV186" s="162" t="n"/>
      <c r="BW186" s="162" t="n"/>
      <c r="BX186" s="162" t="n"/>
      <c r="BY186" s="162" t="n"/>
      <c r="BZ186" s="162" t="n"/>
      <c r="CA186" s="162" t="n"/>
      <c r="CB186" s="162" t="n"/>
      <c r="CC186" s="162" t="n"/>
      <c r="CD186" s="162" t="n"/>
      <c r="CE186" s="162" t="n"/>
      <c r="CF186" s="162" t="n"/>
      <c r="CG186" s="162" t="n"/>
      <c r="CH186" s="162" t="n"/>
      <c r="CI186" s="162" t="n"/>
      <c r="CJ186" s="162" t="n"/>
      <c r="CK186" s="162" t="n"/>
      <c r="CL186" s="162" t="n"/>
      <c r="CM186" s="162" t="n"/>
      <c r="CN186" s="162" t="n"/>
      <c r="CO186" s="162" t="n"/>
      <c r="CP186" s="162" t="n"/>
      <c r="CQ186" s="162" t="n"/>
      <c r="CR186" s="162" t="n"/>
      <c r="CS186" s="162" t="n"/>
      <c r="CT186" s="162" t="n"/>
    </row>
    <row r="187" ht="15" customHeight="1">
      <c r="A187" s="175" t="n">
        <v>186</v>
      </c>
      <c r="B187" s="226" t="n">
        <v>24</v>
      </c>
      <c r="C187" s="164" t="n">
        <v>45771</v>
      </c>
      <c r="D187" s="166" t="inlineStr">
        <is>
          <t>221 G. MALAGUEÑA</t>
        </is>
      </c>
      <c r="E187" s="166" t="n">
        <v>40717</v>
      </c>
      <c r="F187" s="166" t="inlineStr">
        <is>
          <t>MANUEL QUITIAN</t>
        </is>
      </c>
      <c r="G187" s="188" t="n">
        <v>3540</v>
      </c>
      <c r="H187" s="188" t="n">
        <v>3540</v>
      </c>
      <c r="I187" s="188" t="n">
        <v>3516</v>
      </c>
      <c r="J187" s="188" t="n">
        <v>8</v>
      </c>
      <c r="K187" s="188" t="n">
        <v>15</v>
      </c>
      <c r="L187" s="189" t="n">
        <v>1</v>
      </c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  <c r="AA187" s="162" t="n"/>
      <c r="AB187" s="162" t="n"/>
      <c r="AC187" s="162" t="n"/>
      <c r="AD187" s="162" t="n"/>
      <c r="AE187" s="162" t="n"/>
      <c r="AF187" s="162" t="n"/>
      <c r="AG187" s="162" t="n"/>
      <c r="AH187" s="162" t="n"/>
      <c r="AI187" s="162" t="n"/>
      <c r="AJ187" s="162" t="n"/>
      <c r="AK187" s="162" t="n"/>
      <c r="AL187" s="162" t="n"/>
      <c r="AM187" s="162" t="n"/>
      <c r="AN187" s="162" t="n"/>
      <c r="AO187" s="162" t="n"/>
      <c r="AP187" s="162" t="n"/>
      <c r="AQ187" s="162" t="n"/>
      <c r="AR187" s="162" t="n"/>
      <c r="AS187" s="162" t="n"/>
      <c r="AT187" s="162" t="n"/>
      <c r="AU187" s="162" t="n"/>
      <c r="AV187" s="162" t="n"/>
      <c r="AW187" s="162" t="n"/>
      <c r="AX187" s="162" t="n"/>
      <c r="AY187" s="162" t="n"/>
      <c r="AZ187" s="162" t="n"/>
      <c r="BA187" s="162" t="n"/>
      <c r="BB187" s="162" t="n"/>
      <c r="BC187" s="162" t="n"/>
      <c r="BD187" s="162" t="n"/>
      <c r="BE187" s="162" t="n"/>
      <c r="BF187" s="162" t="n"/>
      <c r="BG187" s="162" t="n"/>
      <c r="BH187" s="162" t="n"/>
      <c r="BI187" s="162" t="n"/>
      <c r="BJ187" s="162" t="n"/>
      <c r="BK187" s="162" t="n"/>
      <c r="BL187" s="162" t="n"/>
      <c r="BM187" s="162" t="n"/>
      <c r="BN187" s="162" t="n"/>
      <c r="BO187" s="162" t="n"/>
      <c r="BP187" s="162" t="n"/>
      <c r="BQ187" s="162" t="n"/>
      <c r="BR187" s="162" t="n"/>
      <c r="BS187" s="162" t="n"/>
      <c r="BT187" s="162" t="n"/>
      <c r="BU187" s="162" t="n"/>
      <c r="BV187" s="162" t="n"/>
      <c r="BW187" s="162" t="n"/>
      <c r="BX187" s="162" t="n"/>
      <c r="BY187" s="162" t="n"/>
      <c r="BZ187" s="162" t="n"/>
      <c r="CA187" s="162" t="n"/>
      <c r="CB187" s="162" t="n"/>
      <c r="CC187" s="162" t="n"/>
      <c r="CD187" s="162" t="n"/>
      <c r="CE187" s="162" t="n"/>
      <c r="CF187" s="162" t="n"/>
      <c r="CG187" s="162" t="n"/>
      <c r="CH187" s="162" t="n"/>
      <c r="CI187" s="162" t="n"/>
      <c r="CJ187" s="162" t="n"/>
      <c r="CK187" s="162" t="n"/>
      <c r="CL187" s="162" t="n"/>
      <c r="CM187" s="162" t="n"/>
      <c r="CN187" s="162" t="n"/>
      <c r="CO187" s="162" t="n"/>
      <c r="CP187" s="162" t="n"/>
      <c r="CQ187" s="162" t="n"/>
      <c r="CR187" s="162" t="n"/>
      <c r="CS187" s="162" t="n"/>
      <c r="CT187" s="162" t="n"/>
    </row>
    <row r="188" ht="15" customHeight="1">
      <c r="A188" s="175" t="n">
        <v>187</v>
      </c>
      <c r="B188" s="226" t="n">
        <v>25</v>
      </c>
      <c r="C188" s="164" t="n">
        <v>45771</v>
      </c>
      <c r="D188" s="166" t="inlineStr">
        <is>
          <t>221 G. MALAGUEÑA</t>
        </is>
      </c>
      <c r="E188" s="166" t="n">
        <v>40718</v>
      </c>
      <c r="F188" s="166" t="inlineStr">
        <is>
          <t>HENRY ROMERO</t>
        </is>
      </c>
      <c r="G188" s="188" t="n">
        <v>3104</v>
      </c>
      <c r="H188" s="188" t="n">
        <v>3104</v>
      </c>
      <c r="I188" s="188" t="n">
        <v>3093</v>
      </c>
      <c r="J188" s="188" t="n">
        <v>10</v>
      </c>
      <c r="K188" s="188" t="n">
        <v>15</v>
      </c>
      <c r="L188" s="189" t="n">
        <v>-14</v>
      </c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  <c r="AA188" s="162" t="n"/>
      <c r="AB188" s="162" t="n"/>
      <c r="AC188" s="162" t="n"/>
      <c r="AD188" s="162" t="n"/>
      <c r="AE188" s="162" t="n"/>
      <c r="AF188" s="162" t="n"/>
      <c r="AG188" s="162" t="n"/>
      <c r="AH188" s="162" t="n"/>
      <c r="AI188" s="162" t="n"/>
      <c r="AJ188" s="162" t="n"/>
      <c r="AK188" s="162" t="n"/>
      <c r="AL188" s="162" t="n"/>
      <c r="AM188" s="162" t="n"/>
      <c r="AN188" s="162" t="n"/>
      <c r="AO188" s="162" t="n"/>
      <c r="AP188" s="162" t="n"/>
      <c r="AQ188" s="162" t="n"/>
      <c r="AR188" s="162" t="n"/>
      <c r="AS188" s="162" t="n"/>
      <c r="AT188" s="162" t="n"/>
      <c r="AU188" s="162" t="n"/>
      <c r="AV188" s="162" t="n"/>
      <c r="AW188" s="162" t="n"/>
      <c r="AX188" s="162" t="n"/>
      <c r="AY188" s="162" t="n"/>
      <c r="AZ188" s="162" t="n"/>
      <c r="BA188" s="162" t="n"/>
      <c r="BB188" s="162" t="n"/>
      <c r="BC188" s="162" t="n"/>
      <c r="BD188" s="162" t="n"/>
      <c r="BE188" s="162" t="n"/>
      <c r="BF188" s="162" t="n"/>
      <c r="BG188" s="162" t="n"/>
      <c r="BH188" s="162" t="n"/>
      <c r="BI188" s="162" t="n"/>
      <c r="BJ188" s="162" t="n"/>
      <c r="BK188" s="162" t="n"/>
      <c r="BL188" s="162" t="n"/>
      <c r="BM188" s="162" t="n"/>
      <c r="BN188" s="162" t="n"/>
      <c r="BO188" s="162" t="n"/>
      <c r="BP188" s="162" t="n"/>
      <c r="BQ188" s="162" t="n"/>
      <c r="BR188" s="162" t="n"/>
      <c r="BS188" s="162" t="n"/>
      <c r="BT188" s="162" t="n"/>
      <c r="BU188" s="162" t="n"/>
      <c r="BV188" s="162" t="n"/>
      <c r="BW188" s="162" t="n"/>
      <c r="BX188" s="162" t="n"/>
      <c r="BY188" s="162" t="n"/>
      <c r="BZ188" s="162" t="n"/>
      <c r="CA188" s="162" t="n"/>
      <c r="CB188" s="162" t="n"/>
      <c r="CC188" s="162" t="n"/>
      <c r="CD188" s="162" t="n"/>
      <c r="CE188" s="162" t="n"/>
      <c r="CF188" s="162" t="n"/>
      <c r="CG188" s="162" t="n"/>
      <c r="CH188" s="162" t="n"/>
      <c r="CI188" s="162" t="n"/>
      <c r="CJ188" s="162" t="n"/>
      <c r="CK188" s="162" t="n"/>
      <c r="CL188" s="162" t="n"/>
      <c r="CM188" s="162" t="n"/>
      <c r="CN188" s="162" t="n"/>
      <c r="CO188" s="162" t="n"/>
      <c r="CP188" s="162" t="n"/>
      <c r="CQ188" s="162" t="n"/>
      <c r="CR188" s="162" t="n"/>
      <c r="CS188" s="162" t="n"/>
      <c r="CT188" s="162" t="n"/>
    </row>
    <row r="189" ht="15" customHeight="1">
      <c r="A189" s="175" t="n">
        <v>188</v>
      </c>
      <c r="B189" s="226" t="n">
        <v>26</v>
      </c>
      <c r="C189" s="164" t="n">
        <v>45771</v>
      </c>
      <c r="D189" s="166" t="inlineStr">
        <is>
          <t>221 G. MALAGUEÑA</t>
        </is>
      </c>
      <c r="E189" s="166" t="n">
        <v>40719</v>
      </c>
      <c r="F189" s="166" t="inlineStr">
        <is>
          <t>WILMER PIÑEROS</t>
        </is>
      </c>
      <c r="G189" s="188" t="n">
        <v>3104</v>
      </c>
      <c r="H189" s="188" t="n">
        <v>3104</v>
      </c>
      <c r="I189" s="188" t="n">
        <v>3087</v>
      </c>
      <c r="J189" s="188" t="n">
        <v>6</v>
      </c>
      <c r="K189" s="188" t="n">
        <v>8</v>
      </c>
      <c r="L189" s="189" t="n">
        <v>3</v>
      </c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  <c r="AA189" s="162" t="n"/>
      <c r="AB189" s="162" t="n"/>
      <c r="AC189" s="162" t="n"/>
      <c r="AD189" s="162" t="n"/>
      <c r="AE189" s="162" t="n"/>
      <c r="AF189" s="162" t="n"/>
      <c r="AG189" s="162" t="n"/>
      <c r="AH189" s="162" t="n"/>
      <c r="AI189" s="162" t="n"/>
      <c r="AJ189" s="162" t="n"/>
      <c r="AK189" s="162" t="n"/>
      <c r="AL189" s="162" t="n"/>
      <c r="AM189" s="162" t="n"/>
      <c r="AN189" s="162" t="n"/>
      <c r="AO189" s="162" t="n"/>
      <c r="AP189" s="162" t="n"/>
      <c r="AQ189" s="162" t="n"/>
      <c r="AR189" s="162" t="n"/>
      <c r="AS189" s="162" t="n"/>
      <c r="AT189" s="162" t="n"/>
      <c r="AU189" s="162" t="n"/>
      <c r="AV189" s="162" t="n"/>
      <c r="AW189" s="162" t="n"/>
      <c r="AX189" s="162" t="n"/>
      <c r="AY189" s="162" t="n"/>
      <c r="AZ189" s="162" t="n"/>
      <c r="BA189" s="162" t="n"/>
      <c r="BB189" s="162" t="n"/>
      <c r="BC189" s="162" t="n"/>
      <c r="BD189" s="162" t="n"/>
      <c r="BE189" s="162" t="n"/>
      <c r="BF189" s="162" t="n"/>
      <c r="BG189" s="162" t="n"/>
      <c r="BH189" s="162" t="n"/>
      <c r="BI189" s="162" t="n"/>
      <c r="BJ189" s="162" t="n"/>
      <c r="BK189" s="162" t="n"/>
      <c r="BL189" s="162" t="n"/>
      <c r="BM189" s="162" t="n"/>
      <c r="BN189" s="162" t="n"/>
      <c r="BO189" s="162" t="n"/>
      <c r="BP189" s="162" t="n"/>
      <c r="BQ189" s="162" t="n"/>
      <c r="BR189" s="162" t="n"/>
      <c r="BS189" s="162" t="n"/>
      <c r="BT189" s="162" t="n"/>
      <c r="BU189" s="162" t="n"/>
      <c r="BV189" s="162" t="n"/>
      <c r="BW189" s="162" t="n"/>
      <c r="BX189" s="162" t="n"/>
      <c r="BY189" s="162" t="n"/>
      <c r="BZ189" s="162" t="n"/>
      <c r="CA189" s="162" t="n"/>
      <c r="CB189" s="162" t="n"/>
      <c r="CC189" s="162" t="n"/>
      <c r="CD189" s="162" t="n"/>
      <c r="CE189" s="162" t="n"/>
      <c r="CF189" s="162" t="n"/>
      <c r="CG189" s="162" t="n"/>
      <c r="CH189" s="162" t="n"/>
      <c r="CI189" s="162" t="n"/>
      <c r="CJ189" s="162" t="n"/>
      <c r="CK189" s="162" t="n"/>
      <c r="CL189" s="162" t="n"/>
      <c r="CM189" s="162" t="n"/>
      <c r="CN189" s="162" t="n"/>
      <c r="CO189" s="162" t="n"/>
      <c r="CP189" s="162" t="n"/>
      <c r="CQ189" s="162" t="n"/>
      <c r="CR189" s="162" t="n"/>
      <c r="CS189" s="162" t="n"/>
      <c r="CT189" s="162" t="n"/>
    </row>
    <row r="190" ht="15" customHeight="1">
      <c r="A190" s="175" t="n">
        <v>189</v>
      </c>
      <c r="B190" s="226" t="n">
        <v>27</v>
      </c>
      <c r="C190" s="164" t="n">
        <v>45771</v>
      </c>
      <c r="D190" s="166" t="inlineStr">
        <is>
          <t>221 G. MALAGUEÑA</t>
        </is>
      </c>
      <c r="E190" s="166" t="n">
        <v>40720</v>
      </c>
      <c r="F190" s="166" t="inlineStr">
        <is>
          <t>FABIO ALDANA</t>
        </is>
      </c>
      <c r="G190" s="188" t="n">
        <v>3104</v>
      </c>
      <c r="H190" s="188" t="n">
        <v>3104</v>
      </c>
      <c r="I190" s="188" t="n">
        <v>3118</v>
      </c>
      <c r="J190" s="188" t="n">
        <v>10</v>
      </c>
      <c r="K190" s="188" t="n">
        <v>7</v>
      </c>
      <c r="L190" s="189" t="n">
        <v>-31</v>
      </c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  <c r="AA190" s="162" t="n"/>
      <c r="AB190" s="162" t="n"/>
      <c r="AC190" s="162" t="n"/>
      <c r="AD190" s="162" t="n"/>
      <c r="AE190" s="162" t="n"/>
      <c r="AF190" s="162" t="n"/>
      <c r="AG190" s="162" t="n"/>
      <c r="AH190" s="162" t="n"/>
      <c r="AI190" s="162" t="n"/>
      <c r="AJ190" s="162" t="n"/>
      <c r="AK190" s="162" t="n"/>
      <c r="AL190" s="162" t="n"/>
      <c r="AM190" s="162" t="n"/>
      <c r="AN190" s="162" t="n"/>
      <c r="AO190" s="162" t="n"/>
      <c r="AP190" s="162" t="n"/>
      <c r="AQ190" s="162" t="n"/>
      <c r="AR190" s="162" t="n"/>
      <c r="AS190" s="162" t="n"/>
      <c r="AT190" s="162" t="n"/>
      <c r="AU190" s="162" t="n"/>
      <c r="AV190" s="162" t="n"/>
      <c r="AW190" s="162" t="n"/>
      <c r="AX190" s="162" t="n"/>
      <c r="AY190" s="162" t="n"/>
      <c r="AZ190" s="162" t="n"/>
      <c r="BA190" s="162" t="n"/>
      <c r="BB190" s="162" t="n"/>
      <c r="BC190" s="162" t="n"/>
      <c r="BD190" s="162" t="n"/>
      <c r="BE190" s="162" t="n"/>
      <c r="BF190" s="162" t="n"/>
      <c r="BG190" s="162" t="n"/>
      <c r="BH190" s="162" t="n"/>
      <c r="BI190" s="162" t="n"/>
      <c r="BJ190" s="162" t="n"/>
      <c r="BK190" s="162" t="n"/>
      <c r="BL190" s="162" t="n"/>
      <c r="BM190" s="162" t="n"/>
      <c r="BN190" s="162" t="n"/>
      <c r="BO190" s="162" t="n"/>
      <c r="BP190" s="162" t="n"/>
      <c r="BQ190" s="162" t="n"/>
      <c r="BR190" s="162" t="n"/>
      <c r="BS190" s="162" t="n"/>
      <c r="BT190" s="162" t="n"/>
      <c r="BU190" s="162" t="n"/>
      <c r="BV190" s="162" t="n"/>
      <c r="BW190" s="162" t="n"/>
      <c r="BX190" s="162" t="n"/>
      <c r="BY190" s="162" t="n"/>
      <c r="BZ190" s="162" t="n"/>
      <c r="CA190" s="162" t="n"/>
      <c r="CB190" s="162" t="n"/>
      <c r="CC190" s="162" t="n"/>
      <c r="CD190" s="162" t="n"/>
      <c r="CE190" s="162" t="n"/>
      <c r="CF190" s="162" t="n"/>
      <c r="CG190" s="162" t="n"/>
      <c r="CH190" s="162" t="n"/>
      <c r="CI190" s="162" t="n"/>
      <c r="CJ190" s="162" t="n"/>
      <c r="CK190" s="162" t="n"/>
      <c r="CL190" s="162" t="n"/>
      <c r="CM190" s="162" t="n"/>
      <c r="CN190" s="162" t="n"/>
      <c r="CO190" s="162" t="n"/>
      <c r="CP190" s="162" t="n"/>
      <c r="CQ190" s="162" t="n"/>
      <c r="CR190" s="162" t="n"/>
      <c r="CS190" s="162" t="n"/>
      <c r="CT190" s="162" t="n"/>
    </row>
    <row r="191" ht="15" customHeight="1">
      <c r="A191" s="175" t="n">
        <v>190</v>
      </c>
      <c r="B191" s="226" t="n">
        <v>28</v>
      </c>
      <c r="C191" s="164" t="n">
        <v>45771</v>
      </c>
      <c r="D191" s="166" t="inlineStr">
        <is>
          <t>221 G. MALAGUEÑA</t>
        </is>
      </c>
      <c r="E191" s="166" t="n">
        <v>40721</v>
      </c>
      <c r="F191" s="166" t="inlineStr">
        <is>
          <t>JOSE SOLER</t>
        </is>
      </c>
      <c r="G191" s="188" t="n">
        <v>3104</v>
      </c>
      <c r="H191" s="188" t="n">
        <v>3104</v>
      </c>
      <c r="I191" s="188" t="n">
        <v>3084</v>
      </c>
      <c r="J191" s="188" t="n">
        <v>12</v>
      </c>
      <c r="K191" s="188" t="n">
        <v>8</v>
      </c>
      <c r="L191" s="189" t="n">
        <v>0</v>
      </c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  <c r="AA191" s="162" t="n"/>
      <c r="AB191" s="162" t="n"/>
      <c r="AC191" s="162" t="n"/>
      <c r="AD191" s="162" t="n"/>
      <c r="AE191" s="162" t="n"/>
      <c r="AF191" s="162" t="n"/>
      <c r="AG191" s="162" t="n"/>
      <c r="AH191" s="162" t="n"/>
      <c r="AI191" s="162" t="n"/>
      <c r="AJ191" s="162" t="n"/>
      <c r="AK191" s="162" t="n"/>
      <c r="AL191" s="162" t="n"/>
      <c r="AM191" s="162" t="n"/>
      <c r="AN191" s="162" t="n"/>
      <c r="AO191" s="162" t="n"/>
      <c r="AP191" s="162" t="n"/>
      <c r="AQ191" s="162" t="n"/>
      <c r="AR191" s="162" t="n"/>
      <c r="AS191" s="162" t="n"/>
      <c r="AT191" s="162" t="n"/>
      <c r="AU191" s="162" t="n"/>
      <c r="AV191" s="162" t="n"/>
      <c r="AW191" s="162" t="n"/>
      <c r="AX191" s="162" t="n"/>
      <c r="AY191" s="162" t="n"/>
      <c r="AZ191" s="162" t="n"/>
      <c r="BA191" s="162" t="n"/>
      <c r="BB191" s="162" t="n"/>
      <c r="BC191" s="162" t="n"/>
      <c r="BD191" s="162" t="n"/>
      <c r="BE191" s="162" t="n"/>
      <c r="BF191" s="162" t="n"/>
      <c r="BG191" s="162" t="n"/>
      <c r="BH191" s="162" t="n"/>
      <c r="BI191" s="162" t="n"/>
      <c r="BJ191" s="162" t="n"/>
      <c r="BK191" s="162" t="n"/>
      <c r="BL191" s="162" t="n"/>
      <c r="BM191" s="162" t="n"/>
      <c r="BN191" s="162" t="n"/>
      <c r="BO191" s="162" t="n"/>
      <c r="BP191" s="162" t="n"/>
      <c r="BQ191" s="162" t="n"/>
      <c r="BR191" s="162" t="n"/>
      <c r="BS191" s="162" t="n"/>
      <c r="BT191" s="162" t="n"/>
      <c r="BU191" s="162" t="n"/>
      <c r="BV191" s="162" t="n"/>
      <c r="BW191" s="162" t="n"/>
      <c r="BX191" s="162" t="n"/>
      <c r="BY191" s="162" t="n"/>
      <c r="BZ191" s="162" t="n"/>
      <c r="CA191" s="162" t="n"/>
      <c r="CB191" s="162" t="n"/>
      <c r="CC191" s="162" t="n"/>
      <c r="CD191" s="162" t="n"/>
      <c r="CE191" s="162" t="n"/>
      <c r="CF191" s="162" t="n"/>
      <c r="CG191" s="162" t="n"/>
      <c r="CH191" s="162" t="n"/>
      <c r="CI191" s="162" t="n"/>
      <c r="CJ191" s="162" t="n"/>
      <c r="CK191" s="162" t="n"/>
      <c r="CL191" s="162" t="n"/>
      <c r="CM191" s="162" t="n"/>
      <c r="CN191" s="162" t="n"/>
      <c r="CO191" s="162" t="n"/>
      <c r="CP191" s="162" t="n"/>
      <c r="CQ191" s="162" t="n"/>
      <c r="CR191" s="162" t="n"/>
      <c r="CS191" s="162" t="n"/>
      <c r="CT191" s="162" t="n"/>
    </row>
    <row r="192" ht="15" customHeight="1">
      <c r="A192" s="175" t="n">
        <v>191</v>
      </c>
      <c r="B192" s="226" t="n">
        <v>29</v>
      </c>
      <c r="C192" s="164" t="n">
        <v>45771</v>
      </c>
      <c r="D192" s="166" t="inlineStr">
        <is>
          <t>221 G. MALAGUEÑA</t>
        </is>
      </c>
      <c r="E192" s="166" t="n">
        <v>40722</v>
      </c>
      <c r="F192" s="166" t="inlineStr">
        <is>
          <t>ALBERTO LOPEZ</t>
        </is>
      </c>
      <c r="G192" s="188" t="n">
        <v>3104</v>
      </c>
      <c r="H192" s="188" t="n">
        <v>3104</v>
      </c>
      <c r="I192" s="188" t="n">
        <v>3090</v>
      </c>
      <c r="J192" s="188" t="n">
        <v>9</v>
      </c>
      <c r="K192" s="188" t="n">
        <v>20</v>
      </c>
      <c r="L192" s="189" t="n">
        <v>-15</v>
      </c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  <c r="AA192" s="162" t="n"/>
      <c r="AB192" s="162" t="n"/>
      <c r="AC192" s="162" t="n"/>
      <c r="AD192" s="162" t="n"/>
      <c r="AE192" s="162" t="n"/>
      <c r="AF192" s="162" t="n"/>
      <c r="AG192" s="162" t="n"/>
      <c r="AH192" s="162" t="n"/>
      <c r="AI192" s="162" t="n"/>
      <c r="AJ192" s="162" t="n"/>
      <c r="AK192" s="162" t="n"/>
      <c r="AL192" s="162" t="n"/>
      <c r="AM192" s="162" t="n"/>
      <c r="AN192" s="162" t="n"/>
      <c r="AO192" s="162" t="n"/>
      <c r="AP192" s="162" t="n"/>
      <c r="AQ192" s="162" t="n"/>
      <c r="AR192" s="162" t="n"/>
      <c r="AS192" s="162" t="n"/>
      <c r="AT192" s="162" t="n"/>
      <c r="AU192" s="162" t="n"/>
      <c r="AV192" s="162" t="n"/>
      <c r="AW192" s="162" t="n"/>
      <c r="AX192" s="162" t="n"/>
      <c r="AY192" s="162" t="n"/>
      <c r="AZ192" s="162" t="n"/>
      <c r="BA192" s="162" t="n"/>
      <c r="BB192" s="162" t="n"/>
      <c r="BC192" s="162" t="n"/>
      <c r="BD192" s="162" t="n"/>
      <c r="BE192" s="162" t="n"/>
      <c r="BF192" s="162" t="n"/>
      <c r="BG192" s="162" t="n"/>
      <c r="BH192" s="162" t="n"/>
      <c r="BI192" s="162" t="n"/>
      <c r="BJ192" s="162" t="n"/>
      <c r="BK192" s="162" t="n"/>
      <c r="BL192" s="162" t="n"/>
      <c r="BM192" s="162" t="n"/>
      <c r="BN192" s="162" t="n"/>
      <c r="BO192" s="162" t="n"/>
      <c r="BP192" s="162" t="n"/>
      <c r="BQ192" s="162" t="n"/>
      <c r="BR192" s="162" t="n"/>
      <c r="BS192" s="162" t="n"/>
      <c r="BT192" s="162" t="n"/>
      <c r="BU192" s="162" t="n"/>
      <c r="BV192" s="162" t="n"/>
      <c r="BW192" s="162" t="n"/>
      <c r="BX192" s="162" t="n"/>
      <c r="BY192" s="162" t="n"/>
      <c r="BZ192" s="162" t="n"/>
      <c r="CA192" s="162" t="n"/>
      <c r="CB192" s="162" t="n"/>
      <c r="CC192" s="162" t="n"/>
      <c r="CD192" s="162" t="n"/>
      <c r="CE192" s="162" t="n"/>
      <c r="CF192" s="162" t="n"/>
      <c r="CG192" s="162" t="n"/>
      <c r="CH192" s="162" t="n"/>
      <c r="CI192" s="162" t="n"/>
      <c r="CJ192" s="162" t="n"/>
      <c r="CK192" s="162" t="n"/>
      <c r="CL192" s="162" t="n"/>
      <c r="CM192" s="162" t="n"/>
      <c r="CN192" s="162" t="n"/>
      <c r="CO192" s="162" t="n"/>
      <c r="CP192" s="162" t="n"/>
      <c r="CQ192" s="162" t="n"/>
      <c r="CR192" s="162" t="n"/>
      <c r="CS192" s="162" t="n"/>
      <c r="CT192" s="162" t="n"/>
    </row>
    <row r="193" ht="15" customHeight="1">
      <c r="A193" s="175" t="n">
        <v>192</v>
      </c>
      <c r="B193" s="226" t="n">
        <v>30</v>
      </c>
      <c r="C193" s="164" t="n">
        <v>45771</v>
      </c>
      <c r="D193" s="166" t="inlineStr">
        <is>
          <t>221 G. MALAGUEÑA</t>
        </is>
      </c>
      <c r="E193" s="166" t="n">
        <v>40723</v>
      </c>
      <c r="F193" s="166" t="inlineStr">
        <is>
          <t>JAIRO CUBILLOS</t>
        </is>
      </c>
      <c r="G193" s="188" t="n">
        <v>3104</v>
      </c>
      <c r="H193" s="188" t="n">
        <v>3104</v>
      </c>
      <c r="I193" s="188" t="n">
        <v>3093</v>
      </c>
      <c r="J193" s="188" t="n">
        <v>1</v>
      </c>
      <c r="K193" s="188" t="n">
        <v>25</v>
      </c>
      <c r="L193" s="189" t="n">
        <v>-15</v>
      </c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  <c r="AA193" s="162" t="n"/>
      <c r="AB193" s="162" t="n"/>
      <c r="AC193" s="162" t="n"/>
      <c r="AD193" s="162" t="n"/>
      <c r="AE193" s="162" t="n"/>
      <c r="AF193" s="162" t="n"/>
      <c r="AG193" s="162" t="n"/>
      <c r="AH193" s="162" t="n"/>
      <c r="AI193" s="162" t="n"/>
      <c r="AJ193" s="162" t="n"/>
      <c r="AK193" s="162" t="n"/>
      <c r="AL193" s="162" t="n"/>
      <c r="AM193" s="162" t="n"/>
      <c r="AN193" s="162" t="n"/>
      <c r="AO193" s="162" t="n"/>
      <c r="AP193" s="162" t="n"/>
      <c r="AQ193" s="162" t="n"/>
      <c r="AR193" s="162" t="n"/>
      <c r="AS193" s="162" t="n"/>
      <c r="AT193" s="162" t="n"/>
      <c r="AU193" s="162" t="n"/>
      <c r="AV193" s="162" t="n"/>
      <c r="AW193" s="162" t="n"/>
      <c r="AX193" s="162" t="n"/>
      <c r="AY193" s="162" t="n"/>
      <c r="AZ193" s="162" t="n"/>
      <c r="BA193" s="162" t="n"/>
      <c r="BB193" s="162" t="n"/>
      <c r="BC193" s="162" t="n"/>
      <c r="BD193" s="162" t="n"/>
      <c r="BE193" s="162" t="n"/>
      <c r="BF193" s="162" t="n"/>
      <c r="BG193" s="162" t="n"/>
      <c r="BH193" s="162" t="n"/>
      <c r="BI193" s="162" t="n"/>
      <c r="BJ193" s="162" t="n"/>
      <c r="BK193" s="162" t="n"/>
      <c r="BL193" s="162" t="n"/>
      <c r="BM193" s="162" t="n"/>
      <c r="BN193" s="162" t="n"/>
      <c r="BO193" s="162" t="n"/>
      <c r="BP193" s="162" t="n"/>
      <c r="BQ193" s="162" t="n"/>
      <c r="BR193" s="162" t="n"/>
      <c r="BS193" s="162" t="n"/>
      <c r="BT193" s="162" t="n"/>
      <c r="BU193" s="162" t="n"/>
      <c r="BV193" s="162" t="n"/>
      <c r="BW193" s="162" t="n"/>
      <c r="BX193" s="162" t="n"/>
      <c r="BY193" s="162" t="n"/>
      <c r="BZ193" s="162" t="n"/>
      <c r="CA193" s="162" t="n"/>
      <c r="CB193" s="162" t="n"/>
      <c r="CC193" s="162" t="n"/>
      <c r="CD193" s="162" t="n"/>
      <c r="CE193" s="162" t="n"/>
      <c r="CF193" s="162" t="n"/>
      <c r="CG193" s="162" t="n"/>
      <c r="CH193" s="162" t="n"/>
      <c r="CI193" s="162" t="n"/>
      <c r="CJ193" s="162" t="n"/>
      <c r="CK193" s="162" t="n"/>
      <c r="CL193" s="162" t="n"/>
      <c r="CM193" s="162" t="n"/>
      <c r="CN193" s="162" t="n"/>
      <c r="CO193" s="162" t="n"/>
      <c r="CP193" s="162" t="n"/>
      <c r="CQ193" s="162" t="n"/>
      <c r="CR193" s="162" t="n"/>
      <c r="CS193" s="162" t="n"/>
      <c r="CT193" s="162" t="n"/>
    </row>
    <row r="194" ht="15" customHeight="1">
      <c r="A194" s="175" t="n">
        <v>193</v>
      </c>
      <c r="B194" s="226" t="n">
        <v>31</v>
      </c>
      <c r="C194" s="164" t="n">
        <v>45772</v>
      </c>
      <c r="D194" s="166" t="inlineStr">
        <is>
          <t>219 G. SAN JOSE 2</t>
        </is>
      </c>
      <c r="E194" s="166" t="n">
        <v>40730</v>
      </c>
      <c r="F194" s="166" t="inlineStr">
        <is>
          <t>WILMER PIÑEROS</t>
        </is>
      </c>
      <c r="G194" s="188" t="n">
        <v>3342</v>
      </c>
      <c r="H194" s="188" t="n">
        <v>3342</v>
      </c>
      <c r="I194" s="188" t="n">
        <v>3308</v>
      </c>
      <c r="J194" s="188" t="n">
        <v>8</v>
      </c>
      <c r="K194" s="188" t="n">
        <v>28</v>
      </c>
      <c r="L194" s="189" t="n">
        <v>-2</v>
      </c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  <c r="AA194" s="162" t="n"/>
      <c r="AB194" s="162" t="n"/>
      <c r="AC194" s="162" t="n"/>
      <c r="AD194" s="162" t="n"/>
      <c r="AE194" s="162" t="n"/>
      <c r="AF194" s="162" t="n"/>
      <c r="AG194" s="162" t="n"/>
      <c r="AH194" s="162" t="n"/>
      <c r="AI194" s="162" t="n"/>
      <c r="AJ194" s="162" t="n"/>
      <c r="AK194" s="162" t="n"/>
      <c r="AL194" s="162" t="n"/>
      <c r="AM194" s="162" t="n"/>
      <c r="AN194" s="162" t="n"/>
      <c r="AO194" s="162" t="n"/>
      <c r="AP194" s="162" t="n"/>
      <c r="AQ194" s="162" t="n"/>
      <c r="AR194" s="162" t="n"/>
      <c r="AS194" s="162" t="n"/>
      <c r="AT194" s="162" t="n"/>
      <c r="AU194" s="162" t="n"/>
      <c r="AV194" s="162" t="n"/>
      <c r="AW194" s="162" t="n"/>
      <c r="AX194" s="162" t="n"/>
      <c r="AY194" s="162" t="n"/>
      <c r="AZ194" s="162" t="n"/>
      <c r="BA194" s="162" t="n"/>
      <c r="BB194" s="162" t="n"/>
      <c r="BC194" s="162" t="n"/>
      <c r="BD194" s="162" t="n"/>
      <c r="BE194" s="162" t="n"/>
      <c r="BF194" s="162" t="n"/>
      <c r="BG194" s="162" t="n"/>
      <c r="BH194" s="162" t="n"/>
      <c r="BI194" s="162" t="n"/>
      <c r="BJ194" s="162" t="n"/>
      <c r="BK194" s="162" t="n"/>
      <c r="BL194" s="162" t="n"/>
      <c r="BM194" s="162" t="n"/>
      <c r="BN194" s="162" t="n"/>
      <c r="BO194" s="162" t="n"/>
      <c r="BP194" s="162" t="n"/>
      <c r="BQ194" s="162" t="n"/>
      <c r="BR194" s="162" t="n"/>
      <c r="BS194" s="162" t="n"/>
      <c r="BT194" s="162" t="n"/>
      <c r="BU194" s="162" t="n"/>
      <c r="BV194" s="162" t="n"/>
      <c r="BW194" s="162" t="n"/>
      <c r="BX194" s="162" t="n"/>
      <c r="BY194" s="162" t="n"/>
      <c r="BZ194" s="162" t="n"/>
      <c r="CA194" s="162" t="n"/>
      <c r="CB194" s="162" t="n"/>
      <c r="CC194" s="162" t="n"/>
      <c r="CD194" s="162" t="n"/>
      <c r="CE194" s="162" t="n"/>
      <c r="CF194" s="162" t="n"/>
      <c r="CG194" s="162" t="n"/>
      <c r="CH194" s="162" t="n"/>
      <c r="CI194" s="162" t="n"/>
      <c r="CJ194" s="162" t="n"/>
      <c r="CK194" s="162" t="n"/>
      <c r="CL194" s="162" t="n"/>
      <c r="CM194" s="162" t="n"/>
      <c r="CN194" s="162" t="n"/>
      <c r="CO194" s="162" t="n"/>
      <c r="CP194" s="162" t="n"/>
      <c r="CQ194" s="162" t="n"/>
      <c r="CR194" s="162" t="n"/>
      <c r="CS194" s="162" t="n"/>
      <c r="CT194" s="162" t="n"/>
    </row>
    <row r="195" ht="15" customHeight="1">
      <c r="A195" s="175" t="n">
        <v>194</v>
      </c>
      <c r="B195" s="226" t="n">
        <v>32</v>
      </c>
      <c r="C195" s="164" t="n">
        <v>45772</v>
      </c>
      <c r="D195" s="166" t="inlineStr">
        <is>
          <t>219 G. SAN JOSE 2</t>
        </is>
      </c>
      <c r="E195" s="166" t="n">
        <v>40731</v>
      </c>
      <c r="F195" s="166" t="inlineStr">
        <is>
          <t>FERNANDO OYUELA</t>
        </is>
      </c>
      <c r="G195" s="188" t="n">
        <v>3342</v>
      </c>
      <c r="H195" s="188" t="n">
        <v>3342</v>
      </c>
      <c r="I195" s="188" t="n">
        <v>3306</v>
      </c>
      <c r="J195" s="188" t="n">
        <v>12</v>
      </c>
      <c r="K195" s="188" t="n">
        <v>28</v>
      </c>
      <c r="L195" s="189" t="n">
        <v>-4</v>
      </c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  <c r="AA195" s="162" t="n"/>
      <c r="AB195" s="162" t="n"/>
      <c r="AC195" s="162" t="n"/>
      <c r="AD195" s="162" t="n"/>
      <c r="AE195" s="162" t="n"/>
      <c r="AF195" s="162" t="n"/>
      <c r="AG195" s="162" t="n"/>
      <c r="AH195" s="162" t="n"/>
      <c r="AI195" s="162" t="n"/>
      <c r="AJ195" s="162" t="n"/>
      <c r="AK195" s="162" t="n"/>
      <c r="AL195" s="162" t="n"/>
      <c r="AM195" s="162" t="n"/>
      <c r="AN195" s="162" t="n"/>
      <c r="AO195" s="162" t="n"/>
      <c r="AP195" s="162" t="n"/>
      <c r="AQ195" s="162" t="n"/>
      <c r="AR195" s="162" t="n"/>
      <c r="AS195" s="162" t="n"/>
      <c r="AT195" s="162" t="n"/>
      <c r="AU195" s="162" t="n"/>
      <c r="AV195" s="162" t="n"/>
      <c r="AW195" s="162" t="n"/>
      <c r="AX195" s="162" t="n"/>
      <c r="AY195" s="162" t="n"/>
      <c r="AZ195" s="162" t="n"/>
      <c r="BA195" s="162" t="n"/>
      <c r="BB195" s="162" t="n"/>
      <c r="BC195" s="162" t="n"/>
      <c r="BD195" s="162" t="n"/>
      <c r="BE195" s="162" t="n"/>
      <c r="BF195" s="162" t="n"/>
      <c r="BG195" s="162" t="n"/>
      <c r="BH195" s="162" t="n"/>
      <c r="BI195" s="162" t="n"/>
      <c r="BJ195" s="162" t="n"/>
      <c r="BK195" s="162" t="n"/>
      <c r="BL195" s="162" t="n"/>
      <c r="BM195" s="162" t="n"/>
      <c r="BN195" s="162" t="n"/>
      <c r="BO195" s="162" t="n"/>
      <c r="BP195" s="162" t="n"/>
      <c r="BQ195" s="162" t="n"/>
      <c r="BR195" s="162" t="n"/>
      <c r="BS195" s="162" t="n"/>
      <c r="BT195" s="162" t="n"/>
      <c r="BU195" s="162" t="n"/>
      <c r="BV195" s="162" t="n"/>
      <c r="BW195" s="162" t="n"/>
      <c r="BX195" s="162" t="n"/>
      <c r="BY195" s="162" t="n"/>
      <c r="BZ195" s="162" t="n"/>
      <c r="CA195" s="162" t="n"/>
      <c r="CB195" s="162" t="n"/>
      <c r="CC195" s="162" t="n"/>
      <c r="CD195" s="162" t="n"/>
      <c r="CE195" s="162" t="n"/>
      <c r="CF195" s="162" t="n"/>
      <c r="CG195" s="162" t="n"/>
      <c r="CH195" s="162" t="n"/>
      <c r="CI195" s="162" t="n"/>
      <c r="CJ195" s="162" t="n"/>
      <c r="CK195" s="162" t="n"/>
      <c r="CL195" s="162" t="n"/>
      <c r="CM195" s="162" t="n"/>
      <c r="CN195" s="162" t="n"/>
      <c r="CO195" s="162" t="n"/>
      <c r="CP195" s="162" t="n"/>
      <c r="CQ195" s="162" t="n"/>
      <c r="CR195" s="162" t="n"/>
      <c r="CS195" s="162" t="n"/>
      <c r="CT195" s="162" t="n"/>
    </row>
    <row r="196" ht="15" customHeight="1">
      <c r="A196" s="175" t="n">
        <v>195</v>
      </c>
      <c r="B196" s="226" t="n">
        <v>33</v>
      </c>
      <c r="C196" s="164" t="n">
        <v>45772</v>
      </c>
      <c r="D196" s="166" t="inlineStr">
        <is>
          <t>219 G. SAN JOSE 2</t>
        </is>
      </c>
      <c r="E196" s="166" t="n">
        <v>40732</v>
      </c>
      <c r="F196" s="166" t="inlineStr">
        <is>
          <t>MANUEL QUITIAN</t>
        </is>
      </c>
      <c r="G196" s="188" t="n">
        <v>3342</v>
      </c>
      <c r="H196" s="188" t="n">
        <v>3342</v>
      </c>
      <c r="I196" s="188" t="n">
        <v>3308</v>
      </c>
      <c r="J196" s="188" t="n">
        <v>10</v>
      </c>
      <c r="K196" s="188" t="n">
        <v>25</v>
      </c>
      <c r="L196" s="189" t="n">
        <v>-1</v>
      </c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  <c r="AA196" s="162" t="n"/>
      <c r="AB196" s="162" t="n"/>
      <c r="AC196" s="162" t="n"/>
      <c r="AD196" s="162" t="n"/>
      <c r="AE196" s="162" t="n"/>
      <c r="AF196" s="162" t="n"/>
      <c r="AG196" s="162" t="n"/>
      <c r="AH196" s="162" t="n"/>
      <c r="AI196" s="162" t="n"/>
      <c r="AJ196" s="162" t="n"/>
      <c r="AK196" s="162" t="n"/>
      <c r="AL196" s="162" t="n"/>
      <c r="AM196" s="162" t="n"/>
      <c r="AN196" s="162" t="n"/>
      <c r="AO196" s="162" t="n"/>
      <c r="AP196" s="162" t="n"/>
      <c r="AQ196" s="162" t="n"/>
      <c r="AR196" s="162" t="n"/>
      <c r="AS196" s="162" t="n"/>
      <c r="AT196" s="162" t="n"/>
      <c r="AU196" s="162" t="n"/>
      <c r="AV196" s="162" t="n"/>
      <c r="AW196" s="162" t="n"/>
      <c r="AX196" s="162" t="n"/>
      <c r="AY196" s="162" t="n"/>
      <c r="AZ196" s="162" t="n"/>
      <c r="BA196" s="162" t="n"/>
      <c r="BB196" s="162" t="n"/>
      <c r="BC196" s="162" t="n"/>
      <c r="BD196" s="162" t="n"/>
      <c r="BE196" s="162" t="n"/>
      <c r="BF196" s="162" t="n"/>
      <c r="BG196" s="162" t="n"/>
      <c r="BH196" s="162" t="n"/>
      <c r="BI196" s="162" t="n"/>
      <c r="BJ196" s="162" t="n"/>
      <c r="BK196" s="162" t="n"/>
      <c r="BL196" s="162" t="n"/>
      <c r="BM196" s="162" t="n"/>
      <c r="BN196" s="162" t="n"/>
      <c r="BO196" s="162" t="n"/>
      <c r="BP196" s="162" t="n"/>
      <c r="BQ196" s="162" t="n"/>
      <c r="BR196" s="162" t="n"/>
      <c r="BS196" s="162" t="n"/>
      <c r="BT196" s="162" t="n"/>
      <c r="BU196" s="162" t="n"/>
      <c r="BV196" s="162" t="n"/>
      <c r="BW196" s="162" t="n"/>
      <c r="BX196" s="162" t="n"/>
      <c r="BY196" s="162" t="n"/>
      <c r="BZ196" s="162" t="n"/>
      <c r="CA196" s="162" t="n"/>
      <c r="CB196" s="162" t="n"/>
      <c r="CC196" s="162" t="n"/>
      <c r="CD196" s="162" t="n"/>
      <c r="CE196" s="162" t="n"/>
      <c r="CF196" s="162" t="n"/>
      <c r="CG196" s="162" t="n"/>
      <c r="CH196" s="162" t="n"/>
      <c r="CI196" s="162" t="n"/>
      <c r="CJ196" s="162" t="n"/>
      <c r="CK196" s="162" t="n"/>
      <c r="CL196" s="162" t="n"/>
      <c r="CM196" s="162" t="n"/>
      <c r="CN196" s="162" t="n"/>
      <c r="CO196" s="162" t="n"/>
      <c r="CP196" s="162" t="n"/>
      <c r="CQ196" s="162" t="n"/>
      <c r="CR196" s="162" t="n"/>
      <c r="CS196" s="162" t="n"/>
      <c r="CT196" s="162" t="n"/>
    </row>
    <row r="197" ht="15" customHeight="1">
      <c r="A197" s="175" t="n">
        <v>196</v>
      </c>
      <c r="B197" s="226" t="n">
        <v>34</v>
      </c>
      <c r="C197" s="164" t="n">
        <v>45772</v>
      </c>
      <c r="D197" s="166" t="inlineStr">
        <is>
          <t>219 G. SAN JOSE 2</t>
        </is>
      </c>
      <c r="E197" s="166" t="n">
        <v>40733</v>
      </c>
      <c r="F197" s="166" t="inlineStr">
        <is>
          <t>JHON ARIAS</t>
        </is>
      </c>
      <c r="G197" s="188" t="n">
        <v>3342</v>
      </c>
      <c r="H197" s="188" t="n">
        <v>3342</v>
      </c>
      <c r="I197" s="188" t="n">
        <v>3297</v>
      </c>
      <c r="J197" s="188" t="n">
        <v>13</v>
      </c>
      <c r="K197" s="188" t="n">
        <v>30</v>
      </c>
      <c r="L197" s="189" t="n">
        <v>2</v>
      </c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  <c r="AA197" s="162" t="n"/>
      <c r="AB197" s="162" t="n"/>
      <c r="AC197" s="162" t="n"/>
      <c r="AD197" s="162" t="n"/>
      <c r="AE197" s="162" t="n"/>
      <c r="AF197" s="162" t="n"/>
      <c r="AG197" s="162" t="n"/>
      <c r="AH197" s="162" t="n"/>
      <c r="AI197" s="162" t="n"/>
      <c r="AJ197" s="162" t="n"/>
      <c r="AK197" s="162" t="n"/>
      <c r="AL197" s="162" t="n"/>
      <c r="AM197" s="162" t="n"/>
      <c r="AN197" s="162" t="n"/>
      <c r="AO197" s="162" t="n"/>
      <c r="AP197" s="162" t="n"/>
      <c r="AQ197" s="162" t="n"/>
      <c r="AR197" s="162" t="n"/>
      <c r="AS197" s="162" t="n"/>
      <c r="AT197" s="162" t="n"/>
      <c r="AU197" s="162" t="n"/>
      <c r="AV197" s="162" t="n"/>
      <c r="AW197" s="162" t="n"/>
      <c r="AX197" s="162" t="n"/>
      <c r="AY197" s="162" t="n"/>
      <c r="AZ197" s="162" t="n"/>
      <c r="BA197" s="162" t="n"/>
      <c r="BB197" s="162" t="n"/>
      <c r="BC197" s="162" t="n"/>
      <c r="BD197" s="162" t="n"/>
      <c r="BE197" s="162" t="n"/>
      <c r="BF197" s="162" t="n"/>
      <c r="BG197" s="162" t="n"/>
      <c r="BH197" s="162" t="n"/>
      <c r="BI197" s="162" t="n"/>
      <c r="BJ197" s="162" t="n"/>
      <c r="BK197" s="162" t="n"/>
      <c r="BL197" s="162" t="n"/>
      <c r="BM197" s="162" t="n"/>
      <c r="BN197" s="162" t="n"/>
      <c r="BO197" s="162" t="n"/>
      <c r="BP197" s="162" t="n"/>
      <c r="BQ197" s="162" t="n"/>
      <c r="BR197" s="162" t="n"/>
      <c r="BS197" s="162" t="n"/>
      <c r="BT197" s="162" t="n"/>
      <c r="BU197" s="162" t="n"/>
      <c r="BV197" s="162" t="n"/>
      <c r="BW197" s="162" t="n"/>
      <c r="BX197" s="162" t="n"/>
      <c r="BY197" s="162" t="n"/>
      <c r="BZ197" s="162" t="n"/>
      <c r="CA197" s="162" t="n"/>
      <c r="CB197" s="162" t="n"/>
      <c r="CC197" s="162" t="n"/>
      <c r="CD197" s="162" t="n"/>
      <c r="CE197" s="162" t="n"/>
      <c r="CF197" s="162" t="n"/>
      <c r="CG197" s="162" t="n"/>
      <c r="CH197" s="162" t="n"/>
      <c r="CI197" s="162" t="n"/>
      <c r="CJ197" s="162" t="n"/>
      <c r="CK197" s="162" t="n"/>
      <c r="CL197" s="162" t="n"/>
      <c r="CM197" s="162" t="n"/>
      <c r="CN197" s="162" t="n"/>
      <c r="CO197" s="162" t="n"/>
      <c r="CP197" s="162" t="n"/>
      <c r="CQ197" s="162" t="n"/>
      <c r="CR197" s="162" t="n"/>
      <c r="CS197" s="162" t="n"/>
      <c r="CT197" s="162" t="n"/>
    </row>
    <row r="198" ht="15" customHeight="1">
      <c r="A198" s="175" t="n">
        <v>197</v>
      </c>
      <c r="B198" s="226" t="n">
        <v>35</v>
      </c>
      <c r="C198" s="164" t="n">
        <v>45772</v>
      </c>
      <c r="D198" s="166" t="inlineStr">
        <is>
          <t>219 G. SAN JOSE 2</t>
        </is>
      </c>
      <c r="E198" s="166" t="n">
        <v>40734</v>
      </c>
      <c r="F198" s="166" t="inlineStr">
        <is>
          <t>JOSE SOLER</t>
        </is>
      </c>
      <c r="G198" s="188" t="n">
        <v>3342</v>
      </c>
      <c r="H198" s="188" t="n">
        <v>3342</v>
      </c>
      <c r="I198" s="188" t="n">
        <v>3278</v>
      </c>
      <c r="J198" s="188" t="n">
        <v>1</v>
      </c>
      <c r="K198" s="188" t="n">
        <v>49</v>
      </c>
      <c r="L198" s="189" t="n">
        <v>14</v>
      </c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  <c r="AA198" s="162" t="n"/>
      <c r="AB198" s="162" t="n"/>
      <c r="AC198" s="162" t="n"/>
      <c r="AD198" s="162" t="n"/>
      <c r="AE198" s="162" t="n"/>
      <c r="AF198" s="162" t="n"/>
      <c r="AG198" s="162" t="n"/>
      <c r="AH198" s="162" t="n"/>
      <c r="AI198" s="162" t="n"/>
      <c r="AJ198" s="162" t="n"/>
      <c r="AK198" s="162" t="n"/>
      <c r="AL198" s="162" t="n"/>
      <c r="AM198" s="162" t="n"/>
      <c r="AN198" s="162" t="n"/>
      <c r="AO198" s="162" t="n"/>
      <c r="AP198" s="162" t="n"/>
      <c r="AQ198" s="162" t="n"/>
      <c r="AR198" s="162" t="n"/>
      <c r="AS198" s="162" t="n"/>
      <c r="AT198" s="162" t="n"/>
      <c r="AU198" s="162" t="n"/>
      <c r="AV198" s="162" t="n"/>
      <c r="AW198" s="162" t="n"/>
      <c r="AX198" s="162" t="n"/>
      <c r="AY198" s="162" t="n"/>
      <c r="AZ198" s="162" t="n"/>
      <c r="BA198" s="162" t="n"/>
      <c r="BB198" s="162" t="n"/>
      <c r="BC198" s="162" t="n"/>
      <c r="BD198" s="162" t="n"/>
      <c r="BE198" s="162" t="n"/>
      <c r="BF198" s="162" t="n"/>
      <c r="BG198" s="162" t="n"/>
      <c r="BH198" s="162" t="n"/>
      <c r="BI198" s="162" t="n"/>
      <c r="BJ198" s="162" t="n"/>
      <c r="BK198" s="162" t="n"/>
      <c r="BL198" s="162" t="n"/>
      <c r="BM198" s="162" t="n"/>
      <c r="BN198" s="162" t="n"/>
      <c r="BO198" s="162" t="n"/>
      <c r="BP198" s="162" t="n"/>
      <c r="BQ198" s="162" t="n"/>
      <c r="BR198" s="162" t="n"/>
      <c r="BS198" s="162" t="n"/>
      <c r="BT198" s="162" t="n"/>
      <c r="BU198" s="162" t="n"/>
      <c r="BV198" s="162" t="n"/>
      <c r="BW198" s="162" t="n"/>
      <c r="BX198" s="162" t="n"/>
      <c r="BY198" s="162" t="n"/>
      <c r="BZ198" s="162" t="n"/>
      <c r="CA198" s="162" t="n"/>
      <c r="CB198" s="162" t="n"/>
      <c r="CC198" s="162" t="n"/>
      <c r="CD198" s="162" t="n"/>
      <c r="CE198" s="162" t="n"/>
      <c r="CF198" s="162" t="n"/>
      <c r="CG198" s="162" t="n"/>
      <c r="CH198" s="162" t="n"/>
      <c r="CI198" s="162" t="n"/>
      <c r="CJ198" s="162" t="n"/>
      <c r="CK198" s="162" t="n"/>
      <c r="CL198" s="162" t="n"/>
      <c r="CM198" s="162" t="n"/>
      <c r="CN198" s="162" t="n"/>
      <c r="CO198" s="162" t="n"/>
      <c r="CP198" s="162" t="n"/>
      <c r="CQ198" s="162" t="n"/>
      <c r="CR198" s="162" t="n"/>
      <c r="CS198" s="162" t="n"/>
      <c r="CT198" s="162" t="n"/>
    </row>
    <row r="199" ht="15" customHeight="1">
      <c r="A199" s="175" t="n">
        <v>198</v>
      </c>
      <c r="B199" s="226" t="n">
        <v>36</v>
      </c>
      <c r="C199" s="164" t="n">
        <v>45772</v>
      </c>
      <c r="D199" s="166" t="inlineStr">
        <is>
          <t>219 G. SAN JOSE 2</t>
        </is>
      </c>
      <c r="E199" s="166" t="n">
        <v>40735</v>
      </c>
      <c r="F199" s="166" t="inlineStr">
        <is>
          <t>EDWIN ROJAS</t>
        </is>
      </c>
      <c r="G199" s="188" t="n">
        <v>3342</v>
      </c>
      <c r="H199" s="188" t="n">
        <v>3342</v>
      </c>
      <c r="I199" s="188" t="n">
        <v>3304</v>
      </c>
      <c r="J199" s="188" t="n">
        <v>12</v>
      </c>
      <c r="K199" s="188" t="n">
        <v>24</v>
      </c>
      <c r="L199" s="189" t="n">
        <v>2</v>
      </c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  <c r="AA199" s="162" t="n"/>
      <c r="AB199" s="162" t="n"/>
      <c r="AC199" s="162" t="n"/>
      <c r="AD199" s="162" t="n"/>
      <c r="AE199" s="162" t="n"/>
      <c r="AF199" s="162" t="n"/>
      <c r="AG199" s="162" t="n"/>
      <c r="AH199" s="162" t="n"/>
      <c r="AI199" s="162" t="n"/>
      <c r="AJ199" s="162" t="n"/>
      <c r="AK199" s="162" t="n"/>
      <c r="AL199" s="162" t="n"/>
      <c r="AM199" s="162" t="n"/>
      <c r="AN199" s="162" t="n"/>
      <c r="AO199" s="162" t="n"/>
      <c r="AP199" s="162" t="n"/>
      <c r="AQ199" s="162" t="n"/>
      <c r="AR199" s="162" t="n"/>
      <c r="AS199" s="162" t="n"/>
      <c r="AT199" s="162" t="n"/>
      <c r="AU199" s="162" t="n"/>
      <c r="AV199" s="162" t="n"/>
      <c r="AW199" s="162" t="n"/>
      <c r="AX199" s="162" t="n"/>
      <c r="AY199" s="162" t="n"/>
      <c r="AZ199" s="162" t="n"/>
      <c r="BA199" s="162" t="n"/>
      <c r="BB199" s="162" t="n"/>
      <c r="BC199" s="162" t="n"/>
      <c r="BD199" s="162" t="n"/>
      <c r="BE199" s="162" t="n"/>
      <c r="BF199" s="162" t="n"/>
      <c r="BG199" s="162" t="n"/>
      <c r="BH199" s="162" t="n"/>
      <c r="BI199" s="162" t="n"/>
      <c r="BJ199" s="162" t="n"/>
      <c r="BK199" s="162" t="n"/>
      <c r="BL199" s="162" t="n"/>
      <c r="BM199" s="162" t="n"/>
      <c r="BN199" s="162" t="n"/>
      <c r="BO199" s="162" t="n"/>
      <c r="BP199" s="162" t="n"/>
      <c r="BQ199" s="162" t="n"/>
      <c r="BR199" s="162" t="n"/>
      <c r="BS199" s="162" t="n"/>
      <c r="BT199" s="162" t="n"/>
      <c r="BU199" s="162" t="n"/>
      <c r="BV199" s="162" t="n"/>
      <c r="BW199" s="162" t="n"/>
      <c r="BX199" s="162" t="n"/>
      <c r="BY199" s="162" t="n"/>
      <c r="BZ199" s="162" t="n"/>
      <c r="CA199" s="162" t="n"/>
      <c r="CB199" s="162" t="n"/>
      <c r="CC199" s="162" t="n"/>
      <c r="CD199" s="162" t="n"/>
      <c r="CE199" s="162" t="n"/>
      <c r="CF199" s="162" t="n"/>
      <c r="CG199" s="162" t="n"/>
      <c r="CH199" s="162" t="n"/>
      <c r="CI199" s="162" t="n"/>
      <c r="CJ199" s="162" t="n"/>
      <c r="CK199" s="162" t="n"/>
      <c r="CL199" s="162" t="n"/>
      <c r="CM199" s="162" t="n"/>
      <c r="CN199" s="162" t="n"/>
      <c r="CO199" s="162" t="n"/>
      <c r="CP199" s="162" t="n"/>
      <c r="CQ199" s="162" t="n"/>
      <c r="CR199" s="162" t="n"/>
      <c r="CS199" s="162" t="n"/>
      <c r="CT199" s="162" t="n"/>
    </row>
    <row r="200" ht="15" customHeight="1">
      <c r="A200" s="175" t="n">
        <v>199</v>
      </c>
      <c r="B200" s="226" t="n">
        <v>37</v>
      </c>
      <c r="C200" s="164" t="n">
        <v>45772</v>
      </c>
      <c r="D200" s="166" t="inlineStr">
        <is>
          <t>219 G. SAN JOSE 2</t>
        </is>
      </c>
      <c r="E200" s="166" t="n">
        <v>40736</v>
      </c>
      <c r="F200" s="166" t="inlineStr">
        <is>
          <t>ALBERTO HERRERA</t>
        </is>
      </c>
      <c r="G200" s="188" t="n">
        <v>3342</v>
      </c>
      <c r="H200" s="188" t="n">
        <v>3342</v>
      </c>
      <c r="I200" s="188" t="n">
        <v>3319</v>
      </c>
      <c r="J200" s="188" t="n">
        <v>6</v>
      </c>
      <c r="K200" s="188" t="n">
        <v>25</v>
      </c>
      <c r="L200" s="189" t="n">
        <v>-8</v>
      </c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  <c r="AA200" s="162" t="n"/>
      <c r="AB200" s="162" t="n"/>
      <c r="AC200" s="162" t="n"/>
      <c r="AD200" s="162" t="n"/>
      <c r="AE200" s="162" t="n"/>
      <c r="AF200" s="162" t="n"/>
      <c r="AG200" s="162" t="n"/>
      <c r="AH200" s="162" t="n"/>
      <c r="AI200" s="162" t="n"/>
      <c r="AJ200" s="162" t="n"/>
      <c r="AK200" s="162" t="n"/>
      <c r="AL200" s="162" t="n"/>
      <c r="AM200" s="162" t="n"/>
      <c r="AN200" s="162" t="n"/>
      <c r="AO200" s="162" t="n"/>
      <c r="AP200" s="162" t="n"/>
      <c r="AQ200" s="162" t="n"/>
      <c r="AR200" s="162" t="n"/>
      <c r="AS200" s="162" t="n"/>
      <c r="AT200" s="162" t="n"/>
      <c r="AU200" s="162" t="n"/>
      <c r="AV200" s="162" t="n"/>
      <c r="AW200" s="162" t="n"/>
      <c r="AX200" s="162" t="n"/>
      <c r="AY200" s="162" t="n"/>
      <c r="AZ200" s="162" t="n"/>
      <c r="BA200" s="162" t="n"/>
      <c r="BB200" s="162" t="n"/>
      <c r="BC200" s="162" t="n"/>
      <c r="BD200" s="162" t="n"/>
      <c r="BE200" s="162" t="n"/>
      <c r="BF200" s="162" t="n"/>
      <c r="BG200" s="162" t="n"/>
      <c r="BH200" s="162" t="n"/>
      <c r="BI200" s="162" t="n"/>
      <c r="BJ200" s="162" t="n"/>
      <c r="BK200" s="162" t="n"/>
      <c r="BL200" s="162" t="n"/>
      <c r="BM200" s="162" t="n"/>
      <c r="BN200" s="162" t="n"/>
      <c r="BO200" s="162" t="n"/>
      <c r="BP200" s="162" t="n"/>
      <c r="BQ200" s="162" t="n"/>
      <c r="BR200" s="162" t="n"/>
      <c r="BS200" s="162" t="n"/>
      <c r="BT200" s="162" t="n"/>
      <c r="BU200" s="162" t="n"/>
      <c r="BV200" s="162" t="n"/>
      <c r="BW200" s="162" t="n"/>
      <c r="BX200" s="162" t="n"/>
      <c r="BY200" s="162" t="n"/>
      <c r="BZ200" s="162" t="n"/>
      <c r="CA200" s="162" t="n"/>
      <c r="CB200" s="162" t="n"/>
      <c r="CC200" s="162" t="n"/>
      <c r="CD200" s="162" t="n"/>
      <c r="CE200" s="162" t="n"/>
      <c r="CF200" s="162" t="n"/>
      <c r="CG200" s="162" t="n"/>
      <c r="CH200" s="162" t="n"/>
      <c r="CI200" s="162" t="n"/>
      <c r="CJ200" s="162" t="n"/>
      <c r="CK200" s="162" t="n"/>
      <c r="CL200" s="162" t="n"/>
      <c r="CM200" s="162" t="n"/>
      <c r="CN200" s="162" t="n"/>
      <c r="CO200" s="162" t="n"/>
      <c r="CP200" s="162" t="n"/>
      <c r="CQ200" s="162" t="n"/>
      <c r="CR200" s="162" t="n"/>
      <c r="CS200" s="162" t="n"/>
      <c r="CT200" s="162" t="n"/>
    </row>
    <row r="201" ht="15" customHeight="1">
      <c r="A201" s="175" t="n">
        <v>200</v>
      </c>
      <c r="B201" s="226" t="n">
        <v>38</v>
      </c>
      <c r="C201" s="164" t="n">
        <v>45772</v>
      </c>
      <c r="D201" s="166" t="inlineStr">
        <is>
          <t>219 G. SAN JOSE 2</t>
        </is>
      </c>
      <c r="E201" s="166" t="n">
        <v>40737</v>
      </c>
      <c r="F201" s="166" t="inlineStr">
        <is>
          <t>HENRY ROMERO</t>
        </is>
      </c>
      <c r="G201" s="188" t="n">
        <v>3342</v>
      </c>
      <c r="H201" s="188" t="n">
        <v>3342</v>
      </c>
      <c r="I201" s="188" t="n">
        <v>3312</v>
      </c>
      <c r="J201" s="188" t="n">
        <v>6</v>
      </c>
      <c r="K201" s="188" t="n">
        <v>28</v>
      </c>
      <c r="L201" s="189" t="n">
        <v>-4</v>
      </c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  <c r="AA201" s="162" t="n"/>
      <c r="AB201" s="162" t="n"/>
      <c r="AC201" s="162" t="n"/>
      <c r="AD201" s="162" t="n"/>
      <c r="AE201" s="162" t="n"/>
      <c r="AF201" s="162" t="n"/>
      <c r="AG201" s="162" t="n"/>
      <c r="AH201" s="162" t="n"/>
      <c r="AI201" s="162" t="n"/>
      <c r="AJ201" s="162" t="n"/>
      <c r="AK201" s="162" t="n"/>
      <c r="AL201" s="162" t="n"/>
      <c r="AM201" s="162" t="n"/>
      <c r="AN201" s="162" t="n"/>
      <c r="AO201" s="162" t="n"/>
      <c r="AP201" s="162" t="n"/>
      <c r="AQ201" s="162" t="n"/>
      <c r="AR201" s="162" t="n"/>
      <c r="AS201" s="162" t="n"/>
      <c r="AT201" s="162" t="n"/>
      <c r="AU201" s="162" t="n"/>
      <c r="AV201" s="162" t="n"/>
      <c r="AW201" s="162" t="n"/>
      <c r="AX201" s="162" t="n"/>
      <c r="AY201" s="162" t="n"/>
      <c r="AZ201" s="162" t="n"/>
      <c r="BA201" s="162" t="n"/>
      <c r="BB201" s="162" t="n"/>
      <c r="BC201" s="162" t="n"/>
      <c r="BD201" s="162" t="n"/>
      <c r="BE201" s="162" t="n"/>
      <c r="BF201" s="162" t="n"/>
      <c r="BG201" s="162" t="n"/>
      <c r="BH201" s="162" t="n"/>
      <c r="BI201" s="162" t="n"/>
      <c r="BJ201" s="162" t="n"/>
      <c r="BK201" s="162" t="n"/>
      <c r="BL201" s="162" t="n"/>
      <c r="BM201" s="162" t="n"/>
      <c r="BN201" s="162" t="n"/>
      <c r="BO201" s="162" t="n"/>
      <c r="BP201" s="162" t="n"/>
      <c r="BQ201" s="162" t="n"/>
      <c r="BR201" s="162" t="n"/>
      <c r="BS201" s="162" t="n"/>
      <c r="BT201" s="162" t="n"/>
      <c r="BU201" s="162" t="n"/>
      <c r="BV201" s="162" t="n"/>
      <c r="BW201" s="162" t="n"/>
      <c r="BX201" s="162" t="n"/>
      <c r="BY201" s="162" t="n"/>
      <c r="BZ201" s="162" t="n"/>
      <c r="CA201" s="162" t="n"/>
      <c r="CB201" s="162" t="n"/>
      <c r="CC201" s="162" t="n"/>
      <c r="CD201" s="162" t="n"/>
      <c r="CE201" s="162" t="n"/>
      <c r="CF201" s="162" t="n"/>
      <c r="CG201" s="162" t="n"/>
      <c r="CH201" s="162" t="n"/>
      <c r="CI201" s="162" t="n"/>
      <c r="CJ201" s="162" t="n"/>
      <c r="CK201" s="162" t="n"/>
      <c r="CL201" s="162" t="n"/>
      <c r="CM201" s="162" t="n"/>
      <c r="CN201" s="162" t="n"/>
      <c r="CO201" s="162" t="n"/>
      <c r="CP201" s="162" t="n"/>
      <c r="CQ201" s="162" t="n"/>
      <c r="CR201" s="162" t="n"/>
      <c r="CS201" s="162" t="n"/>
      <c r="CT201" s="162" t="n"/>
    </row>
    <row r="202" ht="15" customHeight="1">
      <c r="A202" s="175" t="n">
        <v>201</v>
      </c>
      <c r="B202" s="226" t="n">
        <v>39</v>
      </c>
      <c r="C202" s="164" t="n">
        <v>45772</v>
      </c>
      <c r="D202" s="166" t="inlineStr">
        <is>
          <t>219 G. SAN JOSE 2</t>
        </is>
      </c>
      <c r="E202" s="166" t="n">
        <v>40738</v>
      </c>
      <c r="F202" s="166" t="inlineStr">
        <is>
          <t>JHON AGUIRRE</t>
        </is>
      </c>
      <c r="G202" s="188" t="n">
        <v>3342</v>
      </c>
      <c r="H202" s="188" t="n">
        <v>3342</v>
      </c>
      <c r="I202" s="188" t="n">
        <v>3308</v>
      </c>
      <c r="J202" s="188" t="n">
        <v>4</v>
      </c>
      <c r="K202" s="188" t="n">
        <v>36</v>
      </c>
      <c r="L202" s="189" t="n">
        <v>-6</v>
      </c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  <c r="AA202" s="162" t="n"/>
      <c r="AB202" s="162" t="n"/>
      <c r="AC202" s="162" t="n"/>
      <c r="AD202" s="162" t="n"/>
      <c r="AE202" s="162" t="n"/>
      <c r="AF202" s="162" t="n"/>
      <c r="AG202" s="162" t="n"/>
      <c r="AH202" s="162" t="n"/>
      <c r="AI202" s="162" t="n"/>
      <c r="AJ202" s="162" t="n"/>
      <c r="AK202" s="162" t="n"/>
      <c r="AL202" s="162" t="n"/>
      <c r="AM202" s="162" t="n"/>
      <c r="AN202" s="162" t="n"/>
      <c r="AO202" s="162" t="n"/>
      <c r="AP202" s="162" t="n"/>
      <c r="AQ202" s="162" t="n"/>
      <c r="AR202" s="162" t="n"/>
      <c r="AS202" s="162" t="n"/>
      <c r="AT202" s="162" t="n"/>
      <c r="AU202" s="162" t="n"/>
      <c r="AV202" s="162" t="n"/>
      <c r="AW202" s="162" t="n"/>
      <c r="AX202" s="162" t="n"/>
      <c r="AY202" s="162" t="n"/>
      <c r="AZ202" s="162" t="n"/>
      <c r="BA202" s="162" t="n"/>
      <c r="BB202" s="162" t="n"/>
      <c r="BC202" s="162" t="n"/>
      <c r="BD202" s="162" t="n"/>
      <c r="BE202" s="162" t="n"/>
      <c r="BF202" s="162" t="n"/>
      <c r="BG202" s="162" t="n"/>
      <c r="BH202" s="162" t="n"/>
      <c r="BI202" s="162" t="n"/>
      <c r="BJ202" s="162" t="n"/>
      <c r="BK202" s="162" t="n"/>
      <c r="BL202" s="162" t="n"/>
      <c r="BM202" s="162" t="n"/>
      <c r="BN202" s="162" t="n"/>
      <c r="BO202" s="162" t="n"/>
      <c r="BP202" s="162" t="n"/>
      <c r="BQ202" s="162" t="n"/>
      <c r="BR202" s="162" t="n"/>
      <c r="BS202" s="162" t="n"/>
      <c r="BT202" s="162" t="n"/>
      <c r="BU202" s="162" t="n"/>
      <c r="BV202" s="162" t="n"/>
      <c r="BW202" s="162" t="n"/>
      <c r="BX202" s="162" t="n"/>
      <c r="BY202" s="162" t="n"/>
      <c r="BZ202" s="162" t="n"/>
      <c r="CA202" s="162" t="n"/>
      <c r="CB202" s="162" t="n"/>
      <c r="CC202" s="162" t="n"/>
      <c r="CD202" s="162" t="n"/>
      <c r="CE202" s="162" t="n"/>
      <c r="CF202" s="162" t="n"/>
      <c r="CG202" s="162" t="n"/>
      <c r="CH202" s="162" t="n"/>
      <c r="CI202" s="162" t="n"/>
      <c r="CJ202" s="162" t="n"/>
      <c r="CK202" s="162" t="n"/>
      <c r="CL202" s="162" t="n"/>
      <c r="CM202" s="162" t="n"/>
      <c r="CN202" s="162" t="n"/>
      <c r="CO202" s="162" t="n"/>
      <c r="CP202" s="162" t="n"/>
      <c r="CQ202" s="162" t="n"/>
      <c r="CR202" s="162" t="n"/>
      <c r="CS202" s="162" t="n"/>
      <c r="CT202" s="162" t="n"/>
    </row>
    <row r="203" ht="15" customHeight="1">
      <c r="A203" s="175" t="n">
        <v>202</v>
      </c>
      <c r="B203" s="226" t="n">
        <v>40</v>
      </c>
      <c r="C203" s="164" t="n">
        <v>45773</v>
      </c>
      <c r="D203" s="166" t="inlineStr">
        <is>
          <t>221 G. MALAGUEÑA</t>
        </is>
      </c>
      <c r="E203" s="166" t="n">
        <v>40739</v>
      </c>
      <c r="F203" s="166" t="inlineStr">
        <is>
          <t>JHON AGUIRRE</t>
        </is>
      </c>
      <c r="G203" s="188" t="n">
        <v>3459</v>
      </c>
      <c r="H203" s="188" t="n">
        <v>3459</v>
      </c>
      <c r="I203" s="188" t="n">
        <v>3424</v>
      </c>
      <c r="J203" s="188" t="n">
        <v>5</v>
      </c>
      <c r="K203" s="188" t="n">
        <v>21</v>
      </c>
      <c r="L203" s="189" t="n">
        <v>9</v>
      </c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  <c r="AA203" s="162" t="n"/>
      <c r="AB203" s="162" t="n"/>
      <c r="AC203" s="162" t="n"/>
      <c r="AD203" s="162" t="n"/>
      <c r="AE203" s="162" t="n"/>
      <c r="AF203" s="162" t="n"/>
      <c r="AG203" s="162" t="n"/>
      <c r="AH203" s="162" t="n"/>
      <c r="AI203" s="162" t="n"/>
      <c r="AJ203" s="162" t="n"/>
      <c r="AK203" s="162" t="n"/>
      <c r="AL203" s="162" t="n"/>
      <c r="AM203" s="162" t="n"/>
      <c r="AN203" s="162" t="n"/>
      <c r="AO203" s="162" t="n"/>
      <c r="AP203" s="162" t="n"/>
      <c r="AQ203" s="162" t="n"/>
      <c r="AR203" s="162" t="n"/>
      <c r="AS203" s="162" t="n"/>
      <c r="AT203" s="162" t="n"/>
      <c r="AU203" s="162" t="n"/>
      <c r="AV203" s="162" t="n"/>
      <c r="AW203" s="162" t="n"/>
      <c r="AX203" s="162" t="n"/>
      <c r="AY203" s="162" t="n"/>
      <c r="AZ203" s="162" t="n"/>
      <c r="BA203" s="162" t="n"/>
      <c r="BB203" s="162" t="n"/>
      <c r="BC203" s="162" t="n"/>
      <c r="BD203" s="162" t="n"/>
      <c r="BE203" s="162" t="n"/>
      <c r="BF203" s="162" t="n"/>
      <c r="BG203" s="162" t="n"/>
      <c r="BH203" s="162" t="n"/>
      <c r="BI203" s="162" t="n"/>
      <c r="BJ203" s="162" t="n"/>
      <c r="BK203" s="162" t="n"/>
      <c r="BL203" s="162" t="n"/>
      <c r="BM203" s="162" t="n"/>
      <c r="BN203" s="162" t="n"/>
      <c r="BO203" s="162" t="n"/>
      <c r="BP203" s="162" t="n"/>
      <c r="BQ203" s="162" t="n"/>
      <c r="BR203" s="162" t="n"/>
      <c r="BS203" s="162" t="n"/>
      <c r="BT203" s="162" t="n"/>
      <c r="BU203" s="162" t="n"/>
      <c r="BV203" s="162" t="n"/>
      <c r="BW203" s="162" t="n"/>
      <c r="BX203" s="162" t="n"/>
      <c r="BY203" s="162" t="n"/>
      <c r="BZ203" s="162" t="n"/>
      <c r="CA203" s="162" t="n"/>
      <c r="CB203" s="162" t="n"/>
      <c r="CC203" s="162" t="n"/>
      <c r="CD203" s="162" t="n"/>
      <c r="CE203" s="162" t="n"/>
      <c r="CF203" s="162" t="n"/>
      <c r="CG203" s="162" t="n"/>
      <c r="CH203" s="162" t="n"/>
      <c r="CI203" s="162" t="n"/>
      <c r="CJ203" s="162" t="n"/>
      <c r="CK203" s="162" t="n"/>
      <c r="CL203" s="162" t="n"/>
      <c r="CM203" s="162" t="n"/>
      <c r="CN203" s="162" t="n"/>
      <c r="CO203" s="162" t="n"/>
      <c r="CP203" s="162" t="n"/>
      <c r="CQ203" s="162" t="n"/>
      <c r="CR203" s="162" t="n"/>
      <c r="CS203" s="162" t="n"/>
      <c r="CT203" s="162" t="n"/>
    </row>
    <row r="204" ht="15" customHeight="1">
      <c r="A204" s="175" t="n">
        <v>203</v>
      </c>
      <c r="B204" s="226" t="n">
        <v>41</v>
      </c>
      <c r="C204" s="164" t="n">
        <v>45773</v>
      </c>
      <c r="D204" s="166" t="inlineStr">
        <is>
          <t>221 G. MALAGUEÑA</t>
        </is>
      </c>
      <c r="E204" s="166" t="n">
        <v>40740</v>
      </c>
      <c r="F204" s="166" t="inlineStr">
        <is>
          <t>ALEX GOMEZ</t>
        </is>
      </c>
      <c r="G204" s="188" t="n">
        <v>3459</v>
      </c>
      <c r="H204" s="188" t="n">
        <v>3459</v>
      </c>
      <c r="I204" s="188" t="n">
        <v>3433</v>
      </c>
      <c r="J204" s="188" t="n">
        <v>6</v>
      </c>
      <c r="K204" s="188" t="n">
        <v>13</v>
      </c>
      <c r="L204" s="189" t="n">
        <v>7</v>
      </c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  <c r="AA204" s="162" t="n"/>
      <c r="AB204" s="162" t="n"/>
      <c r="AC204" s="162" t="n"/>
      <c r="AD204" s="162" t="n"/>
      <c r="AE204" s="162" t="n"/>
      <c r="AF204" s="162" t="n"/>
      <c r="AG204" s="162" t="n"/>
      <c r="AH204" s="162" t="n"/>
      <c r="AI204" s="162" t="n"/>
      <c r="AJ204" s="162" t="n"/>
      <c r="AK204" s="162" t="n"/>
      <c r="AL204" s="162" t="n"/>
      <c r="AM204" s="162" t="n"/>
      <c r="AN204" s="162" t="n"/>
      <c r="AO204" s="162" t="n"/>
      <c r="AP204" s="162" t="n"/>
      <c r="AQ204" s="162" t="n"/>
      <c r="AR204" s="162" t="n"/>
      <c r="AS204" s="162" t="n"/>
      <c r="AT204" s="162" t="n"/>
      <c r="AU204" s="162" t="n"/>
      <c r="AV204" s="162" t="n"/>
      <c r="AW204" s="162" t="n"/>
      <c r="AX204" s="162" t="n"/>
      <c r="AY204" s="162" t="n"/>
      <c r="AZ204" s="162" t="n"/>
      <c r="BA204" s="162" t="n"/>
      <c r="BB204" s="162" t="n"/>
      <c r="BC204" s="162" t="n"/>
      <c r="BD204" s="162" t="n"/>
      <c r="BE204" s="162" t="n"/>
      <c r="BF204" s="162" t="n"/>
      <c r="BG204" s="162" t="n"/>
      <c r="BH204" s="162" t="n"/>
      <c r="BI204" s="162" t="n"/>
      <c r="BJ204" s="162" t="n"/>
      <c r="BK204" s="162" t="n"/>
      <c r="BL204" s="162" t="n"/>
      <c r="BM204" s="162" t="n"/>
      <c r="BN204" s="162" t="n"/>
      <c r="BO204" s="162" t="n"/>
      <c r="BP204" s="162" t="n"/>
      <c r="BQ204" s="162" t="n"/>
      <c r="BR204" s="162" t="n"/>
      <c r="BS204" s="162" t="n"/>
      <c r="BT204" s="162" t="n"/>
      <c r="BU204" s="162" t="n"/>
      <c r="BV204" s="162" t="n"/>
      <c r="BW204" s="162" t="n"/>
      <c r="BX204" s="162" t="n"/>
      <c r="BY204" s="162" t="n"/>
      <c r="BZ204" s="162" t="n"/>
      <c r="CA204" s="162" t="n"/>
      <c r="CB204" s="162" t="n"/>
      <c r="CC204" s="162" t="n"/>
      <c r="CD204" s="162" t="n"/>
      <c r="CE204" s="162" t="n"/>
      <c r="CF204" s="162" t="n"/>
      <c r="CG204" s="162" t="n"/>
      <c r="CH204" s="162" t="n"/>
      <c r="CI204" s="162" t="n"/>
      <c r="CJ204" s="162" t="n"/>
      <c r="CK204" s="162" t="n"/>
      <c r="CL204" s="162" t="n"/>
      <c r="CM204" s="162" t="n"/>
      <c r="CN204" s="162" t="n"/>
      <c r="CO204" s="162" t="n"/>
      <c r="CP204" s="162" t="n"/>
      <c r="CQ204" s="162" t="n"/>
      <c r="CR204" s="162" t="n"/>
      <c r="CS204" s="162" t="n"/>
      <c r="CT204" s="162" t="n"/>
    </row>
    <row r="205" ht="15" customHeight="1">
      <c r="A205" s="175" t="n">
        <v>204</v>
      </c>
      <c r="B205" s="226" t="n">
        <v>42</v>
      </c>
      <c r="C205" s="164" t="n">
        <v>45773</v>
      </c>
      <c r="D205" s="166" t="inlineStr">
        <is>
          <t>221 G. MALAGUEÑA</t>
        </is>
      </c>
      <c r="E205" s="166" t="n">
        <v>40741</v>
      </c>
      <c r="F205" s="166" t="inlineStr">
        <is>
          <t>HENRY ROMERO</t>
        </is>
      </c>
      <c r="G205" s="188" t="n">
        <v>3459</v>
      </c>
      <c r="H205" s="188" t="n">
        <v>3459</v>
      </c>
      <c r="I205" s="188" t="n">
        <v>3418</v>
      </c>
      <c r="J205" s="188" t="n">
        <v>5</v>
      </c>
      <c r="K205" s="188" t="n">
        <v>27</v>
      </c>
      <c r="L205" s="189" t="n">
        <v>9</v>
      </c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  <c r="AA205" s="162" t="n"/>
      <c r="AB205" s="162" t="n"/>
      <c r="AC205" s="162" t="n"/>
      <c r="AD205" s="162" t="n"/>
      <c r="AE205" s="162" t="n"/>
      <c r="AF205" s="162" t="n"/>
      <c r="AG205" s="162" t="n"/>
      <c r="AH205" s="162" t="n"/>
      <c r="AI205" s="162" t="n"/>
      <c r="AJ205" s="162" t="n"/>
      <c r="AK205" s="162" t="n"/>
      <c r="AL205" s="162" t="n"/>
      <c r="AM205" s="162" t="n"/>
      <c r="AN205" s="162" t="n"/>
      <c r="AO205" s="162" t="n"/>
      <c r="AP205" s="162" t="n"/>
      <c r="AQ205" s="162" t="n"/>
      <c r="AR205" s="162" t="n"/>
      <c r="AS205" s="162" t="n"/>
      <c r="AT205" s="162" t="n"/>
      <c r="AU205" s="162" t="n"/>
      <c r="AV205" s="162" t="n"/>
      <c r="AW205" s="162" t="n"/>
      <c r="AX205" s="162" t="n"/>
      <c r="AY205" s="162" t="n"/>
      <c r="AZ205" s="162" t="n"/>
      <c r="BA205" s="162" t="n"/>
      <c r="BB205" s="162" t="n"/>
      <c r="BC205" s="162" t="n"/>
      <c r="BD205" s="162" t="n"/>
      <c r="BE205" s="162" t="n"/>
      <c r="BF205" s="162" t="n"/>
      <c r="BG205" s="162" t="n"/>
      <c r="BH205" s="162" t="n"/>
      <c r="BI205" s="162" t="n"/>
      <c r="BJ205" s="162" t="n"/>
      <c r="BK205" s="162" t="n"/>
      <c r="BL205" s="162" t="n"/>
      <c r="BM205" s="162" t="n"/>
      <c r="BN205" s="162" t="n"/>
      <c r="BO205" s="162" t="n"/>
      <c r="BP205" s="162" t="n"/>
      <c r="BQ205" s="162" t="n"/>
      <c r="BR205" s="162" t="n"/>
      <c r="BS205" s="162" t="n"/>
      <c r="BT205" s="162" t="n"/>
      <c r="BU205" s="162" t="n"/>
      <c r="BV205" s="162" t="n"/>
      <c r="BW205" s="162" t="n"/>
      <c r="BX205" s="162" t="n"/>
      <c r="BY205" s="162" t="n"/>
      <c r="BZ205" s="162" t="n"/>
      <c r="CA205" s="162" t="n"/>
      <c r="CB205" s="162" t="n"/>
      <c r="CC205" s="162" t="n"/>
      <c r="CD205" s="162" t="n"/>
      <c r="CE205" s="162" t="n"/>
      <c r="CF205" s="162" t="n"/>
      <c r="CG205" s="162" t="n"/>
      <c r="CH205" s="162" t="n"/>
      <c r="CI205" s="162" t="n"/>
      <c r="CJ205" s="162" t="n"/>
      <c r="CK205" s="162" t="n"/>
      <c r="CL205" s="162" t="n"/>
      <c r="CM205" s="162" t="n"/>
      <c r="CN205" s="162" t="n"/>
      <c r="CO205" s="162" t="n"/>
      <c r="CP205" s="162" t="n"/>
      <c r="CQ205" s="162" t="n"/>
      <c r="CR205" s="162" t="n"/>
      <c r="CS205" s="162" t="n"/>
      <c r="CT205" s="162" t="n"/>
    </row>
    <row r="206" ht="15" customHeight="1">
      <c r="A206" s="175" t="n">
        <v>205</v>
      </c>
      <c r="B206" s="226" t="n">
        <v>43</v>
      </c>
      <c r="C206" s="164" t="n">
        <v>45773</v>
      </c>
      <c r="D206" s="166" t="inlineStr">
        <is>
          <t>221 G. MALAGUEÑA</t>
        </is>
      </c>
      <c r="E206" s="166" t="n">
        <v>40742</v>
      </c>
      <c r="F206" s="166" t="inlineStr">
        <is>
          <t>FABIO ALDANA</t>
        </is>
      </c>
      <c r="G206" s="188" t="n">
        <v>3459</v>
      </c>
      <c r="H206" s="188" t="n">
        <v>3459</v>
      </c>
      <c r="I206" s="188" t="n">
        <v>3421</v>
      </c>
      <c r="J206" s="188" t="n">
        <v>8</v>
      </c>
      <c r="K206" s="188" t="n">
        <v>25</v>
      </c>
      <c r="L206" s="189" t="n">
        <v>5</v>
      </c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  <c r="AA206" s="162" t="n"/>
      <c r="AB206" s="162" t="n"/>
      <c r="AC206" s="162" t="n"/>
      <c r="AD206" s="162" t="n"/>
      <c r="AE206" s="162" t="n"/>
      <c r="AF206" s="162" t="n"/>
      <c r="AG206" s="162" t="n"/>
      <c r="AH206" s="162" t="n"/>
      <c r="AI206" s="162" t="n"/>
      <c r="AJ206" s="162" t="n"/>
      <c r="AK206" s="162" t="n"/>
      <c r="AL206" s="162" t="n"/>
      <c r="AM206" s="162" t="n"/>
      <c r="AN206" s="162" t="n"/>
      <c r="AO206" s="162" t="n"/>
      <c r="AP206" s="162" t="n"/>
      <c r="AQ206" s="162" t="n"/>
      <c r="AR206" s="162" t="n"/>
      <c r="AS206" s="162" t="n"/>
      <c r="AT206" s="162" t="n"/>
      <c r="AU206" s="162" t="n"/>
      <c r="AV206" s="162" t="n"/>
      <c r="AW206" s="162" t="n"/>
      <c r="AX206" s="162" t="n"/>
      <c r="AY206" s="162" t="n"/>
      <c r="AZ206" s="162" t="n"/>
      <c r="BA206" s="162" t="n"/>
      <c r="BB206" s="162" t="n"/>
      <c r="BC206" s="162" t="n"/>
      <c r="BD206" s="162" t="n"/>
      <c r="BE206" s="162" t="n"/>
      <c r="BF206" s="162" t="n"/>
      <c r="BG206" s="162" t="n"/>
      <c r="BH206" s="162" t="n"/>
      <c r="BI206" s="162" t="n"/>
      <c r="BJ206" s="162" t="n"/>
      <c r="BK206" s="162" t="n"/>
      <c r="BL206" s="162" t="n"/>
      <c r="BM206" s="162" t="n"/>
      <c r="BN206" s="162" t="n"/>
      <c r="BO206" s="162" t="n"/>
      <c r="BP206" s="162" t="n"/>
      <c r="BQ206" s="162" t="n"/>
      <c r="BR206" s="162" t="n"/>
      <c r="BS206" s="162" t="n"/>
      <c r="BT206" s="162" t="n"/>
      <c r="BU206" s="162" t="n"/>
      <c r="BV206" s="162" t="n"/>
      <c r="BW206" s="162" t="n"/>
      <c r="BX206" s="162" t="n"/>
      <c r="BY206" s="162" t="n"/>
      <c r="BZ206" s="162" t="n"/>
      <c r="CA206" s="162" t="n"/>
      <c r="CB206" s="162" t="n"/>
      <c r="CC206" s="162" t="n"/>
      <c r="CD206" s="162" t="n"/>
      <c r="CE206" s="162" t="n"/>
      <c r="CF206" s="162" t="n"/>
      <c r="CG206" s="162" t="n"/>
      <c r="CH206" s="162" t="n"/>
      <c r="CI206" s="162" t="n"/>
      <c r="CJ206" s="162" t="n"/>
      <c r="CK206" s="162" t="n"/>
      <c r="CL206" s="162" t="n"/>
      <c r="CM206" s="162" t="n"/>
      <c r="CN206" s="162" t="n"/>
      <c r="CO206" s="162" t="n"/>
      <c r="CP206" s="162" t="n"/>
      <c r="CQ206" s="162" t="n"/>
      <c r="CR206" s="162" t="n"/>
      <c r="CS206" s="162" t="n"/>
      <c r="CT206" s="162" t="n"/>
    </row>
    <row r="207" ht="15" customHeight="1">
      <c r="A207" s="175" t="n">
        <v>206</v>
      </c>
      <c r="B207" s="226" t="n">
        <v>44</v>
      </c>
      <c r="C207" s="164" t="n">
        <v>45773</v>
      </c>
      <c r="D207" s="166" t="inlineStr">
        <is>
          <t>221 G. MALAGUEÑA</t>
        </is>
      </c>
      <c r="E207" s="166" t="n">
        <v>40743</v>
      </c>
      <c r="F207" s="166" t="inlineStr">
        <is>
          <t>EDWIN ROJAS</t>
        </is>
      </c>
      <c r="G207" s="188" t="n">
        <v>3459</v>
      </c>
      <c r="H207" s="188" t="n">
        <v>3459</v>
      </c>
      <c r="I207" s="188" t="n">
        <v>3432</v>
      </c>
      <c r="J207" s="188" t="n">
        <v>9</v>
      </c>
      <c r="K207" s="188" t="n">
        <v>18</v>
      </c>
      <c r="L207" s="189" t="n">
        <v>0</v>
      </c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  <c r="AA207" s="162" t="n"/>
      <c r="AB207" s="162" t="n"/>
      <c r="AC207" s="162" t="n"/>
      <c r="AD207" s="162" t="n"/>
      <c r="AE207" s="162" t="n"/>
      <c r="AF207" s="162" t="n"/>
      <c r="AG207" s="162" t="n"/>
      <c r="AH207" s="162" t="n"/>
      <c r="AI207" s="162" t="n"/>
      <c r="AJ207" s="162" t="n"/>
      <c r="AK207" s="162" t="n"/>
      <c r="AL207" s="162" t="n"/>
      <c r="AM207" s="162" t="n"/>
      <c r="AN207" s="162" t="n"/>
      <c r="AO207" s="162" t="n"/>
      <c r="AP207" s="162" t="n"/>
      <c r="AQ207" s="162" t="n"/>
      <c r="AR207" s="162" t="n"/>
      <c r="AS207" s="162" t="n"/>
      <c r="AT207" s="162" t="n"/>
      <c r="AU207" s="162" t="n"/>
      <c r="AV207" s="162" t="n"/>
      <c r="AW207" s="162" t="n"/>
      <c r="AX207" s="162" t="n"/>
      <c r="AY207" s="162" t="n"/>
      <c r="AZ207" s="162" t="n"/>
      <c r="BA207" s="162" t="n"/>
      <c r="BB207" s="162" t="n"/>
      <c r="BC207" s="162" t="n"/>
      <c r="BD207" s="162" t="n"/>
      <c r="BE207" s="162" t="n"/>
      <c r="BF207" s="162" t="n"/>
      <c r="BG207" s="162" t="n"/>
      <c r="BH207" s="162" t="n"/>
      <c r="BI207" s="162" t="n"/>
      <c r="BJ207" s="162" t="n"/>
      <c r="BK207" s="162" t="n"/>
      <c r="BL207" s="162" t="n"/>
      <c r="BM207" s="162" t="n"/>
      <c r="BN207" s="162" t="n"/>
      <c r="BO207" s="162" t="n"/>
      <c r="BP207" s="162" t="n"/>
      <c r="BQ207" s="162" t="n"/>
      <c r="BR207" s="162" t="n"/>
      <c r="BS207" s="162" t="n"/>
      <c r="BT207" s="162" t="n"/>
      <c r="BU207" s="162" t="n"/>
      <c r="BV207" s="162" t="n"/>
      <c r="BW207" s="162" t="n"/>
      <c r="BX207" s="162" t="n"/>
      <c r="BY207" s="162" t="n"/>
      <c r="BZ207" s="162" t="n"/>
      <c r="CA207" s="162" t="n"/>
      <c r="CB207" s="162" t="n"/>
      <c r="CC207" s="162" t="n"/>
      <c r="CD207" s="162" t="n"/>
      <c r="CE207" s="162" t="n"/>
      <c r="CF207" s="162" t="n"/>
      <c r="CG207" s="162" t="n"/>
      <c r="CH207" s="162" t="n"/>
      <c r="CI207" s="162" t="n"/>
      <c r="CJ207" s="162" t="n"/>
      <c r="CK207" s="162" t="n"/>
      <c r="CL207" s="162" t="n"/>
      <c r="CM207" s="162" t="n"/>
      <c r="CN207" s="162" t="n"/>
      <c r="CO207" s="162" t="n"/>
      <c r="CP207" s="162" t="n"/>
      <c r="CQ207" s="162" t="n"/>
      <c r="CR207" s="162" t="n"/>
      <c r="CS207" s="162" t="n"/>
      <c r="CT207" s="162" t="n"/>
    </row>
    <row r="208" ht="15" customHeight="1">
      <c r="A208" s="175" t="n">
        <v>207</v>
      </c>
      <c r="B208" s="226" t="n">
        <v>45</v>
      </c>
      <c r="C208" s="164" t="n">
        <v>45773</v>
      </c>
      <c r="D208" s="166" t="inlineStr">
        <is>
          <t>219 G. SAN JOSE 2</t>
        </is>
      </c>
      <c r="E208" s="166" t="n">
        <v>40751</v>
      </c>
      <c r="F208" s="166" t="inlineStr">
        <is>
          <t>FERNANDO OYUELA</t>
        </is>
      </c>
      <c r="G208" s="188" t="n">
        <v>3045</v>
      </c>
      <c r="H208" s="188" t="n">
        <v>3045</v>
      </c>
      <c r="I208" s="188" t="n">
        <v>3099</v>
      </c>
      <c r="J208" s="188" t="n">
        <v>4</v>
      </c>
      <c r="K208" s="188" t="n">
        <v>7</v>
      </c>
      <c r="L208" s="189" t="n">
        <v>-65</v>
      </c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  <c r="AA208" s="162" t="n"/>
      <c r="AB208" s="162" t="n"/>
      <c r="AC208" s="162" t="n"/>
      <c r="AD208" s="162" t="n"/>
      <c r="AE208" s="162" t="n"/>
      <c r="AF208" s="162" t="n"/>
      <c r="AG208" s="162" t="n"/>
      <c r="AH208" s="162" t="n"/>
      <c r="AI208" s="162" t="n"/>
      <c r="AJ208" s="162" t="n"/>
      <c r="AK208" s="162" t="n"/>
      <c r="AL208" s="162" t="n"/>
      <c r="AM208" s="162" t="n"/>
      <c r="AN208" s="162" t="n"/>
      <c r="AO208" s="162" t="n"/>
      <c r="AP208" s="162" t="n"/>
      <c r="AQ208" s="162" t="n"/>
      <c r="AR208" s="162" t="n"/>
      <c r="AS208" s="162" t="n"/>
      <c r="AT208" s="162" t="n"/>
      <c r="AU208" s="162" t="n"/>
      <c r="AV208" s="162" t="n"/>
      <c r="AW208" s="162" t="n"/>
      <c r="AX208" s="162" t="n"/>
      <c r="AY208" s="162" t="n"/>
      <c r="AZ208" s="162" t="n"/>
      <c r="BA208" s="162" t="n"/>
      <c r="BB208" s="162" t="n"/>
      <c r="BC208" s="162" t="n"/>
      <c r="BD208" s="162" t="n"/>
      <c r="BE208" s="162" t="n"/>
      <c r="BF208" s="162" t="n"/>
      <c r="BG208" s="162" t="n"/>
      <c r="BH208" s="162" t="n"/>
      <c r="BI208" s="162" t="n"/>
      <c r="BJ208" s="162" t="n"/>
      <c r="BK208" s="162" t="n"/>
      <c r="BL208" s="162" t="n"/>
      <c r="BM208" s="162" t="n"/>
      <c r="BN208" s="162" t="n"/>
      <c r="BO208" s="162" t="n"/>
      <c r="BP208" s="162" t="n"/>
      <c r="BQ208" s="162" t="n"/>
      <c r="BR208" s="162" t="n"/>
      <c r="BS208" s="162" t="n"/>
      <c r="BT208" s="162" t="n"/>
      <c r="BU208" s="162" t="n"/>
      <c r="BV208" s="162" t="n"/>
      <c r="BW208" s="162" t="n"/>
      <c r="BX208" s="162" t="n"/>
      <c r="BY208" s="162" t="n"/>
      <c r="BZ208" s="162" t="n"/>
      <c r="CA208" s="162" t="n"/>
      <c r="CB208" s="162" t="n"/>
      <c r="CC208" s="162" t="n"/>
      <c r="CD208" s="162" t="n"/>
      <c r="CE208" s="162" t="n"/>
      <c r="CF208" s="162" t="n"/>
      <c r="CG208" s="162" t="n"/>
      <c r="CH208" s="162" t="n"/>
      <c r="CI208" s="162" t="n"/>
      <c r="CJ208" s="162" t="n"/>
      <c r="CK208" s="162" t="n"/>
      <c r="CL208" s="162" t="n"/>
      <c r="CM208" s="162" t="n"/>
      <c r="CN208" s="162" t="n"/>
      <c r="CO208" s="162" t="n"/>
      <c r="CP208" s="162" t="n"/>
      <c r="CQ208" s="162" t="n"/>
      <c r="CR208" s="162" t="n"/>
      <c r="CS208" s="162" t="n"/>
      <c r="CT208" s="162" t="n"/>
    </row>
    <row r="209" ht="15" customHeight="1">
      <c r="A209" s="175" t="n">
        <v>208</v>
      </c>
      <c r="B209" s="226" t="n">
        <v>46</v>
      </c>
      <c r="C209" s="164" t="n">
        <v>45773</v>
      </c>
      <c r="D209" s="166" t="inlineStr">
        <is>
          <t>219 G. SAN JOSE 2</t>
        </is>
      </c>
      <c r="E209" s="166" t="n">
        <v>40752</v>
      </c>
      <c r="F209" s="166" t="inlineStr">
        <is>
          <t>JHON AGUIRRE</t>
        </is>
      </c>
      <c r="G209" s="188" t="n">
        <v>3045</v>
      </c>
      <c r="H209" s="188" t="n">
        <v>3045</v>
      </c>
      <c r="I209" s="188" t="n">
        <v>3098</v>
      </c>
      <c r="J209" s="188" t="n">
        <v>2</v>
      </c>
      <c r="K209" s="188" t="n">
        <v>8</v>
      </c>
      <c r="L209" s="189" t="n">
        <v>-63</v>
      </c>
      <c r="M209" s="190" t="inlineStr">
        <is>
          <t>LLANO</t>
        </is>
      </c>
      <c r="N209" s="190" t="inlineStr">
        <is>
          <t>21 al 26 de abril</t>
        </is>
      </c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  <c r="AA209" s="162" t="n"/>
      <c r="AB209" s="162" t="n"/>
      <c r="AC209" s="162" t="n"/>
      <c r="AD209" s="162" t="n"/>
      <c r="AE209" s="162" t="n"/>
      <c r="AF209" s="162" t="n"/>
      <c r="AG209" s="162" t="n"/>
      <c r="AH209" s="162" t="n"/>
      <c r="AI209" s="162" t="n"/>
      <c r="AJ209" s="162" t="n"/>
      <c r="AK209" s="162" t="n"/>
      <c r="AL209" s="162" t="n"/>
      <c r="AM209" s="162" t="n"/>
      <c r="AN209" s="162" t="n"/>
      <c r="AO209" s="162" t="n"/>
      <c r="AP209" s="162" t="n"/>
      <c r="AQ209" s="162" t="n"/>
      <c r="AR209" s="162" t="n"/>
      <c r="AS209" s="162" t="n"/>
      <c r="AT209" s="162" t="n"/>
      <c r="AU209" s="162" t="n"/>
      <c r="AV209" s="162" t="n"/>
      <c r="AW209" s="162" t="n"/>
      <c r="AX209" s="162" t="n"/>
      <c r="AY209" s="162" t="n"/>
      <c r="AZ209" s="162" t="n"/>
      <c r="BA209" s="162" t="n"/>
      <c r="BB209" s="162" t="n"/>
      <c r="BC209" s="162" t="n"/>
      <c r="BD209" s="162" t="n"/>
      <c r="BE209" s="162" t="n"/>
      <c r="BF209" s="162" t="n"/>
      <c r="BG209" s="162" t="n"/>
      <c r="BH209" s="162" t="n"/>
      <c r="BI209" s="162" t="n"/>
      <c r="BJ209" s="162" t="n"/>
      <c r="BK209" s="162" t="n"/>
      <c r="BL209" s="162" t="n"/>
      <c r="BM209" s="162" t="n"/>
      <c r="BN209" s="162" t="n"/>
      <c r="BO209" s="162" t="n"/>
      <c r="BP209" s="162" t="n"/>
      <c r="BQ209" s="162" t="n"/>
      <c r="BR209" s="162" t="n"/>
      <c r="BS209" s="162" t="n"/>
      <c r="BT209" s="162" t="n"/>
      <c r="BU209" s="162" t="n"/>
      <c r="BV209" s="162" t="n"/>
      <c r="BW209" s="162" t="n"/>
      <c r="BX209" s="162" t="n"/>
      <c r="BY209" s="162" t="n"/>
      <c r="BZ209" s="162" t="n"/>
      <c r="CA209" s="162" t="n"/>
      <c r="CB209" s="162" t="n"/>
      <c r="CC209" s="162" t="n"/>
      <c r="CD209" s="162" t="n"/>
      <c r="CE209" s="162" t="n"/>
      <c r="CF209" s="162" t="n"/>
      <c r="CG209" s="162" t="n"/>
      <c r="CH209" s="162" t="n"/>
      <c r="CI209" s="162" t="n"/>
      <c r="CJ209" s="162" t="n"/>
      <c r="CK209" s="162" t="n"/>
      <c r="CL209" s="162" t="n"/>
      <c r="CM209" s="162" t="n"/>
      <c r="CN209" s="162" t="n"/>
      <c r="CO209" s="162" t="n"/>
      <c r="CP209" s="162" t="n"/>
      <c r="CQ209" s="162" t="n"/>
      <c r="CR209" s="162" t="n"/>
      <c r="CS209" s="162" t="n"/>
      <c r="CT209" s="162" t="n"/>
    </row>
    <row r="210" ht="15" customHeight="1">
      <c r="A210" s="175" t="n">
        <v>209</v>
      </c>
      <c r="B210" s="226" t="n">
        <v>47</v>
      </c>
      <c r="C210" s="164" t="n">
        <v>45773</v>
      </c>
      <c r="D210" s="166" t="inlineStr">
        <is>
          <t>219 G. SAN JOSE 2</t>
        </is>
      </c>
      <c r="E210" s="166" t="n">
        <v>40753</v>
      </c>
      <c r="F210" s="166" t="inlineStr">
        <is>
          <t>HENRY ROMERO</t>
        </is>
      </c>
      <c r="G210" s="188" t="n">
        <v>3045</v>
      </c>
      <c r="H210" s="188" t="n">
        <v>3045</v>
      </c>
      <c r="I210" s="188" t="n">
        <v>3100</v>
      </c>
      <c r="J210" s="188" t="n">
        <v>2</v>
      </c>
      <c r="K210" s="188" t="n">
        <v>6</v>
      </c>
      <c r="L210" s="189" t="n">
        <v>-63</v>
      </c>
      <c r="M210" s="162" t="inlineStr">
        <is>
          <t>VIAJES</t>
        </is>
      </c>
      <c r="N210" s="162">
        <f>+B211</f>
        <v/>
      </c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  <c r="AA210" s="162" t="n"/>
      <c r="AB210" s="162" t="n"/>
      <c r="AC210" s="162" t="n"/>
      <c r="AD210" s="162" t="n"/>
      <c r="AE210" s="162" t="n"/>
      <c r="AF210" s="162" t="n"/>
      <c r="AG210" s="162" t="n"/>
      <c r="AH210" s="162" t="n"/>
      <c r="AI210" s="162" t="n"/>
      <c r="AJ210" s="162" t="n"/>
      <c r="AK210" s="162" t="n"/>
      <c r="AL210" s="162" t="n"/>
      <c r="AM210" s="162" t="n"/>
      <c r="AN210" s="162" t="n"/>
      <c r="AO210" s="162" t="n"/>
      <c r="AP210" s="162" t="n"/>
      <c r="AQ210" s="162" t="n"/>
      <c r="AR210" s="162" t="n"/>
      <c r="AS210" s="162" t="n"/>
      <c r="AT210" s="162" t="n"/>
      <c r="AU210" s="162" t="n"/>
      <c r="AV210" s="162" t="n"/>
      <c r="AW210" s="162" t="n"/>
      <c r="AX210" s="162" t="n"/>
      <c r="AY210" s="162" t="n"/>
      <c r="AZ210" s="162" t="n"/>
      <c r="BA210" s="162" t="n"/>
      <c r="BB210" s="162" t="n"/>
      <c r="BC210" s="162" t="n"/>
      <c r="BD210" s="162" t="n"/>
      <c r="BE210" s="162" t="n"/>
      <c r="BF210" s="162" t="n"/>
      <c r="BG210" s="162" t="n"/>
      <c r="BH210" s="162" t="n"/>
      <c r="BI210" s="162" t="n"/>
      <c r="BJ210" s="162" t="n"/>
      <c r="BK210" s="162" t="n"/>
      <c r="BL210" s="162" t="n"/>
      <c r="BM210" s="162" t="n"/>
      <c r="BN210" s="162" t="n"/>
      <c r="BO210" s="162" t="n"/>
      <c r="BP210" s="162" t="n"/>
      <c r="BQ210" s="162" t="n"/>
      <c r="BR210" s="162" t="n"/>
      <c r="BS210" s="162" t="n"/>
      <c r="BT210" s="162" t="n"/>
      <c r="BU210" s="162" t="n"/>
      <c r="BV210" s="162" t="n"/>
      <c r="BW210" s="162" t="n"/>
      <c r="BX210" s="162" t="n"/>
      <c r="BY210" s="162" t="n"/>
      <c r="BZ210" s="162" t="n"/>
      <c r="CA210" s="162" t="n"/>
      <c r="CB210" s="162" t="n"/>
      <c r="CC210" s="162" t="n"/>
      <c r="CD210" s="162" t="n"/>
      <c r="CE210" s="162" t="n"/>
      <c r="CF210" s="162" t="n"/>
      <c r="CG210" s="162" t="n"/>
      <c r="CH210" s="162" t="n"/>
      <c r="CI210" s="162" t="n"/>
      <c r="CJ210" s="162" t="n"/>
      <c r="CK210" s="162" t="n"/>
      <c r="CL210" s="162" t="n"/>
      <c r="CM210" s="162" t="n"/>
      <c r="CN210" s="162" t="n"/>
      <c r="CO210" s="162" t="n"/>
      <c r="CP210" s="162" t="n"/>
      <c r="CQ210" s="162" t="n"/>
      <c r="CR210" s="162" t="n"/>
      <c r="CS210" s="162" t="n"/>
      <c r="CT210" s="162" t="n"/>
    </row>
    <row r="211" ht="15" customHeight="1">
      <c r="A211" s="175" t="n">
        <v>210</v>
      </c>
      <c r="B211" s="227" t="n">
        <v>48</v>
      </c>
      <c r="C211" s="228" t="n">
        <v>45773</v>
      </c>
      <c r="D211" s="229" t="inlineStr">
        <is>
          <t>219 G. SAN JOSE 2</t>
        </is>
      </c>
      <c r="E211" s="229" t="n">
        <v>40754</v>
      </c>
      <c r="F211" s="229" t="inlineStr">
        <is>
          <t>EDWIN ROJAS</t>
        </is>
      </c>
      <c r="G211" s="195" t="n">
        <v>3045</v>
      </c>
      <c r="H211" s="195" t="n">
        <v>3045</v>
      </c>
      <c r="I211" s="230" t="n">
        <v>3115</v>
      </c>
      <c r="J211" s="195" t="n">
        <v>2</v>
      </c>
      <c r="K211" s="195" t="n">
        <v>6</v>
      </c>
      <c r="L211" s="196" t="n">
        <v>-78</v>
      </c>
      <c r="M211" s="231" t="inlineStr">
        <is>
          <t>TOTAL POLLOS SERVIAGRO</t>
        </is>
      </c>
      <c r="N211" s="162">
        <f>SUM(H164:H211)</f>
        <v/>
      </c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  <c r="AA211" s="162" t="n"/>
      <c r="AB211" s="162" t="n"/>
      <c r="AC211" s="162" t="n"/>
      <c r="AD211" s="162" t="n"/>
      <c r="AE211" s="162" t="n"/>
      <c r="AF211" s="162" t="n"/>
      <c r="AG211" s="162" t="n"/>
      <c r="AH211" s="162" t="n"/>
      <c r="AI211" s="162" t="n"/>
      <c r="AJ211" s="162" t="n"/>
      <c r="AK211" s="162" t="n"/>
      <c r="AL211" s="162" t="n"/>
      <c r="AM211" s="162" t="n"/>
      <c r="AN211" s="162" t="n"/>
      <c r="AO211" s="162" t="n"/>
      <c r="AP211" s="162" t="n"/>
      <c r="AQ211" s="162" t="n"/>
      <c r="AR211" s="162" t="n"/>
      <c r="AS211" s="162" t="n"/>
      <c r="AT211" s="162" t="n"/>
      <c r="AU211" s="162" t="n"/>
      <c r="AV211" s="162" t="n"/>
      <c r="AW211" s="162" t="n"/>
      <c r="AX211" s="162" t="n"/>
      <c r="AY211" s="162" t="n"/>
      <c r="AZ211" s="162" t="n"/>
      <c r="BA211" s="162" t="n"/>
      <c r="BB211" s="162" t="n"/>
      <c r="BC211" s="162" t="n"/>
      <c r="BD211" s="162" t="n"/>
      <c r="BE211" s="162" t="n"/>
      <c r="BF211" s="162" t="n"/>
      <c r="BG211" s="162" t="n"/>
      <c r="BH211" s="162" t="n"/>
      <c r="BI211" s="162" t="n"/>
      <c r="BJ211" s="162" t="n"/>
      <c r="BK211" s="162" t="n"/>
      <c r="BL211" s="162" t="n"/>
      <c r="BM211" s="162" t="n"/>
      <c r="BN211" s="162" t="n"/>
      <c r="BO211" s="162" t="n"/>
      <c r="BP211" s="162" t="n"/>
      <c r="BQ211" s="162" t="n"/>
      <c r="BR211" s="162" t="n"/>
      <c r="BS211" s="162" t="n"/>
      <c r="BT211" s="162" t="n"/>
      <c r="BU211" s="162" t="n"/>
      <c r="BV211" s="162" t="n"/>
      <c r="BW211" s="162" t="n"/>
      <c r="BX211" s="162" t="n"/>
      <c r="BY211" s="162" t="n"/>
      <c r="BZ211" s="162" t="n"/>
      <c r="CA211" s="162" t="n"/>
      <c r="CB211" s="162" t="n"/>
      <c r="CC211" s="162" t="n"/>
      <c r="CD211" s="162" t="n"/>
      <c r="CE211" s="162" t="n"/>
      <c r="CF211" s="162" t="n"/>
      <c r="CG211" s="162" t="n"/>
      <c r="CH211" s="162" t="n"/>
      <c r="CI211" s="162" t="n"/>
      <c r="CJ211" s="162" t="n"/>
      <c r="CK211" s="162" t="n"/>
      <c r="CL211" s="162" t="n"/>
      <c r="CM211" s="162" t="n"/>
      <c r="CN211" s="162" t="n"/>
      <c r="CO211" s="162" t="n"/>
      <c r="CP211" s="162" t="n"/>
      <c r="CQ211" s="162" t="n"/>
      <c r="CR211" s="162" t="n"/>
      <c r="CS211" s="162" t="n"/>
      <c r="CT211" s="162" t="n"/>
    </row>
    <row r="212" ht="18.75" customHeight="1">
      <c r="A212" s="175" t="n">
        <v>211</v>
      </c>
      <c r="B212" s="223" t="n">
        <v>1</v>
      </c>
      <c r="C212" s="224" t="n">
        <v>45775</v>
      </c>
      <c r="D212" s="225" t="inlineStr">
        <is>
          <t>221 G. MALAGUEÑA</t>
        </is>
      </c>
      <c r="E212" s="225" t="n">
        <v>40761</v>
      </c>
      <c r="F212" s="225" t="inlineStr">
        <is>
          <t>FABIO ALDANA</t>
        </is>
      </c>
      <c r="G212" s="225" t="n">
        <v>3261</v>
      </c>
      <c r="H212" s="225" t="n">
        <v>3261</v>
      </c>
      <c r="I212" s="225" t="n">
        <v>3233</v>
      </c>
      <c r="J212" s="225" t="n">
        <v>8</v>
      </c>
      <c r="K212" s="225" t="n">
        <v>22</v>
      </c>
      <c r="L212" s="232" t="n">
        <v>-2</v>
      </c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  <c r="AA212" s="162" t="n"/>
      <c r="AB212" s="162" t="n"/>
      <c r="AC212" s="162" t="n"/>
      <c r="AD212" s="162" t="n"/>
      <c r="AE212" s="162" t="n"/>
      <c r="AF212" s="162" t="n"/>
      <c r="AG212" s="162" t="n"/>
      <c r="AH212" s="162" t="n"/>
      <c r="AI212" s="162" t="n"/>
      <c r="AJ212" s="162" t="n"/>
      <c r="AK212" s="162" t="n"/>
      <c r="AL212" s="162" t="n"/>
      <c r="AM212" s="162" t="n"/>
      <c r="AN212" s="162" t="n"/>
      <c r="AO212" s="162" t="n"/>
      <c r="AP212" s="162" t="n"/>
      <c r="AQ212" s="162" t="n"/>
      <c r="AR212" s="162" t="n"/>
      <c r="AS212" s="162" t="n"/>
      <c r="AT212" s="162" t="n"/>
      <c r="AU212" s="162" t="n"/>
      <c r="AV212" s="162" t="n"/>
      <c r="AW212" s="162" t="n"/>
      <c r="AX212" s="162" t="n"/>
      <c r="AY212" s="162" t="n"/>
      <c r="AZ212" s="162" t="n"/>
      <c r="BA212" s="162" t="n"/>
      <c r="BB212" s="162" t="n"/>
      <c r="BC212" s="162" t="n"/>
      <c r="BD212" s="162" t="n"/>
      <c r="BE212" s="162" t="n"/>
      <c r="BF212" s="162" t="n"/>
      <c r="BG212" s="162" t="n"/>
      <c r="BH212" s="162" t="n"/>
      <c r="BI212" s="162" t="n"/>
      <c r="BJ212" s="162" t="n"/>
      <c r="BK212" s="162" t="n"/>
      <c r="BL212" s="162" t="n"/>
      <c r="BM212" s="162" t="n"/>
      <c r="BN212" s="162" t="n"/>
      <c r="BO212" s="162" t="n"/>
      <c r="BP212" s="162" t="n"/>
      <c r="BQ212" s="162" t="n"/>
      <c r="BR212" s="162" t="n"/>
      <c r="BS212" s="162" t="n"/>
      <c r="BT212" s="162" t="n"/>
      <c r="BU212" s="162" t="n"/>
      <c r="BV212" s="162" t="n"/>
      <c r="BW212" s="162" t="n"/>
      <c r="BX212" s="162" t="n"/>
      <c r="BY212" s="162" t="n"/>
      <c r="BZ212" s="162" t="n"/>
      <c r="CA212" s="162" t="n"/>
      <c r="CB212" s="162" t="n"/>
      <c r="CC212" s="162" t="n"/>
      <c r="CD212" s="162" t="n"/>
      <c r="CE212" s="162" t="n"/>
      <c r="CF212" s="162" t="n"/>
      <c r="CG212" s="162" t="n"/>
      <c r="CH212" s="162" t="n"/>
      <c r="CI212" s="162" t="n"/>
      <c r="CJ212" s="162" t="n"/>
      <c r="CK212" s="162" t="n"/>
      <c r="CL212" s="162" t="n"/>
      <c r="CM212" s="162" t="n"/>
      <c r="CN212" s="162" t="n"/>
      <c r="CO212" s="162" t="n"/>
      <c r="CP212" s="162" t="n"/>
      <c r="CQ212" s="162" t="n"/>
      <c r="CR212" s="162" t="n"/>
      <c r="CS212" s="162" t="n"/>
      <c r="CT212" s="162" t="n"/>
    </row>
    <row r="213" ht="18.75" customHeight="1">
      <c r="A213" s="175" t="n">
        <v>212</v>
      </c>
      <c r="B213" s="226" t="n">
        <v>2</v>
      </c>
      <c r="C213" s="164" t="n">
        <v>45775</v>
      </c>
      <c r="D213" s="165" t="inlineStr">
        <is>
          <t>221 G. MALAGUEÑA</t>
        </is>
      </c>
      <c r="E213" s="165" t="n">
        <v>40762</v>
      </c>
      <c r="F213" s="165" t="inlineStr">
        <is>
          <t>EDWIN ROJAS</t>
        </is>
      </c>
      <c r="G213" s="165" t="n">
        <v>3261</v>
      </c>
      <c r="H213" s="165" t="n">
        <v>3261</v>
      </c>
      <c r="I213" s="165" t="n">
        <v>3233</v>
      </c>
      <c r="J213" s="165" t="n">
        <v>7</v>
      </c>
      <c r="K213" s="165" t="n">
        <v>22</v>
      </c>
      <c r="L213" s="233" t="n">
        <v>-1</v>
      </c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  <c r="AA213" s="162" t="n"/>
      <c r="AB213" s="162" t="n"/>
      <c r="AC213" s="162" t="n"/>
      <c r="AD213" s="162" t="n"/>
      <c r="AE213" s="162" t="n"/>
      <c r="AF213" s="162" t="n"/>
      <c r="AG213" s="162" t="n"/>
      <c r="AH213" s="162" t="n"/>
      <c r="AI213" s="162" t="n"/>
      <c r="AJ213" s="162" t="n"/>
      <c r="AK213" s="162" t="n"/>
      <c r="AL213" s="162" t="n"/>
      <c r="AM213" s="162" t="n"/>
      <c r="AN213" s="162" t="n"/>
      <c r="AO213" s="162" t="n"/>
      <c r="AP213" s="162" t="n"/>
      <c r="AQ213" s="162" t="n"/>
      <c r="AR213" s="162" t="n"/>
      <c r="AS213" s="162" t="n"/>
      <c r="AT213" s="162" t="n"/>
      <c r="AU213" s="162" t="n"/>
      <c r="AV213" s="162" t="n"/>
      <c r="AW213" s="162" t="n"/>
      <c r="AX213" s="162" t="n"/>
      <c r="AY213" s="162" t="n"/>
      <c r="AZ213" s="162" t="n"/>
      <c r="BA213" s="162" t="n"/>
      <c r="BB213" s="162" t="n"/>
      <c r="BC213" s="162" t="n"/>
      <c r="BD213" s="162" t="n"/>
      <c r="BE213" s="162" t="n"/>
      <c r="BF213" s="162" t="n"/>
      <c r="BG213" s="162" t="n"/>
      <c r="BH213" s="162" t="n"/>
      <c r="BI213" s="162" t="n"/>
      <c r="BJ213" s="162" t="n"/>
      <c r="BK213" s="162" t="n"/>
      <c r="BL213" s="162" t="n"/>
      <c r="BM213" s="162" t="n"/>
      <c r="BN213" s="162" t="n"/>
      <c r="BO213" s="162" t="n"/>
      <c r="BP213" s="162" t="n"/>
      <c r="BQ213" s="162" t="n"/>
      <c r="BR213" s="162" t="n"/>
      <c r="BS213" s="162" t="n"/>
      <c r="BT213" s="162" t="n"/>
      <c r="BU213" s="162" t="n"/>
      <c r="BV213" s="162" t="n"/>
      <c r="BW213" s="162" t="n"/>
      <c r="BX213" s="162" t="n"/>
      <c r="BY213" s="162" t="n"/>
      <c r="BZ213" s="162" t="n"/>
      <c r="CA213" s="162" t="n"/>
      <c r="CB213" s="162" t="n"/>
      <c r="CC213" s="162" t="n"/>
      <c r="CD213" s="162" t="n"/>
      <c r="CE213" s="162" t="n"/>
      <c r="CF213" s="162" t="n"/>
      <c r="CG213" s="162" t="n"/>
      <c r="CH213" s="162" t="n"/>
      <c r="CI213" s="162" t="n"/>
      <c r="CJ213" s="162" t="n"/>
      <c r="CK213" s="162" t="n"/>
      <c r="CL213" s="162" t="n"/>
      <c r="CM213" s="162" t="n"/>
      <c r="CN213" s="162" t="n"/>
      <c r="CO213" s="162" t="n"/>
      <c r="CP213" s="162" t="n"/>
      <c r="CQ213" s="162" t="n"/>
      <c r="CR213" s="162" t="n"/>
      <c r="CS213" s="162" t="n"/>
      <c r="CT213" s="162" t="n"/>
    </row>
    <row r="214" ht="18.75" customHeight="1">
      <c r="A214" s="175" t="n">
        <v>213</v>
      </c>
      <c r="B214" s="226" t="n">
        <v>3</v>
      </c>
      <c r="C214" s="164" t="n">
        <v>45775</v>
      </c>
      <c r="D214" s="165" t="inlineStr">
        <is>
          <t>221 G. MALAGUEÑA</t>
        </is>
      </c>
      <c r="E214" s="165" t="n">
        <v>40763</v>
      </c>
      <c r="F214" s="165" t="inlineStr">
        <is>
          <t>JAIRO CUBILLOS</t>
        </is>
      </c>
      <c r="G214" s="165" t="n">
        <v>3261</v>
      </c>
      <c r="H214" s="165" t="n">
        <v>3261</v>
      </c>
      <c r="I214" s="165" t="n">
        <v>3234</v>
      </c>
      <c r="J214" s="165" t="n">
        <v>6</v>
      </c>
      <c r="K214" s="165" t="n">
        <v>17</v>
      </c>
      <c r="L214" s="233" t="n">
        <v>4</v>
      </c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  <c r="AA214" s="162" t="n"/>
      <c r="AB214" s="162" t="n"/>
      <c r="AC214" s="162" t="n"/>
      <c r="AD214" s="162" t="n"/>
      <c r="AE214" s="162" t="n"/>
      <c r="AF214" s="162" t="n"/>
      <c r="AG214" s="162" t="n"/>
      <c r="AH214" s="162" t="n"/>
      <c r="AI214" s="162" t="n"/>
      <c r="AJ214" s="162" t="n"/>
      <c r="AK214" s="162" t="n"/>
      <c r="AL214" s="162" t="n"/>
      <c r="AM214" s="162" t="n"/>
      <c r="AN214" s="162" t="n"/>
      <c r="AO214" s="162" t="n"/>
      <c r="AP214" s="162" t="n"/>
      <c r="AQ214" s="162" t="n"/>
      <c r="AR214" s="162" t="n"/>
      <c r="AS214" s="162" t="n"/>
      <c r="AT214" s="162" t="n"/>
      <c r="AU214" s="162" t="n"/>
      <c r="AV214" s="162" t="n"/>
      <c r="AW214" s="162" t="n"/>
      <c r="AX214" s="162" t="n"/>
      <c r="AY214" s="162" t="n"/>
      <c r="AZ214" s="162" t="n"/>
      <c r="BA214" s="162" t="n"/>
      <c r="BB214" s="162" t="n"/>
      <c r="BC214" s="162" t="n"/>
      <c r="BD214" s="162" t="n"/>
      <c r="BE214" s="162" t="n"/>
      <c r="BF214" s="162" t="n"/>
      <c r="BG214" s="162" t="n"/>
      <c r="BH214" s="162" t="n"/>
      <c r="BI214" s="162" t="n"/>
      <c r="BJ214" s="162" t="n"/>
      <c r="BK214" s="162" t="n"/>
      <c r="BL214" s="162" t="n"/>
      <c r="BM214" s="162" t="n"/>
      <c r="BN214" s="162" t="n"/>
      <c r="BO214" s="162" t="n"/>
      <c r="BP214" s="162" t="n"/>
      <c r="BQ214" s="162" t="n"/>
      <c r="BR214" s="162" t="n"/>
      <c r="BS214" s="162" t="n"/>
      <c r="BT214" s="162" t="n"/>
      <c r="BU214" s="162" t="n"/>
      <c r="BV214" s="162" t="n"/>
      <c r="BW214" s="162" t="n"/>
      <c r="BX214" s="162" t="n"/>
      <c r="BY214" s="162" t="n"/>
      <c r="BZ214" s="162" t="n"/>
      <c r="CA214" s="162" t="n"/>
      <c r="CB214" s="162" t="n"/>
      <c r="CC214" s="162" t="n"/>
      <c r="CD214" s="162" t="n"/>
      <c r="CE214" s="162" t="n"/>
      <c r="CF214" s="162" t="n"/>
      <c r="CG214" s="162" t="n"/>
      <c r="CH214" s="162" t="n"/>
      <c r="CI214" s="162" t="n"/>
      <c r="CJ214" s="162" t="n"/>
      <c r="CK214" s="162" t="n"/>
      <c r="CL214" s="162" t="n"/>
      <c r="CM214" s="162" t="n"/>
      <c r="CN214" s="162" t="n"/>
      <c r="CO214" s="162" t="n"/>
      <c r="CP214" s="162" t="n"/>
      <c r="CQ214" s="162" t="n"/>
      <c r="CR214" s="162" t="n"/>
      <c r="CS214" s="162" t="n"/>
      <c r="CT214" s="162" t="n"/>
    </row>
    <row r="215" ht="18.75" customHeight="1">
      <c r="A215" s="175" t="n">
        <v>214</v>
      </c>
      <c r="B215" s="226" t="n">
        <v>4</v>
      </c>
      <c r="C215" s="164" t="n">
        <v>45775</v>
      </c>
      <c r="D215" s="165" t="inlineStr">
        <is>
          <t>221 G. MALAGUEÑA</t>
        </is>
      </c>
      <c r="E215" s="165" t="n">
        <v>40764</v>
      </c>
      <c r="F215" s="165" t="inlineStr">
        <is>
          <t>DUMAR ANGARITA</t>
        </is>
      </c>
      <c r="G215" s="165" t="n">
        <v>3261</v>
      </c>
      <c r="H215" s="165" t="n">
        <v>3261</v>
      </c>
      <c r="I215" s="165" t="n">
        <v>3241</v>
      </c>
      <c r="J215" s="165" t="n">
        <v>4</v>
      </c>
      <c r="K215" s="165" t="n">
        <v>15</v>
      </c>
      <c r="L215" s="233" t="n">
        <v>1</v>
      </c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  <c r="AA215" s="162" t="n"/>
      <c r="AB215" s="162" t="n"/>
      <c r="AC215" s="162" t="n"/>
      <c r="AD215" s="162" t="n"/>
      <c r="AE215" s="162" t="n"/>
      <c r="AF215" s="162" t="n"/>
      <c r="AG215" s="162" t="n"/>
      <c r="AH215" s="162" t="n"/>
      <c r="AI215" s="162" t="n"/>
      <c r="AJ215" s="162" t="n"/>
      <c r="AK215" s="162" t="n"/>
      <c r="AL215" s="162" t="n"/>
      <c r="AM215" s="162" t="n"/>
      <c r="AN215" s="162" t="n"/>
      <c r="AO215" s="162" t="n"/>
      <c r="AP215" s="162" t="n"/>
      <c r="AQ215" s="162" t="n"/>
      <c r="AR215" s="162" t="n"/>
      <c r="AS215" s="162" t="n"/>
      <c r="AT215" s="162" t="n"/>
      <c r="AU215" s="162" t="n"/>
      <c r="AV215" s="162" t="n"/>
      <c r="AW215" s="162" t="n"/>
      <c r="AX215" s="162" t="n"/>
      <c r="AY215" s="162" t="n"/>
      <c r="AZ215" s="162" t="n"/>
      <c r="BA215" s="162" t="n"/>
      <c r="BB215" s="162" t="n"/>
      <c r="BC215" s="162" t="n"/>
      <c r="BD215" s="162" t="n"/>
      <c r="BE215" s="162" t="n"/>
      <c r="BF215" s="162" t="n"/>
      <c r="BG215" s="162" t="n"/>
      <c r="BH215" s="162" t="n"/>
      <c r="BI215" s="162" t="n"/>
      <c r="BJ215" s="162" t="n"/>
      <c r="BK215" s="162" t="n"/>
      <c r="BL215" s="162" t="n"/>
      <c r="BM215" s="162" t="n"/>
      <c r="BN215" s="162" t="n"/>
      <c r="BO215" s="162" t="n"/>
      <c r="BP215" s="162" t="n"/>
      <c r="BQ215" s="162" t="n"/>
      <c r="BR215" s="162" t="n"/>
      <c r="BS215" s="162" t="n"/>
      <c r="BT215" s="162" t="n"/>
      <c r="BU215" s="162" t="n"/>
      <c r="BV215" s="162" t="n"/>
      <c r="BW215" s="162" t="n"/>
      <c r="BX215" s="162" t="n"/>
      <c r="BY215" s="162" t="n"/>
      <c r="BZ215" s="162" t="n"/>
      <c r="CA215" s="162" t="n"/>
      <c r="CB215" s="162" t="n"/>
      <c r="CC215" s="162" t="n"/>
      <c r="CD215" s="162" t="n"/>
      <c r="CE215" s="162" t="n"/>
      <c r="CF215" s="162" t="n"/>
      <c r="CG215" s="162" t="n"/>
      <c r="CH215" s="162" t="n"/>
      <c r="CI215" s="162" t="n"/>
      <c r="CJ215" s="162" t="n"/>
      <c r="CK215" s="162" t="n"/>
      <c r="CL215" s="162" t="n"/>
      <c r="CM215" s="162" t="n"/>
      <c r="CN215" s="162" t="n"/>
      <c r="CO215" s="162" t="n"/>
      <c r="CP215" s="162" t="n"/>
      <c r="CQ215" s="162" t="n"/>
      <c r="CR215" s="162" t="n"/>
      <c r="CS215" s="162" t="n"/>
      <c r="CT215" s="162" t="n"/>
    </row>
    <row r="216" ht="18.75" customHeight="1">
      <c r="A216" s="175" t="n">
        <v>215</v>
      </c>
      <c r="B216" s="226" t="n">
        <v>5</v>
      </c>
      <c r="C216" s="164" t="n">
        <v>45775</v>
      </c>
      <c r="D216" s="165" t="inlineStr">
        <is>
          <t>221 G. MALAGUEÑA</t>
        </is>
      </c>
      <c r="E216" s="165" t="n">
        <v>40765</v>
      </c>
      <c r="F216" s="165" t="inlineStr">
        <is>
          <t>ALEX GOMEZ</t>
        </is>
      </c>
      <c r="G216" s="165" t="n">
        <v>3261</v>
      </c>
      <c r="H216" s="165" t="n">
        <v>3261</v>
      </c>
      <c r="I216" s="165" t="n">
        <v>3241</v>
      </c>
      <c r="J216" s="165" t="n">
        <v>7</v>
      </c>
      <c r="K216" s="165" t="n">
        <v>13</v>
      </c>
      <c r="L216" s="233" t="n">
        <v>0</v>
      </c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  <c r="AA216" s="162" t="n"/>
      <c r="AB216" s="162" t="n"/>
      <c r="AC216" s="162" t="n"/>
      <c r="AD216" s="162" t="n"/>
      <c r="AE216" s="162" t="n"/>
      <c r="AF216" s="162" t="n"/>
      <c r="AG216" s="162" t="n"/>
      <c r="AH216" s="162" t="n"/>
      <c r="AI216" s="162" t="n"/>
      <c r="AJ216" s="162" t="n"/>
      <c r="AK216" s="162" t="n"/>
      <c r="AL216" s="162" t="n"/>
      <c r="AM216" s="162" t="n"/>
      <c r="AN216" s="162" t="n"/>
      <c r="AO216" s="162" t="n"/>
      <c r="AP216" s="162" t="n"/>
      <c r="AQ216" s="162" t="n"/>
      <c r="AR216" s="162" t="n"/>
      <c r="AS216" s="162" t="n"/>
      <c r="AT216" s="162" t="n"/>
      <c r="AU216" s="162" t="n"/>
      <c r="AV216" s="162" t="n"/>
      <c r="AW216" s="162" t="n"/>
      <c r="AX216" s="162" t="n"/>
      <c r="AY216" s="162" t="n"/>
      <c r="AZ216" s="162" t="n"/>
      <c r="BA216" s="162" t="n"/>
      <c r="BB216" s="162" t="n"/>
      <c r="BC216" s="162" t="n"/>
      <c r="BD216" s="162" t="n"/>
      <c r="BE216" s="162" t="n"/>
      <c r="BF216" s="162" t="n"/>
      <c r="BG216" s="162" t="n"/>
      <c r="BH216" s="162" t="n"/>
      <c r="BI216" s="162" t="n"/>
      <c r="BJ216" s="162" t="n"/>
      <c r="BK216" s="162" t="n"/>
      <c r="BL216" s="162" t="n"/>
      <c r="BM216" s="162" t="n"/>
      <c r="BN216" s="162" t="n"/>
      <c r="BO216" s="162" t="n"/>
      <c r="BP216" s="162" t="n"/>
      <c r="BQ216" s="162" t="n"/>
      <c r="BR216" s="162" t="n"/>
      <c r="BS216" s="162" t="n"/>
      <c r="BT216" s="162" t="n"/>
      <c r="BU216" s="162" t="n"/>
      <c r="BV216" s="162" t="n"/>
      <c r="BW216" s="162" t="n"/>
      <c r="BX216" s="162" t="n"/>
      <c r="BY216" s="162" t="n"/>
      <c r="BZ216" s="162" t="n"/>
      <c r="CA216" s="162" t="n"/>
      <c r="CB216" s="162" t="n"/>
      <c r="CC216" s="162" t="n"/>
      <c r="CD216" s="162" t="n"/>
      <c r="CE216" s="162" t="n"/>
      <c r="CF216" s="162" t="n"/>
      <c r="CG216" s="162" t="n"/>
      <c r="CH216" s="162" t="n"/>
      <c r="CI216" s="162" t="n"/>
      <c r="CJ216" s="162" t="n"/>
      <c r="CK216" s="162" t="n"/>
      <c r="CL216" s="162" t="n"/>
      <c r="CM216" s="162" t="n"/>
      <c r="CN216" s="162" t="n"/>
      <c r="CO216" s="162" t="n"/>
      <c r="CP216" s="162" t="n"/>
      <c r="CQ216" s="162" t="n"/>
      <c r="CR216" s="162" t="n"/>
      <c r="CS216" s="162" t="n"/>
      <c r="CT216" s="162" t="n"/>
    </row>
    <row r="217" ht="18.75" customHeight="1">
      <c r="A217" s="175" t="n">
        <v>216</v>
      </c>
      <c r="B217" s="226" t="n">
        <v>6</v>
      </c>
      <c r="C217" s="164" t="n">
        <v>45775</v>
      </c>
      <c r="D217" s="165" t="inlineStr">
        <is>
          <t>221 G. MALAGUEÑA</t>
        </is>
      </c>
      <c r="E217" s="165" t="n">
        <v>40766</v>
      </c>
      <c r="F217" s="165" t="inlineStr">
        <is>
          <t>DIEGO NIÑO</t>
        </is>
      </c>
      <c r="G217" s="165" t="n">
        <v>3261</v>
      </c>
      <c r="H217" s="165" t="n">
        <v>3261</v>
      </c>
      <c r="I217" s="165" t="n">
        <v>3232</v>
      </c>
      <c r="J217" s="165" t="n">
        <v>4</v>
      </c>
      <c r="K217" s="165" t="n">
        <v>25</v>
      </c>
      <c r="L217" s="233" t="n">
        <v>0</v>
      </c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  <c r="AA217" s="162" t="n"/>
      <c r="AB217" s="162" t="n"/>
      <c r="AC217" s="162" t="n"/>
      <c r="AD217" s="162" t="n"/>
      <c r="AE217" s="162" t="n"/>
      <c r="AF217" s="162" t="n"/>
      <c r="AG217" s="162" t="n"/>
      <c r="AH217" s="162" t="n"/>
      <c r="AI217" s="162" t="n"/>
      <c r="AJ217" s="162" t="n"/>
      <c r="AK217" s="162" t="n"/>
      <c r="AL217" s="162" t="n"/>
      <c r="AM217" s="162" t="n"/>
      <c r="AN217" s="162" t="n"/>
      <c r="AO217" s="162" t="n"/>
      <c r="AP217" s="162" t="n"/>
      <c r="AQ217" s="162" t="n"/>
      <c r="AR217" s="162" t="n"/>
      <c r="AS217" s="162" t="n"/>
      <c r="AT217" s="162" t="n"/>
      <c r="AU217" s="162" t="n"/>
      <c r="AV217" s="162" t="n"/>
      <c r="AW217" s="162" t="n"/>
      <c r="AX217" s="162" t="n"/>
      <c r="AY217" s="162" t="n"/>
      <c r="AZ217" s="162" t="n"/>
      <c r="BA217" s="162" t="n"/>
      <c r="BB217" s="162" t="n"/>
      <c r="BC217" s="162" t="n"/>
      <c r="BD217" s="162" t="n"/>
      <c r="BE217" s="162" t="n"/>
      <c r="BF217" s="162" t="n"/>
      <c r="BG217" s="162" t="n"/>
      <c r="BH217" s="162" t="n"/>
      <c r="BI217" s="162" t="n"/>
      <c r="BJ217" s="162" t="n"/>
      <c r="BK217" s="162" t="n"/>
      <c r="BL217" s="162" t="n"/>
      <c r="BM217" s="162" t="n"/>
      <c r="BN217" s="162" t="n"/>
      <c r="BO217" s="162" t="n"/>
      <c r="BP217" s="162" t="n"/>
      <c r="BQ217" s="162" t="n"/>
      <c r="BR217" s="162" t="n"/>
      <c r="BS217" s="162" t="n"/>
      <c r="BT217" s="162" t="n"/>
      <c r="BU217" s="162" t="n"/>
      <c r="BV217" s="162" t="n"/>
      <c r="BW217" s="162" t="n"/>
      <c r="BX217" s="162" t="n"/>
      <c r="BY217" s="162" t="n"/>
      <c r="BZ217" s="162" t="n"/>
      <c r="CA217" s="162" t="n"/>
      <c r="CB217" s="162" t="n"/>
      <c r="CC217" s="162" t="n"/>
      <c r="CD217" s="162" t="n"/>
      <c r="CE217" s="162" t="n"/>
      <c r="CF217" s="162" t="n"/>
      <c r="CG217" s="162" t="n"/>
      <c r="CH217" s="162" t="n"/>
      <c r="CI217" s="162" t="n"/>
      <c r="CJ217" s="162" t="n"/>
      <c r="CK217" s="162" t="n"/>
      <c r="CL217" s="162" t="n"/>
      <c r="CM217" s="162" t="n"/>
      <c r="CN217" s="162" t="n"/>
      <c r="CO217" s="162" t="n"/>
      <c r="CP217" s="162" t="n"/>
      <c r="CQ217" s="162" t="n"/>
      <c r="CR217" s="162" t="n"/>
      <c r="CS217" s="162" t="n"/>
      <c r="CT217" s="162" t="n"/>
    </row>
    <row r="218" ht="18.75" customHeight="1">
      <c r="A218" s="175" t="n">
        <v>217</v>
      </c>
      <c r="B218" s="226" t="n">
        <v>7</v>
      </c>
      <c r="C218" s="164" t="n">
        <v>45775</v>
      </c>
      <c r="D218" s="165" t="inlineStr">
        <is>
          <t>221 G. MALAGUEÑA</t>
        </is>
      </c>
      <c r="E218" s="165" t="n">
        <v>40767</v>
      </c>
      <c r="F218" s="165" t="inlineStr">
        <is>
          <t>ALBERTO LOPEZ</t>
        </is>
      </c>
      <c r="G218" s="165" t="n">
        <v>3564</v>
      </c>
      <c r="H218" s="165" t="n">
        <v>3564</v>
      </c>
      <c r="I218" s="165" t="n">
        <v>3536</v>
      </c>
      <c r="J218" s="165" t="n">
        <v>0</v>
      </c>
      <c r="K218" s="165" t="n">
        <v>15</v>
      </c>
      <c r="L218" s="233" t="n">
        <v>13</v>
      </c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  <c r="AA218" s="162" t="n"/>
      <c r="AB218" s="162" t="n"/>
      <c r="AC218" s="162" t="n"/>
      <c r="AD218" s="162" t="n"/>
      <c r="AE218" s="162" t="n"/>
      <c r="AF218" s="162" t="n"/>
      <c r="AG218" s="162" t="n"/>
      <c r="AH218" s="162" t="n"/>
      <c r="AI218" s="162" t="n"/>
      <c r="AJ218" s="162" t="n"/>
      <c r="AK218" s="162" t="n"/>
      <c r="AL218" s="162" t="n"/>
      <c r="AM218" s="162" t="n"/>
      <c r="AN218" s="162" t="n"/>
      <c r="AO218" s="162" t="n"/>
      <c r="AP218" s="162" t="n"/>
      <c r="AQ218" s="162" t="n"/>
      <c r="AR218" s="162" t="n"/>
      <c r="AS218" s="162" t="n"/>
      <c r="AT218" s="162" t="n"/>
      <c r="AU218" s="162" t="n"/>
      <c r="AV218" s="162" t="n"/>
      <c r="AW218" s="162" t="n"/>
      <c r="AX218" s="162" t="n"/>
      <c r="AY218" s="162" t="n"/>
      <c r="AZ218" s="162" t="n"/>
      <c r="BA218" s="162" t="n"/>
      <c r="BB218" s="162" t="n"/>
      <c r="BC218" s="162" t="n"/>
      <c r="BD218" s="162" t="n"/>
      <c r="BE218" s="162" t="n"/>
      <c r="BF218" s="162" t="n"/>
      <c r="BG218" s="162" t="n"/>
      <c r="BH218" s="162" t="n"/>
      <c r="BI218" s="162" t="n"/>
      <c r="BJ218" s="162" t="n"/>
      <c r="BK218" s="162" t="n"/>
      <c r="BL218" s="162" t="n"/>
      <c r="BM218" s="162" t="n"/>
      <c r="BN218" s="162" t="n"/>
      <c r="BO218" s="162" t="n"/>
      <c r="BP218" s="162" t="n"/>
      <c r="BQ218" s="162" t="n"/>
      <c r="BR218" s="162" t="n"/>
      <c r="BS218" s="162" t="n"/>
      <c r="BT218" s="162" t="n"/>
      <c r="BU218" s="162" t="n"/>
      <c r="BV218" s="162" t="n"/>
      <c r="BW218" s="162" t="n"/>
      <c r="BX218" s="162" t="n"/>
      <c r="BY218" s="162" t="n"/>
      <c r="BZ218" s="162" t="n"/>
      <c r="CA218" s="162" t="n"/>
      <c r="CB218" s="162" t="n"/>
      <c r="CC218" s="162" t="n"/>
      <c r="CD218" s="162" t="n"/>
      <c r="CE218" s="162" t="n"/>
      <c r="CF218" s="162" t="n"/>
      <c r="CG218" s="162" t="n"/>
      <c r="CH218" s="162" t="n"/>
      <c r="CI218" s="162" t="n"/>
      <c r="CJ218" s="162" t="n"/>
      <c r="CK218" s="162" t="n"/>
      <c r="CL218" s="162" t="n"/>
      <c r="CM218" s="162" t="n"/>
      <c r="CN218" s="162" t="n"/>
      <c r="CO218" s="162" t="n"/>
      <c r="CP218" s="162" t="n"/>
      <c r="CQ218" s="162" t="n"/>
      <c r="CR218" s="162" t="n"/>
      <c r="CS218" s="162" t="n"/>
      <c r="CT218" s="162" t="n"/>
    </row>
    <row r="219" ht="18.75" customHeight="1">
      <c r="A219" s="175" t="n">
        <v>218</v>
      </c>
      <c r="B219" s="226" t="n">
        <v>8</v>
      </c>
      <c r="C219" s="164" t="n">
        <v>45775</v>
      </c>
      <c r="D219" s="165" t="inlineStr">
        <is>
          <t>219 G. SAN JOSE 2</t>
        </is>
      </c>
      <c r="E219" s="165" t="n">
        <v>40768</v>
      </c>
      <c r="F219" s="165" t="inlineStr">
        <is>
          <t>JHON AIRAS</t>
        </is>
      </c>
      <c r="G219" s="165" t="n">
        <v>2546</v>
      </c>
      <c r="H219" s="165" t="n">
        <v>2546</v>
      </c>
      <c r="I219" s="165" t="n">
        <v>2526</v>
      </c>
      <c r="J219" s="165" t="n">
        <v>3</v>
      </c>
      <c r="K219" s="165" t="n">
        <v>17</v>
      </c>
      <c r="L219" s="233" t="n">
        <v>0</v>
      </c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  <c r="AA219" s="162" t="n"/>
      <c r="AB219" s="162" t="n"/>
      <c r="AC219" s="162" t="n"/>
      <c r="AD219" s="162" t="n"/>
      <c r="AE219" s="162" t="n"/>
      <c r="AF219" s="162" t="n"/>
      <c r="AG219" s="162" t="n"/>
      <c r="AH219" s="162" t="n"/>
      <c r="AI219" s="162" t="n"/>
      <c r="AJ219" s="162" t="n"/>
      <c r="AK219" s="162" t="n"/>
      <c r="AL219" s="162" t="n"/>
      <c r="AM219" s="162" t="n"/>
      <c r="AN219" s="162" t="n"/>
      <c r="AO219" s="162" t="n"/>
      <c r="AP219" s="162" t="n"/>
      <c r="AQ219" s="162" t="n"/>
      <c r="AR219" s="162" t="n"/>
      <c r="AS219" s="162" t="n"/>
      <c r="AT219" s="162" t="n"/>
      <c r="AU219" s="162" t="n"/>
      <c r="AV219" s="162" t="n"/>
      <c r="AW219" s="162" t="n"/>
      <c r="AX219" s="162" t="n"/>
      <c r="AY219" s="162" t="n"/>
      <c r="AZ219" s="162" t="n"/>
      <c r="BA219" s="162" t="n"/>
      <c r="BB219" s="162" t="n"/>
      <c r="BC219" s="162" t="n"/>
      <c r="BD219" s="162" t="n"/>
      <c r="BE219" s="162" t="n"/>
      <c r="BF219" s="162" t="n"/>
      <c r="BG219" s="162" t="n"/>
      <c r="BH219" s="162" t="n"/>
      <c r="BI219" s="162" t="n"/>
      <c r="BJ219" s="162" t="n"/>
      <c r="BK219" s="162" t="n"/>
      <c r="BL219" s="162" t="n"/>
      <c r="BM219" s="162" t="n"/>
      <c r="BN219" s="162" t="n"/>
      <c r="BO219" s="162" t="n"/>
      <c r="BP219" s="162" t="n"/>
      <c r="BQ219" s="162" t="n"/>
      <c r="BR219" s="162" t="n"/>
      <c r="BS219" s="162" t="n"/>
      <c r="BT219" s="162" t="n"/>
      <c r="BU219" s="162" t="n"/>
      <c r="BV219" s="162" t="n"/>
      <c r="BW219" s="162" t="n"/>
      <c r="BX219" s="162" t="n"/>
      <c r="BY219" s="162" t="n"/>
      <c r="BZ219" s="162" t="n"/>
      <c r="CA219" s="162" t="n"/>
      <c r="CB219" s="162" t="n"/>
      <c r="CC219" s="162" t="n"/>
      <c r="CD219" s="162" t="n"/>
      <c r="CE219" s="162" t="n"/>
      <c r="CF219" s="162" t="n"/>
      <c r="CG219" s="162" t="n"/>
      <c r="CH219" s="162" t="n"/>
      <c r="CI219" s="162" t="n"/>
      <c r="CJ219" s="162" t="n"/>
      <c r="CK219" s="162" t="n"/>
      <c r="CL219" s="162" t="n"/>
      <c r="CM219" s="162" t="n"/>
      <c r="CN219" s="162" t="n"/>
      <c r="CO219" s="162" t="n"/>
      <c r="CP219" s="162" t="n"/>
      <c r="CQ219" s="162" t="n"/>
      <c r="CR219" s="162" t="n"/>
      <c r="CS219" s="162" t="n"/>
      <c r="CT219" s="162" t="n"/>
    </row>
    <row r="220" ht="18.75" customHeight="1">
      <c r="A220" s="175" t="n">
        <v>219</v>
      </c>
      <c r="B220" s="226" t="n">
        <v>9</v>
      </c>
      <c r="C220" s="164" t="n">
        <v>45775</v>
      </c>
      <c r="D220" s="165" t="inlineStr">
        <is>
          <t>219 G. SAN JOSE 2</t>
        </is>
      </c>
      <c r="E220" s="165" t="n">
        <v>40769</v>
      </c>
      <c r="F220" s="165" t="inlineStr">
        <is>
          <t>ALBERTO HERRERA</t>
        </is>
      </c>
      <c r="G220" s="165" t="n">
        <v>2546</v>
      </c>
      <c r="H220" s="165" t="n">
        <v>2546</v>
      </c>
      <c r="I220" s="165" t="n">
        <v>2539</v>
      </c>
      <c r="J220" s="165" t="n">
        <v>2</v>
      </c>
      <c r="K220" s="165" t="n">
        <v>5</v>
      </c>
      <c r="L220" s="233" t="n">
        <v>0</v>
      </c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  <c r="AA220" s="162" t="n"/>
      <c r="AB220" s="162" t="n"/>
      <c r="AC220" s="162" t="n"/>
      <c r="AD220" s="162" t="n"/>
      <c r="AE220" s="162" t="n"/>
      <c r="AF220" s="162" t="n"/>
      <c r="AG220" s="162" t="n"/>
      <c r="AH220" s="162" t="n"/>
      <c r="AI220" s="162" t="n"/>
      <c r="AJ220" s="162" t="n"/>
      <c r="AK220" s="162" t="n"/>
      <c r="AL220" s="162" t="n"/>
      <c r="AM220" s="162" t="n"/>
      <c r="AN220" s="162" t="n"/>
      <c r="AO220" s="162" t="n"/>
      <c r="AP220" s="162" t="n"/>
      <c r="AQ220" s="162" t="n"/>
      <c r="AR220" s="162" t="n"/>
      <c r="AS220" s="162" t="n"/>
      <c r="AT220" s="162" t="n"/>
      <c r="AU220" s="162" t="n"/>
      <c r="AV220" s="162" t="n"/>
      <c r="AW220" s="162" t="n"/>
      <c r="AX220" s="162" t="n"/>
      <c r="AY220" s="162" t="n"/>
      <c r="AZ220" s="162" t="n"/>
      <c r="BA220" s="162" t="n"/>
      <c r="BB220" s="162" t="n"/>
      <c r="BC220" s="162" t="n"/>
      <c r="BD220" s="162" t="n"/>
      <c r="BE220" s="162" t="n"/>
      <c r="BF220" s="162" t="n"/>
      <c r="BG220" s="162" t="n"/>
      <c r="BH220" s="162" t="n"/>
      <c r="BI220" s="162" t="n"/>
      <c r="BJ220" s="162" t="n"/>
      <c r="BK220" s="162" t="n"/>
      <c r="BL220" s="162" t="n"/>
      <c r="BM220" s="162" t="n"/>
      <c r="BN220" s="162" t="n"/>
      <c r="BO220" s="162" t="n"/>
      <c r="BP220" s="162" t="n"/>
      <c r="BQ220" s="162" t="n"/>
      <c r="BR220" s="162" t="n"/>
      <c r="BS220" s="162" t="n"/>
      <c r="BT220" s="162" t="n"/>
      <c r="BU220" s="162" t="n"/>
      <c r="BV220" s="162" t="n"/>
      <c r="BW220" s="162" t="n"/>
      <c r="BX220" s="162" t="n"/>
      <c r="BY220" s="162" t="n"/>
      <c r="BZ220" s="162" t="n"/>
      <c r="CA220" s="162" t="n"/>
      <c r="CB220" s="162" t="n"/>
      <c r="CC220" s="162" t="n"/>
      <c r="CD220" s="162" t="n"/>
      <c r="CE220" s="162" t="n"/>
      <c r="CF220" s="162" t="n"/>
      <c r="CG220" s="162" t="n"/>
      <c r="CH220" s="162" t="n"/>
      <c r="CI220" s="162" t="n"/>
      <c r="CJ220" s="162" t="n"/>
      <c r="CK220" s="162" t="n"/>
      <c r="CL220" s="162" t="n"/>
      <c r="CM220" s="162" t="n"/>
      <c r="CN220" s="162" t="n"/>
      <c r="CO220" s="162" t="n"/>
      <c r="CP220" s="162" t="n"/>
      <c r="CQ220" s="162" t="n"/>
      <c r="CR220" s="162" t="n"/>
      <c r="CS220" s="162" t="n"/>
      <c r="CT220" s="162" t="n"/>
    </row>
    <row r="221" ht="18.75" customHeight="1">
      <c r="A221" s="175" t="n">
        <v>220</v>
      </c>
      <c r="B221" s="226" t="n">
        <v>10</v>
      </c>
      <c r="C221" s="164" t="n">
        <v>45775</v>
      </c>
      <c r="D221" s="165" t="inlineStr">
        <is>
          <t>221 G. MALAGUEÑA</t>
        </is>
      </c>
      <c r="E221" s="165" t="n">
        <v>40770</v>
      </c>
      <c r="F221" s="165" t="inlineStr">
        <is>
          <t>FERNANDO OYUELA</t>
        </is>
      </c>
      <c r="G221" s="165" t="n">
        <v>3256</v>
      </c>
      <c r="H221" s="165" t="n">
        <v>3256</v>
      </c>
      <c r="I221" s="165" t="n">
        <v>3250</v>
      </c>
      <c r="J221" s="165" t="n">
        <v>7</v>
      </c>
      <c r="K221" s="165" t="n">
        <v>27</v>
      </c>
      <c r="L221" s="233" t="n">
        <v>-28</v>
      </c>
      <c r="M221" s="162" t="inlineStr">
        <is>
          <t>ok</t>
        </is>
      </c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  <c r="AA221" s="162" t="n"/>
      <c r="AB221" s="162" t="n"/>
      <c r="AC221" s="162" t="n"/>
      <c r="AD221" s="162" t="n"/>
      <c r="AE221" s="162" t="n"/>
      <c r="AF221" s="162" t="n"/>
      <c r="AG221" s="162" t="n"/>
      <c r="AH221" s="162" t="n"/>
      <c r="AI221" s="162" t="n"/>
      <c r="AJ221" s="162" t="n"/>
      <c r="AK221" s="162" t="n"/>
      <c r="AL221" s="162" t="n"/>
      <c r="AM221" s="162" t="n"/>
      <c r="AN221" s="162" t="n"/>
      <c r="AO221" s="162" t="n"/>
      <c r="AP221" s="162" t="n"/>
      <c r="AQ221" s="162" t="n"/>
      <c r="AR221" s="162" t="n"/>
      <c r="AS221" s="162" t="n"/>
      <c r="AT221" s="162" t="n"/>
      <c r="AU221" s="162" t="n"/>
      <c r="AV221" s="162" t="n"/>
      <c r="AW221" s="162" t="n"/>
      <c r="AX221" s="162" t="n"/>
      <c r="AY221" s="162" t="n"/>
      <c r="AZ221" s="162" t="n"/>
      <c r="BA221" s="162" t="n"/>
      <c r="BB221" s="162" t="n"/>
      <c r="BC221" s="162" t="n"/>
      <c r="BD221" s="162" t="n"/>
      <c r="BE221" s="162" t="n"/>
      <c r="BF221" s="162" t="n"/>
      <c r="BG221" s="162" t="n"/>
      <c r="BH221" s="162" t="n"/>
      <c r="BI221" s="162" t="n"/>
      <c r="BJ221" s="162" t="n"/>
      <c r="BK221" s="162" t="n"/>
      <c r="BL221" s="162" t="n"/>
      <c r="BM221" s="162" t="n"/>
      <c r="BN221" s="162" t="n"/>
      <c r="BO221" s="162" t="n"/>
      <c r="BP221" s="162" t="n"/>
      <c r="BQ221" s="162" t="n"/>
      <c r="BR221" s="162" t="n"/>
      <c r="BS221" s="162" t="n"/>
      <c r="BT221" s="162" t="n"/>
      <c r="BU221" s="162" t="n"/>
      <c r="BV221" s="162" t="n"/>
      <c r="BW221" s="162" t="n"/>
      <c r="BX221" s="162" t="n"/>
      <c r="BY221" s="162" t="n"/>
      <c r="BZ221" s="162" t="n"/>
      <c r="CA221" s="162" t="n"/>
      <c r="CB221" s="162" t="n"/>
      <c r="CC221" s="162" t="n"/>
      <c r="CD221" s="162" t="n"/>
      <c r="CE221" s="162" t="n"/>
      <c r="CF221" s="162" t="n"/>
      <c r="CG221" s="162" t="n"/>
      <c r="CH221" s="162" t="n"/>
      <c r="CI221" s="162" t="n"/>
      <c r="CJ221" s="162" t="n"/>
      <c r="CK221" s="162" t="n"/>
      <c r="CL221" s="162" t="n"/>
      <c r="CM221" s="162" t="n"/>
      <c r="CN221" s="162" t="n"/>
      <c r="CO221" s="162" t="n"/>
      <c r="CP221" s="162" t="n"/>
      <c r="CQ221" s="162" t="n"/>
      <c r="CR221" s="162" t="n"/>
      <c r="CS221" s="162" t="n"/>
      <c r="CT221" s="162" t="n"/>
    </row>
    <row r="222" ht="15" customHeight="1">
      <c r="A222" s="175" t="n">
        <v>221</v>
      </c>
      <c r="B222" s="226" t="n">
        <v>11</v>
      </c>
      <c r="C222" s="164" t="n">
        <v>45776</v>
      </c>
      <c r="D222" s="166" t="inlineStr">
        <is>
          <t>219 G. SAN JOSE 2</t>
        </is>
      </c>
      <c r="E222" s="166" t="n">
        <v>40778</v>
      </c>
      <c r="F222" s="166" t="inlineStr">
        <is>
          <t>DUMAR ANGARITA</t>
        </is>
      </c>
      <c r="G222" s="166" t="n">
        <v>3170</v>
      </c>
      <c r="H222" s="166" t="n">
        <v>3170</v>
      </c>
      <c r="I222" s="166" t="n">
        <v>3156</v>
      </c>
      <c r="J222" s="166" t="n">
        <v>5</v>
      </c>
      <c r="K222" s="166" t="n">
        <v>19</v>
      </c>
      <c r="L222" s="234" t="n">
        <v>-10</v>
      </c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  <c r="AA222" s="162" t="n"/>
      <c r="AB222" s="162" t="n"/>
      <c r="AC222" s="162" t="n"/>
      <c r="AD222" s="162" t="n"/>
      <c r="AE222" s="162" t="n"/>
      <c r="AF222" s="162" t="n"/>
      <c r="AG222" s="162" t="n"/>
      <c r="AH222" s="162" t="n"/>
      <c r="AI222" s="162" t="n"/>
      <c r="AJ222" s="162" t="n"/>
      <c r="AK222" s="162" t="n"/>
      <c r="AL222" s="162" t="n"/>
      <c r="AM222" s="162" t="n"/>
      <c r="AN222" s="162" t="n"/>
      <c r="AO222" s="162" t="n"/>
      <c r="AP222" s="162" t="n"/>
      <c r="AQ222" s="162" t="n"/>
      <c r="AR222" s="162" t="n"/>
      <c r="AS222" s="162" t="n"/>
      <c r="AT222" s="162" t="n"/>
      <c r="AU222" s="162" t="n"/>
      <c r="AV222" s="162" t="n"/>
      <c r="AW222" s="162" t="n"/>
      <c r="AX222" s="162" t="n"/>
      <c r="AY222" s="162" t="n"/>
      <c r="AZ222" s="162" t="n"/>
      <c r="BA222" s="162" t="n"/>
      <c r="BB222" s="162" t="n"/>
      <c r="BC222" s="162" t="n"/>
      <c r="BD222" s="162" t="n"/>
      <c r="BE222" s="162" t="n"/>
      <c r="BF222" s="162" t="n"/>
      <c r="BG222" s="162" t="n"/>
      <c r="BH222" s="162" t="n"/>
      <c r="BI222" s="162" t="n"/>
      <c r="BJ222" s="162" t="n"/>
      <c r="BK222" s="162" t="n"/>
      <c r="BL222" s="162" t="n"/>
      <c r="BM222" s="162" t="n"/>
      <c r="BN222" s="162" t="n"/>
      <c r="BO222" s="162" t="n"/>
      <c r="BP222" s="162" t="n"/>
      <c r="BQ222" s="162" t="n"/>
      <c r="BR222" s="162" t="n"/>
      <c r="BS222" s="162" t="n"/>
      <c r="BT222" s="162" t="n"/>
      <c r="BU222" s="162" t="n"/>
      <c r="BV222" s="162" t="n"/>
      <c r="BW222" s="162" t="n"/>
      <c r="BX222" s="162" t="n"/>
      <c r="BY222" s="162" t="n"/>
      <c r="BZ222" s="162" t="n"/>
      <c r="CA222" s="162" t="n"/>
      <c r="CB222" s="162" t="n"/>
      <c r="CC222" s="162" t="n"/>
      <c r="CD222" s="162" t="n"/>
      <c r="CE222" s="162" t="n"/>
      <c r="CF222" s="162" t="n"/>
      <c r="CG222" s="162" t="n"/>
      <c r="CH222" s="162" t="n"/>
      <c r="CI222" s="162" t="n"/>
      <c r="CJ222" s="162" t="n"/>
      <c r="CK222" s="162" t="n"/>
      <c r="CL222" s="162" t="n"/>
      <c r="CM222" s="162" t="n"/>
      <c r="CN222" s="162" t="n"/>
      <c r="CO222" s="162" t="n"/>
      <c r="CP222" s="162" t="n"/>
      <c r="CQ222" s="162" t="n"/>
      <c r="CR222" s="162" t="n"/>
      <c r="CS222" s="162" t="n"/>
      <c r="CT222" s="162" t="n"/>
    </row>
    <row r="223" ht="15" customHeight="1">
      <c r="A223" s="175" t="n">
        <v>222</v>
      </c>
      <c r="B223" s="226" t="n">
        <v>12</v>
      </c>
      <c r="C223" s="164" t="n">
        <v>45776</v>
      </c>
      <c r="D223" s="166" t="inlineStr">
        <is>
          <t>219 G. SAN JOSE 2</t>
        </is>
      </c>
      <c r="E223" s="166" t="n">
        <v>40779</v>
      </c>
      <c r="F223" s="166" t="inlineStr">
        <is>
          <t>JAIRO CUBILLOS</t>
        </is>
      </c>
      <c r="G223" s="166" t="n">
        <v>3170</v>
      </c>
      <c r="H223" s="166" t="n">
        <v>3170</v>
      </c>
      <c r="I223" s="166" t="n">
        <v>3155</v>
      </c>
      <c r="J223" s="166" t="n">
        <v>6</v>
      </c>
      <c r="K223" s="166" t="n">
        <v>20</v>
      </c>
      <c r="L223" s="234" t="n">
        <v>-11</v>
      </c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  <c r="AA223" s="162" t="n"/>
      <c r="AB223" s="162" t="n"/>
      <c r="AC223" s="162" t="n"/>
      <c r="AD223" s="162" t="n"/>
      <c r="AE223" s="162" t="n"/>
      <c r="AF223" s="162" t="n"/>
      <c r="AG223" s="162" t="n"/>
      <c r="AH223" s="162" t="n"/>
      <c r="AI223" s="162" t="n"/>
      <c r="AJ223" s="162" t="n"/>
      <c r="AK223" s="162" t="n"/>
      <c r="AL223" s="162" t="n"/>
      <c r="AM223" s="162" t="n"/>
      <c r="AN223" s="162" t="n"/>
      <c r="AO223" s="162" t="n"/>
      <c r="AP223" s="162" t="n"/>
      <c r="AQ223" s="162" t="n"/>
      <c r="AR223" s="162" t="n"/>
      <c r="AS223" s="162" t="n"/>
      <c r="AT223" s="162" t="n"/>
      <c r="AU223" s="162" t="n"/>
      <c r="AV223" s="162" t="n"/>
      <c r="AW223" s="162" t="n"/>
      <c r="AX223" s="162" t="n"/>
      <c r="AY223" s="162" t="n"/>
      <c r="AZ223" s="162" t="n"/>
      <c r="BA223" s="162" t="n"/>
      <c r="BB223" s="162" t="n"/>
      <c r="BC223" s="162" t="n"/>
      <c r="BD223" s="162" t="n"/>
      <c r="BE223" s="162" t="n"/>
      <c r="BF223" s="162" t="n"/>
      <c r="BG223" s="162" t="n"/>
      <c r="BH223" s="162" t="n"/>
      <c r="BI223" s="162" t="n"/>
      <c r="BJ223" s="162" t="n"/>
      <c r="BK223" s="162" t="n"/>
      <c r="BL223" s="162" t="n"/>
      <c r="BM223" s="162" t="n"/>
      <c r="BN223" s="162" t="n"/>
      <c r="BO223" s="162" t="n"/>
      <c r="BP223" s="162" t="n"/>
      <c r="BQ223" s="162" t="n"/>
      <c r="BR223" s="162" t="n"/>
      <c r="BS223" s="162" t="n"/>
      <c r="BT223" s="162" t="n"/>
      <c r="BU223" s="162" t="n"/>
      <c r="BV223" s="162" t="n"/>
      <c r="BW223" s="162" t="n"/>
      <c r="BX223" s="162" t="n"/>
      <c r="BY223" s="162" t="n"/>
      <c r="BZ223" s="162" t="n"/>
      <c r="CA223" s="162" t="n"/>
      <c r="CB223" s="162" t="n"/>
      <c r="CC223" s="162" t="n"/>
      <c r="CD223" s="162" t="n"/>
      <c r="CE223" s="162" t="n"/>
      <c r="CF223" s="162" t="n"/>
      <c r="CG223" s="162" t="n"/>
      <c r="CH223" s="162" t="n"/>
      <c r="CI223" s="162" t="n"/>
      <c r="CJ223" s="162" t="n"/>
      <c r="CK223" s="162" t="n"/>
      <c r="CL223" s="162" t="n"/>
      <c r="CM223" s="162" t="n"/>
      <c r="CN223" s="162" t="n"/>
      <c r="CO223" s="162" t="n"/>
      <c r="CP223" s="162" t="n"/>
      <c r="CQ223" s="162" t="n"/>
      <c r="CR223" s="162" t="n"/>
      <c r="CS223" s="162" t="n"/>
      <c r="CT223" s="162" t="n"/>
    </row>
    <row r="224" ht="15" customHeight="1">
      <c r="A224" s="175" t="n">
        <v>223</v>
      </c>
      <c r="B224" s="226" t="n">
        <v>13</v>
      </c>
      <c r="C224" s="164" t="n">
        <v>45776</v>
      </c>
      <c r="D224" s="166" t="inlineStr">
        <is>
          <t>219 G. SAN JOSE 2</t>
        </is>
      </c>
      <c r="E224" s="166" t="n">
        <v>40780</v>
      </c>
      <c r="F224" s="166" t="inlineStr">
        <is>
          <t>ALBERTO LOPEZ</t>
        </is>
      </c>
      <c r="G224" s="166" t="n">
        <v>3044</v>
      </c>
      <c r="H224" s="166" t="n">
        <v>3044</v>
      </c>
      <c r="I224" s="166" t="n">
        <v>3042</v>
      </c>
      <c r="J224" s="166" t="n">
        <v>10</v>
      </c>
      <c r="K224" s="166" t="n">
        <v>7</v>
      </c>
      <c r="L224" s="234" t="n">
        <v>-15</v>
      </c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  <c r="AA224" s="162" t="n"/>
      <c r="AB224" s="162" t="n"/>
      <c r="AC224" s="162" t="n"/>
      <c r="AD224" s="162" t="n"/>
      <c r="AE224" s="162" t="n"/>
      <c r="AF224" s="162" t="n"/>
      <c r="AG224" s="162" t="n"/>
      <c r="AH224" s="162" t="n"/>
      <c r="AI224" s="162" t="n"/>
      <c r="AJ224" s="162" t="n"/>
      <c r="AK224" s="162" t="n"/>
      <c r="AL224" s="162" t="n"/>
      <c r="AM224" s="162" t="n"/>
      <c r="AN224" s="162" t="n"/>
      <c r="AO224" s="162" t="n"/>
      <c r="AP224" s="162" t="n"/>
      <c r="AQ224" s="162" t="n"/>
      <c r="AR224" s="162" t="n"/>
      <c r="AS224" s="162" t="n"/>
      <c r="AT224" s="162" t="n"/>
      <c r="AU224" s="162" t="n"/>
      <c r="AV224" s="162" t="n"/>
      <c r="AW224" s="162" t="n"/>
      <c r="AX224" s="162" t="n"/>
      <c r="AY224" s="162" t="n"/>
      <c r="AZ224" s="162" t="n"/>
      <c r="BA224" s="162" t="n"/>
      <c r="BB224" s="162" t="n"/>
      <c r="BC224" s="162" t="n"/>
      <c r="BD224" s="162" t="n"/>
      <c r="BE224" s="162" t="n"/>
      <c r="BF224" s="162" t="n"/>
      <c r="BG224" s="162" t="n"/>
      <c r="BH224" s="162" t="n"/>
      <c r="BI224" s="162" t="n"/>
      <c r="BJ224" s="162" t="n"/>
      <c r="BK224" s="162" t="n"/>
      <c r="BL224" s="162" t="n"/>
      <c r="BM224" s="162" t="n"/>
      <c r="BN224" s="162" t="n"/>
      <c r="BO224" s="162" t="n"/>
      <c r="BP224" s="162" t="n"/>
      <c r="BQ224" s="162" t="n"/>
      <c r="BR224" s="162" t="n"/>
      <c r="BS224" s="162" t="n"/>
      <c r="BT224" s="162" t="n"/>
      <c r="BU224" s="162" t="n"/>
      <c r="BV224" s="162" t="n"/>
      <c r="BW224" s="162" t="n"/>
      <c r="BX224" s="162" t="n"/>
      <c r="BY224" s="162" t="n"/>
      <c r="BZ224" s="162" t="n"/>
      <c r="CA224" s="162" t="n"/>
      <c r="CB224" s="162" t="n"/>
      <c r="CC224" s="162" t="n"/>
      <c r="CD224" s="162" t="n"/>
      <c r="CE224" s="162" t="n"/>
      <c r="CF224" s="162" t="n"/>
      <c r="CG224" s="162" t="n"/>
      <c r="CH224" s="162" t="n"/>
      <c r="CI224" s="162" t="n"/>
      <c r="CJ224" s="162" t="n"/>
      <c r="CK224" s="162" t="n"/>
      <c r="CL224" s="162" t="n"/>
      <c r="CM224" s="162" t="n"/>
      <c r="CN224" s="162" t="n"/>
      <c r="CO224" s="162" t="n"/>
      <c r="CP224" s="162" t="n"/>
      <c r="CQ224" s="162" t="n"/>
      <c r="CR224" s="162" t="n"/>
      <c r="CS224" s="162" t="n"/>
      <c r="CT224" s="162" t="n"/>
    </row>
    <row r="225" ht="15" customHeight="1">
      <c r="A225" s="175" t="n">
        <v>224</v>
      </c>
      <c r="B225" s="226" t="n">
        <v>14</v>
      </c>
      <c r="C225" s="164" t="n">
        <v>45776</v>
      </c>
      <c r="D225" s="166" t="inlineStr">
        <is>
          <t>219 G. SAN JOSE 2</t>
        </is>
      </c>
      <c r="E225" s="166" t="n">
        <v>40781</v>
      </c>
      <c r="F225" s="166" t="inlineStr">
        <is>
          <t>ALEX GOMEZ</t>
        </is>
      </c>
      <c r="G225" s="166" t="n">
        <v>3044</v>
      </c>
      <c r="H225" s="166" t="n">
        <v>3044</v>
      </c>
      <c r="I225" s="166" t="n">
        <v>3039</v>
      </c>
      <c r="J225" s="166" t="n">
        <v>4</v>
      </c>
      <c r="K225" s="166" t="n">
        <v>9</v>
      </c>
      <c r="L225" s="234" t="n">
        <v>-8</v>
      </c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  <c r="AA225" s="162" t="n"/>
      <c r="AB225" s="162" t="n"/>
      <c r="AC225" s="162" t="n"/>
      <c r="AD225" s="162" t="n"/>
      <c r="AE225" s="162" t="n"/>
      <c r="AF225" s="162" t="n"/>
      <c r="AG225" s="162" t="n"/>
      <c r="AH225" s="162" t="n"/>
      <c r="AI225" s="162" t="n"/>
      <c r="AJ225" s="162" t="n"/>
      <c r="AK225" s="162" t="n"/>
      <c r="AL225" s="162" t="n"/>
      <c r="AM225" s="162" t="n"/>
      <c r="AN225" s="162" t="n"/>
      <c r="AO225" s="162" t="n"/>
      <c r="AP225" s="162" t="n"/>
      <c r="AQ225" s="162" t="n"/>
      <c r="AR225" s="162" t="n"/>
      <c r="AS225" s="162" t="n"/>
      <c r="AT225" s="162" t="n"/>
      <c r="AU225" s="162" t="n"/>
      <c r="AV225" s="162" t="n"/>
      <c r="AW225" s="162" t="n"/>
      <c r="AX225" s="162" t="n"/>
      <c r="AY225" s="162" t="n"/>
      <c r="AZ225" s="162" t="n"/>
      <c r="BA225" s="162" t="n"/>
      <c r="BB225" s="162" t="n"/>
      <c r="BC225" s="162" t="n"/>
      <c r="BD225" s="162" t="n"/>
      <c r="BE225" s="162" t="n"/>
      <c r="BF225" s="162" t="n"/>
      <c r="BG225" s="162" t="n"/>
      <c r="BH225" s="162" t="n"/>
      <c r="BI225" s="162" t="n"/>
      <c r="BJ225" s="162" t="n"/>
      <c r="BK225" s="162" t="n"/>
      <c r="BL225" s="162" t="n"/>
      <c r="BM225" s="162" t="n"/>
      <c r="BN225" s="162" t="n"/>
      <c r="BO225" s="162" t="n"/>
      <c r="BP225" s="162" t="n"/>
      <c r="BQ225" s="162" t="n"/>
      <c r="BR225" s="162" t="n"/>
      <c r="BS225" s="162" t="n"/>
      <c r="BT225" s="162" t="n"/>
      <c r="BU225" s="162" t="n"/>
      <c r="BV225" s="162" t="n"/>
      <c r="BW225" s="162" t="n"/>
      <c r="BX225" s="162" t="n"/>
      <c r="BY225" s="162" t="n"/>
      <c r="BZ225" s="162" t="n"/>
      <c r="CA225" s="162" t="n"/>
      <c r="CB225" s="162" t="n"/>
      <c r="CC225" s="162" t="n"/>
      <c r="CD225" s="162" t="n"/>
      <c r="CE225" s="162" t="n"/>
      <c r="CF225" s="162" t="n"/>
      <c r="CG225" s="162" t="n"/>
      <c r="CH225" s="162" t="n"/>
      <c r="CI225" s="162" t="n"/>
      <c r="CJ225" s="162" t="n"/>
      <c r="CK225" s="162" t="n"/>
      <c r="CL225" s="162" t="n"/>
      <c r="CM225" s="162" t="n"/>
      <c r="CN225" s="162" t="n"/>
      <c r="CO225" s="162" t="n"/>
      <c r="CP225" s="162" t="n"/>
      <c r="CQ225" s="162" t="n"/>
      <c r="CR225" s="162" t="n"/>
      <c r="CS225" s="162" t="n"/>
      <c r="CT225" s="162" t="n"/>
    </row>
    <row r="226" ht="15" customHeight="1">
      <c r="A226" s="175" t="n">
        <v>225</v>
      </c>
      <c r="B226" s="226" t="n">
        <v>15</v>
      </c>
      <c r="C226" s="164" t="n">
        <v>45776</v>
      </c>
      <c r="D226" s="166" t="inlineStr">
        <is>
          <t>219 G. SAN JOSE 2</t>
        </is>
      </c>
      <c r="E226" s="166" t="n">
        <v>40782</v>
      </c>
      <c r="F226" s="166" t="inlineStr">
        <is>
          <t>JHON ARIAS</t>
        </is>
      </c>
      <c r="G226" s="166" t="n">
        <v>3170</v>
      </c>
      <c r="H226" s="166" t="n">
        <v>3170</v>
      </c>
      <c r="I226" s="166" t="n">
        <v>3166</v>
      </c>
      <c r="J226" s="166" t="n">
        <v>4</v>
      </c>
      <c r="K226" s="166" t="n">
        <v>10</v>
      </c>
      <c r="L226" s="234" t="n">
        <v>-10</v>
      </c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  <c r="AA226" s="162" t="n"/>
      <c r="AB226" s="162" t="n"/>
      <c r="AC226" s="162" t="n"/>
      <c r="AD226" s="162" t="n"/>
      <c r="AE226" s="162" t="n"/>
      <c r="AF226" s="162" t="n"/>
      <c r="AG226" s="162" t="n"/>
      <c r="AH226" s="162" t="n"/>
      <c r="AI226" s="162" t="n"/>
      <c r="AJ226" s="162" t="n"/>
      <c r="AK226" s="162" t="n"/>
      <c r="AL226" s="162" t="n"/>
      <c r="AM226" s="162" t="n"/>
      <c r="AN226" s="162" t="n"/>
      <c r="AO226" s="162" t="n"/>
      <c r="AP226" s="162" t="n"/>
      <c r="AQ226" s="162" t="n"/>
      <c r="AR226" s="162" t="n"/>
      <c r="AS226" s="162" t="n"/>
      <c r="AT226" s="162" t="n"/>
      <c r="AU226" s="162" t="n"/>
      <c r="AV226" s="162" t="n"/>
      <c r="AW226" s="162" t="n"/>
      <c r="AX226" s="162" t="n"/>
      <c r="AY226" s="162" t="n"/>
      <c r="AZ226" s="162" t="n"/>
      <c r="BA226" s="162" t="n"/>
      <c r="BB226" s="162" t="n"/>
      <c r="BC226" s="162" t="n"/>
      <c r="BD226" s="162" t="n"/>
      <c r="BE226" s="162" t="n"/>
      <c r="BF226" s="162" t="n"/>
      <c r="BG226" s="162" t="n"/>
      <c r="BH226" s="162" t="n"/>
      <c r="BI226" s="162" t="n"/>
      <c r="BJ226" s="162" t="n"/>
      <c r="BK226" s="162" t="n"/>
      <c r="BL226" s="162" t="n"/>
      <c r="BM226" s="162" t="n"/>
      <c r="BN226" s="162" t="n"/>
      <c r="BO226" s="162" t="n"/>
      <c r="BP226" s="162" t="n"/>
      <c r="BQ226" s="162" t="n"/>
      <c r="BR226" s="162" t="n"/>
      <c r="BS226" s="162" t="n"/>
      <c r="BT226" s="162" t="n"/>
      <c r="BU226" s="162" t="n"/>
      <c r="BV226" s="162" t="n"/>
      <c r="BW226" s="162" t="n"/>
      <c r="BX226" s="162" t="n"/>
      <c r="BY226" s="162" t="n"/>
      <c r="BZ226" s="162" t="n"/>
      <c r="CA226" s="162" t="n"/>
      <c r="CB226" s="162" t="n"/>
      <c r="CC226" s="162" t="n"/>
      <c r="CD226" s="162" t="n"/>
      <c r="CE226" s="162" t="n"/>
      <c r="CF226" s="162" t="n"/>
      <c r="CG226" s="162" t="n"/>
      <c r="CH226" s="162" t="n"/>
      <c r="CI226" s="162" t="n"/>
      <c r="CJ226" s="162" t="n"/>
      <c r="CK226" s="162" t="n"/>
      <c r="CL226" s="162" t="n"/>
      <c r="CM226" s="162" t="n"/>
      <c r="CN226" s="162" t="n"/>
      <c r="CO226" s="162" t="n"/>
      <c r="CP226" s="162" t="n"/>
      <c r="CQ226" s="162" t="n"/>
      <c r="CR226" s="162" t="n"/>
      <c r="CS226" s="162" t="n"/>
      <c r="CT226" s="162" t="n"/>
    </row>
    <row r="227" ht="15" customHeight="1">
      <c r="A227" s="175" t="n">
        <v>226</v>
      </c>
      <c r="B227" s="226" t="n">
        <v>16</v>
      </c>
      <c r="C227" s="164" t="n">
        <v>45776</v>
      </c>
      <c r="D227" s="166" t="inlineStr">
        <is>
          <t>219 G. SAN JOSE 2</t>
        </is>
      </c>
      <c r="E227" s="166" t="n">
        <v>40783</v>
      </c>
      <c r="F227" s="166" t="inlineStr">
        <is>
          <t>DIEGO NIÑO</t>
        </is>
      </c>
      <c r="G227" s="166" t="n">
        <v>3170</v>
      </c>
      <c r="H227" s="166" t="n">
        <v>3170</v>
      </c>
      <c r="I227" s="166" t="n">
        <v>3165</v>
      </c>
      <c r="J227" s="166" t="n">
        <v>4</v>
      </c>
      <c r="K227" s="166" t="n">
        <v>12</v>
      </c>
      <c r="L227" s="234" t="n">
        <v>-11</v>
      </c>
      <c r="M227" s="190" t="n"/>
      <c r="N227" s="190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  <c r="AA227" s="162" t="n"/>
      <c r="AB227" s="162" t="n"/>
      <c r="AC227" s="162" t="n"/>
      <c r="AD227" s="162" t="n"/>
      <c r="AE227" s="162" t="n"/>
      <c r="AF227" s="162" t="n"/>
      <c r="AG227" s="162" t="n"/>
      <c r="AH227" s="162" t="n"/>
      <c r="AI227" s="162" t="n"/>
      <c r="AJ227" s="162" t="n"/>
      <c r="AK227" s="162" t="n"/>
      <c r="AL227" s="162" t="n"/>
      <c r="AM227" s="162" t="n"/>
      <c r="AN227" s="162" t="n"/>
      <c r="AO227" s="162" t="n"/>
      <c r="AP227" s="162" t="n"/>
      <c r="AQ227" s="162" t="n"/>
      <c r="AR227" s="162" t="n"/>
      <c r="AS227" s="162" t="n"/>
      <c r="AT227" s="162" t="n"/>
      <c r="AU227" s="162" t="n"/>
      <c r="AV227" s="162" t="n"/>
      <c r="AW227" s="162" t="n"/>
      <c r="AX227" s="162" t="n"/>
      <c r="AY227" s="162" t="n"/>
      <c r="AZ227" s="162" t="n"/>
      <c r="BA227" s="162" t="n"/>
      <c r="BB227" s="162" t="n"/>
      <c r="BC227" s="162" t="n"/>
      <c r="BD227" s="162" t="n"/>
      <c r="BE227" s="162" t="n"/>
      <c r="BF227" s="162" t="n"/>
      <c r="BG227" s="162" t="n"/>
      <c r="BH227" s="162" t="n"/>
      <c r="BI227" s="162" t="n"/>
      <c r="BJ227" s="162" t="n"/>
      <c r="BK227" s="162" t="n"/>
      <c r="BL227" s="162" t="n"/>
      <c r="BM227" s="162" t="n"/>
      <c r="BN227" s="162" t="n"/>
      <c r="BO227" s="162" t="n"/>
      <c r="BP227" s="162" t="n"/>
      <c r="BQ227" s="162" t="n"/>
      <c r="BR227" s="162" t="n"/>
      <c r="BS227" s="162" t="n"/>
      <c r="BT227" s="162" t="n"/>
      <c r="BU227" s="162" t="n"/>
      <c r="BV227" s="162" t="n"/>
      <c r="BW227" s="162" t="n"/>
      <c r="BX227" s="162" t="n"/>
      <c r="BY227" s="162" t="n"/>
      <c r="BZ227" s="162" t="n"/>
      <c r="CA227" s="162" t="n"/>
      <c r="CB227" s="162" t="n"/>
      <c r="CC227" s="162" t="n"/>
      <c r="CD227" s="162" t="n"/>
      <c r="CE227" s="162" t="n"/>
      <c r="CF227" s="162" t="n"/>
      <c r="CG227" s="162" t="n"/>
      <c r="CH227" s="162" t="n"/>
      <c r="CI227" s="162" t="n"/>
      <c r="CJ227" s="162" t="n"/>
      <c r="CK227" s="162" t="n"/>
      <c r="CL227" s="162" t="n"/>
      <c r="CM227" s="162" t="n"/>
      <c r="CN227" s="162" t="n"/>
      <c r="CO227" s="162" t="n"/>
      <c r="CP227" s="162" t="n"/>
      <c r="CQ227" s="162" t="n"/>
      <c r="CR227" s="162" t="n"/>
      <c r="CS227" s="162" t="n"/>
      <c r="CT227" s="162" t="n"/>
    </row>
    <row r="228" ht="15" customHeight="1">
      <c r="A228" s="175" t="n">
        <v>227</v>
      </c>
      <c r="B228" s="226" t="n">
        <v>17</v>
      </c>
      <c r="C228" s="164" t="n">
        <v>45776</v>
      </c>
      <c r="D228" s="166" t="inlineStr">
        <is>
          <t>219 G. SAN JOSE 2</t>
        </is>
      </c>
      <c r="E228" s="166" t="n">
        <v>40784</v>
      </c>
      <c r="F228" s="166" t="inlineStr">
        <is>
          <t>EDWIN ROJAS</t>
        </is>
      </c>
      <c r="G228" s="166" t="n">
        <v>3170</v>
      </c>
      <c r="H228" s="166" t="n">
        <v>3170</v>
      </c>
      <c r="I228" s="166" t="n">
        <v>3165</v>
      </c>
      <c r="J228" s="166" t="n">
        <v>2</v>
      </c>
      <c r="K228" s="166" t="n">
        <v>11</v>
      </c>
      <c r="L228" s="234" t="n">
        <v>-8</v>
      </c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  <c r="AA228" s="162" t="n"/>
      <c r="AB228" s="162" t="n"/>
      <c r="AC228" s="162" t="n"/>
      <c r="AD228" s="162" t="n"/>
      <c r="AE228" s="162" t="n"/>
      <c r="AF228" s="162" t="n"/>
      <c r="AG228" s="162" t="n"/>
      <c r="AH228" s="162" t="n"/>
      <c r="AI228" s="162" t="n"/>
      <c r="AJ228" s="162" t="n"/>
      <c r="AK228" s="162" t="n"/>
      <c r="AL228" s="162" t="n"/>
      <c r="AM228" s="162" t="n"/>
      <c r="AN228" s="162" t="n"/>
      <c r="AO228" s="162" t="n"/>
      <c r="AP228" s="162" t="n"/>
      <c r="AQ228" s="162" t="n"/>
      <c r="AR228" s="162" t="n"/>
      <c r="AS228" s="162" t="n"/>
      <c r="AT228" s="162" t="n"/>
      <c r="AU228" s="162" t="n"/>
      <c r="AV228" s="162" t="n"/>
      <c r="AW228" s="162" t="n"/>
      <c r="AX228" s="162" t="n"/>
      <c r="AY228" s="162" t="n"/>
      <c r="AZ228" s="162" t="n"/>
      <c r="BA228" s="162" t="n"/>
      <c r="BB228" s="162" t="n"/>
      <c r="BC228" s="162" t="n"/>
      <c r="BD228" s="162" t="n"/>
      <c r="BE228" s="162" t="n"/>
      <c r="BF228" s="162" t="n"/>
      <c r="BG228" s="162" t="n"/>
      <c r="BH228" s="162" t="n"/>
      <c r="BI228" s="162" t="n"/>
      <c r="BJ228" s="162" t="n"/>
      <c r="BK228" s="162" t="n"/>
      <c r="BL228" s="162" t="n"/>
      <c r="BM228" s="162" t="n"/>
      <c r="BN228" s="162" t="n"/>
      <c r="BO228" s="162" t="n"/>
      <c r="BP228" s="162" t="n"/>
      <c r="BQ228" s="162" t="n"/>
      <c r="BR228" s="162" t="n"/>
      <c r="BS228" s="162" t="n"/>
      <c r="BT228" s="162" t="n"/>
      <c r="BU228" s="162" t="n"/>
      <c r="BV228" s="162" t="n"/>
      <c r="BW228" s="162" t="n"/>
      <c r="BX228" s="162" t="n"/>
      <c r="BY228" s="162" t="n"/>
      <c r="BZ228" s="162" t="n"/>
      <c r="CA228" s="162" t="n"/>
      <c r="CB228" s="162" t="n"/>
      <c r="CC228" s="162" t="n"/>
      <c r="CD228" s="162" t="n"/>
      <c r="CE228" s="162" t="n"/>
      <c r="CF228" s="162" t="n"/>
      <c r="CG228" s="162" t="n"/>
      <c r="CH228" s="162" t="n"/>
      <c r="CI228" s="162" t="n"/>
      <c r="CJ228" s="162" t="n"/>
      <c r="CK228" s="162" t="n"/>
      <c r="CL228" s="162" t="n"/>
      <c r="CM228" s="162" t="n"/>
      <c r="CN228" s="162" t="n"/>
      <c r="CO228" s="162" t="n"/>
      <c r="CP228" s="162" t="n"/>
      <c r="CQ228" s="162" t="n"/>
      <c r="CR228" s="162" t="n"/>
      <c r="CS228" s="162" t="n"/>
      <c r="CT228" s="162" t="n"/>
    </row>
    <row r="229" ht="15" customHeight="1">
      <c r="A229" s="175" t="n">
        <v>228</v>
      </c>
      <c r="B229" s="227" t="n">
        <v>18</v>
      </c>
      <c r="C229" s="228" t="n">
        <v>45776</v>
      </c>
      <c r="D229" s="229" t="inlineStr">
        <is>
          <t>219 G. SAN JOSE 2</t>
        </is>
      </c>
      <c r="E229" s="229" t="n">
        <v>40785</v>
      </c>
      <c r="F229" s="229" t="inlineStr">
        <is>
          <t>WILMER PIÑEROS</t>
        </is>
      </c>
      <c r="G229" s="229" t="n">
        <v>3170</v>
      </c>
      <c r="H229" s="229" t="n">
        <v>3170</v>
      </c>
      <c r="I229" s="229" t="n">
        <v>3162</v>
      </c>
      <c r="J229" s="229" t="n">
        <v>2</v>
      </c>
      <c r="K229" s="229" t="n">
        <v>15</v>
      </c>
      <c r="L229" s="235" t="n">
        <v>-9</v>
      </c>
      <c r="M229" s="231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  <c r="AA229" s="162" t="n"/>
      <c r="AB229" s="162" t="n"/>
      <c r="AC229" s="162" t="n"/>
      <c r="AD229" s="162" t="n"/>
      <c r="AE229" s="162" t="n"/>
      <c r="AF229" s="162" t="n"/>
      <c r="AG229" s="162" t="n"/>
      <c r="AH229" s="162" t="n"/>
      <c r="AI229" s="162" t="n"/>
      <c r="AJ229" s="162" t="n"/>
      <c r="AK229" s="162" t="n"/>
      <c r="AL229" s="162" t="n"/>
      <c r="AM229" s="162" t="n"/>
      <c r="AN229" s="162" t="n"/>
      <c r="AO229" s="162" t="n"/>
      <c r="AP229" s="162" t="n"/>
      <c r="AQ229" s="162" t="n"/>
      <c r="AR229" s="162" t="n"/>
      <c r="AS229" s="162" t="n"/>
      <c r="AT229" s="162" t="n"/>
      <c r="AU229" s="162" t="n"/>
      <c r="AV229" s="162" t="n"/>
      <c r="AW229" s="162" t="n"/>
      <c r="AX229" s="162" t="n"/>
      <c r="AY229" s="162" t="n"/>
      <c r="AZ229" s="162" t="n"/>
      <c r="BA229" s="162" t="n"/>
      <c r="BB229" s="162" t="n"/>
      <c r="BC229" s="162" t="n"/>
      <c r="BD229" s="162" t="n"/>
      <c r="BE229" s="162" t="n"/>
      <c r="BF229" s="162" t="n"/>
      <c r="BG229" s="162" t="n"/>
      <c r="BH229" s="162" t="n"/>
      <c r="BI229" s="162" t="n"/>
      <c r="BJ229" s="162" t="n"/>
      <c r="BK229" s="162" t="n"/>
      <c r="BL229" s="162" t="n"/>
      <c r="BM229" s="162" t="n"/>
      <c r="BN229" s="162" t="n"/>
      <c r="BO229" s="162" t="n"/>
      <c r="BP229" s="162" t="n"/>
      <c r="BQ229" s="162" t="n"/>
      <c r="BR229" s="162" t="n"/>
      <c r="BS229" s="162" t="n"/>
      <c r="BT229" s="162" t="n"/>
      <c r="BU229" s="162" t="n"/>
      <c r="BV229" s="162" t="n"/>
      <c r="BW229" s="162" t="n"/>
      <c r="BX229" s="162" t="n"/>
      <c r="BY229" s="162" t="n"/>
      <c r="BZ229" s="162" t="n"/>
      <c r="CA229" s="162" t="n"/>
      <c r="CB229" s="162" t="n"/>
      <c r="CC229" s="162" t="n"/>
      <c r="CD229" s="162" t="n"/>
      <c r="CE229" s="162" t="n"/>
      <c r="CF229" s="162" t="n"/>
      <c r="CG229" s="162" t="n"/>
      <c r="CH229" s="162" t="n"/>
      <c r="CI229" s="162" t="n"/>
      <c r="CJ229" s="162" t="n"/>
      <c r="CK229" s="162" t="n"/>
      <c r="CL229" s="162" t="n"/>
      <c r="CM229" s="162" t="n"/>
      <c r="CN229" s="162" t="n"/>
      <c r="CO229" s="162" t="n"/>
      <c r="CP229" s="162" t="n"/>
      <c r="CQ229" s="162" t="n"/>
      <c r="CR229" s="162" t="n"/>
      <c r="CS229" s="162" t="n"/>
      <c r="CT229" s="162" t="n"/>
    </row>
    <row r="230" ht="18.75" customHeight="1">
      <c r="A230" s="175" t="n">
        <v>229</v>
      </c>
      <c r="B230" s="163" t="n">
        <v>1</v>
      </c>
      <c r="C230" s="164" t="n">
        <v>45777</v>
      </c>
      <c r="D230" s="165" t="inlineStr">
        <is>
          <t>219 G. SAN JOSE 2</t>
        </is>
      </c>
      <c r="E230" s="165" t="n">
        <v>40804</v>
      </c>
      <c r="F230" s="165" t="inlineStr">
        <is>
          <t>JAIRO CUBILLOS</t>
        </is>
      </c>
      <c r="G230" s="165" t="n">
        <v>3136</v>
      </c>
      <c r="H230" s="165" t="n">
        <v>3136</v>
      </c>
      <c r="I230" s="165" t="n">
        <v>3107</v>
      </c>
      <c r="J230" s="165" t="n">
        <v>4</v>
      </c>
      <c r="K230" s="165" t="n">
        <v>15</v>
      </c>
      <c r="L230" s="165" t="n">
        <v>10</v>
      </c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  <c r="AA230" s="162" t="n"/>
      <c r="AB230" s="162" t="n"/>
      <c r="AC230" s="162" t="n"/>
      <c r="AD230" s="162" t="n"/>
      <c r="AE230" s="162" t="n"/>
      <c r="AF230" s="162" t="n"/>
      <c r="AG230" s="162" t="n"/>
      <c r="AH230" s="162" t="n"/>
      <c r="AI230" s="162" t="n"/>
      <c r="AJ230" s="162" t="n"/>
      <c r="AK230" s="162" t="n"/>
      <c r="AL230" s="162" t="n"/>
      <c r="AM230" s="162" t="n"/>
      <c r="AN230" s="162" t="n"/>
      <c r="AO230" s="162" t="n"/>
      <c r="AP230" s="162" t="n"/>
      <c r="AQ230" s="162" t="n"/>
      <c r="AR230" s="162" t="n"/>
      <c r="AS230" s="162" t="n"/>
      <c r="AT230" s="162" t="n"/>
      <c r="AU230" s="162" t="n"/>
      <c r="AV230" s="162" t="n"/>
      <c r="AW230" s="162" t="n"/>
      <c r="AX230" s="162" t="n"/>
      <c r="AY230" s="162" t="n"/>
      <c r="AZ230" s="162" t="n"/>
      <c r="BA230" s="162" t="n"/>
      <c r="BB230" s="162" t="n"/>
      <c r="BC230" s="162" t="n"/>
      <c r="BD230" s="162" t="n"/>
      <c r="BE230" s="162" t="n"/>
      <c r="BF230" s="162" t="n"/>
      <c r="BG230" s="162" t="n"/>
      <c r="BH230" s="162" t="n"/>
      <c r="BI230" s="162" t="n"/>
      <c r="BJ230" s="162" t="n"/>
      <c r="BK230" s="162" t="n"/>
      <c r="BL230" s="162" t="n"/>
      <c r="BM230" s="162" t="n"/>
      <c r="BN230" s="162" t="n"/>
      <c r="BO230" s="162" t="n"/>
      <c r="BP230" s="162" t="n"/>
      <c r="BQ230" s="162" t="n"/>
      <c r="BR230" s="162" t="n"/>
      <c r="BS230" s="162" t="n"/>
      <c r="BT230" s="162" t="n"/>
      <c r="BU230" s="162" t="n"/>
      <c r="BV230" s="162" t="n"/>
      <c r="BW230" s="162" t="n"/>
      <c r="BX230" s="162" t="n"/>
      <c r="BY230" s="162" t="n"/>
      <c r="BZ230" s="162" t="n"/>
      <c r="CA230" s="162" t="n"/>
      <c r="CB230" s="162" t="n"/>
      <c r="CC230" s="162" t="n"/>
      <c r="CD230" s="162" t="n"/>
      <c r="CE230" s="162" t="n"/>
      <c r="CF230" s="162" t="n"/>
      <c r="CG230" s="162" t="n"/>
      <c r="CH230" s="162" t="n"/>
      <c r="CI230" s="162" t="n"/>
      <c r="CJ230" s="162" t="n"/>
      <c r="CK230" s="162" t="n"/>
      <c r="CL230" s="162" t="n"/>
      <c r="CM230" s="162" t="n"/>
      <c r="CN230" s="162" t="n"/>
      <c r="CO230" s="162" t="n"/>
      <c r="CP230" s="162" t="n"/>
      <c r="CQ230" s="162" t="n"/>
      <c r="CR230" s="162" t="n"/>
      <c r="CS230" s="162" t="n"/>
      <c r="CT230" s="162" t="n"/>
    </row>
    <row r="231" ht="18.75" customHeight="1">
      <c r="A231" s="175" t="n">
        <v>230</v>
      </c>
      <c r="B231" s="165" t="n">
        <v>2</v>
      </c>
      <c r="C231" s="164" t="n">
        <v>45777</v>
      </c>
      <c r="D231" s="165" t="inlineStr">
        <is>
          <t>219 G. SAN JOSE 2</t>
        </is>
      </c>
      <c r="E231" s="165" t="n">
        <v>40805</v>
      </c>
      <c r="F231" s="165" t="inlineStr">
        <is>
          <t>FABIO ALDANA</t>
        </is>
      </c>
      <c r="G231" s="165" t="n">
        <v>3136</v>
      </c>
      <c r="H231" s="165" t="n">
        <v>3136</v>
      </c>
      <c r="I231" s="165" t="n">
        <v>3118</v>
      </c>
      <c r="J231" s="165" t="n">
        <v>3</v>
      </c>
      <c r="K231" s="165" t="n">
        <v>15</v>
      </c>
      <c r="L231" s="165" t="n">
        <v>0</v>
      </c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  <c r="AA231" s="162" t="n"/>
      <c r="AB231" s="162" t="n"/>
      <c r="AC231" s="162" t="n"/>
      <c r="AD231" s="162" t="n"/>
      <c r="AE231" s="162" t="n"/>
      <c r="AF231" s="162" t="n"/>
      <c r="AG231" s="162" t="n"/>
      <c r="AH231" s="162" t="n"/>
      <c r="AI231" s="162" t="n"/>
      <c r="AJ231" s="162" t="n"/>
      <c r="AK231" s="162" t="n"/>
      <c r="AL231" s="162" t="n"/>
      <c r="AM231" s="162" t="n"/>
      <c r="AN231" s="162" t="n"/>
      <c r="AO231" s="162" t="n"/>
      <c r="AP231" s="162" t="n"/>
      <c r="AQ231" s="162" t="n"/>
      <c r="AR231" s="162" t="n"/>
      <c r="AS231" s="162" t="n"/>
      <c r="AT231" s="162" t="n"/>
      <c r="AU231" s="162" t="n"/>
      <c r="AV231" s="162" t="n"/>
      <c r="AW231" s="162" t="n"/>
      <c r="AX231" s="162" t="n"/>
      <c r="AY231" s="162" t="n"/>
      <c r="AZ231" s="162" t="n"/>
      <c r="BA231" s="162" t="n"/>
      <c r="BB231" s="162" t="n"/>
      <c r="BC231" s="162" t="n"/>
      <c r="BD231" s="162" t="n"/>
      <c r="BE231" s="162" t="n"/>
      <c r="BF231" s="162" t="n"/>
      <c r="BG231" s="162" t="n"/>
      <c r="BH231" s="162" t="n"/>
      <c r="BI231" s="162" t="n"/>
      <c r="BJ231" s="162" t="n"/>
      <c r="BK231" s="162" t="n"/>
      <c r="BL231" s="162" t="n"/>
      <c r="BM231" s="162" t="n"/>
      <c r="BN231" s="162" t="n"/>
      <c r="BO231" s="162" t="n"/>
      <c r="BP231" s="162" t="n"/>
      <c r="BQ231" s="162" t="n"/>
      <c r="BR231" s="162" t="n"/>
      <c r="BS231" s="162" t="n"/>
      <c r="BT231" s="162" t="n"/>
      <c r="BU231" s="162" t="n"/>
      <c r="BV231" s="162" t="n"/>
      <c r="BW231" s="162" t="n"/>
      <c r="BX231" s="162" t="n"/>
      <c r="BY231" s="162" t="n"/>
      <c r="BZ231" s="162" t="n"/>
      <c r="CA231" s="162" t="n"/>
      <c r="CB231" s="162" t="n"/>
      <c r="CC231" s="162" t="n"/>
      <c r="CD231" s="162" t="n"/>
      <c r="CE231" s="162" t="n"/>
      <c r="CF231" s="162" t="n"/>
      <c r="CG231" s="162" t="n"/>
      <c r="CH231" s="162" t="n"/>
      <c r="CI231" s="162" t="n"/>
      <c r="CJ231" s="162" t="n"/>
      <c r="CK231" s="162" t="n"/>
      <c r="CL231" s="162" t="n"/>
      <c r="CM231" s="162" t="n"/>
      <c r="CN231" s="162" t="n"/>
      <c r="CO231" s="162" t="n"/>
      <c r="CP231" s="162" t="n"/>
      <c r="CQ231" s="162" t="n"/>
      <c r="CR231" s="162" t="n"/>
      <c r="CS231" s="162" t="n"/>
      <c r="CT231" s="162" t="n"/>
    </row>
    <row r="232" ht="18.75" customHeight="1">
      <c r="A232" s="175" t="n">
        <v>231</v>
      </c>
      <c r="B232" s="165" t="n">
        <v>3</v>
      </c>
      <c r="C232" s="164" t="n">
        <v>45777</v>
      </c>
      <c r="D232" s="165" t="inlineStr">
        <is>
          <t>219 G. SAN JOSE 2</t>
        </is>
      </c>
      <c r="E232" s="165" t="n">
        <v>40806</v>
      </c>
      <c r="F232" s="165" t="inlineStr">
        <is>
          <t>WILMER PIÑEROS</t>
        </is>
      </c>
      <c r="G232" s="165" t="n">
        <v>3136</v>
      </c>
      <c r="H232" s="165" t="n">
        <v>3136</v>
      </c>
      <c r="I232" s="165" t="n">
        <v>3120</v>
      </c>
      <c r="J232" s="165" t="n">
        <v>6</v>
      </c>
      <c r="K232" s="165" t="n">
        <v>11</v>
      </c>
      <c r="L232" s="165" t="n">
        <v>-1</v>
      </c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  <c r="AA232" s="162" t="n"/>
      <c r="AB232" s="162" t="n"/>
      <c r="AC232" s="162" t="n"/>
      <c r="AD232" s="162" t="n"/>
      <c r="AE232" s="162" t="n"/>
      <c r="AF232" s="162" t="n"/>
      <c r="AG232" s="162" t="n"/>
      <c r="AH232" s="162" t="n"/>
      <c r="AI232" s="162" t="n"/>
      <c r="AJ232" s="162" t="n"/>
      <c r="AK232" s="162" t="n"/>
      <c r="AL232" s="162" t="n"/>
      <c r="AM232" s="162" t="n"/>
      <c r="AN232" s="162" t="n"/>
      <c r="AO232" s="162" t="n"/>
      <c r="AP232" s="162" t="n"/>
      <c r="AQ232" s="162" t="n"/>
      <c r="AR232" s="162" t="n"/>
      <c r="AS232" s="162" t="n"/>
      <c r="AT232" s="162" t="n"/>
      <c r="AU232" s="162" t="n"/>
      <c r="AV232" s="162" t="n"/>
      <c r="AW232" s="162" t="n"/>
      <c r="AX232" s="162" t="n"/>
      <c r="AY232" s="162" t="n"/>
      <c r="AZ232" s="162" t="n"/>
      <c r="BA232" s="162" t="n"/>
      <c r="BB232" s="162" t="n"/>
      <c r="BC232" s="162" t="n"/>
      <c r="BD232" s="162" t="n"/>
      <c r="BE232" s="162" t="n"/>
      <c r="BF232" s="162" t="n"/>
      <c r="BG232" s="162" t="n"/>
      <c r="BH232" s="162" t="n"/>
      <c r="BI232" s="162" t="n"/>
      <c r="BJ232" s="162" t="n"/>
      <c r="BK232" s="162" t="n"/>
      <c r="BL232" s="162" t="n"/>
      <c r="BM232" s="162" t="n"/>
      <c r="BN232" s="162" t="n"/>
      <c r="BO232" s="162" t="n"/>
      <c r="BP232" s="162" t="n"/>
      <c r="BQ232" s="162" t="n"/>
      <c r="BR232" s="162" t="n"/>
      <c r="BS232" s="162" t="n"/>
      <c r="BT232" s="162" t="n"/>
      <c r="BU232" s="162" t="n"/>
      <c r="BV232" s="162" t="n"/>
      <c r="BW232" s="162" t="n"/>
      <c r="BX232" s="162" t="n"/>
      <c r="BY232" s="162" t="n"/>
      <c r="BZ232" s="162" t="n"/>
      <c r="CA232" s="162" t="n"/>
      <c r="CB232" s="162" t="n"/>
      <c r="CC232" s="162" t="n"/>
      <c r="CD232" s="162" t="n"/>
      <c r="CE232" s="162" t="n"/>
      <c r="CF232" s="162" t="n"/>
      <c r="CG232" s="162" t="n"/>
      <c r="CH232" s="162" t="n"/>
      <c r="CI232" s="162" t="n"/>
      <c r="CJ232" s="162" t="n"/>
      <c r="CK232" s="162" t="n"/>
      <c r="CL232" s="162" t="n"/>
      <c r="CM232" s="162" t="n"/>
      <c r="CN232" s="162" t="n"/>
      <c r="CO232" s="162" t="n"/>
      <c r="CP232" s="162" t="n"/>
      <c r="CQ232" s="162" t="n"/>
      <c r="CR232" s="162" t="n"/>
      <c r="CS232" s="162" t="n"/>
      <c r="CT232" s="162" t="n"/>
    </row>
    <row r="233" ht="18.75" customHeight="1">
      <c r="A233" s="175" t="n">
        <v>232</v>
      </c>
      <c r="B233" s="165" t="n">
        <v>4</v>
      </c>
      <c r="C233" s="164" t="n">
        <v>45777</v>
      </c>
      <c r="D233" s="165" t="inlineStr">
        <is>
          <t>219 G. SAN JOSE 2</t>
        </is>
      </c>
      <c r="E233" s="165" t="n">
        <v>40807</v>
      </c>
      <c r="F233" s="165" t="inlineStr">
        <is>
          <t>DUMAR ANGARITA</t>
        </is>
      </c>
      <c r="G233" s="165" t="n">
        <v>3136</v>
      </c>
      <c r="H233" s="165" t="n">
        <v>3136</v>
      </c>
      <c r="I233" s="165" t="n">
        <v>3123</v>
      </c>
      <c r="J233" s="165" t="n">
        <v>4</v>
      </c>
      <c r="K233" s="165" t="n">
        <v>9</v>
      </c>
      <c r="L233" s="165" t="n">
        <v>0</v>
      </c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  <c r="AA233" s="162" t="n"/>
      <c r="AB233" s="162" t="n"/>
      <c r="AC233" s="162" t="n"/>
      <c r="AD233" s="162" t="n"/>
      <c r="AE233" s="162" t="n"/>
      <c r="AF233" s="162" t="n"/>
      <c r="AG233" s="162" t="n"/>
      <c r="AH233" s="162" t="n"/>
      <c r="AI233" s="162" t="n"/>
      <c r="AJ233" s="162" t="n"/>
      <c r="AK233" s="162" t="n"/>
      <c r="AL233" s="162" t="n"/>
      <c r="AM233" s="162" t="n"/>
      <c r="AN233" s="162" t="n"/>
      <c r="AO233" s="162" t="n"/>
      <c r="AP233" s="162" t="n"/>
      <c r="AQ233" s="162" t="n"/>
      <c r="AR233" s="162" t="n"/>
      <c r="AS233" s="162" t="n"/>
      <c r="AT233" s="162" t="n"/>
      <c r="AU233" s="162" t="n"/>
      <c r="AV233" s="162" t="n"/>
      <c r="AW233" s="162" t="n"/>
      <c r="AX233" s="162" t="n"/>
      <c r="AY233" s="162" t="n"/>
      <c r="AZ233" s="162" t="n"/>
      <c r="BA233" s="162" t="n"/>
      <c r="BB233" s="162" t="n"/>
      <c r="BC233" s="162" t="n"/>
      <c r="BD233" s="162" t="n"/>
      <c r="BE233" s="162" t="n"/>
      <c r="BF233" s="162" t="n"/>
      <c r="BG233" s="162" t="n"/>
      <c r="BH233" s="162" t="n"/>
      <c r="BI233" s="162" t="n"/>
      <c r="BJ233" s="162" t="n"/>
      <c r="BK233" s="162" t="n"/>
      <c r="BL233" s="162" t="n"/>
      <c r="BM233" s="162" t="n"/>
      <c r="BN233" s="162" t="n"/>
      <c r="BO233" s="162" t="n"/>
      <c r="BP233" s="162" t="n"/>
      <c r="BQ233" s="162" t="n"/>
      <c r="BR233" s="162" t="n"/>
      <c r="BS233" s="162" t="n"/>
      <c r="BT233" s="162" t="n"/>
      <c r="BU233" s="162" t="n"/>
      <c r="BV233" s="162" t="n"/>
      <c r="BW233" s="162" t="n"/>
      <c r="BX233" s="162" t="n"/>
      <c r="BY233" s="162" t="n"/>
      <c r="BZ233" s="162" t="n"/>
      <c r="CA233" s="162" t="n"/>
      <c r="CB233" s="162" t="n"/>
      <c r="CC233" s="162" t="n"/>
      <c r="CD233" s="162" t="n"/>
      <c r="CE233" s="162" t="n"/>
      <c r="CF233" s="162" t="n"/>
      <c r="CG233" s="162" t="n"/>
      <c r="CH233" s="162" t="n"/>
      <c r="CI233" s="162" t="n"/>
      <c r="CJ233" s="162" t="n"/>
      <c r="CK233" s="162" t="n"/>
      <c r="CL233" s="162" t="n"/>
      <c r="CM233" s="162" t="n"/>
      <c r="CN233" s="162" t="n"/>
      <c r="CO233" s="162" t="n"/>
      <c r="CP233" s="162" t="n"/>
      <c r="CQ233" s="162" t="n"/>
      <c r="CR233" s="162" t="n"/>
      <c r="CS233" s="162" t="n"/>
      <c r="CT233" s="162" t="n"/>
    </row>
    <row r="234" ht="18.75" customHeight="1">
      <c r="A234" s="175" t="n">
        <v>233</v>
      </c>
      <c r="B234" s="165" t="n">
        <v>5</v>
      </c>
      <c r="C234" s="164" t="n">
        <v>45777</v>
      </c>
      <c r="D234" s="165" t="inlineStr">
        <is>
          <t>219 G. SAN JOSE 2</t>
        </is>
      </c>
      <c r="E234" s="165" t="n">
        <v>40815</v>
      </c>
      <c r="F234" s="165" t="inlineStr">
        <is>
          <t>JOSE SOLER</t>
        </is>
      </c>
      <c r="G234" s="165" t="n">
        <v>3281</v>
      </c>
      <c r="H234" s="165" t="n">
        <v>3136</v>
      </c>
      <c r="I234" s="165" t="n">
        <v>3275</v>
      </c>
      <c r="J234" s="165" t="n">
        <v>3</v>
      </c>
      <c r="K234" s="165" t="n">
        <v>5</v>
      </c>
      <c r="L234" s="165" t="n">
        <v>-2</v>
      </c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  <c r="AA234" s="162" t="n"/>
      <c r="AB234" s="162" t="n"/>
      <c r="AC234" s="162" t="n"/>
      <c r="AD234" s="162" t="n"/>
      <c r="AE234" s="162" t="n"/>
      <c r="AF234" s="162" t="n"/>
      <c r="AG234" s="162" t="n"/>
      <c r="AH234" s="162" t="n"/>
      <c r="AI234" s="162" t="n"/>
      <c r="AJ234" s="162" t="n"/>
      <c r="AK234" s="162" t="n"/>
      <c r="AL234" s="162" t="n"/>
      <c r="AM234" s="162" t="n"/>
      <c r="AN234" s="162" t="n"/>
      <c r="AO234" s="162" t="n"/>
      <c r="AP234" s="162" t="n"/>
      <c r="AQ234" s="162" t="n"/>
      <c r="AR234" s="162" t="n"/>
      <c r="AS234" s="162" t="n"/>
      <c r="AT234" s="162" t="n"/>
      <c r="AU234" s="162" t="n"/>
      <c r="AV234" s="162" t="n"/>
      <c r="AW234" s="162" t="n"/>
      <c r="AX234" s="162" t="n"/>
      <c r="AY234" s="162" t="n"/>
      <c r="AZ234" s="162" t="n"/>
      <c r="BA234" s="162" t="n"/>
      <c r="BB234" s="162" t="n"/>
      <c r="BC234" s="162" t="n"/>
      <c r="BD234" s="162" t="n"/>
      <c r="BE234" s="162" t="n"/>
      <c r="BF234" s="162" t="n"/>
      <c r="BG234" s="162" t="n"/>
      <c r="BH234" s="162" t="n"/>
      <c r="BI234" s="162" t="n"/>
      <c r="BJ234" s="162" t="n"/>
      <c r="BK234" s="162" t="n"/>
      <c r="BL234" s="162" t="n"/>
      <c r="BM234" s="162" t="n"/>
      <c r="BN234" s="162" t="n"/>
      <c r="BO234" s="162" t="n"/>
      <c r="BP234" s="162" t="n"/>
      <c r="BQ234" s="162" t="n"/>
      <c r="BR234" s="162" t="n"/>
      <c r="BS234" s="162" t="n"/>
      <c r="BT234" s="162" t="n"/>
      <c r="BU234" s="162" t="n"/>
      <c r="BV234" s="162" t="n"/>
      <c r="BW234" s="162" t="n"/>
      <c r="BX234" s="162" t="n"/>
      <c r="BY234" s="162" t="n"/>
      <c r="BZ234" s="162" t="n"/>
      <c r="CA234" s="162" t="n"/>
      <c r="CB234" s="162" t="n"/>
      <c r="CC234" s="162" t="n"/>
      <c r="CD234" s="162" t="n"/>
      <c r="CE234" s="162" t="n"/>
      <c r="CF234" s="162" t="n"/>
      <c r="CG234" s="162" t="n"/>
      <c r="CH234" s="162" t="n"/>
      <c r="CI234" s="162" t="n"/>
      <c r="CJ234" s="162" t="n"/>
      <c r="CK234" s="162" t="n"/>
      <c r="CL234" s="162" t="n"/>
      <c r="CM234" s="162" t="n"/>
      <c r="CN234" s="162" t="n"/>
      <c r="CO234" s="162" t="n"/>
      <c r="CP234" s="162" t="n"/>
      <c r="CQ234" s="162" t="n"/>
      <c r="CR234" s="162" t="n"/>
      <c r="CS234" s="162" t="n"/>
      <c r="CT234" s="162" t="n"/>
    </row>
    <row r="235" ht="18.75" customHeight="1">
      <c r="A235" s="175" t="n">
        <v>234</v>
      </c>
      <c r="B235" s="165" t="n">
        <v>6</v>
      </c>
      <c r="C235" s="164" t="n">
        <v>45777</v>
      </c>
      <c r="D235" s="165" t="inlineStr">
        <is>
          <t>219 G. SAN JOSE 2</t>
        </is>
      </c>
      <c r="E235" s="165" t="n">
        <v>40816</v>
      </c>
      <c r="F235" s="165" t="inlineStr">
        <is>
          <t>EDWIN ROJAS</t>
        </is>
      </c>
      <c r="G235" s="165" t="n">
        <v>3281</v>
      </c>
      <c r="H235" s="165" t="n">
        <v>3281</v>
      </c>
      <c r="I235" s="165" t="n">
        <v>3276</v>
      </c>
      <c r="J235" s="165" t="n">
        <v>3</v>
      </c>
      <c r="K235" s="165" t="n">
        <v>5</v>
      </c>
      <c r="L235" s="165" t="n">
        <v>-3</v>
      </c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  <c r="AA235" s="162" t="n"/>
      <c r="AB235" s="162" t="n"/>
      <c r="AC235" s="162" t="n"/>
      <c r="AD235" s="162" t="n"/>
      <c r="AE235" s="162" t="n"/>
      <c r="AF235" s="162" t="n"/>
      <c r="AG235" s="162" t="n"/>
      <c r="AH235" s="162" t="n"/>
      <c r="AI235" s="162" t="n"/>
      <c r="AJ235" s="162" t="n"/>
      <c r="AK235" s="162" t="n"/>
      <c r="AL235" s="162" t="n"/>
      <c r="AM235" s="162" t="n"/>
      <c r="AN235" s="162" t="n"/>
      <c r="AO235" s="162" t="n"/>
      <c r="AP235" s="162" t="n"/>
      <c r="AQ235" s="162" t="n"/>
      <c r="AR235" s="162" t="n"/>
      <c r="AS235" s="162" t="n"/>
      <c r="AT235" s="162" t="n"/>
      <c r="AU235" s="162" t="n"/>
      <c r="AV235" s="162" t="n"/>
      <c r="AW235" s="162" t="n"/>
      <c r="AX235" s="162" t="n"/>
      <c r="AY235" s="162" t="n"/>
      <c r="AZ235" s="162" t="n"/>
      <c r="BA235" s="162" t="n"/>
      <c r="BB235" s="162" t="n"/>
      <c r="BC235" s="162" t="n"/>
      <c r="BD235" s="162" t="n"/>
      <c r="BE235" s="162" t="n"/>
      <c r="BF235" s="162" t="n"/>
      <c r="BG235" s="162" t="n"/>
      <c r="BH235" s="162" t="n"/>
      <c r="BI235" s="162" t="n"/>
      <c r="BJ235" s="162" t="n"/>
      <c r="BK235" s="162" t="n"/>
      <c r="BL235" s="162" t="n"/>
      <c r="BM235" s="162" t="n"/>
      <c r="BN235" s="162" t="n"/>
      <c r="BO235" s="162" t="n"/>
      <c r="BP235" s="162" t="n"/>
      <c r="BQ235" s="162" t="n"/>
      <c r="BR235" s="162" t="n"/>
      <c r="BS235" s="162" t="n"/>
      <c r="BT235" s="162" t="n"/>
      <c r="BU235" s="162" t="n"/>
      <c r="BV235" s="162" t="n"/>
      <c r="BW235" s="162" t="n"/>
      <c r="BX235" s="162" t="n"/>
      <c r="BY235" s="162" t="n"/>
      <c r="BZ235" s="162" t="n"/>
      <c r="CA235" s="162" t="n"/>
      <c r="CB235" s="162" t="n"/>
      <c r="CC235" s="162" t="n"/>
      <c r="CD235" s="162" t="n"/>
      <c r="CE235" s="162" t="n"/>
      <c r="CF235" s="162" t="n"/>
      <c r="CG235" s="162" t="n"/>
      <c r="CH235" s="162" t="n"/>
      <c r="CI235" s="162" t="n"/>
      <c r="CJ235" s="162" t="n"/>
      <c r="CK235" s="162" t="n"/>
      <c r="CL235" s="162" t="n"/>
      <c r="CM235" s="162" t="n"/>
      <c r="CN235" s="162" t="n"/>
      <c r="CO235" s="162" t="n"/>
      <c r="CP235" s="162" t="n"/>
      <c r="CQ235" s="162" t="n"/>
      <c r="CR235" s="162" t="n"/>
      <c r="CS235" s="162" t="n"/>
      <c r="CT235" s="162" t="n"/>
    </row>
    <row r="236" ht="18.75" customHeight="1">
      <c r="A236" s="175" t="n">
        <v>235</v>
      </c>
      <c r="B236" s="165" t="n">
        <v>7</v>
      </c>
      <c r="C236" s="164" t="n">
        <v>45777</v>
      </c>
      <c r="D236" s="165" t="inlineStr">
        <is>
          <t>219 G. SAN JOSE 2</t>
        </is>
      </c>
      <c r="E236" s="165" t="n">
        <v>40817</v>
      </c>
      <c r="F236" s="165" t="inlineStr">
        <is>
          <t>ALEX GOMEZ</t>
        </is>
      </c>
      <c r="G236" s="165" t="n">
        <v>3281</v>
      </c>
      <c r="H236" s="165" t="n">
        <v>3281</v>
      </c>
      <c r="I236" s="165" t="n">
        <v>3271</v>
      </c>
      <c r="J236" s="165" t="n">
        <v>4</v>
      </c>
      <c r="K236" s="165" t="n">
        <v>10</v>
      </c>
      <c r="L236" s="165" t="n">
        <v>-4</v>
      </c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  <c r="AA236" s="162" t="n"/>
      <c r="AB236" s="162" t="n"/>
      <c r="AC236" s="162" t="n"/>
      <c r="AD236" s="162" t="n"/>
      <c r="AE236" s="162" t="n"/>
      <c r="AF236" s="162" t="n"/>
      <c r="AG236" s="162" t="n"/>
      <c r="AH236" s="162" t="n"/>
      <c r="AI236" s="162" t="n"/>
      <c r="AJ236" s="162" t="n"/>
      <c r="AK236" s="162" t="n"/>
      <c r="AL236" s="162" t="n"/>
      <c r="AM236" s="162" t="n"/>
      <c r="AN236" s="162" t="n"/>
      <c r="AO236" s="162" t="n"/>
      <c r="AP236" s="162" t="n"/>
      <c r="AQ236" s="162" t="n"/>
      <c r="AR236" s="162" t="n"/>
      <c r="AS236" s="162" t="n"/>
      <c r="AT236" s="162" t="n"/>
      <c r="AU236" s="162" t="n"/>
      <c r="AV236" s="162" t="n"/>
      <c r="AW236" s="162" t="n"/>
      <c r="AX236" s="162" t="n"/>
      <c r="AY236" s="162" t="n"/>
      <c r="AZ236" s="162" t="n"/>
      <c r="BA236" s="162" t="n"/>
      <c r="BB236" s="162" t="n"/>
      <c r="BC236" s="162" t="n"/>
      <c r="BD236" s="162" t="n"/>
      <c r="BE236" s="162" t="n"/>
      <c r="BF236" s="162" t="n"/>
      <c r="BG236" s="162" t="n"/>
      <c r="BH236" s="162" t="n"/>
      <c r="BI236" s="162" t="n"/>
      <c r="BJ236" s="162" t="n"/>
      <c r="BK236" s="162" t="n"/>
      <c r="BL236" s="162" t="n"/>
      <c r="BM236" s="162" t="n"/>
      <c r="BN236" s="162" t="n"/>
      <c r="BO236" s="162" t="n"/>
      <c r="BP236" s="162" t="n"/>
      <c r="BQ236" s="162" t="n"/>
      <c r="BR236" s="162" t="n"/>
      <c r="BS236" s="162" t="n"/>
      <c r="BT236" s="162" t="n"/>
      <c r="BU236" s="162" t="n"/>
      <c r="BV236" s="162" t="n"/>
      <c r="BW236" s="162" t="n"/>
      <c r="BX236" s="162" t="n"/>
      <c r="BY236" s="162" t="n"/>
      <c r="BZ236" s="162" t="n"/>
      <c r="CA236" s="162" t="n"/>
      <c r="CB236" s="162" t="n"/>
      <c r="CC236" s="162" t="n"/>
      <c r="CD236" s="162" t="n"/>
      <c r="CE236" s="162" t="n"/>
      <c r="CF236" s="162" t="n"/>
      <c r="CG236" s="162" t="n"/>
      <c r="CH236" s="162" t="n"/>
      <c r="CI236" s="162" t="n"/>
      <c r="CJ236" s="162" t="n"/>
      <c r="CK236" s="162" t="n"/>
      <c r="CL236" s="162" t="n"/>
      <c r="CM236" s="162" t="n"/>
      <c r="CN236" s="162" t="n"/>
      <c r="CO236" s="162" t="n"/>
      <c r="CP236" s="162" t="n"/>
      <c r="CQ236" s="162" t="n"/>
      <c r="CR236" s="162" t="n"/>
      <c r="CS236" s="162" t="n"/>
      <c r="CT236" s="162" t="n"/>
    </row>
    <row r="237" ht="18.75" customHeight="1">
      <c r="A237" s="175" t="n">
        <v>236</v>
      </c>
      <c r="B237" s="165" t="n">
        <v>8</v>
      </c>
      <c r="C237" s="164" t="n">
        <v>45777</v>
      </c>
      <c r="D237" s="165" t="inlineStr">
        <is>
          <t>219 G. SAN JOSE 2</t>
        </is>
      </c>
      <c r="E237" s="165" t="n">
        <v>40818</v>
      </c>
      <c r="F237" s="165" t="inlineStr">
        <is>
          <t>JHON AIRAS</t>
        </is>
      </c>
      <c r="G237" s="165" t="n">
        <v>3136</v>
      </c>
      <c r="H237" s="165" t="n">
        <v>3281</v>
      </c>
      <c r="I237" s="165" t="n">
        <v>3125</v>
      </c>
      <c r="J237" s="165" t="n">
        <v>3</v>
      </c>
      <c r="K237" s="165" t="n">
        <v>16</v>
      </c>
      <c r="L237" s="165" t="n">
        <v>-8</v>
      </c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  <c r="AA237" s="162" t="n"/>
      <c r="AB237" s="162" t="n"/>
      <c r="AC237" s="162" t="n"/>
      <c r="AD237" s="162" t="n"/>
      <c r="AE237" s="162" t="n"/>
      <c r="AF237" s="162" t="n"/>
      <c r="AG237" s="162" t="n"/>
      <c r="AH237" s="162" t="n"/>
      <c r="AI237" s="162" t="n"/>
      <c r="AJ237" s="162" t="n"/>
      <c r="AK237" s="162" t="n"/>
      <c r="AL237" s="162" t="n"/>
      <c r="AM237" s="162" t="n"/>
      <c r="AN237" s="162" t="n"/>
      <c r="AO237" s="162" t="n"/>
      <c r="AP237" s="162" t="n"/>
      <c r="AQ237" s="162" t="n"/>
      <c r="AR237" s="162" t="n"/>
      <c r="AS237" s="162" t="n"/>
      <c r="AT237" s="162" t="n"/>
      <c r="AU237" s="162" t="n"/>
      <c r="AV237" s="162" t="n"/>
      <c r="AW237" s="162" t="n"/>
      <c r="AX237" s="162" t="n"/>
      <c r="AY237" s="162" t="n"/>
      <c r="AZ237" s="162" t="n"/>
      <c r="BA237" s="162" t="n"/>
      <c r="BB237" s="162" t="n"/>
      <c r="BC237" s="162" t="n"/>
      <c r="BD237" s="162" t="n"/>
      <c r="BE237" s="162" t="n"/>
      <c r="BF237" s="162" t="n"/>
      <c r="BG237" s="162" t="n"/>
      <c r="BH237" s="162" t="n"/>
      <c r="BI237" s="162" t="n"/>
      <c r="BJ237" s="162" t="n"/>
      <c r="BK237" s="162" t="n"/>
      <c r="BL237" s="162" t="n"/>
      <c r="BM237" s="162" t="n"/>
      <c r="BN237" s="162" t="n"/>
      <c r="BO237" s="162" t="n"/>
      <c r="BP237" s="162" t="n"/>
      <c r="BQ237" s="162" t="n"/>
      <c r="BR237" s="162" t="n"/>
      <c r="BS237" s="162" t="n"/>
      <c r="BT237" s="162" t="n"/>
      <c r="BU237" s="162" t="n"/>
      <c r="BV237" s="162" t="n"/>
      <c r="BW237" s="162" t="n"/>
      <c r="BX237" s="162" t="n"/>
      <c r="BY237" s="162" t="n"/>
      <c r="BZ237" s="162" t="n"/>
      <c r="CA237" s="162" t="n"/>
      <c r="CB237" s="162" t="n"/>
      <c r="CC237" s="162" t="n"/>
      <c r="CD237" s="162" t="n"/>
      <c r="CE237" s="162" t="n"/>
      <c r="CF237" s="162" t="n"/>
      <c r="CG237" s="162" t="n"/>
      <c r="CH237" s="162" t="n"/>
      <c r="CI237" s="162" t="n"/>
      <c r="CJ237" s="162" t="n"/>
      <c r="CK237" s="162" t="n"/>
      <c r="CL237" s="162" t="n"/>
      <c r="CM237" s="162" t="n"/>
      <c r="CN237" s="162" t="n"/>
      <c r="CO237" s="162" t="n"/>
      <c r="CP237" s="162" t="n"/>
      <c r="CQ237" s="162" t="n"/>
      <c r="CR237" s="162" t="n"/>
      <c r="CS237" s="162" t="n"/>
      <c r="CT237" s="162" t="n"/>
    </row>
    <row r="238" ht="18.75" customHeight="1">
      <c r="A238" s="175" t="n">
        <v>1</v>
      </c>
      <c r="B238" s="165" t="n">
        <v>9</v>
      </c>
      <c r="C238" s="164" t="n">
        <v>45778</v>
      </c>
      <c r="D238" s="165" t="inlineStr">
        <is>
          <t>219 G. SAN JOSE 2</t>
        </is>
      </c>
      <c r="E238" s="165" t="n">
        <v>40831</v>
      </c>
      <c r="F238" s="165" t="inlineStr">
        <is>
          <t>ALBERTO LOPEZ</t>
        </is>
      </c>
      <c r="G238" s="165" t="n">
        <v>3338</v>
      </c>
      <c r="H238" s="165" t="n">
        <v>3338</v>
      </c>
      <c r="I238" s="165" t="n">
        <v>3319</v>
      </c>
      <c r="J238" s="165" t="n">
        <v>5</v>
      </c>
      <c r="K238" s="165" t="n">
        <v>14</v>
      </c>
      <c r="L238" s="165" t="n">
        <v>0</v>
      </c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  <c r="AA238" s="162" t="n"/>
      <c r="AB238" s="162" t="n"/>
      <c r="AC238" s="162" t="n"/>
      <c r="AD238" s="162" t="n"/>
      <c r="AE238" s="162" t="n"/>
      <c r="AF238" s="162" t="n"/>
      <c r="AG238" s="162" t="n"/>
      <c r="AH238" s="162" t="n"/>
      <c r="AI238" s="162" t="n"/>
      <c r="AJ238" s="162" t="n"/>
      <c r="AK238" s="162" t="n"/>
      <c r="AL238" s="162" t="n"/>
      <c r="AM238" s="162" t="n"/>
      <c r="AN238" s="162" t="n"/>
      <c r="AO238" s="162" t="n"/>
      <c r="AP238" s="162" t="n"/>
      <c r="AQ238" s="162" t="n"/>
      <c r="AR238" s="162" t="n"/>
      <c r="AS238" s="162" t="n"/>
      <c r="AT238" s="162" t="n"/>
      <c r="AU238" s="162" t="n"/>
      <c r="AV238" s="162" t="n"/>
      <c r="AW238" s="162" t="n"/>
      <c r="AX238" s="162" t="n"/>
      <c r="AY238" s="162" t="n"/>
      <c r="AZ238" s="162" t="n"/>
      <c r="BA238" s="162" t="n"/>
      <c r="BB238" s="162" t="n"/>
      <c r="BC238" s="162" t="n"/>
      <c r="BD238" s="162" t="n"/>
      <c r="BE238" s="162" t="n"/>
      <c r="BF238" s="162" t="n"/>
      <c r="BG238" s="162" t="n"/>
      <c r="BH238" s="162" t="n"/>
      <c r="BI238" s="162" t="n"/>
      <c r="BJ238" s="162" t="n"/>
      <c r="BK238" s="162" t="n"/>
      <c r="BL238" s="162" t="n"/>
      <c r="BM238" s="162" t="n"/>
      <c r="BN238" s="162" t="n"/>
      <c r="BO238" s="162" t="n"/>
      <c r="BP238" s="162" t="n"/>
      <c r="BQ238" s="162" t="n"/>
      <c r="BR238" s="162" t="n"/>
      <c r="BS238" s="162" t="n"/>
      <c r="BT238" s="162" t="n"/>
      <c r="BU238" s="162" t="n"/>
      <c r="BV238" s="162" t="n"/>
      <c r="BW238" s="162" t="n"/>
      <c r="BX238" s="162" t="n"/>
      <c r="BY238" s="162" t="n"/>
      <c r="BZ238" s="162" t="n"/>
      <c r="CA238" s="162" t="n"/>
      <c r="CB238" s="162" t="n"/>
      <c r="CC238" s="162" t="n"/>
      <c r="CD238" s="162" t="n"/>
      <c r="CE238" s="162" t="n"/>
      <c r="CF238" s="162" t="n"/>
      <c r="CG238" s="162" t="n"/>
      <c r="CH238" s="162" t="n"/>
      <c r="CI238" s="162" t="n"/>
      <c r="CJ238" s="162" t="n"/>
      <c r="CK238" s="162" t="n"/>
      <c r="CL238" s="162" t="n"/>
      <c r="CM238" s="162" t="n"/>
      <c r="CN238" s="162" t="n"/>
      <c r="CO238" s="162" t="n"/>
      <c r="CP238" s="162" t="n"/>
      <c r="CQ238" s="162" t="n"/>
      <c r="CR238" s="162" t="n"/>
      <c r="CS238" s="162" t="n"/>
      <c r="CT238" s="162" t="n"/>
    </row>
    <row r="239" ht="18.75" customHeight="1">
      <c r="A239" s="175" t="n">
        <v>2</v>
      </c>
      <c r="B239" s="165" t="n">
        <v>10</v>
      </c>
      <c r="C239" s="164" t="n">
        <v>45778</v>
      </c>
      <c r="D239" s="165" t="inlineStr">
        <is>
          <t>219 G. SAN JOSE 2</t>
        </is>
      </c>
      <c r="E239" s="165" t="n">
        <v>40832</v>
      </c>
      <c r="F239" s="165" t="inlineStr">
        <is>
          <t>JHON ARIAS</t>
        </is>
      </c>
      <c r="G239" s="165" t="n">
        <v>3338</v>
      </c>
      <c r="H239" s="165" t="n">
        <v>3338</v>
      </c>
      <c r="I239" s="165" t="n">
        <v>3320</v>
      </c>
      <c r="J239" s="165" t="n">
        <v>3</v>
      </c>
      <c r="K239" s="165" t="n">
        <v>13</v>
      </c>
      <c r="L239" s="165" t="n">
        <v>2</v>
      </c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  <c r="AA239" s="162" t="n"/>
      <c r="AB239" s="162" t="n"/>
      <c r="AC239" s="162" t="n"/>
      <c r="AD239" s="162" t="n"/>
      <c r="AE239" s="162" t="n"/>
      <c r="AF239" s="162" t="n"/>
      <c r="AG239" s="162" t="n"/>
      <c r="AH239" s="162" t="n"/>
      <c r="AI239" s="162" t="n"/>
      <c r="AJ239" s="162" t="n"/>
      <c r="AK239" s="162" t="n"/>
      <c r="AL239" s="162" t="n"/>
      <c r="AM239" s="162" t="n"/>
      <c r="AN239" s="162" t="n"/>
      <c r="AO239" s="162" t="n"/>
      <c r="AP239" s="162" t="n"/>
      <c r="AQ239" s="162" t="n"/>
      <c r="AR239" s="162" t="n"/>
      <c r="AS239" s="162" t="n"/>
      <c r="AT239" s="162" t="n"/>
      <c r="AU239" s="162" t="n"/>
      <c r="AV239" s="162" t="n"/>
      <c r="AW239" s="162" t="n"/>
      <c r="AX239" s="162" t="n"/>
      <c r="AY239" s="162" t="n"/>
      <c r="AZ239" s="162" t="n"/>
      <c r="BA239" s="162" t="n"/>
      <c r="BB239" s="162" t="n"/>
      <c r="BC239" s="162" t="n"/>
      <c r="BD239" s="162" t="n"/>
      <c r="BE239" s="162" t="n"/>
      <c r="BF239" s="162" t="n"/>
      <c r="BG239" s="162" t="n"/>
      <c r="BH239" s="162" t="n"/>
      <c r="BI239" s="162" t="n"/>
      <c r="BJ239" s="162" t="n"/>
      <c r="BK239" s="162" t="n"/>
      <c r="BL239" s="162" t="n"/>
      <c r="BM239" s="162" t="n"/>
      <c r="BN239" s="162" t="n"/>
      <c r="BO239" s="162" t="n"/>
      <c r="BP239" s="162" t="n"/>
      <c r="BQ239" s="162" t="n"/>
      <c r="BR239" s="162" t="n"/>
      <c r="BS239" s="162" t="n"/>
      <c r="BT239" s="162" t="n"/>
      <c r="BU239" s="162" t="n"/>
      <c r="BV239" s="162" t="n"/>
      <c r="BW239" s="162" t="n"/>
      <c r="BX239" s="162" t="n"/>
      <c r="BY239" s="162" t="n"/>
      <c r="BZ239" s="162" t="n"/>
      <c r="CA239" s="162" t="n"/>
      <c r="CB239" s="162" t="n"/>
      <c r="CC239" s="162" t="n"/>
      <c r="CD239" s="162" t="n"/>
      <c r="CE239" s="162" t="n"/>
      <c r="CF239" s="162" t="n"/>
      <c r="CG239" s="162" t="n"/>
      <c r="CH239" s="162" t="n"/>
      <c r="CI239" s="162" t="n"/>
      <c r="CJ239" s="162" t="n"/>
      <c r="CK239" s="162" t="n"/>
      <c r="CL239" s="162" t="n"/>
      <c r="CM239" s="162" t="n"/>
      <c r="CN239" s="162" t="n"/>
      <c r="CO239" s="162" t="n"/>
      <c r="CP239" s="162" t="n"/>
      <c r="CQ239" s="162" t="n"/>
      <c r="CR239" s="162" t="n"/>
      <c r="CS239" s="162" t="n"/>
      <c r="CT239" s="162" t="n"/>
    </row>
    <row r="240" ht="15" customHeight="1">
      <c r="A240" s="175" t="n">
        <v>3</v>
      </c>
      <c r="B240" s="165" t="n">
        <v>11</v>
      </c>
      <c r="C240" s="164" t="n">
        <v>45778</v>
      </c>
      <c r="D240" s="166" t="inlineStr">
        <is>
          <t>219 G. SAN JOSE 2</t>
        </is>
      </c>
      <c r="E240" s="166" t="n">
        <v>40833</v>
      </c>
      <c r="F240" s="166" t="inlineStr">
        <is>
          <t>JOSE SOLER</t>
        </is>
      </c>
      <c r="G240" s="166" t="n">
        <v>3338</v>
      </c>
      <c r="H240" s="166" t="n">
        <v>3338</v>
      </c>
      <c r="I240" s="166" t="n">
        <v>3321</v>
      </c>
      <c r="J240" s="166" t="n">
        <v>3</v>
      </c>
      <c r="K240" s="166" t="n">
        <v>13</v>
      </c>
      <c r="L240" s="166" t="n">
        <v>1</v>
      </c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  <c r="AA240" s="162" t="n"/>
      <c r="AB240" s="162" t="n"/>
      <c r="AC240" s="162" t="n"/>
      <c r="AD240" s="162" t="n"/>
      <c r="AE240" s="162" t="n"/>
      <c r="AF240" s="162" t="n"/>
      <c r="AG240" s="162" t="n"/>
      <c r="AH240" s="162" t="n"/>
      <c r="AI240" s="162" t="n"/>
      <c r="AJ240" s="162" t="n"/>
      <c r="AK240" s="162" t="n"/>
      <c r="AL240" s="162" t="n"/>
      <c r="AM240" s="162" t="n"/>
      <c r="AN240" s="162" t="n"/>
      <c r="AO240" s="162" t="n"/>
      <c r="AP240" s="162" t="n"/>
      <c r="AQ240" s="162" t="n"/>
      <c r="AR240" s="162" t="n"/>
      <c r="AS240" s="162" t="n"/>
      <c r="AT240" s="162" t="n"/>
      <c r="AU240" s="162" t="n"/>
      <c r="AV240" s="162" t="n"/>
      <c r="AW240" s="162" t="n"/>
      <c r="AX240" s="162" t="n"/>
      <c r="AY240" s="162" t="n"/>
      <c r="AZ240" s="162" t="n"/>
      <c r="BA240" s="162" t="n"/>
      <c r="BB240" s="162" t="n"/>
      <c r="BC240" s="162" t="n"/>
      <c r="BD240" s="162" t="n"/>
      <c r="BE240" s="162" t="n"/>
      <c r="BF240" s="162" t="n"/>
      <c r="BG240" s="162" t="n"/>
      <c r="BH240" s="162" t="n"/>
      <c r="BI240" s="162" t="n"/>
      <c r="BJ240" s="162" t="n"/>
      <c r="BK240" s="162" t="n"/>
      <c r="BL240" s="162" t="n"/>
      <c r="BM240" s="162" t="n"/>
      <c r="BN240" s="162" t="n"/>
      <c r="BO240" s="162" t="n"/>
      <c r="BP240" s="162" t="n"/>
      <c r="BQ240" s="162" t="n"/>
      <c r="BR240" s="162" t="n"/>
      <c r="BS240" s="162" t="n"/>
      <c r="BT240" s="162" t="n"/>
      <c r="BU240" s="162" t="n"/>
      <c r="BV240" s="162" t="n"/>
      <c r="BW240" s="162" t="n"/>
      <c r="BX240" s="162" t="n"/>
      <c r="BY240" s="162" t="n"/>
      <c r="BZ240" s="162" t="n"/>
      <c r="CA240" s="162" t="n"/>
      <c r="CB240" s="162" t="n"/>
      <c r="CC240" s="162" t="n"/>
      <c r="CD240" s="162" t="n"/>
      <c r="CE240" s="162" t="n"/>
      <c r="CF240" s="162" t="n"/>
      <c r="CG240" s="162" t="n"/>
      <c r="CH240" s="162" t="n"/>
      <c r="CI240" s="162" t="n"/>
      <c r="CJ240" s="162" t="n"/>
      <c r="CK240" s="162" t="n"/>
      <c r="CL240" s="162" t="n"/>
      <c r="CM240" s="162" t="n"/>
      <c r="CN240" s="162" t="n"/>
      <c r="CO240" s="162" t="n"/>
      <c r="CP240" s="162" t="n"/>
      <c r="CQ240" s="162" t="n"/>
      <c r="CR240" s="162" t="n"/>
      <c r="CS240" s="162" t="n"/>
      <c r="CT240" s="162" t="n"/>
    </row>
    <row r="241" ht="15" customHeight="1">
      <c r="A241" s="175" t="n">
        <v>4</v>
      </c>
      <c r="B241" s="165" t="n">
        <v>12</v>
      </c>
      <c r="C241" s="164" t="n">
        <v>45778</v>
      </c>
      <c r="D241" s="166" t="inlineStr">
        <is>
          <t>219 G. SAN JOSE 2</t>
        </is>
      </c>
      <c r="E241" s="166" t="n">
        <v>40834</v>
      </c>
      <c r="F241" s="166" t="inlineStr">
        <is>
          <t>DIEGO NIÑO</t>
        </is>
      </c>
      <c r="G241" s="166" t="n">
        <v>3121</v>
      </c>
      <c r="H241" s="166" t="n">
        <v>3121</v>
      </c>
      <c r="I241" s="166" t="n">
        <v>3090</v>
      </c>
      <c r="J241" s="166" t="n">
        <v>5</v>
      </c>
      <c r="K241" s="166" t="n">
        <v>36</v>
      </c>
      <c r="L241" s="166" t="n">
        <v>-10</v>
      </c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  <c r="AA241" s="162" t="n"/>
      <c r="AB241" s="162" t="n"/>
      <c r="AC241" s="162" t="n"/>
      <c r="AD241" s="162" t="n"/>
      <c r="AE241" s="162" t="n"/>
      <c r="AF241" s="162" t="n"/>
      <c r="AG241" s="162" t="n"/>
      <c r="AH241" s="162" t="n"/>
      <c r="AI241" s="162" t="n"/>
      <c r="AJ241" s="162" t="n"/>
      <c r="AK241" s="162" t="n"/>
      <c r="AL241" s="162" t="n"/>
      <c r="AM241" s="162" t="n"/>
      <c r="AN241" s="162" t="n"/>
      <c r="AO241" s="162" t="n"/>
      <c r="AP241" s="162" t="n"/>
      <c r="AQ241" s="162" t="n"/>
      <c r="AR241" s="162" t="n"/>
      <c r="AS241" s="162" t="n"/>
      <c r="AT241" s="162" t="n"/>
      <c r="AU241" s="162" t="n"/>
      <c r="AV241" s="162" t="n"/>
      <c r="AW241" s="162" t="n"/>
      <c r="AX241" s="162" t="n"/>
      <c r="AY241" s="162" t="n"/>
      <c r="AZ241" s="162" t="n"/>
      <c r="BA241" s="162" t="n"/>
      <c r="BB241" s="162" t="n"/>
      <c r="BC241" s="162" t="n"/>
      <c r="BD241" s="162" t="n"/>
      <c r="BE241" s="162" t="n"/>
      <c r="BF241" s="162" t="n"/>
      <c r="BG241" s="162" t="n"/>
      <c r="BH241" s="162" t="n"/>
      <c r="BI241" s="162" t="n"/>
      <c r="BJ241" s="162" t="n"/>
      <c r="BK241" s="162" t="n"/>
      <c r="BL241" s="162" t="n"/>
      <c r="BM241" s="162" t="n"/>
      <c r="BN241" s="162" t="n"/>
      <c r="BO241" s="162" t="n"/>
      <c r="BP241" s="162" t="n"/>
      <c r="BQ241" s="162" t="n"/>
      <c r="BR241" s="162" t="n"/>
      <c r="BS241" s="162" t="n"/>
      <c r="BT241" s="162" t="n"/>
      <c r="BU241" s="162" t="n"/>
      <c r="BV241" s="162" t="n"/>
      <c r="BW241" s="162" t="n"/>
      <c r="BX241" s="162" t="n"/>
      <c r="BY241" s="162" t="n"/>
      <c r="BZ241" s="162" t="n"/>
      <c r="CA241" s="162" t="n"/>
      <c r="CB241" s="162" t="n"/>
      <c r="CC241" s="162" t="n"/>
      <c r="CD241" s="162" t="n"/>
      <c r="CE241" s="162" t="n"/>
      <c r="CF241" s="162" t="n"/>
      <c r="CG241" s="162" t="n"/>
      <c r="CH241" s="162" t="n"/>
      <c r="CI241" s="162" t="n"/>
      <c r="CJ241" s="162" t="n"/>
      <c r="CK241" s="162" t="n"/>
      <c r="CL241" s="162" t="n"/>
      <c r="CM241" s="162" t="n"/>
      <c r="CN241" s="162" t="n"/>
      <c r="CO241" s="162" t="n"/>
      <c r="CP241" s="162" t="n"/>
      <c r="CQ241" s="162" t="n"/>
      <c r="CR241" s="162" t="n"/>
      <c r="CS241" s="162" t="n"/>
      <c r="CT241" s="162" t="n"/>
    </row>
    <row r="242" ht="15" customHeight="1">
      <c r="A242" s="175" t="n">
        <v>5</v>
      </c>
      <c r="B242" s="165" t="n">
        <v>13</v>
      </c>
      <c r="C242" s="164" t="n">
        <v>45778</v>
      </c>
      <c r="D242" s="166" t="inlineStr">
        <is>
          <t>219 G. SAN JOSE 2</t>
        </is>
      </c>
      <c r="E242" s="166" t="n">
        <v>40843</v>
      </c>
      <c r="F242" s="166" t="inlineStr">
        <is>
          <t>ALBERTO HERRERA</t>
        </is>
      </c>
      <c r="G242" s="166" t="n">
        <v>3121</v>
      </c>
      <c r="H242" s="166" t="n">
        <v>3121</v>
      </c>
      <c r="I242" s="166" t="n">
        <v>3094</v>
      </c>
      <c r="J242" s="166" t="n">
        <v>8</v>
      </c>
      <c r="K242" s="166" t="n">
        <v>21</v>
      </c>
      <c r="L242" s="166" t="n">
        <v>-2</v>
      </c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  <c r="AA242" s="162" t="n"/>
      <c r="AB242" s="162" t="n"/>
      <c r="AC242" s="162" t="n"/>
      <c r="AD242" s="162" t="n"/>
      <c r="AE242" s="162" t="n"/>
      <c r="AF242" s="162" t="n"/>
      <c r="AG242" s="162" t="n"/>
      <c r="AH242" s="162" t="n"/>
      <c r="AI242" s="162" t="n"/>
      <c r="AJ242" s="162" t="n"/>
      <c r="AK242" s="162" t="n"/>
      <c r="AL242" s="162" t="n"/>
      <c r="AM242" s="162" t="n"/>
      <c r="AN242" s="162" t="n"/>
      <c r="AO242" s="162" t="n"/>
      <c r="AP242" s="162" t="n"/>
      <c r="AQ242" s="162" t="n"/>
      <c r="AR242" s="162" t="n"/>
      <c r="AS242" s="162" t="n"/>
      <c r="AT242" s="162" t="n"/>
      <c r="AU242" s="162" t="n"/>
      <c r="AV242" s="162" t="n"/>
      <c r="AW242" s="162" t="n"/>
      <c r="AX242" s="162" t="n"/>
      <c r="AY242" s="162" t="n"/>
      <c r="AZ242" s="162" t="n"/>
      <c r="BA242" s="162" t="n"/>
      <c r="BB242" s="162" t="n"/>
      <c r="BC242" s="162" t="n"/>
      <c r="BD242" s="162" t="n"/>
      <c r="BE242" s="162" t="n"/>
      <c r="BF242" s="162" t="n"/>
      <c r="BG242" s="162" t="n"/>
      <c r="BH242" s="162" t="n"/>
      <c r="BI242" s="162" t="n"/>
      <c r="BJ242" s="162" t="n"/>
      <c r="BK242" s="162" t="n"/>
      <c r="BL242" s="162" t="n"/>
      <c r="BM242" s="162" t="n"/>
      <c r="BN242" s="162" t="n"/>
      <c r="BO242" s="162" t="n"/>
      <c r="BP242" s="162" t="n"/>
      <c r="BQ242" s="162" t="n"/>
      <c r="BR242" s="162" t="n"/>
      <c r="BS242" s="162" t="n"/>
      <c r="BT242" s="162" t="n"/>
      <c r="BU242" s="162" t="n"/>
      <c r="BV242" s="162" t="n"/>
      <c r="BW242" s="162" t="n"/>
      <c r="BX242" s="162" t="n"/>
      <c r="BY242" s="162" t="n"/>
      <c r="BZ242" s="162" t="n"/>
      <c r="CA242" s="162" t="n"/>
      <c r="CB242" s="162" t="n"/>
      <c r="CC242" s="162" t="n"/>
      <c r="CD242" s="162" t="n"/>
      <c r="CE242" s="162" t="n"/>
      <c r="CF242" s="162" t="n"/>
      <c r="CG242" s="162" t="n"/>
      <c r="CH242" s="162" t="n"/>
      <c r="CI242" s="162" t="n"/>
      <c r="CJ242" s="162" t="n"/>
      <c r="CK242" s="162" t="n"/>
      <c r="CL242" s="162" t="n"/>
      <c r="CM242" s="162" t="n"/>
      <c r="CN242" s="162" t="n"/>
      <c r="CO242" s="162" t="n"/>
      <c r="CP242" s="162" t="n"/>
      <c r="CQ242" s="162" t="n"/>
      <c r="CR242" s="162" t="n"/>
      <c r="CS242" s="162" t="n"/>
      <c r="CT242" s="162" t="n"/>
    </row>
    <row r="243" ht="15" customHeight="1">
      <c r="A243" s="175" t="n">
        <v>6</v>
      </c>
      <c r="B243" s="165" t="n">
        <v>14</v>
      </c>
      <c r="C243" s="164" t="n">
        <v>45778</v>
      </c>
      <c r="D243" s="166" t="inlineStr">
        <is>
          <t>219 G. SAN JOSE 2</t>
        </is>
      </c>
      <c r="E243" s="166" t="n">
        <v>40844</v>
      </c>
      <c r="F243" s="166" t="inlineStr">
        <is>
          <t>FABIO ALDANA</t>
        </is>
      </c>
      <c r="G243" s="166" t="n">
        <v>3121</v>
      </c>
      <c r="H243" s="166" t="n">
        <v>3121</v>
      </c>
      <c r="I243" s="166" t="n">
        <v>3092</v>
      </c>
      <c r="J243" s="166" t="n">
        <v>11</v>
      </c>
      <c r="K243" s="166" t="n">
        <v>22</v>
      </c>
      <c r="L243" s="166" t="n">
        <v>-4</v>
      </c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  <c r="AA243" s="162" t="n"/>
      <c r="AB243" s="162" t="n"/>
      <c r="AC243" s="162" t="n"/>
      <c r="AD243" s="162" t="n"/>
      <c r="AE243" s="162" t="n"/>
      <c r="AF243" s="162" t="n"/>
      <c r="AG243" s="162" t="n"/>
      <c r="AH243" s="162" t="n"/>
      <c r="AI243" s="162" t="n"/>
      <c r="AJ243" s="162" t="n"/>
      <c r="AK243" s="162" t="n"/>
      <c r="AL243" s="162" t="n"/>
      <c r="AM243" s="162" t="n"/>
      <c r="AN243" s="162" t="n"/>
      <c r="AO243" s="162" t="n"/>
      <c r="AP243" s="162" t="n"/>
      <c r="AQ243" s="162" t="n"/>
      <c r="AR243" s="162" t="n"/>
      <c r="AS243" s="162" t="n"/>
      <c r="AT243" s="162" t="n"/>
      <c r="AU243" s="162" t="n"/>
      <c r="AV243" s="162" t="n"/>
      <c r="AW243" s="162" t="n"/>
      <c r="AX243" s="162" t="n"/>
      <c r="AY243" s="162" t="n"/>
      <c r="AZ243" s="162" t="n"/>
      <c r="BA243" s="162" t="n"/>
      <c r="BB243" s="162" t="n"/>
      <c r="BC243" s="162" t="n"/>
      <c r="BD243" s="162" t="n"/>
      <c r="BE243" s="162" t="n"/>
      <c r="BF243" s="162" t="n"/>
      <c r="BG243" s="162" t="n"/>
      <c r="BH243" s="162" t="n"/>
      <c r="BI243" s="162" t="n"/>
      <c r="BJ243" s="162" t="n"/>
      <c r="BK243" s="162" t="n"/>
      <c r="BL243" s="162" t="n"/>
      <c r="BM243" s="162" t="n"/>
      <c r="BN243" s="162" t="n"/>
      <c r="BO243" s="162" t="n"/>
      <c r="BP243" s="162" t="n"/>
      <c r="BQ243" s="162" t="n"/>
      <c r="BR243" s="162" t="n"/>
      <c r="BS243" s="162" t="n"/>
      <c r="BT243" s="162" t="n"/>
      <c r="BU243" s="162" t="n"/>
      <c r="BV243" s="162" t="n"/>
      <c r="BW243" s="162" t="n"/>
      <c r="BX243" s="162" t="n"/>
      <c r="BY243" s="162" t="n"/>
      <c r="BZ243" s="162" t="n"/>
      <c r="CA243" s="162" t="n"/>
      <c r="CB243" s="162" t="n"/>
      <c r="CC243" s="162" t="n"/>
      <c r="CD243" s="162" t="n"/>
      <c r="CE243" s="162" t="n"/>
      <c r="CF243" s="162" t="n"/>
      <c r="CG243" s="162" t="n"/>
      <c r="CH243" s="162" t="n"/>
      <c r="CI243" s="162" t="n"/>
      <c r="CJ243" s="162" t="n"/>
      <c r="CK243" s="162" t="n"/>
      <c r="CL243" s="162" t="n"/>
      <c r="CM243" s="162" t="n"/>
      <c r="CN243" s="162" t="n"/>
      <c r="CO243" s="162" t="n"/>
      <c r="CP243" s="162" t="n"/>
      <c r="CQ243" s="162" t="n"/>
      <c r="CR243" s="162" t="n"/>
      <c r="CS243" s="162" t="n"/>
      <c r="CT243" s="162" t="n"/>
    </row>
    <row r="244" ht="15" customHeight="1">
      <c r="A244" s="175" t="n">
        <v>7</v>
      </c>
      <c r="B244" s="165" t="n">
        <v>15</v>
      </c>
      <c r="C244" s="164" t="n">
        <v>45778</v>
      </c>
      <c r="D244" s="166" t="inlineStr">
        <is>
          <t>219 G. SAN JOSE 2</t>
        </is>
      </c>
      <c r="E244" s="166" t="n">
        <v>40845</v>
      </c>
      <c r="F244" s="166" t="inlineStr">
        <is>
          <t>WILMER PIÑEROS</t>
        </is>
      </c>
      <c r="G244" s="166" t="n">
        <v>2974</v>
      </c>
      <c r="H244" s="166" t="n">
        <v>2974</v>
      </c>
      <c r="I244" s="166" t="n">
        <v>2946</v>
      </c>
      <c r="J244" s="166" t="n">
        <v>9</v>
      </c>
      <c r="K244" s="166" t="n">
        <v>19</v>
      </c>
      <c r="L244" s="166" t="n">
        <v>0</v>
      </c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  <c r="AA244" s="162" t="n"/>
      <c r="AB244" s="162" t="n"/>
      <c r="AC244" s="162" t="n"/>
      <c r="AD244" s="162" t="n"/>
      <c r="AE244" s="162" t="n"/>
      <c r="AF244" s="162" t="n"/>
      <c r="AG244" s="162" t="n"/>
      <c r="AH244" s="162" t="n"/>
      <c r="AI244" s="162" t="n"/>
      <c r="AJ244" s="162" t="n"/>
      <c r="AK244" s="162" t="n"/>
      <c r="AL244" s="162" t="n"/>
      <c r="AM244" s="162" t="n"/>
      <c r="AN244" s="162" t="n"/>
      <c r="AO244" s="162" t="n"/>
      <c r="AP244" s="162" t="n"/>
      <c r="AQ244" s="162" t="n"/>
      <c r="AR244" s="162" t="n"/>
      <c r="AS244" s="162" t="n"/>
      <c r="AT244" s="162" t="n"/>
      <c r="AU244" s="162" t="n"/>
      <c r="AV244" s="162" t="n"/>
      <c r="AW244" s="162" t="n"/>
      <c r="AX244" s="162" t="n"/>
      <c r="AY244" s="162" t="n"/>
      <c r="AZ244" s="162" t="n"/>
      <c r="BA244" s="162" t="n"/>
      <c r="BB244" s="162" t="n"/>
      <c r="BC244" s="162" t="n"/>
      <c r="BD244" s="162" t="n"/>
      <c r="BE244" s="162" t="n"/>
      <c r="BF244" s="162" t="n"/>
      <c r="BG244" s="162" t="n"/>
      <c r="BH244" s="162" t="n"/>
      <c r="BI244" s="162" t="n"/>
      <c r="BJ244" s="162" t="n"/>
      <c r="BK244" s="162" t="n"/>
      <c r="BL244" s="162" t="n"/>
      <c r="BM244" s="162" t="n"/>
      <c r="BN244" s="162" t="n"/>
      <c r="BO244" s="162" t="n"/>
      <c r="BP244" s="162" t="n"/>
      <c r="BQ244" s="162" t="n"/>
      <c r="BR244" s="162" t="n"/>
      <c r="BS244" s="162" t="n"/>
      <c r="BT244" s="162" t="n"/>
      <c r="BU244" s="162" t="n"/>
      <c r="BV244" s="162" t="n"/>
      <c r="BW244" s="162" t="n"/>
      <c r="BX244" s="162" t="n"/>
      <c r="BY244" s="162" t="n"/>
      <c r="BZ244" s="162" t="n"/>
      <c r="CA244" s="162" t="n"/>
      <c r="CB244" s="162" t="n"/>
      <c r="CC244" s="162" t="n"/>
      <c r="CD244" s="162" t="n"/>
      <c r="CE244" s="162" t="n"/>
      <c r="CF244" s="162" t="n"/>
      <c r="CG244" s="162" t="n"/>
      <c r="CH244" s="162" t="n"/>
      <c r="CI244" s="162" t="n"/>
      <c r="CJ244" s="162" t="n"/>
      <c r="CK244" s="162" t="n"/>
      <c r="CL244" s="162" t="n"/>
      <c r="CM244" s="162" t="n"/>
      <c r="CN244" s="162" t="n"/>
      <c r="CO244" s="162" t="n"/>
      <c r="CP244" s="162" t="n"/>
      <c r="CQ244" s="162" t="n"/>
      <c r="CR244" s="162" t="n"/>
      <c r="CS244" s="162" t="n"/>
      <c r="CT244" s="162" t="n"/>
    </row>
    <row r="245" ht="15" customHeight="1">
      <c r="A245" s="175" t="n">
        <v>8</v>
      </c>
      <c r="B245" s="165" t="n">
        <v>16</v>
      </c>
      <c r="C245" s="164" t="n">
        <v>45778</v>
      </c>
      <c r="D245" s="166" t="inlineStr">
        <is>
          <t>219 G. SAN JOSE 2</t>
        </is>
      </c>
      <c r="E245" s="166" t="n">
        <v>40846</v>
      </c>
      <c r="F245" s="166" t="inlineStr">
        <is>
          <t>ALBERTO LOPEZ</t>
        </is>
      </c>
      <c r="G245" s="166" t="n">
        <v>2970</v>
      </c>
      <c r="H245" s="166" t="n">
        <v>2974</v>
      </c>
      <c r="I245" s="166" t="n">
        <v>2946</v>
      </c>
      <c r="J245" s="166" t="n">
        <v>11</v>
      </c>
      <c r="K245" s="166" t="n">
        <v>20</v>
      </c>
      <c r="L245" s="166" t="n">
        <v>-7</v>
      </c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  <c r="AA245" s="162" t="n"/>
      <c r="AB245" s="162" t="n"/>
      <c r="AC245" s="162" t="n"/>
      <c r="AD245" s="162" t="n"/>
      <c r="AE245" s="162" t="n"/>
      <c r="AF245" s="162" t="n"/>
      <c r="AG245" s="162" t="n"/>
      <c r="AH245" s="162" t="n"/>
      <c r="AI245" s="162" t="n"/>
      <c r="AJ245" s="162" t="n"/>
      <c r="AK245" s="162" t="n"/>
      <c r="AL245" s="162" t="n"/>
      <c r="AM245" s="162" t="n"/>
      <c r="AN245" s="162" t="n"/>
      <c r="AO245" s="162" t="n"/>
      <c r="AP245" s="162" t="n"/>
      <c r="AQ245" s="162" t="n"/>
      <c r="AR245" s="162" t="n"/>
      <c r="AS245" s="162" t="n"/>
      <c r="AT245" s="162" t="n"/>
      <c r="AU245" s="162" t="n"/>
      <c r="AV245" s="162" t="n"/>
      <c r="AW245" s="162" t="n"/>
      <c r="AX245" s="162" t="n"/>
      <c r="AY245" s="162" t="n"/>
      <c r="AZ245" s="162" t="n"/>
      <c r="BA245" s="162" t="n"/>
      <c r="BB245" s="162" t="n"/>
      <c r="BC245" s="162" t="n"/>
      <c r="BD245" s="162" t="n"/>
      <c r="BE245" s="162" t="n"/>
      <c r="BF245" s="162" t="n"/>
      <c r="BG245" s="162" t="n"/>
      <c r="BH245" s="162" t="n"/>
      <c r="BI245" s="162" t="n"/>
      <c r="BJ245" s="162" t="n"/>
      <c r="BK245" s="162" t="n"/>
      <c r="BL245" s="162" t="n"/>
      <c r="BM245" s="162" t="n"/>
      <c r="BN245" s="162" t="n"/>
      <c r="BO245" s="162" t="n"/>
      <c r="BP245" s="162" t="n"/>
      <c r="BQ245" s="162" t="n"/>
      <c r="BR245" s="162" t="n"/>
      <c r="BS245" s="162" t="n"/>
      <c r="BT245" s="162" t="n"/>
      <c r="BU245" s="162" t="n"/>
      <c r="BV245" s="162" t="n"/>
      <c r="BW245" s="162" t="n"/>
      <c r="BX245" s="162" t="n"/>
      <c r="BY245" s="162" t="n"/>
      <c r="BZ245" s="162" t="n"/>
      <c r="CA245" s="162" t="n"/>
      <c r="CB245" s="162" t="n"/>
      <c r="CC245" s="162" t="n"/>
      <c r="CD245" s="162" t="n"/>
      <c r="CE245" s="162" t="n"/>
      <c r="CF245" s="162" t="n"/>
      <c r="CG245" s="162" t="n"/>
      <c r="CH245" s="162" t="n"/>
      <c r="CI245" s="162" t="n"/>
      <c r="CJ245" s="162" t="n"/>
      <c r="CK245" s="162" t="n"/>
      <c r="CL245" s="162" t="n"/>
      <c r="CM245" s="162" t="n"/>
      <c r="CN245" s="162" t="n"/>
      <c r="CO245" s="162" t="n"/>
      <c r="CP245" s="162" t="n"/>
      <c r="CQ245" s="162" t="n"/>
      <c r="CR245" s="162" t="n"/>
      <c r="CS245" s="162" t="n"/>
      <c r="CT245" s="162" t="n"/>
    </row>
    <row r="246" ht="15" customHeight="1">
      <c r="A246" s="175" t="n">
        <v>9</v>
      </c>
      <c r="B246" s="165" t="n">
        <v>17</v>
      </c>
      <c r="C246" s="164" t="n">
        <v>45778</v>
      </c>
      <c r="D246" s="166" t="inlineStr">
        <is>
          <t>219 G. SAN JOSE 2</t>
        </is>
      </c>
      <c r="E246" s="166" t="n">
        <v>40847</v>
      </c>
      <c r="F246" s="166" t="inlineStr">
        <is>
          <t>JHON ARIAS</t>
        </is>
      </c>
      <c r="G246" s="166" t="n">
        <v>2916</v>
      </c>
      <c r="H246" s="166" t="n">
        <v>2916</v>
      </c>
      <c r="I246" s="166" t="n">
        <v>2914</v>
      </c>
      <c r="J246" s="166" t="n">
        <v>6</v>
      </c>
      <c r="K246" s="166" t="n">
        <v>7</v>
      </c>
      <c r="L246" s="166" t="n">
        <v>-11</v>
      </c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  <c r="AA246" s="162" t="n"/>
      <c r="AB246" s="162" t="n"/>
      <c r="AC246" s="162" t="n"/>
      <c r="AD246" s="162" t="n"/>
      <c r="AE246" s="162" t="n"/>
      <c r="AF246" s="162" t="n"/>
      <c r="AG246" s="162" t="n"/>
      <c r="AH246" s="162" t="n"/>
      <c r="AI246" s="162" t="n"/>
      <c r="AJ246" s="162" t="n"/>
      <c r="AK246" s="162" t="n"/>
      <c r="AL246" s="162" t="n"/>
      <c r="AM246" s="162" t="n"/>
      <c r="AN246" s="162" t="n"/>
      <c r="AO246" s="162" t="n"/>
      <c r="AP246" s="162" t="n"/>
      <c r="AQ246" s="162" t="n"/>
      <c r="AR246" s="162" t="n"/>
      <c r="AS246" s="162" t="n"/>
      <c r="AT246" s="162" t="n"/>
      <c r="AU246" s="162" t="n"/>
      <c r="AV246" s="162" t="n"/>
      <c r="AW246" s="162" t="n"/>
      <c r="AX246" s="162" t="n"/>
      <c r="AY246" s="162" t="n"/>
      <c r="AZ246" s="162" t="n"/>
      <c r="BA246" s="162" t="n"/>
      <c r="BB246" s="162" t="n"/>
      <c r="BC246" s="162" t="n"/>
      <c r="BD246" s="162" t="n"/>
      <c r="BE246" s="162" t="n"/>
      <c r="BF246" s="162" t="n"/>
      <c r="BG246" s="162" t="n"/>
      <c r="BH246" s="162" t="n"/>
      <c r="BI246" s="162" t="n"/>
      <c r="BJ246" s="162" t="n"/>
      <c r="BK246" s="162" t="n"/>
      <c r="BL246" s="162" t="n"/>
      <c r="BM246" s="162" t="n"/>
      <c r="BN246" s="162" t="n"/>
      <c r="BO246" s="162" t="n"/>
      <c r="BP246" s="162" t="n"/>
      <c r="BQ246" s="162" t="n"/>
      <c r="BR246" s="162" t="n"/>
      <c r="BS246" s="162" t="n"/>
      <c r="BT246" s="162" t="n"/>
      <c r="BU246" s="162" t="n"/>
      <c r="BV246" s="162" t="n"/>
      <c r="BW246" s="162" t="n"/>
      <c r="BX246" s="162" t="n"/>
      <c r="BY246" s="162" t="n"/>
      <c r="BZ246" s="162" t="n"/>
      <c r="CA246" s="162" t="n"/>
      <c r="CB246" s="162" t="n"/>
      <c r="CC246" s="162" t="n"/>
      <c r="CD246" s="162" t="n"/>
      <c r="CE246" s="162" t="n"/>
      <c r="CF246" s="162" t="n"/>
      <c r="CG246" s="162" t="n"/>
      <c r="CH246" s="162" t="n"/>
      <c r="CI246" s="162" t="n"/>
      <c r="CJ246" s="162" t="n"/>
      <c r="CK246" s="162" t="n"/>
      <c r="CL246" s="162" t="n"/>
      <c r="CM246" s="162" t="n"/>
      <c r="CN246" s="162" t="n"/>
      <c r="CO246" s="162" t="n"/>
      <c r="CP246" s="162" t="n"/>
      <c r="CQ246" s="162" t="n"/>
      <c r="CR246" s="162" t="n"/>
      <c r="CS246" s="162" t="n"/>
      <c r="CT246" s="162" t="n"/>
    </row>
    <row r="247" ht="15" customHeight="1">
      <c r="A247" s="175" t="n">
        <v>10</v>
      </c>
      <c r="B247" s="165" t="n">
        <v>18</v>
      </c>
      <c r="C247" s="164" t="n">
        <v>45779</v>
      </c>
      <c r="D247" s="166" t="inlineStr">
        <is>
          <t>219 G. SAN JOSE 2</t>
        </is>
      </c>
      <c r="E247" s="166" t="n">
        <v>40850</v>
      </c>
      <c r="F247" s="166" t="inlineStr">
        <is>
          <t>WILMER PIÑEROS</t>
        </is>
      </c>
      <c r="G247" s="166" t="n">
        <v>3338</v>
      </c>
      <c r="H247" s="166" t="n">
        <v>3338</v>
      </c>
      <c r="I247" s="166" t="n">
        <v>3271</v>
      </c>
      <c r="J247" s="166" t="n">
        <v>12</v>
      </c>
      <c r="K247" s="166" t="n">
        <v>29</v>
      </c>
      <c r="L247" s="166" t="n">
        <v>26</v>
      </c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  <c r="AA247" s="162" t="n"/>
      <c r="AB247" s="162" t="n"/>
      <c r="AC247" s="162" t="n"/>
      <c r="AD247" s="162" t="n"/>
      <c r="AE247" s="162" t="n"/>
      <c r="AF247" s="162" t="n"/>
      <c r="AG247" s="162" t="n"/>
      <c r="AH247" s="162" t="n"/>
      <c r="AI247" s="162" t="n"/>
      <c r="AJ247" s="162" t="n"/>
      <c r="AK247" s="162" t="n"/>
      <c r="AL247" s="162" t="n"/>
      <c r="AM247" s="162" t="n"/>
      <c r="AN247" s="162" t="n"/>
      <c r="AO247" s="162" t="n"/>
      <c r="AP247" s="162" t="n"/>
      <c r="AQ247" s="162" t="n"/>
      <c r="AR247" s="162" t="n"/>
      <c r="AS247" s="162" t="n"/>
      <c r="AT247" s="162" t="n"/>
      <c r="AU247" s="162" t="n"/>
      <c r="AV247" s="162" t="n"/>
      <c r="AW247" s="162" t="n"/>
      <c r="AX247" s="162" t="n"/>
      <c r="AY247" s="162" t="n"/>
      <c r="AZ247" s="162" t="n"/>
      <c r="BA247" s="162" t="n"/>
      <c r="BB247" s="162" t="n"/>
      <c r="BC247" s="162" t="n"/>
      <c r="BD247" s="162" t="n"/>
      <c r="BE247" s="162" t="n"/>
      <c r="BF247" s="162" t="n"/>
      <c r="BG247" s="162" t="n"/>
      <c r="BH247" s="162" t="n"/>
      <c r="BI247" s="162" t="n"/>
      <c r="BJ247" s="162" t="n"/>
      <c r="BK247" s="162" t="n"/>
      <c r="BL247" s="162" t="n"/>
      <c r="BM247" s="162" t="n"/>
      <c r="BN247" s="162" t="n"/>
      <c r="BO247" s="162" t="n"/>
      <c r="BP247" s="162" t="n"/>
      <c r="BQ247" s="162" t="n"/>
      <c r="BR247" s="162" t="n"/>
      <c r="BS247" s="162" t="n"/>
      <c r="BT247" s="162" t="n"/>
      <c r="BU247" s="162" t="n"/>
      <c r="BV247" s="162" t="n"/>
      <c r="BW247" s="162" t="n"/>
      <c r="BX247" s="162" t="n"/>
      <c r="BY247" s="162" t="n"/>
      <c r="BZ247" s="162" t="n"/>
      <c r="CA247" s="162" t="n"/>
      <c r="CB247" s="162" t="n"/>
      <c r="CC247" s="162" t="n"/>
      <c r="CD247" s="162" t="n"/>
      <c r="CE247" s="162" t="n"/>
      <c r="CF247" s="162" t="n"/>
      <c r="CG247" s="162" t="n"/>
      <c r="CH247" s="162" t="n"/>
      <c r="CI247" s="162" t="n"/>
      <c r="CJ247" s="162" t="n"/>
      <c r="CK247" s="162" t="n"/>
      <c r="CL247" s="162" t="n"/>
      <c r="CM247" s="162" t="n"/>
      <c r="CN247" s="162" t="n"/>
      <c r="CO247" s="162" t="n"/>
      <c r="CP247" s="162" t="n"/>
      <c r="CQ247" s="162" t="n"/>
      <c r="CR247" s="162" t="n"/>
      <c r="CS247" s="162" t="n"/>
      <c r="CT247" s="162" t="n"/>
    </row>
    <row r="248" ht="15" customHeight="1">
      <c r="A248" s="175" t="n">
        <v>11</v>
      </c>
      <c r="B248" s="165" t="n">
        <v>19</v>
      </c>
      <c r="C248" s="164" t="n">
        <v>45779</v>
      </c>
      <c r="D248" s="166" t="inlineStr">
        <is>
          <t>219 G. SAN JOSE 2</t>
        </is>
      </c>
      <c r="E248" s="166" t="n">
        <v>40851</v>
      </c>
      <c r="F248" s="166" t="inlineStr">
        <is>
          <t>ALEX GOMEZ</t>
        </is>
      </c>
      <c r="G248" s="166" t="n">
        <v>3338</v>
      </c>
      <c r="H248" s="166" t="n">
        <v>3338</v>
      </c>
      <c r="I248" s="166" t="n">
        <v>3242</v>
      </c>
      <c r="J248" s="166" t="n">
        <v>9</v>
      </c>
      <c r="K248" s="166" t="n">
        <v>67</v>
      </c>
      <c r="L248" s="166" t="n">
        <v>20</v>
      </c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  <c r="AA248" s="162" t="n"/>
      <c r="AB248" s="162" t="n"/>
      <c r="AC248" s="162" t="n"/>
      <c r="AD248" s="162" t="n"/>
      <c r="AE248" s="162" t="n"/>
      <c r="AF248" s="162" t="n"/>
      <c r="AG248" s="162" t="n"/>
      <c r="AH248" s="162" t="n"/>
      <c r="AI248" s="162" t="n"/>
      <c r="AJ248" s="162" t="n"/>
      <c r="AK248" s="162" t="n"/>
      <c r="AL248" s="162" t="n"/>
      <c r="AM248" s="162" t="n"/>
      <c r="AN248" s="162" t="n"/>
      <c r="AO248" s="162" t="n"/>
      <c r="AP248" s="162" t="n"/>
      <c r="AQ248" s="162" t="n"/>
      <c r="AR248" s="162" t="n"/>
      <c r="AS248" s="162" t="n"/>
      <c r="AT248" s="162" t="n"/>
      <c r="AU248" s="162" t="n"/>
      <c r="AV248" s="162" t="n"/>
      <c r="AW248" s="162" t="n"/>
      <c r="AX248" s="162" t="n"/>
      <c r="AY248" s="162" t="n"/>
      <c r="AZ248" s="162" t="n"/>
      <c r="BA248" s="162" t="n"/>
      <c r="BB248" s="162" t="n"/>
      <c r="BC248" s="162" t="n"/>
      <c r="BD248" s="162" t="n"/>
      <c r="BE248" s="162" t="n"/>
      <c r="BF248" s="162" t="n"/>
      <c r="BG248" s="162" t="n"/>
      <c r="BH248" s="162" t="n"/>
      <c r="BI248" s="162" t="n"/>
      <c r="BJ248" s="162" t="n"/>
      <c r="BK248" s="162" t="n"/>
      <c r="BL248" s="162" t="n"/>
      <c r="BM248" s="162" t="n"/>
      <c r="BN248" s="162" t="n"/>
      <c r="BO248" s="162" t="n"/>
      <c r="BP248" s="162" t="n"/>
      <c r="BQ248" s="162" t="n"/>
      <c r="BR248" s="162" t="n"/>
      <c r="BS248" s="162" t="n"/>
      <c r="BT248" s="162" t="n"/>
      <c r="BU248" s="162" t="n"/>
      <c r="BV248" s="162" t="n"/>
      <c r="BW248" s="162" t="n"/>
      <c r="BX248" s="162" t="n"/>
      <c r="BY248" s="162" t="n"/>
      <c r="BZ248" s="162" t="n"/>
      <c r="CA248" s="162" t="n"/>
      <c r="CB248" s="162" t="n"/>
      <c r="CC248" s="162" t="n"/>
      <c r="CD248" s="162" t="n"/>
      <c r="CE248" s="162" t="n"/>
      <c r="CF248" s="162" t="n"/>
      <c r="CG248" s="162" t="n"/>
      <c r="CH248" s="162" t="n"/>
      <c r="CI248" s="162" t="n"/>
      <c r="CJ248" s="162" t="n"/>
      <c r="CK248" s="162" t="n"/>
      <c r="CL248" s="162" t="n"/>
      <c r="CM248" s="162" t="n"/>
      <c r="CN248" s="162" t="n"/>
      <c r="CO248" s="162" t="n"/>
      <c r="CP248" s="162" t="n"/>
      <c r="CQ248" s="162" t="n"/>
      <c r="CR248" s="162" t="n"/>
      <c r="CS248" s="162" t="n"/>
      <c r="CT248" s="162" t="n"/>
    </row>
    <row r="249" ht="15" customHeight="1">
      <c r="A249" s="175" t="n">
        <v>12</v>
      </c>
      <c r="B249" s="165" t="n">
        <v>20</v>
      </c>
      <c r="C249" s="164" t="n">
        <v>45779</v>
      </c>
      <c r="D249" s="166" t="inlineStr">
        <is>
          <t>219 G. SAN JOSE 2</t>
        </is>
      </c>
      <c r="E249" s="166" t="n">
        <v>40852</v>
      </c>
      <c r="F249" s="166" t="inlineStr">
        <is>
          <t>FABIO ALDANA</t>
        </is>
      </c>
      <c r="G249" s="166" t="n">
        <v>3338</v>
      </c>
      <c r="H249" s="166" t="n">
        <v>3333</v>
      </c>
      <c r="I249" s="166" t="n">
        <v>3249</v>
      </c>
      <c r="J249" s="166" t="n">
        <v>10</v>
      </c>
      <c r="K249" s="166" t="n">
        <v>61</v>
      </c>
      <c r="L249" s="166" t="n">
        <v>18</v>
      </c>
      <c r="M249" s="190" t="inlineStr">
        <is>
          <t>LLANO</t>
        </is>
      </c>
      <c r="N249" s="190" t="inlineStr">
        <is>
          <t>30 AL 2 DE ABRIL</t>
        </is>
      </c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  <c r="AA249" s="162" t="n"/>
      <c r="AB249" s="162" t="n"/>
      <c r="AC249" s="162" t="n"/>
      <c r="AD249" s="162" t="n"/>
      <c r="AE249" s="162" t="n"/>
      <c r="AF249" s="162" t="n"/>
      <c r="AG249" s="162" t="n"/>
      <c r="AH249" s="162" t="n"/>
      <c r="AI249" s="162" t="n"/>
      <c r="AJ249" s="162" t="n"/>
      <c r="AK249" s="162" t="n"/>
      <c r="AL249" s="162" t="n"/>
      <c r="AM249" s="162" t="n"/>
      <c r="AN249" s="162" t="n"/>
      <c r="AO249" s="162" t="n"/>
      <c r="AP249" s="162" t="n"/>
      <c r="AQ249" s="162" t="n"/>
      <c r="AR249" s="162" t="n"/>
      <c r="AS249" s="162" t="n"/>
      <c r="AT249" s="162" t="n"/>
      <c r="AU249" s="162" t="n"/>
      <c r="AV249" s="162" t="n"/>
      <c r="AW249" s="162" t="n"/>
      <c r="AX249" s="162" t="n"/>
      <c r="AY249" s="162" t="n"/>
      <c r="AZ249" s="162" t="n"/>
      <c r="BA249" s="162" t="n"/>
      <c r="BB249" s="162" t="n"/>
      <c r="BC249" s="162" t="n"/>
      <c r="BD249" s="162" t="n"/>
      <c r="BE249" s="162" t="n"/>
      <c r="BF249" s="162" t="n"/>
      <c r="BG249" s="162" t="n"/>
      <c r="BH249" s="162" t="n"/>
      <c r="BI249" s="162" t="n"/>
      <c r="BJ249" s="162" t="n"/>
      <c r="BK249" s="162" t="n"/>
      <c r="BL249" s="162" t="n"/>
      <c r="BM249" s="162" t="n"/>
      <c r="BN249" s="162" t="n"/>
      <c r="BO249" s="162" t="n"/>
      <c r="BP249" s="162" t="n"/>
      <c r="BQ249" s="162" t="n"/>
      <c r="BR249" s="162" t="n"/>
      <c r="BS249" s="162" t="n"/>
      <c r="BT249" s="162" t="n"/>
      <c r="BU249" s="162" t="n"/>
      <c r="BV249" s="162" t="n"/>
      <c r="BW249" s="162" t="n"/>
      <c r="BX249" s="162" t="n"/>
      <c r="BY249" s="162" t="n"/>
      <c r="BZ249" s="162" t="n"/>
      <c r="CA249" s="162" t="n"/>
      <c r="CB249" s="162" t="n"/>
      <c r="CC249" s="162" t="n"/>
      <c r="CD249" s="162" t="n"/>
      <c r="CE249" s="162" t="n"/>
      <c r="CF249" s="162" t="n"/>
      <c r="CG249" s="162" t="n"/>
      <c r="CH249" s="162" t="n"/>
      <c r="CI249" s="162" t="n"/>
      <c r="CJ249" s="162" t="n"/>
      <c r="CK249" s="162" t="n"/>
      <c r="CL249" s="162" t="n"/>
      <c r="CM249" s="162" t="n"/>
      <c r="CN249" s="162" t="n"/>
      <c r="CO249" s="162" t="n"/>
      <c r="CP249" s="162" t="n"/>
      <c r="CQ249" s="162" t="n"/>
      <c r="CR249" s="162" t="n"/>
      <c r="CS249" s="162" t="n"/>
      <c r="CT249" s="162" t="n"/>
    </row>
    <row r="250" ht="15" customHeight="1">
      <c r="A250" s="175" t="n">
        <v>13</v>
      </c>
      <c r="B250" s="165" t="n">
        <v>21</v>
      </c>
      <c r="C250" s="164" t="n">
        <v>45779</v>
      </c>
      <c r="D250" s="166" t="inlineStr">
        <is>
          <t>219 G. SAN JOSE 2</t>
        </is>
      </c>
      <c r="E250" s="166" t="n">
        <v>40854</v>
      </c>
      <c r="F250" s="166" t="inlineStr">
        <is>
          <t>EDWIN ROJAS</t>
        </is>
      </c>
      <c r="G250" s="166" t="n">
        <v>3338</v>
      </c>
      <c r="H250" s="166" t="n">
        <v>3333</v>
      </c>
      <c r="I250" s="166" t="n">
        <v>3258</v>
      </c>
      <c r="J250" s="166" t="n">
        <v>14</v>
      </c>
      <c r="K250" s="166" t="n">
        <v>26</v>
      </c>
      <c r="L250" s="166" t="n">
        <v>40</v>
      </c>
      <c r="M250" s="162" t="inlineStr">
        <is>
          <t>VIAJES</t>
        </is>
      </c>
      <c r="N250" s="162">
        <f>+B253</f>
        <v/>
      </c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  <c r="AA250" s="162" t="n"/>
      <c r="AB250" s="162" t="n"/>
      <c r="AC250" s="162" t="n"/>
      <c r="AD250" s="162" t="n"/>
      <c r="AE250" s="162" t="n"/>
      <c r="AF250" s="162" t="n"/>
      <c r="AG250" s="162" t="n"/>
      <c r="AH250" s="162" t="n"/>
      <c r="AI250" s="162" t="n"/>
      <c r="AJ250" s="162" t="n"/>
      <c r="AK250" s="162" t="n"/>
      <c r="AL250" s="162" t="n"/>
      <c r="AM250" s="162" t="n"/>
      <c r="AN250" s="162" t="n"/>
      <c r="AO250" s="162" t="n"/>
      <c r="AP250" s="162" t="n"/>
      <c r="AQ250" s="162" t="n"/>
      <c r="AR250" s="162" t="n"/>
      <c r="AS250" s="162" t="n"/>
      <c r="AT250" s="162" t="n"/>
      <c r="AU250" s="162" t="n"/>
      <c r="AV250" s="162" t="n"/>
      <c r="AW250" s="162" t="n"/>
      <c r="AX250" s="162" t="n"/>
      <c r="AY250" s="162" t="n"/>
      <c r="AZ250" s="162" t="n"/>
      <c r="BA250" s="162" t="n"/>
      <c r="BB250" s="162" t="n"/>
      <c r="BC250" s="162" t="n"/>
      <c r="BD250" s="162" t="n"/>
      <c r="BE250" s="162" t="n"/>
      <c r="BF250" s="162" t="n"/>
      <c r="BG250" s="162" t="n"/>
      <c r="BH250" s="162" t="n"/>
      <c r="BI250" s="162" t="n"/>
      <c r="BJ250" s="162" t="n"/>
      <c r="BK250" s="162" t="n"/>
      <c r="BL250" s="162" t="n"/>
      <c r="BM250" s="162" t="n"/>
      <c r="BN250" s="162" t="n"/>
      <c r="BO250" s="162" t="n"/>
      <c r="BP250" s="162" t="n"/>
      <c r="BQ250" s="162" t="n"/>
      <c r="BR250" s="162" t="n"/>
      <c r="BS250" s="162" t="n"/>
      <c r="BT250" s="162" t="n"/>
      <c r="BU250" s="162" t="n"/>
      <c r="BV250" s="162" t="n"/>
      <c r="BW250" s="162" t="n"/>
      <c r="BX250" s="162" t="n"/>
      <c r="BY250" s="162" t="n"/>
      <c r="BZ250" s="162" t="n"/>
      <c r="CA250" s="162" t="n"/>
      <c r="CB250" s="162" t="n"/>
      <c r="CC250" s="162" t="n"/>
      <c r="CD250" s="162" t="n"/>
      <c r="CE250" s="162" t="n"/>
      <c r="CF250" s="162" t="n"/>
      <c r="CG250" s="162" t="n"/>
      <c r="CH250" s="162" t="n"/>
      <c r="CI250" s="162" t="n"/>
      <c r="CJ250" s="162" t="n"/>
      <c r="CK250" s="162" t="n"/>
      <c r="CL250" s="162" t="n"/>
      <c r="CM250" s="162" t="n"/>
      <c r="CN250" s="162" t="n"/>
      <c r="CO250" s="162" t="n"/>
      <c r="CP250" s="162" t="n"/>
      <c r="CQ250" s="162" t="n"/>
      <c r="CR250" s="162" t="n"/>
      <c r="CS250" s="162" t="n"/>
      <c r="CT250" s="162" t="n"/>
    </row>
    <row r="251" ht="15" customHeight="1">
      <c r="A251" s="175" t="n">
        <v>14</v>
      </c>
      <c r="B251" s="165" t="n">
        <v>22</v>
      </c>
      <c r="C251" s="164" t="n">
        <v>45779</v>
      </c>
      <c r="D251" s="166" t="inlineStr">
        <is>
          <t>218 G. SAN JOSE 1</t>
        </is>
      </c>
      <c r="E251" s="166" t="n">
        <v>40855</v>
      </c>
      <c r="F251" s="166" t="inlineStr">
        <is>
          <t>JAIRO CUBILLOS</t>
        </is>
      </c>
      <c r="G251" s="166" t="n">
        <v>3213</v>
      </c>
      <c r="H251" s="166" t="n">
        <v>3267</v>
      </c>
      <c r="I251" s="166" t="n">
        <v>3202</v>
      </c>
      <c r="J251" s="166" t="n">
        <v>2</v>
      </c>
      <c r="K251" s="166" t="n">
        <v>8</v>
      </c>
      <c r="L251" s="166" t="n">
        <v>1</v>
      </c>
      <c r="M251" s="231" t="inlineStr">
        <is>
          <t>TOTAL POLLOS SERVIAGRO</t>
        </is>
      </c>
      <c r="N251" s="162">
        <f>SUM(H230:H253)</f>
        <v/>
      </c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  <c r="AA251" s="162" t="n"/>
      <c r="AB251" s="162" t="n"/>
      <c r="AC251" s="162" t="n"/>
      <c r="AD251" s="162" t="n"/>
      <c r="AE251" s="162" t="n"/>
      <c r="AF251" s="162" t="n"/>
      <c r="AG251" s="162" t="n"/>
      <c r="AH251" s="162" t="n"/>
      <c r="AI251" s="162" t="n"/>
      <c r="AJ251" s="162" t="n"/>
      <c r="AK251" s="162" t="n"/>
      <c r="AL251" s="162" t="n"/>
      <c r="AM251" s="162" t="n"/>
      <c r="AN251" s="162" t="n"/>
      <c r="AO251" s="162" t="n"/>
      <c r="AP251" s="162" t="n"/>
      <c r="AQ251" s="162" t="n"/>
      <c r="AR251" s="162" t="n"/>
      <c r="AS251" s="162" t="n"/>
      <c r="AT251" s="162" t="n"/>
      <c r="AU251" s="162" t="n"/>
      <c r="AV251" s="162" t="n"/>
      <c r="AW251" s="162" t="n"/>
      <c r="AX251" s="162" t="n"/>
      <c r="AY251" s="162" t="n"/>
      <c r="AZ251" s="162" t="n"/>
      <c r="BA251" s="162" t="n"/>
      <c r="BB251" s="162" t="n"/>
      <c r="BC251" s="162" t="n"/>
      <c r="BD251" s="162" t="n"/>
      <c r="BE251" s="162" t="n"/>
      <c r="BF251" s="162" t="n"/>
      <c r="BG251" s="162" t="n"/>
      <c r="BH251" s="162" t="n"/>
      <c r="BI251" s="162" t="n"/>
      <c r="BJ251" s="162" t="n"/>
      <c r="BK251" s="162" t="n"/>
      <c r="BL251" s="162" t="n"/>
      <c r="BM251" s="162" t="n"/>
      <c r="BN251" s="162" t="n"/>
      <c r="BO251" s="162" t="n"/>
      <c r="BP251" s="162" t="n"/>
      <c r="BQ251" s="162" t="n"/>
      <c r="BR251" s="162" t="n"/>
      <c r="BS251" s="162" t="n"/>
      <c r="BT251" s="162" t="n"/>
      <c r="BU251" s="162" t="n"/>
      <c r="BV251" s="162" t="n"/>
      <c r="BW251" s="162" t="n"/>
      <c r="BX251" s="162" t="n"/>
      <c r="BY251" s="162" t="n"/>
      <c r="BZ251" s="162" t="n"/>
      <c r="CA251" s="162" t="n"/>
      <c r="CB251" s="162" t="n"/>
      <c r="CC251" s="162" t="n"/>
      <c r="CD251" s="162" t="n"/>
      <c r="CE251" s="162" t="n"/>
      <c r="CF251" s="162" t="n"/>
      <c r="CG251" s="162" t="n"/>
      <c r="CH251" s="162" t="n"/>
      <c r="CI251" s="162" t="n"/>
      <c r="CJ251" s="162" t="n"/>
      <c r="CK251" s="162" t="n"/>
      <c r="CL251" s="162" t="n"/>
      <c r="CM251" s="162" t="n"/>
      <c r="CN251" s="162" t="n"/>
      <c r="CO251" s="162" t="n"/>
      <c r="CP251" s="162" t="n"/>
      <c r="CQ251" s="162" t="n"/>
      <c r="CR251" s="162" t="n"/>
      <c r="CS251" s="162" t="n"/>
      <c r="CT251" s="162" t="n"/>
    </row>
    <row r="252" ht="15" customHeight="1">
      <c r="A252" s="175" t="n">
        <v>15</v>
      </c>
      <c r="B252" s="165" t="n">
        <v>23</v>
      </c>
      <c r="C252" s="164" t="n">
        <v>45779</v>
      </c>
      <c r="D252" s="166" t="inlineStr">
        <is>
          <t>218 G. SAN JOSE 1</t>
        </is>
      </c>
      <c r="E252" s="166" t="n">
        <v>40856</v>
      </c>
      <c r="F252" s="166" t="inlineStr">
        <is>
          <t>JHON AGUIRRE</t>
        </is>
      </c>
      <c r="G252" s="166" t="n">
        <v>3213</v>
      </c>
      <c r="H252" s="166" t="n">
        <v>3267</v>
      </c>
      <c r="I252" s="166" t="n">
        <v>3205</v>
      </c>
      <c r="J252" s="166" t="n">
        <v>2</v>
      </c>
      <c r="K252" s="166" t="n">
        <v>5</v>
      </c>
      <c r="L252" s="166" t="n">
        <v>1</v>
      </c>
      <c r="M252" s="162" t="inlineStr">
        <is>
          <t>AVIMA</t>
        </is>
      </c>
      <c r="N252" s="236" t="n">
        <v>76751</v>
      </c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  <c r="AA252" s="162" t="n"/>
      <c r="AB252" s="162" t="n"/>
      <c r="AC252" s="162" t="n"/>
      <c r="AD252" s="162" t="n"/>
      <c r="AE252" s="162" t="n"/>
      <c r="AF252" s="162" t="n"/>
      <c r="AG252" s="162" t="n"/>
      <c r="AH252" s="162" t="n"/>
      <c r="AI252" s="162" t="n"/>
      <c r="AJ252" s="162" t="n"/>
      <c r="AK252" s="162" t="n"/>
      <c r="AL252" s="162" t="n"/>
      <c r="AM252" s="162" t="n"/>
      <c r="AN252" s="162" t="n"/>
      <c r="AO252" s="162" t="n"/>
      <c r="AP252" s="162" t="n"/>
      <c r="AQ252" s="162" t="n"/>
      <c r="AR252" s="162" t="n"/>
      <c r="AS252" s="162" t="n"/>
      <c r="AT252" s="162" t="n"/>
      <c r="AU252" s="162" t="n"/>
      <c r="AV252" s="162" t="n"/>
      <c r="AW252" s="162" t="n"/>
      <c r="AX252" s="162" t="n"/>
      <c r="AY252" s="162" t="n"/>
      <c r="AZ252" s="162" t="n"/>
      <c r="BA252" s="162" t="n"/>
      <c r="BB252" s="162" t="n"/>
      <c r="BC252" s="162" t="n"/>
      <c r="BD252" s="162" t="n"/>
      <c r="BE252" s="162" t="n"/>
      <c r="BF252" s="162" t="n"/>
      <c r="BG252" s="162" t="n"/>
      <c r="BH252" s="162" t="n"/>
      <c r="BI252" s="162" t="n"/>
      <c r="BJ252" s="162" t="n"/>
      <c r="BK252" s="162" t="n"/>
      <c r="BL252" s="162" t="n"/>
      <c r="BM252" s="162" t="n"/>
      <c r="BN252" s="162" t="n"/>
      <c r="BO252" s="162" t="n"/>
      <c r="BP252" s="162" t="n"/>
      <c r="BQ252" s="162" t="n"/>
      <c r="BR252" s="162" t="n"/>
      <c r="BS252" s="162" t="n"/>
      <c r="BT252" s="162" t="n"/>
      <c r="BU252" s="162" t="n"/>
      <c r="BV252" s="162" t="n"/>
      <c r="BW252" s="162" t="n"/>
      <c r="BX252" s="162" t="n"/>
      <c r="BY252" s="162" t="n"/>
      <c r="BZ252" s="162" t="n"/>
      <c r="CA252" s="162" t="n"/>
      <c r="CB252" s="162" t="n"/>
      <c r="CC252" s="162" t="n"/>
      <c r="CD252" s="162" t="n"/>
      <c r="CE252" s="162" t="n"/>
      <c r="CF252" s="162" t="n"/>
      <c r="CG252" s="162" t="n"/>
      <c r="CH252" s="162" t="n"/>
      <c r="CI252" s="162" t="n"/>
      <c r="CJ252" s="162" t="n"/>
      <c r="CK252" s="162" t="n"/>
      <c r="CL252" s="162" t="n"/>
      <c r="CM252" s="162" t="n"/>
      <c r="CN252" s="162" t="n"/>
      <c r="CO252" s="162" t="n"/>
      <c r="CP252" s="162" t="n"/>
      <c r="CQ252" s="162" t="n"/>
      <c r="CR252" s="162" t="n"/>
      <c r="CS252" s="162" t="n"/>
      <c r="CT252" s="162" t="n"/>
    </row>
    <row r="253" ht="15" customHeight="1">
      <c r="A253" s="175" t="n">
        <v>16</v>
      </c>
      <c r="B253" s="165" t="n">
        <v>24</v>
      </c>
      <c r="C253" s="164" t="n">
        <v>45779</v>
      </c>
      <c r="D253" s="166" t="inlineStr">
        <is>
          <t>218 G. SAN JOSE 1</t>
        </is>
      </c>
      <c r="E253" s="166" t="n">
        <v>40857</v>
      </c>
      <c r="F253" s="166" t="inlineStr">
        <is>
          <t>HENRY ROMERO</t>
        </is>
      </c>
      <c r="G253" s="166" t="n">
        <v>3213</v>
      </c>
      <c r="H253" s="166" t="n">
        <v>3267</v>
      </c>
      <c r="I253" s="166" t="n">
        <v>3195</v>
      </c>
      <c r="J253" s="166" t="n">
        <v>4</v>
      </c>
      <c r="K253" s="166" t="n">
        <v>6</v>
      </c>
      <c r="L253" s="166" t="n">
        <v>8</v>
      </c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  <c r="AA253" s="162" t="n"/>
      <c r="AB253" s="162" t="n"/>
      <c r="AC253" s="162" t="n"/>
      <c r="AD253" s="162" t="n"/>
      <c r="AE253" s="162" t="n"/>
      <c r="AF253" s="162" t="n"/>
      <c r="AG253" s="162" t="n"/>
      <c r="AH253" s="162" t="n"/>
      <c r="AI253" s="162" t="n"/>
      <c r="AJ253" s="162" t="n"/>
      <c r="AK253" s="162" t="n"/>
      <c r="AL253" s="162" t="n"/>
      <c r="AM253" s="162" t="n"/>
      <c r="AN253" s="162" t="n"/>
      <c r="AO253" s="162" t="n"/>
      <c r="AP253" s="162" t="n"/>
      <c r="AQ253" s="162" t="n"/>
      <c r="AR253" s="162" t="n"/>
      <c r="AS253" s="162" t="n"/>
      <c r="AT253" s="162" t="n"/>
      <c r="AU253" s="162" t="n"/>
      <c r="AV253" s="162" t="n"/>
      <c r="AW253" s="162" t="n"/>
      <c r="AX253" s="162" t="n"/>
      <c r="AY253" s="162" t="n"/>
      <c r="AZ253" s="162" t="n"/>
      <c r="BA253" s="162" t="n"/>
      <c r="BB253" s="162" t="n"/>
      <c r="BC253" s="162" t="n"/>
      <c r="BD253" s="162" t="n"/>
      <c r="BE253" s="162" t="n"/>
      <c r="BF253" s="162" t="n"/>
      <c r="BG253" s="162" t="n"/>
      <c r="BH253" s="162" t="n"/>
      <c r="BI253" s="162" t="n"/>
      <c r="BJ253" s="162" t="n"/>
      <c r="BK253" s="162" t="n"/>
      <c r="BL253" s="162" t="n"/>
      <c r="BM253" s="162" t="n"/>
      <c r="BN253" s="162" t="n"/>
      <c r="BO253" s="162" t="n"/>
      <c r="BP253" s="162" t="n"/>
      <c r="BQ253" s="162" t="n"/>
      <c r="BR253" s="162" t="n"/>
      <c r="BS253" s="162" t="n"/>
      <c r="BT253" s="162" t="n"/>
      <c r="BU253" s="162" t="n"/>
      <c r="BV253" s="162" t="n"/>
      <c r="BW253" s="162" t="n"/>
      <c r="BX253" s="162" t="n"/>
      <c r="BY253" s="162" t="n"/>
      <c r="BZ253" s="162" t="n"/>
      <c r="CA253" s="162" t="n"/>
      <c r="CB253" s="162" t="n"/>
      <c r="CC253" s="162" t="n"/>
      <c r="CD253" s="162" t="n"/>
      <c r="CE253" s="162" t="n"/>
      <c r="CF253" s="162" t="n"/>
      <c r="CG253" s="162" t="n"/>
      <c r="CH253" s="162" t="n"/>
      <c r="CI253" s="162" t="n"/>
      <c r="CJ253" s="162" t="n"/>
      <c r="CK253" s="162" t="n"/>
      <c r="CL253" s="162" t="n"/>
      <c r="CM253" s="162" t="n"/>
      <c r="CN253" s="162" t="n"/>
      <c r="CO253" s="162" t="n"/>
      <c r="CP253" s="162" t="n"/>
      <c r="CQ253" s="162" t="n"/>
      <c r="CR253" s="162" t="n"/>
      <c r="CS253" s="162" t="n"/>
      <c r="CT253" s="162" t="n"/>
    </row>
    <row r="254" ht="18.75" customHeight="1">
      <c r="A254" s="175" t="n">
        <v>17</v>
      </c>
      <c r="B254" s="163" t="n">
        <v>1</v>
      </c>
      <c r="C254" s="164" t="n">
        <v>45782</v>
      </c>
      <c r="D254" s="165" t="inlineStr">
        <is>
          <t>219 G. SAN JOSE 2</t>
        </is>
      </c>
      <c r="E254" s="165" t="n">
        <v>40868</v>
      </c>
      <c r="F254" s="165" t="inlineStr">
        <is>
          <t>WILMER PIÑEROS</t>
        </is>
      </c>
      <c r="G254" s="165" t="n">
        <v>3089</v>
      </c>
      <c r="H254" s="165" t="n">
        <v>3089</v>
      </c>
      <c r="I254" s="165" t="n">
        <v>3041</v>
      </c>
      <c r="J254" s="165" t="n">
        <v>2</v>
      </c>
      <c r="K254" s="165" t="n">
        <v>45</v>
      </c>
      <c r="L254" s="165" t="n">
        <v>1</v>
      </c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  <c r="AA254" s="162" t="n"/>
      <c r="AB254" s="162" t="n"/>
      <c r="AC254" s="162" t="n"/>
      <c r="AD254" s="162" t="n"/>
      <c r="AE254" s="162" t="n"/>
      <c r="AF254" s="162" t="n"/>
      <c r="AG254" s="162" t="n"/>
      <c r="AH254" s="162" t="n"/>
      <c r="AI254" s="162" t="n"/>
      <c r="AJ254" s="162" t="n"/>
      <c r="AK254" s="162" t="n"/>
      <c r="AL254" s="162" t="n"/>
      <c r="AM254" s="162" t="n"/>
      <c r="AN254" s="162" t="n"/>
      <c r="AO254" s="162" t="n"/>
      <c r="AP254" s="162" t="n"/>
      <c r="AQ254" s="162" t="n"/>
      <c r="AR254" s="162" t="n"/>
      <c r="AS254" s="162" t="n"/>
      <c r="AT254" s="162" t="n"/>
      <c r="AU254" s="162" t="n"/>
      <c r="AV254" s="162" t="n"/>
      <c r="AW254" s="162" t="n"/>
      <c r="AX254" s="162" t="n"/>
      <c r="AY254" s="162" t="n"/>
      <c r="AZ254" s="162" t="n"/>
      <c r="BA254" s="162" t="n"/>
      <c r="BB254" s="162" t="n"/>
      <c r="BC254" s="162" t="n"/>
      <c r="BD254" s="162" t="n"/>
      <c r="BE254" s="162" t="n"/>
      <c r="BF254" s="162" t="n"/>
      <c r="BG254" s="162" t="n"/>
      <c r="BH254" s="162" t="n"/>
      <c r="BI254" s="162" t="n"/>
      <c r="BJ254" s="162" t="n"/>
      <c r="BK254" s="162" t="n"/>
      <c r="BL254" s="162" t="n"/>
      <c r="BM254" s="162" t="n"/>
      <c r="BN254" s="162" t="n"/>
      <c r="BO254" s="162" t="n"/>
      <c r="BP254" s="162" t="n"/>
      <c r="BQ254" s="162" t="n"/>
      <c r="BR254" s="162" t="n"/>
      <c r="BS254" s="162" t="n"/>
      <c r="BT254" s="162" t="n"/>
      <c r="BU254" s="162" t="n"/>
      <c r="BV254" s="162" t="n"/>
      <c r="BW254" s="162" t="n"/>
      <c r="BX254" s="162" t="n"/>
      <c r="BY254" s="162" t="n"/>
      <c r="BZ254" s="162" t="n"/>
      <c r="CA254" s="162" t="n"/>
      <c r="CB254" s="162" t="n"/>
      <c r="CC254" s="162" t="n"/>
      <c r="CD254" s="162" t="n"/>
      <c r="CE254" s="162" t="n"/>
      <c r="CF254" s="162" t="n"/>
      <c r="CG254" s="162" t="n"/>
      <c r="CH254" s="162" t="n"/>
      <c r="CI254" s="162" t="n"/>
      <c r="CJ254" s="162" t="n"/>
      <c r="CK254" s="162" t="n"/>
      <c r="CL254" s="162" t="n"/>
      <c r="CM254" s="162" t="n"/>
      <c r="CN254" s="162" t="n"/>
      <c r="CO254" s="162" t="n"/>
      <c r="CP254" s="162" t="n"/>
      <c r="CQ254" s="162" t="n"/>
      <c r="CR254" s="162" t="n"/>
      <c r="CS254" s="162" t="n"/>
      <c r="CT254" s="162" t="n"/>
    </row>
    <row r="255" ht="18.75" customHeight="1">
      <c r="A255" s="175" t="n">
        <v>18</v>
      </c>
      <c r="B255" s="165" t="n">
        <v>2</v>
      </c>
      <c r="C255" s="164" t="n">
        <v>45782</v>
      </c>
      <c r="D255" s="165" t="inlineStr">
        <is>
          <t>219 G. SAN JOSE 2</t>
        </is>
      </c>
      <c r="E255" s="165" t="n">
        <v>40869</v>
      </c>
      <c r="F255" s="165" t="inlineStr">
        <is>
          <t>JAIRO CUBILLOS</t>
        </is>
      </c>
      <c r="G255" s="165" t="n">
        <v>3089</v>
      </c>
      <c r="H255" s="165" t="n">
        <v>3089</v>
      </c>
      <c r="I255" s="165" t="n">
        <v>3047</v>
      </c>
      <c r="J255" s="165" t="n">
        <v>9</v>
      </c>
      <c r="K255" s="165" t="n">
        <v>41</v>
      </c>
      <c r="L255" s="165" t="n">
        <v>-8</v>
      </c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  <c r="AA255" s="162" t="n"/>
      <c r="AB255" s="162" t="n"/>
      <c r="AC255" s="162" t="n"/>
      <c r="AD255" s="162" t="n"/>
      <c r="AE255" s="162" t="n"/>
      <c r="AF255" s="162" t="n"/>
      <c r="AG255" s="162" t="n"/>
      <c r="AH255" s="162" t="n"/>
      <c r="AI255" s="162" t="n"/>
      <c r="AJ255" s="162" t="n"/>
      <c r="AK255" s="162" t="n"/>
      <c r="AL255" s="162" t="n"/>
      <c r="AM255" s="162" t="n"/>
      <c r="AN255" s="162" t="n"/>
      <c r="AO255" s="162" t="n"/>
      <c r="AP255" s="162" t="n"/>
      <c r="AQ255" s="162" t="n"/>
      <c r="AR255" s="162" t="n"/>
      <c r="AS255" s="162" t="n"/>
      <c r="AT255" s="162" t="n"/>
      <c r="AU255" s="162" t="n"/>
      <c r="AV255" s="162" t="n"/>
      <c r="AW255" s="162" t="n"/>
      <c r="AX255" s="162" t="n"/>
      <c r="AY255" s="162" t="n"/>
      <c r="AZ255" s="162" t="n"/>
      <c r="BA255" s="162" t="n"/>
      <c r="BB255" s="162" t="n"/>
      <c r="BC255" s="162" t="n"/>
      <c r="BD255" s="162" t="n"/>
      <c r="BE255" s="162" t="n"/>
      <c r="BF255" s="162" t="n"/>
      <c r="BG255" s="162" t="n"/>
      <c r="BH255" s="162" t="n"/>
      <c r="BI255" s="162" t="n"/>
      <c r="BJ255" s="162" t="n"/>
      <c r="BK255" s="162" t="n"/>
      <c r="BL255" s="162" t="n"/>
      <c r="BM255" s="162" t="n"/>
      <c r="BN255" s="162" t="n"/>
      <c r="BO255" s="162" t="n"/>
      <c r="BP255" s="162" t="n"/>
      <c r="BQ255" s="162" t="n"/>
      <c r="BR255" s="162" t="n"/>
      <c r="BS255" s="162" t="n"/>
      <c r="BT255" s="162" t="n"/>
      <c r="BU255" s="162" t="n"/>
      <c r="BV255" s="162" t="n"/>
      <c r="BW255" s="162" t="n"/>
      <c r="BX255" s="162" t="n"/>
      <c r="BY255" s="162" t="n"/>
      <c r="BZ255" s="162" t="n"/>
      <c r="CA255" s="162" t="n"/>
      <c r="CB255" s="162" t="n"/>
      <c r="CC255" s="162" t="n"/>
      <c r="CD255" s="162" t="n"/>
      <c r="CE255" s="162" t="n"/>
      <c r="CF255" s="162" t="n"/>
      <c r="CG255" s="162" t="n"/>
      <c r="CH255" s="162" t="n"/>
      <c r="CI255" s="162" t="n"/>
      <c r="CJ255" s="162" t="n"/>
      <c r="CK255" s="162" t="n"/>
      <c r="CL255" s="162" t="n"/>
      <c r="CM255" s="162" t="n"/>
      <c r="CN255" s="162" t="n"/>
      <c r="CO255" s="162" t="n"/>
      <c r="CP255" s="162" t="n"/>
      <c r="CQ255" s="162" t="n"/>
      <c r="CR255" s="162" t="n"/>
      <c r="CS255" s="162" t="n"/>
      <c r="CT255" s="162" t="n"/>
    </row>
    <row r="256" ht="18.75" customHeight="1">
      <c r="A256" s="175" t="n">
        <v>19</v>
      </c>
      <c r="B256" s="165" t="n">
        <v>3</v>
      </c>
      <c r="C256" s="164" t="n">
        <v>45782</v>
      </c>
      <c r="D256" s="165" t="inlineStr">
        <is>
          <t>219 G. SAN JOSE 2</t>
        </is>
      </c>
      <c r="E256" s="165" t="n">
        <v>40870</v>
      </c>
      <c r="F256" s="165" t="inlineStr">
        <is>
          <t>JHON ARIAS</t>
        </is>
      </c>
      <c r="G256" s="165" t="n">
        <v>3089</v>
      </c>
      <c r="H256" s="165" t="n">
        <v>3089</v>
      </c>
      <c r="I256" s="165" t="n">
        <v>3053</v>
      </c>
      <c r="J256" s="165" t="n">
        <v>10</v>
      </c>
      <c r="K256" s="165" t="n">
        <v>29</v>
      </c>
      <c r="L256" s="165" t="n">
        <v>-3</v>
      </c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  <c r="AA256" s="162" t="n"/>
      <c r="AB256" s="162" t="n"/>
      <c r="AC256" s="162" t="n"/>
      <c r="AD256" s="162" t="n"/>
      <c r="AE256" s="162" t="n"/>
      <c r="AF256" s="162" t="n"/>
      <c r="AG256" s="162" t="n"/>
      <c r="AH256" s="162" t="n"/>
      <c r="AI256" s="162" t="n"/>
      <c r="AJ256" s="162" t="n"/>
      <c r="AK256" s="162" t="n"/>
      <c r="AL256" s="162" t="n"/>
      <c r="AM256" s="162" t="n"/>
      <c r="AN256" s="162" t="n"/>
      <c r="AO256" s="162" t="n"/>
      <c r="AP256" s="162" t="n"/>
      <c r="AQ256" s="162" t="n"/>
      <c r="AR256" s="162" t="n"/>
      <c r="AS256" s="162" t="n"/>
      <c r="AT256" s="162" t="n"/>
      <c r="AU256" s="162" t="n"/>
      <c r="AV256" s="162" t="n"/>
      <c r="AW256" s="162" t="n"/>
      <c r="AX256" s="162" t="n"/>
      <c r="AY256" s="162" t="n"/>
      <c r="AZ256" s="162" t="n"/>
      <c r="BA256" s="162" t="n"/>
      <c r="BB256" s="162" t="n"/>
      <c r="BC256" s="162" t="n"/>
      <c r="BD256" s="162" t="n"/>
      <c r="BE256" s="162" t="n"/>
      <c r="BF256" s="162" t="n"/>
      <c r="BG256" s="162" t="n"/>
      <c r="BH256" s="162" t="n"/>
      <c r="BI256" s="162" t="n"/>
      <c r="BJ256" s="162" t="n"/>
      <c r="BK256" s="162" t="n"/>
      <c r="BL256" s="162" t="n"/>
      <c r="BM256" s="162" t="n"/>
      <c r="BN256" s="162" t="n"/>
      <c r="BO256" s="162" t="n"/>
      <c r="BP256" s="162" t="n"/>
      <c r="BQ256" s="162" t="n"/>
      <c r="BR256" s="162" t="n"/>
      <c r="BS256" s="162" t="n"/>
      <c r="BT256" s="162" t="n"/>
      <c r="BU256" s="162" t="n"/>
      <c r="BV256" s="162" t="n"/>
      <c r="BW256" s="162" t="n"/>
      <c r="BX256" s="162" t="n"/>
      <c r="BY256" s="162" t="n"/>
      <c r="BZ256" s="162" t="n"/>
      <c r="CA256" s="162" t="n"/>
      <c r="CB256" s="162" t="n"/>
      <c r="CC256" s="162" t="n"/>
      <c r="CD256" s="162" t="n"/>
      <c r="CE256" s="162" t="n"/>
      <c r="CF256" s="162" t="n"/>
      <c r="CG256" s="162" t="n"/>
      <c r="CH256" s="162" t="n"/>
      <c r="CI256" s="162" t="n"/>
      <c r="CJ256" s="162" t="n"/>
      <c r="CK256" s="162" t="n"/>
      <c r="CL256" s="162" t="n"/>
      <c r="CM256" s="162" t="n"/>
      <c r="CN256" s="162" t="n"/>
      <c r="CO256" s="162" t="n"/>
      <c r="CP256" s="162" t="n"/>
      <c r="CQ256" s="162" t="n"/>
      <c r="CR256" s="162" t="n"/>
      <c r="CS256" s="162" t="n"/>
      <c r="CT256" s="162" t="n"/>
    </row>
    <row r="257" ht="18.75" customHeight="1">
      <c r="A257" s="175" t="n">
        <v>20</v>
      </c>
      <c r="B257" s="165" t="n">
        <v>4</v>
      </c>
      <c r="C257" s="164" t="n">
        <v>45782</v>
      </c>
      <c r="D257" s="165" t="inlineStr">
        <is>
          <t>219 G. SAN JOSE 2</t>
        </is>
      </c>
      <c r="E257" s="165" t="n">
        <v>40872</v>
      </c>
      <c r="F257" s="165" t="inlineStr">
        <is>
          <t>ALBERTO HERRERA</t>
        </is>
      </c>
      <c r="G257" s="165" t="n">
        <v>3429</v>
      </c>
      <c r="H257" s="165" t="n">
        <v>3429</v>
      </c>
      <c r="I257" s="165" t="n">
        <v>3361</v>
      </c>
      <c r="J257" s="165" t="n">
        <v>5</v>
      </c>
      <c r="K257" s="165" t="n">
        <v>54</v>
      </c>
      <c r="L257" s="165" t="n">
        <v>9</v>
      </c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  <c r="AA257" s="162" t="n"/>
      <c r="AB257" s="162" t="n"/>
      <c r="AC257" s="162" t="n"/>
      <c r="AD257" s="162" t="n"/>
      <c r="AE257" s="162" t="n"/>
      <c r="AF257" s="162" t="n"/>
      <c r="AG257" s="162" t="n"/>
      <c r="AH257" s="162" t="n"/>
      <c r="AI257" s="162" t="n"/>
      <c r="AJ257" s="162" t="n"/>
      <c r="AK257" s="162" t="n"/>
      <c r="AL257" s="162" t="n"/>
      <c r="AM257" s="162" t="n"/>
      <c r="AN257" s="162" t="n"/>
      <c r="AO257" s="162" t="n"/>
      <c r="AP257" s="162" t="n"/>
      <c r="AQ257" s="162" t="n"/>
      <c r="AR257" s="162" t="n"/>
      <c r="AS257" s="162" t="n"/>
      <c r="AT257" s="162" t="n"/>
      <c r="AU257" s="162" t="n"/>
      <c r="AV257" s="162" t="n"/>
      <c r="AW257" s="162" t="n"/>
      <c r="AX257" s="162" t="n"/>
      <c r="AY257" s="162" t="n"/>
      <c r="AZ257" s="162" t="n"/>
      <c r="BA257" s="162" t="n"/>
      <c r="BB257" s="162" t="n"/>
      <c r="BC257" s="162" t="n"/>
      <c r="BD257" s="162" t="n"/>
      <c r="BE257" s="162" t="n"/>
      <c r="BF257" s="162" t="n"/>
      <c r="BG257" s="162" t="n"/>
      <c r="BH257" s="162" t="n"/>
      <c r="BI257" s="162" t="n"/>
      <c r="BJ257" s="162" t="n"/>
      <c r="BK257" s="162" t="n"/>
      <c r="BL257" s="162" t="n"/>
      <c r="BM257" s="162" t="n"/>
      <c r="BN257" s="162" t="n"/>
      <c r="BO257" s="162" t="n"/>
      <c r="BP257" s="162" t="n"/>
      <c r="BQ257" s="162" t="n"/>
      <c r="BR257" s="162" t="n"/>
      <c r="BS257" s="162" t="n"/>
      <c r="BT257" s="162" t="n"/>
      <c r="BU257" s="162" t="n"/>
      <c r="BV257" s="162" t="n"/>
      <c r="BW257" s="162" t="n"/>
      <c r="BX257" s="162" t="n"/>
      <c r="BY257" s="162" t="n"/>
      <c r="BZ257" s="162" t="n"/>
      <c r="CA257" s="162" t="n"/>
      <c r="CB257" s="162" t="n"/>
      <c r="CC257" s="162" t="n"/>
      <c r="CD257" s="162" t="n"/>
      <c r="CE257" s="162" t="n"/>
      <c r="CF257" s="162" t="n"/>
      <c r="CG257" s="162" t="n"/>
      <c r="CH257" s="162" t="n"/>
      <c r="CI257" s="162" t="n"/>
      <c r="CJ257" s="162" t="n"/>
      <c r="CK257" s="162" t="n"/>
      <c r="CL257" s="162" t="n"/>
      <c r="CM257" s="162" t="n"/>
      <c r="CN257" s="162" t="n"/>
      <c r="CO257" s="162" t="n"/>
      <c r="CP257" s="162" t="n"/>
      <c r="CQ257" s="162" t="n"/>
      <c r="CR257" s="162" t="n"/>
      <c r="CS257" s="162" t="n"/>
      <c r="CT257" s="162" t="n"/>
    </row>
    <row r="258" ht="18.75" customHeight="1">
      <c r="A258" s="175" t="n">
        <v>21</v>
      </c>
      <c r="B258" s="165" t="n">
        <v>5</v>
      </c>
      <c r="C258" s="164" t="n">
        <v>45782</v>
      </c>
      <c r="D258" s="165" t="inlineStr">
        <is>
          <t>219 G. SAN JOSE 2</t>
        </is>
      </c>
      <c r="E258" s="165" t="n">
        <v>40873</v>
      </c>
      <c r="F258" s="165" t="inlineStr">
        <is>
          <t>YAIR RIVEROS</t>
        </is>
      </c>
      <c r="G258" s="165" t="n">
        <v>3429</v>
      </c>
      <c r="H258" s="165" t="n">
        <v>3429</v>
      </c>
      <c r="I258" s="165" t="n">
        <v>3354</v>
      </c>
      <c r="J258" s="165" t="n">
        <v>3</v>
      </c>
      <c r="K258" s="165" t="n">
        <v>58</v>
      </c>
      <c r="L258" s="165" t="n">
        <v>14</v>
      </c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  <c r="AA258" s="162" t="n"/>
      <c r="AB258" s="162" t="n"/>
      <c r="AC258" s="162" t="n"/>
      <c r="AD258" s="162" t="n"/>
      <c r="AE258" s="162" t="n"/>
      <c r="AF258" s="162" t="n"/>
      <c r="AG258" s="162" t="n"/>
      <c r="AH258" s="162" t="n"/>
      <c r="AI258" s="162" t="n"/>
      <c r="AJ258" s="162" t="n"/>
      <c r="AK258" s="162" t="n"/>
      <c r="AL258" s="162" t="n"/>
      <c r="AM258" s="162" t="n"/>
      <c r="AN258" s="162" t="n"/>
      <c r="AO258" s="162" t="n"/>
      <c r="AP258" s="162" t="n"/>
      <c r="AQ258" s="162" t="n"/>
      <c r="AR258" s="162" t="n"/>
      <c r="AS258" s="162" t="n"/>
      <c r="AT258" s="162" t="n"/>
      <c r="AU258" s="162" t="n"/>
      <c r="AV258" s="162" t="n"/>
      <c r="AW258" s="162" t="n"/>
      <c r="AX258" s="162" t="n"/>
      <c r="AY258" s="162" t="n"/>
      <c r="AZ258" s="162" t="n"/>
      <c r="BA258" s="162" t="n"/>
      <c r="BB258" s="162" t="n"/>
      <c r="BC258" s="162" t="n"/>
      <c r="BD258" s="162" t="n"/>
      <c r="BE258" s="162" t="n"/>
      <c r="BF258" s="162" t="n"/>
      <c r="BG258" s="162" t="n"/>
      <c r="BH258" s="162" t="n"/>
      <c r="BI258" s="162" t="n"/>
      <c r="BJ258" s="162" t="n"/>
      <c r="BK258" s="162" t="n"/>
      <c r="BL258" s="162" t="n"/>
      <c r="BM258" s="162" t="n"/>
      <c r="BN258" s="162" t="n"/>
      <c r="BO258" s="162" t="n"/>
      <c r="BP258" s="162" t="n"/>
      <c r="BQ258" s="162" t="n"/>
      <c r="BR258" s="162" t="n"/>
      <c r="BS258" s="162" t="n"/>
      <c r="BT258" s="162" t="n"/>
      <c r="BU258" s="162" t="n"/>
      <c r="BV258" s="162" t="n"/>
      <c r="BW258" s="162" t="n"/>
      <c r="BX258" s="162" t="n"/>
      <c r="BY258" s="162" t="n"/>
      <c r="BZ258" s="162" t="n"/>
      <c r="CA258" s="162" t="n"/>
      <c r="CB258" s="162" t="n"/>
      <c r="CC258" s="162" t="n"/>
      <c r="CD258" s="162" t="n"/>
      <c r="CE258" s="162" t="n"/>
      <c r="CF258" s="162" t="n"/>
      <c r="CG258" s="162" t="n"/>
      <c r="CH258" s="162" t="n"/>
      <c r="CI258" s="162" t="n"/>
      <c r="CJ258" s="162" t="n"/>
      <c r="CK258" s="162" t="n"/>
      <c r="CL258" s="162" t="n"/>
      <c r="CM258" s="162" t="n"/>
      <c r="CN258" s="162" t="n"/>
      <c r="CO258" s="162" t="n"/>
      <c r="CP258" s="162" t="n"/>
      <c r="CQ258" s="162" t="n"/>
      <c r="CR258" s="162" t="n"/>
      <c r="CS258" s="162" t="n"/>
      <c r="CT258" s="162" t="n"/>
    </row>
    <row r="259" ht="18.75" customHeight="1">
      <c r="A259" s="175" t="n">
        <v>22</v>
      </c>
      <c r="B259" s="165" t="n">
        <v>6</v>
      </c>
      <c r="C259" s="164" t="n">
        <v>45782</v>
      </c>
      <c r="D259" s="165" t="inlineStr">
        <is>
          <t>219 G. SAN JOSE 2</t>
        </is>
      </c>
      <c r="E259" s="165" t="n">
        <v>40874</v>
      </c>
      <c r="F259" s="165" t="inlineStr">
        <is>
          <t>WILMER PIÑEROS</t>
        </is>
      </c>
      <c r="G259" s="165" t="n">
        <v>3455</v>
      </c>
      <c r="H259" s="165" t="n">
        <v>3455</v>
      </c>
      <c r="I259" s="165" t="n">
        <v>3391</v>
      </c>
      <c r="J259" s="165" t="n">
        <v>3</v>
      </c>
      <c r="K259" s="165" t="n">
        <v>55</v>
      </c>
      <c r="L259" s="165" t="n">
        <v>6</v>
      </c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  <c r="AA259" s="162" t="n"/>
      <c r="AB259" s="162" t="n"/>
      <c r="AC259" s="162" t="n"/>
      <c r="AD259" s="162" t="n"/>
      <c r="AE259" s="162" t="n"/>
      <c r="AF259" s="162" t="n"/>
      <c r="AG259" s="162" t="n"/>
      <c r="AH259" s="162" t="n"/>
      <c r="AI259" s="162" t="n"/>
      <c r="AJ259" s="162" t="n"/>
      <c r="AK259" s="162" t="n"/>
      <c r="AL259" s="162" t="n"/>
      <c r="AM259" s="162" t="n"/>
      <c r="AN259" s="162" t="n"/>
      <c r="AO259" s="162" t="n"/>
      <c r="AP259" s="162" t="n"/>
      <c r="AQ259" s="162" t="n"/>
      <c r="AR259" s="162" t="n"/>
      <c r="AS259" s="162" t="n"/>
      <c r="AT259" s="162" t="n"/>
      <c r="AU259" s="162" t="n"/>
      <c r="AV259" s="162" t="n"/>
      <c r="AW259" s="162" t="n"/>
      <c r="AX259" s="162" t="n"/>
      <c r="AY259" s="162" t="n"/>
      <c r="AZ259" s="162" t="n"/>
      <c r="BA259" s="162" t="n"/>
      <c r="BB259" s="162" t="n"/>
      <c r="BC259" s="162" t="n"/>
      <c r="BD259" s="162" t="n"/>
      <c r="BE259" s="162" t="n"/>
      <c r="BF259" s="162" t="n"/>
      <c r="BG259" s="162" t="n"/>
      <c r="BH259" s="162" t="n"/>
      <c r="BI259" s="162" t="n"/>
      <c r="BJ259" s="162" t="n"/>
      <c r="BK259" s="162" t="n"/>
      <c r="BL259" s="162" t="n"/>
      <c r="BM259" s="162" t="n"/>
      <c r="BN259" s="162" t="n"/>
      <c r="BO259" s="162" t="n"/>
      <c r="BP259" s="162" t="n"/>
      <c r="BQ259" s="162" t="n"/>
      <c r="BR259" s="162" t="n"/>
      <c r="BS259" s="162" t="n"/>
      <c r="BT259" s="162" t="n"/>
      <c r="BU259" s="162" t="n"/>
      <c r="BV259" s="162" t="n"/>
      <c r="BW259" s="162" t="n"/>
      <c r="BX259" s="162" t="n"/>
      <c r="BY259" s="162" t="n"/>
      <c r="BZ259" s="162" t="n"/>
      <c r="CA259" s="162" t="n"/>
      <c r="CB259" s="162" t="n"/>
      <c r="CC259" s="162" t="n"/>
      <c r="CD259" s="162" t="n"/>
      <c r="CE259" s="162" t="n"/>
      <c r="CF259" s="162" t="n"/>
      <c r="CG259" s="162" t="n"/>
      <c r="CH259" s="162" t="n"/>
      <c r="CI259" s="162" t="n"/>
      <c r="CJ259" s="162" t="n"/>
      <c r="CK259" s="162" t="n"/>
      <c r="CL259" s="162" t="n"/>
      <c r="CM259" s="162" t="n"/>
      <c r="CN259" s="162" t="n"/>
      <c r="CO259" s="162" t="n"/>
      <c r="CP259" s="162" t="n"/>
      <c r="CQ259" s="162" t="n"/>
      <c r="CR259" s="162" t="n"/>
      <c r="CS259" s="162" t="n"/>
      <c r="CT259" s="162" t="n"/>
    </row>
    <row r="260" ht="18.75" customHeight="1">
      <c r="A260" s="175" t="n">
        <v>23</v>
      </c>
      <c r="B260" s="165" t="n">
        <v>7</v>
      </c>
      <c r="C260" s="164" t="n">
        <v>45782</v>
      </c>
      <c r="D260" s="165" t="inlineStr">
        <is>
          <t>219 G. SAN JOSE 2</t>
        </is>
      </c>
      <c r="E260" s="165" t="n">
        <v>40875</v>
      </c>
      <c r="F260" s="165" t="inlineStr">
        <is>
          <t>HENRY ROMERO</t>
        </is>
      </c>
      <c r="G260" s="165" t="n">
        <v>3455</v>
      </c>
      <c r="H260" s="165" t="n">
        <v>3455</v>
      </c>
      <c r="I260" s="165" t="n">
        <v>3375</v>
      </c>
      <c r="J260" s="165" t="n">
        <v>5</v>
      </c>
      <c r="K260" s="165" t="n">
        <v>80</v>
      </c>
      <c r="L260" s="165" t="n">
        <v>-5</v>
      </c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  <c r="AA260" s="162" t="n"/>
      <c r="AB260" s="162" t="n"/>
      <c r="AC260" s="162" t="n"/>
      <c r="AD260" s="162" t="n"/>
      <c r="AE260" s="162" t="n"/>
      <c r="AF260" s="162" t="n"/>
      <c r="AG260" s="162" t="n"/>
      <c r="AH260" s="162" t="n"/>
      <c r="AI260" s="162" t="n"/>
      <c r="AJ260" s="162" t="n"/>
      <c r="AK260" s="162" t="n"/>
      <c r="AL260" s="162" t="n"/>
      <c r="AM260" s="162" t="n"/>
      <c r="AN260" s="162" t="n"/>
      <c r="AO260" s="162" t="n"/>
      <c r="AP260" s="162" t="n"/>
      <c r="AQ260" s="162" t="n"/>
      <c r="AR260" s="162" t="n"/>
      <c r="AS260" s="162" t="n"/>
      <c r="AT260" s="162" t="n"/>
      <c r="AU260" s="162" t="n"/>
      <c r="AV260" s="162" t="n"/>
      <c r="AW260" s="162" t="n"/>
      <c r="AX260" s="162" t="n"/>
      <c r="AY260" s="162" t="n"/>
      <c r="AZ260" s="162" t="n"/>
      <c r="BA260" s="162" t="n"/>
      <c r="BB260" s="162" t="n"/>
      <c r="BC260" s="162" t="n"/>
      <c r="BD260" s="162" t="n"/>
      <c r="BE260" s="162" t="n"/>
      <c r="BF260" s="162" t="n"/>
      <c r="BG260" s="162" t="n"/>
      <c r="BH260" s="162" t="n"/>
      <c r="BI260" s="162" t="n"/>
      <c r="BJ260" s="162" t="n"/>
      <c r="BK260" s="162" t="n"/>
      <c r="BL260" s="162" t="n"/>
      <c r="BM260" s="162" t="n"/>
      <c r="BN260" s="162" t="n"/>
      <c r="BO260" s="162" t="n"/>
      <c r="BP260" s="162" t="n"/>
      <c r="BQ260" s="162" t="n"/>
      <c r="BR260" s="162" t="n"/>
      <c r="BS260" s="162" t="n"/>
      <c r="BT260" s="162" t="n"/>
      <c r="BU260" s="162" t="n"/>
      <c r="BV260" s="162" t="n"/>
      <c r="BW260" s="162" t="n"/>
      <c r="BX260" s="162" t="n"/>
      <c r="BY260" s="162" t="n"/>
      <c r="BZ260" s="162" t="n"/>
      <c r="CA260" s="162" t="n"/>
      <c r="CB260" s="162" t="n"/>
      <c r="CC260" s="162" t="n"/>
      <c r="CD260" s="162" t="n"/>
      <c r="CE260" s="162" t="n"/>
      <c r="CF260" s="162" t="n"/>
      <c r="CG260" s="162" t="n"/>
      <c r="CH260" s="162" t="n"/>
      <c r="CI260" s="162" t="n"/>
      <c r="CJ260" s="162" t="n"/>
      <c r="CK260" s="162" t="n"/>
      <c r="CL260" s="162" t="n"/>
      <c r="CM260" s="162" t="n"/>
      <c r="CN260" s="162" t="n"/>
      <c r="CO260" s="162" t="n"/>
      <c r="CP260" s="162" t="n"/>
      <c r="CQ260" s="162" t="n"/>
      <c r="CR260" s="162" t="n"/>
      <c r="CS260" s="162" t="n"/>
      <c r="CT260" s="162" t="n"/>
    </row>
    <row r="261" ht="18.75" customHeight="1">
      <c r="A261" s="175" t="n">
        <v>24</v>
      </c>
      <c r="B261" s="165" t="n">
        <v>8</v>
      </c>
      <c r="C261" s="164" t="n">
        <v>45782</v>
      </c>
      <c r="D261" s="165" t="inlineStr">
        <is>
          <t>219 G. SAN JOSE 2</t>
        </is>
      </c>
      <c r="E261" s="165" t="n">
        <v>40885</v>
      </c>
      <c r="F261" s="165" t="inlineStr">
        <is>
          <t>JAIRO CUBILLOS</t>
        </is>
      </c>
      <c r="G261" s="165" t="n">
        <v>3455</v>
      </c>
      <c r="H261" s="165" t="n">
        <v>3455</v>
      </c>
      <c r="I261" s="165" t="n">
        <v>3440</v>
      </c>
      <c r="J261" s="165" t="n">
        <v>4</v>
      </c>
      <c r="K261" s="165" t="n">
        <v>18</v>
      </c>
      <c r="L261" s="165" t="n">
        <v>-7</v>
      </c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  <c r="AA261" s="162" t="n"/>
      <c r="AB261" s="162" t="n"/>
      <c r="AC261" s="162" t="n"/>
      <c r="AD261" s="162" t="n"/>
      <c r="AE261" s="162" t="n"/>
      <c r="AF261" s="162" t="n"/>
      <c r="AG261" s="162" t="n"/>
      <c r="AH261" s="162" t="n"/>
      <c r="AI261" s="162" t="n"/>
      <c r="AJ261" s="162" t="n"/>
      <c r="AK261" s="162" t="n"/>
      <c r="AL261" s="162" t="n"/>
      <c r="AM261" s="162" t="n"/>
      <c r="AN261" s="162" t="n"/>
      <c r="AO261" s="162" t="n"/>
      <c r="AP261" s="162" t="n"/>
      <c r="AQ261" s="162" t="n"/>
      <c r="AR261" s="162" t="n"/>
      <c r="AS261" s="162" t="n"/>
      <c r="AT261" s="162" t="n"/>
      <c r="AU261" s="162" t="n"/>
      <c r="AV261" s="162" t="n"/>
      <c r="AW261" s="162" t="n"/>
      <c r="AX261" s="162" t="n"/>
      <c r="AY261" s="162" t="n"/>
      <c r="AZ261" s="162" t="n"/>
      <c r="BA261" s="162" t="n"/>
      <c r="BB261" s="162" t="n"/>
      <c r="BC261" s="162" t="n"/>
      <c r="BD261" s="162" t="n"/>
      <c r="BE261" s="162" t="n"/>
      <c r="BF261" s="162" t="n"/>
      <c r="BG261" s="162" t="n"/>
      <c r="BH261" s="162" t="n"/>
      <c r="BI261" s="162" t="n"/>
      <c r="BJ261" s="162" t="n"/>
      <c r="BK261" s="162" t="n"/>
      <c r="BL261" s="162" t="n"/>
      <c r="BM261" s="162" t="n"/>
      <c r="BN261" s="162" t="n"/>
      <c r="BO261" s="162" t="n"/>
      <c r="BP261" s="162" t="n"/>
      <c r="BQ261" s="162" t="n"/>
      <c r="BR261" s="162" t="n"/>
      <c r="BS261" s="162" t="n"/>
      <c r="BT261" s="162" t="n"/>
      <c r="BU261" s="162" t="n"/>
      <c r="BV261" s="162" t="n"/>
      <c r="BW261" s="162" t="n"/>
      <c r="BX261" s="162" t="n"/>
      <c r="BY261" s="162" t="n"/>
      <c r="BZ261" s="162" t="n"/>
      <c r="CA261" s="162" t="n"/>
      <c r="CB261" s="162" t="n"/>
      <c r="CC261" s="162" t="n"/>
      <c r="CD261" s="162" t="n"/>
      <c r="CE261" s="162" t="n"/>
      <c r="CF261" s="162" t="n"/>
      <c r="CG261" s="162" t="n"/>
      <c r="CH261" s="162" t="n"/>
      <c r="CI261" s="162" t="n"/>
      <c r="CJ261" s="162" t="n"/>
      <c r="CK261" s="162" t="n"/>
      <c r="CL261" s="162" t="n"/>
      <c r="CM261" s="162" t="n"/>
      <c r="CN261" s="162" t="n"/>
      <c r="CO261" s="162" t="n"/>
      <c r="CP261" s="162" t="n"/>
      <c r="CQ261" s="162" t="n"/>
      <c r="CR261" s="162" t="n"/>
      <c r="CS261" s="162" t="n"/>
      <c r="CT261" s="162" t="n"/>
    </row>
    <row r="262" ht="18.75" customHeight="1">
      <c r="A262" s="175" t="n">
        <v>25</v>
      </c>
      <c r="B262" s="165" t="n">
        <v>9</v>
      </c>
      <c r="C262" s="164" t="n">
        <v>45782</v>
      </c>
      <c r="D262" s="165" t="inlineStr">
        <is>
          <t>219 G. SAN JOSE 2</t>
        </is>
      </c>
      <c r="E262" s="165" t="n">
        <v>40886</v>
      </c>
      <c r="F262" s="165" t="inlineStr">
        <is>
          <t>JHON ARIAS</t>
        </is>
      </c>
      <c r="G262" s="165" t="n">
        <v>3455</v>
      </c>
      <c r="H262" s="165" t="n">
        <v>3455</v>
      </c>
      <c r="I262" s="165" t="n">
        <v>3445</v>
      </c>
      <c r="J262" s="165" t="n">
        <v>4</v>
      </c>
      <c r="K262" s="165" t="n">
        <v>15</v>
      </c>
      <c r="L262" s="165" t="n">
        <v>-9</v>
      </c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  <c r="AA262" s="162" t="n"/>
      <c r="AB262" s="162" t="n"/>
      <c r="AC262" s="162" t="n"/>
      <c r="AD262" s="162" t="n"/>
      <c r="AE262" s="162" t="n"/>
      <c r="AF262" s="162" t="n"/>
      <c r="AG262" s="162" t="n"/>
      <c r="AH262" s="162" t="n"/>
      <c r="AI262" s="162" t="n"/>
      <c r="AJ262" s="162" t="n"/>
      <c r="AK262" s="162" t="n"/>
      <c r="AL262" s="162" t="n"/>
      <c r="AM262" s="162" t="n"/>
      <c r="AN262" s="162" t="n"/>
      <c r="AO262" s="162" t="n"/>
      <c r="AP262" s="162" t="n"/>
      <c r="AQ262" s="162" t="n"/>
      <c r="AR262" s="162" t="n"/>
      <c r="AS262" s="162" t="n"/>
      <c r="AT262" s="162" t="n"/>
      <c r="AU262" s="162" t="n"/>
      <c r="AV262" s="162" t="n"/>
      <c r="AW262" s="162" t="n"/>
      <c r="AX262" s="162" t="n"/>
      <c r="AY262" s="162" t="n"/>
      <c r="AZ262" s="162" t="n"/>
      <c r="BA262" s="162" t="n"/>
      <c r="BB262" s="162" t="n"/>
      <c r="BC262" s="162" t="n"/>
      <c r="BD262" s="162" t="n"/>
      <c r="BE262" s="162" t="n"/>
      <c r="BF262" s="162" t="n"/>
      <c r="BG262" s="162" t="n"/>
      <c r="BH262" s="162" t="n"/>
      <c r="BI262" s="162" t="n"/>
      <c r="BJ262" s="162" t="n"/>
      <c r="BK262" s="162" t="n"/>
      <c r="BL262" s="162" t="n"/>
      <c r="BM262" s="162" t="n"/>
      <c r="BN262" s="162" t="n"/>
      <c r="BO262" s="162" t="n"/>
      <c r="BP262" s="162" t="n"/>
      <c r="BQ262" s="162" t="n"/>
      <c r="BR262" s="162" t="n"/>
      <c r="BS262" s="162" t="n"/>
      <c r="BT262" s="162" t="n"/>
      <c r="BU262" s="162" t="n"/>
      <c r="BV262" s="162" t="n"/>
      <c r="BW262" s="162" t="n"/>
      <c r="BX262" s="162" t="n"/>
      <c r="BY262" s="162" t="n"/>
      <c r="BZ262" s="162" t="n"/>
      <c r="CA262" s="162" t="n"/>
      <c r="CB262" s="162" t="n"/>
      <c r="CC262" s="162" t="n"/>
      <c r="CD262" s="162" t="n"/>
      <c r="CE262" s="162" t="n"/>
      <c r="CF262" s="162" t="n"/>
      <c r="CG262" s="162" t="n"/>
      <c r="CH262" s="162" t="n"/>
      <c r="CI262" s="162" t="n"/>
      <c r="CJ262" s="162" t="n"/>
      <c r="CK262" s="162" t="n"/>
      <c r="CL262" s="162" t="n"/>
      <c r="CM262" s="162" t="n"/>
      <c r="CN262" s="162" t="n"/>
      <c r="CO262" s="162" t="n"/>
      <c r="CP262" s="162" t="n"/>
      <c r="CQ262" s="162" t="n"/>
      <c r="CR262" s="162" t="n"/>
      <c r="CS262" s="162" t="n"/>
      <c r="CT262" s="162" t="n"/>
    </row>
    <row r="263" ht="18.75" customHeight="1">
      <c r="A263" s="175" t="n">
        <v>26</v>
      </c>
      <c r="B263" s="165" t="n">
        <v>10</v>
      </c>
      <c r="C263" s="164" t="n">
        <v>45782</v>
      </c>
      <c r="D263" s="165" t="inlineStr">
        <is>
          <t>219 G. SAN JOSE 2</t>
        </is>
      </c>
      <c r="E263" s="165" t="n">
        <v>40887</v>
      </c>
      <c r="F263" s="165" t="inlineStr">
        <is>
          <t>ALBERTO HERRERA</t>
        </is>
      </c>
      <c r="G263" s="165" t="n">
        <v>3455</v>
      </c>
      <c r="H263" s="165" t="n">
        <v>3455</v>
      </c>
      <c r="I263" s="165" t="n">
        <v>3441</v>
      </c>
      <c r="J263" s="165" t="n">
        <v>2</v>
      </c>
      <c r="K263" s="165" t="n">
        <v>18</v>
      </c>
      <c r="L263" s="165" t="n">
        <v>-6</v>
      </c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  <c r="AA263" s="162" t="n"/>
      <c r="AB263" s="162" t="n"/>
      <c r="AC263" s="162" t="n"/>
      <c r="AD263" s="162" t="n"/>
      <c r="AE263" s="162" t="n"/>
      <c r="AF263" s="162" t="n"/>
      <c r="AG263" s="162" t="n"/>
      <c r="AH263" s="162" t="n"/>
      <c r="AI263" s="162" t="n"/>
      <c r="AJ263" s="162" t="n"/>
      <c r="AK263" s="162" t="n"/>
      <c r="AL263" s="162" t="n"/>
      <c r="AM263" s="162" t="n"/>
      <c r="AN263" s="162" t="n"/>
      <c r="AO263" s="162" t="n"/>
      <c r="AP263" s="162" t="n"/>
      <c r="AQ263" s="162" t="n"/>
      <c r="AR263" s="162" t="n"/>
      <c r="AS263" s="162" t="n"/>
      <c r="AT263" s="162" t="n"/>
      <c r="AU263" s="162" t="n"/>
      <c r="AV263" s="162" t="n"/>
      <c r="AW263" s="162" t="n"/>
      <c r="AX263" s="162" t="n"/>
      <c r="AY263" s="162" t="n"/>
      <c r="AZ263" s="162" t="n"/>
      <c r="BA263" s="162" t="n"/>
      <c r="BB263" s="162" t="n"/>
      <c r="BC263" s="162" t="n"/>
      <c r="BD263" s="162" t="n"/>
      <c r="BE263" s="162" t="n"/>
      <c r="BF263" s="162" t="n"/>
      <c r="BG263" s="162" t="n"/>
      <c r="BH263" s="162" t="n"/>
      <c r="BI263" s="162" t="n"/>
      <c r="BJ263" s="162" t="n"/>
      <c r="BK263" s="162" t="n"/>
      <c r="BL263" s="162" t="n"/>
      <c r="BM263" s="162" t="n"/>
      <c r="BN263" s="162" t="n"/>
      <c r="BO263" s="162" t="n"/>
      <c r="BP263" s="162" t="n"/>
      <c r="BQ263" s="162" t="n"/>
      <c r="BR263" s="162" t="n"/>
      <c r="BS263" s="162" t="n"/>
      <c r="BT263" s="162" t="n"/>
      <c r="BU263" s="162" t="n"/>
      <c r="BV263" s="162" t="n"/>
      <c r="BW263" s="162" t="n"/>
      <c r="BX263" s="162" t="n"/>
      <c r="BY263" s="162" t="n"/>
      <c r="BZ263" s="162" t="n"/>
      <c r="CA263" s="162" t="n"/>
      <c r="CB263" s="162" t="n"/>
      <c r="CC263" s="162" t="n"/>
      <c r="CD263" s="162" t="n"/>
      <c r="CE263" s="162" t="n"/>
      <c r="CF263" s="162" t="n"/>
      <c r="CG263" s="162" t="n"/>
      <c r="CH263" s="162" t="n"/>
      <c r="CI263" s="162" t="n"/>
      <c r="CJ263" s="162" t="n"/>
      <c r="CK263" s="162" t="n"/>
      <c r="CL263" s="162" t="n"/>
      <c r="CM263" s="162" t="n"/>
      <c r="CN263" s="162" t="n"/>
      <c r="CO263" s="162" t="n"/>
      <c r="CP263" s="162" t="n"/>
      <c r="CQ263" s="162" t="n"/>
      <c r="CR263" s="162" t="n"/>
      <c r="CS263" s="162" t="n"/>
      <c r="CT263" s="162" t="n"/>
    </row>
    <row r="264" ht="15" customHeight="1">
      <c r="A264" s="175" t="n">
        <v>27</v>
      </c>
      <c r="B264" s="165" t="n">
        <v>11</v>
      </c>
      <c r="C264" s="164" t="n">
        <v>45782</v>
      </c>
      <c r="D264" s="166" t="inlineStr">
        <is>
          <t>219 G. SAN JOSE 2</t>
        </is>
      </c>
      <c r="E264" s="166" t="n">
        <v>40888</v>
      </c>
      <c r="F264" s="166" t="inlineStr">
        <is>
          <t>YAIR RIVEROS</t>
        </is>
      </c>
      <c r="G264" s="166" t="n">
        <v>3455</v>
      </c>
      <c r="H264" s="166" t="n">
        <v>3455</v>
      </c>
      <c r="I264" s="166" t="n">
        <v>3449</v>
      </c>
      <c r="J264" s="166" t="n">
        <v>1</v>
      </c>
      <c r="K264" s="166" t="n">
        <v>13</v>
      </c>
      <c r="L264" s="166" t="n">
        <v>-8</v>
      </c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  <c r="AA264" s="162" t="n"/>
      <c r="AB264" s="162" t="n"/>
      <c r="AC264" s="162" t="n"/>
      <c r="AD264" s="162" t="n"/>
      <c r="AE264" s="162" t="n"/>
      <c r="AF264" s="162" t="n"/>
      <c r="AG264" s="162" t="n"/>
      <c r="AH264" s="162" t="n"/>
      <c r="AI264" s="162" t="n"/>
      <c r="AJ264" s="162" t="n"/>
      <c r="AK264" s="162" t="n"/>
      <c r="AL264" s="162" t="n"/>
      <c r="AM264" s="162" t="n"/>
      <c r="AN264" s="162" t="n"/>
      <c r="AO264" s="162" t="n"/>
      <c r="AP264" s="162" t="n"/>
      <c r="AQ264" s="162" t="n"/>
      <c r="AR264" s="162" t="n"/>
      <c r="AS264" s="162" t="n"/>
      <c r="AT264" s="162" t="n"/>
      <c r="AU264" s="162" t="n"/>
      <c r="AV264" s="162" t="n"/>
      <c r="AW264" s="162" t="n"/>
      <c r="AX264" s="162" t="n"/>
      <c r="AY264" s="162" t="n"/>
      <c r="AZ264" s="162" t="n"/>
      <c r="BA264" s="162" t="n"/>
      <c r="BB264" s="162" t="n"/>
      <c r="BC264" s="162" t="n"/>
      <c r="BD264" s="162" t="n"/>
      <c r="BE264" s="162" t="n"/>
      <c r="BF264" s="162" t="n"/>
      <c r="BG264" s="162" t="n"/>
      <c r="BH264" s="162" t="n"/>
      <c r="BI264" s="162" t="n"/>
      <c r="BJ264" s="162" t="n"/>
      <c r="BK264" s="162" t="n"/>
      <c r="BL264" s="162" t="n"/>
      <c r="BM264" s="162" t="n"/>
      <c r="BN264" s="162" t="n"/>
      <c r="BO264" s="162" t="n"/>
      <c r="BP264" s="162" t="n"/>
      <c r="BQ264" s="162" t="n"/>
      <c r="BR264" s="162" t="n"/>
      <c r="BS264" s="162" t="n"/>
      <c r="BT264" s="162" t="n"/>
      <c r="BU264" s="162" t="n"/>
      <c r="BV264" s="162" t="n"/>
      <c r="BW264" s="162" t="n"/>
      <c r="BX264" s="162" t="n"/>
      <c r="BY264" s="162" t="n"/>
      <c r="BZ264" s="162" t="n"/>
      <c r="CA264" s="162" t="n"/>
      <c r="CB264" s="162" t="n"/>
      <c r="CC264" s="162" t="n"/>
      <c r="CD264" s="162" t="n"/>
      <c r="CE264" s="162" t="n"/>
      <c r="CF264" s="162" t="n"/>
      <c r="CG264" s="162" t="n"/>
      <c r="CH264" s="162" t="n"/>
      <c r="CI264" s="162" t="n"/>
      <c r="CJ264" s="162" t="n"/>
      <c r="CK264" s="162" t="n"/>
      <c r="CL264" s="162" t="n"/>
      <c r="CM264" s="162" t="n"/>
      <c r="CN264" s="162" t="n"/>
      <c r="CO264" s="162" t="n"/>
      <c r="CP264" s="162" t="n"/>
      <c r="CQ264" s="162" t="n"/>
      <c r="CR264" s="162" t="n"/>
      <c r="CS264" s="162" t="n"/>
      <c r="CT264" s="162" t="n"/>
    </row>
    <row r="265" ht="15" customHeight="1">
      <c r="A265" s="175" t="n">
        <v>28</v>
      </c>
      <c r="B265" s="165" t="n">
        <v>12</v>
      </c>
      <c r="C265" s="164" t="n">
        <v>45782</v>
      </c>
      <c r="D265" s="166" t="inlineStr">
        <is>
          <t>218 G. SAN JOSE 1</t>
        </is>
      </c>
      <c r="E265" s="166" t="n">
        <v>40889</v>
      </c>
      <c r="F265" s="166" t="inlineStr">
        <is>
          <t>HENRY ROMERO</t>
        </is>
      </c>
      <c r="G265" s="166" t="n">
        <v>3294</v>
      </c>
      <c r="H265" s="166" t="n">
        <v>3294</v>
      </c>
      <c r="I265" s="166" t="n">
        <v>3292</v>
      </c>
      <c r="J265" s="166" t="n">
        <v>3</v>
      </c>
      <c r="K265" s="166" t="n">
        <v>8</v>
      </c>
      <c r="L265" s="166" t="n">
        <v>-9</v>
      </c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  <c r="AA265" s="162" t="n"/>
      <c r="AB265" s="162" t="n"/>
      <c r="AC265" s="162" t="n"/>
      <c r="AD265" s="162" t="n"/>
      <c r="AE265" s="162" t="n"/>
      <c r="AF265" s="162" t="n"/>
      <c r="AG265" s="162" t="n"/>
      <c r="AH265" s="162" t="n"/>
      <c r="AI265" s="162" t="n"/>
      <c r="AJ265" s="162" t="n"/>
      <c r="AK265" s="162" t="n"/>
      <c r="AL265" s="162" t="n"/>
      <c r="AM265" s="162" t="n"/>
      <c r="AN265" s="162" t="n"/>
      <c r="AO265" s="162" t="n"/>
      <c r="AP265" s="162" t="n"/>
      <c r="AQ265" s="162" t="n"/>
      <c r="AR265" s="162" t="n"/>
      <c r="AS265" s="162" t="n"/>
      <c r="AT265" s="162" t="n"/>
      <c r="AU265" s="162" t="n"/>
      <c r="AV265" s="162" t="n"/>
      <c r="AW265" s="162" t="n"/>
      <c r="AX265" s="162" t="n"/>
      <c r="AY265" s="162" t="n"/>
      <c r="AZ265" s="162" t="n"/>
      <c r="BA265" s="162" t="n"/>
      <c r="BB265" s="162" t="n"/>
      <c r="BC265" s="162" t="n"/>
      <c r="BD265" s="162" t="n"/>
      <c r="BE265" s="162" t="n"/>
      <c r="BF265" s="162" t="n"/>
      <c r="BG265" s="162" t="n"/>
      <c r="BH265" s="162" t="n"/>
      <c r="BI265" s="162" t="n"/>
      <c r="BJ265" s="162" t="n"/>
      <c r="BK265" s="162" t="n"/>
      <c r="BL265" s="162" t="n"/>
      <c r="BM265" s="162" t="n"/>
      <c r="BN265" s="162" t="n"/>
      <c r="BO265" s="162" t="n"/>
      <c r="BP265" s="162" t="n"/>
      <c r="BQ265" s="162" t="n"/>
      <c r="BR265" s="162" t="n"/>
      <c r="BS265" s="162" t="n"/>
      <c r="BT265" s="162" t="n"/>
      <c r="BU265" s="162" t="n"/>
      <c r="BV265" s="162" t="n"/>
      <c r="BW265" s="162" t="n"/>
      <c r="BX265" s="162" t="n"/>
      <c r="BY265" s="162" t="n"/>
      <c r="BZ265" s="162" t="n"/>
      <c r="CA265" s="162" t="n"/>
      <c r="CB265" s="162" t="n"/>
      <c r="CC265" s="162" t="n"/>
      <c r="CD265" s="162" t="n"/>
      <c r="CE265" s="162" t="n"/>
      <c r="CF265" s="162" t="n"/>
      <c r="CG265" s="162" t="n"/>
      <c r="CH265" s="162" t="n"/>
      <c r="CI265" s="162" t="n"/>
      <c r="CJ265" s="162" t="n"/>
      <c r="CK265" s="162" t="n"/>
      <c r="CL265" s="162" t="n"/>
      <c r="CM265" s="162" t="n"/>
      <c r="CN265" s="162" t="n"/>
      <c r="CO265" s="162" t="n"/>
      <c r="CP265" s="162" t="n"/>
      <c r="CQ265" s="162" t="n"/>
      <c r="CR265" s="162" t="n"/>
      <c r="CS265" s="162" t="n"/>
      <c r="CT265" s="162" t="n"/>
    </row>
    <row r="266" ht="15" customHeight="1">
      <c r="A266" s="175" t="n">
        <v>29</v>
      </c>
      <c r="B266" s="165" t="n">
        <v>13</v>
      </c>
      <c r="C266" s="164" t="n">
        <v>45782</v>
      </c>
      <c r="D266" s="166" t="inlineStr">
        <is>
          <t>218 G. SAN JOSE 1</t>
        </is>
      </c>
      <c r="E266" s="166" t="n">
        <v>40890</v>
      </c>
      <c r="F266" s="166" t="inlineStr">
        <is>
          <t>ALBERTO LOPEZ</t>
        </is>
      </c>
      <c r="G266" s="166" t="n">
        <v>3300</v>
      </c>
      <c r="H266" s="166" t="n">
        <v>3300</v>
      </c>
      <c r="I266" s="166" t="n">
        <v>3296</v>
      </c>
      <c r="J266" s="166" t="n">
        <v>3</v>
      </c>
      <c r="K266" s="166" t="n">
        <v>4</v>
      </c>
      <c r="L266" s="166" t="n">
        <v>-3</v>
      </c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  <c r="AA266" s="162" t="n"/>
      <c r="AB266" s="162" t="n"/>
      <c r="AC266" s="162" t="n"/>
      <c r="AD266" s="162" t="n"/>
      <c r="AE266" s="162" t="n"/>
      <c r="AF266" s="162" t="n"/>
      <c r="AG266" s="162" t="n"/>
      <c r="AH266" s="162" t="n"/>
      <c r="AI266" s="162" t="n"/>
      <c r="AJ266" s="162" t="n"/>
      <c r="AK266" s="162" t="n"/>
      <c r="AL266" s="162" t="n"/>
      <c r="AM266" s="162" t="n"/>
      <c r="AN266" s="162" t="n"/>
      <c r="AO266" s="162" t="n"/>
      <c r="AP266" s="162" t="n"/>
      <c r="AQ266" s="162" t="n"/>
      <c r="AR266" s="162" t="n"/>
      <c r="AS266" s="162" t="n"/>
      <c r="AT266" s="162" t="n"/>
      <c r="AU266" s="162" t="n"/>
      <c r="AV266" s="162" t="n"/>
      <c r="AW266" s="162" t="n"/>
      <c r="AX266" s="162" t="n"/>
      <c r="AY266" s="162" t="n"/>
      <c r="AZ266" s="162" t="n"/>
      <c r="BA266" s="162" t="n"/>
      <c r="BB266" s="162" t="n"/>
      <c r="BC266" s="162" t="n"/>
      <c r="BD266" s="162" t="n"/>
      <c r="BE266" s="162" t="n"/>
      <c r="BF266" s="162" t="n"/>
      <c r="BG266" s="162" t="n"/>
      <c r="BH266" s="162" t="n"/>
      <c r="BI266" s="162" t="n"/>
      <c r="BJ266" s="162" t="n"/>
      <c r="BK266" s="162" t="n"/>
      <c r="BL266" s="162" t="n"/>
      <c r="BM266" s="162" t="n"/>
      <c r="BN266" s="162" t="n"/>
      <c r="BO266" s="162" t="n"/>
      <c r="BP266" s="162" t="n"/>
      <c r="BQ266" s="162" t="n"/>
      <c r="BR266" s="162" t="n"/>
      <c r="BS266" s="162" t="n"/>
      <c r="BT266" s="162" t="n"/>
      <c r="BU266" s="162" t="n"/>
      <c r="BV266" s="162" t="n"/>
      <c r="BW266" s="162" t="n"/>
      <c r="BX266" s="162" t="n"/>
      <c r="BY266" s="162" t="n"/>
      <c r="BZ266" s="162" t="n"/>
      <c r="CA266" s="162" t="n"/>
      <c r="CB266" s="162" t="n"/>
      <c r="CC266" s="162" t="n"/>
      <c r="CD266" s="162" t="n"/>
      <c r="CE266" s="162" t="n"/>
      <c r="CF266" s="162" t="n"/>
      <c r="CG266" s="162" t="n"/>
      <c r="CH266" s="162" t="n"/>
      <c r="CI266" s="162" t="n"/>
      <c r="CJ266" s="162" t="n"/>
      <c r="CK266" s="162" t="n"/>
      <c r="CL266" s="162" t="n"/>
      <c r="CM266" s="162" t="n"/>
      <c r="CN266" s="162" t="n"/>
      <c r="CO266" s="162" t="n"/>
      <c r="CP266" s="162" t="n"/>
      <c r="CQ266" s="162" t="n"/>
      <c r="CR266" s="162" t="n"/>
      <c r="CS266" s="162" t="n"/>
      <c r="CT266" s="162" t="n"/>
    </row>
    <row r="267" ht="15" customHeight="1">
      <c r="A267" s="175" t="n">
        <v>30</v>
      </c>
      <c r="B267" s="165" t="n">
        <v>14</v>
      </c>
      <c r="C267" s="164" t="n">
        <v>45782</v>
      </c>
      <c r="D267" s="166" t="inlineStr">
        <is>
          <t>218 G. SAN JOSE 1</t>
        </is>
      </c>
      <c r="E267" s="166" t="n">
        <v>40891</v>
      </c>
      <c r="F267" s="166" t="inlineStr">
        <is>
          <t>JHON AGUIRRE</t>
        </is>
      </c>
      <c r="G267" s="166" t="n">
        <v>3294</v>
      </c>
      <c r="H267" s="166" t="n">
        <v>3294</v>
      </c>
      <c r="I267" s="166" t="n">
        <v>3295</v>
      </c>
      <c r="J267" s="166" t="n">
        <v>3</v>
      </c>
      <c r="K267" s="166" t="n">
        <v>6</v>
      </c>
      <c r="L267" s="166" t="n">
        <v>-10</v>
      </c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  <c r="AA267" s="162" t="n"/>
      <c r="AB267" s="162" t="n"/>
      <c r="AC267" s="162" t="n"/>
      <c r="AD267" s="162" t="n"/>
      <c r="AE267" s="162" t="n"/>
      <c r="AF267" s="162" t="n"/>
      <c r="AG267" s="162" t="n"/>
      <c r="AH267" s="162" t="n"/>
      <c r="AI267" s="162" t="n"/>
      <c r="AJ267" s="162" t="n"/>
      <c r="AK267" s="162" t="n"/>
      <c r="AL267" s="162" t="n"/>
      <c r="AM267" s="162" t="n"/>
      <c r="AN267" s="162" t="n"/>
      <c r="AO267" s="162" t="n"/>
      <c r="AP267" s="162" t="n"/>
      <c r="AQ267" s="162" t="n"/>
      <c r="AR267" s="162" t="n"/>
      <c r="AS267" s="162" t="n"/>
      <c r="AT267" s="162" t="n"/>
      <c r="AU267" s="162" t="n"/>
      <c r="AV267" s="162" t="n"/>
      <c r="AW267" s="162" t="n"/>
      <c r="AX267" s="162" t="n"/>
      <c r="AY267" s="162" t="n"/>
      <c r="AZ267" s="162" t="n"/>
      <c r="BA267" s="162" t="n"/>
      <c r="BB267" s="162" t="n"/>
      <c r="BC267" s="162" t="n"/>
      <c r="BD267" s="162" t="n"/>
      <c r="BE267" s="162" t="n"/>
      <c r="BF267" s="162" t="n"/>
      <c r="BG267" s="162" t="n"/>
      <c r="BH267" s="162" t="n"/>
      <c r="BI267" s="162" t="n"/>
      <c r="BJ267" s="162" t="n"/>
      <c r="BK267" s="162" t="n"/>
      <c r="BL267" s="162" t="n"/>
      <c r="BM267" s="162" t="n"/>
      <c r="BN267" s="162" t="n"/>
      <c r="BO267" s="162" t="n"/>
      <c r="BP267" s="162" t="n"/>
      <c r="BQ267" s="162" t="n"/>
      <c r="BR267" s="162" t="n"/>
      <c r="BS267" s="162" t="n"/>
      <c r="BT267" s="162" t="n"/>
      <c r="BU267" s="162" t="n"/>
      <c r="BV267" s="162" t="n"/>
      <c r="BW267" s="162" t="n"/>
      <c r="BX267" s="162" t="n"/>
      <c r="BY267" s="162" t="n"/>
      <c r="BZ267" s="162" t="n"/>
      <c r="CA267" s="162" t="n"/>
      <c r="CB267" s="162" t="n"/>
      <c r="CC267" s="162" t="n"/>
      <c r="CD267" s="162" t="n"/>
      <c r="CE267" s="162" t="n"/>
      <c r="CF267" s="162" t="n"/>
      <c r="CG267" s="162" t="n"/>
      <c r="CH267" s="162" t="n"/>
      <c r="CI267" s="162" t="n"/>
      <c r="CJ267" s="162" t="n"/>
      <c r="CK267" s="162" t="n"/>
      <c r="CL267" s="162" t="n"/>
      <c r="CM267" s="162" t="n"/>
      <c r="CN267" s="162" t="n"/>
      <c r="CO267" s="162" t="n"/>
      <c r="CP267" s="162" t="n"/>
      <c r="CQ267" s="162" t="n"/>
      <c r="CR267" s="162" t="n"/>
      <c r="CS267" s="162" t="n"/>
      <c r="CT267" s="162" t="n"/>
    </row>
    <row r="268" ht="15" customHeight="1">
      <c r="A268" s="175" t="n">
        <v>31</v>
      </c>
      <c r="B268" s="165" t="n">
        <v>15</v>
      </c>
      <c r="C268" s="164" t="n">
        <v>45783</v>
      </c>
      <c r="D268" s="166" t="inlineStr">
        <is>
          <t>219 G. SAN JOSE 2</t>
        </is>
      </c>
      <c r="E268" s="166" t="n">
        <v>40899</v>
      </c>
      <c r="F268" s="166" t="inlineStr">
        <is>
          <t>YAIR RIVEROS</t>
        </is>
      </c>
      <c r="G268" s="166" t="n">
        <v>3240</v>
      </c>
      <c r="H268" s="166" t="n">
        <v>3240</v>
      </c>
      <c r="I268" s="166" t="n">
        <v>3210</v>
      </c>
      <c r="J268" s="166" t="n">
        <v>3</v>
      </c>
      <c r="K268" s="166" t="n">
        <v>26</v>
      </c>
      <c r="L268" s="166" t="n">
        <v>1</v>
      </c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  <c r="AA268" s="162" t="n"/>
      <c r="AB268" s="162" t="n"/>
      <c r="AC268" s="162" t="n"/>
      <c r="AD268" s="162" t="n"/>
      <c r="AE268" s="162" t="n"/>
      <c r="AF268" s="162" t="n"/>
      <c r="AG268" s="162" t="n"/>
      <c r="AH268" s="162" t="n"/>
      <c r="AI268" s="162" t="n"/>
      <c r="AJ268" s="162" t="n"/>
      <c r="AK268" s="162" t="n"/>
      <c r="AL268" s="162" t="n"/>
      <c r="AM268" s="162" t="n"/>
      <c r="AN268" s="162" t="n"/>
      <c r="AO268" s="162" t="n"/>
      <c r="AP268" s="162" t="n"/>
      <c r="AQ268" s="162" t="n"/>
      <c r="AR268" s="162" t="n"/>
      <c r="AS268" s="162" t="n"/>
      <c r="AT268" s="162" t="n"/>
      <c r="AU268" s="162" t="n"/>
      <c r="AV268" s="162" t="n"/>
      <c r="AW268" s="162" t="n"/>
      <c r="AX268" s="162" t="n"/>
      <c r="AY268" s="162" t="n"/>
      <c r="AZ268" s="162" t="n"/>
      <c r="BA268" s="162" t="n"/>
      <c r="BB268" s="162" t="n"/>
      <c r="BC268" s="162" t="n"/>
      <c r="BD268" s="162" t="n"/>
      <c r="BE268" s="162" t="n"/>
      <c r="BF268" s="162" t="n"/>
      <c r="BG268" s="162" t="n"/>
      <c r="BH268" s="162" t="n"/>
      <c r="BI268" s="162" t="n"/>
      <c r="BJ268" s="162" t="n"/>
      <c r="BK268" s="162" t="n"/>
      <c r="BL268" s="162" t="n"/>
      <c r="BM268" s="162" t="n"/>
      <c r="BN268" s="162" t="n"/>
      <c r="BO268" s="162" t="n"/>
      <c r="BP268" s="162" t="n"/>
      <c r="BQ268" s="162" t="n"/>
      <c r="BR268" s="162" t="n"/>
      <c r="BS268" s="162" t="n"/>
      <c r="BT268" s="162" t="n"/>
      <c r="BU268" s="162" t="n"/>
      <c r="BV268" s="162" t="n"/>
      <c r="BW268" s="162" t="n"/>
      <c r="BX268" s="162" t="n"/>
      <c r="BY268" s="162" t="n"/>
      <c r="BZ268" s="162" t="n"/>
      <c r="CA268" s="162" t="n"/>
      <c r="CB268" s="162" t="n"/>
      <c r="CC268" s="162" t="n"/>
      <c r="CD268" s="162" t="n"/>
      <c r="CE268" s="162" t="n"/>
      <c r="CF268" s="162" t="n"/>
      <c r="CG268" s="162" t="n"/>
      <c r="CH268" s="162" t="n"/>
      <c r="CI268" s="162" t="n"/>
      <c r="CJ268" s="162" t="n"/>
      <c r="CK268" s="162" t="n"/>
      <c r="CL268" s="162" t="n"/>
      <c r="CM268" s="162" t="n"/>
      <c r="CN268" s="162" t="n"/>
      <c r="CO268" s="162" t="n"/>
      <c r="CP268" s="162" t="n"/>
      <c r="CQ268" s="162" t="n"/>
      <c r="CR268" s="162" t="n"/>
      <c r="CS268" s="162" t="n"/>
      <c r="CT268" s="162" t="n"/>
    </row>
    <row r="269" ht="15" customHeight="1">
      <c r="A269" s="175" t="n">
        <v>32</v>
      </c>
      <c r="B269" s="165" t="n">
        <v>16</v>
      </c>
      <c r="C269" s="164" t="n">
        <v>45783</v>
      </c>
      <c r="D269" s="166" t="inlineStr">
        <is>
          <t>219 G. SAN JOSE 2</t>
        </is>
      </c>
      <c r="E269" s="166" t="n">
        <v>40900</v>
      </c>
      <c r="F269" s="166" t="inlineStr">
        <is>
          <t>DIEGO NIÑO</t>
        </is>
      </c>
      <c r="G269" s="166" t="n">
        <v>3240</v>
      </c>
      <c r="H269" s="166" t="n">
        <v>3240</v>
      </c>
      <c r="I269" s="166" t="n">
        <v>3214</v>
      </c>
      <c r="J269" s="166" t="n">
        <v>2</v>
      </c>
      <c r="K269" s="166" t="n">
        <v>23</v>
      </c>
      <c r="L269" s="166" t="n">
        <v>1</v>
      </c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  <c r="AA269" s="162" t="n"/>
      <c r="AB269" s="162" t="n"/>
      <c r="AC269" s="162" t="n"/>
      <c r="AD269" s="162" t="n"/>
      <c r="AE269" s="162" t="n"/>
      <c r="AF269" s="162" t="n"/>
      <c r="AG269" s="162" t="n"/>
      <c r="AH269" s="162" t="n"/>
      <c r="AI269" s="162" t="n"/>
      <c r="AJ269" s="162" t="n"/>
      <c r="AK269" s="162" t="n"/>
      <c r="AL269" s="162" t="n"/>
      <c r="AM269" s="162" t="n"/>
      <c r="AN269" s="162" t="n"/>
      <c r="AO269" s="162" t="n"/>
      <c r="AP269" s="162" t="n"/>
      <c r="AQ269" s="162" t="n"/>
      <c r="AR269" s="162" t="n"/>
      <c r="AS269" s="162" t="n"/>
      <c r="AT269" s="162" t="n"/>
      <c r="AU269" s="162" t="n"/>
      <c r="AV269" s="162" t="n"/>
      <c r="AW269" s="162" t="n"/>
      <c r="AX269" s="162" t="n"/>
      <c r="AY269" s="162" t="n"/>
      <c r="AZ269" s="162" t="n"/>
      <c r="BA269" s="162" t="n"/>
      <c r="BB269" s="162" t="n"/>
      <c r="BC269" s="162" t="n"/>
      <c r="BD269" s="162" t="n"/>
      <c r="BE269" s="162" t="n"/>
      <c r="BF269" s="162" t="n"/>
      <c r="BG269" s="162" t="n"/>
      <c r="BH269" s="162" t="n"/>
      <c r="BI269" s="162" t="n"/>
      <c r="BJ269" s="162" t="n"/>
      <c r="BK269" s="162" t="n"/>
      <c r="BL269" s="162" t="n"/>
      <c r="BM269" s="162" t="n"/>
      <c r="BN269" s="162" t="n"/>
      <c r="BO269" s="162" t="n"/>
      <c r="BP269" s="162" t="n"/>
      <c r="BQ269" s="162" t="n"/>
      <c r="BR269" s="162" t="n"/>
      <c r="BS269" s="162" t="n"/>
      <c r="BT269" s="162" t="n"/>
      <c r="BU269" s="162" t="n"/>
      <c r="BV269" s="162" t="n"/>
      <c r="BW269" s="162" t="n"/>
      <c r="BX269" s="162" t="n"/>
      <c r="BY269" s="162" t="n"/>
      <c r="BZ269" s="162" t="n"/>
      <c r="CA269" s="162" t="n"/>
      <c r="CB269" s="162" t="n"/>
      <c r="CC269" s="162" t="n"/>
      <c r="CD269" s="162" t="n"/>
      <c r="CE269" s="162" t="n"/>
      <c r="CF269" s="162" t="n"/>
      <c r="CG269" s="162" t="n"/>
      <c r="CH269" s="162" t="n"/>
      <c r="CI269" s="162" t="n"/>
      <c r="CJ269" s="162" t="n"/>
      <c r="CK269" s="162" t="n"/>
      <c r="CL269" s="162" t="n"/>
      <c r="CM269" s="162" t="n"/>
      <c r="CN269" s="162" t="n"/>
      <c r="CO269" s="162" t="n"/>
      <c r="CP269" s="162" t="n"/>
      <c r="CQ269" s="162" t="n"/>
      <c r="CR269" s="162" t="n"/>
      <c r="CS269" s="162" t="n"/>
      <c r="CT269" s="162" t="n"/>
    </row>
    <row r="270" ht="15" customHeight="1">
      <c r="A270" s="175" t="n">
        <v>33</v>
      </c>
      <c r="B270" s="165" t="n">
        <v>17</v>
      </c>
      <c r="C270" s="164" t="n">
        <v>45783</v>
      </c>
      <c r="D270" s="166" t="inlineStr">
        <is>
          <t>219 G. SAN JOSE 2</t>
        </is>
      </c>
      <c r="E270" s="166" t="n">
        <v>40901</v>
      </c>
      <c r="F270" s="166" t="inlineStr">
        <is>
          <t>DUMAR ANGARITA</t>
        </is>
      </c>
      <c r="G270" s="166" t="n">
        <v>2916</v>
      </c>
      <c r="H270" s="166" t="n">
        <v>2916</v>
      </c>
      <c r="I270" s="166" t="n">
        <v>2894</v>
      </c>
      <c r="J270" s="166" t="n">
        <v>2</v>
      </c>
      <c r="K270" s="166" t="n">
        <v>20</v>
      </c>
      <c r="L270" s="166" t="n">
        <v>0</v>
      </c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  <c r="AA270" s="162" t="n"/>
      <c r="AB270" s="162" t="n"/>
      <c r="AC270" s="162" t="n"/>
      <c r="AD270" s="162" t="n"/>
      <c r="AE270" s="162" t="n"/>
      <c r="AF270" s="162" t="n"/>
      <c r="AG270" s="162" t="n"/>
      <c r="AH270" s="162" t="n"/>
      <c r="AI270" s="162" t="n"/>
      <c r="AJ270" s="162" t="n"/>
      <c r="AK270" s="162" t="n"/>
      <c r="AL270" s="162" t="n"/>
      <c r="AM270" s="162" t="n"/>
      <c r="AN270" s="162" t="n"/>
      <c r="AO270" s="162" t="n"/>
      <c r="AP270" s="162" t="n"/>
      <c r="AQ270" s="162" t="n"/>
      <c r="AR270" s="162" t="n"/>
      <c r="AS270" s="162" t="n"/>
      <c r="AT270" s="162" t="n"/>
      <c r="AU270" s="162" t="n"/>
      <c r="AV270" s="162" t="n"/>
      <c r="AW270" s="162" t="n"/>
      <c r="AX270" s="162" t="n"/>
      <c r="AY270" s="162" t="n"/>
      <c r="AZ270" s="162" t="n"/>
      <c r="BA270" s="162" t="n"/>
      <c r="BB270" s="162" t="n"/>
      <c r="BC270" s="162" t="n"/>
      <c r="BD270" s="162" t="n"/>
      <c r="BE270" s="162" t="n"/>
      <c r="BF270" s="162" t="n"/>
      <c r="BG270" s="162" t="n"/>
      <c r="BH270" s="162" t="n"/>
      <c r="BI270" s="162" t="n"/>
      <c r="BJ270" s="162" t="n"/>
      <c r="BK270" s="162" t="n"/>
      <c r="BL270" s="162" t="n"/>
      <c r="BM270" s="162" t="n"/>
      <c r="BN270" s="162" t="n"/>
      <c r="BO270" s="162" t="n"/>
      <c r="BP270" s="162" t="n"/>
      <c r="BQ270" s="162" t="n"/>
      <c r="BR270" s="162" t="n"/>
      <c r="BS270" s="162" t="n"/>
      <c r="BT270" s="162" t="n"/>
      <c r="BU270" s="162" t="n"/>
      <c r="BV270" s="162" t="n"/>
      <c r="BW270" s="162" t="n"/>
      <c r="BX270" s="162" t="n"/>
      <c r="BY270" s="162" t="n"/>
      <c r="BZ270" s="162" t="n"/>
      <c r="CA270" s="162" t="n"/>
      <c r="CB270" s="162" t="n"/>
      <c r="CC270" s="162" t="n"/>
      <c r="CD270" s="162" t="n"/>
      <c r="CE270" s="162" t="n"/>
      <c r="CF270" s="162" t="n"/>
      <c r="CG270" s="162" t="n"/>
      <c r="CH270" s="162" t="n"/>
      <c r="CI270" s="162" t="n"/>
      <c r="CJ270" s="162" t="n"/>
      <c r="CK270" s="162" t="n"/>
      <c r="CL270" s="162" t="n"/>
      <c r="CM270" s="162" t="n"/>
      <c r="CN270" s="162" t="n"/>
      <c r="CO270" s="162" t="n"/>
      <c r="CP270" s="162" t="n"/>
      <c r="CQ270" s="162" t="n"/>
      <c r="CR270" s="162" t="n"/>
      <c r="CS270" s="162" t="n"/>
      <c r="CT270" s="162" t="n"/>
    </row>
    <row r="271" ht="15" customHeight="1">
      <c r="A271" s="175" t="n">
        <v>34</v>
      </c>
      <c r="B271" s="165" t="n">
        <v>18</v>
      </c>
      <c r="C271" s="164" t="n">
        <v>45783</v>
      </c>
      <c r="D271" s="166" t="inlineStr">
        <is>
          <t>219 G. SAN JOSE 2</t>
        </is>
      </c>
      <c r="E271" s="166" t="n">
        <v>40902</v>
      </c>
      <c r="F271" s="166" t="inlineStr">
        <is>
          <t>JOSE SOLER</t>
        </is>
      </c>
      <c r="G271" s="166" t="n">
        <v>3297</v>
      </c>
      <c r="H271" s="166" t="n">
        <v>3297</v>
      </c>
      <c r="I271" s="166" t="n">
        <v>3268</v>
      </c>
      <c r="J271" s="166" t="n">
        <v>1</v>
      </c>
      <c r="K271" s="166" t="n">
        <v>22</v>
      </c>
      <c r="L271" s="166" t="n">
        <v>6</v>
      </c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  <c r="AA271" s="162" t="n"/>
      <c r="AB271" s="162" t="n"/>
      <c r="AC271" s="162" t="n"/>
      <c r="AD271" s="162" t="n"/>
      <c r="AE271" s="162" t="n"/>
      <c r="AF271" s="162" t="n"/>
      <c r="AG271" s="162" t="n"/>
      <c r="AH271" s="162" t="n"/>
      <c r="AI271" s="162" t="n"/>
      <c r="AJ271" s="162" t="n"/>
      <c r="AK271" s="162" t="n"/>
      <c r="AL271" s="162" t="n"/>
      <c r="AM271" s="162" t="n"/>
      <c r="AN271" s="162" t="n"/>
      <c r="AO271" s="162" t="n"/>
      <c r="AP271" s="162" t="n"/>
      <c r="AQ271" s="162" t="n"/>
      <c r="AR271" s="162" t="n"/>
      <c r="AS271" s="162" t="n"/>
      <c r="AT271" s="162" t="n"/>
      <c r="AU271" s="162" t="n"/>
      <c r="AV271" s="162" t="n"/>
      <c r="AW271" s="162" t="n"/>
      <c r="AX271" s="162" t="n"/>
      <c r="AY271" s="162" t="n"/>
      <c r="AZ271" s="162" t="n"/>
      <c r="BA271" s="162" t="n"/>
      <c r="BB271" s="162" t="n"/>
      <c r="BC271" s="162" t="n"/>
      <c r="BD271" s="162" t="n"/>
      <c r="BE271" s="162" t="n"/>
      <c r="BF271" s="162" t="n"/>
      <c r="BG271" s="162" t="n"/>
      <c r="BH271" s="162" t="n"/>
      <c r="BI271" s="162" t="n"/>
      <c r="BJ271" s="162" t="n"/>
      <c r="BK271" s="162" t="n"/>
      <c r="BL271" s="162" t="n"/>
      <c r="BM271" s="162" t="n"/>
      <c r="BN271" s="162" t="n"/>
      <c r="BO271" s="162" t="n"/>
      <c r="BP271" s="162" t="n"/>
      <c r="BQ271" s="162" t="n"/>
      <c r="BR271" s="162" t="n"/>
      <c r="BS271" s="162" t="n"/>
      <c r="BT271" s="162" t="n"/>
      <c r="BU271" s="162" t="n"/>
      <c r="BV271" s="162" t="n"/>
      <c r="BW271" s="162" t="n"/>
      <c r="BX271" s="162" t="n"/>
      <c r="BY271" s="162" t="n"/>
      <c r="BZ271" s="162" t="n"/>
      <c r="CA271" s="162" t="n"/>
      <c r="CB271" s="162" t="n"/>
      <c r="CC271" s="162" t="n"/>
      <c r="CD271" s="162" t="n"/>
      <c r="CE271" s="162" t="n"/>
      <c r="CF271" s="162" t="n"/>
      <c r="CG271" s="162" t="n"/>
      <c r="CH271" s="162" t="n"/>
      <c r="CI271" s="162" t="n"/>
      <c r="CJ271" s="162" t="n"/>
      <c r="CK271" s="162" t="n"/>
      <c r="CL271" s="162" t="n"/>
      <c r="CM271" s="162" t="n"/>
      <c r="CN271" s="162" t="n"/>
      <c r="CO271" s="162" t="n"/>
      <c r="CP271" s="162" t="n"/>
      <c r="CQ271" s="162" t="n"/>
      <c r="CR271" s="162" t="n"/>
      <c r="CS271" s="162" t="n"/>
      <c r="CT271" s="162" t="n"/>
    </row>
    <row r="272" ht="15" customHeight="1">
      <c r="A272" s="175" t="n">
        <v>35</v>
      </c>
      <c r="B272" s="165" t="n">
        <v>19</v>
      </c>
      <c r="C272" s="164" t="n">
        <v>45783</v>
      </c>
      <c r="D272" s="166" t="inlineStr">
        <is>
          <t>218 G. SAN JOSE 1</t>
        </is>
      </c>
      <c r="E272" s="166" t="n">
        <v>40903</v>
      </c>
      <c r="F272" s="166" t="inlineStr">
        <is>
          <t>EDWIN ROJAS</t>
        </is>
      </c>
      <c r="G272" s="166" t="n">
        <v>3285</v>
      </c>
      <c r="H272" s="166" t="n">
        <v>3285</v>
      </c>
      <c r="I272" s="166" t="n">
        <v>3275</v>
      </c>
      <c r="J272" s="166" t="n">
        <v>4</v>
      </c>
      <c r="K272" s="166" t="n">
        <v>7</v>
      </c>
      <c r="L272" s="166" t="n">
        <v>-1</v>
      </c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  <c r="AA272" s="162" t="n"/>
      <c r="AB272" s="162" t="n"/>
      <c r="AC272" s="162" t="n"/>
      <c r="AD272" s="162" t="n"/>
      <c r="AE272" s="162" t="n"/>
      <c r="AF272" s="162" t="n"/>
      <c r="AG272" s="162" t="n"/>
      <c r="AH272" s="162" t="n"/>
      <c r="AI272" s="162" t="n"/>
      <c r="AJ272" s="162" t="n"/>
      <c r="AK272" s="162" t="n"/>
      <c r="AL272" s="162" t="n"/>
      <c r="AM272" s="162" t="n"/>
      <c r="AN272" s="162" t="n"/>
      <c r="AO272" s="162" t="n"/>
      <c r="AP272" s="162" t="n"/>
      <c r="AQ272" s="162" t="n"/>
      <c r="AR272" s="162" t="n"/>
      <c r="AS272" s="162" t="n"/>
      <c r="AT272" s="162" t="n"/>
      <c r="AU272" s="162" t="n"/>
      <c r="AV272" s="162" t="n"/>
      <c r="AW272" s="162" t="n"/>
      <c r="AX272" s="162" t="n"/>
      <c r="AY272" s="162" t="n"/>
      <c r="AZ272" s="162" t="n"/>
      <c r="BA272" s="162" t="n"/>
      <c r="BB272" s="162" t="n"/>
      <c r="BC272" s="162" t="n"/>
      <c r="BD272" s="162" t="n"/>
      <c r="BE272" s="162" t="n"/>
      <c r="BF272" s="162" t="n"/>
      <c r="BG272" s="162" t="n"/>
      <c r="BH272" s="162" t="n"/>
      <c r="BI272" s="162" t="n"/>
      <c r="BJ272" s="162" t="n"/>
      <c r="BK272" s="162" t="n"/>
      <c r="BL272" s="162" t="n"/>
      <c r="BM272" s="162" t="n"/>
      <c r="BN272" s="162" t="n"/>
      <c r="BO272" s="162" t="n"/>
      <c r="BP272" s="162" t="n"/>
      <c r="BQ272" s="162" t="n"/>
      <c r="BR272" s="162" t="n"/>
      <c r="BS272" s="162" t="n"/>
      <c r="BT272" s="162" t="n"/>
      <c r="BU272" s="162" t="n"/>
      <c r="BV272" s="162" t="n"/>
      <c r="BW272" s="162" t="n"/>
      <c r="BX272" s="162" t="n"/>
      <c r="BY272" s="162" t="n"/>
      <c r="BZ272" s="162" t="n"/>
      <c r="CA272" s="162" t="n"/>
      <c r="CB272" s="162" t="n"/>
      <c r="CC272" s="162" t="n"/>
      <c r="CD272" s="162" t="n"/>
      <c r="CE272" s="162" t="n"/>
      <c r="CF272" s="162" t="n"/>
      <c r="CG272" s="162" t="n"/>
      <c r="CH272" s="162" t="n"/>
      <c r="CI272" s="162" t="n"/>
      <c r="CJ272" s="162" t="n"/>
      <c r="CK272" s="162" t="n"/>
      <c r="CL272" s="162" t="n"/>
      <c r="CM272" s="162" t="n"/>
      <c r="CN272" s="162" t="n"/>
      <c r="CO272" s="162" t="n"/>
      <c r="CP272" s="162" t="n"/>
      <c r="CQ272" s="162" t="n"/>
      <c r="CR272" s="162" t="n"/>
      <c r="CS272" s="162" t="n"/>
      <c r="CT272" s="162" t="n"/>
    </row>
    <row r="273" ht="15" customHeight="1">
      <c r="A273" s="175" t="n">
        <v>36</v>
      </c>
      <c r="B273" s="165" t="n">
        <v>20</v>
      </c>
      <c r="C273" s="164" t="n">
        <v>45783</v>
      </c>
      <c r="D273" s="166" t="inlineStr">
        <is>
          <t>218 G. SAN JOSE 1</t>
        </is>
      </c>
      <c r="E273" s="166" t="n">
        <v>40904</v>
      </c>
      <c r="F273" s="166" t="inlineStr">
        <is>
          <t>FERNANDO OYUELA</t>
        </is>
      </c>
      <c r="G273" s="166" t="n">
        <v>2693</v>
      </c>
      <c r="H273" s="166" t="n">
        <v>2693</v>
      </c>
      <c r="I273" s="166" t="n">
        <v>2683</v>
      </c>
      <c r="J273" s="166" t="n">
        <v>1</v>
      </c>
      <c r="K273" s="166" t="n">
        <v>8</v>
      </c>
      <c r="L273" s="166" t="n">
        <v>1</v>
      </c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  <c r="AA273" s="162" t="n"/>
      <c r="AB273" s="162" t="n"/>
      <c r="AC273" s="162" t="n"/>
      <c r="AD273" s="162" t="n"/>
      <c r="AE273" s="162" t="n"/>
      <c r="AF273" s="162" t="n"/>
      <c r="AG273" s="162" t="n"/>
      <c r="AH273" s="162" t="n"/>
      <c r="AI273" s="162" t="n"/>
      <c r="AJ273" s="162" t="n"/>
      <c r="AK273" s="162" t="n"/>
      <c r="AL273" s="162" t="n"/>
      <c r="AM273" s="162" t="n"/>
      <c r="AN273" s="162" t="n"/>
      <c r="AO273" s="162" t="n"/>
      <c r="AP273" s="162" t="n"/>
      <c r="AQ273" s="162" t="n"/>
      <c r="AR273" s="162" t="n"/>
      <c r="AS273" s="162" t="n"/>
      <c r="AT273" s="162" t="n"/>
      <c r="AU273" s="162" t="n"/>
      <c r="AV273" s="162" t="n"/>
      <c r="AW273" s="162" t="n"/>
      <c r="AX273" s="162" t="n"/>
      <c r="AY273" s="162" t="n"/>
      <c r="AZ273" s="162" t="n"/>
      <c r="BA273" s="162" t="n"/>
      <c r="BB273" s="162" t="n"/>
      <c r="BC273" s="162" t="n"/>
      <c r="BD273" s="162" t="n"/>
      <c r="BE273" s="162" t="n"/>
      <c r="BF273" s="162" t="n"/>
      <c r="BG273" s="162" t="n"/>
      <c r="BH273" s="162" t="n"/>
      <c r="BI273" s="162" t="n"/>
      <c r="BJ273" s="162" t="n"/>
      <c r="BK273" s="162" t="n"/>
      <c r="BL273" s="162" t="n"/>
      <c r="BM273" s="162" t="n"/>
      <c r="BN273" s="162" t="n"/>
      <c r="BO273" s="162" t="n"/>
      <c r="BP273" s="162" t="n"/>
      <c r="BQ273" s="162" t="n"/>
      <c r="BR273" s="162" t="n"/>
      <c r="BS273" s="162" t="n"/>
      <c r="BT273" s="162" t="n"/>
      <c r="BU273" s="162" t="n"/>
      <c r="BV273" s="162" t="n"/>
      <c r="BW273" s="162" t="n"/>
      <c r="BX273" s="162" t="n"/>
      <c r="BY273" s="162" t="n"/>
      <c r="BZ273" s="162" t="n"/>
      <c r="CA273" s="162" t="n"/>
      <c r="CB273" s="162" t="n"/>
      <c r="CC273" s="162" t="n"/>
      <c r="CD273" s="162" t="n"/>
      <c r="CE273" s="162" t="n"/>
      <c r="CF273" s="162" t="n"/>
      <c r="CG273" s="162" t="n"/>
      <c r="CH273" s="162" t="n"/>
      <c r="CI273" s="162" t="n"/>
      <c r="CJ273" s="162" t="n"/>
      <c r="CK273" s="162" t="n"/>
      <c r="CL273" s="162" t="n"/>
      <c r="CM273" s="162" t="n"/>
      <c r="CN273" s="162" t="n"/>
      <c r="CO273" s="162" t="n"/>
      <c r="CP273" s="162" t="n"/>
      <c r="CQ273" s="162" t="n"/>
      <c r="CR273" s="162" t="n"/>
      <c r="CS273" s="162" t="n"/>
      <c r="CT273" s="162" t="n"/>
    </row>
    <row r="274" ht="15" customHeight="1">
      <c r="A274" s="175" t="n">
        <v>37</v>
      </c>
      <c r="B274" s="165" t="n">
        <v>21</v>
      </c>
      <c r="C274" s="164" t="n">
        <v>45783</v>
      </c>
      <c r="D274" s="166" t="inlineStr">
        <is>
          <t>218 G. SAN JOSE 1</t>
        </is>
      </c>
      <c r="E274" s="166" t="n">
        <v>40905</v>
      </c>
      <c r="F274" s="166" t="inlineStr">
        <is>
          <t>ALBERTO LOPEZ</t>
        </is>
      </c>
      <c r="G274" s="166" t="n">
        <v>2693</v>
      </c>
      <c r="H274" s="166" t="n">
        <v>2693</v>
      </c>
      <c r="I274" s="166" t="n">
        <v>2686</v>
      </c>
      <c r="J274" s="166" t="n">
        <v>2</v>
      </c>
      <c r="K274" s="166" t="n">
        <v>5</v>
      </c>
      <c r="L274" s="166" t="n">
        <v>0</v>
      </c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  <c r="AA274" s="162" t="n"/>
      <c r="AB274" s="162" t="n"/>
      <c r="AC274" s="162" t="n"/>
      <c r="AD274" s="162" t="n"/>
      <c r="AE274" s="162" t="n"/>
      <c r="AF274" s="162" t="n"/>
      <c r="AG274" s="162" t="n"/>
      <c r="AH274" s="162" t="n"/>
      <c r="AI274" s="162" t="n"/>
      <c r="AJ274" s="162" t="n"/>
      <c r="AK274" s="162" t="n"/>
      <c r="AL274" s="162" t="n"/>
      <c r="AM274" s="162" t="n"/>
      <c r="AN274" s="162" t="n"/>
      <c r="AO274" s="162" t="n"/>
      <c r="AP274" s="162" t="n"/>
      <c r="AQ274" s="162" t="n"/>
      <c r="AR274" s="162" t="n"/>
      <c r="AS274" s="162" t="n"/>
      <c r="AT274" s="162" t="n"/>
      <c r="AU274" s="162" t="n"/>
      <c r="AV274" s="162" t="n"/>
      <c r="AW274" s="162" t="n"/>
      <c r="AX274" s="162" t="n"/>
      <c r="AY274" s="162" t="n"/>
      <c r="AZ274" s="162" t="n"/>
      <c r="BA274" s="162" t="n"/>
      <c r="BB274" s="162" t="n"/>
      <c r="BC274" s="162" t="n"/>
      <c r="BD274" s="162" t="n"/>
      <c r="BE274" s="162" t="n"/>
      <c r="BF274" s="162" t="n"/>
      <c r="BG274" s="162" t="n"/>
      <c r="BH274" s="162" t="n"/>
      <c r="BI274" s="162" t="n"/>
      <c r="BJ274" s="162" t="n"/>
      <c r="BK274" s="162" t="n"/>
      <c r="BL274" s="162" t="n"/>
      <c r="BM274" s="162" t="n"/>
      <c r="BN274" s="162" t="n"/>
      <c r="BO274" s="162" t="n"/>
      <c r="BP274" s="162" t="n"/>
      <c r="BQ274" s="162" t="n"/>
      <c r="BR274" s="162" t="n"/>
      <c r="BS274" s="162" t="n"/>
      <c r="BT274" s="162" t="n"/>
      <c r="BU274" s="162" t="n"/>
      <c r="BV274" s="162" t="n"/>
      <c r="BW274" s="162" t="n"/>
      <c r="BX274" s="162" t="n"/>
      <c r="BY274" s="162" t="n"/>
      <c r="BZ274" s="162" t="n"/>
      <c r="CA274" s="162" t="n"/>
      <c r="CB274" s="162" t="n"/>
      <c r="CC274" s="162" t="n"/>
      <c r="CD274" s="162" t="n"/>
      <c r="CE274" s="162" t="n"/>
      <c r="CF274" s="162" t="n"/>
      <c r="CG274" s="162" t="n"/>
      <c r="CH274" s="162" t="n"/>
      <c r="CI274" s="162" t="n"/>
      <c r="CJ274" s="162" t="n"/>
      <c r="CK274" s="162" t="n"/>
      <c r="CL274" s="162" t="n"/>
      <c r="CM274" s="162" t="n"/>
      <c r="CN274" s="162" t="n"/>
      <c r="CO274" s="162" t="n"/>
      <c r="CP274" s="162" t="n"/>
      <c r="CQ274" s="162" t="n"/>
      <c r="CR274" s="162" t="n"/>
      <c r="CS274" s="162" t="n"/>
      <c r="CT274" s="162" t="n"/>
    </row>
    <row r="275" ht="15" customHeight="1">
      <c r="A275" s="175" t="n">
        <v>38</v>
      </c>
      <c r="B275" s="165" t="n">
        <v>22</v>
      </c>
      <c r="C275" s="164" t="n">
        <v>45783</v>
      </c>
      <c r="D275" s="166" t="inlineStr">
        <is>
          <t>218 G. SAN JOSE 1</t>
        </is>
      </c>
      <c r="E275" s="166" t="n">
        <v>40906</v>
      </c>
      <c r="F275" s="166" t="inlineStr">
        <is>
          <t>YAIR RIVEROS</t>
        </is>
      </c>
      <c r="G275" s="166" t="n">
        <v>1088</v>
      </c>
      <c r="H275" s="166" t="n">
        <v>1088</v>
      </c>
      <c r="I275" s="166" t="n">
        <v>1089</v>
      </c>
      <c r="J275" s="166" t="n">
        <v>0</v>
      </c>
      <c r="K275" s="166" t="n">
        <v>3</v>
      </c>
      <c r="L275" s="166" t="n">
        <v>-4</v>
      </c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  <c r="AA275" s="162" t="n"/>
      <c r="AB275" s="162" t="n"/>
      <c r="AC275" s="162" t="n"/>
      <c r="AD275" s="162" t="n"/>
      <c r="AE275" s="162" t="n"/>
      <c r="AF275" s="162" t="n"/>
      <c r="AG275" s="162" t="n"/>
      <c r="AH275" s="162" t="n"/>
      <c r="AI275" s="162" t="n"/>
      <c r="AJ275" s="162" t="n"/>
      <c r="AK275" s="162" t="n"/>
      <c r="AL275" s="162" t="n"/>
      <c r="AM275" s="162" t="n"/>
      <c r="AN275" s="162" t="n"/>
      <c r="AO275" s="162" t="n"/>
      <c r="AP275" s="162" t="n"/>
      <c r="AQ275" s="162" t="n"/>
      <c r="AR275" s="162" t="n"/>
      <c r="AS275" s="162" t="n"/>
      <c r="AT275" s="162" t="n"/>
      <c r="AU275" s="162" t="n"/>
      <c r="AV275" s="162" t="n"/>
      <c r="AW275" s="162" t="n"/>
      <c r="AX275" s="162" t="n"/>
      <c r="AY275" s="162" t="n"/>
      <c r="AZ275" s="162" t="n"/>
      <c r="BA275" s="162" t="n"/>
      <c r="BB275" s="162" t="n"/>
      <c r="BC275" s="162" t="n"/>
      <c r="BD275" s="162" t="n"/>
      <c r="BE275" s="162" t="n"/>
      <c r="BF275" s="162" t="n"/>
      <c r="BG275" s="162" t="n"/>
      <c r="BH275" s="162" t="n"/>
      <c r="BI275" s="162" t="n"/>
      <c r="BJ275" s="162" t="n"/>
      <c r="BK275" s="162" t="n"/>
      <c r="BL275" s="162" t="n"/>
      <c r="BM275" s="162" t="n"/>
      <c r="BN275" s="162" t="n"/>
      <c r="BO275" s="162" t="n"/>
      <c r="BP275" s="162" t="n"/>
      <c r="BQ275" s="162" t="n"/>
      <c r="BR275" s="162" t="n"/>
      <c r="BS275" s="162" t="n"/>
      <c r="BT275" s="162" t="n"/>
      <c r="BU275" s="162" t="n"/>
      <c r="BV275" s="162" t="n"/>
      <c r="BW275" s="162" t="n"/>
      <c r="BX275" s="162" t="n"/>
      <c r="BY275" s="162" t="n"/>
      <c r="BZ275" s="162" t="n"/>
      <c r="CA275" s="162" t="n"/>
      <c r="CB275" s="162" t="n"/>
      <c r="CC275" s="162" t="n"/>
      <c r="CD275" s="162" t="n"/>
      <c r="CE275" s="162" t="n"/>
      <c r="CF275" s="162" t="n"/>
      <c r="CG275" s="162" t="n"/>
      <c r="CH275" s="162" t="n"/>
      <c r="CI275" s="162" t="n"/>
      <c r="CJ275" s="162" t="n"/>
      <c r="CK275" s="162" t="n"/>
      <c r="CL275" s="162" t="n"/>
      <c r="CM275" s="162" t="n"/>
      <c r="CN275" s="162" t="n"/>
      <c r="CO275" s="162" t="n"/>
      <c r="CP275" s="162" t="n"/>
      <c r="CQ275" s="162" t="n"/>
      <c r="CR275" s="162" t="n"/>
      <c r="CS275" s="162" t="n"/>
      <c r="CT275" s="162" t="n"/>
    </row>
    <row r="276" ht="15" customHeight="1">
      <c r="A276" s="175" t="n">
        <v>39</v>
      </c>
      <c r="B276" s="165" t="n">
        <v>23</v>
      </c>
      <c r="C276" s="164" t="n">
        <v>45783</v>
      </c>
      <c r="D276" s="166" t="inlineStr">
        <is>
          <t>218 G. SAN JOSE 1</t>
        </is>
      </c>
      <c r="E276" s="166" t="n">
        <v>40915</v>
      </c>
      <c r="F276" s="166" t="inlineStr">
        <is>
          <t>DIEGO NIÑO</t>
        </is>
      </c>
      <c r="G276" s="166" t="n">
        <v>3960</v>
      </c>
      <c r="H276" s="166" t="n">
        <v>3960</v>
      </c>
      <c r="I276" s="166" t="n">
        <v>3919</v>
      </c>
      <c r="J276" s="166" t="n">
        <v>4</v>
      </c>
      <c r="K276" s="166" t="n">
        <v>41</v>
      </c>
      <c r="L276" s="166" t="n">
        <v>-4</v>
      </c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  <c r="AA276" s="162" t="n"/>
      <c r="AB276" s="162" t="n"/>
      <c r="AC276" s="162" t="n"/>
      <c r="AD276" s="162" t="n"/>
      <c r="AE276" s="162" t="n"/>
      <c r="AF276" s="162" t="n"/>
      <c r="AG276" s="162" t="n"/>
      <c r="AH276" s="162" t="n"/>
      <c r="AI276" s="162" t="n"/>
      <c r="AJ276" s="162" t="n"/>
      <c r="AK276" s="162" t="n"/>
      <c r="AL276" s="162" t="n"/>
      <c r="AM276" s="162" t="n"/>
      <c r="AN276" s="162" t="n"/>
      <c r="AO276" s="162" t="n"/>
      <c r="AP276" s="162" t="n"/>
      <c r="AQ276" s="162" t="n"/>
      <c r="AR276" s="162" t="n"/>
      <c r="AS276" s="162" t="n"/>
      <c r="AT276" s="162" t="n"/>
      <c r="AU276" s="162" t="n"/>
      <c r="AV276" s="162" t="n"/>
      <c r="AW276" s="162" t="n"/>
      <c r="AX276" s="162" t="n"/>
      <c r="AY276" s="162" t="n"/>
      <c r="AZ276" s="162" t="n"/>
      <c r="BA276" s="162" t="n"/>
      <c r="BB276" s="162" t="n"/>
      <c r="BC276" s="162" t="n"/>
      <c r="BD276" s="162" t="n"/>
      <c r="BE276" s="162" t="n"/>
      <c r="BF276" s="162" t="n"/>
      <c r="BG276" s="162" t="n"/>
      <c r="BH276" s="162" t="n"/>
      <c r="BI276" s="162" t="n"/>
      <c r="BJ276" s="162" t="n"/>
      <c r="BK276" s="162" t="n"/>
      <c r="BL276" s="162" t="n"/>
      <c r="BM276" s="162" t="n"/>
      <c r="BN276" s="162" t="n"/>
      <c r="BO276" s="162" t="n"/>
      <c r="BP276" s="162" t="n"/>
      <c r="BQ276" s="162" t="n"/>
      <c r="BR276" s="162" t="n"/>
      <c r="BS276" s="162" t="n"/>
      <c r="BT276" s="162" t="n"/>
      <c r="BU276" s="162" t="n"/>
      <c r="BV276" s="162" t="n"/>
      <c r="BW276" s="162" t="n"/>
      <c r="BX276" s="162" t="n"/>
      <c r="BY276" s="162" t="n"/>
      <c r="BZ276" s="162" t="n"/>
      <c r="CA276" s="162" t="n"/>
      <c r="CB276" s="162" t="n"/>
      <c r="CC276" s="162" t="n"/>
      <c r="CD276" s="162" t="n"/>
      <c r="CE276" s="162" t="n"/>
      <c r="CF276" s="162" t="n"/>
      <c r="CG276" s="162" t="n"/>
      <c r="CH276" s="162" t="n"/>
      <c r="CI276" s="162" t="n"/>
      <c r="CJ276" s="162" t="n"/>
      <c r="CK276" s="162" t="n"/>
      <c r="CL276" s="162" t="n"/>
      <c r="CM276" s="162" t="n"/>
      <c r="CN276" s="162" t="n"/>
      <c r="CO276" s="162" t="n"/>
      <c r="CP276" s="162" t="n"/>
      <c r="CQ276" s="162" t="n"/>
      <c r="CR276" s="162" t="n"/>
      <c r="CS276" s="162" t="n"/>
      <c r="CT276" s="162" t="n"/>
    </row>
    <row r="277" ht="15" customHeight="1">
      <c r="A277" s="175" t="n">
        <v>40</v>
      </c>
      <c r="B277" s="165" t="n">
        <v>24</v>
      </c>
      <c r="C277" s="164" t="n">
        <v>45783</v>
      </c>
      <c r="D277" s="166" t="inlineStr">
        <is>
          <t>218 G. SAN JOSE 1</t>
        </is>
      </c>
      <c r="E277" s="166" t="n">
        <v>40916</v>
      </c>
      <c r="F277" s="166" t="inlineStr">
        <is>
          <t>DUMAR ANGARITA</t>
        </is>
      </c>
      <c r="G277" s="166" t="n">
        <v>3596</v>
      </c>
      <c r="H277" s="166" t="n">
        <v>3596</v>
      </c>
      <c r="I277" s="166" t="n">
        <v>3559</v>
      </c>
      <c r="J277" s="166" t="n">
        <v>8</v>
      </c>
      <c r="K277" s="166" t="n">
        <v>36</v>
      </c>
      <c r="L277" s="166" t="n">
        <v>-7</v>
      </c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  <c r="AA277" s="162" t="n"/>
      <c r="AB277" s="162" t="n"/>
      <c r="AC277" s="162" t="n"/>
      <c r="AD277" s="162" t="n"/>
      <c r="AE277" s="162" t="n"/>
      <c r="AF277" s="162" t="n"/>
      <c r="AG277" s="162" t="n"/>
      <c r="AH277" s="162" t="n"/>
      <c r="AI277" s="162" t="n"/>
      <c r="AJ277" s="162" t="n"/>
      <c r="AK277" s="162" t="n"/>
      <c r="AL277" s="162" t="n"/>
      <c r="AM277" s="162" t="n"/>
      <c r="AN277" s="162" t="n"/>
      <c r="AO277" s="162" t="n"/>
      <c r="AP277" s="162" t="n"/>
      <c r="AQ277" s="162" t="n"/>
      <c r="AR277" s="162" t="n"/>
      <c r="AS277" s="162" t="n"/>
      <c r="AT277" s="162" t="n"/>
      <c r="AU277" s="162" t="n"/>
      <c r="AV277" s="162" t="n"/>
      <c r="AW277" s="162" t="n"/>
      <c r="AX277" s="162" t="n"/>
      <c r="AY277" s="162" t="n"/>
      <c r="AZ277" s="162" t="n"/>
      <c r="BA277" s="162" t="n"/>
      <c r="BB277" s="162" t="n"/>
      <c r="BC277" s="162" t="n"/>
      <c r="BD277" s="162" t="n"/>
      <c r="BE277" s="162" t="n"/>
      <c r="BF277" s="162" t="n"/>
      <c r="BG277" s="162" t="n"/>
      <c r="BH277" s="162" t="n"/>
      <c r="BI277" s="162" t="n"/>
      <c r="BJ277" s="162" t="n"/>
      <c r="BK277" s="162" t="n"/>
      <c r="BL277" s="162" t="n"/>
      <c r="BM277" s="162" t="n"/>
      <c r="BN277" s="162" t="n"/>
      <c r="BO277" s="162" t="n"/>
      <c r="BP277" s="162" t="n"/>
      <c r="BQ277" s="162" t="n"/>
      <c r="BR277" s="162" t="n"/>
      <c r="BS277" s="162" t="n"/>
      <c r="BT277" s="162" t="n"/>
      <c r="BU277" s="162" t="n"/>
      <c r="BV277" s="162" t="n"/>
      <c r="BW277" s="162" t="n"/>
      <c r="BX277" s="162" t="n"/>
      <c r="BY277" s="162" t="n"/>
      <c r="BZ277" s="162" t="n"/>
      <c r="CA277" s="162" t="n"/>
      <c r="CB277" s="162" t="n"/>
      <c r="CC277" s="162" t="n"/>
      <c r="CD277" s="162" t="n"/>
      <c r="CE277" s="162" t="n"/>
      <c r="CF277" s="162" t="n"/>
      <c r="CG277" s="162" t="n"/>
      <c r="CH277" s="162" t="n"/>
      <c r="CI277" s="162" t="n"/>
      <c r="CJ277" s="162" t="n"/>
      <c r="CK277" s="162" t="n"/>
      <c r="CL277" s="162" t="n"/>
      <c r="CM277" s="162" t="n"/>
      <c r="CN277" s="162" t="n"/>
      <c r="CO277" s="162" t="n"/>
      <c r="CP277" s="162" t="n"/>
      <c r="CQ277" s="162" t="n"/>
      <c r="CR277" s="162" t="n"/>
      <c r="CS277" s="162" t="n"/>
      <c r="CT277" s="162" t="n"/>
    </row>
    <row r="278" ht="15" customHeight="1">
      <c r="A278" s="175" t="n">
        <v>41</v>
      </c>
      <c r="B278" s="165" t="n">
        <v>25</v>
      </c>
      <c r="C278" s="164" t="n">
        <v>45783</v>
      </c>
      <c r="D278" s="166" t="inlineStr">
        <is>
          <t>218 G. SAN JOSE 1</t>
        </is>
      </c>
      <c r="E278" s="166" t="n">
        <v>40917</v>
      </c>
      <c r="F278" s="166" t="inlineStr">
        <is>
          <t>JOSE SOLER</t>
        </is>
      </c>
      <c r="G278" s="166" t="n">
        <v>3596</v>
      </c>
      <c r="H278" s="166" t="n">
        <v>3596</v>
      </c>
      <c r="I278" s="166" t="n">
        <v>3564</v>
      </c>
      <c r="J278" s="166" t="n">
        <v>4</v>
      </c>
      <c r="K278" s="166" t="n">
        <v>44</v>
      </c>
      <c r="L278" s="166" t="n">
        <v>-16</v>
      </c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  <c r="AA278" s="162" t="n"/>
      <c r="AB278" s="162" t="n"/>
      <c r="AC278" s="162" t="n"/>
      <c r="AD278" s="162" t="n"/>
      <c r="AE278" s="162" t="n"/>
      <c r="AF278" s="162" t="n"/>
      <c r="AG278" s="162" t="n"/>
      <c r="AH278" s="162" t="n"/>
      <c r="AI278" s="162" t="n"/>
      <c r="AJ278" s="162" t="n"/>
      <c r="AK278" s="162" t="n"/>
      <c r="AL278" s="162" t="n"/>
      <c r="AM278" s="162" t="n"/>
      <c r="AN278" s="162" t="n"/>
      <c r="AO278" s="162" t="n"/>
      <c r="AP278" s="162" t="n"/>
      <c r="AQ278" s="162" t="n"/>
      <c r="AR278" s="162" t="n"/>
      <c r="AS278" s="162" t="n"/>
      <c r="AT278" s="162" t="n"/>
      <c r="AU278" s="162" t="n"/>
      <c r="AV278" s="162" t="n"/>
      <c r="AW278" s="162" t="n"/>
      <c r="AX278" s="162" t="n"/>
      <c r="AY278" s="162" t="n"/>
      <c r="AZ278" s="162" t="n"/>
      <c r="BA278" s="162" t="n"/>
      <c r="BB278" s="162" t="n"/>
      <c r="BC278" s="162" t="n"/>
      <c r="BD278" s="162" t="n"/>
      <c r="BE278" s="162" t="n"/>
      <c r="BF278" s="162" t="n"/>
      <c r="BG278" s="162" t="n"/>
      <c r="BH278" s="162" t="n"/>
      <c r="BI278" s="162" t="n"/>
      <c r="BJ278" s="162" t="n"/>
      <c r="BK278" s="162" t="n"/>
      <c r="BL278" s="162" t="n"/>
      <c r="BM278" s="162" t="n"/>
      <c r="BN278" s="162" t="n"/>
      <c r="BO278" s="162" t="n"/>
      <c r="BP278" s="162" t="n"/>
      <c r="BQ278" s="162" t="n"/>
      <c r="BR278" s="162" t="n"/>
      <c r="BS278" s="162" t="n"/>
      <c r="BT278" s="162" t="n"/>
      <c r="BU278" s="162" t="n"/>
      <c r="BV278" s="162" t="n"/>
      <c r="BW278" s="162" t="n"/>
      <c r="BX278" s="162" t="n"/>
      <c r="BY278" s="162" t="n"/>
      <c r="BZ278" s="162" t="n"/>
      <c r="CA278" s="162" t="n"/>
      <c r="CB278" s="162" t="n"/>
      <c r="CC278" s="162" t="n"/>
      <c r="CD278" s="162" t="n"/>
      <c r="CE278" s="162" t="n"/>
      <c r="CF278" s="162" t="n"/>
      <c r="CG278" s="162" t="n"/>
      <c r="CH278" s="162" t="n"/>
      <c r="CI278" s="162" t="n"/>
      <c r="CJ278" s="162" t="n"/>
      <c r="CK278" s="162" t="n"/>
      <c r="CL278" s="162" t="n"/>
      <c r="CM278" s="162" t="n"/>
      <c r="CN278" s="162" t="n"/>
      <c r="CO278" s="162" t="n"/>
      <c r="CP278" s="162" t="n"/>
      <c r="CQ278" s="162" t="n"/>
      <c r="CR278" s="162" t="n"/>
      <c r="CS278" s="162" t="n"/>
      <c r="CT278" s="162" t="n"/>
    </row>
    <row r="279" ht="15" customHeight="1">
      <c r="A279" s="175" t="n">
        <v>42</v>
      </c>
      <c r="B279" s="165" t="n">
        <v>26</v>
      </c>
      <c r="C279" s="164" t="n">
        <v>45784</v>
      </c>
      <c r="D279" s="166" t="inlineStr">
        <is>
          <t>218 G. SAN JOSE 1</t>
        </is>
      </c>
      <c r="E279" s="166" t="n">
        <v>40943</v>
      </c>
      <c r="F279" s="166" t="inlineStr">
        <is>
          <t>ALBERTO HERRERA</t>
        </is>
      </c>
      <c r="G279" s="166" t="n">
        <v>2662</v>
      </c>
      <c r="H279" s="166" t="n">
        <v>2662</v>
      </c>
      <c r="I279" s="166" t="n">
        <v>2634</v>
      </c>
      <c r="J279" s="166" t="n">
        <v>2</v>
      </c>
      <c r="K279" s="166" t="n">
        <v>28</v>
      </c>
      <c r="L279" s="166" t="n">
        <v>-2</v>
      </c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  <c r="AA279" s="162" t="n"/>
      <c r="AB279" s="162" t="n"/>
      <c r="AC279" s="162" t="n"/>
      <c r="AD279" s="162" t="n"/>
      <c r="AE279" s="162" t="n"/>
      <c r="AF279" s="162" t="n"/>
      <c r="AG279" s="162" t="n"/>
      <c r="AH279" s="162" t="n"/>
      <c r="AI279" s="162" t="n"/>
      <c r="AJ279" s="162" t="n"/>
      <c r="AK279" s="162" t="n"/>
      <c r="AL279" s="162" t="n"/>
      <c r="AM279" s="162" t="n"/>
      <c r="AN279" s="162" t="n"/>
      <c r="AO279" s="162" t="n"/>
      <c r="AP279" s="162" t="n"/>
      <c r="AQ279" s="162" t="n"/>
      <c r="AR279" s="162" t="n"/>
      <c r="AS279" s="162" t="n"/>
      <c r="AT279" s="162" t="n"/>
      <c r="AU279" s="162" t="n"/>
      <c r="AV279" s="162" t="n"/>
      <c r="AW279" s="162" t="n"/>
      <c r="AX279" s="162" t="n"/>
      <c r="AY279" s="162" t="n"/>
      <c r="AZ279" s="162" t="n"/>
      <c r="BA279" s="162" t="n"/>
      <c r="BB279" s="162" t="n"/>
      <c r="BC279" s="162" t="n"/>
      <c r="BD279" s="162" t="n"/>
      <c r="BE279" s="162" t="n"/>
      <c r="BF279" s="162" t="n"/>
      <c r="BG279" s="162" t="n"/>
      <c r="BH279" s="162" t="n"/>
      <c r="BI279" s="162" t="n"/>
      <c r="BJ279" s="162" t="n"/>
      <c r="BK279" s="162" t="n"/>
      <c r="BL279" s="162" t="n"/>
      <c r="BM279" s="162" t="n"/>
      <c r="BN279" s="162" t="n"/>
      <c r="BO279" s="162" t="n"/>
      <c r="BP279" s="162" t="n"/>
      <c r="BQ279" s="162" t="n"/>
      <c r="BR279" s="162" t="n"/>
      <c r="BS279" s="162" t="n"/>
      <c r="BT279" s="162" t="n"/>
      <c r="BU279" s="162" t="n"/>
      <c r="BV279" s="162" t="n"/>
      <c r="BW279" s="162" t="n"/>
      <c r="BX279" s="162" t="n"/>
      <c r="BY279" s="162" t="n"/>
      <c r="BZ279" s="162" t="n"/>
      <c r="CA279" s="162" t="n"/>
      <c r="CB279" s="162" t="n"/>
      <c r="CC279" s="162" t="n"/>
      <c r="CD279" s="162" t="n"/>
      <c r="CE279" s="162" t="n"/>
      <c r="CF279" s="162" t="n"/>
      <c r="CG279" s="162" t="n"/>
      <c r="CH279" s="162" t="n"/>
      <c r="CI279" s="162" t="n"/>
      <c r="CJ279" s="162" t="n"/>
      <c r="CK279" s="162" t="n"/>
      <c r="CL279" s="162" t="n"/>
      <c r="CM279" s="162" t="n"/>
      <c r="CN279" s="162" t="n"/>
      <c r="CO279" s="162" t="n"/>
      <c r="CP279" s="162" t="n"/>
      <c r="CQ279" s="162" t="n"/>
      <c r="CR279" s="162" t="n"/>
      <c r="CS279" s="162" t="n"/>
      <c r="CT279" s="162" t="n"/>
    </row>
    <row r="280" ht="15" customHeight="1">
      <c r="A280" s="175" t="n">
        <v>43</v>
      </c>
      <c r="B280" s="165" t="n">
        <v>27</v>
      </c>
      <c r="C280" s="164" t="n">
        <v>45784</v>
      </c>
      <c r="D280" s="166" t="inlineStr">
        <is>
          <t>218 G. SAN JOSE 1</t>
        </is>
      </c>
      <c r="E280" s="166" t="n">
        <v>40944</v>
      </c>
      <c r="F280" s="166" t="inlineStr">
        <is>
          <t>FABIO ALDANA</t>
        </is>
      </c>
      <c r="G280" s="166" t="n">
        <v>2662</v>
      </c>
      <c r="H280" s="166" t="n">
        <v>2662</v>
      </c>
      <c r="I280" s="166" t="n">
        <v>2631</v>
      </c>
      <c r="J280" s="166" t="n">
        <v>1</v>
      </c>
      <c r="K280" s="166" t="n">
        <v>32</v>
      </c>
      <c r="L280" s="166" t="n">
        <v>-2</v>
      </c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  <c r="AA280" s="162" t="n"/>
      <c r="AB280" s="162" t="n"/>
      <c r="AC280" s="162" t="n"/>
      <c r="AD280" s="162" t="n"/>
      <c r="AE280" s="162" t="n"/>
      <c r="AF280" s="162" t="n"/>
      <c r="AG280" s="162" t="n"/>
      <c r="AH280" s="162" t="n"/>
      <c r="AI280" s="162" t="n"/>
      <c r="AJ280" s="162" t="n"/>
      <c r="AK280" s="162" t="n"/>
      <c r="AL280" s="162" t="n"/>
      <c r="AM280" s="162" t="n"/>
      <c r="AN280" s="162" t="n"/>
      <c r="AO280" s="162" t="n"/>
      <c r="AP280" s="162" t="n"/>
      <c r="AQ280" s="162" t="n"/>
      <c r="AR280" s="162" t="n"/>
      <c r="AS280" s="162" t="n"/>
      <c r="AT280" s="162" t="n"/>
      <c r="AU280" s="162" t="n"/>
      <c r="AV280" s="162" t="n"/>
      <c r="AW280" s="162" t="n"/>
      <c r="AX280" s="162" t="n"/>
      <c r="AY280" s="162" t="n"/>
      <c r="AZ280" s="162" t="n"/>
      <c r="BA280" s="162" t="n"/>
      <c r="BB280" s="162" t="n"/>
      <c r="BC280" s="162" t="n"/>
      <c r="BD280" s="162" t="n"/>
      <c r="BE280" s="162" t="n"/>
      <c r="BF280" s="162" t="n"/>
      <c r="BG280" s="162" t="n"/>
      <c r="BH280" s="162" t="n"/>
      <c r="BI280" s="162" t="n"/>
      <c r="BJ280" s="162" t="n"/>
      <c r="BK280" s="162" t="n"/>
      <c r="BL280" s="162" t="n"/>
      <c r="BM280" s="162" t="n"/>
      <c r="BN280" s="162" t="n"/>
      <c r="BO280" s="162" t="n"/>
      <c r="BP280" s="162" t="n"/>
      <c r="BQ280" s="162" t="n"/>
      <c r="BR280" s="162" t="n"/>
      <c r="BS280" s="162" t="n"/>
      <c r="BT280" s="162" t="n"/>
      <c r="BU280" s="162" t="n"/>
      <c r="BV280" s="162" t="n"/>
      <c r="BW280" s="162" t="n"/>
      <c r="BX280" s="162" t="n"/>
      <c r="BY280" s="162" t="n"/>
      <c r="BZ280" s="162" t="n"/>
      <c r="CA280" s="162" t="n"/>
      <c r="CB280" s="162" t="n"/>
      <c r="CC280" s="162" t="n"/>
      <c r="CD280" s="162" t="n"/>
      <c r="CE280" s="162" t="n"/>
      <c r="CF280" s="162" t="n"/>
      <c r="CG280" s="162" t="n"/>
      <c r="CH280" s="162" t="n"/>
      <c r="CI280" s="162" t="n"/>
      <c r="CJ280" s="162" t="n"/>
      <c r="CK280" s="162" t="n"/>
      <c r="CL280" s="162" t="n"/>
      <c r="CM280" s="162" t="n"/>
      <c r="CN280" s="162" t="n"/>
      <c r="CO280" s="162" t="n"/>
      <c r="CP280" s="162" t="n"/>
      <c r="CQ280" s="162" t="n"/>
      <c r="CR280" s="162" t="n"/>
      <c r="CS280" s="162" t="n"/>
      <c r="CT280" s="162" t="n"/>
    </row>
    <row r="281" ht="15" customHeight="1">
      <c r="A281" s="175" t="n">
        <v>44</v>
      </c>
      <c r="B281" s="165" t="n">
        <v>28</v>
      </c>
      <c r="C281" s="164" t="n">
        <v>45784</v>
      </c>
      <c r="D281" s="166" t="inlineStr">
        <is>
          <t>218 G. SAN JOSE 1</t>
        </is>
      </c>
      <c r="E281" s="166" t="n">
        <v>40945</v>
      </c>
      <c r="F281" s="166" t="inlineStr">
        <is>
          <t>FERNANDO OYUELA</t>
        </is>
      </c>
      <c r="G281" s="166" t="n">
        <v>2662</v>
      </c>
      <c r="H281" s="166" t="n">
        <v>2662</v>
      </c>
      <c r="I281" s="166" t="n">
        <v>2635</v>
      </c>
      <c r="J281" s="166" t="n">
        <v>1</v>
      </c>
      <c r="K281" s="166" t="n">
        <v>28</v>
      </c>
      <c r="L281" s="166" t="n">
        <v>-2</v>
      </c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  <c r="AA281" s="162" t="n"/>
      <c r="AB281" s="162" t="n"/>
      <c r="AC281" s="162" t="n"/>
      <c r="AD281" s="162" t="n"/>
      <c r="AE281" s="162" t="n"/>
      <c r="AF281" s="162" t="n"/>
      <c r="AG281" s="162" t="n"/>
      <c r="AH281" s="162" t="n"/>
      <c r="AI281" s="162" t="n"/>
      <c r="AJ281" s="162" t="n"/>
      <c r="AK281" s="162" t="n"/>
      <c r="AL281" s="162" t="n"/>
      <c r="AM281" s="162" t="n"/>
      <c r="AN281" s="162" t="n"/>
      <c r="AO281" s="162" t="n"/>
      <c r="AP281" s="162" t="n"/>
      <c r="AQ281" s="162" t="n"/>
      <c r="AR281" s="162" t="n"/>
      <c r="AS281" s="162" t="n"/>
      <c r="AT281" s="162" t="n"/>
      <c r="AU281" s="162" t="n"/>
      <c r="AV281" s="162" t="n"/>
      <c r="AW281" s="162" t="n"/>
      <c r="AX281" s="162" t="n"/>
      <c r="AY281" s="162" t="n"/>
      <c r="AZ281" s="162" t="n"/>
      <c r="BA281" s="162" t="n"/>
      <c r="BB281" s="162" t="n"/>
      <c r="BC281" s="162" t="n"/>
      <c r="BD281" s="162" t="n"/>
      <c r="BE281" s="162" t="n"/>
      <c r="BF281" s="162" t="n"/>
      <c r="BG281" s="162" t="n"/>
      <c r="BH281" s="162" t="n"/>
      <c r="BI281" s="162" t="n"/>
      <c r="BJ281" s="162" t="n"/>
      <c r="BK281" s="162" t="n"/>
      <c r="BL281" s="162" t="n"/>
      <c r="BM281" s="162" t="n"/>
      <c r="BN281" s="162" t="n"/>
      <c r="BO281" s="162" t="n"/>
      <c r="BP281" s="162" t="n"/>
      <c r="BQ281" s="162" t="n"/>
      <c r="BR281" s="162" t="n"/>
      <c r="BS281" s="162" t="n"/>
      <c r="BT281" s="162" t="n"/>
      <c r="BU281" s="162" t="n"/>
      <c r="BV281" s="162" t="n"/>
      <c r="BW281" s="162" t="n"/>
      <c r="BX281" s="162" t="n"/>
      <c r="BY281" s="162" t="n"/>
      <c r="BZ281" s="162" t="n"/>
      <c r="CA281" s="162" t="n"/>
      <c r="CB281" s="162" t="n"/>
      <c r="CC281" s="162" t="n"/>
      <c r="CD281" s="162" t="n"/>
      <c r="CE281" s="162" t="n"/>
      <c r="CF281" s="162" t="n"/>
      <c r="CG281" s="162" t="n"/>
      <c r="CH281" s="162" t="n"/>
      <c r="CI281" s="162" t="n"/>
      <c r="CJ281" s="162" t="n"/>
      <c r="CK281" s="162" t="n"/>
      <c r="CL281" s="162" t="n"/>
      <c r="CM281" s="162" t="n"/>
      <c r="CN281" s="162" t="n"/>
      <c r="CO281" s="162" t="n"/>
      <c r="CP281" s="162" t="n"/>
      <c r="CQ281" s="162" t="n"/>
      <c r="CR281" s="162" t="n"/>
      <c r="CS281" s="162" t="n"/>
      <c r="CT281" s="162" t="n"/>
    </row>
    <row r="282" ht="15" customHeight="1">
      <c r="A282" s="175" t="n">
        <v>45</v>
      </c>
      <c r="B282" s="165" t="n">
        <v>29</v>
      </c>
      <c r="C282" s="164" t="n">
        <v>45785</v>
      </c>
      <c r="D282" s="166" t="inlineStr">
        <is>
          <t>218 G. SAN JOSE 1</t>
        </is>
      </c>
      <c r="E282" s="166" t="n">
        <v>40959</v>
      </c>
      <c r="F282" s="166" t="inlineStr">
        <is>
          <t>HENRY ROMERO</t>
        </is>
      </c>
      <c r="G282" s="166" t="n">
        <v>3673</v>
      </c>
      <c r="H282" s="166" t="n">
        <v>3673</v>
      </c>
      <c r="I282" s="166" t="n">
        <v>3650</v>
      </c>
      <c r="J282" s="166" t="n">
        <v>5</v>
      </c>
      <c r="K282" s="166" t="n">
        <v>11</v>
      </c>
      <c r="L282" s="166" t="n">
        <v>7</v>
      </c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  <c r="AA282" s="162" t="n"/>
      <c r="AB282" s="162" t="n"/>
      <c r="AC282" s="162" t="n"/>
      <c r="AD282" s="162" t="n"/>
      <c r="AE282" s="162" t="n"/>
      <c r="AF282" s="162" t="n"/>
      <c r="AG282" s="162" t="n"/>
      <c r="AH282" s="162" t="n"/>
      <c r="AI282" s="162" t="n"/>
      <c r="AJ282" s="162" t="n"/>
      <c r="AK282" s="162" t="n"/>
      <c r="AL282" s="162" t="n"/>
      <c r="AM282" s="162" t="n"/>
      <c r="AN282" s="162" t="n"/>
      <c r="AO282" s="162" t="n"/>
      <c r="AP282" s="162" t="n"/>
      <c r="AQ282" s="162" t="n"/>
      <c r="AR282" s="162" t="n"/>
      <c r="AS282" s="162" t="n"/>
      <c r="AT282" s="162" t="n"/>
      <c r="AU282" s="162" t="n"/>
      <c r="AV282" s="162" t="n"/>
      <c r="AW282" s="162" t="n"/>
      <c r="AX282" s="162" t="n"/>
      <c r="AY282" s="162" t="n"/>
      <c r="AZ282" s="162" t="n"/>
      <c r="BA282" s="162" t="n"/>
      <c r="BB282" s="162" t="n"/>
      <c r="BC282" s="162" t="n"/>
      <c r="BD282" s="162" t="n"/>
      <c r="BE282" s="162" t="n"/>
      <c r="BF282" s="162" t="n"/>
      <c r="BG282" s="162" t="n"/>
      <c r="BH282" s="162" t="n"/>
      <c r="BI282" s="162" t="n"/>
      <c r="BJ282" s="162" t="n"/>
      <c r="BK282" s="162" t="n"/>
      <c r="BL282" s="162" t="n"/>
      <c r="BM282" s="162" t="n"/>
      <c r="BN282" s="162" t="n"/>
      <c r="BO282" s="162" t="n"/>
      <c r="BP282" s="162" t="n"/>
      <c r="BQ282" s="162" t="n"/>
      <c r="BR282" s="162" t="n"/>
      <c r="BS282" s="162" t="n"/>
      <c r="BT282" s="162" t="n"/>
      <c r="BU282" s="162" t="n"/>
      <c r="BV282" s="162" t="n"/>
      <c r="BW282" s="162" t="n"/>
      <c r="BX282" s="162" t="n"/>
      <c r="BY282" s="162" t="n"/>
      <c r="BZ282" s="162" t="n"/>
      <c r="CA282" s="162" t="n"/>
      <c r="CB282" s="162" t="n"/>
      <c r="CC282" s="162" t="n"/>
      <c r="CD282" s="162" t="n"/>
      <c r="CE282" s="162" t="n"/>
      <c r="CF282" s="162" t="n"/>
      <c r="CG282" s="162" t="n"/>
      <c r="CH282" s="162" t="n"/>
      <c r="CI282" s="162" t="n"/>
      <c r="CJ282" s="162" t="n"/>
      <c r="CK282" s="162" t="n"/>
      <c r="CL282" s="162" t="n"/>
      <c r="CM282" s="162" t="n"/>
      <c r="CN282" s="162" t="n"/>
      <c r="CO282" s="162" t="n"/>
      <c r="CP282" s="162" t="n"/>
      <c r="CQ282" s="162" t="n"/>
      <c r="CR282" s="162" t="n"/>
      <c r="CS282" s="162" t="n"/>
      <c r="CT282" s="162" t="n"/>
    </row>
    <row r="283" ht="15" customHeight="1">
      <c r="A283" s="175" t="n">
        <v>46</v>
      </c>
      <c r="B283" s="165" t="n">
        <v>30</v>
      </c>
      <c r="C283" s="164" t="n">
        <v>45786</v>
      </c>
      <c r="D283" s="166" t="inlineStr">
        <is>
          <t>218 G. SAN JOSE 1</t>
        </is>
      </c>
      <c r="E283" s="166" t="n">
        <v>40986</v>
      </c>
      <c r="F283" s="166" t="inlineStr">
        <is>
          <t>HENRY ROMERO</t>
        </is>
      </c>
      <c r="G283" s="166" t="n">
        <v>3600</v>
      </c>
      <c r="H283" s="166" t="n">
        <v>3600</v>
      </c>
      <c r="I283" s="166" t="n">
        <v>3571</v>
      </c>
      <c r="J283" s="166" t="n">
        <v>4</v>
      </c>
      <c r="K283" s="166" t="n">
        <v>17</v>
      </c>
      <c r="L283" s="166" t="n">
        <v>8</v>
      </c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  <c r="AA283" s="162" t="n"/>
      <c r="AB283" s="162" t="n"/>
      <c r="AC283" s="162" t="n"/>
      <c r="AD283" s="162" t="n"/>
      <c r="AE283" s="162" t="n"/>
      <c r="AF283" s="162" t="n"/>
      <c r="AG283" s="162" t="n"/>
      <c r="AH283" s="162" t="n"/>
      <c r="AI283" s="162" t="n"/>
      <c r="AJ283" s="162" t="n"/>
      <c r="AK283" s="162" t="n"/>
      <c r="AL283" s="162" t="n"/>
      <c r="AM283" s="162" t="n"/>
      <c r="AN283" s="162" t="n"/>
      <c r="AO283" s="162" t="n"/>
      <c r="AP283" s="162" t="n"/>
      <c r="AQ283" s="162" t="n"/>
      <c r="AR283" s="162" t="n"/>
      <c r="AS283" s="162" t="n"/>
      <c r="AT283" s="162" t="n"/>
      <c r="AU283" s="162" t="n"/>
      <c r="AV283" s="162" t="n"/>
      <c r="AW283" s="162" t="n"/>
      <c r="AX283" s="162" t="n"/>
      <c r="AY283" s="162" t="n"/>
      <c r="AZ283" s="162" t="n"/>
      <c r="BA283" s="162" t="n"/>
      <c r="BB283" s="162" t="n"/>
      <c r="BC283" s="162" t="n"/>
      <c r="BD283" s="162" t="n"/>
      <c r="BE283" s="162" t="n"/>
      <c r="BF283" s="162" t="n"/>
      <c r="BG283" s="162" t="n"/>
      <c r="BH283" s="162" t="n"/>
      <c r="BI283" s="162" t="n"/>
      <c r="BJ283" s="162" t="n"/>
      <c r="BK283" s="162" t="n"/>
      <c r="BL283" s="162" t="n"/>
      <c r="BM283" s="162" t="n"/>
      <c r="BN283" s="162" t="n"/>
      <c r="BO283" s="162" t="n"/>
      <c r="BP283" s="162" t="n"/>
      <c r="BQ283" s="162" t="n"/>
      <c r="BR283" s="162" t="n"/>
      <c r="BS283" s="162" t="n"/>
      <c r="BT283" s="162" t="n"/>
      <c r="BU283" s="162" t="n"/>
      <c r="BV283" s="162" t="n"/>
      <c r="BW283" s="162" t="n"/>
      <c r="BX283" s="162" t="n"/>
      <c r="BY283" s="162" t="n"/>
      <c r="BZ283" s="162" t="n"/>
      <c r="CA283" s="162" t="n"/>
      <c r="CB283" s="162" t="n"/>
      <c r="CC283" s="162" t="n"/>
      <c r="CD283" s="162" t="n"/>
      <c r="CE283" s="162" t="n"/>
      <c r="CF283" s="162" t="n"/>
      <c r="CG283" s="162" t="n"/>
      <c r="CH283" s="162" t="n"/>
      <c r="CI283" s="162" t="n"/>
      <c r="CJ283" s="162" t="n"/>
      <c r="CK283" s="162" t="n"/>
      <c r="CL283" s="162" t="n"/>
      <c r="CM283" s="162" t="n"/>
      <c r="CN283" s="162" t="n"/>
      <c r="CO283" s="162" t="n"/>
      <c r="CP283" s="162" t="n"/>
      <c r="CQ283" s="162" t="n"/>
      <c r="CR283" s="162" t="n"/>
      <c r="CS283" s="162" t="n"/>
      <c r="CT283" s="162" t="n"/>
    </row>
    <row r="284" ht="15" customHeight="1">
      <c r="A284" s="175" t="n">
        <v>47</v>
      </c>
      <c r="B284" s="165" t="n">
        <v>31</v>
      </c>
      <c r="C284" s="164" t="n">
        <v>45786</v>
      </c>
      <c r="D284" s="166" t="inlineStr">
        <is>
          <t>218 G. SAN JOSE 1</t>
        </is>
      </c>
      <c r="E284" s="166" t="n">
        <v>40988</v>
      </c>
      <c r="F284" s="166" t="inlineStr">
        <is>
          <t>DUMAR ANGARITA</t>
        </is>
      </c>
      <c r="G284" s="166" t="n">
        <v>3694</v>
      </c>
      <c r="H284" s="166" t="n">
        <v>3694</v>
      </c>
      <c r="I284" s="166" t="n">
        <v>3683</v>
      </c>
      <c r="J284" s="166" t="n">
        <v>2</v>
      </c>
      <c r="K284" s="166" t="n">
        <v>12</v>
      </c>
      <c r="L284" s="166" t="n">
        <v>-3</v>
      </c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  <c r="AA284" s="162" t="n"/>
      <c r="AB284" s="162" t="n"/>
      <c r="AC284" s="162" t="n"/>
      <c r="AD284" s="162" t="n"/>
      <c r="AE284" s="162" t="n"/>
      <c r="AF284" s="162" t="n"/>
      <c r="AG284" s="162" t="n"/>
      <c r="AH284" s="162" t="n"/>
      <c r="AI284" s="162" t="n"/>
      <c r="AJ284" s="162" t="n"/>
      <c r="AK284" s="162" t="n"/>
      <c r="AL284" s="162" t="n"/>
      <c r="AM284" s="162" t="n"/>
      <c r="AN284" s="162" t="n"/>
      <c r="AO284" s="162" t="n"/>
      <c r="AP284" s="162" t="n"/>
      <c r="AQ284" s="162" t="n"/>
      <c r="AR284" s="162" t="n"/>
      <c r="AS284" s="162" t="n"/>
      <c r="AT284" s="162" t="n"/>
      <c r="AU284" s="162" t="n"/>
      <c r="AV284" s="162" t="n"/>
      <c r="AW284" s="162" t="n"/>
      <c r="AX284" s="162" t="n"/>
      <c r="AY284" s="162" t="n"/>
      <c r="AZ284" s="162" t="n"/>
      <c r="BA284" s="162" t="n"/>
      <c r="BB284" s="162" t="n"/>
      <c r="BC284" s="162" t="n"/>
      <c r="BD284" s="162" t="n"/>
      <c r="BE284" s="162" t="n"/>
      <c r="BF284" s="162" t="n"/>
      <c r="BG284" s="162" t="n"/>
      <c r="BH284" s="162" t="n"/>
      <c r="BI284" s="162" t="n"/>
      <c r="BJ284" s="162" t="n"/>
      <c r="BK284" s="162" t="n"/>
      <c r="BL284" s="162" t="n"/>
      <c r="BM284" s="162" t="n"/>
      <c r="BN284" s="162" t="n"/>
      <c r="BO284" s="162" t="n"/>
      <c r="BP284" s="162" t="n"/>
      <c r="BQ284" s="162" t="n"/>
      <c r="BR284" s="162" t="n"/>
      <c r="BS284" s="162" t="n"/>
      <c r="BT284" s="162" t="n"/>
      <c r="BU284" s="162" t="n"/>
      <c r="BV284" s="162" t="n"/>
      <c r="BW284" s="162" t="n"/>
      <c r="BX284" s="162" t="n"/>
      <c r="BY284" s="162" t="n"/>
      <c r="BZ284" s="162" t="n"/>
      <c r="CA284" s="162" t="n"/>
      <c r="CB284" s="162" t="n"/>
      <c r="CC284" s="162" t="n"/>
      <c r="CD284" s="162" t="n"/>
      <c r="CE284" s="162" t="n"/>
      <c r="CF284" s="162" t="n"/>
      <c r="CG284" s="162" t="n"/>
      <c r="CH284" s="162" t="n"/>
      <c r="CI284" s="162" t="n"/>
      <c r="CJ284" s="162" t="n"/>
      <c r="CK284" s="162" t="n"/>
      <c r="CL284" s="162" t="n"/>
      <c r="CM284" s="162" t="n"/>
      <c r="CN284" s="162" t="n"/>
      <c r="CO284" s="162" t="n"/>
      <c r="CP284" s="162" t="n"/>
      <c r="CQ284" s="162" t="n"/>
      <c r="CR284" s="162" t="n"/>
      <c r="CS284" s="162" t="n"/>
      <c r="CT284" s="162" t="n"/>
    </row>
    <row r="285" ht="15" customHeight="1">
      <c r="A285" s="175" t="n">
        <v>48</v>
      </c>
      <c r="B285" s="165" t="n">
        <v>32</v>
      </c>
      <c r="C285" s="164" t="n">
        <v>45786</v>
      </c>
      <c r="D285" s="166" t="inlineStr">
        <is>
          <t>218 G. SAN JOSE 1</t>
        </is>
      </c>
      <c r="E285" s="166" t="n">
        <v>40989</v>
      </c>
      <c r="F285" s="166" t="inlineStr">
        <is>
          <t>ALBERTO HERRERA</t>
        </is>
      </c>
      <c r="G285" s="166" t="n">
        <v>2908</v>
      </c>
      <c r="H285" s="166" t="n">
        <v>2908</v>
      </c>
      <c r="I285" s="166" t="n">
        <v>2890</v>
      </c>
      <c r="J285" s="166" t="n">
        <v>1</v>
      </c>
      <c r="K285" s="166" t="n">
        <v>13</v>
      </c>
      <c r="L285" s="166" t="n">
        <v>4</v>
      </c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  <c r="AA285" s="162" t="n"/>
      <c r="AB285" s="162" t="n"/>
      <c r="AC285" s="162" t="n"/>
      <c r="AD285" s="162" t="n"/>
      <c r="AE285" s="162" t="n"/>
      <c r="AF285" s="162" t="n"/>
      <c r="AG285" s="162" t="n"/>
      <c r="AH285" s="162" t="n"/>
      <c r="AI285" s="162" t="n"/>
      <c r="AJ285" s="162" t="n"/>
      <c r="AK285" s="162" t="n"/>
      <c r="AL285" s="162" t="n"/>
      <c r="AM285" s="162" t="n"/>
      <c r="AN285" s="162" t="n"/>
      <c r="AO285" s="162" t="n"/>
      <c r="AP285" s="162" t="n"/>
      <c r="AQ285" s="162" t="n"/>
      <c r="AR285" s="162" t="n"/>
      <c r="AS285" s="162" t="n"/>
      <c r="AT285" s="162" t="n"/>
      <c r="AU285" s="162" t="n"/>
      <c r="AV285" s="162" t="n"/>
      <c r="AW285" s="162" t="n"/>
      <c r="AX285" s="162" t="n"/>
      <c r="AY285" s="162" t="n"/>
      <c r="AZ285" s="162" t="n"/>
      <c r="BA285" s="162" t="n"/>
      <c r="BB285" s="162" t="n"/>
      <c r="BC285" s="162" t="n"/>
      <c r="BD285" s="162" t="n"/>
      <c r="BE285" s="162" t="n"/>
      <c r="BF285" s="162" t="n"/>
      <c r="BG285" s="162" t="n"/>
      <c r="BH285" s="162" t="n"/>
      <c r="BI285" s="162" t="n"/>
      <c r="BJ285" s="162" t="n"/>
      <c r="BK285" s="162" t="n"/>
      <c r="BL285" s="162" t="n"/>
      <c r="BM285" s="162" t="n"/>
      <c r="BN285" s="162" t="n"/>
      <c r="BO285" s="162" t="n"/>
      <c r="BP285" s="162" t="n"/>
      <c r="BQ285" s="162" t="n"/>
      <c r="BR285" s="162" t="n"/>
      <c r="BS285" s="162" t="n"/>
      <c r="BT285" s="162" t="n"/>
      <c r="BU285" s="162" t="n"/>
      <c r="BV285" s="162" t="n"/>
      <c r="BW285" s="162" t="n"/>
      <c r="BX285" s="162" t="n"/>
      <c r="BY285" s="162" t="n"/>
      <c r="BZ285" s="162" t="n"/>
      <c r="CA285" s="162" t="n"/>
      <c r="CB285" s="162" t="n"/>
      <c r="CC285" s="162" t="n"/>
      <c r="CD285" s="162" t="n"/>
      <c r="CE285" s="162" t="n"/>
      <c r="CF285" s="162" t="n"/>
      <c r="CG285" s="162" t="n"/>
      <c r="CH285" s="162" t="n"/>
      <c r="CI285" s="162" t="n"/>
      <c r="CJ285" s="162" t="n"/>
      <c r="CK285" s="162" t="n"/>
      <c r="CL285" s="162" t="n"/>
      <c r="CM285" s="162" t="n"/>
      <c r="CN285" s="162" t="n"/>
      <c r="CO285" s="162" t="n"/>
      <c r="CP285" s="162" t="n"/>
      <c r="CQ285" s="162" t="n"/>
      <c r="CR285" s="162" t="n"/>
      <c r="CS285" s="162" t="n"/>
      <c r="CT285" s="162" t="n"/>
    </row>
    <row r="286" ht="15" customHeight="1">
      <c r="A286" s="175" t="n">
        <v>49</v>
      </c>
      <c r="B286" s="165" t="n">
        <v>33</v>
      </c>
      <c r="C286" s="164" t="n">
        <v>45786</v>
      </c>
      <c r="D286" s="166" t="inlineStr">
        <is>
          <t>218 G. SAN JOSE 1</t>
        </is>
      </c>
      <c r="E286" s="166" t="n">
        <v>40990</v>
      </c>
      <c r="F286" s="166" t="inlineStr">
        <is>
          <t>EDWIN ROJAS</t>
        </is>
      </c>
      <c r="G286" s="166" t="n">
        <v>2908</v>
      </c>
      <c r="H286" s="166" t="n">
        <v>2908</v>
      </c>
      <c r="I286" s="166" t="n">
        <v>2904</v>
      </c>
      <c r="J286" s="166" t="n">
        <v>2</v>
      </c>
      <c r="K286" s="166" t="n">
        <v>9</v>
      </c>
      <c r="L286" s="166" t="n">
        <v>-7</v>
      </c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  <c r="AA286" s="162" t="n"/>
      <c r="AB286" s="162" t="n"/>
      <c r="AC286" s="162" t="n"/>
      <c r="AD286" s="162" t="n"/>
      <c r="AE286" s="162" t="n"/>
      <c r="AF286" s="162" t="n"/>
      <c r="AG286" s="162" t="n"/>
      <c r="AH286" s="162" t="n"/>
      <c r="AI286" s="162" t="n"/>
      <c r="AJ286" s="162" t="n"/>
      <c r="AK286" s="162" t="n"/>
      <c r="AL286" s="162" t="n"/>
      <c r="AM286" s="162" t="n"/>
      <c r="AN286" s="162" t="n"/>
      <c r="AO286" s="162" t="n"/>
      <c r="AP286" s="162" t="n"/>
      <c r="AQ286" s="162" t="n"/>
      <c r="AR286" s="162" t="n"/>
      <c r="AS286" s="162" t="n"/>
      <c r="AT286" s="162" t="n"/>
      <c r="AU286" s="162" t="n"/>
      <c r="AV286" s="162" t="n"/>
      <c r="AW286" s="162" t="n"/>
      <c r="AX286" s="162" t="n"/>
      <c r="AY286" s="162" t="n"/>
      <c r="AZ286" s="162" t="n"/>
      <c r="BA286" s="162" t="n"/>
      <c r="BB286" s="162" t="n"/>
      <c r="BC286" s="162" t="n"/>
      <c r="BD286" s="162" t="n"/>
      <c r="BE286" s="162" t="n"/>
      <c r="BF286" s="162" t="n"/>
      <c r="BG286" s="162" t="n"/>
      <c r="BH286" s="162" t="n"/>
      <c r="BI286" s="162" t="n"/>
      <c r="BJ286" s="162" t="n"/>
      <c r="BK286" s="162" t="n"/>
      <c r="BL286" s="162" t="n"/>
      <c r="BM286" s="162" t="n"/>
      <c r="BN286" s="162" t="n"/>
      <c r="BO286" s="162" t="n"/>
      <c r="BP286" s="162" t="n"/>
      <c r="BQ286" s="162" t="n"/>
      <c r="BR286" s="162" t="n"/>
      <c r="BS286" s="162" t="n"/>
      <c r="BT286" s="162" t="n"/>
      <c r="BU286" s="162" t="n"/>
      <c r="BV286" s="162" t="n"/>
      <c r="BW286" s="162" t="n"/>
      <c r="BX286" s="162" t="n"/>
      <c r="BY286" s="162" t="n"/>
      <c r="BZ286" s="162" t="n"/>
      <c r="CA286" s="162" t="n"/>
      <c r="CB286" s="162" t="n"/>
      <c r="CC286" s="162" t="n"/>
      <c r="CD286" s="162" t="n"/>
      <c r="CE286" s="162" t="n"/>
      <c r="CF286" s="162" t="n"/>
      <c r="CG286" s="162" t="n"/>
      <c r="CH286" s="162" t="n"/>
      <c r="CI286" s="162" t="n"/>
      <c r="CJ286" s="162" t="n"/>
      <c r="CK286" s="162" t="n"/>
      <c r="CL286" s="162" t="n"/>
      <c r="CM286" s="162" t="n"/>
      <c r="CN286" s="162" t="n"/>
      <c r="CO286" s="162" t="n"/>
      <c r="CP286" s="162" t="n"/>
      <c r="CQ286" s="162" t="n"/>
      <c r="CR286" s="162" t="n"/>
      <c r="CS286" s="162" t="n"/>
      <c r="CT286" s="162" t="n"/>
    </row>
    <row r="287" ht="15" customHeight="1">
      <c r="A287" s="175" t="n">
        <v>50</v>
      </c>
      <c r="B287" s="165" t="n">
        <v>34</v>
      </c>
      <c r="C287" s="164" t="n">
        <v>45786</v>
      </c>
      <c r="D287" s="166" t="inlineStr">
        <is>
          <t>218 G. SAN JOSE 1</t>
        </is>
      </c>
      <c r="E287" s="166" t="n">
        <v>40991</v>
      </c>
      <c r="F287" s="166" t="inlineStr">
        <is>
          <t>ALEX GOMEZ</t>
        </is>
      </c>
      <c r="G287" s="166" t="n">
        <v>2908</v>
      </c>
      <c r="H287" s="166" t="n">
        <v>2908</v>
      </c>
      <c r="I287" s="166" t="n">
        <v>2905</v>
      </c>
      <c r="J287" s="166" t="n">
        <v>2</v>
      </c>
      <c r="K287" s="166" t="n">
        <v>9</v>
      </c>
      <c r="L287" s="166" t="n">
        <v>-8</v>
      </c>
      <c r="M287" s="162" t="n">
        <v>50</v>
      </c>
      <c r="N287" s="162">
        <f>+M287+#REF!</f>
        <v/>
      </c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  <c r="AA287" s="162" t="n"/>
      <c r="AB287" s="162" t="n"/>
      <c r="AC287" s="162" t="n"/>
      <c r="AD287" s="162" t="n"/>
      <c r="AE287" s="162" t="n"/>
      <c r="AF287" s="162" t="n"/>
      <c r="AG287" s="162" t="n"/>
      <c r="AH287" s="162" t="n"/>
      <c r="AI287" s="162" t="n"/>
      <c r="AJ287" s="162" t="n"/>
      <c r="AK287" s="162" t="n"/>
      <c r="AL287" s="162" t="n"/>
      <c r="AM287" s="162" t="n"/>
      <c r="AN287" s="162" t="n"/>
      <c r="AO287" s="162" t="n"/>
      <c r="AP287" s="162" t="n"/>
      <c r="AQ287" s="162" t="n"/>
      <c r="AR287" s="162" t="n"/>
      <c r="AS287" s="162" t="n"/>
      <c r="AT287" s="162" t="n"/>
      <c r="AU287" s="162" t="n"/>
      <c r="AV287" s="162" t="n"/>
      <c r="AW287" s="162" t="n"/>
      <c r="AX287" s="162" t="n"/>
      <c r="AY287" s="162" t="n"/>
      <c r="AZ287" s="162" t="n"/>
      <c r="BA287" s="162" t="n"/>
      <c r="BB287" s="162" t="n"/>
      <c r="BC287" s="162" t="n"/>
      <c r="BD287" s="162" t="n"/>
      <c r="BE287" s="162" t="n"/>
      <c r="BF287" s="162" t="n"/>
      <c r="BG287" s="162" t="n"/>
      <c r="BH287" s="162" t="n"/>
      <c r="BI287" s="162" t="n"/>
      <c r="BJ287" s="162" t="n"/>
      <c r="BK287" s="162" t="n"/>
      <c r="BL287" s="162" t="n"/>
      <c r="BM287" s="162" t="n"/>
      <c r="BN287" s="162" t="n"/>
      <c r="BO287" s="162" t="n"/>
      <c r="BP287" s="162" t="n"/>
      <c r="BQ287" s="162" t="n"/>
      <c r="BR287" s="162" t="n"/>
      <c r="BS287" s="162" t="n"/>
      <c r="BT287" s="162" t="n"/>
      <c r="BU287" s="162" t="n"/>
      <c r="BV287" s="162" t="n"/>
      <c r="BW287" s="162" t="n"/>
      <c r="BX287" s="162" t="n"/>
      <c r="BY287" s="162" t="n"/>
      <c r="BZ287" s="162" t="n"/>
      <c r="CA287" s="162" t="n"/>
      <c r="CB287" s="162" t="n"/>
      <c r="CC287" s="162" t="n"/>
      <c r="CD287" s="162" t="n"/>
      <c r="CE287" s="162" t="n"/>
      <c r="CF287" s="162" t="n"/>
      <c r="CG287" s="162" t="n"/>
      <c r="CH287" s="162" t="n"/>
      <c r="CI287" s="162" t="n"/>
      <c r="CJ287" s="162" t="n"/>
      <c r="CK287" s="162" t="n"/>
      <c r="CL287" s="162" t="n"/>
      <c r="CM287" s="162" t="n"/>
      <c r="CN287" s="162" t="n"/>
      <c r="CO287" s="162" t="n"/>
      <c r="CP287" s="162" t="n"/>
      <c r="CQ287" s="162" t="n"/>
      <c r="CR287" s="162" t="n"/>
      <c r="CS287" s="162" t="n"/>
      <c r="CT287" s="162" t="n"/>
    </row>
    <row r="288" ht="18.75" customHeight="1">
      <c r="A288" s="175" t="n">
        <v>51</v>
      </c>
      <c r="B288" s="163" t="n">
        <v>1</v>
      </c>
      <c r="C288" s="164" t="n">
        <v>45789</v>
      </c>
      <c r="D288" s="165" t="inlineStr">
        <is>
          <t>218 G. SAN JOSE 1</t>
        </is>
      </c>
      <c r="E288" s="165" t="n">
        <v>41020</v>
      </c>
      <c r="F288" s="165" t="inlineStr">
        <is>
          <t>DUMAR ANGARITA</t>
        </is>
      </c>
      <c r="G288" s="165" t="n">
        <v>2926</v>
      </c>
      <c r="H288" s="165" t="n">
        <v>2926</v>
      </c>
      <c r="I288" s="165" t="n">
        <v>2934</v>
      </c>
      <c r="J288" s="165" t="n">
        <v>2</v>
      </c>
      <c r="K288" s="165" t="n">
        <v>5</v>
      </c>
      <c r="L288" s="165" t="n">
        <v>-15</v>
      </c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  <c r="AA288" s="162" t="n"/>
      <c r="AB288" s="162" t="n"/>
      <c r="AC288" s="162" t="n"/>
      <c r="AD288" s="162" t="n"/>
      <c r="AE288" s="162" t="n"/>
      <c r="AF288" s="162" t="n"/>
      <c r="AG288" s="162" t="n"/>
      <c r="AH288" s="162" t="n"/>
      <c r="AI288" s="162" t="n"/>
      <c r="AJ288" s="162" t="n"/>
      <c r="AK288" s="162" t="n"/>
      <c r="AL288" s="162" t="n"/>
      <c r="AM288" s="162" t="n"/>
      <c r="AN288" s="162" t="n"/>
      <c r="AO288" s="162" t="n"/>
      <c r="AP288" s="162" t="n"/>
      <c r="AQ288" s="162" t="n"/>
      <c r="AR288" s="162" t="n"/>
      <c r="AS288" s="162" t="n"/>
      <c r="AT288" s="162" t="n"/>
      <c r="AU288" s="162" t="n"/>
      <c r="AV288" s="162" t="n"/>
      <c r="AW288" s="162" t="n"/>
      <c r="AX288" s="162" t="n"/>
      <c r="AY288" s="162" t="n"/>
      <c r="AZ288" s="162" t="n"/>
      <c r="BA288" s="162" t="n"/>
      <c r="BB288" s="162" t="n"/>
      <c r="BC288" s="162" t="n"/>
      <c r="BD288" s="162" t="n"/>
      <c r="BE288" s="162" t="n"/>
      <c r="BF288" s="162" t="n"/>
      <c r="BG288" s="162" t="n"/>
      <c r="BH288" s="162" t="n"/>
      <c r="BI288" s="162" t="n"/>
      <c r="BJ288" s="162" t="n"/>
      <c r="BK288" s="162" t="n"/>
      <c r="BL288" s="162" t="n"/>
      <c r="BM288" s="162" t="n"/>
      <c r="BN288" s="162" t="n"/>
      <c r="BO288" s="162" t="n"/>
      <c r="BP288" s="162" t="n"/>
      <c r="BQ288" s="162" t="n"/>
      <c r="BR288" s="162" t="n"/>
      <c r="BS288" s="162" t="n"/>
      <c r="BT288" s="162" t="n"/>
      <c r="BU288" s="162" t="n"/>
      <c r="BV288" s="162" t="n"/>
      <c r="BW288" s="162" t="n"/>
      <c r="BX288" s="162" t="n"/>
      <c r="BY288" s="162" t="n"/>
      <c r="BZ288" s="162" t="n"/>
      <c r="CA288" s="162" t="n"/>
      <c r="CB288" s="162" t="n"/>
      <c r="CC288" s="162" t="n"/>
      <c r="CD288" s="162" t="n"/>
      <c r="CE288" s="162" t="n"/>
      <c r="CF288" s="162" t="n"/>
      <c r="CG288" s="162" t="n"/>
      <c r="CH288" s="162" t="n"/>
      <c r="CI288" s="162" t="n"/>
      <c r="CJ288" s="162" t="n"/>
      <c r="CK288" s="162" t="n"/>
      <c r="CL288" s="162" t="n"/>
      <c r="CM288" s="162" t="n"/>
      <c r="CN288" s="162" t="n"/>
      <c r="CO288" s="162" t="n"/>
      <c r="CP288" s="162" t="n"/>
      <c r="CQ288" s="162" t="n"/>
      <c r="CR288" s="162" t="n"/>
      <c r="CS288" s="162" t="n"/>
      <c r="CT288" s="162" t="n"/>
    </row>
    <row r="289" ht="18.75" customHeight="1">
      <c r="A289" s="175" t="n">
        <v>52</v>
      </c>
      <c r="B289" s="165" t="n">
        <v>2</v>
      </c>
      <c r="C289" s="164" t="n">
        <v>45789</v>
      </c>
      <c r="D289" s="165" t="inlineStr">
        <is>
          <t>218 G. SAN JOSE 1</t>
        </is>
      </c>
      <c r="E289" s="165" t="n">
        <v>41021</v>
      </c>
      <c r="F289" s="165" t="inlineStr">
        <is>
          <t>HENRY ROMERO</t>
        </is>
      </c>
      <c r="G289" s="165" t="n">
        <v>2926</v>
      </c>
      <c r="H289" s="165" t="n">
        <v>2926</v>
      </c>
      <c r="I289" s="165" t="n">
        <v>2936</v>
      </c>
      <c r="J289" s="165" t="n">
        <v>4</v>
      </c>
      <c r="K289" s="165" t="n">
        <v>4</v>
      </c>
      <c r="L289" s="165" t="n">
        <v>-18</v>
      </c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  <c r="AA289" s="162" t="n"/>
      <c r="AB289" s="162" t="n"/>
      <c r="AC289" s="162" t="n"/>
      <c r="AD289" s="162" t="n"/>
      <c r="AE289" s="162" t="n"/>
      <c r="AF289" s="162" t="n"/>
      <c r="AG289" s="162" t="n"/>
      <c r="AH289" s="162" t="n"/>
      <c r="AI289" s="162" t="n"/>
      <c r="AJ289" s="162" t="n"/>
      <c r="AK289" s="162" t="n"/>
      <c r="AL289" s="162" t="n"/>
      <c r="AM289" s="162" t="n"/>
      <c r="AN289" s="162" t="n"/>
      <c r="AO289" s="162" t="n"/>
      <c r="AP289" s="162" t="n"/>
      <c r="AQ289" s="162" t="n"/>
      <c r="AR289" s="162" t="n"/>
      <c r="AS289" s="162" t="n"/>
      <c r="AT289" s="162" t="n"/>
      <c r="AU289" s="162" t="n"/>
      <c r="AV289" s="162" t="n"/>
      <c r="AW289" s="162" t="n"/>
      <c r="AX289" s="162" t="n"/>
      <c r="AY289" s="162" t="n"/>
      <c r="AZ289" s="162" t="n"/>
      <c r="BA289" s="162" t="n"/>
      <c r="BB289" s="162" t="n"/>
      <c r="BC289" s="162" t="n"/>
      <c r="BD289" s="162" t="n"/>
      <c r="BE289" s="162" t="n"/>
      <c r="BF289" s="162" t="n"/>
      <c r="BG289" s="162" t="n"/>
      <c r="BH289" s="162" t="n"/>
      <c r="BI289" s="162" t="n"/>
      <c r="BJ289" s="162" t="n"/>
      <c r="BK289" s="162" t="n"/>
      <c r="BL289" s="162" t="n"/>
      <c r="BM289" s="162" t="n"/>
      <c r="BN289" s="162" t="n"/>
      <c r="BO289" s="162" t="n"/>
      <c r="BP289" s="162" t="n"/>
      <c r="BQ289" s="162" t="n"/>
      <c r="BR289" s="162" t="n"/>
      <c r="BS289" s="162" t="n"/>
      <c r="BT289" s="162" t="n"/>
      <c r="BU289" s="162" t="n"/>
      <c r="BV289" s="162" t="n"/>
      <c r="BW289" s="162" t="n"/>
      <c r="BX289" s="162" t="n"/>
      <c r="BY289" s="162" t="n"/>
      <c r="BZ289" s="162" t="n"/>
      <c r="CA289" s="162" t="n"/>
      <c r="CB289" s="162" t="n"/>
      <c r="CC289" s="162" t="n"/>
      <c r="CD289" s="162" t="n"/>
      <c r="CE289" s="162" t="n"/>
      <c r="CF289" s="162" t="n"/>
      <c r="CG289" s="162" t="n"/>
      <c r="CH289" s="162" t="n"/>
      <c r="CI289" s="162" t="n"/>
      <c r="CJ289" s="162" t="n"/>
      <c r="CK289" s="162" t="n"/>
      <c r="CL289" s="162" t="n"/>
      <c r="CM289" s="162" t="n"/>
      <c r="CN289" s="162" t="n"/>
      <c r="CO289" s="162" t="n"/>
      <c r="CP289" s="162" t="n"/>
      <c r="CQ289" s="162" t="n"/>
      <c r="CR289" s="162" t="n"/>
      <c r="CS289" s="162" t="n"/>
      <c r="CT289" s="162" t="n"/>
    </row>
    <row r="290" ht="18.75" customHeight="1">
      <c r="A290" s="175" t="n">
        <v>53</v>
      </c>
      <c r="B290" s="165" t="n">
        <v>3</v>
      </c>
      <c r="C290" s="164" t="n">
        <v>45789</v>
      </c>
      <c r="D290" s="165" t="inlineStr">
        <is>
          <t>218 G. SAN JOSE 1</t>
        </is>
      </c>
      <c r="E290" s="165" t="n">
        <v>41022</v>
      </c>
      <c r="F290" s="165" t="inlineStr">
        <is>
          <t>WILMER PIÑEROS</t>
        </is>
      </c>
      <c r="G290" s="165" t="n">
        <v>2926</v>
      </c>
      <c r="H290" s="165" t="n">
        <v>2926</v>
      </c>
      <c r="I290" s="165" t="n">
        <v>2936</v>
      </c>
      <c r="J290" s="165" t="n">
        <v>1</v>
      </c>
      <c r="K290" s="165" t="n">
        <v>3</v>
      </c>
      <c r="L290" s="165" t="n">
        <v>-14</v>
      </c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  <c r="AA290" s="162" t="n"/>
      <c r="AB290" s="162" t="n"/>
      <c r="AC290" s="162" t="n"/>
      <c r="AD290" s="162" t="n"/>
      <c r="AE290" s="162" t="n"/>
      <c r="AF290" s="162" t="n"/>
      <c r="AG290" s="162" t="n"/>
      <c r="AH290" s="162" t="n"/>
      <c r="AI290" s="162" t="n"/>
      <c r="AJ290" s="162" t="n"/>
      <c r="AK290" s="162" t="n"/>
      <c r="AL290" s="162" t="n"/>
      <c r="AM290" s="162" t="n"/>
      <c r="AN290" s="162" t="n"/>
      <c r="AO290" s="162" t="n"/>
      <c r="AP290" s="162" t="n"/>
      <c r="AQ290" s="162" t="n"/>
      <c r="AR290" s="162" t="n"/>
      <c r="AS290" s="162" t="n"/>
      <c r="AT290" s="162" t="n"/>
      <c r="AU290" s="162" t="n"/>
      <c r="AV290" s="162" t="n"/>
      <c r="AW290" s="162" t="n"/>
      <c r="AX290" s="162" t="n"/>
      <c r="AY290" s="162" t="n"/>
      <c r="AZ290" s="162" t="n"/>
      <c r="BA290" s="162" t="n"/>
      <c r="BB290" s="162" t="n"/>
      <c r="BC290" s="162" t="n"/>
      <c r="BD290" s="162" t="n"/>
      <c r="BE290" s="162" t="n"/>
      <c r="BF290" s="162" t="n"/>
      <c r="BG290" s="162" t="n"/>
      <c r="BH290" s="162" t="n"/>
      <c r="BI290" s="162" t="n"/>
      <c r="BJ290" s="162" t="n"/>
      <c r="BK290" s="162" t="n"/>
      <c r="BL290" s="162" t="n"/>
      <c r="BM290" s="162" t="n"/>
      <c r="BN290" s="162" t="n"/>
      <c r="BO290" s="162" t="n"/>
      <c r="BP290" s="162" t="n"/>
      <c r="BQ290" s="162" t="n"/>
      <c r="BR290" s="162" t="n"/>
      <c r="BS290" s="162" t="n"/>
      <c r="BT290" s="162" t="n"/>
      <c r="BU290" s="162" t="n"/>
      <c r="BV290" s="162" t="n"/>
      <c r="BW290" s="162" t="n"/>
      <c r="BX290" s="162" t="n"/>
      <c r="BY290" s="162" t="n"/>
      <c r="BZ290" s="162" t="n"/>
      <c r="CA290" s="162" t="n"/>
      <c r="CB290" s="162" t="n"/>
      <c r="CC290" s="162" t="n"/>
      <c r="CD290" s="162" t="n"/>
      <c r="CE290" s="162" t="n"/>
      <c r="CF290" s="162" t="n"/>
      <c r="CG290" s="162" t="n"/>
      <c r="CH290" s="162" t="n"/>
      <c r="CI290" s="162" t="n"/>
      <c r="CJ290" s="162" t="n"/>
      <c r="CK290" s="162" t="n"/>
      <c r="CL290" s="162" t="n"/>
      <c r="CM290" s="162" t="n"/>
      <c r="CN290" s="162" t="n"/>
      <c r="CO290" s="162" t="n"/>
      <c r="CP290" s="162" t="n"/>
      <c r="CQ290" s="162" t="n"/>
      <c r="CR290" s="162" t="n"/>
      <c r="CS290" s="162" t="n"/>
      <c r="CT290" s="162" t="n"/>
    </row>
    <row r="291" ht="18.75" customHeight="1">
      <c r="A291" s="175" t="n">
        <v>54</v>
      </c>
      <c r="B291" s="165" t="n">
        <v>4</v>
      </c>
      <c r="C291" s="164" t="n">
        <v>45789</v>
      </c>
      <c r="D291" s="165" t="inlineStr">
        <is>
          <t>218 G. SAN JOSE 1</t>
        </is>
      </c>
      <c r="E291" s="165" t="n">
        <v>41023</v>
      </c>
      <c r="F291" s="165" t="inlineStr">
        <is>
          <t>ALBERTO HERRERA</t>
        </is>
      </c>
      <c r="G291" s="165" t="n">
        <v>2523</v>
      </c>
      <c r="H291" s="165" t="n">
        <v>2523</v>
      </c>
      <c r="I291" s="165" t="n">
        <v>2492</v>
      </c>
      <c r="J291" s="165" t="n">
        <v>1</v>
      </c>
      <c r="K291" s="165" t="n">
        <v>17</v>
      </c>
      <c r="L291" s="165" t="n">
        <v>13</v>
      </c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  <c r="AA291" s="162" t="n"/>
      <c r="AB291" s="162" t="n"/>
      <c r="AC291" s="162" t="n"/>
      <c r="AD291" s="162" t="n"/>
      <c r="AE291" s="162" t="n"/>
      <c r="AF291" s="162" t="n"/>
      <c r="AG291" s="162" t="n"/>
      <c r="AH291" s="162" t="n"/>
      <c r="AI291" s="162" t="n"/>
      <c r="AJ291" s="162" t="n"/>
      <c r="AK291" s="162" t="n"/>
      <c r="AL291" s="162" t="n"/>
      <c r="AM291" s="162" t="n"/>
      <c r="AN291" s="162" t="n"/>
      <c r="AO291" s="162" t="n"/>
      <c r="AP291" s="162" t="n"/>
      <c r="AQ291" s="162" t="n"/>
      <c r="AR291" s="162" t="n"/>
      <c r="AS291" s="162" t="n"/>
      <c r="AT291" s="162" t="n"/>
      <c r="AU291" s="162" t="n"/>
      <c r="AV291" s="162" t="n"/>
      <c r="AW291" s="162" t="n"/>
      <c r="AX291" s="162" t="n"/>
      <c r="AY291" s="162" t="n"/>
      <c r="AZ291" s="162" t="n"/>
      <c r="BA291" s="162" t="n"/>
      <c r="BB291" s="162" t="n"/>
      <c r="BC291" s="162" t="n"/>
      <c r="BD291" s="162" t="n"/>
      <c r="BE291" s="162" t="n"/>
      <c r="BF291" s="162" t="n"/>
      <c r="BG291" s="162" t="n"/>
      <c r="BH291" s="162" t="n"/>
      <c r="BI291" s="162" t="n"/>
      <c r="BJ291" s="162" t="n"/>
      <c r="BK291" s="162" t="n"/>
      <c r="BL291" s="162" t="n"/>
      <c r="BM291" s="162" t="n"/>
      <c r="BN291" s="162" t="n"/>
      <c r="BO291" s="162" t="n"/>
      <c r="BP291" s="162" t="n"/>
      <c r="BQ291" s="162" t="n"/>
      <c r="BR291" s="162" t="n"/>
      <c r="BS291" s="162" t="n"/>
      <c r="BT291" s="162" t="n"/>
      <c r="BU291" s="162" t="n"/>
      <c r="BV291" s="162" t="n"/>
      <c r="BW291" s="162" t="n"/>
      <c r="BX291" s="162" t="n"/>
      <c r="BY291" s="162" t="n"/>
      <c r="BZ291" s="162" t="n"/>
      <c r="CA291" s="162" t="n"/>
      <c r="CB291" s="162" t="n"/>
      <c r="CC291" s="162" t="n"/>
      <c r="CD291" s="162" t="n"/>
      <c r="CE291" s="162" t="n"/>
      <c r="CF291" s="162" t="n"/>
      <c r="CG291" s="162" t="n"/>
      <c r="CH291" s="162" t="n"/>
      <c r="CI291" s="162" t="n"/>
      <c r="CJ291" s="162" t="n"/>
      <c r="CK291" s="162" t="n"/>
      <c r="CL291" s="162" t="n"/>
      <c r="CM291" s="162" t="n"/>
      <c r="CN291" s="162" t="n"/>
      <c r="CO291" s="162" t="n"/>
      <c r="CP291" s="162" t="n"/>
      <c r="CQ291" s="162" t="n"/>
      <c r="CR291" s="162" t="n"/>
      <c r="CS291" s="162" t="n"/>
      <c r="CT291" s="162" t="n"/>
    </row>
    <row r="292" ht="18.75" customHeight="1">
      <c r="A292" s="175" t="n">
        <v>55</v>
      </c>
      <c r="B292" s="165" t="n">
        <v>5</v>
      </c>
      <c r="C292" s="164" t="n">
        <v>45789</v>
      </c>
      <c r="D292" s="165" t="inlineStr">
        <is>
          <t>218 G. SAN JOSE 1</t>
        </is>
      </c>
      <c r="E292" s="165" t="n">
        <v>41024</v>
      </c>
      <c r="F292" s="165" t="inlineStr">
        <is>
          <t>JHON ARIAS</t>
        </is>
      </c>
      <c r="G292" s="165" t="n">
        <v>2523</v>
      </c>
      <c r="H292" s="165" t="n">
        <v>2523</v>
      </c>
      <c r="I292" s="165" t="n">
        <v>2512</v>
      </c>
      <c r="J292" s="165" t="n">
        <v>0</v>
      </c>
      <c r="K292" s="165" t="n">
        <v>15</v>
      </c>
      <c r="L292" s="165" t="n">
        <v>-4</v>
      </c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  <c r="AA292" s="162" t="n"/>
      <c r="AB292" s="162" t="n"/>
      <c r="AC292" s="162" t="n"/>
      <c r="AD292" s="162" t="n"/>
      <c r="AE292" s="162" t="n"/>
      <c r="AF292" s="162" t="n"/>
      <c r="AG292" s="162" t="n"/>
      <c r="AH292" s="162" t="n"/>
      <c r="AI292" s="162" t="n"/>
      <c r="AJ292" s="162" t="n"/>
      <c r="AK292" s="162" t="n"/>
      <c r="AL292" s="162" t="n"/>
      <c r="AM292" s="162" t="n"/>
      <c r="AN292" s="162" t="n"/>
      <c r="AO292" s="162" t="n"/>
      <c r="AP292" s="162" t="n"/>
      <c r="AQ292" s="162" t="n"/>
      <c r="AR292" s="162" t="n"/>
      <c r="AS292" s="162" t="n"/>
      <c r="AT292" s="162" t="n"/>
      <c r="AU292" s="162" t="n"/>
      <c r="AV292" s="162" t="n"/>
      <c r="AW292" s="162" t="n"/>
      <c r="AX292" s="162" t="n"/>
      <c r="AY292" s="162" t="n"/>
      <c r="AZ292" s="162" t="n"/>
      <c r="BA292" s="162" t="n"/>
      <c r="BB292" s="162" t="n"/>
      <c r="BC292" s="162" t="n"/>
      <c r="BD292" s="162" t="n"/>
      <c r="BE292" s="162" t="n"/>
      <c r="BF292" s="162" t="n"/>
      <c r="BG292" s="162" t="n"/>
      <c r="BH292" s="162" t="n"/>
      <c r="BI292" s="162" t="n"/>
      <c r="BJ292" s="162" t="n"/>
      <c r="BK292" s="162" t="n"/>
      <c r="BL292" s="162" t="n"/>
      <c r="BM292" s="162" t="n"/>
      <c r="BN292" s="162" t="n"/>
      <c r="BO292" s="162" t="n"/>
      <c r="BP292" s="162" t="n"/>
      <c r="BQ292" s="162" t="n"/>
      <c r="BR292" s="162" t="n"/>
      <c r="BS292" s="162" t="n"/>
      <c r="BT292" s="162" t="n"/>
      <c r="BU292" s="162" t="n"/>
      <c r="BV292" s="162" t="n"/>
      <c r="BW292" s="162" t="n"/>
      <c r="BX292" s="162" t="n"/>
      <c r="BY292" s="162" t="n"/>
      <c r="BZ292" s="162" t="n"/>
      <c r="CA292" s="162" t="n"/>
      <c r="CB292" s="162" t="n"/>
      <c r="CC292" s="162" t="n"/>
      <c r="CD292" s="162" t="n"/>
      <c r="CE292" s="162" t="n"/>
      <c r="CF292" s="162" t="n"/>
      <c r="CG292" s="162" t="n"/>
      <c r="CH292" s="162" t="n"/>
      <c r="CI292" s="162" t="n"/>
      <c r="CJ292" s="162" t="n"/>
      <c r="CK292" s="162" t="n"/>
      <c r="CL292" s="162" t="n"/>
      <c r="CM292" s="162" t="n"/>
      <c r="CN292" s="162" t="n"/>
      <c r="CO292" s="162" t="n"/>
      <c r="CP292" s="162" t="n"/>
      <c r="CQ292" s="162" t="n"/>
      <c r="CR292" s="162" t="n"/>
      <c r="CS292" s="162" t="n"/>
      <c r="CT292" s="162" t="n"/>
    </row>
    <row r="293" ht="18.75" customHeight="1">
      <c r="A293" s="175" t="n">
        <v>56</v>
      </c>
      <c r="B293" s="165" t="n">
        <v>6</v>
      </c>
      <c r="C293" s="164" t="n">
        <v>45789</v>
      </c>
      <c r="D293" s="165" t="inlineStr">
        <is>
          <t>218 G. SAN JOSE 1</t>
        </is>
      </c>
      <c r="E293" s="165" t="n">
        <v>41025</v>
      </c>
      <c r="F293" s="165" t="inlineStr">
        <is>
          <t>YAIR RIVEROS</t>
        </is>
      </c>
      <c r="G293" s="165" t="n">
        <v>2523</v>
      </c>
      <c r="H293" s="165" t="n">
        <v>2523</v>
      </c>
      <c r="I293" s="165" t="n">
        <v>2508</v>
      </c>
      <c r="J293" s="165" t="n">
        <v>0</v>
      </c>
      <c r="K293" s="165" t="n">
        <v>19</v>
      </c>
      <c r="L293" s="165" t="n">
        <v>-4</v>
      </c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  <c r="AA293" s="162" t="n"/>
      <c r="AB293" s="162" t="n"/>
      <c r="AC293" s="162" t="n"/>
      <c r="AD293" s="162" t="n"/>
      <c r="AE293" s="162" t="n"/>
      <c r="AF293" s="162" t="n"/>
      <c r="AG293" s="162" t="n"/>
      <c r="AH293" s="162" t="n"/>
      <c r="AI293" s="162" t="n"/>
      <c r="AJ293" s="162" t="n"/>
      <c r="AK293" s="162" t="n"/>
      <c r="AL293" s="162" t="n"/>
      <c r="AM293" s="162" t="n"/>
      <c r="AN293" s="162" t="n"/>
      <c r="AO293" s="162" t="n"/>
      <c r="AP293" s="162" t="n"/>
      <c r="AQ293" s="162" t="n"/>
      <c r="AR293" s="162" t="n"/>
      <c r="AS293" s="162" t="n"/>
      <c r="AT293" s="162" t="n"/>
      <c r="AU293" s="162" t="n"/>
      <c r="AV293" s="162" t="n"/>
      <c r="AW293" s="162" t="n"/>
      <c r="AX293" s="162" t="n"/>
      <c r="AY293" s="162" t="n"/>
      <c r="AZ293" s="162" t="n"/>
      <c r="BA293" s="162" t="n"/>
      <c r="BB293" s="162" t="n"/>
      <c r="BC293" s="162" t="n"/>
      <c r="BD293" s="162" t="n"/>
      <c r="BE293" s="162" t="n"/>
      <c r="BF293" s="162" t="n"/>
      <c r="BG293" s="162" t="n"/>
      <c r="BH293" s="162" t="n"/>
      <c r="BI293" s="162" t="n"/>
      <c r="BJ293" s="162" t="n"/>
      <c r="BK293" s="162" t="n"/>
      <c r="BL293" s="162" t="n"/>
      <c r="BM293" s="162" t="n"/>
      <c r="BN293" s="162" t="n"/>
      <c r="BO293" s="162" t="n"/>
      <c r="BP293" s="162" t="n"/>
      <c r="BQ293" s="162" t="n"/>
      <c r="BR293" s="162" t="n"/>
      <c r="BS293" s="162" t="n"/>
      <c r="BT293" s="162" t="n"/>
      <c r="BU293" s="162" t="n"/>
      <c r="BV293" s="162" t="n"/>
      <c r="BW293" s="162" t="n"/>
      <c r="BX293" s="162" t="n"/>
      <c r="BY293" s="162" t="n"/>
      <c r="BZ293" s="162" t="n"/>
      <c r="CA293" s="162" t="n"/>
      <c r="CB293" s="162" t="n"/>
      <c r="CC293" s="162" t="n"/>
      <c r="CD293" s="162" t="n"/>
      <c r="CE293" s="162" t="n"/>
      <c r="CF293" s="162" t="n"/>
      <c r="CG293" s="162" t="n"/>
      <c r="CH293" s="162" t="n"/>
      <c r="CI293" s="162" t="n"/>
      <c r="CJ293" s="162" t="n"/>
      <c r="CK293" s="162" t="n"/>
      <c r="CL293" s="162" t="n"/>
      <c r="CM293" s="162" t="n"/>
      <c r="CN293" s="162" t="n"/>
      <c r="CO293" s="162" t="n"/>
      <c r="CP293" s="162" t="n"/>
      <c r="CQ293" s="162" t="n"/>
      <c r="CR293" s="162" t="n"/>
      <c r="CS293" s="162" t="n"/>
      <c r="CT293" s="162" t="n"/>
    </row>
    <row r="294" ht="18.75" customHeight="1">
      <c r="A294" s="175" t="n">
        <v>57</v>
      </c>
      <c r="B294" s="165" t="n">
        <v>7</v>
      </c>
      <c r="C294" s="164" t="n">
        <v>45790</v>
      </c>
      <c r="D294" s="165" t="inlineStr">
        <is>
          <t>218 G. SAN JOSE 1</t>
        </is>
      </c>
      <c r="E294" s="165" t="n">
        <v>41033</v>
      </c>
      <c r="F294" s="165" t="inlineStr">
        <is>
          <t>ALBERTO HERRERA</t>
        </is>
      </c>
      <c r="G294" s="165" t="n">
        <v>2730</v>
      </c>
      <c r="H294" s="165" t="n">
        <v>2760</v>
      </c>
      <c r="I294" s="165" t="n">
        <v>2738</v>
      </c>
      <c r="J294" s="165" t="n">
        <v>3</v>
      </c>
      <c r="K294" s="165" t="n">
        <v>12</v>
      </c>
      <c r="L294" s="165" t="n">
        <v>-23</v>
      </c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  <c r="AA294" s="162" t="n"/>
      <c r="AB294" s="162" t="n"/>
      <c r="AC294" s="162" t="n"/>
      <c r="AD294" s="162" t="n"/>
      <c r="AE294" s="162" t="n"/>
      <c r="AF294" s="162" t="n"/>
      <c r="AG294" s="162" t="n"/>
      <c r="AH294" s="162" t="n"/>
      <c r="AI294" s="162" t="n"/>
      <c r="AJ294" s="162" t="n"/>
      <c r="AK294" s="162" t="n"/>
      <c r="AL294" s="162" t="n"/>
      <c r="AM294" s="162" t="n"/>
      <c r="AN294" s="162" t="n"/>
      <c r="AO294" s="162" t="n"/>
      <c r="AP294" s="162" t="n"/>
      <c r="AQ294" s="162" t="n"/>
      <c r="AR294" s="162" t="n"/>
      <c r="AS294" s="162" t="n"/>
      <c r="AT294" s="162" t="n"/>
      <c r="AU294" s="162" t="n"/>
      <c r="AV294" s="162" t="n"/>
      <c r="AW294" s="162" t="n"/>
      <c r="AX294" s="162" t="n"/>
      <c r="AY294" s="162" t="n"/>
      <c r="AZ294" s="162" t="n"/>
      <c r="BA294" s="162" t="n"/>
      <c r="BB294" s="162" t="n"/>
      <c r="BC294" s="162" t="n"/>
      <c r="BD294" s="162" t="n"/>
      <c r="BE294" s="162" t="n"/>
      <c r="BF294" s="162" t="n"/>
      <c r="BG294" s="162" t="n"/>
      <c r="BH294" s="162" t="n"/>
      <c r="BI294" s="162" t="n"/>
      <c r="BJ294" s="162" t="n"/>
      <c r="BK294" s="162" t="n"/>
      <c r="BL294" s="162" t="n"/>
      <c r="BM294" s="162" t="n"/>
      <c r="BN294" s="162" t="n"/>
      <c r="BO294" s="162" t="n"/>
      <c r="BP294" s="162" t="n"/>
      <c r="BQ294" s="162" t="n"/>
      <c r="BR294" s="162" t="n"/>
      <c r="BS294" s="162" t="n"/>
      <c r="BT294" s="162" t="n"/>
      <c r="BU294" s="162" t="n"/>
      <c r="BV294" s="162" t="n"/>
      <c r="BW294" s="162" t="n"/>
      <c r="BX294" s="162" t="n"/>
      <c r="BY294" s="162" t="n"/>
      <c r="BZ294" s="162" t="n"/>
      <c r="CA294" s="162" t="n"/>
      <c r="CB294" s="162" t="n"/>
      <c r="CC294" s="162" t="n"/>
      <c r="CD294" s="162" t="n"/>
      <c r="CE294" s="162" t="n"/>
      <c r="CF294" s="162" t="n"/>
      <c r="CG294" s="162" t="n"/>
      <c r="CH294" s="162" t="n"/>
      <c r="CI294" s="162" t="n"/>
      <c r="CJ294" s="162" t="n"/>
      <c r="CK294" s="162" t="n"/>
      <c r="CL294" s="162" t="n"/>
      <c r="CM294" s="162" t="n"/>
      <c r="CN294" s="162" t="n"/>
      <c r="CO294" s="162" t="n"/>
      <c r="CP294" s="162" t="n"/>
      <c r="CQ294" s="162" t="n"/>
      <c r="CR294" s="162" t="n"/>
      <c r="CS294" s="162" t="n"/>
      <c r="CT294" s="162" t="n"/>
    </row>
    <row r="295" ht="18.75" customHeight="1">
      <c r="A295" s="175" t="n">
        <v>58</v>
      </c>
      <c r="B295" s="165" t="n">
        <v>8</v>
      </c>
      <c r="C295" s="164" t="n">
        <v>45790</v>
      </c>
      <c r="D295" s="165" t="inlineStr">
        <is>
          <t>218 G. SAN JOSE 1</t>
        </is>
      </c>
      <c r="E295" s="165" t="n">
        <v>41036</v>
      </c>
      <c r="F295" s="165" t="inlineStr">
        <is>
          <t>JHON ARIAS</t>
        </is>
      </c>
      <c r="G295" s="165" t="n">
        <v>2760</v>
      </c>
      <c r="H295" s="165" t="n">
        <v>2760</v>
      </c>
      <c r="I295" s="165" t="n">
        <v>2752</v>
      </c>
      <c r="J295" s="165" t="n">
        <v>2</v>
      </c>
      <c r="K295" s="165" t="n">
        <v>11</v>
      </c>
      <c r="L295" s="165" t="n">
        <v>-5</v>
      </c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  <c r="AA295" s="162" t="n"/>
      <c r="AB295" s="162" t="n"/>
      <c r="AC295" s="162" t="n"/>
      <c r="AD295" s="162" t="n"/>
      <c r="AE295" s="162" t="n"/>
      <c r="AF295" s="162" t="n"/>
      <c r="AG295" s="162" t="n"/>
      <c r="AH295" s="162" t="n"/>
      <c r="AI295" s="162" t="n"/>
      <c r="AJ295" s="162" t="n"/>
      <c r="AK295" s="162" t="n"/>
      <c r="AL295" s="162" t="n"/>
      <c r="AM295" s="162" t="n"/>
      <c r="AN295" s="162" t="n"/>
      <c r="AO295" s="162" t="n"/>
      <c r="AP295" s="162" t="n"/>
      <c r="AQ295" s="162" t="n"/>
      <c r="AR295" s="162" t="n"/>
      <c r="AS295" s="162" t="n"/>
      <c r="AT295" s="162" t="n"/>
      <c r="AU295" s="162" t="n"/>
      <c r="AV295" s="162" t="n"/>
      <c r="AW295" s="162" t="n"/>
      <c r="AX295" s="162" t="n"/>
      <c r="AY295" s="162" t="n"/>
      <c r="AZ295" s="162" t="n"/>
      <c r="BA295" s="162" t="n"/>
      <c r="BB295" s="162" t="n"/>
      <c r="BC295" s="162" t="n"/>
      <c r="BD295" s="162" t="n"/>
      <c r="BE295" s="162" t="n"/>
      <c r="BF295" s="162" t="n"/>
      <c r="BG295" s="162" t="n"/>
      <c r="BH295" s="162" t="n"/>
      <c r="BI295" s="162" t="n"/>
      <c r="BJ295" s="162" t="n"/>
      <c r="BK295" s="162" t="n"/>
      <c r="BL295" s="162" t="n"/>
      <c r="BM295" s="162" t="n"/>
      <c r="BN295" s="162" t="n"/>
      <c r="BO295" s="162" t="n"/>
      <c r="BP295" s="162" t="n"/>
      <c r="BQ295" s="162" t="n"/>
      <c r="BR295" s="162" t="n"/>
      <c r="BS295" s="162" t="n"/>
      <c r="BT295" s="162" t="n"/>
      <c r="BU295" s="162" t="n"/>
      <c r="BV295" s="162" t="n"/>
      <c r="BW295" s="162" t="n"/>
      <c r="BX295" s="162" t="n"/>
      <c r="BY295" s="162" t="n"/>
      <c r="BZ295" s="162" t="n"/>
      <c r="CA295" s="162" t="n"/>
      <c r="CB295" s="162" t="n"/>
      <c r="CC295" s="162" t="n"/>
      <c r="CD295" s="162" t="n"/>
      <c r="CE295" s="162" t="n"/>
      <c r="CF295" s="162" t="n"/>
      <c r="CG295" s="162" t="n"/>
      <c r="CH295" s="162" t="n"/>
      <c r="CI295" s="162" t="n"/>
      <c r="CJ295" s="162" t="n"/>
      <c r="CK295" s="162" t="n"/>
      <c r="CL295" s="162" t="n"/>
      <c r="CM295" s="162" t="n"/>
      <c r="CN295" s="162" t="n"/>
      <c r="CO295" s="162" t="n"/>
      <c r="CP295" s="162" t="n"/>
      <c r="CQ295" s="162" t="n"/>
      <c r="CR295" s="162" t="n"/>
      <c r="CS295" s="162" t="n"/>
      <c r="CT295" s="162" t="n"/>
    </row>
    <row r="296" ht="18.75" customHeight="1">
      <c r="A296" s="175" t="n">
        <v>59</v>
      </c>
      <c r="B296" s="165" t="n">
        <v>9</v>
      </c>
      <c r="C296" s="164" t="n">
        <v>45791</v>
      </c>
      <c r="D296" s="165" t="inlineStr">
        <is>
          <t>218 G. SAN JOSE 1</t>
        </is>
      </c>
      <c r="E296" s="165" t="n">
        <v>41044</v>
      </c>
      <c r="F296" s="165" t="inlineStr">
        <is>
          <t>ALEX GOMEZ</t>
        </is>
      </c>
      <c r="G296" s="165" t="n">
        <v>2863</v>
      </c>
      <c r="H296" s="165" t="n">
        <v>2863</v>
      </c>
      <c r="I296" s="165" t="n">
        <v>2857</v>
      </c>
      <c r="J296" s="165" t="n">
        <v>2</v>
      </c>
      <c r="K296" s="165" t="n">
        <v>7</v>
      </c>
      <c r="L296" s="165" t="n">
        <v>-3</v>
      </c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  <c r="AA296" s="162" t="n"/>
      <c r="AB296" s="162" t="n"/>
      <c r="AC296" s="162" t="n"/>
      <c r="AD296" s="162" t="n"/>
      <c r="AE296" s="162" t="n"/>
      <c r="AF296" s="162" t="n"/>
      <c r="AG296" s="162" t="n"/>
      <c r="AH296" s="162" t="n"/>
      <c r="AI296" s="162" t="n"/>
      <c r="AJ296" s="162" t="n"/>
      <c r="AK296" s="162" t="n"/>
      <c r="AL296" s="162" t="n"/>
      <c r="AM296" s="162" t="n"/>
      <c r="AN296" s="162" t="n"/>
      <c r="AO296" s="162" t="n"/>
      <c r="AP296" s="162" t="n"/>
      <c r="AQ296" s="162" t="n"/>
      <c r="AR296" s="162" t="n"/>
      <c r="AS296" s="162" t="n"/>
      <c r="AT296" s="162" t="n"/>
      <c r="AU296" s="162" t="n"/>
      <c r="AV296" s="162" t="n"/>
      <c r="AW296" s="162" t="n"/>
      <c r="AX296" s="162" t="n"/>
      <c r="AY296" s="162" t="n"/>
      <c r="AZ296" s="162" t="n"/>
      <c r="BA296" s="162" t="n"/>
      <c r="BB296" s="162" t="n"/>
      <c r="BC296" s="162" t="n"/>
      <c r="BD296" s="162" t="n"/>
      <c r="BE296" s="162" t="n"/>
      <c r="BF296" s="162" t="n"/>
      <c r="BG296" s="162" t="n"/>
      <c r="BH296" s="162" t="n"/>
      <c r="BI296" s="162" t="n"/>
      <c r="BJ296" s="162" t="n"/>
      <c r="BK296" s="162" t="n"/>
      <c r="BL296" s="162" t="n"/>
      <c r="BM296" s="162" t="n"/>
      <c r="BN296" s="162" t="n"/>
      <c r="BO296" s="162" t="n"/>
      <c r="BP296" s="162" t="n"/>
      <c r="BQ296" s="162" t="n"/>
      <c r="BR296" s="162" t="n"/>
      <c r="BS296" s="162" t="n"/>
      <c r="BT296" s="162" t="n"/>
      <c r="BU296" s="162" t="n"/>
      <c r="BV296" s="162" t="n"/>
      <c r="BW296" s="162" t="n"/>
      <c r="BX296" s="162" t="n"/>
      <c r="BY296" s="162" t="n"/>
      <c r="BZ296" s="162" t="n"/>
      <c r="CA296" s="162" t="n"/>
      <c r="CB296" s="162" t="n"/>
      <c r="CC296" s="162" t="n"/>
      <c r="CD296" s="162" t="n"/>
      <c r="CE296" s="162" t="n"/>
      <c r="CF296" s="162" t="n"/>
      <c r="CG296" s="162" t="n"/>
      <c r="CH296" s="162" t="n"/>
      <c r="CI296" s="162" t="n"/>
      <c r="CJ296" s="162" t="n"/>
      <c r="CK296" s="162" t="n"/>
      <c r="CL296" s="162" t="n"/>
      <c r="CM296" s="162" t="n"/>
      <c r="CN296" s="162" t="n"/>
      <c r="CO296" s="162" t="n"/>
      <c r="CP296" s="162" t="n"/>
      <c r="CQ296" s="162" t="n"/>
      <c r="CR296" s="162" t="n"/>
      <c r="CS296" s="162" t="n"/>
      <c r="CT296" s="162" t="n"/>
    </row>
    <row r="297" ht="18.75" customHeight="1">
      <c r="A297" s="175" t="n">
        <v>60</v>
      </c>
      <c r="B297" s="165" t="n">
        <v>10</v>
      </c>
      <c r="C297" s="164" t="n">
        <v>45791</v>
      </c>
      <c r="D297" s="165" t="inlineStr">
        <is>
          <t>218 G. SAN JOSE 1</t>
        </is>
      </c>
      <c r="E297" s="165" t="n">
        <v>41045</v>
      </c>
      <c r="F297" s="165" t="inlineStr">
        <is>
          <t>JAIRO CUBILLOS</t>
        </is>
      </c>
      <c r="G297" s="165" t="n">
        <v>2863</v>
      </c>
      <c r="H297" s="165" t="n">
        <v>2863</v>
      </c>
      <c r="I297" s="165" t="n">
        <v>2858</v>
      </c>
      <c r="J297" s="165" t="n">
        <v>2</v>
      </c>
      <c r="K297" s="165" t="n">
        <v>6</v>
      </c>
      <c r="L297" s="165" t="n">
        <v>-3</v>
      </c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  <c r="AA297" s="162" t="n"/>
      <c r="AB297" s="162" t="n"/>
      <c r="AC297" s="162" t="n"/>
      <c r="AD297" s="162" t="n"/>
      <c r="AE297" s="162" t="n"/>
      <c r="AF297" s="162" t="n"/>
      <c r="AG297" s="162" t="n"/>
      <c r="AH297" s="162" t="n"/>
      <c r="AI297" s="162" t="n"/>
      <c r="AJ297" s="162" t="n"/>
      <c r="AK297" s="162" t="n"/>
      <c r="AL297" s="162" t="n"/>
      <c r="AM297" s="162" t="n"/>
      <c r="AN297" s="162" t="n"/>
      <c r="AO297" s="162" t="n"/>
      <c r="AP297" s="162" t="n"/>
      <c r="AQ297" s="162" t="n"/>
      <c r="AR297" s="162" t="n"/>
      <c r="AS297" s="162" t="n"/>
      <c r="AT297" s="162" t="n"/>
      <c r="AU297" s="162" t="n"/>
      <c r="AV297" s="162" t="n"/>
      <c r="AW297" s="162" t="n"/>
      <c r="AX297" s="162" t="n"/>
      <c r="AY297" s="162" t="n"/>
      <c r="AZ297" s="162" t="n"/>
      <c r="BA297" s="162" t="n"/>
      <c r="BB297" s="162" t="n"/>
      <c r="BC297" s="162" t="n"/>
      <c r="BD297" s="162" t="n"/>
      <c r="BE297" s="162" t="n"/>
      <c r="BF297" s="162" t="n"/>
      <c r="BG297" s="162" t="n"/>
      <c r="BH297" s="162" t="n"/>
      <c r="BI297" s="162" t="n"/>
      <c r="BJ297" s="162" t="n"/>
      <c r="BK297" s="162" t="n"/>
      <c r="BL297" s="162" t="n"/>
      <c r="BM297" s="162" t="n"/>
      <c r="BN297" s="162" t="n"/>
      <c r="BO297" s="162" t="n"/>
      <c r="BP297" s="162" t="n"/>
      <c r="BQ297" s="162" t="n"/>
      <c r="BR297" s="162" t="n"/>
      <c r="BS297" s="162" t="n"/>
      <c r="BT297" s="162" t="n"/>
      <c r="BU297" s="162" t="n"/>
      <c r="BV297" s="162" t="n"/>
      <c r="BW297" s="162" t="n"/>
      <c r="BX297" s="162" t="n"/>
      <c r="BY297" s="162" t="n"/>
      <c r="BZ297" s="162" t="n"/>
      <c r="CA297" s="162" t="n"/>
      <c r="CB297" s="162" t="n"/>
      <c r="CC297" s="162" t="n"/>
      <c r="CD297" s="162" t="n"/>
      <c r="CE297" s="162" t="n"/>
      <c r="CF297" s="162" t="n"/>
      <c r="CG297" s="162" t="n"/>
      <c r="CH297" s="162" t="n"/>
      <c r="CI297" s="162" t="n"/>
      <c r="CJ297" s="162" t="n"/>
      <c r="CK297" s="162" t="n"/>
      <c r="CL297" s="162" t="n"/>
      <c r="CM297" s="162" t="n"/>
      <c r="CN297" s="162" t="n"/>
      <c r="CO297" s="162" t="n"/>
      <c r="CP297" s="162" t="n"/>
      <c r="CQ297" s="162" t="n"/>
      <c r="CR297" s="162" t="n"/>
      <c r="CS297" s="162" t="n"/>
      <c r="CT297" s="162" t="n"/>
    </row>
    <row r="298" ht="15" customHeight="1">
      <c r="A298" s="175" t="n">
        <v>61</v>
      </c>
      <c r="B298" s="165" t="n">
        <v>11</v>
      </c>
      <c r="C298" s="164" t="n">
        <v>45791</v>
      </c>
      <c r="D298" s="166" t="inlineStr">
        <is>
          <t>218 G. SAN JOSE 1</t>
        </is>
      </c>
      <c r="E298" s="166" t="n">
        <v>41047</v>
      </c>
      <c r="F298" s="166" t="inlineStr">
        <is>
          <t>WILMER PIÑEROS</t>
        </is>
      </c>
      <c r="G298" s="166" t="n">
        <v>2800</v>
      </c>
      <c r="H298" s="166" t="n">
        <v>2800</v>
      </c>
      <c r="I298" s="166" t="n">
        <v>2788</v>
      </c>
      <c r="J298" s="166" t="n">
        <v>3</v>
      </c>
      <c r="K298" s="166" t="n">
        <v>12</v>
      </c>
      <c r="L298" s="166" t="n">
        <v>-3</v>
      </c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  <c r="AA298" s="162" t="n"/>
      <c r="AB298" s="162" t="n"/>
      <c r="AC298" s="162" t="n"/>
      <c r="AD298" s="162" t="n"/>
      <c r="AE298" s="162" t="n"/>
      <c r="AF298" s="162" t="n"/>
      <c r="AG298" s="162" t="n"/>
      <c r="AH298" s="162" t="n"/>
      <c r="AI298" s="162" t="n"/>
      <c r="AJ298" s="162" t="n"/>
      <c r="AK298" s="162" t="n"/>
      <c r="AL298" s="162" t="n"/>
      <c r="AM298" s="162" t="n"/>
      <c r="AN298" s="162" t="n"/>
      <c r="AO298" s="162" t="n"/>
      <c r="AP298" s="162" t="n"/>
      <c r="AQ298" s="162" t="n"/>
      <c r="AR298" s="162" t="n"/>
      <c r="AS298" s="162" t="n"/>
      <c r="AT298" s="162" t="n"/>
      <c r="AU298" s="162" t="n"/>
      <c r="AV298" s="162" t="n"/>
      <c r="AW298" s="162" t="n"/>
      <c r="AX298" s="162" t="n"/>
      <c r="AY298" s="162" t="n"/>
      <c r="AZ298" s="162" t="n"/>
      <c r="BA298" s="162" t="n"/>
      <c r="BB298" s="162" t="n"/>
      <c r="BC298" s="162" t="n"/>
      <c r="BD298" s="162" t="n"/>
      <c r="BE298" s="162" t="n"/>
      <c r="BF298" s="162" t="n"/>
      <c r="BG298" s="162" t="n"/>
      <c r="BH298" s="162" t="n"/>
      <c r="BI298" s="162" t="n"/>
      <c r="BJ298" s="162" t="n"/>
      <c r="BK298" s="162" t="n"/>
      <c r="BL298" s="162" t="n"/>
      <c r="BM298" s="162" t="n"/>
      <c r="BN298" s="162" t="n"/>
      <c r="BO298" s="162" t="n"/>
      <c r="BP298" s="162" t="n"/>
      <c r="BQ298" s="162" t="n"/>
      <c r="BR298" s="162" t="n"/>
      <c r="BS298" s="162" t="n"/>
      <c r="BT298" s="162" t="n"/>
      <c r="BU298" s="162" t="n"/>
      <c r="BV298" s="162" t="n"/>
      <c r="BW298" s="162" t="n"/>
      <c r="BX298" s="162" t="n"/>
      <c r="BY298" s="162" t="n"/>
      <c r="BZ298" s="162" t="n"/>
      <c r="CA298" s="162" t="n"/>
      <c r="CB298" s="162" t="n"/>
      <c r="CC298" s="162" t="n"/>
      <c r="CD298" s="162" t="n"/>
      <c r="CE298" s="162" t="n"/>
      <c r="CF298" s="162" t="n"/>
      <c r="CG298" s="162" t="n"/>
      <c r="CH298" s="162" t="n"/>
      <c r="CI298" s="162" t="n"/>
      <c r="CJ298" s="162" t="n"/>
      <c r="CK298" s="162" t="n"/>
      <c r="CL298" s="162" t="n"/>
      <c r="CM298" s="162" t="n"/>
      <c r="CN298" s="162" t="n"/>
      <c r="CO298" s="162" t="n"/>
      <c r="CP298" s="162" t="n"/>
      <c r="CQ298" s="162" t="n"/>
      <c r="CR298" s="162" t="n"/>
      <c r="CS298" s="162" t="n"/>
      <c r="CT298" s="162" t="n"/>
    </row>
    <row r="299" ht="15" customHeight="1">
      <c r="A299" s="175" t="n">
        <v>62</v>
      </c>
      <c r="B299" s="165" t="n">
        <v>12</v>
      </c>
      <c r="C299" s="164" t="n">
        <v>45791</v>
      </c>
      <c r="D299" s="166" t="inlineStr">
        <is>
          <t>218 G. SAN JOSE 1</t>
        </is>
      </c>
      <c r="E299" s="166" t="n">
        <v>41048</v>
      </c>
      <c r="F299" s="166" t="inlineStr">
        <is>
          <t>EDWIN ROJAS</t>
        </is>
      </c>
      <c r="G299" s="166" t="n">
        <v>2152</v>
      </c>
      <c r="H299" s="166" t="n">
        <v>2152</v>
      </c>
      <c r="I299" s="166" t="n">
        <v>2135</v>
      </c>
      <c r="J299" s="166" t="n">
        <v>3</v>
      </c>
      <c r="K299" s="166" t="n">
        <v>15</v>
      </c>
      <c r="L299" s="166" t="n">
        <v>-1</v>
      </c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  <c r="AA299" s="162" t="n"/>
      <c r="AB299" s="162" t="n"/>
      <c r="AC299" s="162" t="n"/>
      <c r="AD299" s="162" t="n"/>
      <c r="AE299" s="162" t="n"/>
      <c r="AF299" s="162" t="n"/>
      <c r="AG299" s="162" t="n"/>
      <c r="AH299" s="162" t="n"/>
      <c r="AI299" s="162" t="n"/>
      <c r="AJ299" s="162" t="n"/>
      <c r="AK299" s="162" t="n"/>
      <c r="AL299" s="162" t="n"/>
      <c r="AM299" s="162" t="n"/>
      <c r="AN299" s="162" t="n"/>
      <c r="AO299" s="162" t="n"/>
      <c r="AP299" s="162" t="n"/>
      <c r="AQ299" s="162" t="n"/>
      <c r="AR299" s="162" t="n"/>
      <c r="AS299" s="162" t="n"/>
      <c r="AT299" s="162" t="n"/>
      <c r="AU299" s="162" t="n"/>
      <c r="AV299" s="162" t="n"/>
      <c r="AW299" s="162" t="n"/>
      <c r="AX299" s="162" t="n"/>
      <c r="AY299" s="162" t="n"/>
      <c r="AZ299" s="162" t="n"/>
      <c r="BA299" s="162" t="n"/>
      <c r="BB299" s="162" t="n"/>
      <c r="BC299" s="162" t="n"/>
      <c r="BD299" s="162" t="n"/>
      <c r="BE299" s="162" t="n"/>
      <c r="BF299" s="162" t="n"/>
      <c r="BG299" s="162" t="n"/>
      <c r="BH299" s="162" t="n"/>
      <c r="BI299" s="162" t="n"/>
      <c r="BJ299" s="162" t="n"/>
      <c r="BK299" s="162" t="n"/>
      <c r="BL299" s="162" t="n"/>
      <c r="BM299" s="162" t="n"/>
      <c r="BN299" s="162" t="n"/>
      <c r="BO299" s="162" t="n"/>
      <c r="BP299" s="162" t="n"/>
      <c r="BQ299" s="162" t="n"/>
      <c r="BR299" s="162" t="n"/>
      <c r="BS299" s="162" t="n"/>
      <c r="BT299" s="162" t="n"/>
      <c r="BU299" s="162" t="n"/>
      <c r="BV299" s="162" t="n"/>
      <c r="BW299" s="162" t="n"/>
      <c r="BX299" s="162" t="n"/>
      <c r="BY299" s="162" t="n"/>
      <c r="BZ299" s="162" t="n"/>
      <c r="CA299" s="162" t="n"/>
      <c r="CB299" s="162" t="n"/>
      <c r="CC299" s="162" t="n"/>
      <c r="CD299" s="162" t="n"/>
      <c r="CE299" s="162" t="n"/>
      <c r="CF299" s="162" t="n"/>
      <c r="CG299" s="162" t="n"/>
      <c r="CH299" s="162" t="n"/>
      <c r="CI299" s="162" t="n"/>
      <c r="CJ299" s="162" t="n"/>
      <c r="CK299" s="162" t="n"/>
      <c r="CL299" s="162" t="n"/>
      <c r="CM299" s="162" t="n"/>
      <c r="CN299" s="162" t="n"/>
      <c r="CO299" s="162" t="n"/>
      <c r="CP299" s="162" t="n"/>
      <c r="CQ299" s="162" t="n"/>
      <c r="CR299" s="162" t="n"/>
      <c r="CS299" s="162" t="n"/>
      <c r="CT299" s="162" t="n"/>
    </row>
    <row r="300" ht="15" customHeight="1">
      <c r="A300" s="175" t="n">
        <v>63</v>
      </c>
      <c r="B300" s="165" t="n">
        <v>13</v>
      </c>
      <c r="C300" s="164" t="n">
        <v>45791</v>
      </c>
      <c r="D300" s="166" t="inlineStr">
        <is>
          <t>218 G. SAN JOSE 1</t>
        </is>
      </c>
      <c r="E300" s="166" t="n">
        <v>41050</v>
      </c>
      <c r="F300" s="166" t="inlineStr">
        <is>
          <t>JHON AGUIRRE</t>
        </is>
      </c>
      <c r="G300" s="166" t="n">
        <v>3888</v>
      </c>
      <c r="H300" s="166" t="n">
        <v>3888</v>
      </c>
      <c r="I300" s="166" t="n">
        <v>3859</v>
      </c>
      <c r="J300" s="166" t="n">
        <v>3</v>
      </c>
      <c r="K300" s="166" t="n">
        <v>18</v>
      </c>
      <c r="L300" s="166" t="n">
        <v>8</v>
      </c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  <c r="AA300" s="162" t="n"/>
      <c r="AB300" s="162" t="n"/>
      <c r="AC300" s="162" t="n"/>
      <c r="AD300" s="162" t="n"/>
      <c r="AE300" s="162" t="n"/>
      <c r="AF300" s="162" t="n"/>
      <c r="AG300" s="162" t="n"/>
      <c r="AH300" s="162" t="n"/>
      <c r="AI300" s="162" t="n"/>
      <c r="AJ300" s="162" t="n"/>
      <c r="AK300" s="162" t="n"/>
      <c r="AL300" s="162" t="n"/>
      <c r="AM300" s="162" t="n"/>
      <c r="AN300" s="162" t="n"/>
      <c r="AO300" s="162" t="n"/>
      <c r="AP300" s="162" t="n"/>
      <c r="AQ300" s="162" t="n"/>
      <c r="AR300" s="162" t="n"/>
      <c r="AS300" s="162" t="n"/>
      <c r="AT300" s="162" t="n"/>
      <c r="AU300" s="162" t="n"/>
      <c r="AV300" s="162" t="n"/>
      <c r="AW300" s="162" t="n"/>
      <c r="AX300" s="162" t="n"/>
      <c r="AY300" s="162" t="n"/>
      <c r="AZ300" s="162" t="n"/>
      <c r="BA300" s="162" t="n"/>
      <c r="BB300" s="162" t="n"/>
      <c r="BC300" s="162" t="n"/>
      <c r="BD300" s="162" t="n"/>
      <c r="BE300" s="162" t="n"/>
      <c r="BF300" s="162" t="n"/>
      <c r="BG300" s="162" t="n"/>
      <c r="BH300" s="162" t="n"/>
      <c r="BI300" s="162" t="n"/>
      <c r="BJ300" s="162" t="n"/>
      <c r="BK300" s="162" t="n"/>
      <c r="BL300" s="162" t="n"/>
      <c r="BM300" s="162" t="n"/>
      <c r="BN300" s="162" t="n"/>
      <c r="BO300" s="162" t="n"/>
      <c r="BP300" s="162" t="n"/>
      <c r="BQ300" s="162" t="n"/>
      <c r="BR300" s="162" t="n"/>
      <c r="BS300" s="162" t="n"/>
      <c r="BT300" s="162" t="n"/>
      <c r="BU300" s="162" t="n"/>
      <c r="BV300" s="162" t="n"/>
      <c r="BW300" s="162" t="n"/>
      <c r="BX300" s="162" t="n"/>
      <c r="BY300" s="162" t="n"/>
      <c r="BZ300" s="162" t="n"/>
      <c r="CA300" s="162" t="n"/>
      <c r="CB300" s="162" t="n"/>
      <c r="CC300" s="162" t="n"/>
      <c r="CD300" s="162" t="n"/>
      <c r="CE300" s="162" t="n"/>
      <c r="CF300" s="162" t="n"/>
      <c r="CG300" s="162" t="n"/>
      <c r="CH300" s="162" t="n"/>
      <c r="CI300" s="162" t="n"/>
      <c r="CJ300" s="162" t="n"/>
      <c r="CK300" s="162" t="n"/>
      <c r="CL300" s="162" t="n"/>
      <c r="CM300" s="162" t="n"/>
      <c r="CN300" s="162" t="n"/>
      <c r="CO300" s="162" t="n"/>
      <c r="CP300" s="162" t="n"/>
      <c r="CQ300" s="162" t="n"/>
      <c r="CR300" s="162" t="n"/>
      <c r="CS300" s="162" t="n"/>
      <c r="CT300" s="162" t="n"/>
    </row>
    <row r="301" ht="15" customHeight="1">
      <c r="A301" s="175" t="n">
        <v>64</v>
      </c>
      <c r="B301" s="165" t="n">
        <v>14</v>
      </c>
      <c r="C301" s="164" t="n">
        <v>45791</v>
      </c>
      <c r="D301" s="166" t="inlineStr">
        <is>
          <t>218 G. SAN JOSE 1</t>
        </is>
      </c>
      <c r="E301" s="166" t="n">
        <v>41051</v>
      </c>
      <c r="F301" s="166" t="inlineStr">
        <is>
          <t>ALBERTO LOPEZ</t>
        </is>
      </c>
      <c r="G301" s="166" t="n">
        <v>3114</v>
      </c>
      <c r="H301" s="166" t="n">
        <v>3114</v>
      </c>
      <c r="I301" s="166" t="n">
        <v>3069</v>
      </c>
      <c r="J301" s="166" t="n">
        <v>8</v>
      </c>
      <c r="K301" s="166" t="n">
        <v>36</v>
      </c>
      <c r="L301" s="166" t="n">
        <v>1</v>
      </c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  <c r="AA301" s="162" t="n"/>
      <c r="AB301" s="162" t="n"/>
      <c r="AC301" s="162" t="n"/>
      <c r="AD301" s="162" t="n"/>
      <c r="AE301" s="162" t="n"/>
      <c r="AF301" s="162" t="n"/>
      <c r="AG301" s="162" t="n"/>
      <c r="AH301" s="162" t="n"/>
      <c r="AI301" s="162" t="n"/>
      <c r="AJ301" s="162" t="n"/>
      <c r="AK301" s="162" t="n"/>
      <c r="AL301" s="162" t="n"/>
      <c r="AM301" s="162" t="n"/>
      <c r="AN301" s="162" t="n"/>
      <c r="AO301" s="162" t="n"/>
      <c r="AP301" s="162" t="n"/>
      <c r="AQ301" s="162" t="n"/>
      <c r="AR301" s="162" t="n"/>
      <c r="AS301" s="162" t="n"/>
      <c r="AT301" s="162" t="n"/>
      <c r="AU301" s="162" t="n"/>
      <c r="AV301" s="162" t="n"/>
      <c r="AW301" s="162" t="n"/>
      <c r="AX301" s="162" t="n"/>
      <c r="AY301" s="162" t="n"/>
      <c r="AZ301" s="162" t="n"/>
      <c r="BA301" s="162" t="n"/>
      <c r="BB301" s="162" t="n"/>
      <c r="BC301" s="162" t="n"/>
      <c r="BD301" s="162" t="n"/>
      <c r="BE301" s="162" t="n"/>
      <c r="BF301" s="162" t="n"/>
      <c r="BG301" s="162" t="n"/>
      <c r="BH301" s="162" t="n"/>
      <c r="BI301" s="162" t="n"/>
      <c r="BJ301" s="162" t="n"/>
      <c r="BK301" s="162" t="n"/>
      <c r="BL301" s="162" t="n"/>
      <c r="BM301" s="162" t="n"/>
      <c r="BN301" s="162" t="n"/>
      <c r="BO301" s="162" t="n"/>
      <c r="BP301" s="162" t="n"/>
      <c r="BQ301" s="162" t="n"/>
      <c r="BR301" s="162" t="n"/>
      <c r="BS301" s="162" t="n"/>
      <c r="BT301" s="162" t="n"/>
      <c r="BU301" s="162" t="n"/>
      <c r="BV301" s="162" t="n"/>
      <c r="BW301" s="162" t="n"/>
      <c r="BX301" s="162" t="n"/>
      <c r="BY301" s="162" t="n"/>
      <c r="BZ301" s="162" t="n"/>
      <c r="CA301" s="162" t="n"/>
      <c r="CB301" s="162" t="n"/>
      <c r="CC301" s="162" t="n"/>
      <c r="CD301" s="162" t="n"/>
      <c r="CE301" s="162" t="n"/>
      <c r="CF301" s="162" t="n"/>
      <c r="CG301" s="162" t="n"/>
      <c r="CH301" s="162" t="n"/>
      <c r="CI301" s="162" t="n"/>
      <c r="CJ301" s="162" t="n"/>
      <c r="CK301" s="162" t="n"/>
      <c r="CL301" s="162" t="n"/>
      <c r="CM301" s="162" t="n"/>
      <c r="CN301" s="162" t="n"/>
      <c r="CO301" s="162" t="n"/>
      <c r="CP301" s="162" t="n"/>
      <c r="CQ301" s="162" t="n"/>
      <c r="CR301" s="162" t="n"/>
      <c r="CS301" s="162" t="n"/>
      <c r="CT301" s="162" t="n"/>
    </row>
    <row r="302" ht="15" customHeight="1">
      <c r="A302" s="175" t="n">
        <v>65</v>
      </c>
      <c r="B302" s="165" t="n">
        <v>15</v>
      </c>
      <c r="C302" s="164" t="n">
        <v>45791</v>
      </c>
      <c r="D302" s="166" t="inlineStr">
        <is>
          <t>218 G. SAN JOSE 1</t>
        </is>
      </c>
      <c r="E302" s="166" t="n">
        <v>41052</v>
      </c>
      <c r="F302" s="166" t="inlineStr">
        <is>
          <t>JOSE SOLER</t>
        </is>
      </c>
      <c r="G302" s="166" t="n">
        <v>3114</v>
      </c>
      <c r="H302" s="166" t="n">
        <v>3114</v>
      </c>
      <c r="I302" s="166" t="n">
        <v>3097</v>
      </c>
      <c r="J302" s="166" t="n">
        <v>1</v>
      </c>
      <c r="K302" s="166" t="n">
        <v>7</v>
      </c>
      <c r="L302" s="166" t="n">
        <v>9</v>
      </c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  <c r="AA302" s="162" t="n"/>
      <c r="AB302" s="162" t="n"/>
      <c r="AC302" s="162" t="n"/>
      <c r="AD302" s="162" t="n"/>
      <c r="AE302" s="162" t="n"/>
      <c r="AF302" s="162" t="n"/>
      <c r="AG302" s="162" t="n"/>
      <c r="AH302" s="162" t="n"/>
      <c r="AI302" s="162" t="n"/>
      <c r="AJ302" s="162" t="n"/>
      <c r="AK302" s="162" t="n"/>
      <c r="AL302" s="162" t="n"/>
      <c r="AM302" s="162" t="n"/>
      <c r="AN302" s="162" t="n"/>
      <c r="AO302" s="162" t="n"/>
      <c r="AP302" s="162" t="n"/>
      <c r="AQ302" s="162" t="n"/>
      <c r="AR302" s="162" t="n"/>
      <c r="AS302" s="162" t="n"/>
      <c r="AT302" s="162" t="n"/>
      <c r="AU302" s="162" t="n"/>
      <c r="AV302" s="162" t="n"/>
      <c r="AW302" s="162" t="n"/>
      <c r="AX302" s="162" t="n"/>
      <c r="AY302" s="162" t="n"/>
      <c r="AZ302" s="162" t="n"/>
      <c r="BA302" s="162" t="n"/>
      <c r="BB302" s="162" t="n"/>
      <c r="BC302" s="162" t="n"/>
      <c r="BD302" s="162" t="n"/>
      <c r="BE302" s="162" t="n"/>
      <c r="BF302" s="162" t="n"/>
      <c r="BG302" s="162" t="n"/>
      <c r="BH302" s="162" t="n"/>
      <c r="BI302" s="162" t="n"/>
      <c r="BJ302" s="162" t="n"/>
      <c r="BK302" s="162" t="n"/>
      <c r="BL302" s="162" t="n"/>
      <c r="BM302" s="162" t="n"/>
      <c r="BN302" s="162" t="n"/>
      <c r="BO302" s="162" t="n"/>
      <c r="BP302" s="162" t="n"/>
      <c r="BQ302" s="162" t="n"/>
      <c r="BR302" s="162" t="n"/>
      <c r="BS302" s="162" t="n"/>
      <c r="BT302" s="162" t="n"/>
      <c r="BU302" s="162" t="n"/>
      <c r="BV302" s="162" t="n"/>
      <c r="BW302" s="162" t="n"/>
      <c r="BX302" s="162" t="n"/>
      <c r="BY302" s="162" t="n"/>
      <c r="BZ302" s="162" t="n"/>
      <c r="CA302" s="162" t="n"/>
      <c r="CB302" s="162" t="n"/>
      <c r="CC302" s="162" t="n"/>
      <c r="CD302" s="162" t="n"/>
      <c r="CE302" s="162" t="n"/>
      <c r="CF302" s="162" t="n"/>
      <c r="CG302" s="162" t="n"/>
      <c r="CH302" s="162" t="n"/>
      <c r="CI302" s="162" t="n"/>
      <c r="CJ302" s="162" t="n"/>
      <c r="CK302" s="162" t="n"/>
      <c r="CL302" s="162" t="n"/>
      <c r="CM302" s="162" t="n"/>
      <c r="CN302" s="162" t="n"/>
      <c r="CO302" s="162" t="n"/>
      <c r="CP302" s="162" t="n"/>
      <c r="CQ302" s="162" t="n"/>
      <c r="CR302" s="162" t="n"/>
      <c r="CS302" s="162" t="n"/>
      <c r="CT302" s="162" t="n"/>
    </row>
    <row r="303" ht="15" customHeight="1">
      <c r="A303" s="175" t="n">
        <v>66</v>
      </c>
      <c r="B303" s="165" t="n">
        <v>16</v>
      </c>
      <c r="C303" s="164" t="n">
        <v>45792</v>
      </c>
      <c r="D303" s="166" t="inlineStr">
        <is>
          <t>218 G. SAN JOSE 1</t>
        </is>
      </c>
      <c r="E303" s="166" t="n">
        <v>41060</v>
      </c>
      <c r="F303" s="166" t="inlineStr">
        <is>
          <t>JOSE SOLER</t>
        </is>
      </c>
      <c r="G303" s="166" t="n">
        <v>3250</v>
      </c>
      <c r="H303" s="166" t="n">
        <v>3250</v>
      </c>
      <c r="I303" s="166" t="n">
        <v>3240</v>
      </c>
      <c r="J303" s="166" t="n">
        <v>2</v>
      </c>
      <c r="K303" s="166" t="n">
        <v>5</v>
      </c>
      <c r="L303" s="166" t="n">
        <v>3</v>
      </c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  <c r="AA303" s="162" t="n"/>
      <c r="AB303" s="162" t="n"/>
      <c r="AC303" s="162" t="n"/>
      <c r="AD303" s="162" t="n"/>
      <c r="AE303" s="162" t="n"/>
      <c r="AF303" s="162" t="n"/>
      <c r="AG303" s="162" t="n"/>
      <c r="AH303" s="162" t="n"/>
      <c r="AI303" s="162" t="n"/>
      <c r="AJ303" s="162" t="n"/>
      <c r="AK303" s="162" t="n"/>
      <c r="AL303" s="162" t="n"/>
      <c r="AM303" s="162" t="n"/>
      <c r="AN303" s="162" t="n"/>
      <c r="AO303" s="162" t="n"/>
      <c r="AP303" s="162" t="n"/>
      <c r="AQ303" s="162" t="n"/>
      <c r="AR303" s="162" t="n"/>
      <c r="AS303" s="162" t="n"/>
      <c r="AT303" s="162" t="n"/>
      <c r="AU303" s="162" t="n"/>
      <c r="AV303" s="162" t="n"/>
      <c r="AW303" s="162" t="n"/>
      <c r="AX303" s="162" t="n"/>
      <c r="AY303" s="162" t="n"/>
      <c r="AZ303" s="162" t="n"/>
      <c r="BA303" s="162" t="n"/>
      <c r="BB303" s="162" t="n"/>
      <c r="BC303" s="162" t="n"/>
      <c r="BD303" s="162" t="n"/>
      <c r="BE303" s="162" t="n"/>
      <c r="BF303" s="162" t="n"/>
      <c r="BG303" s="162" t="n"/>
      <c r="BH303" s="162" t="n"/>
      <c r="BI303" s="162" t="n"/>
      <c r="BJ303" s="162" t="n"/>
      <c r="BK303" s="162" t="n"/>
      <c r="BL303" s="162" t="n"/>
      <c r="BM303" s="162" t="n"/>
      <c r="BN303" s="162" t="n"/>
      <c r="BO303" s="162" t="n"/>
      <c r="BP303" s="162" t="n"/>
      <c r="BQ303" s="162" t="n"/>
      <c r="BR303" s="162" t="n"/>
      <c r="BS303" s="162" t="n"/>
      <c r="BT303" s="162" t="n"/>
      <c r="BU303" s="162" t="n"/>
      <c r="BV303" s="162" t="n"/>
      <c r="BW303" s="162" t="n"/>
      <c r="BX303" s="162" t="n"/>
      <c r="BY303" s="162" t="n"/>
      <c r="BZ303" s="162" t="n"/>
      <c r="CA303" s="162" t="n"/>
      <c r="CB303" s="162" t="n"/>
      <c r="CC303" s="162" t="n"/>
      <c r="CD303" s="162" t="n"/>
      <c r="CE303" s="162" t="n"/>
      <c r="CF303" s="162" t="n"/>
      <c r="CG303" s="162" t="n"/>
      <c r="CH303" s="162" t="n"/>
      <c r="CI303" s="162" t="n"/>
      <c r="CJ303" s="162" t="n"/>
      <c r="CK303" s="162" t="n"/>
      <c r="CL303" s="162" t="n"/>
      <c r="CM303" s="162" t="n"/>
      <c r="CN303" s="162" t="n"/>
      <c r="CO303" s="162" t="n"/>
      <c r="CP303" s="162" t="n"/>
      <c r="CQ303" s="162" t="n"/>
      <c r="CR303" s="162" t="n"/>
      <c r="CS303" s="162" t="n"/>
      <c r="CT303" s="162" t="n"/>
    </row>
    <row r="304" ht="15" customHeight="1">
      <c r="A304" s="175" t="n">
        <v>67</v>
      </c>
      <c r="B304" s="165" t="n">
        <v>17</v>
      </c>
      <c r="C304" s="164" t="n">
        <v>45792</v>
      </c>
      <c r="D304" s="166" t="inlineStr">
        <is>
          <t>218 G. SAN JOSE 1</t>
        </is>
      </c>
      <c r="E304" s="166" t="n">
        <v>41061</v>
      </c>
      <c r="F304" s="166" t="inlineStr">
        <is>
          <t>JHON ARIAS</t>
        </is>
      </c>
      <c r="G304" s="166" t="n">
        <v>2490</v>
      </c>
      <c r="H304" s="166" t="n">
        <v>2490</v>
      </c>
      <c r="I304" s="166" t="n">
        <v>2484</v>
      </c>
      <c r="J304" s="166" t="n">
        <v>3</v>
      </c>
      <c r="K304" s="166" t="n">
        <v>4</v>
      </c>
      <c r="L304" s="166" t="n">
        <v>-1</v>
      </c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  <c r="AA304" s="162" t="n"/>
      <c r="AB304" s="162" t="n"/>
      <c r="AC304" s="162" t="n"/>
      <c r="AD304" s="162" t="n"/>
      <c r="AE304" s="162" t="n"/>
      <c r="AF304" s="162" t="n"/>
      <c r="AG304" s="162" t="n"/>
      <c r="AH304" s="162" t="n"/>
      <c r="AI304" s="162" t="n"/>
      <c r="AJ304" s="162" t="n"/>
      <c r="AK304" s="162" t="n"/>
      <c r="AL304" s="162" t="n"/>
      <c r="AM304" s="162" t="n"/>
      <c r="AN304" s="162" t="n"/>
      <c r="AO304" s="162" t="n"/>
      <c r="AP304" s="162" t="n"/>
      <c r="AQ304" s="162" t="n"/>
      <c r="AR304" s="162" t="n"/>
      <c r="AS304" s="162" t="n"/>
      <c r="AT304" s="162" t="n"/>
      <c r="AU304" s="162" t="n"/>
      <c r="AV304" s="162" t="n"/>
      <c r="AW304" s="162" t="n"/>
      <c r="AX304" s="162" t="n"/>
      <c r="AY304" s="162" t="n"/>
      <c r="AZ304" s="162" t="n"/>
      <c r="BA304" s="162" t="n"/>
      <c r="BB304" s="162" t="n"/>
      <c r="BC304" s="162" t="n"/>
      <c r="BD304" s="162" t="n"/>
      <c r="BE304" s="162" t="n"/>
      <c r="BF304" s="162" t="n"/>
      <c r="BG304" s="162" t="n"/>
      <c r="BH304" s="162" t="n"/>
      <c r="BI304" s="162" t="n"/>
      <c r="BJ304" s="162" t="n"/>
      <c r="BK304" s="162" t="n"/>
      <c r="BL304" s="162" t="n"/>
      <c r="BM304" s="162" t="n"/>
      <c r="BN304" s="162" t="n"/>
      <c r="BO304" s="162" t="n"/>
      <c r="BP304" s="162" t="n"/>
      <c r="BQ304" s="162" t="n"/>
      <c r="BR304" s="162" t="n"/>
      <c r="BS304" s="162" t="n"/>
      <c r="BT304" s="162" t="n"/>
      <c r="BU304" s="162" t="n"/>
      <c r="BV304" s="162" t="n"/>
      <c r="BW304" s="162" t="n"/>
      <c r="BX304" s="162" t="n"/>
      <c r="BY304" s="162" t="n"/>
      <c r="BZ304" s="162" t="n"/>
      <c r="CA304" s="162" t="n"/>
      <c r="CB304" s="162" t="n"/>
      <c r="CC304" s="162" t="n"/>
      <c r="CD304" s="162" t="n"/>
      <c r="CE304" s="162" t="n"/>
      <c r="CF304" s="162" t="n"/>
      <c r="CG304" s="162" t="n"/>
      <c r="CH304" s="162" t="n"/>
      <c r="CI304" s="162" t="n"/>
      <c r="CJ304" s="162" t="n"/>
      <c r="CK304" s="162" t="n"/>
      <c r="CL304" s="162" t="n"/>
      <c r="CM304" s="162" t="n"/>
      <c r="CN304" s="162" t="n"/>
      <c r="CO304" s="162" t="n"/>
      <c r="CP304" s="162" t="n"/>
      <c r="CQ304" s="162" t="n"/>
      <c r="CR304" s="162" t="n"/>
      <c r="CS304" s="162" t="n"/>
      <c r="CT304" s="162" t="n"/>
    </row>
    <row r="305" ht="15" customHeight="1">
      <c r="A305" s="175" t="n">
        <v>68</v>
      </c>
      <c r="B305" s="165" t="n">
        <v>18</v>
      </c>
      <c r="C305" s="164" t="n">
        <v>45792</v>
      </c>
      <c r="D305" s="166" t="inlineStr">
        <is>
          <t>218 G. SAN JOSE 1</t>
        </is>
      </c>
      <c r="E305" s="166" t="n">
        <v>41062</v>
      </c>
      <c r="F305" s="166" t="inlineStr">
        <is>
          <t>JAIRO CUBILLOS</t>
        </is>
      </c>
      <c r="G305" s="166" t="n">
        <v>3240</v>
      </c>
      <c r="H305" s="166" t="n">
        <v>3240</v>
      </c>
      <c r="I305" s="166" t="n">
        <v>3229</v>
      </c>
      <c r="J305" s="166" t="n">
        <v>2</v>
      </c>
      <c r="K305" s="166" t="n">
        <v>12</v>
      </c>
      <c r="L305" s="166" t="n">
        <v>-3</v>
      </c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  <c r="AA305" s="162" t="n"/>
      <c r="AB305" s="162" t="n"/>
      <c r="AC305" s="162" t="n"/>
      <c r="AD305" s="162" t="n"/>
      <c r="AE305" s="162" t="n"/>
      <c r="AF305" s="162" t="n"/>
      <c r="AG305" s="162" t="n"/>
      <c r="AH305" s="162" t="n"/>
      <c r="AI305" s="162" t="n"/>
      <c r="AJ305" s="162" t="n"/>
      <c r="AK305" s="162" t="n"/>
      <c r="AL305" s="162" t="n"/>
      <c r="AM305" s="162" t="n"/>
      <c r="AN305" s="162" t="n"/>
      <c r="AO305" s="162" t="n"/>
      <c r="AP305" s="162" t="n"/>
      <c r="AQ305" s="162" t="n"/>
      <c r="AR305" s="162" t="n"/>
      <c r="AS305" s="162" t="n"/>
      <c r="AT305" s="162" t="n"/>
      <c r="AU305" s="162" t="n"/>
      <c r="AV305" s="162" t="n"/>
      <c r="AW305" s="162" t="n"/>
      <c r="AX305" s="162" t="n"/>
      <c r="AY305" s="162" t="n"/>
      <c r="AZ305" s="162" t="n"/>
      <c r="BA305" s="162" t="n"/>
      <c r="BB305" s="162" t="n"/>
      <c r="BC305" s="162" t="n"/>
      <c r="BD305" s="162" t="n"/>
      <c r="BE305" s="162" t="n"/>
      <c r="BF305" s="162" t="n"/>
      <c r="BG305" s="162" t="n"/>
      <c r="BH305" s="162" t="n"/>
      <c r="BI305" s="162" t="n"/>
      <c r="BJ305" s="162" t="n"/>
      <c r="BK305" s="162" t="n"/>
      <c r="BL305" s="162" t="n"/>
      <c r="BM305" s="162" t="n"/>
      <c r="BN305" s="162" t="n"/>
      <c r="BO305" s="162" t="n"/>
      <c r="BP305" s="162" t="n"/>
      <c r="BQ305" s="162" t="n"/>
      <c r="BR305" s="162" t="n"/>
      <c r="BS305" s="162" t="n"/>
      <c r="BT305" s="162" t="n"/>
      <c r="BU305" s="162" t="n"/>
      <c r="BV305" s="162" t="n"/>
      <c r="BW305" s="162" t="n"/>
      <c r="BX305" s="162" t="n"/>
      <c r="BY305" s="162" t="n"/>
      <c r="BZ305" s="162" t="n"/>
      <c r="CA305" s="162" t="n"/>
      <c r="CB305" s="162" t="n"/>
      <c r="CC305" s="162" t="n"/>
      <c r="CD305" s="162" t="n"/>
      <c r="CE305" s="162" t="n"/>
      <c r="CF305" s="162" t="n"/>
      <c r="CG305" s="162" t="n"/>
      <c r="CH305" s="162" t="n"/>
      <c r="CI305" s="162" t="n"/>
      <c r="CJ305" s="162" t="n"/>
      <c r="CK305" s="162" t="n"/>
      <c r="CL305" s="162" t="n"/>
      <c r="CM305" s="162" t="n"/>
      <c r="CN305" s="162" t="n"/>
      <c r="CO305" s="162" t="n"/>
      <c r="CP305" s="162" t="n"/>
      <c r="CQ305" s="162" t="n"/>
      <c r="CR305" s="162" t="n"/>
      <c r="CS305" s="162" t="n"/>
      <c r="CT305" s="162" t="n"/>
    </row>
    <row r="306" ht="15" customHeight="1">
      <c r="A306" s="175" t="n">
        <v>69</v>
      </c>
      <c r="B306" s="165" t="n">
        <v>19</v>
      </c>
      <c r="C306" s="164" t="n">
        <v>45792</v>
      </c>
      <c r="D306" s="166" t="inlineStr">
        <is>
          <t>218 G. SAN JOSE 1</t>
        </is>
      </c>
      <c r="E306" s="166" t="n">
        <v>41063</v>
      </c>
      <c r="F306" s="166" t="inlineStr">
        <is>
          <t>YAIR RIVEROS</t>
        </is>
      </c>
      <c r="G306" s="166" t="n">
        <v>3240</v>
      </c>
      <c r="H306" s="166" t="n">
        <v>3240</v>
      </c>
      <c r="I306" s="166" t="n">
        <v>3230</v>
      </c>
      <c r="J306" s="166" t="n">
        <v>3</v>
      </c>
      <c r="K306" s="166" t="n">
        <v>11</v>
      </c>
      <c r="L306" s="166" t="n">
        <v>-4</v>
      </c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  <c r="AA306" s="162" t="n"/>
      <c r="AB306" s="162" t="n"/>
      <c r="AC306" s="162" t="n"/>
      <c r="AD306" s="162" t="n"/>
      <c r="AE306" s="162" t="n"/>
      <c r="AF306" s="162" t="n"/>
      <c r="AG306" s="162" t="n"/>
      <c r="AH306" s="162" t="n"/>
      <c r="AI306" s="162" t="n"/>
      <c r="AJ306" s="162" t="n"/>
      <c r="AK306" s="162" t="n"/>
      <c r="AL306" s="162" t="n"/>
      <c r="AM306" s="162" t="n"/>
      <c r="AN306" s="162" t="n"/>
      <c r="AO306" s="162" t="n"/>
      <c r="AP306" s="162" t="n"/>
      <c r="AQ306" s="162" t="n"/>
      <c r="AR306" s="162" t="n"/>
      <c r="AS306" s="162" t="n"/>
      <c r="AT306" s="162" t="n"/>
      <c r="AU306" s="162" t="n"/>
      <c r="AV306" s="162" t="n"/>
      <c r="AW306" s="162" t="n"/>
      <c r="AX306" s="162" t="n"/>
      <c r="AY306" s="162" t="n"/>
      <c r="AZ306" s="162" t="n"/>
      <c r="BA306" s="162" t="n"/>
      <c r="BB306" s="162" t="n"/>
      <c r="BC306" s="162" t="n"/>
      <c r="BD306" s="162" t="n"/>
      <c r="BE306" s="162" t="n"/>
      <c r="BF306" s="162" t="n"/>
      <c r="BG306" s="162" t="n"/>
      <c r="BH306" s="162" t="n"/>
      <c r="BI306" s="162" t="n"/>
      <c r="BJ306" s="162" t="n"/>
      <c r="BK306" s="162" t="n"/>
      <c r="BL306" s="162" t="n"/>
      <c r="BM306" s="162" t="n"/>
      <c r="BN306" s="162" t="n"/>
      <c r="BO306" s="162" t="n"/>
      <c r="BP306" s="162" t="n"/>
      <c r="BQ306" s="162" t="n"/>
      <c r="BR306" s="162" t="n"/>
      <c r="BS306" s="162" t="n"/>
      <c r="BT306" s="162" t="n"/>
      <c r="BU306" s="162" t="n"/>
      <c r="BV306" s="162" t="n"/>
      <c r="BW306" s="162" t="n"/>
      <c r="BX306" s="162" t="n"/>
      <c r="BY306" s="162" t="n"/>
      <c r="BZ306" s="162" t="n"/>
      <c r="CA306" s="162" t="n"/>
      <c r="CB306" s="162" t="n"/>
      <c r="CC306" s="162" t="n"/>
      <c r="CD306" s="162" t="n"/>
      <c r="CE306" s="162" t="n"/>
      <c r="CF306" s="162" t="n"/>
      <c r="CG306" s="162" t="n"/>
      <c r="CH306" s="162" t="n"/>
      <c r="CI306" s="162" t="n"/>
      <c r="CJ306" s="162" t="n"/>
      <c r="CK306" s="162" t="n"/>
      <c r="CL306" s="162" t="n"/>
      <c r="CM306" s="162" t="n"/>
      <c r="CN306" s="162" t="n"/>
      <c r="CO306" s="162" t="n"/>
      <c r="CP306" s="162" t="n"/>
      <c r="CQ306" s="162" t="n"/>
      <c r="CR306" s="162" t="n"/>
      <c r="CS306" s="162" t="n"/>
      <c r="CT306" s="162" t="n"/>
    </row>
    <row r="307" ht="15" customHeight="1">
      <c r="A307" s="175" t="n">
        <v>70</v>
      </c>
      <c r="B307" s="165" t="n">
        <v>20</v>
      </c>
      <c r="C307" s="164" t="n">
        <v>45792</v>
      </c>
      <c r="D307" s="166" t="inlineStr">
        <is>
          <t>218 G. SAN JOSE 1</t>
        </is>
      </c>
      <c r="E307" s="166" t="n">
        <v>41067</v>
      </c>
      <c r="F307" s="166" t="inlineStr">
        <is>
          <t>ALBERTO HERRERA</t>
        </is>
      </c>
      <c r="G307" s="166" t="n">
        <v>3240</v>
      </c>
      <c r="H307" s="166" t="n">
        <v>3240</v>
      </c>
      <c r="I307" s="166" t="n">
        <v>3224</v>
      </c>
      <c r="J307" s="166" t="n">
        <v>1</v>
      </c>
      <c r="K307" s="166" t="n">
        <v>16</v>
      </c>
      <c r="L307" s="166" t="n">
        <v>-1</v>
      </c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  <c r="AA307" s="162" t="n"/>
      <c r="AB307" s="162" t="n"/>
      <c r="AC307" s="162" t="n"/>
      <c r="AD307" s="162" t="n"/>
      <c r="AE307" s="162" t="n"/>
      <c r="AF307" s="162" t="n"/>
      <c r="AG307" s="162" t="n"/>
      <c r="AH307" s="162" t="n"/>
      <c r="AI307" s="162" t="n"/>
      <c r="AJ307" s="162" t="n"/>
      <c r="AK307" s="162" t="n"/>
      <c r="AL307" s="162" t="n"/>
      <c r="AM307" s="162" t="n"/>
      <c r="AN307" s="162" t="n"/>
      <c r="AO307" s="162" t="n"/>
      <c r="AP307" s="162" t="n"/>
      <c r="AQ307" s="162" t="n"/>
      <c r="AR307" s="162" t="n"/>
      <c r="AS307" s="162" t="n"/>
      <c r="AT307" s="162" t="n"/>
      <c r="AU307" s="162" t="n"/>
      <c r="AV307" s="162" t="n"/>
      <c r="AW307" s="162" t="n"/>
      <c r="AX307" s="162" t="n"/>
      <c r="AY307" s="162" t="n"/>
      <c r="AZ307" s="162" t="n"/>
      <c r="BA307" s="162" t="n"/>
      <c r="BB307" s="162" t="n"/>
      <c r="BC307" s="162" t="n"/>
      <c r="BD307" s="162" t="n"/>
      <c r="BE307" s="162" t="n"/>
      <c r="BF307" s="162" t="n"/>
      <c r="BG307" s="162" t="n"/>
      <c r="BH307" s="162" t="n"/>
      <c r="BI307" s="162" t="n"/>
      <c r="BJ307" s="162" t="n"/>
      <c r="BK307" s="162" t="n"/>
      <c r="BL307" s="162" t="n"/>
      <c r="BM307" s="162" t="n"/>
      <c r="BN307" s="162" t="n"/>
      <c r="BO307" s="162" t="n"/>
      <c r="BP307" s="162" t="n"/>
      <c r="BQ307" s="162" t="n"/>
      <c r="BR307" s="162" t="n"/>
      <c r="BS307" s="162" t="n"/>
      <c r="BT307" s="162" t="n"/>
      <c r="BU307" s="162" t="n"/>
      <c r="BV307" s="162" t="n"/>
      <c r="BW307" s="162" t="n"/>
      <c r="BX307" s="162" t="n"/>
      <c r="BY307" s="162" t="n"/>
      <c r="BZ307" s="162" t="n"/>
      <c r="CA307" s="162" t="n"/>
      <c r="CB307" s="162" t="n"/>
      <c r="CC307" s="162" t="n"/>
      <c r="CD307" s="162" t="n"/>
      <c r="CE307" s="162" t="n"/>
      <c r="CF307" s="162" t="n"/>
      <c r="CG307" s="162" t="n"/>
      <c r="CH307" s="162" t="n"/>
      <c r="CI307" s="162" t="n"/>
      <c r="CJ307" s="162" t="n"/>
      <c r="CK307" s="162" t="n"/>
      <c r="CL307" s="162" t="n"/>
      <c r="CM307" s="162" t="n"/>
      <c r="CN307" s="162" t="n"/>
      <c r="CO307" s="162" t="n"/>
      <c r="CP307" s="162" t="n"/>
      <c r="CQ307" s="162" t="n"/>
      <c r="CR307" s="162" t="n"/>
      <c r="CS307" s="162" t="n"/>
      <c r="CT307" s="162" t="n"/>
    </row>
    <row r="308" ht="15" customHeight="1">
      <c r="A308" s="175" t="n">
        <v>71</v>
      </c>
      <c r="B308" s="165" t="n">
        <v>21</v>
      </c>
      <c r="C308" s="164" t="n">
        <v>45792</v>
      </c>
      <c r="D308" s="166" t="inlineStr">
        <is>
          <t>218 G. SAN JOSE 1</t>
        </is>
      </c>
      <c r="E308" s="166" t="n">
        <v>41068</v>
      </c>
      <c r="F308" s="166" t="inlineStr">
        <is>
          <t>EDUAN CAVIEDES</t>
        </is>
      </c>
      <c r="G308" s="166" t="n">
        <v>3240</v>
      </c>
      <c r="H308" s="166" t="n">
        <v>3240</v>
      </c>
      <c r="I308" s="166" t="n">
        <v>3225</v>
      </c>
      <c r="J308" s="166" t="n">
        <v>4</v>
      </c>
      <c r="K308" s="166" t="n">
        <v>15</v>
      </c>
      <c r="L308" s="166" t="n">
        <v>-4</v>
      </c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  <c r="AA308" s="162" t="n"/>
      <c r="AB308" s="162" t="n"/>
      <c r="AC308" s="162" t="n"/>
      <c r="AD308" s="162" t="n"/>
      <c r="AE308" s="162" t="n"/>
      <c r="AF308" s="162" t="n"/>
      <c r="AG308" s="162" t="n"/>
      <c r="AH308" s="162" t="n"/>
      <c r="AI308" s="162" t="n"/>
      <c r="AJ308" s="162" t="n"/>
      <c r="AK308" s="162" t="n"/>
      <c r="AL308" s="162" t="n"/>
      <c r="AM308" s="162" t="n"/>
      <c r="AN308" s="162" t="n"/>
      <c r="AO308" s="162" t="n"/>
      <c r="AP308" s="162" t="n"/>
      <c r="AQ308" s="162" t="n"/>
      <c r="AR308" s="162" t="n"/>
      <c r="AS308" s="162" t="n"/>
      <c r="AT308" s="162" t="n"/>
      <c r="AU308" s="162" t="n"/>
      <c r="AV308" s="162" t="n"/>
      <c r="AW308" s="162" t="n"/>
      <c r="AX308" s="162" t="n"/>
      <c r="AY308" s="162" t="n"/>
      <c r="AZ308" s="162" t="n"/>
      <c r="BA308" s="162" t="n"/>
      <c r="BB308" s="162" t="n"/>
      <c r="BC308" s="162" t="n"/>
      <c r="BD308" s="162" t="n"/>
      <c r="BE308" s="162" t="n"/>
      <c r="BF308" s="162" t="n"/>
      <c r="BG308" s="162" t="n"/>
      <c r="BH308" s="162" t="n"/>
      <c r="BI308" s="162" t="n"/>
      <c r="BJ308" s="162" t="n"/>
      <c r="BK308" s="162" t="n"/>
      <c r="BL308" s="162" t="n"/>
      <c r="BM308" s="162" t="n"/>
      <c r="BN308" s="162" t="n"/>
      <c r="BO308" s="162" t="n"/>
      <c r="BP308" s="162" t="n"/>
      <c r="BQ308" s="162" t="n"/>
      <c r="BR308" s="162" t="n"/>
      <c r="BS308" s="162" t="n"/>
      <c r="BT308" s="162" t="n"/>
      <c r="BU308" s="162" t="n"/>
      <c r="BV308" s="162" t="n"/>
      <c r="BW308" s="162" t="n"/>
      <c r="BX308" s="162" t="n"/>
      <c r="BY308" s="162" t="n"/>
      <c r="BZ308" s="162" t="n"/>
      <c r="CA308" s="162" t="n"/>
      <c r="CB308" s="162" t="n"/>
      <c r="CC308" s="162" t="n"/>
      <c r="CD308" s="162" t="n"/>
      <c r="CE308" s="162" t="n"/>
      <c r="CF308" s="162" t="n"/>
      <c r="CG308" s="162" t="n"/>
      <c r="CH308" s="162" t="n"/>
      <c r="CI308" s="162" t="n"/>
      <c r="CJ308" s="162" t="n"/>
      <c r="CK308" s="162" t="n"/>
      <c r="CL308" s="162" t="n"/>
      <c r="CM308" s="162" t="n"/>
      <c r="CN308" s="162" t="n"/>
      <c r="CO308" s="162" t="n"/>
      <c r="CP308" s="162" t="n"/>
      <c r="CQ308" s="162" t="n"/>
      <c r="CR308" s="162" t="n"/>
      <c r="CS308" s="162" t="n"/>
      <c r="CT308" s="162" t="n"/>
    </row>
    <row r="309" ht="15" customHeight="1">
      <c r="A309" s="175" t="n">
        <v>72</v>
      </c>
      <c r="B309" s="165" t="n">
        <v>22</v>
      </c>
      <c r="C309" s="164" t="n">
        <v>45792</v>
      </c>
      <c r="D309" s="166" t="inlineStr">
        <is>
          <t>218 G. SAN JOSE 1</t>
        </is>
      </c>
      <c r="E309" s="166" t="n">
        <v>41069</v>
      </c>
      <c r="F309" s="166" t="inlineStr">
        <is>
          <t>ALEX GOMEZ</t>
        </is>
      </c>
      <c r="G309" s="166" t="n">
        <v>3375</v>
      </c>
      <c r="H309" s="166" t="n">
        <v>3375</v>
      </c>
      <c r="I309" s="166" t="n">
        <v>3326</v>
      </c>
      <c r="J309" s="166" t="n">
        <v>1</v>
      </c>
      <c r="K309" s="166" t="n">
        <v>48</v>
      </c>
      <c r="L309" s="166" t="n">
        <v>0</v>
      </c>
      <c r="M309" s="162" t="n">
        <v>72</v>
      </c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  <c r="AA309" s="162" t="n"/>
      <c r="AB309" s="162" t="n"/>
      <c r="AC309" s="162" t="n"/>
      <c r="AD309" s="162" t="n"/>
      <c r="AE309" s="162" t="n"/>
      <c r="AF309" s="162" t="n"/>
      <c r="AG309" s="162" t="n"/>
      <c r="AH309" s="162" t="n"/>
      <c r="AI309" s="162" t="n"/>
      <c r="AJ309" s="162" t="n"/>
      <c r="AK309" s="162" t="n"/>
      <c r="AL309" s="162" t="n"/>
      <c r="AM309" s="162" t="n"/>
      <c r="AN309" s="162" t="n"/>
      <c r="AO309" s="162" t="n"/>
      <c r="AP309" s="162" t="n"/>
      <c r="AQ309" s="162" t="n"/>
      <c r="AR309" s="162" t="n"/>
      <c r="AS309" s="162" t="n"/>
      <c r="AT309" s="162" t="n"/>
      <c r="AU309" s="162" t="n"/>
      <c r="AV309" s="162" t="n"/>
      <c r="AW309" s="162" t="n"/>
      <c r="AX309" s="162" t="n"/>
      <c r="AY309" s="162" t="n"/>
      <c r="AZ309" s="162" t="n"/>
      <c r="BA309" s="162" t="n"/>
      <c r="BB309" s="162" t="n"/>
      <c r="BC309" s="162" t="n"/>
      <c r="BD309" s="162" t="n"/>
      <c r="BE309" s="162" t="n"/>
      <c r="BF309" s="162" t="n"/>
      <c r="BG309" s="162" t="n"/>
      <c r="BH309" s="162" t="n"/>
      <c r="BI309" s="162" t="n"/>
      <c r="BJ309" s="162" t="n"/>
      <c r="BK309" s="162" t="n"/>
      <c r="BL309" s="162" t="n"/>
      <c r="BM309" s="162" t="n"/>
      <c r="BN309" s="162" t="n"/>
      <c r="BO309" s="162" t="n"/>
      <c r="BP309" s="162" t="n"/>
      <c r="BQ309" s="162" t="n"/>
      <c r="BR309" s="162" t="n"/>
      <c r="BS309" s="162" t="n"/>
      <c r="BT309" s="162" t="n"/>
      <c r="BU309" s="162" t="n"/>
      <c r="BV309" s="162" t="n"/>
      <c r="BW309" s="162" t="n"/>
      <c r="BX309" s="162" t="n"/>
      <c r="BY309" s="162" t="n"/>
      <c r="BZ309" s="162" t="n"/>
      <c r="CA309" s="162" t="n"/>
      <c r="CB309" s="162" t="n"/>
      <c r="CC309" s="162" t="n"/>
      <c r="CD309" s="162" t="n"/>
      <c r="CE309" s="162" t="n"/>
      <c r="CF309" s="162" t="n"/>
      <c r="CG309" s="162" t="n"/>
      <c r="CH309" s="162" t="n"/>
      <c r="CI309" s="162" t="n"/>
      <c r="CJ309" s="162" t="n"/>
      <c r="CK309" s="162" t="n"/>
      <c r="CL309" s="162" t="n"/>
      <c r="CM309" s="162" t="n"/>
      <c r="CN309" s="162" t="n"/>
      <c r="CO309" s="162" t="n"/>
      <c r="CP309" s="162" t="n"/>
      <c r="CQ309" s="162" t="n"/>
      <c r="CR309" s="162" t="n"/>
      <c r="CS309" s="162" t="n"/>
      <c r="CT309" s="162" t="n"/>
    </row>
    <row r="310" ht="15" customHeight="1">
      <c r="A310" s="175" t="n">
        <v>73</v>
      </c>
      <c r="B310" s="165" t="n">
        <v>23</v>
      </c>
      <c r="C310" s="164" t="n">
        <v>45793</v>
      </c>
      <c r="D310" s="166" t="inlineStr">
        <is>
          <t>218 G. SAN JOSE 1</t>
        </is>
      </c>
      <c r="E310" s="166" t="n">
        <v>41077</v>
      </c>
      <c r="F310" s="166" t="inlineStr">
        <is>
          <t>ALEX GOMEZ</t>
        </is>
      </c>
      <c r="G310" s="166" t="n">
        <v>2708</v>
      </c>
      <c r="H310" s="166" t="n">
        <v>2708</v>
      </c>
      <c r="I310" s="166" t="n">
        <v>2706</v>
      </c>
      <c r="J310" s="166" t="n">
        <v>1</v>
      </c>
      <c r="K310" s="166" t="n">
        <v>8</v>
      </c>
      <c r="L310" s="166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  <c r="AA310" s="162" t="n"/>
      <c r="AB310" s="162" t="n"/>
      <c r="AC310" s="162" t="n"/>
      <c r="AD310" s="162" t="n"/>
      <c r="AE310" s="162" t="n"/>
      <c r="AF310" s="162" t="n"/>
      <c r="AG310" s="162" t="n"/>
      <c r="AH310" s="162" t="n"/>
      <c r="AI310" s="162" t="n"/>
      <c r="AJ310" s="162" t="n"/>
      <c r="AK310" s="162" t="n"/>
      <c r="AL310" s="162" t="n"/>
      <c r="AM310" s="162" t="n"/>
      <c r="AN310" s="162" t="n"/>
      <c r="AO310" s="162" t="n"/>
      <c r="AP310" s="162" t="n"/>
      <c r="AQ310" s="162" t="n"/>
      <c r="AR310" s="162" t="n"/>
      <c r="AS310" s="162" t="n"/>
      <c r="AT310" s="162" t="n"/>
      <c r="AU310" s="162" t="n"/>
      <c r="AV310" s="162" t="n"/>
      <c r="AW310" s="162" t="n"/>
      <c r="AX310" s="162" t="n"/>
      <c r="AY310" s="162" t="n"/>
      <c r="AZ310" s="162" t="n"/>
      <c r="BA310" s="162" t="n"/>
      <c r="BB310" s="162" t="n"/>
      <c r="BC310" s="162" t="n"/>
      <c r="BD310" s="162" t="n"/>
      <c r="BE310" s="162" t="n"/>
      <c r="BF310" s="162" t="n"/>
      <c r="BG310" s="162" t="n"/>
      <c r="BH310" s="162" t="n"/>
      <c r="BI310" s="162" t="n"/>
      <c r="BJ310" s="162" t="n"/>
      <c r="BK310" s="162" t="n"/>
      <c r="BL310" s="162" t="n"/>
      <c r="BM310" s="162" t="n"/>
      <c r="BN310" s="162" t="n"/>
      <c r="BO310" s="162" t="n"/>
      <c r="BP310" s="162" t="n"/>
      <c r="BQ310" s="162" t="n"/>
      <c r="BR310" s="162" t="n"/>
      <c r="BS310" s="162" t="n"/>
      <c r="BT310" s="162" t="n"/>
      <c r="BU310" s="162" t="n"/>
      <c r="BV310" s="162" t="n"/>
      <c r="BW310" s="162" t="n"/>
      <c r="BX310" s="162" t="n"/>
      <c r="BY310" s="162" t="n"/>
      <c r="BZ310" s="162" t="n"/>
      <c r="CA310" s="162" t="n"/>
      <c r="CB310" s="162" t="n"/>
      <c r="CC310" s="162" t="n"/>
      <c r="CD310" s="162" t="n"/>
      <c r="CE310" s="162" t="n"/>
      <c r="CF310" s="162" t="n"/>
      <c r="CG310" s="162" t="n"/>
      <c r="CH310" s="162" t="n"/>
      <c r="CI310" s="162" t="n"/>
      <c r="CJ310" s="162" t="n"/>
      <c r="CK310" s="162" t="n"/>
      <c r="CL310" s="162" t="n"/>
      <c r="CM310" s="162" t="n"/>
      <c r="CN310" s="162" t="n"/>
      <c r="CO310" s="162" t="n"/>
      <c r="CP310" s="162" t="n"/>
      <c r="CQ310" s="162" t="n"/>
      <c r="CR310" s="162" t="n"/>
      <c r="CS310" s="162" t="n"/>
      <c r="CT310" s="162" t="n"/>
    </row>
    <row r="311" ht="15" customHeight="1">
      <c r="A311" s="175" t="n">
        <v>74</v>
      </c>
      <c r="B311" s="165" t="n">
        <v>24</v>
      </c>
      <c r="C311" s="164" t="n">
        <v>45793</v>
      </c>
      <c r="D311" s="166" t="inlineStr">
        <is>
          <t>218 G. SAN JOSE 1</t>
        </is>
      </c>
      <c r="E311" s="166" t="n">
        <v>41078</v>
      </c>
      <c r="F311" s="166" t="inlineStr">
        <is>
          <t>FERNANDO OYUELA</t>
        </is>
      </c>
      <c r="G311" s="166" t="n">
        <v>2708</v>
      </c>
      <c r="H311" s="166" t="n">
        <v>2708</v>
      </c>
      <c r="I311" s="166" t="n">
        <v>2705</v>
      </c>
      <c r="J311" s="166" t="n">
        <v>2</v>
      </c>
      <c r="K311" s="166" t="n">
        <v>10</v>
      </c>
      <c r="L311" s="166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  <c r="AA311" s="162" t="n"/>
      <c r="AB311" s="162" t="n"/>
      <c r="AC311" s="162" t="n"/>
      <c r="AD311" s="162" t="n"/>
      <c r="AE311" s="162" t="n"/>
      <c r="AF311" s="162" t="n"/>
      <c r="AG311" s="162" t="n"/>
      <c r="AH311" s="162" t="n"/>
      <c r="AI311" s="162" t="n"/>
      <c r="AJ311" s="162" t="n"/>
      <c r="AK311" s="162" t="n"/>
      <c r="AL311" s="162" t="n"/>
      <c r="AM311" s="162" t="n"/>
      <c r="AN311" s="162" t="n"/>
      <c r="AO311" s="162" t="n"/>
      <c r="AP311" s="162" t="n"/>
      <c r="AQ311" s="162" t="n"/>
      <c r="AR311" s="162" t="n"/>
      <c r="AS311" s="162" t="n"/>
      <c r="AT311" s="162" t="n"/>
      <c r="AU311" s="162" t="n"/>
      <c r="AV311" s="162" t="n"/>
      <c r="AW311" s="162" t="n"/>
      <c r="AX311" s="162" t="n"/>
      <c r="AY311" s="162" t="n"/>
      <c r="AZ311" s="162" t="n"/>
      <c r="BA311" s="162" t="n"/>
      <c r="BB311" s="162" t="n"/>
      <c r="BC311" s="162" t="n"/>
      <c r="BD311" s="162" t="n"/>
      <c r="BE311" s="162" t="n"/>
      <c r="BF311" s="162" t="n"/>
      <c r="BG311" s="162" t="n"/>
      <c r="BH311" s="162" t="n"/>
      <c r="BI311" s="162" t="n"/>
      <c r="BJ311" s="162" t="n"/>
      <c r="BK311" s="162" t="n"/>
      <c r="BL311" s="162" t="n"/>
      <c r="BM311" s="162" t="n"/>
      <c r="BN311" s="162" t="n"/>
      <c r="BO311" s="162" t="n"/>
      <c r="BP311" s="162" t="n"/>
      <c r="BQ311" s="162" t="n"/>
      <c r="BR311" s="162" t="n"/>
      <c r="BS311" s="162" t="n"/>
      <c r="BT311" s="162" t="n"/>
      <c r="BU311" s="162" t="n"/>
      <c r="BV311" s="162" t="n"/>
      <c r="BW311" s="162" t="n"/>
      <c r="BX311" s="162" t="n"/>
      <c r="BY311" s="162" t="n"/>
      <c r="BZ311" s="162" t="n"/>
      <c r="CA311" s="162" t="n"/>
      <c r="CB311" s="162" t="n"/>
      <c r="CC311" s="162" t="n"/>
      <c r="CD311" s="162" t="n"/>
      <c r="CE311" s="162" t="n"/>
      <c r="CF311" s="162" t="n"/>
      <c r="CG311" s="162" t="n"/>
      <c r="CH311" s="162" t="n"/>
      <c r="CI311" s="162" t="n"/>
      <c r="CJ311" s="162" t="n"/>
      <c r="CK311" s="162" t="n"/>
      <c r="CL311" s="162" t="n"/>
      <c r="CM311" s="162" t="n"/>
      <c r="CN311" s="162" t="n"/>
      <c r="CO311" s="162" t="n"/>
      <c r="CP311" s="162" t="n"/>
      <c r="CQ311" s="162" t="n"/>
      <c r="CR311" s="162" t="n"/>
      <c r="CS311" s="162" t="n"/>
      <c r="CT311" s="162" t="n"/>
    </row>
    <row r="312" ht="15" customHeight="1">
      <c r="A312" s="175" t="n">
        <v>75</v>
      </c>
      <c r="B312" s="165" t="n">
        <v>25</v>
      </c>
      <c r="C312" s="164" t="n">
        <v>45793</v>
      </c>
      <c r="D312" s="166" t="inlineStr">
        <is>
          <t>218 G. SAN JOSE 1</t>
        </is>
      </c>
      <c r="E312" s="166" t="n">
        <v>41079</v>
      </c>
      <c r="F312" s="166" t="inlineStr">
        <is>
          <t>JAIRO CUBILLOS</t>
        </is>
      </c>
      <c r="G312" s="166" t="n">
        <v>2708</v>
      </c>
      <c r="H312" s="166" t="n">
        <v>2708</v>
      </c>
      <c r="I312" s="166" t="n">
        <v>2684</v>
      </c>
      <c r="J312" s="166" t="n">
        <v>2</v>
      </c>
      <c r="K312" s="166" t="n">
        <v>20</v>
      </c>
      <c r="L312" s="166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  <c r="AA312" s="162" t="n"/>
      <c r="AB312" s="162" t="n"/>
      <c r="AC312" s="162" t="n"/>
      <c r="AD312" s="162" t="n"/>
      <c r="AE312" s="162" t="n"/>
      <c r="AF312" s="162" t="n"/>
      <c r="AG312" s="162" t="n"/>
      <c r="AH312" s="162" t="n"/>
      <c r="AI312" s="162" t="n"/>
      <c r="AJ312" s="162" t="n"/>
      <c r="AK312" s="162" t="n"/>
      <c r="AL312" s="162" t="n"/>
      <c r="AM312" s="162" t="n"/>
      <c r="AN312" s="162" t="n"/>
      <c r="AO312" s="162" t="n"/>
      <c r="AP312" s="162" t="n"/>
      <c r="AQ312" s="162" t="n"/>
      <c r="AR312" s="162" t="n"/>
      <c r="AS312" s="162" t="n"/>
      <c r="AT312" s="162" t="n"/>
      <c r="AU312" s="162" t="n"/>
      <c r="AV312" s="162" t="n"/>
      <c r="AW312" s="162" t="n"/>
      <c r="AX312" s="162" t="n"/>
      <c r="AY312" s="162" t="n"/>
      <c r="AZ312" s="162" t="n"/>
      <c r="BA312" s="162" t="n"/>
      <c r="BB312" s="162" t="n"/>
      <c r="BC312" s="162" t="n"/>
      <c r="BD312" s="162" t="n"/>
      <c r="BE312" s="162" t="n"/>
      <c r="BF312" s="162" t="n"/>
      <c r="BG312" s="162" t="n"/>
      <c r="BH312" s="162" t="n"/>
      <c r="BI312" s="162" t="n"/>
      <c r="BJ312" s="162" t="n"/>
      <c r="BK312" s="162" t="n"/>
      <c r="BL312" s="162" t="n"/>
      <c r="BM312" s="162" t="n"/>
      <c r="BN312" s="162" t="n"/>
      <c r="BO312" s="162" t="n"/>
      <c r="BP312" s="162" t="n"/>
      <c r="BQ312" s="162" t="n"/>
      <c r="BR312" s="162" t="n"/>
      <c r="BS312" s="162" t="n"/>
      <c r="BT312" s="162" t="n"/>
      <c r="BU312" s="162" t="n"/>
      <c r="BV312" s="162" t="n"/>
      <c r="BW312" s="162" t="n"/>
      <c r="BX312" s="162" t="n"/>
      <c r="BY312" s="162" t="n"/>
      <c r="BZ312" s="162" t="n"/>
      <c r="CA312" s="162" t="n"/>
      <c r="CB312" s="162" t="n"/>
      <c r="CC312" s="162" t="n"/>
      <c r="CD312" s="162" t="n"/>
      <c r="CE312" s="162" t="n"/>
      <c r="CF312" s="162" t="n"/>
      <c r="CG312" s="162" t="n"/>
      <c r="CH312" s="162" t="n"/>
      <c r="CI312" s="162" t="n"/>
      <c r="CJ312" s="162" t="n"/>
      <c r="CK312" s="162" t="n"/>
      <c r="CL312" s="162" t="n"/>
      <c r="CM312" s="162" t="n"/>
      <c r="CN312" s="162" t="n"/>
      <c r="CO312" s="162" t="n"/>
      <c r="CP312" s="162" t="n"/>
      <c r="CQ312" s="162" t="n"/>
      <c r="CR312" s="162" t="n"/>
      <c r="CS312" s="162" t="n"/>
      <c r="CT312" s="162" t="n"/>
    </row>
    <row r="313" ht="15" customHeight="1">
      <c r="A313" s="175" t="n">
        <v>76</v>
      </c>
      <c r="B313" s="165" t="n">
        <v>26</v>
      </c>
      <c r="C313" s="164" t="n">
        <v>45793</v>
      </c>
      <c r="D313" s="166" t="inlineStr">
        <is>
          <t>218 G. SAN JOSE 1</t>
        </is>
      </c>
      <c r="E313" s="166" t="n">
        <v>41080</v>
      </c>
      <c r="F313" s="166" t="inlineStr">
        <is>
          <t>FABIO ALDANA</t>
        </is>
      </c>
      <c r="G313" s="166" t="n">
        <v>3160</v>
      </c>
      <c r="H313" s="166" t="n">
        <v>3160</v>
      </c>
      <c r="I313" s="166" t="n">
        <v>3147</v>
      </c>
      <c r="J313" s="166" t="n">
        <v>2</v>
      </c>
      <c r="K313" s="166" t="n">
        <v>9</v>
      </c>
      <c r="L313" s="166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  <c r="AA313" s="162" t="n"/>
      <c r="AB313" s="162" t="n"/>
      <c r="AC313" s="162" t="n"/>
      <c r="AD313" s="162" t="n"/>
      <c r="AE313" s="162" t="n"/>
      <c r="AF313" s="162" t="n"/>
      <c r="AG313" s="162" t="n"/>
      <c r="AH313" s="162" t="n"/>
      <c r="AI313" s="162" t="n"/>
      <c r="AJ313" s="162" t="n"/>
      <c r="AK313" s="162" t="n"/>
      <c r="AL313" s="162" t="n"/>
      <c r="AM313" s="162" t="n"/>
      <c r="AN313" s="162" t="n"/>
      <c r="AO313" s="162" t="n"/>
      <c r="AP313" s="162" t="n"/>
      <c r="AQ313" s="162" t="n"/>
      <c r="AR313" s="162" t="n"/>
      <c r="AS313" s="162" t="n"/>
      <c r="AT313" s="162" t="n"/>
      <c r="AU313" s="162" t="n"/>
      <c r="AV313" s="162" t="n"/>
      <c r="AW313" s="162" t="n"/>
      <c r="AX313" s="162" t="n"/>
      <c r="AY313" s="162" t="n"/>
      <c r="AZ313" s="162" t="n"/>
      <c r="BA313" s="162" t="n"/>
      <c r="BB313" s="162" t="n"/>
      <c r="BC313" s="162" t="n"/>
      <c r="BD313" s="162" t="n"/>
      <c r="BE313" s="162" t="n"/>
      <c r="BF313" s="162" t="n"/>
      <c r="BG313" s="162" t="n"/>
      <c r="BH313" s="162" t="n"/>
      <c r="BI313" s="162" t="n"/>
      <c r="BJ313" s="162" t="n"/>
      <c r="BK313" s="162" t="n"/>
      <c r="BL313" s="162" t="n"/>
      <c r="BM313" s="162" t="n"/>
      <c r="BN313" s="162" t="n"/>
      <c r="BO313" s="162" t="n"/>
      <c r="BP313" s="162" t="n"/>
      <c r="BQ313" s="162" t="n"/>
      <c r="BR313" s="162" t="n"/>
      <c r="BS313" s="162" t="n"/>
      <c r="BT313" s="162" t="n"/>
      <c r="BU313" s="162" t="n"/>
      <c r="BV313" s="162" t="n"/>
      <c r="BW313" s="162" t="n"/>
      <c r="BX313" s="162" t="n"/>
      <c r="BY313" s="162" t="n"/>
      <c r="BZ313" s="162" t="n"/>
      <c r="CA313" s="162" t="n"/>
      <c r="CB313" s="162" t="n"/>
      <c r="CC313" s="162" t="n"/>
      <c r="CD313" s="162" t="n"/>
      <c r="CE313" s="162" t="n"/>
      <c r="CF313" s="162" t="n"/>
      <c r="CG313" s="162" t="n"/>
      <c r="CH313" s="162" t="n"/>
      <c r="CI313" s="162" t="n"/>
      <c r="CJ313" s="162" t="n"/>
      <c r="CK313" s="162" t="n"/>
      <c r="CL313" s="162" t="n"/>
      <c r="CM313" s="162" t="n"/>
      <c r="CN313" s="162" t="n"/>
      <c r="CO313" s="162" t="n"/>
      <c r="CP313" s="162" t="n"/>
      <c r="CQ313" s="162" t="n"/>
      <c r="CR313" s="162" t="n"/>
      <c r="CS313" s="162" t="n"/>
      <c r="CT313" s="162" t="n"/>
    </row>
    <row r="314" ht="15" customHeight="1">
      <c r="A314" s="175" t="n">
        <v>77</v>
      </c>
      <c r="B314" s="165" t="n">
        <v>27</v>
      </c>
      <c r="C314" s="164" t="n">
        <v>45793</v>
      </c>
      <c r="D314" s="166" t="inlineStr">
        <is>
          <t>218 G. SAN JOSE 1</t>
        </is>
      </c>
      <c r="E314" s="166" t="n">
        <v>41081</v>
      </c>
      <c r="F314" s="166" t="inlineStr">
        <is>
          <t>EDWIN ROJAS</t>
        </is>
      </c>
      <c r="G314" s="166" t="n">
        <v>3160</v>
      </c>
      <c r="H314" s="166" t="n">
        <v>3160</v>
      </c>
      <c r="I314" s="166" t="n">
        <v>3143</v>
      </c>
      <c r="J314" s="166" t="n">
        <v>6</v>
      </c>
      <c r="K314" s="166" t="n">
        <v>13</v>
      </c>
      <c r="L314" s="166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  <c r="AA314" s="162" t="n"/>
      <c r="AB314" s="162" t="n"/>
      <c r="AC314" s="162" t="n"/>
      <c r="AD314" s="162" t="n"/>
      <c r="AE314" s="162" t="n"/>
      <c r="AF314" s="162" t="n"/>
      <c r="AG314" s="162" t="n"/>
      <c r="AH314" s="162" t="n"/>
      <c r="AI314" s="162" t="n"/>
      <c r="AJ314" s="162" t="n"/>
      <c r="AK314" s="162" t="n"/>
      <c r="AL314" s="162" t="n"/>
      <c r="AM314" s="162" t="n"/>
      <c r="AN314" s="162" t="n"/>
      <c r="AO314" s="162" t="n"/>
      <c r="AP314" s="162" t="n"/>
      <c r="AQ314" s="162" t="n"/>
      <c r="AR314" s="162" t="n"/>
      <c r="AS314" s="162" t="n"/>
      <c r="AT314" s="162" t="n"/>
      <c r="AU314" s="162" t="n"/>
      <c r="AV314" s="162" t="n"/>
      <c r="AW314" s="162" t="n"/>
      <c r="AX314" s="162" t="n"/>
      <c r="AY314" s="162" t="n"/>
      <c r="AZ314" s="162" t="n"/>
      <c r="BA314" s="162" t="n"/>
      <c r="BB314" s="162" t="n"/>
      <c r="BC314" s="162" t="n"/>
      <c r="BD314" s="162" t="n"/>
      <c r="BE314" s="162" t="n"/>
      <c r="BF314" s="162" t="n"/>
      <c r="BG314" s="162" t="n"/>
      <c r="BH314" s="162" t="n"/>
      <c r="BI314" s="162" t="n"/>
      <c r="BJ314" s="162" t="n"/>
      <c r="BK314" s="162" t="n"/>
      <c r="BL314" s="162" t="n"/>
      <c r="BM314" s="162" t="n"/>
      <c r="BN314" s="162" t="n"/>
      <c r="BO314" s="162" t="n"/>
      <c r="BP314" s="162" t="n"/>
      <c r="BQ314" s="162" t="n"/>
      <c r="BR314" s="162" t="n"/>
      <c r="BS314" s="162" t="n"/>
      <c r="BT314" s="162" t="n"/>
      <c r="BU314" s="162" t="n"/>
      <c r="BV314" s="162" t="n"/>
      <c r="BW314" s="162" t="n"/>
      <c r="BX314" s="162" t="n"/>
      <c r="BY314" s="162" t="n"/>
      <c r="BZ314" s="162" t="n"/>
      <c r="CA314" s="162" t="n"/>
      <c r="CB314" s="162" t="n"/>
      <c r="CC314" s="162" t="n"/>
      <c r="CD314" s="162" t="n"/>
      <c r="CE314" s="162" t="n"/>
      <c r="CF314" s="162" t="n"/>
      <c r="CG314" s="162" t="n"/>
      <c r="CH314" s="162" t="n"/>
      <c r="CI314" s="162" t="n"/>
      <c r="CJ314" s="162" t="n"/>
      <c r="CK314" s="162" t="n"/>
      <c r="CL314" s="162" t="n"/>
      <c r="CM314" s="162" t="n"/>
      <c r="CN314" s="162" t="n"/>
      <c r="CO314" s="162" t="n"/>
      <c r="CP314" s="162" t="n"/>
      <c r="CQ314" s="162" t="n"/>
      <c r="CR314" s="162" t="n"/>
      <c r="CS314" s="162" t="n"/>
      <c r="CT314" s="162" t="n"/>
    </row>
    <row r="315" ht="15" customHeight="1">
      <c r="A315" s="175" t="n">
        <v>78</v>
      </c>
      <c r="B315" s="165" t="n">
        <v>28</v>
      </c>
      <c r="C315" s="164" t="n">
        <v>45794</v>
      </c>
      <c r="D315" s="166" t="inlineStr">
        <is>
          <t>218 G. SAN JOSE 1</t>
        </is>
      </c>
      <c r="E315" s="166" t="n">
        <v>41097</v>
      </c>
      <c r="F315" s="166" t="inlineStr">
        <is>
          <t>ALBERTO HERRERA</t>
        </is>
      </c>
      <c r="G315" s="166" t="n">
        <v>2750</v>
      </c>
      <c r="H315" s="166" t="n">
        <v>2750</v>
      </c>
      <c r="I315" s="166" t="n">
        <v>2724</v>
      </c>
      <c r="J315" s="166" t="n">
        <v>3</v>
      </c>
      <c r="K315" s="166" t="n">
        <v>19</v>
      </c>
      <c r="L315" s="166" t="n">
        <v>4</v>
      </c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  <c r="AA315" s="162" t="n"/>
      <c r="AB315" s="162" t="n"/>
      <c r="AC315" s="162" t="n"/>
      <c r="AD315" s="162" t="n"/>
      <c r="AE315" s="162" t="n"/>
      <c r="AF315" s="162" t="n"/>
      <c r="AG315" s="162" t="n"/>
      <c r="AH315" s="162" t="n"/>
      <c r="AI315" s="162" t="n"/>
      <c r="AJ315" s="162" t="n"/>
      <c r="AK315" s="162" t="n"/>
      <c r="AL315" s="162" t="n"/>
      <c r="AM315" s="162" t="n"/>
      <c r="AN315" s="162" t="n"/>
      <c r="AO315" s="162" t="n"/>
      <c r="AP315" s="162" t="n"/>
      <c r="AQ315" s="162" t="n"/>
      <c r="AR315" s="162" t="n"/>
      <c r="AS315" s="162" t="n"/>
      <c r="AT315" s="162" t="n"/>
      <c r="AU315" s="162" t="n"/>
      <c r="AV315" s="162" t="n"/>
      <c r="AW315" s="162" t="n"/>
      <c r="AX315" s="162" t="n"/>
      <c r="AY315" s="162" t="n"/>
      <c r="AZ315" s="162" t="n"/>
      <c r="BA315" s="162" t="n"/>
      <c r="BB315" s="162" t="n"/>
      <c r="BC315" s="162" t="n"/>
      <c r="BD315" s="162" t="n"/>
      <c r="BE315" s="162" t="n"/>
      <c r="BF315" s="162" t="n"/>
      <c r="BG315" s="162" t="n"/>
      <c r="BH315" s="162" t="n"/>
      <c r="BI315" s="162" t="n"/>
      <c r="BJ315" s="162" t="n"/>
      <c r="BK315" s="162" t="n"/>
      <c r="BL315" s="162" t="n"/>
      <c r="BM315" s="162" t="n"/>
      <c r="BN315" s="162" t="n"/>
      <c r="BO315" s="162" t="n"/>
      <c r="BP315" s="162" t="n"/>
      <c r="BQ315" s="162" t="n"/>
      <c r="BR315" s="162" t="n"/>
      <c r="BS315" s="162" t="n"/>
      <c r="BT315" s="162" t="n"/>
      <c r="BU315" s="162" t="n"/>
      <c r="BV315" s="162" t="n"/>
      <c r="BW315" s="162" t="n"/>
      <c r="BX315" s="162" t="n"/>
      <c r="BY315" s="162" t="n"/>
      <c r="BZ315" s="162" t="n"/>
      <c r="CA315" s="162" t="n"/>
      <c r="CB315" s="162" t="n"/>
      <c r="CC315" s="162" t="n"/>
      <c r="CD315" s="162" t="n"/>
      <c r="CE315" s="162" t="n"/>
      <c r="CF315" s="162" t="n"/>
      <c r="CG315" s="162" t="n"/>
      <c r="CH315" s="162" t="n"/>
      <c r="CI315" s="162" t="n"/>
      <c r="CJ315" s="162" t="n"/>
      <c r="CK315" s="162" t="n"/>
      <c r="CL315" s="162" t="n"/>
      <c r="CM315" s="162" t="n"/>
      <c r="CN315" s="162" t="n"/>
      <c r="CO315" s="162" t="n"/>
      <c r="CP315" s="162" t="n"/>
      <c r="CQ315" s="162" t="n"/>
      <c r="CR315" s="162" t="n"/>
      <c r="CS315" s="162" t="n"/>
      <c r="CT315" s="162" t="n"/>
    </row>
    <row r="316" ht="15" customHeight="1">
      <c r="A316" s="175" t="n">
        <v>79</v>
      </c>
      <c r="B316" s="165" t="n">
        <v>29</v>
      </c>
      <c r="C316" s="164" t="n">
        <v>45794</v>
      </c>
      <c r="D316" s="166" t="inlineStr">
        <is>
          <t>218 G. SAN JOSE 1</t>
        </is>
      </c>
      <c r="E316" s="166" t="n">
        <v>41098</v>
      </c>
      <c r="F316" s="166" t="inlineStr">
        <is>
          <t>FABIO ALDANA</t>
        </is>
      </c>
      <c r="G316" s="166" t="n">
        <v>2750</v>
      </c>
      <c r="H316" s="166" t="n">
        <v>2750</v>
      </c>
      <c r="I316" s="166" t="n">
        <v>2728</v>
      </c>
      <c r="J316" s="166" t="n">
        <v>1</v>
      </c>
      <c r="K316" s="166" t="n">
        <v>17</v>
      </c>
      <c r="L316" s="166" t="n">
        <v>4</v>
      </c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  <c r="AA316" s="162" t="n"/>
      <c r="AB316" s="162" t="n"/>
      <c r="AC316" s="162" t="n"/>
      <c r="AD316" s="162" t="n"/>
      <c r="AE316" s="162" t="n"/>
      <c r="AF316" s="162" t="n"/>
      <c r="AG316" s="162" t="n"/>
      <c r="AH316" s="162" t="n"/>
      <c r="AI316" s="162" t="n"/>
      <c r="AJ316" s="162" t="n"/>
      <c r="AK316" s="162" t="n"/>
      <c r="AL316" s="162" t="n"/>
      <c r="AM316" s="162" t="n"/>
      <c r="AN316" s="162" t="n"/>
      <c r="AO316" s="162" t="n"/>
      <c r="AP316" s="162" t="n"/>
      <c r="AQ316" s="162" t="n"/>
      <c r="AR316" s="162" t="n"/>
      <c r="AS316" s="162" t="n"/>
      <c r="AT316" s="162" t="n"/>
      <c r="AU316" s="162" t="n"/>
      <c r="AV316" s="162" t="n"/>
      <c r="AW316" s="162" t="n"/>
      <c r="AX316" s="162" t="n"/>
      <c r="AY316" s="162" t="n"/>
      <c r="AZ316" s="162" t="n"/>
      <c r="BA316" s="162" t="n"/>
      <c r="BB316" s="162" t="n"/>
      <c r="BC316" s="162" t="n"/>
      <c r="BD316" s="162" t="n"/>
      <c r="BE316" s="162" t="n"/>
      <c r="BF316" s="162" t="n"/>
      <c r="BG316" s="162" t="n"/>
      <c r="BH316" s="162" t="n"/>
      <c r="BI316" s="162" t="n"/>
      <c r="BJ316" s="162" t="n"/>
      <c r="BK316" s="162" t="n"/>
      <c r="BL316" s="162" t="n"/>
      <c r="BM316" s="162" t="n"/>
      <c r="BN316" s="162" t="n"/>
      <c r="BO316" s="162" t="n"/>
      <c r="BP316" s="162" t="n"/>
      <c r="BQ316" s="162" t="n"/>
      <c r="BR316" s="162" t="n"/>
      <c r="BS316" s="162" t="n"/>
      <c r="BT316" s="162" t="n"/>
      <c r="BU316" s="162" t="n"/>
      <c r="BV316" s="162" t="n"/>
      <c r="BW316" s="162" t="n"/>
      <c r="BX316" s="162" t="n"/>
      <c r="BY316" s="162" t="n"/>
      <c r="BZ316" s="162" t="n"/>
      <c r="CA316" s="162" t="n"/>
      <c r="CB316" s="162" t="n"/>
      <c r="CC316" s="162" t="n"/>
      <c r="CD316" s="162" t="n"/>
      <c r="CE316" s="162" t="n"/>
      <c r="CF316" s="162" t="n"/>
      <c r="CG316" s="162" t="n"/>
      <c r="CH316" s="162" t="n"/>
      <c r="CI316" s="162" t="n"/>
      <c r="CJ316" s="162" t="n"/>
      <c r="CK316" s="162" t="n"/>
      <c r="CL316" s="162" t="n"/>
      <c r="CM316" s="162" t="n"/>
      <c r="CN316" s="162" t="n"/>
      <c r="CO316" s="162" t="n"/>
      <c r="CP316" s="162" t="n"/>
      <c r="CQ316" s="162" t="n"/>
      <c r="CR316" s="162" t="n"/>
      <c r="CS316" s="162" t="n"/>
      <c r="CT316" s="162" t="n"/>
    </row>
    <row r="317" ht="15" customHeight="1">
      <c r="A317" s="175" t="n">
        <v>80</v>
      </c>
      <c r="B317" s="165" t="n">
        <v>30</v>
      </c>
      <c r="C317" s="164" t="n">
        <v>45794</v>
      </c>
      <c r="D317" s="166" t="inlineStr">
        <is>
          <t>218 G. SAN JOSE 1</t>
        </is>
      </c>
      <c r="E317" s="166" t="n">
        <v>41099</v>
      </c>
      <c r="F317" s="166" t="inlineStr">
        <is>
          <t>JHON AGUIRRE</t>
        </is>
      </c>
      <c r="G317" s="166" t="n">
        <v>2800</v>
      </c>
      <c r="H317" s="166" t="n">
        <v>2800</v>
      </c>
      <c r="I317" s="166" t="n">
        <v>2778</v>
      </c>
      <c r="J317" s="166" t="n">
        <v>2</v>
      </c>
      <c r="K317" s="166" t="n">
        <v>17</v>
      </c>
      <c r="L317" s="166" t="n">
        <v>3</v>
      </c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  <c r="AA317" s="162" t="n"/>
      <c r="AB317" s="162" t="n"/>
      <c r="AC317" s="162" t="n"/>
      <c r="AD317" s="162" t="n"/>
      <c r="AE317" s="162" t="n"/>
      <c r="AF317" s="162" t="n"/>
      <c r="AG317" s="162" t="n"/>
      <c r="AH317" s="162" t="n"/>
      <c r="AI317" s="162" t="n"/>
      <c r="AJ317" s="162" t="n"/>
      <c r="AK317" s="162" t="n"/>
      <c r="AL317" s="162" t="n"/>
      <c r="AM317" s="162" t="n"/>
      <c r="AN317" s="162" t="n"/>
      <c r="AO317" s="162" t="n"/>
      <c r="AP317" s="162" t="n"/>
      <c r="AQ317" s="162" t="n"/>
      <c r="AR317" s="162" t="n"/>
      <c r="AS317" s="162" t="n"/>
      <c r="AT317" s="162" t="n"/>
      <c r="AU317" s="162" t="n"/>
      <c r="AV317" s="162" t="n"/>
      <c r="AW317" s="162" t="n"/>
      <c r="AX317" s="162" t="n"/>
      <c r="AY317" s="162" t="n"/>
      <c r="AZ317" s="162" t="n"/>
      <c r="BA317" s="162" t="n"/>
      <c r="BB317" s="162" t="n"/>
      <c r="BC317" s="162" t="n"/>
      <c r="BD317" s="162" t="n"/>
      <c r="BE317" s="162" t="n"/>
      <c r="BF317" s="162" t="n"/>
      <c r="BG317" s="162" t="n"/>
      <c r="BH317" s="162" t="n"/>
      <c r="BI317" s="162" t="n"/>
      <c r="BJ317" s="162" t="n"/>
      <c r="BK317" s="162" t="n"/>
      <c r="BL317" s="162" t="n"/>
      <c r="BM317" s="162" t="n"/>
      <c r="BN317" s="162" t="n"/>
      <c r="BO317" s="162" t="n"/>
      <c r="BP317" s="162" t="n"/>
      <c r="BQ317" s="162" t="n"/>
      <c r="BR317" s="162" t="n"/>
      <c r="BS317" s="162" t="n"/>
      <c r="BT317" s="162" t="n"/>
      <c r="BU317" s="162" t="n"/>
      <c r="BV317" s="162" t="n"/>
      <c r="BW317" s="162" t="n"/>
      <c r="BX317" s="162" t="n"/>
      <c r="BY317" s="162" t="n"/>
      <c r="BZ317" s="162" t="n"/>
      <c r="CA317" s="162" t="n"/>
      <c r="CB317" s="162" t="n"/>
      <c r="CC317" s="162" t="n"/>
      <c r="CD317" s="162" t="n"/>
      <c r="CE317" s="162" t="n"/>
      <c r="CF317" s="162" t="n"/>
      <c r="CG317" s="162" t="n"/>
      <c r="CH317" s="162" t="n"/>
      <c r="CI317" s="162" t="n"/>
      <c r="CJ317" s="162" t="n"/>
      <c r="CK317" s="162" t="n"/>
      <c r="CL317" s="162" t="n"/>
      <c r="CM317" s="162" t="n"/>
      <c r="CN317" s="162" t="n"/>
      <c r="CO317" s="162" t="n"/>
      <c r="CP317" s="162" t="n"/>
      <c r="CQ317" s="162" t="n"/>
      <c r="CR317" s="162" t="n"/>
      <c r="CS317" s="162" t="n"/>
      <c r="CT317" s="162" t="n"/>
    </row>
    <row r="318" ht="15" customHeight="1">
      <c r="A318" s="175" t="n">
        <v>81</v>
      </c>
      <c r="B318" s="165" t="n">
        <v>31</v>
      </c>
      <c r="C318" s="164" t="n">
        <v>45794</v>
      </c>
      <c r="D318" s="166" t="inlineStr">
        <is>
          <t>218 G. SAN JOSE 1</t>
        </is>
      </c>
      <c r="E318" s="166" t="n">
        <v>41100</v>
      </c>
      <c r="F318" s="166" t="inlineStr">
        <is>
          <t>YAIR RIVEROS</t>
        </is>
      </c>
      <c r="G318" s="166" t="n">
        <v>2800</v>
      </c>
      <c r="H318" s="166" t="n">
        <v>2800</v>
      </c>
      <c r="I318" s="166" t="n">
        <v>2780</v>
      </c>
      <c r="J318" s="166" t="n">
        <v>2</v>
      </c>
      <c r="K318" s="166" t="n">
        <v>16</v>
      </c>
      <c r="L318" s="166" t="n">
        <v>2</v>
      </c>
      <c r="M318" s="162" t="n">
        <v>81</v>
      </c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  <c r="AA318" s="162" t="n"/>
      <c r="AB318" s="162" t="n"/>
      <c r="AC318" s="162" t="n"/>
      <c r="AD318" s="162" t="n"/>
      <c r="AE318" s="162" t="n"/>
      <c r="AF318" s="162" t="n"/>
      <c r="AG318" s="162" t="n"/>
      <c r="AH318" s="162" t="n"/>
      <c r="AI318" s="162" t="n"/>
      <c r="AJ318" s="162" t="n"/>
      <c r="AK318" s="162" t="n"/>
      <c r="AL318" s="162" t="n"/>
      <c r="AM318" s="162" t="n"/>
      <c r="AN318" s="162" t="n"/>
      <c r="AO318" s="162" t="n"/>
      <c r="AP318" s="162" t="n"/>
      <c r="AQ318" s="162" t="n"/>
      <c r="AR318" s="162" t="n"/>
      <c r="AS318" s="162" t="n"/>
      <c r="AT318" s="162" t="n"/>
      <c r="AU318" s="162" t="n"/>
      <c r="AV318" s="162" t="n"/>
      <c r="AW318" s="162" t="n"/>
      <c r="AX318" s="162" t="n"/>
      <c r="AY318" s="162" t="n"/>
      <c r="AZ318" s="162" t="n"/>
      <c r="BA318" s="162" t="n"/>
      <c r="BB318" s="162" t="n"/>
      <c r="BC318" s="162" t="n"/>
      <c r="BD318" s="162" t="n"/>
      <c r="BE318" s="162" t="n"/>
      <c r="BF318" s="162" t="n"/>
      <c r="BG318" s="162" t="n"/>
      <c r="BH318" s="162" t="n"/>
      <c r="BI318" s="162" t="n"/>
      <c r="BJ318" s="162" t="n"/>
      <c r="BK318" s="162" t="n"/>
      <c r="BL318" s="162" t="n"/>
      <c r="BM318" s="162" t="n"/>
      <c r="BN318" s="162" t="n"/>
      <c r="BO318" s="162" t="n"/>
      <c r="BP318" s="162" t="n"/>
      <c r="BQ318" s="162" t="n"/>
      <c r="BR318" s="162" t="n"/>
      <c r="BS318" s="162" t="n"/>
      <c r="BT318" s="162" t="n"/>
      <c r="BU318" s="162" t="n"/>
      <c r="BV318" s="162" t="n"/>
      <c r="BW318" s="162" t="n"/>
      <c r="BX318" s="162" t="n"/>
      <c r="BY318" s="162" t="n"/>
      <c r="BZ318" s="162" t="n"/>
      <c r="CA318" s="162" t="n"/>
      <c r="CB318" s="162" t="n"/>
      <c r="CC318" s="162" t="n"/>
      <c r="CD318" s="162" t="n"/>
      <c r="CE318" s="162" t="n"/>
      <c r="CF318" s="162" t="n"/>
      <c r="CG318" s="162" t="n"/>
      <c r="CH318" s="162" t="n"/>
      <c r="CI318" s="162" t="n"/>
      <c r="CJ318" s="162" t="n"/>
      <c r="CK318" s="162" t="n"/>
      <c r="CL318" s="162" t="n"/>
      <c r="CM318" s="162" t="n"/>
      <c r="CN318" s="162" t="n"/>
      <c r="CO318" s="162" t="n"/>
      <c r="CP318" s="162" t="n"/>
      <c r="CQ318" s="162" t="n"/>
      <c r="CR318" s="162" t="n"/>
      <c r="CS318" s="162" t="n"/>
      <c r="CT318" s="162" t="n"/>
    </row>
    <row r="319" ht="18.75" customHeight="1">
      <c r="A319" s="175" t="n">
        <v>82</v>
      </c>
      <c r="B319" s="165" t="n">
        <v>1</v>
      </c>
      <c r="C319" s="164" t="n">
        <v>45796</v>
      </c>
      <c r="D319" s="165" t="inlineStr">
        <is>
          <t>200 G. GARCERAS</t>
        </is>
      </c>
      <c r="E319" s="165" t="n">
        <v>41115</v>
      </c>
      <c r="F319" s="165" t="inlineStr">
        <is>
          <t>FERNANDO OYUELA</t>
        </is>
      </c>
      <c r="G319" s="165" t="n">
        <v>3060</v>
      </c>
      <c r="H319" s="165" t="n"/>
      <c r="I319" s="165" t="n">
        <v>3054</v>
      </c>
      <c r="J319" s="165" t="n">
        <v>3</v>
      </c>
      <c r="K319" s="165" t="n">
        <v>10</v>
      </c>
      <c r="L319" s="165" t="n">
        <v>-7</v>
      </c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  <c r="AA319" s="162" t="n"/>
      <c r="AB319" s="162" t="n"/>
      <c r="AC319" s="162" t="n"/>
      <c r="AD319" s="162" t="n"/>
      <c r="AE319" s="162" t="n"/>
      <c r="AF319" s="162" t="n"/>
      <c r="AG319" s="162" t="n"/>
      <c r="AH319" s="162" t="n"/>
      <c r="AI319" s="162" t="n"/>
      <c r="AJ319" s="162" t="n"/>
      <c r="AK319" s="162" t="n"/>
      <c r="AL319" s="162" t="n"/>
      <c r="AM319" s="162" t="n"/>
      <c r="AN319" s="162" t="n"/>
      <c r="AO319" s="162" t="n"/>
      <c r="AP319" s="162" t="n"/>
      <c r="AQ319" s="162" t="n"/>
      <c r="AR319" s="162" t="n"/>
      <c r="AS319" s="162" t="n"/>
      <c r="AT319" s="162" t="n"/>
      <c r="AU319" s="162" t="n"/>
      <c r="AV319" s="162" t="n"/>
      <c r="AW319" s="162" t="n"/>
      <c r="AX319" s="162" t="n"/>
      <c r="AY319" s="162" t="n"/>
      <c r="AZ319" s="162" t="n"/>
      <c r="BA319" s="162" t="n"/>
      <c r="BB319" s="162" t="n"/>
      <c r="BC319" s="162" t="n"/>
      <c r="BD319" s="162" t="n"/>
      <c r="BE319" s="162" t="n"/>
      <c r="BF319" s="162" t="n"/>
      <c r="BG319" s="162" t="n"/>
      <c r="BH319" s="162" t="n"/>
      <c r="BI319" s="162" t="n"/>
      <c r="BJ319" s="162" t="n"/>
      <c r="BK319" s="162" t="n"/>
      <c r="BL319" s="162" t="n"/>
      <c r="BM319" s="162" t="n"/>
      <c r="BN319" s="162" t="n"/>
      <c r="BO319" s="162" t="n"/>
      <c r="BP319" s="162" t="n"/>
      <c r="BQ319" s="162" t="n"/>
      <c r="BR319" s="162" t="n"/>
      <c r="BS319" s="162" t="n"/>
      <c r="BT319" s="162" t="n"/>
      <c r="BU319" s="162" t="n"/>
      <c r="BV319" s="162" t="n"/>
      <c r="BW319" s="162" t="n"/>
      <c r="BX319" s="162" t="n"/>
      <c r="BY319" s="162" t="n"/>
      <c r="BZ319" s="162" t="n"/>
      <c r="CA319" s="162" t="n"/>
      <c r="CB319" s="162" t="n"/>
      <c r="CC319" s="162" t="n"/>
      <c r="CD319" s="162" t="n"/>
      <c r="CE319" s="162" t="n"/>
      <c r="CF319" s="162" t="n"/>
      <c r="CG319" s="162" t="n"/>
      <c r="CH319" s="162" t="n"/>
      <c r="CI319" s="162" t="n"/>
      <c r="CJ319" s="162" t="n"/>
      <c r="CK319" s="162" t="n"/>
      <c r="CL319" s="162" t="n"/>
      <c r="CM319" s="162" t="n"/>
      <c r="CN319" s="162" t="n"/>
      <c r="CO319" s="162" t="n"/>
      <c r="CP319" s="162" t="n"/>
      <c r="CQ319" s="162" t="n"/>
      <c r="CR319" s="162" t="n"/>
      <c r="CS319" s="162" t="n"/>
      <c r="CT319" s="162" t="n"/>
    </row>
    <row r="320" ht="18.75" customHeight="1">
      <c r="A320" s="175" t="n">
        <v>83</v>
      </c>
      <c r="B320" s="165" t="n">
        <v>2</v>
      </c>
      <c r="C320" s="164" t="n">
        <v>45796</v>
      </c>
      <c r="D320" s="165" t="inlineStr">
        <is>
          <t>200 G. GARCERAS</t>
        </is>
      </c>
      <c r="E320" s="165" t="n">
        <v>41116</v>
      </c>
      <c r="F320" s="165" t="inlineStr">
        <is>
          <t>ALEX GOMEZ</t>
        </is>
      </c>
      <c r="G320" s="165" t="n">
        <v>3060</v>
      </c>
      <c r="H320" s="165" t="n"/>
      <c r="I320" s="165" t="n">
        <v>3052</v>
      </c>
      <c r="J320" s="165" t="n">
        <v>4</v>
      </c>
      <c r="K320" s="165" t="n">
        <v>10</v>
      </c>
      <c r="L320" s="165" t="n">
        <v>-6</v>
      </c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  <c r="AA320" s="162" t="n"/>
      <c r="AB320" s="162" t="n"/>
      <c r="AC320" s="162" t="n"/>
      <c r="AD320" s="162" t="n"/>
      <c r="AE320" s="162" t="n"/>
      <c r="AF320" s="162" t="n"/>
      <c r="AG320" s="162" t="n"/>
      <c r="AH320" s="162" t="n"/>
      <c r="AI320" s="162" t="n"/>
      <c r="AJ320" s="162" t="n"/>
      <c r="AK320" s="162" t="n"/>
      <c r="AL320" s="162" t="n"/>
      <c r="AM320" s="162" t="n"/>
      <c r="AN320" s="162" t="n"/>
      <c r="AO320" s="162" t="n"/>
      <c r="AP320" s="162" t="n"/>
      <c r="AQ320" s="162" t="n"/>
      <c r="AR320" s="162" t="n"/>
      <c r="AS320" s="162" t="n"/>
      <c r="AT320" s="162" t="n"/>
      <c r="AU320" s="162" t="n"/>
      <c r="AV320" s="162" t="n"/>
      <c r="AW320" s="162" t="n"/>
      <c r="AX320" s="162" t="n"/>
      <c r="AY320" s="162" t="n"/>
      <c r="AZ320" s="162" t="n"/>
      <c r="BA320" s="162" t="n"/>
      <c r="BB320" s="162" t="n"/>
      <c r="BC320" s="162" t="n"/>
      <c r="BD320" s="162" t="n"/>
      <c r="BE320" s="162" t="n"/>
      <c r="BF320" s="162" t="n"/>
      <c r="BG320" s="162" t="n"/>
      <c r="BH320" s="162" t="n"/>
      <c r="BI320" s="162" t="n"/>
      <c r="BJ320" s="162" t="n"/>
      <c r="BK320" s="162" t="n"/>
      <c r="BL320" s="162" t="n"/>
      <c r="BM320" s="162" t="n"/>
      <c r="BN320" s="162" t="n"/>
      <c r="BO320" s="162" t="n"/>
      <c r="BP320" s="162" t="n"/>
      <c r="BQ320" s="162" t="n"/>
      <c r="BR320" s="162" t="n"/>
      <c r="BS320" s="162" t="n"/>
      <c r="BT320" s="162" t="n"/>
      <c r="BU320" s="162" t="n"/>
      <c r="BV320" s="162" t="n"/>
      <c r="BW320" s="162" t="n"/>
      <c r="BX320" s="162" t="n"/>
      <c r="BY320" s="162" t="n"/>
      <c r="BZ320" s="162" t="n"/>
      <c r="CA320" s="162" t="n"/>
      <c r="CB320" s="162" t="n"/>
      <c r="CC320" s="162" t="n"/>
      <c r="CD320" s="162" t="n"/>
      <c r="CE320" s="162" t="n"/>
      <c r="CF320" s="162" t="n"/>
      <c r="CG320" s="162" t="n"/>
      <c r="CH320" s="162" t="n"/>
      <c r="CI320" s="162" t="n"/>
      <c r="CJ320" s="162" t="n"/>
      <c r="CK320" s="162" t="n"/>
      <c r="CL320" s="162" t="n"/>
      <c r="CM320" s="162" t="n"/>
      <c r="CN320" s="162" t="n"/>
      <c r="CO320" s="162" t="n"/>
      <c r="CP320" s="162" t="n"/>
      <c r="CQ320" s="162" t="n"/>
      <c r="CR320" s="162" t="n"/>
      <c r="CS320" s="162" t="n"/>
      <c r="CT320" s="162" t="n"/>
    </row>
    <row r="321" ht="18.75" customHeight="1">
      <c r="A321" s="175" t="n">
        <v>84</v>
      </c>
      <c r="B321" s="165" t="n">
        <v>3</v>
      </c>
      <c r="C321" s="164" t="n">
        <v>45796</v>
      </c>
      <c r="D321" s="165" t="inlineStr">
        <is>
          <t>200 G. GARCERAS</t>
        </is>
      </c>
      <c r="E321" s="165" t="n">
        <v>41117</v>
      </c>
      <c r="F321" s="165" t="inlineStr">
        <is>
          <t>WILMER PIÑEROS</t>
        </is>
      </c>
      <c r="G321" s="165" t="n">
        <v>3060</v>
      </c>
      <c r="H321" s="165" t="n"/>
      <c r="I321" s="165" t="n">
        <v>3055</v>
      </c>
      <c r="J321" s="165" t="n">
        <v>2</v>
      </c>
      <c r="K321" s="165" t="n">
        <v>9</v>
      </c>
      <c r="L321" s="165" t="n">
        <v>-6</v>
      </c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  <c r="AA321" s="162" t="n"/>
      <c r="AB321" s="162" t="n"/>
      <c r="AC321" s="162" t="n"/>
      <c r="AD321" s="162" t="n"/>
      <c r="AE321" s="162" t="n"/>
      <c r="AF321" s="162" t="n"/>
      <c r="AG321" s="162" t="n"/>
      <c r="AH321" s="162" t="n"/>
      <c r="AI321" s="162" t="n"/>
      <c r="AJ321" s="162" t="n"/>
      <c r="AK321" s="162" t="n"/>
      <c r="AL321" s="162" t="n"/>
      <c r="AM321" s="162" t="n"/>
      <c r="AN321" s="162" t="n"/>
      <c r="AO321" s="162" t="n"/>
      <c r="AP321" s="162" t="n"/>
      <c r="AQ321" s="162" t="n"/>
      <c r="AR321" s="162" t="n"/>
      <c r="AS321" s="162" t="n"/>
      <c r="AT321" s="162" t="n"/>
      <c r="AU321" s="162" t="n"/>
      <c r="AV321" s="162" t="n"/>
      <c r="AW321" s="162" t="n"/>
      <c r="AX321" s="162" t="n"/>
      <c r="AY321" s="162" t="n"/>
      <c r="AZ321" s="162" t="n"/>
      <c r="BA321" s="162" t="n"/>
      <c r="BB321" s="162" t="n"/>
      <c r="BC321" s="162" t="n"/>
      <c r="BD321" s="162" t="n"/>
      <c r="BE321" s="162" t="n"/>
      <c r="BF321" s="162" t="n"/>
      <c r="BG321" s="162" t="n"/>
      <c r="BH321" s="162" t="n"/>
      <c r="BI321" s="162" t="n"/>
      <c r="BJ321" s="162" t="n"/>
      <c r="BK321" s="162" t="n"/>
      <c r="BL321" s="162" t="n"/>
      <c r="BM321" s="162" t="n"/>
      <c r="BN321" s="162" t="n"/>
      <c r="BO321" s="162" t="n"/>
      <c r="BP321" s="162" t="n"/>
      <c r="BQ321" s="162" t="n"/>
      <c r="BR321" s="162" t="n"/>
      <c r="BS321" s="162" t="n"/>
      <c r="BT321" s="162" t="n"/>
      <c r="BU321" s="162" t="n"/>
      <c r="BV321" s="162" t="n"/>
      <c r="BW321" s="162" t="n"/>
      <c r="BX321" s="162" t="n"/>
      <c r="BY321" s="162" t="n"/>
      <c r="BZ321" s="162" t="n"/>
      <c r="CA321" s="162" t="n"/>
      <c r="CB321" s="162" t="n"/>
      <c r="CC321" s="162" t="n"/>
      <c r="CD321" s="162" t="n"/>
      <c r="CE321" s="162" t="n"/>
      <c r="CF321" s="162" t="n"/>
      <c r="CG321" s="162" t="n"/>
      <c r="CH321" s="162" t="n"/>
      <c r="CI321" s="162" t="n"/>
      <c r="CJ321" s="162" t="n"/>
      <c r="CK321" s="162" t="n"/>
      <c r="CL321" s="162" t="n"/>
      <c r="CM321" s="162" t="n"/>
      <c r="CN321" s="162" t="n"/>
      <c r="CO321" s="162" t="n"/>
      <c r="CP321" s="162" t="n"/>
      <c r="CQ321" s="162" t="n"/>
      <c r="CR321" s="162" t="n"/>
      <c r="CS321" s="162" t="n"/>
      <c r="CT321" s="162" t="n"/>
    </row>
    <row r="322" ht="18.75" customHeight="1">
      <c r="A322" s="175" t="n">
        <v>85</v>
      </c>
      <c r="B322" s="165" t="n">
        <v>4</v>
      </c>
      <c r="C322" s="164" t="n">
        <v>45796</v>
      </c>
      <c r="D322" s="165" t="inlineStr">
        <is>
          <t>200 G. GARCERAS</t>
        </is>
      </c>
      <c r="E322" s="165" t="n">
        <v>41118</v>
      </c>
      <c r="F322" s="165" t="inlineStr">
        <is>
          <t>FABIO ALDANA</t>
        </is>
      </c>
      <c r="G322" s="165" t="n">
        <v>3060</v>
      </c>
      <c r="H322" s="165" t="n"/>
      <c r="I322" s="165" t="n">
        <v>3066</v>
      </c>
      <c r="J322" s="165" t="n">
        <v>1</v>
      </c>
      <c r="K322" s="165" t="n">
        <v>11</v>
      </c>
      <c r="L322" s="165" t="n">
        <v>-18</v>
      </c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  <c r="AA322" s="162" t="n"/>
      <c r="AB322" s="162" t="n"/>
      <c r="AC322" s="162" t="n"/>
      <c r="AD322" s="162" t="n"/>
      <c r="AE322" s="162" t="n"/>
      <c r="AF322" s="162" t="n"/>
      <c r="AG322" s="162" t="n"/>
      <c r="AH322" s="162" t="n"/>
      <c r="AI322" s="162" t="n"/>
      <c r="AJ322" s="162" t="n"/>
      <c r="AK322" s="162" t="n"/>
      <c r="AL322" s="162" t="n"/>
      <c r="AM322" s="162" t="n"/>
      <c r="AN322" s="162" t="n"/>
      <c r="AO322" s="162" t="n"/>
      <c r="AP322" s="162" t="n"/>
      <c r="AQ322" s="162" t="n"/>
      <c r="AR322" s="162" t="n"/>
      <c r="AS322" s="162" t="n"/>
      <c r="AT322" s="162" t="n"/>
      <c r="AU322" s="162" t="n"/>
      <c r="AV322" s="162" t="n"/>
      <c r="AW322" s="162" t="n"/>
      <c r="AX322" s="162" t="n"/>
      <c r="AY322" s="162" t="n"/>
      <c r="AZ322" s="162" t="n"/>
      <c r="BA322" s="162" t="n"/>
      <c r="BB322" s="162" t="n"/>
      <c r="BC322" s="162" t="n"/>
      <c r="BD322" s="162" t="n"/>
      <c r="BE322" s="162" t="n"/>
      <c r="BF322" s="162" t="n"/>
      <c r="BG322" s="162" t="n"/>
      <c r="BH322" s="162" t="n"/>
      <c r="BI322" s="162" t="n"/>
      <c r="BJ322" s="162" t="n"/>
      <c r="BK322" s="162" t="n"/>
      <c r="BL322" s="162" t="n"/>
      <c r="BM322" s="162" t="n"/>
      <c r="BN322" s="162" t="n"/>
      <c r="BO322" s="162" t="n"/>
      <c r="BP322" s="162" t="n"/>
      <c r="BQ322" s="162" t="n"/>
      <c r="BR322" s="162" t="n"/>
      <c r="BS322" s="162" t="n"/>
      <c r="BT322" s="162" t="n"/>
      <c r="BU322" s="162" t="n"/>
      <c r="BV322" s="162" t="n"/>
      <c r="BW322" s="162" t="n"/>
      <c r="BX322" s="162" t="n"/>
      <c r="BY322" s="162" t="n"/>
      <c r="BZ322" s="162" t="n"/>
      <c r="CA322" s="162" t="n"/>
      <c r="CB322" s="162" t="n"/>
      <c r="CC322" s="162" t="n"/>
      <c r="CD322" s="162" t="n"/>
      <c r="CE322" s="162" t="n"/>
      <c r="CF322" s="162" t="n"/>
      <c r="CG322" s="162" t="n"/>
      <c r="CH322" s="162" t="n"/>
      <c r="CI322" s="162" t="n"/>
      <c r="CJ322" s="162" t="n"/>
      <c r="CK322" s="162" t="n"/>
      <c r="CL322" s="162" t="n"/>
      <c r="CM322" s="162" t="n"/>
      <c r="CN322" s="162" t="n"/>
      <c r="CO322" s="162" t="n"/>
      <c r="CP322" s="162" t="n"/>
      <c r="CQ322" s="162" t="n"/>
      <c r="CR322" s="162" t="n"/>
      <c r="CS322" s="162" t="n"/>
      <c r="CT322" s="162" t="n"/>
    </row>
    <row r="323" ht="18.75" customHeight="1">
      <c r="A323" s="175" t="n">
        <v>86</v>
      </c>
      <c r="B323" s="165" t="n">
        <v>5</v>
      </c>
      <c r="C323" s="164" t="n">
        <v>45796</v>
      </c>
      <c r="D323" s="165" t="inlineStr">
        <is>
          <t>200 G. GARCERAS</t>
        </is>
      </c>
      <c r="E323" s="165" t="n">
        <v>41119</v>
      </c>
      <c r="F323" s="165" t="inlineStr">
        <is>
          <t>EDUAN CAVIEDES</t>
        </is>
      </c>
      <c r="G323" s="165" t="n">
        <v>3060</v>
      </c>
      <c r="H323" s="165" t="n"/>
      <c r="I323" s="165" t="n">
        <v>3065</v>
      </c>
      <c r="J323" s="165" t="n">
        <v>1</v>
      </c>
      <c r="K323" s="165" t="n">
        <v>12</v>
      </c>
      <c r="L323" s="165" t="n">
        <v>-18</v>
      </c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  <c r="AA323" s="162" t="n"/>
      <c r="AB323" s="162" t="n"/>
      <c r="AC323" s="162" t="n"/>
      <c r="AD323" s="162" t="n"/>
      <c r="AE323" s="162" t="n"/>
      <c r="AF323" s="162" t="n"/>
      <c r="AG323" s="162" t="n"/>
      <c r="AH323" s="162" t="n"/>
      <c r="AI323" s="162" t="n"/>
      <c r="AJ323" s="162" t="n"/>
      <c r="AK323" s="162" t="n"/>
      <c r="AL323" s="162" t="n"/>
      <c r="AM323" s="162" t="n"/>
      <c r="AN323" s="162" t="n"/>
      <c r="AO323" s="162" t="n"/>
      <c r="AP323" s="162" t="n"/>
      <c r="AQ323" s="162" t="n"/>
      <c r="AR323" s="162" t="n"/>
      <c r="AS323" s="162" t="n"/>
      <c r="AT323" s="162" t="n"/>
      <c r="AU323" s="162" t="n"/>
      <c r="AV323" s="162" t="n"/>
      <c r="AW323" s="162" t="n"/>
      <c r="AX323" s="162" t="n"/>
      <c r="AY323" s="162" t="n"/>
      <c r="AZ323" s="162" t="n"/>
      <c r="BA323" s="162" t="n"/>
      <c r="BB323" s="162" t="n"/>
      <c r="BC323" s="162" t="n"/>
      <c r="BD323" s="162" t="n"/>
      <c r="BE323" s="162" t="n"/>
      <c r="BF323" s="162" t="n"/>
      <c r="BG323" s="162" t="n"/>
      <c r="BH323" s="162" t="n"/>
      <c r="BI323" s="162" t="n"/>
      <c r="BJ323" s="162" t="n"/>
      <c r="BK323" s="162" t="n"/>
      <c r="BL323" s="162" t="n"/>
      <c r="BM323" s="162" t="n"/>
      <c r="BN323" s="162" t="n"/>
      <c r="BO323" s="162" t="n"/>
      <c r="BP323" s="162" t="n"/>
      <c r="BQ323" s="162" t="n"/>
      <c r="BR323" s="162" t="n"/>
      <c r="BS323" s="162" t="n"/>
      <c r="BT323" s="162" t="n"/>
      <c r="BU323" s="162" t="n"/>
      <c r="BV323" s="162" t="n"/>
      <c r="BW323" s="162" t="n"/>
      <c r="BX323" s="162" t="n"/>
      <c r="BY323" s="162" t="n"/>
      <c r="BZ323" s="162" t="n"/>
      <c r="CA323" s="162" t="n"/>
      <c r="CB323" s="162" t="n"/>
      <c r="CC323" s="162" t="n"/>
      <c r="CD323" s="162" t="n"/>
      <c r="CE323" s="162" t="n"/>
      <c r="CF323" s="162" t="n"/>
      <c r="CG323" s="162" t="n"/>
      <c r="CH323" s="162" t="n"/>
      <c r="CI323" s="162" t="n"/>
      <c r="CJ323" s="162" t="n"/>
      <c r="CK323" s="162" t="n"/>
      <c r="CL323" s="162" t="n"/>
      <c r="CM323" s="162" t="n"/>
      <c r="CN323" s="162" t="n"/>
      <c r="CO323" s="162" t="n"/>
      <c r="CP323" s="162" t="n"/>
      <c r="CQ323" s="162" t="n"/>
      <c r="CR323" s="162" t="n"/>
      <c r="CS323" s="162" t="n"/>
      <c r="CT323" s="162" t="n"/>
    </row>
    <row r="324" ht="18.75" customHeight="1">
      <c r="A324" s="175" t="n">
        <v>87</v>
      </c>
      <c r="B324" s="165" t="n">
        <v>6</v>
      </c>
      <c r="C324" s="164" t="n">
        <v>45796</v>
      </c>
      <c r="D324" s="165" t="inlineStr">
        <is>
          <t>218 G. SAN JOSE 1</t>
        </is>
      </c>
      <c r="E324" s="165" t="n">
        <v>41120</v>
      </c>
      <c r="F324" s="165" t="inlineStr">
        <is>
          <t>ALBERTO LOPEZ</t>
        </is>
      </c>
      <c r="G324" s="165" t="n">
        <v>3275</v>
      </c>
      <c r="H324" s="165" t="n"/>
      <c r="I324" s="165" t="n">
        <v>3288</v>
      </c>
      <c r="J324" s="165" t="n">
        <v>1</v>
      </c>
      <c r="K324" s="165" t="n">
        <v>8</v>
      </c>
      <c r="L324" s="165" t="n">
        <v>-22</v>
      </c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  <c r="AA324" s="162" t="n"/>
      <c r="AB324" s="162" t="n"/>
      <c r="AC324" s="162" t="n"/>
      <c r="AD324" s="162" t="n"/>
      <c r="AE324" s="162" t="n"/>
      <c r="AF324" s="162" t="n"/>
      <c r="AG324" s="162" t="n"/>
      <c r="AH324" s="162" t="n"/>
      <c r="AI324" s="162" t="n"/>
      <c r="AJ324" s="162" t="n"/>
      <c r="AK324" s="162" t="n"/>
      <c r="AL324" s="162" t="n"/>
      <c r="AM324" s="162" t="n"/>
      <c r="AN324" s="162" t="n"/>
      <c r="AO324" s="162" t="n"/>
      <c r="AP324" s="162" t="n"/>
      <c r="AQ324" s="162" t="n"/>
      <c r="AR324" s="162" t="n"/>
      <c r="AS324" s="162" t="n"/>
      <c r="AT324" s="162" t="n"/>
      <c r="AU324" s="162" t="n"/>
      <c r="AV324" s="162" t="n"/>
      <c r="AW324" s="162" t="n"/>
      <c r="AX324" s="162" t="n"/>
      <c r="AY324" s="162" t="n"/>
      <c r="AZ324" s="162" t="n"/>
      <c r="BA324" s="162" t="n"/>
      <c r="BB324" s="162" t="n"/>
      <c r="BC324" s="162" t="n"/>
      <c r="BD324" s="162" t="n"/>
      <c r="BE324" s="162" t="n"/>
      <c r="BF324" s="162" t="n"/>
      <c r="BG324" s="162" t="n"/>
      <c r="BH324" s="162" t="n"/>
      <c r="BI324" s="162" t="n"/>
      <c r="BJ324" s="162" t="n"/>
      <c r="BK324" s="162" t="n"/>
      <c r="BL324" s="162" t="n"/>
      <c r="BM324" s="162" t="n"/>
      <c r="BN324" s="162" t="n"/>
      <c r="BO324" s="162" t="n"/>
      <c r="BP324" s="162" t="n"/>
      <c r="BQ324" s="162" t="n"/>
      <c r="BR324" s="162" t="n"/>
      <c r="BS324" s="162" t="n"/>
      <c r="BT324" s="162" t="n"/>
      <c r="BU324" s="162" t="n"/>
      <c r="BV324" s="162" t="n"/>
      <c r="BW324" s="162" t="n"/>
      <c r="BX324" s="162" t="n"/>
      <c r="BY324" s="162" t="n"/>
      <c r="BZ324" s="162" t="n"/>
      <c r="CA324" s="162" t="n"/>
      <c r="CB324" s="162" t="n"/>
      <c r="CC324" s="162" t="n"/>
      <c r="CD324" s="162" t="n"/>
      <c r="CE324" s="162" t="n"/>
      <c r="CF324" s="162" t="n"/>
      <c r="CG324" s="162" t="n"/>
      <c r="CH324" s="162" t="n"/>
      <c r="CI324" s="162" t="n"/>
      <c r="CJ324" s="162" t="n"/>
      <c r="CK324" s="162" t="n"/>
      <c r="CL324" s="162" t="n"/>
      <c r="CM324" s="162" t="n"/>
      <c r="CN324" s="162" t="n"/>
      <c r="CO324" s="162" t="n"/>
      <c r="CP324" s="162" t="n"/>
      <c r="CQ324" s="162" t="n"/>
      <c r="CR324" s="162" t="n"/>
      <c r="CS324" s="162" t="n"/>
      <c r="CT324" s="162" t="n"/>
    </row>
    <row r="325" ht="18.75" customHeight="1">
      <c r="A325" s="175" t="n">
        <v>88</v>
      </c>
      <c r="B325" s="165" t="n">
        <v>7</v>
      </c>
      <c r="C325" s="164" t="n">
        <v>45796</v>
      </c>
      <c r="D325" s="165" t="inlineStr">
        <is>
          <t>218 G. SAN JOSE 1</t>
        </is>
      </c>
      <c r="E325" s="165" t="n">
        <v>41121</v>
      </c>
      <c r="F325" s="165" t="inlineStr">
        <is>
          <t>DIEGO NIÑO</t>
        </is>
      </c>
      <c r="G325" s="165" t="n">
        <v>3275</v>
      </c>
      <c r="H325" s="165" t="n"/>
      <c r="I325" s="165" t="n">
        <v>3285</v>
      </c>
      <c r="J325" s="165" t="n">
        <v>2</v>
      </c>
      <c r="K325" s="165" t="n">
        <v>13</v>
      </c>
      <c r="L325" s="165" t="n">
        <v>-25</v>
      </c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  <c r="AA325" s="162" t="n"/>
      <c r="AB325" s="162" t="n"/>
      <c r="AC325" s="162" t="n"/>
      <c r="AD325" s="162" t="n"/>
      <c r="AE325" s="162" t="n"/>
      <c r="AF325" s="162" t="n"/>
      <c r="AG325" s="162" t="n"/>
      <c r="AH325" s="162" t="n"/>
      <c r="AI325" s="162" t="n"/>
      <c r="AJ325" s="162" t="n"/>
      <c r="AK325" s="162" t="n"/>
      <c r="AL325" s="162" t="n"/>
      <c r="AM325" s="162" t="n"/>
      <c r="AN325" s="162" t="n"/>
      <c r="AO325" s="162" t="n"/>
      <c r="AP325" s="162" t="n"/>
      <c r="AQ325" s="162" t="n"/>
      <c r="AR325" s="162" t="n"/>
      <c r="AS325" s="162" t="n"/>
      <c r="AT325" s="162" t="n"/>
      <c r="AU325" s="162" t="n"/>
      <c r="AV325" s="162" t="n"/>
      <c r="AW325" s="162" t="n"/>
      <c r="AX325" s="162" t="n"/>
      <c r="AY325" s="162" t="n"/>
      <c r="AZ325" s="162" t="n"/>
      <c r="BA325" s="162" t="n"/>
      <c r="BB325" s="162" t="n"/>
      <c r="BC325" s="162" t="n"/>
      <c r="BD325" s="162" t="n"/>
      <c r="BE325" s="162" t="n"/>
      <c r="BF325" s="162" t="n"/>
      <c r="BG325" s="162" t="n"/>
      <c r="BH325" s="162" t="n"/>
      <c r="BI325" s="162" t="n"/>
      <c r="BJ325" s="162" t="n"/>
      <c r="BK325" s="162" t="n"/>
      <c r="BL325" s="162" t="n"/>
      <c r="BM325" s="162" t="n"/>
      <c r="BN325" s="162" t="n"/>
      <c r="BO325" s="162" t="n"/>
      <c r="BP325" s="162" t="n"/>
      <c r="BQ325" s="162" t="n"/>
      <c r="BR325" s="162" t="n"/>
      <c r="BS325" s="162" t="n"/>
      <c r="BT325" s="162" t="n"/>
      <c r="BU325" s="162" t="n"/>
      <c r="BV325" s="162" t="n"/>
      <c r="BW325" s="162" t="n"/>
      <c r="BX325" s="162" t="n"/>
      <c r="BY325" s="162" t="n"/>
      <c r="BZ325" s="162" t="n"/>
      <c r="CA325" s="162" t="n"/>
      <c r="CB325" s="162" t="n"/>
      <c r="CC325" s="162" t="n"/>
      <c r="CD325" s="162" t="n"/>
      <c r="CE325" s="162" t="n"/>
      <c r="CF325" s="162" t="n"/>
      <c r="CG325" s="162" t="n"/>
      <c r="CH325" s="162" t="n"/>
      <c r="CI325" s="162" t="n"/>
      <c r="CJ325" s="162" t="n"/>
      <c r="CK325" s="162" t="n"/>
      <c r="CL325" s="162" t="n"/>
      <c r="CM325" s="162" t="n"/>
      <c r="CN325" s="162" t="n"/>
      <c r="CO325" s="162" t="n"/>
      <c r="CP325" s="162" t="n"/>
      <c r="CQ325" s="162" t="n"/>
      <c r="CR325" s="162" t="n"/>
      <c r="CS325" s="162" t="n"/>
      <c r="CT325" s="162" t="n"/>
    </row>
    <row r="326" ht="18.75" customHeight="1">
      <c r="A326" s="175" t="n">
        <v>89</v>
      </c>
      <c r="B326" s="165" t="n">
        <v>8</v>
      </c>
      <c r="C326" s="164" t="n">
        <v>45797</v>
      </c>
      <c r="D326" s="165" t="inlineStr">
        <is>
          <t>200 G. GARCERAS</t>
        </is>
      </c>
      <c r="E326" s="165" t="n">
        <v>41135</v>
      </c>
      <c r="F326" s="165" t="inlineStr">
        <is>
          <t>JOSE SOLER</t>
        </is>
      </c>
      <c r="G326" s="165" t="n">
        <v>3663</v>
      </c>
      <c r="H326" s="165" t="n"/>
      <c r="I326" s="165" t="n">
        <v>3622</v>
      </c>
      <c r="J326" s="165" t="n">
        <v>6</v>
      </c>
      <c r="K326" s="165" t="n">
        <v>13</v>
      </c>
      <c r="L326" s="165" t="n">
        <v>22</v>
      </c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  <c r="AA326" s="162" t="n"/>
      <c r="AB326" s="162" t="n"/>
      <c r="AC326" s="162" t="n"/>
      <c r="AD326" s="162" t="n"/>
      <c r="AE326" s="162" t="n"/>
      <c r="AF326" s="162" t="n"/>
      <c r="AG326" s="162" t="n"/>
      <c r="AH326" s="162" t="n"/>
      <c r="AI326" s="162" t="n"/>
      <c r="AJ326" s="162" t="n"/>
      <c r="AK326" s="162" t="n"/>
      <c r="AL326" s="162" t="n"/>
      <c r="AM326" s="162" t="n"/>
      <c r="AN326" s="162" t="n"/>
      <c r="AO326" s="162" t="n"/>
      <c r="AP326" s="162" t="n"/>
      <c r="AQ326" s="162" t="n"/>
      <c r="AR326" s="162" t="n"/>
      <c r="AS326" s="162" t="n"/>
      <c r="AT326" s="162" t="n"/>
      <c r="AU326" s="162" t="n"/>
      <c r="AV326" s="162" t="n"/>
      <c r="AW326" s="162" t="n"/>
      <c r="AX326" s="162" t="n"/>
      <c r="AY326" s="162" t="n"/>
      <c r="AZ326" s="162" t="n"/>
      <c r="BA326" s="162" t="n"/>
      <c r="BB326" s="162" t="n"/>
      <c r="BC326" s="162" t="n"/>
      <c r="BD326" s="162" t="n"/>
      <c r="BE326" s="162" t="n"/>
      <c r="BF326" s="162" t="n"/>
      <c r="BG326" s="162" t="n"/>
      <c r="BH326" s="162" t="n"/>
      <c r="BI326" s="162" t="n"/>
      <c r="BJ326" s="162" t="n"/>
      <c r="BK326" s="162" t="n"/>
      <c r="BL326" s="162" t="n"/>
      <c r="BM326" s="162" t="n"/>
      <c r="BN326" s="162" t="n"/>
      <c r="BO326" s="162" t="n"/>
      <c r="BP326" s="162" t="n"/>
      <c r="BQ326" s="162" t="n"/>
      <c r="BR326" s="162" t="n"/>
      <c r="BS326" s="162" t="n"/>
      <c r="BT326" s="162" t="n"/>
      <c r="BU326" s="162" t="n"/>
      <c r="BV326" s="162" t="n"/>
      <c r="BW326" s="162" t="n"/>
      <c r="BX326" s="162" t="n"/>
      <c r="BY326" s="162" t="n"/>
      <c r="BZ326" s="162" t="n"/>
      <c r="CA326" s="162" t="n"/>
      <c r="CB326" s="162" t="n"/>
      <c r="CC326" s="162" t="n"/>
      <c r="CD326" s="162" t="n"/>
      <c r="CE326" s="162" t="n"/>
      <c r="CF326" s="162" t="n"/>
      <c r="CG326" s="162" t="n"/>
      <c r="CH326" s="162" t="n"/>
      <c r="CI326" s="162" t="n"/>
      <c r="CJ326" s="162" t="n"/>
      <c r="CK326" s="162" t="n"/>
      <c r="CL326" s="162" t="n"/>
      <c r="CM326" s="162" t="n"/>
      <c r="CN326" s="162" t="n"/>
      <c r="CO326" s="162" t="n"/>
      <c r="CP326" s="162" t="n"/>
      <c r="CQ326" s="162" t="n"/>
      <c r="CR326" s="162" t="n"/>
      <c r="CS326" s="162" t="n"/>
      <c r="CT326" s="162" t="n"/>
    </row>
    <row r="327" ht="18.75" customHeight="1">
      <c r="A327" s="175" t="n">
        <v>90</v>
      </c>
      <c r="B327" s="165" t="n">
        <v>9</v>
      </c>
      <c r="C327" s="164" t="n">
        <v>45797</v>
      </c>
      <c r="D327" s="165" t="inlineStr">
        <is>
          <t>200 G. GARCERAS</t>
        </is>
      </c>
      <c r="E327" s="165" t="n">
        <v>41136</v>
      </c>
      <c r="F327" s="165" t="inlineStr">
        <is>
          <t>YAIR RIVEROS</t>
        </is>
      </c>
      <c r="G327" s="165" t="n">
        <v>3633</v>
      </c>
      <c r="H327" s="165" t="n"/>
      <c r="I327" s="165" t="n">
        <v>3620</v>
      </c>
      <c r="J327" s="165" t="n">
        <v>2</v>
      </c>
      <c r="K327" s="165" t="n">
        <v>13</v>
      </c>
      <c r="L327" s="165" t="n">
        <v>-2</v>
      </c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  <c r="AA327" s="162" t="n"/>
      <c r="AB327" s="162" t="n"/>
      <c r="AC327" s="162" t="n"/>
      <c r="AD327" s="162" t="n"/>
      <c r="AE327" s="162" t="n"/>
      <c r="AF327" s="162" t="n"/>
      <c r="AG327" s="162" t="n"/>
      <c r="AH327" s="162" t="n"/>
      <c r="AI327" s="162" t="n"/>
      <c r="AJ327" s="162" t="n"/>
      <c r="AK327" s="162" t="n"/>
      <c r="AL327" s="162" t="n"/>
      <c r="AM327" s="162" t="n"/>
      <c r="AN327" s="162" t="n"/>
      <c r="AO327" s="162" t="n"/>
      <c r="AP327" s="162" t="n"/>
      <c r="AQ327" s="162" t="n"/>
      <c r="AR327" s="162" t="n"/>
      <c r="AS327" s="162" t="n"/>
      <c r="AT327" s="162" t="n"/>
      <c r="AU327" s="162" t="n"/>
      <c r="AV327" s="162" t="n"/>
      <c r="AW327" s="162" t="n"/>
      <c r="AX327" s="162" t="n"/>
      <c r="AY327" s="162" t="n"/>
      <c r="AZ327" s="162" t="n"/>
      <c r="BA327" s="162" t="n"/>
      <c r="BB327" s="162" t="n"/>
      <c r="BC327" s="162" t="n"/>
      <c r="BD327" s="162" t="n"/>
      <c r="BE327" s="162" t="n"/>
      <c r="BF327" s="162" t="n"/>
      <c r="BG327" s="162" t="n"/>
      <c r="BH327" s="162" t="n"/>
      <c r="BI327" s="162" t="n"/>
      <c r="BJ327" s="162" t="n"/>
      <c r="BK327" s="162" t="n"/>
      <c r="BL327" s="162" t="n"/>
      <c r="BM327" s="162" t="n"/>
      <c r="BN327" s="162" t="n"/>
      <c r="BO327" s="162" t="n"/>
      <c r="BP327" s="162" t="n"/>
      <c r="BQ327" s="162" t="n"/>
      <c r="BR327" s="162" t="n"/>
      <c r="BS327" s="162" t="n"/>
      <c r="BT327" s="162" t="n"/>
      <c r="BU327" s="162" t="n"/>
      <c r="BV327" s="162" t="n"/>
      <c r="BW327" s="162" t="n"/>
      <c r="BX327" s="162" t="n"/>
      <c r="BY327" s="162" t="n"/>
      <c r="BZ327" s="162" t="n"/>
      <c r="CA327" s="162" t="n"/>
      <c r="CB327" s="162" t="n"/>
      <c r="CC327" s="162" t="n"/>
      <c r="CD327" s="162" t="n"/>
      <c r="CE327" s="162" t="n"/>
      <c r="CF327" s="162" t="n"/>
      <c r="CG327" s="162" t="n"/>
      <c r="CH327" s="162" t="n"/>
      <c r="CI327" s="162" t="n"/>
      <c r="CJ327" s="162" t="n"/>
      <c r="CK327" s="162" t="n"/>
      <c r="CL327" s="162" t="n"/>
      <c r="CM327" s="162" t="n"/>
      <c r="CN327" s="162" t="n"/>
      <c r="CO327" s="162" t="n"/>
      <c r="CP327" s="162" t="n"/>
      <c r="CQ327" s="162" t="n"/>
      <c r="CR327" s="162" t="n"/>
      <c r="CS327" s="162" t="n"/>
      <c r="CT327" s="162" t="n"/>
    </row>
    <row r="328" ht="18.75" customHeight="1">
      <c r="A328" s="175" t="n">
        <v>91</v>
      </c>
      <c r="B328" s="165" t="n">
        <v>10</v>
      </c>
      <c r="C328" s="164" t="n">
        <v>45797</v>
      </c>
      <c r="D328" s="165" t="inlineStr">
        <is>
          <t>200 G. GARCERAS</t>
        </is>
      </c>
      <c r="E328" s="165" t="n">
        <v>41137</v>
      </c>
      <c r="F328" s="165" t="inlineStr">
        <is>
          <t>DUMAR ANGARITA</t>
        </is>
      </c>
      <c r="G328" s="165" t="n">
        <v>3439</v>
      </c>
      <c r="H328" s="165" t="n"/>
      <c r="I328" s="165" t="n">
        <v>3430</v>
      </c>
      <c r="J328" s="165" t="n">
        <v>3</v>
      </c>
      <c r="K328" s="165" t="n">
        <v>10</v>
      </c>
      <c r="L328" s="165" t="n">
        <v>-4</v>
      </c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  <c r="AA328" s="162" t="n"/>
      <c r="AB328" s="162" t="n"/>
      <c r="AC328" s="162" t="n"/>
      <c r="AD328" s="162" t="n"/>
      <c r="AE328" s="162" t="n"/>
      <c r="AF328" s="162" t="n"/>
      <c r="AG328" s="162" t="n"/>
      <c r="AH328" s="162" t="n"/>
      <c r="AI328" s="162" t="n"/>
      <c r="AJ328" s="162" t="n"/>
      <c r="AK328" s="162" t="n"/>
      <c r="AL328" s="162" t="n"/>
      <c r="AM328" s="162" t="n"/>
      <c r="AN328" s="162" t="n"/>
      <c r="AO328" s="162" t="n"/>
      <c r="AP328" s="162" t="n"/>
      <c r="AQ328" s="162" t="n"/>
      <c r="AR328" s="162" t="n"/>
      <c r="AS328" s="162" t="n"/>
      <c r="AT328" s="162" t="n"/>
      <c r="AU328" s="162" t="n"/>
      <c r="AV328" s="162" t="n"/>
      <c r="AW328" s="162" t="n"/>
      <c r="AX328" s="162" t="n"/>
      <c r="AY328" s="162" t="n"/>
      <c r="AZ328" s="162" t="n"/>
      <c r="BA328" s="162" t="n"/>
      <c r="BB328" s="162" t="n"/>
      <c r="BC328" s="162" t="n"/>
      <c r="BD328" s="162" t="n"/>
      <c r="BE328" s="162" t="n"/>
      <c r="BF328" s="162" t="n"/>
      <c r="BG328" s="162" t="n"/>
      <c r="BH328" s="162" t="n"/>
      <c r="BI328" s="162" t="n"/>
      <c r="BJ328" s="162" t="n"/>
      <c r="BK328" s="162" t="n"/>
      <c r="BL328" s="162" t="n"/>
      <c r="BM328" s="162" t="n"/>
      <c r="BN328" s="162" t="n"/>
      <c r="BO328" s="162" t="n"/>
      <c r="BP328" s="162" t="n"/>
      <c r="BQ328" s="162" t="n"/>
      <c r="BR328" s="162" t="n"/>
      <c r="BS328" s="162" t="n"/>
      <c r="BT328" s="162" t="n"/>
      <c r="BU328" s="162" t="n"/>
      <c r="BV328" s="162" t="n"/>
      <c r="BW328" s="162" t="n"/>
      <c r="BX328" s="162" t="n"/>
      <c r="BY328" s="162" t="n"/>
      <c r="BZ328" s="162" t="n"/>
      <c r="CA328" s="162" t="n"/>
      <c r="CB328" s="162" t="n"/>
      <c r="CC328" s="162" t="n"/>
      <c r="CD328" s="162" t="n"/>
      <c r="CE328" s="162" t="n"/>
      <c r="CF328" s="162" t="n"/>
      <c r="CG328" s="162" t="n"/>
      <c r="CH328" s="162" t="n"/>
      <c r="CI328" s="162" t="n"/>
      <c r="CJ328" s="162" t="n"/>
      <c r="CK328" s="162" t="n"/>
      <c r="CL328" s="162" t="n"/>
      <c r="CM328" s="162" t="n"/>
      <c r="CN328" s="162" t="n"/>
      <c r="CO328" s="162" t="n"/>
      <c r="CP328" s="162" t="n"/>
      <c r="CQ328" s="162" t="n"/>
      <c r="CR328" s="162" t="n"/>
      <c r="CS328" s="162" t="n"/>
      <c r="CT328" s="162" t="n"/>
    </row>
    <row r="329" ht="15" customHeight="1">
      <c r="A329" s="175" t="n">
        <v>92</v>
      </c>
      <c r="B329" s="165" t="n">
        <v>11</v>
      </c>
      <c r="C329" s="164" t="n">
        <v>45797</v>
      </c>
      <c r="D329" s="166" t="inlineStr">
        <is>
          <t>200 G. GARCERAS</t>
        </is>
      </c>
      <c r="E329" s="166" t="n">
        <v>41138</v>
      </c>
      <c r="F329" s="166" t="inlineStr">
        <is>
          <t>JHON ARIAS</t>
        </is>
      </c>
      <c r="G329" s="166" t="n">
        <v>3439</v>
      </c>
      <c r="H329" s="166" t="n"/>
      <c r="I329" s="166" t="n">
        <v>3431</v>
      </c>
      <c r="J329" s="166" t="n">
        <v>2</v>
      </c>
      <c r="K329" s="166" t="n">
        <v>9</v>
      </c>
      <c r="L329" s="166" t="n">
        <v>-3</v>
      </c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  <c r="AA329" s="162" t="n"/>
      <c r="AB329" s="162" t="n"/>
      <c r="AC329" s="162" t="n"/>
      <c r="AD329" s="162" t="n"/>
      <c r="AE329" s="162" t="n"/>
      <c r="AF329" s="162" t="n"/>
      <c r="AG329" s="162" t="n"/>
      <c r="AH329" s="162" t="n"/>
      <c r="AI329" s="162" t="n"/>
      <c r="AJ329" s="162" t="n"/>
      <c r="AK329" s="162" t="n"/>
      <c r="AL329" s="162" t="n"/>
      <c r="AM329" s="162" t="n"/>
      <c r="AN329" s="162" t="n"/>
      <c r="AO329" s="162" t="n"/>
      <c r="AP329" s="162" t="n"/>
      <c r="AQ329" s="162" t="n"/>
      <c r="AR329" s="162" t="n"/>
      <c r="AS329" s="162" t="n"/>
      <c r="AT329" s="162" t="n"/>
      <c r="AU329" s="162" t="n"/>
      <c r="AV329" s="162" t="n"/>
      <c r="AW329" s="162" t="n"/>
      <c r="AX329" s="162" t="n"/>
      <c r="AY329" s="162" t="n"/>
      <c r="AZ329" s="162" t="n"/>
      <c r="BA329" s="162" t="n"/>
      <c r="BB329" s="162" t="n"/>
      <c r="BC329" s="162" t="n"/>
      <c r="BD329" s="162" t="n"/>
      <c r="BE329" s="162" t="n"/>
      <c r="BF329" s="162" t="n"/>
      <c r="BG329" s="162" t="n"/>
      <c r="BH329" s="162" t="n"/>
      <c r="BI329" s="162" t="n"/>
      <c r="BJ329" s="162" t="n"/>
      <c r="BK329" s="162" t="n"/>
      <c r="BL329" s="162" t="n"/>
      <c r="BM329" s="162" t="n"/>
      <c r="BN329" s="162" t="n"/>
      <c r="BO329" s="162" t="n"/>
      <c r="BP329" s="162" t="n"/>
      <c r="BQ329" s="162" t="n"/>
      <c r="BR329" s="162" t="n"/>
      <c r="BS329" s="162" t="n"/>
      <c r="BT329" s="162" t="n"/>
      <c r="BU329" s="162" t="n"/>
      <c r="BV329" s="162" t="n"/>
      <c r="BW329" s="162" t="n"/>
      <c r="BX329" s="162" t="n"/>
      <c r="BY329" s="162" t="n"/>
      <c r="BZ329" s="162" t="n"/>
      <c r="CA329" s="162" t="n"/>
      <c r="CB329" s="162" t="n"/>
      <c r="CC329" s="162" t="n"/>
      <c r="CD329" s="162" t="n"/>
      <c r="CE329" s="162" t="n"/>
      <c r="CF329" s="162" t="n"/>
      <c r="CG329" s="162" t="n"/>
      <c r="CH329" s="162" t="n"/>
      <c r="CI329" s="162" t="n"/>
      <c r="CJ329" s="162" t="n"/>
      <c r="CK329" s="162" t="n"/>
      <c r="CL329" s="162" t="n"/>
      <c r="CM329" s="162" t="n"/>
      <c r="CN329" s="162" t="n"/>
      <c r="CO329" s="162" t="n"/>
      <c r="CP329" s="162" t="n"/>
      <c r="CQ329" s="162" t="n"/>
      <c r="CR329" s="162" t="n"/>
      <c r="CS329" s="162" t="n"/>
      <c r="CT329" s="162" t="n"/>
    </row>
    <row r="330" ht="15" customHeight="1">
      <c r="A330" s="175" t="n">
        <v>93</v>
      </c>
      <c r="B330" s="165" t="n">
        <v>12</v>
      </c>
      <c r="C330" s="164" t="n">
        <v>45797</v>
      </c>
      <c r="D330" s="166" t="inlineStr">
        <is>
          <t>218 G. SAN JOSE 1</t>
        </is>
      </c>
      <c r="E330" s="166" t="n">
        <v>41139</v>
      </c>
      <c r="F330" s="166" t="inlineStr">
        <is>
          <t>ALBERTO HERRERA</t>
        </is>
      </c>
      <c r="G330" s="166" t="n">
        <v>3000</v>
      </c>
      <c r="H330" s="166" t="n"/>
      <c r="I330" s="166" t="n">
        <v>2999</v>
      </c>
      <c r="J330" s="166" t="n">
        <v>2</v>
      </c>
      <c r="K330" s="166" t="n">
        <v>10</v>
      </c>
      <c r="L330" s="166" t="n">
        <v>-11</v>
      </c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  <c r="AA330" s="162" t="n"/>
      <c r="AB330" s="162" t="n"/>
      <c r="AC330" s="162" t="n"/>
      <c r="AD330" s="162" t="n"/>
      <c r="AE330" s="162" t="n"/>
      <c r="AF330" s="162" t="n"/>
      <c r="AG330" s="162" t="n"/>
      <c r="AH330" s="162" t="n"/>
      <c r="AI330" s="162" t="n"/>
      <c r="AJ330" s="162" t="n"/>
      <c r="AK330" s="162" t="n"/>
      <c r="AL330" s="162" t="n"/>
      <c r="AM330" s="162" t="n"/>
      <c r="AN330" s="162" t="n"/>
      <c r="AO330" s="162" t="n"/>
      <c r="AP330" s="162" t="n"/>
      <c r="AQ330" s="162" t="n"/>
      <c r="AR330" s="162" t="n"/>
      <c r="AS330" s="162" t="n"/>
      <c r="AT330" s="162" t="n"/>
      <c r="AU330" s="162" t="n"/>
      <c r="AV330" s="162" t="n"/>
      <c r="AW330" s="162" t="n"/>
      <c r="AX330" s="162" t="n"/>
      <c r="AY330" s="162" t="n"/>
      <c r="AZ330" s="162" t="n"/>
      <c r="BA330" s="162" t="n"/>
      <c r="BB330" s="162" t="n"/>
      <c r="BC330" s="162" t="n"/>
      <c r="BD330" s="162" t="n"/>
      <c r="BE330" s="162" t="n"/>
      <c r="BF330" s="162" t="n"/>
      <c r="BG330" s="162" t="n"/>
      <c r="BH330" s="162" t="n"/>
      <c r="BI330" s="162" t="n"/>
      <c r="BJ330" s="162" t="n"/>
      <c r="BK330" s="162" t="n"/>
      <c r="BL330" s="162" t="n"/>
      <c r="BM330" s="162" t="n"/>
      <c r="BN330" s="162" t="n"/>
      <c r="BO330" s="162" t="n"/>
      <c r="BP330" s="162" t="n"/>
      <c r="BQ330" s="162" t="n"/>
      <c r="BR330" s="162" t="n"/>
      <c r="BS330" s="162" t="n"/>
      <c r="BT330" s="162" t="n"/>
      <c r="BU330" s="162" t="n"/>
      <c r="BV330" s="162" t="n"/>
      <c r="BW330" s="162" t="n"/>
      <c r="BX330" s="162" t="n"/>
      <c r="BY330" s="162" t="n"/>
      <c r="BZ330" s="162" t="n"/>
      <c r="CA330" s="162" t="n"/>
      <c r="CB330" s="162" t="n"/>
      <c r="CC330" s="162" t="n"/>
      <c r="CD330" s="162" t="n"/>
      <c r="CE330" s="162" t="n"/>
      <c r="CF330" s="162" t="n"/>
      <c r="CG330" s="162" t="n"/>
      <c r="CH330" s="162" t="n"/>
      <c r="CI330" s="162" t="n"/>
      <c r="CJ330" s="162" t="n"/>
      <c r="CK330" s="162" t="n"/>
      <c r="CL330" s="162" t="n"/>
      <c r="CM330" s="162" t="n"/>
      <c r="CN330" s="162" t="n"/>
      <c r="CO330" s="162" t="n"/>
      <c r="CP330" s="162" t="n"/>
      <c r="CQ330" s="162" t="n"/>
      <c r="CR330" s="162" t="n"/>
      <c r="CS330" s="162" t="n"/>
      <c r="CT330" s="162" t="n"/>
    </row>
    <row r="331" ht="15" customHeight="1">
      <c r="A331" s="175" t="n">
        <v>94</v>
      </c>
      <c r="B331" s="165" t="n">
        <v>13</v>
      </c>
      <c r="C331" s="164" t="n">
        <v>45797</v>
      </c>
      <c r="D331" s="166" t="inlineStr">
        <is>
          <t>218 G. SAN JOSE 1</t>
        </is>
      </c>
      <c r="E331" s="166" t="n">
        <v>41140</v>
      </c>
      <c r="F331" s="166" t="inlineStr">
        <is>
          <t>EDWIN ROJAS</t>
        </is>
      </c>
      <c r="G331" s="166" t="n">
        <v>3000</v>
      </c>
      <c r="H331" s="166" t="n"/>
      <c r="I331" s="166" t="n">
        <v>2972</v>
      </c>
      <c r="J331" s="166" t="n">
        <v>1</v>
      </c>
      <c r="K331" s="166" t="n">
        <v>7</v>
      </c>
      <c r="L331" s="166" t="n">
        <v>20</v>
      </c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  <c r="AA331" s="162" t="n"/>
      <c r="AB331" s="162" t="n"/>
      <c r="AC331" s="162" t="n"/>
      <c r="AD331" s="162" t="n"/>
      <c r="AE331" s="162" t="n"/>
      <c r="AF331" s="162" t="n"/>
      <c r="AG331" s="162" t="n"/>
      <c r="AH331" s="162" t="n"/>
      <c r="AI331" s="162" t="n"/>
      <c r="AJ331" s="162" t="n"/>
      <c r="AK331" s="162" t="n"/>
      <c r="AL331" s="162" t="n"/>
      <c r="AM331" s="162" t="n"/>
      <c r="AN331" s="162" t="n"/>
      <c r="AO331" s="162" t="n"/>
      <c r="AP331" s="162" t="n"/>
      <c r="AQ331" s="162" t="n"/>
      <c r="AR331" s="162" t="n"/>
      <c r="AS331" s="162" t="n"/>
      <c r="AT331" s="162" t="n"/>
      <c r="AU331" s="162" t="n"/>
      <c r="AV331" s="162" t="n"/>
      <c r="AW331" s="162" t="n"/>
      <c r="AX331" s="162" t="n"/>
      <c r="AY331" s="162" t="n"/>
      <c r="AZ331" s="162" t="n"/>
      <c r="BA331" s="162" t="n"/>
      <c r="BB331" s="162" t="n"/>
      <c r="BC331" s="162" t="n"/>
      <c r="BD331" s="162" t="n"/>
      <c r="BE331" s="162" t="n"/>
      <c r="BF331" s="162" t="n"/>
      <c r="BG331" s="162" t="n"/>
      <c r="BH331" s="162" t="n"/>
      <c r="BI331" s="162" t="n"/>
      <c r="BJ331" s="162" t="n"/>
      <c r="BK331" s="162" t="n"/>
      <c r="BL331" s="162" t="n"/>
      <c r="BM331" s="162" t="n"/>
      <c r="BN331" s="162" t="n"/>
      <c r="BO331" s="162" t="n"/>
      <c r="BP331" s="162" t="n"/>
      <c r="BQ331" s="162" t="n"/>
      <c r="BR331" s="162" t="n"/>
      <c r="BS331" s="162" t="n"/>
      <c r="BT331" s="162" t="n"/>
      <c r="BU331" s="162" t="n"/>
      <c r="BV331" s="162" t="n"/>
      <c r="BW331" s="162" t="n"/>
      <c r="BX331" s="162" t="n"/>
      <c r="BY331" s="162" t="n"/>
      <c r="BZ331" s="162" t="n"/>
      <c r="CA331" s="162" t="n"/>
      <c r="CB331" s="162" t="n"/>
      <c r="CC331" s="162" t="n"/>
      <c r="CD331" s="162" t="n"/>
      <c r="CE331" s="162" t="n"/>
      <c r="CF331" s="162" t="n"/>
      <c r="CG331" s="162" t="n"/>
      <c r="CH331" s="162" t="n"/>
      <c r="CI331" s="162" t="n"/>
      <c r="CJ331" s="162" t="n"/>
      <c r="CK331" s="162" t="n"/>
      <c r="CL331" s="162" t="n"/>
      <c r="CM331" s="162" t="n"/>
      <c r="CN331" s="162" t="n"/>
      <c r="CO331" s="162" t="n"/>
      <c r="CP331" s="162" t="n"/>
      <c r="CQ331" s="162" t="n"/>
      <c r="CR331" s="162" t="n"/>
      <c r="CS331" s="162" t="n"/>
      <c r="CT331" s="162" t="n"/>
    </row>
    <row r="332" ht="15" customHeight="1">
      <c r="A332" s="175" t="n">
        <v>95</v>
      </c>
      <c r="B332" s="165" t="n">
        <v>14</v>
      </c>
      <c r="C332" s="164" t="n">
        <v>45797</v>
      </c>
      <c r="D332" s="166" t="inlineStr">
        <is>
          <t>218 G. SAN JOSE 1</t>
        </is>
      </c>
      <c r="E332" s="166" t="n">
        <v>41141</v>
      </c>
      <c r="F332" s="166" t="inlineStr">
        <is>
          <t>JHON AGUIRRE</t>
        </is>
      </c>
      <c r="G332" s="166" t="n">
        <v>3000</v>
      </c>
      <c r="H332" s="166" t="n"/>
      <c r="I332" s="166" t="n">
        <v>2975</v>
      </c>
      <c r="J332" s="166" t="n">
        <v>1</v>
      </c>
      <c r="K332" s="166" t="n">
        <v>4</v>
      </c>
      <c r="L332" s="166" t="n">
        <v>20</v>
      </c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  <c r="AA332" s="162" t="n"/>
      <c r="AB332" s="162" t="n"/>
      <c r="AC332" s="162" t="n"/>
      <c r="AD332" s="162" t="n"/>
      <c r="AE332" s="162" t="n"/>
      <c r="AF332" s="162" t="n"/>
      <c r="AG332" s="162" t="n"/>
      <c r="AH332" s="162" t="n"/>
      <c r="AI332" s="162" t="n"/>
      <c r="AJ332" s="162" t="n"/>
      <c r="AK332" s="162" t="n"/>
      <c r="AL332" s="162" t="n"/>
      <c r="AM332" s="162" t="n"/>
      <c r="AN332" s="162" t="n"/>
      <c r="AO332" s="162" t="n"/>
      <c r="AP332" s="162" t="n"/>
      <c r="AQ332" s="162" t="n"/>
      <c r="AR332" s="162" t="n"/>
      <c r="AS332" s="162" t="n"/>
      <c r="AT332" s="162" t="n"/>
      <c r="AU332" s="162" t="n"/>
      <c r="AV332" s="162" t="n"/>
      <c r="AW332" s="162" t="n"/>
      <c r="AX332" s="162" t="n"/>
      <c r="AY332" s="162" t="n"/>
      <c r="AZ332" s="162" t="n"/>
      <c r="BA332" s="162" t="n"/>
      <c r="BB332" s="162" t="n"/>
      <c r="BC332" s="162" t="n"/>
      <c r="BD332" s="162" t="n"/>
      <c r="BE332" s="162" t="n"/>
      <c r="BF332" s="162" t="n"/>
      <c r="BG332" s="162" t="n"/>
      <c r="BH332" s="162" t="n"/>
      <c r="BI332" s="162" t="n"/>
      <c r="BJ332" s="162" t="n"/>
      <c r="BK332" s="162" t="n"/>
      <c r="BL332" s="162" t="n"/>
      <c r="BM332" s="162" t="n"/>
      <c r="BN332" s="162" t="n"/>
      <c r="BO332" s="162" t="n"/>
      <c r="BP332" s="162" t="n"/>
      <c r="BQ332" s="162" t="n"/>
      <c r="BR332" s="162" t="n"/>
      <c r="BS332" s="162" t="n"/>
      <c r="BT332" s="162" t="n"/>
      <c r="BU332" s="162" t="n"/>
      <c r="BV332" s="162" t="n"/>
      <c r="BW332" s="162" t="n"/>
      <c r="BX332" s="162" t="n"/>
      <c r="BY332" s="162" t="n"/>
      <c r="BZ332" s="162" t="n"/>
      <c r="CA332" s="162" t="n"/>
      <c r="CB332" s="162" t="n"/>
      <c r="CC332" s="162" t="n"/>
      <c r="CD332" s="162" t="n"/>
      <c r="CE332" s="162" t="n"/>
      <c r="CF332" s="162" t="n"/>
      <c r="CG332" s="162" t="n"/>
      <c r="CH332" s="162" t="n"/>
      <c r="CI332" s="162" t="n"/>
      <c r="CJ332" s="162" t="n"/>
      <c r="CK332" s="162" t="n"/>
      <c r="CL332" s="162" t="n"/>
      <c r="CM332" s="162" t="n"/>
      <c r="CN332" s="162" t="n"/>
      <c r="CO332" s="162" t="n"/>
      <c r="CP332" s="162" t="n"/>
      <c r="CQ332" s="162" t="n"/>
      <c r="CR332" s="162" t="n"/>
      <c r="CS332" s="162" t="n"/>
      <c r="CT332" s="162" t="n"/>
    </row>
    <row r="333" ht="15" customHeight="1">
      <c r="A333" s="175" t="n">
        <v>96</v>
      </c>
      <c r="B333" s="165" t="n">
        <v>15</v>
      </c>
      <c r="C333" s="164" t="n">
        <v>45797</v>
      </c>
      <c r="D333" s="166" t="inlineStr">
        <is>
          <t>218 G. SAN JOSE 1</t>
        </is>
      </c>
      <c r="E333" s="166" t="n">
        <v>41142</v>
      </c>
      <c r="F333" s="166" t="inlineStr">
        <is>
          <t>JAIRO CUBILLOS</t>
        </is>
      </c>
      <c r="G333" s="166" t="n">
        <v>3000</v>
      </c>
      <c r="H333" s="166" t="n"/>
      <c r="I333" s="166" t="n">
        <v>2972</v>
      </c>
      <c r="J333" s="166" t="n">
        <v>5</v>
      </c>
      <c r="K333" s="166" t="n">
        <v>7</v>
      </c>
      <c r="L333" s="166" t="n">
        <v>16</v>
      </c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  <c r="AA333" s="162" t="n"/>
      <c r="AB333" s="162" t="n"/>
      <c r="AC333" s="162" t="n"/>
      <c r="AD333" s="162" t="n"/>
      <c r="AE333" s="162" t="n"/>
      <c r="AF333" s="162" t="n"/>
      <c r="AG333" s="162" t="n"/>
      <c r="AH333" s="162" t="n"/>
      <c r="AI333" s="162" t="n"/>
      <c r="AJ333" s="162" t="n"/>
      <c r="AK333" s="162" t="n"/>
      <c r="AL333" s="162" t="n"/>
      <c r="AM333" s="162" t="n"/>
      <c r="AN333" s="162" t="n"/>
      <c r="AO333" s="162" t="n"/>
      <c r="AP333" s="162" t="n"/>
      <c r="AQ333" s="162" t="n"/>
      <c r="AR333" s="162" t="n"/>
      <c r="AS333" s="162" t="n"/>
      <c r="AT333" s="162" t="n"/>
      <c r="AU333" s="162" t="n"/>
      <c r="AV333" s="162" t="n"/>
      <c r="AW333" s="162" t="n"/>
      <c r="AX333" s="162" t="n"/>
      <c r="AY333" s="162" t="n"/>
      <c r="AZ333" s="162" t="n"/>
      <c r="BA333" s="162" t="n"/>
      <c r="BB333" s="162" t="n"/>
      <c r="BC333" s="162" t="n"/>
      <c r="BD333" s="162" t="n"/>
      <c r="BE333" s="162" t="n"/>
      <c r="BF333" s="162" t="n"/>
      <c r="BG333" s="162" t="n"/>
      <c r="BH333" s="162" t="n"/>
      <c r="BI333" s="162" t="n"/>
      <c r="BJ333" s="162" t="n"/>
      <c r="BK333" s="162" t="n"/>
      <c r="BL333" s="162" t="n"/>
      <c r="BM333" s="162" t="n"/>
      <c r="BN333" s="162" t="n"/>
      <c r="BO333" s="162" t="n"/>
      <c r="BP333" s="162" t="n"/>
      <c r="BQ333" s="162" t="n"/>
      <c r="BR333" s="162" t="n"/>
      <c r="BS333" s="162" t="n"/>
      <c r="BT333" s="162" t="n"/>
      <c r="BU333" s="162" t="n"/>
      <c r="BV333" s="162" t="n"/>
      <c r="BW333" s="162" t="n"/>
      <c r="BX333" s="162" t="n"/>
      <c r="BY333" s="162" t="n"/>
      <c r="BZ333" s="162" t="n"/>
      <c r="CA333" s="162" t="n"/>
      <c r="CB333" s="162" t="n"/>
      <c r="CC333" s="162" t="n"/>
      <c r="CD333" s="162" t="n"/>
      <c r="CE333" s="162" t="n"/>
      <c r="CF333" s="162" t="n"/>
      <c r="CG333" s="162" t="n"/>
      <c r="CH333" s="162" t="n"/>
      <c r="CI333" s="162" t="n"/>
      <c r="CJ333" s="162" t="n"/>
      <c r="CK333" s="162" t="n"/>
      <c r="CL333" s="162" t="n"/>
      <c r="CM333" s="162" t="n"/>
      <c r="CN333" s="162" t="n"/>
      <c r="CO333" s="162" t="n"/>
      <c r="CP333" s="162" t="n"/>
      <c r="CQ333" s="162" t="n"/>
      <c r="CR333" s="162" t="n"/>
      <c r="CS333" s="162" t="n"/>
      <c r="CT333" s="162" t="n"/>
    </row>
    <row r="334" ht="15" customHeight="1">
      <c r="A334" s="175" t="n">
        <v>97</v>
      </c>
      <c r="B334" s="165" t="n">
        <v>16</v>
      </c>
      <c r="C334" s="164" t="n">
        <v>45797</v>
      </c>
      <c r="D334" s="166" t="inlineStr">
        <is>
          <t>218 G. SAN JOSE 1</t>
        </is>
      </c>
      <c r="E334" s="166" t="n">
        <v>41143</v>
      </c>
      <c r="F334" s="166" t="inlineStr">
        <is>
          <t>JOSE SOLER</t>
        </is>
      </c>
      <c r="G334" s="166" t="n">
        <v>3888</v>
      </c>
      <c r="H334" s="166" t="n"/>
      <c r="I334" s="166" t="n">
        <v>3844</v>
      </c>
      <c r="J334" s="166" t="n">
        <v>6</v>
      </c>
      <c r="K334" s="166" t="n">
        <v>7</v>
      </c>
      <c r="L334" s="166" t="n">
        <v>31</v>
      </c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  <c r="AA334" s="162" t="n"/>
      <c r="AB334" s="162" t="n"/>
      <c r="AC334" s="162" t="n"/>
      <c r="AD334" s="162" t="n"/>
      <c r="AE334" s="162" t="n"/>
      <c r="AF334" s="162" t="n"/>
      <c r="AG334" s="162" t="n"/>
      <c r="AH334" s="162" t="n"/>
      <c r="AI334" s="162" t="n"/>
      <c r="AJ334" s="162" t="n"/>
      <c r="AK334" s="162" t="n"/>
      <c r="AL334" s="162" t="n"/>
      <c r="AM334" s="162" t="n"/>
      <c r="AN334" s="162" t="n"/>
      <c r="AO334" s="162" t="n"/>
      <c r="AP334" s="162" t="n"/>
      <c r="AQ334" s="162" t="n"/>
      <c r="AR334" s="162" t="n"/>
      <c r="AS334" s="162" t="n"/>
      <c r="AT334" s="162" t="n"/>
      <c r="AU334" s="162" t="n"/>
      <c r="AV334" s="162" t="n"/>
      <c r="AW334" s="162" t="n"/>
      <c r="AX334" s="162" t="n"/>
      <c r="AY334" s="162" t="n"/>
      <c r="AZ334" s="162" t="n"/>
      <c r="BA334" s="162" t="n"/>
      <c r="BB334" s="162" t="n"/>
      <c r="BC334" s="162" t="n"/>
      <c r="BD334" s="162" t="n"/>
      <c r="BE334" s="162" t="n"/>
      <c r="BF334" s="162" t="n"/>
      <c r="BG334" s="162" t="n"/>
      <c r="BH334" s="162" t="n"/>
      <c r="BI334" s="162" t="n"/>
      <c r="BJ334" s="162" t="n"/>
      <c r="BK334" s="162" t="n"/>
      <c r="BL334" s="162" t="n"/>
      <c r="BM334" s="162" t="n"/>
      <c r="BN334" s="162" t="n"/>
      <c r="BO334" s="162" t="n"/>
      <c r="BP334" s="162" t="n"/>
      <c r="BQ334" s="162" t="n"/>
      <c r="BR334" s="162" t="n"/>
      <c r="BS334" s="162" t="n"/>
      <c r="BT334" s="162" t="n"/>
      <c r="BU334" s="162" t="n"/>
      <c r="BV334" s="162" t="n"/>
      <c r="BW334" s="162" t="n"/>
      <c r="BX334" s="162" t="n"/>
      <c r="BY334" s="162" t="n"/>
      <c r="BZ334" s="162" t="n"/>
      <c r="CA334" s="162" t="n"/>
      <c r="CB334" s="162" t="n"/>
      <c r="CC334" s="162" t="n"/>
      <c r="CD334" s="162" t="n"/>
      <c r="CE334" s="162" t="n"/>
      <c r="CF334" s="162" t="n"/>
      <c r="CG334" s="162" t="n"/>
      <c r="CH334" s="162" t="n"/>
      <c r="CI334" s="162" t="n"/>
      <c r="CJ334" s="162" t="n"/>
      <c r="CK334" s="162" t="n"/>
      <c r="CL334" s="162" t="n"/>
      <c r="CM334" s="162" t="n"/>
      <c r="CN334" s="162" t="n"/>
      <c r="CO334" s="162" t="n"/>
      <c r="CP334" s="162" t="n"/>
      <c r="CQ334" s="162" t="n"/>
      <c r="CR334" s="162" t="n"/>
      <c r="CS334" s="162" t="n"/>
      <c r="CT334" s="162" t="n"/>
    </row>
    <row r="335" ht="15" customHeight="1">
      <c r="A335" s="175" t="n">
        <v>98</v>
      </c>
      <c r="B335" s="165" t="n">
        <v>17</v>
      </c>
      <c r="C335" s="164" t="n">
        <v>45797</v>
      </c>
      <c r="D335" s="166" t="inlineStr">
        <is>
          <t>218 G. SAN JOSE 1</t>
        </is>
      </c>
      <c r="E335" s="166" t="n">
        <v>41144</v>
      </c>
      <c r="F335" s="166" t="inlineStr">
        <is>
          <t>FABIO ALDANA</t>
        </is>
      </c>
      <c r="G335" s="166" t="n">
        <v>4056</v>
      </c>
      <c r="H335" s="166" t="n"/>
      <c r="I335" s="166" t="n">
        <v>4030</v>
      </c>
      <c r="J335" s="166" t="n">
        <v>2</v>
      </c>
      <c r="K335" s="166" t="n">
        <v>8</v>
      </c>
      <c r="L335" s="166" t="n">
        <v>16</v>
      </c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  <c r="AA335" s="162" t="n"/>
      <c r="AB335" s="162" t="n"/>
      <c r="AC335" s="162" t="n"/>
      <c r="AD335" s="162" t="n"/>
      <c r="AE335" s="162" t="n"/>
      <c r="AF335" s="162" t="n"/>
      <c r="AG335" s="162" t="n"/>
      <c r="AH335" s="162" t="n"/>
      <c r="AI335" s="162" t="n"/>
      <c r="AJ335" s="162" t="n"/>
      <c r="AK335" s="162" t="n"/>
      <c r="AL335" s="162" t="n"/>
      <c r="AM335" s="162" t="n"/>
      <c r="AN335" s="162" t="n"/>
      <c r="AO335" s="162" t="n"/>
      <c r="AP335" s="162" t="n"/>
      <c r="AQ335" s="162" t="n"/>
      <c r="AR335" s="162" t="n"/>
      <c r="AS335" s="162" t="n"/>
      <c r="AT335" s="162" t="n"/>
      <c r="AU335" s="162" t="n"/>
      <c r="AV335" s="162" t="n"/>
      <c r="AW335" s="162" t="n"/>
      <c r="AX335" s="162" t="n"/>
      <c r="AY335" s="162" t="n"/>
      <c r="AZ335" s="162" t="n"/>
      <c r="BA335" s="162" t="n"/>
      <c r="BB335" s="162" t="n"/>
      <c r="BC335" s="162" t="n"/>
      <c r="BD335" s="162" t="n"/>
      <c r="BE335" s="162" t="n"/>
      <c r="BF335" s="162" t="n"/>
      <c r="BG335" s="162" t="n"/>
      <c r="BH335" s="162" t="n"/>
      <c r="BI335" s="162" t="n"/>
      <c r="BJ335" s="162" t="n"/>
      <c r="BK335" s="162" t="n"/>
      <c r="BL335" s="162" t="n"/>
      <c r="BM335" s="162" t="n"/>
      <c r="BN335" s="162" t="n"/>
      <c r="BO335" s="162" t="n"/>
      <c r="BP335" s="162" t="n"/>
      <c r="BQ335" s="162" t="n"/>
      <c r="BR335" s="162" t="n"/>
      <c r="BS335" s="162" t="n"/>
      <c r="BT335" s="162" t="n"/>
      <c r="BU335" s="162" t="n"/>
      <c r="BV335" s="162" t="n"/>
      <c r="BW335" s="162" t="n"/>
      <c r="BX335" s="162" t="n"/>
      <c r="BY335" s="162" t="n"/>
      <c r="BZ335" s="162" t="n"/>
      <c r="CA335" s="162" t="n"/>
      <c r="CB335" s="162" t="n"/>
      <c r="CC335" s="162" t="n"/>
      <c r="CD335" s="162" t="n"/>
      <c r="CE335" s="162" t="n"/>
      <c r="CF335" s="162" t="n"/>
      <c r="CG335" s="162" t="n"/>
      <c r="CH335" s="162" t="n"/>
      <c r="CI335" s="162" t="n"/>
      <c r="CJ335" s="162" t="n"/>
      <c r="CK335" s="162" t="n"/>
      <c r="CL335" s="162" t="n"/>
      <c r="CM335" s="162" t="n"/>
      <c r="CN335" s="162" t="n"/>
      <c r="CO335" s="162" t="n"/>
      <c r="CP335" s="162" t="n"/>
      <c r="CQ335" s="162" t="n"/>
      <c r="CR335" s="162" t="n"/>
      <c r="CS335" s="162" t="n"/>
      <c r="CT335" s="162" t="n"/>
    </row>
    <row r="336" ht="15" customHeight="1">
      <c r="A336" s="175" t="n">
        <v>99</v>
      </c>
      <c r="B336" s="165" t="n">
        <v>18</v>
      </c>
      <c r="C336" s="164" t="n">
        <v>45798</v>
      </c>
      <c r="D336" s="166" t="inlineStr">
        <is>
          <t>200 G. GARCERAS</t>
        </is>
      </c>
      <c r="E336" s="166" t="n">
        <v>41148</v>
      </c>
      <c r="F336" s="166" t="inlineStr">
        <is>
          <t>FERNANDO OYUELA</t>
        </is>
      </c>
      <c r="G336" s="166" t="n">
        <v>3485</v>
      </c>
      <c r="H336" s="166" t="n"/>
      <c r="I336" s="166" t="n">
        <v>3453</v>
      </c>
      <c r="J336" s="166" t="n">
        <v>11</v>
      </c>
      <c r="K336" s="166" t="n">
        <v>25</v>
      </c>
      <c r="L336" s="166" t="n">
        <v>-4</v>
      </c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  <c r="AA336" s="162" t="n"/>
      <c r="AB336" s="162" t="n"/>
      <c r="AC336" s="162" t="n"/>
      <c r="AD336" s="162" t="n"/>
      <c r="AE336" s="162" t="n"/>
      <c r="AF336" s="162" t="n"/>
      <c r="AG336" s="162" t="n"/>
      <c r="AH336" s="162" t="n"/>
      <c r="AI336" s="162" t="n"/>
      <c r="AJ336" s="162" t="n"/>
      <c r="AK336" s="162" t="n"/>
      <c r="AL336" s="162" t="n"/>
      <c r="AM336" s="162" t="n"/>
      <c r="AN336" s="162" t="n"/>
      <c r="AO336" s="162" t="n"/>
      <c r="AP336" s="162" t="n"/>
      <c r="AQ336" s="162" t="n"/>
      <c r="AR336" s="162" t="n"/>
      <c r="AS336" s="162" t="n"/>
      <c r="AT336" s="162" t="n"/>
      <c r="AU336" s="162" t="n"/>
      <c r="AV336" s="162" t="n"/>
      <c r="AW336" s="162" t="n"/>
      <c r="AX336" s="162" t="n"/>
      <c r="AY336" s="162" t="n"/>
      <c r="AZ336" s="162" t="n"/>
      <c r="BA336" s="162" t="n"/>
      <c r="BB336" s="162" t="n"/>
      <c r="BC336" s="162" t="n"/>
      <c r="BD336" s="162" t="n"/>
      <c r="BE336" s="162" t="n"/>
      <c r="BF336" s="162" t="n"/>
      <c r="BG336" s="162" t="n"/>
      <c r="BH336" s="162" t="n"/>
      <c r="BI336" s="162" t="n"/>
      <c r="BJ336" s="162" t="n"/>
      <c r="BK336" s="162" t="n"/>
      <c r="BL336" s="162" t="n"/>
      <c r="BM336" s="162" t="n"/>
      <c r="BN336" s="162" t="n"/>
      <c r="BO336" s="162" t="n"/>
      <c r="BP336" s="162" t="n"/>
      <c r="BQ336" s="162" t="n"/>
      <c r="BR336" s="162" t="n"/>
      <c r="BS336" s="162" t="n"/>
      <c r="BT336" s="162" t="n"/>
      <c r="BU336" s="162" t="n"/>
      <c r="BV336" s="162" t="n"/>
      <c r="BW336" s="162" t="n"/>
      <c r="BX336" s="162" t="n"/>
      <c r="BY336" s="162" t="n"/>
      <c r="BZ336" s="162" t="n"/>
      <c r="CA336" s="162" t="n"/>
      <c r="CB336" s="162" t="n"/>
      <c r="CC336" s="162" t="n"/>
      <c r="CD336" s="162" t="n"/>
      <c r="CE336" s="162" t="n"/>
      <c r="CF336" s="162" t="n"/>
      <c r="CG336" s="162" t="n"/>
      <c r="CH336" s="162" t="n"/>
      <c r="CI336" s="162" t="n"/>
      <c r="CJ336" s="162" t="n"/>
      <c r="CK336" s="162" t="n"/>
      <c r="CL336" s="162" t="n"/>
      <c r="CM336" s="162" t="n"/>
      <c r="CN336" s="162" t="n"/>
      <c r="CO336" s="162" t="n"/>
      <c r="CP336" s="162" t="n"/>
      <c r="CQ336" s="162" t="n"/>
      <c r="CR336" s="162" t="n"/>
      <c r="CS336" s="162" t="n"/>
      <c r="CT336" s="162" t="n"/>
    </row>
    <row r="337" ht="15" customHeight="1">
      <c r="A337" s="175" t="n">
        <v>100</v>
      </c>
      <c r="B337" s="165" t="n">
        <v>19</v>
      </c>
      <c r="C337" s="164" t="n">
        <v>45798</v>
      </c>
      <c r="D337" s="166" t="inlineStr">
        <is>
          <t>200 G. GARCERAS</t>
        </is>
      </c>
      <c r="E337" s="166" t="n">
        <v>41149</v>
      </c>
      <c r="F337" s="166" t="inlineStr">
        <is>
          <t>JHON ARIAS</t>
        </is>
      </c>
      <c r="G337" s="166" t="n">
        <v>3485</v>
      </c>
      <c r="H337" s="166" t="n"/>
      <c r="I337" s="166" t="n">
        <v>3434</v>
      </c>
      <c r="J337" s="166" t="n">
        <v>17</v>
      </c>
      <c r="K337" s="166" t="n">
        <v>35</v>
      </c>
      <c r="L337" s="166" t="n">
        <v>-1</v>
      </c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  <c r="AA337" s="162" t="n"/>
      <c r="AB337" s="162" t="n"/>
      <c r="AC337" s="162" t="n"/>
      <c r="AD337" s="162" t="n"/>
      <c r="AE337" s="162" t="n"/>
      <c r="AF337" s="162" t="n"/>
      <c r="AG337" s="162" t="n"/>
      <c r="AH337" s="162" t="n"/>
      <c r="AI337" s="162" t="n"/>
      <c r="AJ337" s="162" t="n"/>
      <c r="AK337" s="162" t="n"/>
      <c r="AL337" s="162" t="n"/>
      <c r="AM337" s="162" t="n"/>
      <c r="AN337" s="162" t="n"/>
      <c r="AO337" s="162" t="n"/>
      <c r="AP337" s="162" t="n"/>
      <c r="AQ337" s="162" t="n"/>
      <c r="AR337" s="162" t="n"/>
      <c r="AS337" s="162" t="n"/>
      <c r="AT337" s="162" t="n"/>
      <c r="AU337" s="162" t="n"/>
      <c r="AV337" s="162" t="n"/>
      <c r="AW337" s="162" t="n"/>
      <c r="AX337" s="162" t="n"/>
      <c r="AY337" s="162" t="n"/>
      <c r="AZ337" s="162" t="n"/>
      <c r="BA337" s="162" t="n"/>
      <c r="BB337" s="162" t="n"/>
      <c r="BC337" s="162" t="n"/>
      <c r="BD337" s="162" t="n"/>
      <c r="BE337" s="162" t="n"/>
      <c r="BF337" s="162" t="n"/>
      <c r="BG337" s="162" t="n"/>
      <c r="BH337" s="162" t="n"/>
      <c r="BI337" s="162" t="n"/>
      <c r="BJ337" s="162" t="n"/>
      <c r="BK337" s="162" t="n"/>
      <c r="BL337" s="162" t="n"/>
      <c r="BM337" s="162" t="n"/>
      <c r="BN337" s="162" t="n"/>
      <c r="BO337" s="162" t="n"/>
      <c r="BP337" s="162" t="n"/>
      <c r="BQ337" s="162" t="n"/>
      <c r="BR337" s="162" t="n"/>
      <c r="BS337" s="162" t="n"/>
      <c r="BT337" s="162" t="n"/>
      <c r="BU337" s="162" t="n"/>
      <c r="BV337" s="162" t="n"/>
      <c r="BW337" s="162" t="n"/>
      <c r="BX337" s="162" t="n"/>
      <c r="BY337" s="162" t="n"/>
      <c r="BZ337" s="162" t="n"/>
      <c r="CA337" s="162" t="n"/>
      <c r="CB337" s="162" t="n"/>
      <c r="CC337" s="162" t="n"/>
      <c r="CD337" s="162" t="n"/>
      <c r="CE337" s="162" t="n"/>
      <c r="CF337" s="162" t="n"/>
      <c r="CG337" s="162" t="n"/>
      <c r="CH337" s="162" t="n"/>
      <c r="CI337" s="162" t="n"/>
      <c r="CJ337" s="162" t="n"/>
      <c r="CK337" s="162" t="n"/>
      <c r="CL337" s="162" t="n"/>
      <c r="CM337" s="162" t="n"/>
      <c r="CN337" s="162" t="n"/>
      <c r="CO337" s="162" t="n"/>
      <c r="CP337" s="162" t="n"/>
      <c r="CQ337" s="162" t="n"/>
      <c r="CR337" s="162" t="n"/>
      <c r="CS337" s="162" t="n"/>
      <c r="CT337" s="162" t="n"/>
    </row>
    <row r="338" ht="15" customHeight="1">
      <c r="A338" s="175" t="n">
        <v>101</v>
      </c>
      <c r="B338" s="165" t="n">
        <v>20</v>
      </c>
      <c r="C338" s="164" t="n">
        <v>45798</v>
      </c>
      <c r="D338" s="166" t="inlineStr">
        <is>
          <t>200 G. GARCERAS</t>
        </is>
      </c>
      <c r="E338" s="166" t="n">
        <v>41150</v>
      </c>
      <c r="F338" s="166" t="inlineStr">
        <is>
          <t>FABIO ALDANA</t>
        </is>
      </c>
      <c r="G338" s="166" t="n">
        <v>3485</v>
      </c>
      <c r="H338" s="166" t="n"/>
      <c r="I338" s="166" t="n">
        <v>3398</v>
      </c>
      <c r="J338" s="166" t="n">
        <v>7</v>
      </c>
      <c r="K338" s="166" t="n">
        <v>78</v>
      </c>
      <c r="L338" s="166" t="n">
        <v>2</v>
      </c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  <c r="AA338" s="162" t="n"/>
      <c r="AB338" s="162" t="n"/>
      <c r="AC338" s="162" t="n"/>
      <c r="AD338" s="162" t="n"/>
      <c r="AE338" s="162" t="n"/>
      <c r="AF338" s="162" t="n"/>
      <c r="AG338" s="162" t="n"/>
      <c r="AH338" s="162" t="n"/>
      <c r="AI338" s="162" t="n"/>
      <c r="AJ338" s="162" t="n"/>
      <c r="AK338" s="162" t="n"/>
      <c r="AL338" s="162" t="n"/>
      <c r="AM338" s="162" t="n"/>
      <c r="AN338" s="162" t="n"/>
      <c r="AO338" s="162" t="n"/>
      <c r="AP338" s="162" t="n"/>
      <c r="AQ338" s="162" t="n"/>
      <c r="AR338" s="162" t="n"/>
      <c r="AS338" s="162" t="n"/>
      <c r="AT338" s="162" t="n"/>
      <c r="AU338" s="162" t="n"/>
      <c r="AV338" s="162" t="n"/>
      <c r="AW338" s="162" t="n"/>
      <c r="AX338" s="162" t="n"/>
      <c r="AY338" s="162" t="n"/>
      <c r="AZ338" s="162" t="n"/>
      <c r="BA338" s="162" t="n"/>
      <c r="BB338" s="162" t="n"/>
      <c r="BC338" s="162" t="n"/>
      <c r="BD338" s="162" t="n"/>
      <c r="BE338" s="162" t="n"/>
      <c r="BF338" s="162" t="n"/>
      <c r="BG338" s="162" t="n"/>
      <c r="BH338" s="162" t="n"/>
      <c r="BI338" s="162" t="n"/>
      <c r="BJ338" s="162" t="n"/>
      <c r="BK338" s="162" t="n"/>
      <c r="BL338" s="162" t="n"/>
      <c r="BM338" s="162" t="n"/>
      <c r="BN338" s="162" t="n"/>
      <c r="BO338" s="162" t="n"/>
      <c r="BP338" s="162" t="n"/>
      <c r="BQ338" s="162" t="n"/>
      <c r="BR338" s="162" t="n"/>
      <c r="BS338" s="162" t="n"/>
      <c r="BT338" s="162" t="n"/>
      <c r="BU338" s="162" t="n"/>
      <c r="BV338" s="162" t="n"/>
      <c r="BW338" s="162" t="n"/>
      <c r="BX338" s="162" t="n"/>
      <c r="BY338" s="162" t="n"/>
      <c r="BZ338" s="162" t="n"/>
      <c r="CA338" s="162" t="n"/>
      <c r="CB338" s="162" t="n"/>
      <c r="CC338" s="162" t="n"/>
      <c r="CD338" s="162" t="n"/>
      <c r="CE338" s="162" t="n"/>
      <c r="CF338" s="162" t="n"/>
      <c r="CG338" s="162" t="n"/>
      <c r="CH338" s="162" t="n"/>
      <c r="CI338" s="162" t="n"/>
      <c r="CJ338" s="162" t="n"/>
      <c r="CK338" s="162" t="n"/>
      <c r="CL338" s="162" t="n"/>
      <c r="CM338" s="162" t="n"/>
      <c r="CN338" s="162" t="n"/>
      <c r="CO338" s="162" t="n"/>
      <c r="CP338" s="162" t="n"/>
      <c r="CQ338" s="162" t="n"/>
      <c r="CR338" s="162" t="n"/>
      <c r="CS338" s="162" t="n"/>
      <c r="CT338" s="162" t="n"/>
    </row>
    <row r="339" ht="15" customHeight="1">
      <c r="A339" s="175" t="n">
        <v>102</v>
      </c>
      <c r="B339" s="165" t="n">
        <v>21</v>
      </c>
      <c r="C339" s="164" t="n">
        <v>45798</v>
      </c>
      <c r="D339" s="166" t="inlineStr">
        <is>
          <t>200 G. GARCERAS</t>
        </is>
      </c>
      <c r="E339" s="166" t="n">
        <v>41160</v>
      </c>
      <c r="F339" s="166" t="inlineStr">
        <is>
          <t>WILMER PIÑEROS</t>
        </is>
      </c>
      <c r="G339" s="166" t="n">
        <v>3020</v>
      </c>
      <c r="H339" s="166" t="n"/>
      <c r="I339" s="166" t="n">
        <v>3000</v>
      </c>
      <c r="J339" s="166" t="n">
        <v>5</v>
      </c>
      <c r="K339" s="166" t="n">
        <v>10</v>
      </c>
      <c r="L339" s="166" t="n">
        <v>5</v>
      </c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  <c r="AA339" s="162" t="n"/>
      <c r="AB339" s="162" t="n"/>
      <c r="AC339" s="162" t="n"/>
      <c r="AD339" s="162" t="n"/>
      <c r="AE339" s="162" t="n"/>
      <c r="AF339" s="162" t="n"/>
      <c r="AG339" s="162" t="n"/>
      <c r="AH339" s="162" t="n"/>
      <c r="AI339" s="162" t="n"/>
      <c r="AJ339" s="162" t="n"/>
      <c r="AK339" s="162" t="n"/>
      <c r="AL339" s="162" t="n"/>
      <c r="AM339" s="162" t="n"/>
      <c r="AN339" s="162" t="n"/>
      <c r="AO339" s="162" t="n"/>
      <c r="AP339" s="162" t="n"/>
      <c r="AQ339" s="162" t="n"/>
      <c r="AR339" s="162" t="n"/>
      <c r="AS339" s="162" t="n"/>
      <c r="AT339" s="162" t="n"/>
      <c r="AU339" s="162" t="n"/>
      <c r="AV339" s="162" t="n"/>
      <c r="AW339" s="162" t="n"/>
      <c r="AX339" s="162" t="n"/>
      <c r="AY339" s="162" t="n"/>
      <c r="AZ339" s="162" t="n"/>
      <c r="BA339" s="162" t="n"/>
      <c r="BB339" s="162" t="n"/>
      <c r="BC339" s="162" t="n"/>
      <c r="BD339" s="162" t="n"/>
      <c r="BE339" s="162" t="n"/>
      <c r="BF339" s="162" t="n"/>
      <c r="BG339" s="162" t="n"/>
      <c r="BH339" s="162" t="n"/>
      <c r="BI339" s="162" t="n"/>
      <c r="BJ339" s="162" t="n"/>
      <c r="BK339" s="162" t="n"/>
      <c r="BL339" s="162" t="n"/>
      <c r="BM339" s="162" t="n"/>
      <c r="BN339" s="162" t="n"/>
      <c r="BO339" s="162" t="n"/>
      <c r="BP339" s="162" t="n"/>
      <c r="BQ339" s="162" t="n"/>
      <c r="BR339" s="162" t="n"/>
      <c r="BS339" s="162" t="n"/>
      <c r="BT339" s="162" t="n"/>
      <c r="BU339" s="162" t="n"/>
      <c r="BV339" s="162" t="n"/>
      <c r="BW339" s="162" t="n"/>
      <c r="BX339" s="162" t="n"/>
      <c r="BY339" s="162" t="n"/>
      <c r="BZ339" s="162" t="n"/>
      <c r="CA339" s="162" t="n"/>
      <c r="CB339" s="162" t="n"/>
      <c r="CC339" s="162" t="n"/>
      <c r="CD339" s="162" t="n"/>
      <c r="CE339" s="162" t="n"/>
      <c r="CF339" s="162" t="n"/>
      <c r="CG339" s="162" t="n"/>
      <c r="CH339" s="162" t="n"/>
      <c r="CI339" s="162" t="n"/>
      <c r="CJ339" s="162" t="n"/>
      <c r="CK339" s="162" t="n"/>
      <c r="CL339" s="162" t="n"/>
      <c r="CM339" s="162" t="n"/>
      <c r="CN339" s="162" t="n"/>
      <c r="CO339" s="162" t="n"/>
      <c r="CP339" s="162" t="n"/>
      <c r="CQ339" s="162" t="n"/>
      <c r="CR339" s="162" t="n"/>
      <c r="CS339" s="162" t="n"/>
      <c r="CT339" s="162" t="n"/>
    </row>
    <row r="340" ht="15" customHeight="1">
      <c r="A340" s="175" t="n">
        <v>103</v>
      </c>
      <c r="B340" s="165" t="n">
        <v>22</v>
      </c>
      <c r="C340" s="164" t="n">
        <v>45798</v>
      </c>
      <c r="D340" s="166" t="inlineStr">
        <is>
          <t>200 G. GARCERAS</t>
        </is>
      </c>
      <c r="E340" s="166" t="n">
        <v>41161</v>
      </c>
      <c r="F340" s="166" t="inlineStr">
        <is>
          <t>EDUAN CAVIEDES</t>
        </is>
      </c>
      <c r="G340" s="166" t="n">
        <v>3500</v>
      </c>
      <c r="H340" s="166" t="n"/>
      <c r="I340" s="166" t="n">
        <v>3486</v>
      </c>
      <c r="J340" s="166" t="n">
        <v>2</v>
      </c>
      <c r="K340" s="166" t="n">
        <v>6</v>
      </c>
      <c r="L340" s="166" t="n">
        <v>6</v>
      </c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  <c r="AA340" s="162" t="n"/>
      <c r="AB340" s="162" t="n"/>
      <c r="AC340" s="162" t="n"/>
      <c r="AD340" s="162" t="n"/>
      <c r="AE340" s="162" t="n"/>
      <c r="AF340" s="162" t="n"/>
      <c r="AG340" s="162" t="n"/>
      <c r="AH340" s="162" t="n"/>
      <c r="AI340" s="162" t="n"/>
      <c r="AJ340" s="162" t="n"/>
      <c r="AK340" s="162" t="n"/>
      <c r="AL340" s="162" t="n"/>
      <c r="AM340" s="162" t="n"/>
      <c r="AN340" s="162" t="n"/>
      <c r="AO340" s="162" t="n"/>
      <c r="AP340" s="162" t="n"/>
      <c r="AQ340" s="162" t="n"/>
      <c r="AR340" s="162" t="n"/>
      <c r="AS340" s="162" t="n"/>
      <c r="AT340" s="162" t="n"/>
      <c r="AU340" s="162" t="n"/>
      <c r="AV340" s="162" t="n"/>
      <c r="AW340" s="162" t="n"/>
      <c r="AX340" s="162" t="n"/>
      <c r="AY340" s="162" t="n"/>
      <c r="AZ340" s="162" t="n"/>
      <c r="BA340" s="162" t="n"/>
      <c r="BB340" s="162" t="n"/>
      <c r="BC340" s="162" t="n"/>
      <c r="BD340" s="162" t="n"/>
      <c r="BE340" s="162" t="n"/>
      <c r="BF340" s="162" t="n"/>
      <c r="BG340" s="162" t="n"/>
      <c r="BH340" s="162" t="n"/>
      <c r="BI340" s="162" t="n"/>
      <c r="BJ340" s="162" t="n"/>
      <c r="BK340" s="162" t="n"/>
      <c r="BL340" s="162" t="n"/>
      <c r="BM340" s="162" t="n"/>
      <c r="BN340" s="162" t="n"/>
      <c r="BO340" s="162" t="n"/>
      <c r="BP340" s="162" t="n"/>
      <c r="BQ340" s="162" t="n"/>
      <c r="BR340" s="162" t="n"/>
      <c r="BS340" s="162" t="n"/>
      <c r="BT340" s="162" t="n"/>
      <c r="BU340" s="162" t="n"/>
      <c r="BV340" s="162" t="n"/>
      <c r="BW340" s="162" t="n"/>
      <c r="BX340" s="162" t="n"/>
      <c r="BY340" s="162" t="n"/>
      <c r="BZ340" s="162" t="n"/>
      <c r="CA340" s="162" t="n"/>
      <c r="CB340" s="162" t="n"/>
      <c r="CC340" s="162" t="n"/>
      <c r="CD340" s="162" t="n"/>
      <c r="CE340" s="162" t="n"/>
      <c r="CF340" s="162" t="n"/>
      <c r="CG340" s="162" t="n"/>
      <c r="CH340" s="162" t="n"/>
      <c r="CI340" s="162" t="n"/>
      <c r="CJ340" s="162" t="n"/>
      <c r="CK340" s="162" t="n"/>
      <c r="CL340" s="162" t="n"/>
      <c r="CM340" s="162" t="n"/>
      <c r="CN340" s="162" t="n"/>
      <c r="CO340" s="162" t="n"/>
      <c r="CP340" s="162" t="n"/>
      <c r="CQ340" s="162" t="n"/>
      <c r="CR340" s="162" t="n"/>
      <c r="CS340" s="162" t="n"/>
      <c r="CT340" s="162" t="n"/>
    </row>
    <row r="341" ht="15" customHeight="1">
      <c r="A341" s="175" t="n">
        <v>104</v>
      </c>
      <c r="B341" s="165" t="n">
        <v>23</v>
      </c>
      <c r="C341" s="164" t="n">
        <v>45798</v>
      </c>
      <c r="D341" s="166" t="inlineStr">
        <is>
          <t>200 G. GARCERAS</t>
        </is>
      </c>
      <c r="E341" s="166" t="n">
        <v>41162</v>
      </c>
      <c r="F341" s="166" t="inlineStr">
        <is>
          <t>YAIR RIVEROS</t>
        </is>
      </c>
      <c r="G341" s="166" t="n">
        <v>3500</v>
      </c>
      <c r="H341" s="166" t="n"/>
      <c r="I341" s="166" t="n">
        <v>3477</v>
      </c>
      <c r="J341" s="166" t="n">
        <v>5</v>
      </c>
      <c r="K341" s="166" t="n">
        <v>9</v>
      </c>
      <c r="L341" s="166" t="n">
        <v>9</v>
      </c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  <c r="AA341" s="162" t="n"/>
      <c r="AB341" s="162" t="n"/>
      <c r="AC341" s="162" t="n"/>
      <c r="AD341" s="162" t="n"/>
      <c r="AE341" s="162" t="n"/>
      <c r="AF341" s="162" t="n"/>
      <c r="AG341" s="162" t="n"/>
      <c r="AH341" s="162" t="n"/>
      <c r="AI341" s="162" t="n"/>
      <c r="AJ341" s="162" t="n"/>
      <c r="AK341" s="162" t="n"/>
      <c r="AL341" s="162" t="n"/>
      <c r="AM341" s="162" t="n"/>
      <c r="AN341" s="162" t="n"/>
      <c r="AO341" s="162" t="n"/>
      <c r="AP341" s="162" t="n"/>
      <c r="AQ341" s="162" t="n"/>
      <c r="AR341" s="162" t="n"/>
      <c r="AS341" s="162" t="n"/>
      <c r="AT341" s="162" t="n"/>
      <c r="AU341" s="162" t="n"/>
      <c r="AV341" s="162" t="n"/>
      <c r="AW341" s="162" t="n"/>
      <c r="AX341" s="162" t="n"/>
      <c r="AY341" s="162" t="n"/>
      <c r="AZ341" s="162" t="n"/>
      <c r="BA341" s="162" t="n"/>
      <c r="BB341" s="162" t="n"/>
      <c r="BC341" s="162" t="n"/>
      <c r="BD341" s="162" t="n"/>
      <c r="BE341" s="162" t="n"/>
      <c r="BF341" s="162" t="n"/>
      <c r="BG341" s="162" t="n"/>
      <c r="BH341" s="162" t="n"/>
      <c r="BI341" s="162" t="n"/>
      <c r="BJ341" s="162" t="n"/>
      <c r="BK341" s="162" t="n"/>
      <c r="BL341" s="162" t="n"/>
      <c r="BM341" s="162" t="n"/>
      <c r="BN341" s="162" t="n"/>
      <c r="BO341" s="162" t="n"/>
      <c r="BP341" s="162" t="n"/>
      <c r="BQ341" s="162" t="n"/>
      <c r="BR341" s="162" t="n"/>
      <c r="BS341" s="162" t="n"/>
      <c r="BT341" s="162" t="n"/>
      <c r="BU341" s="162" t="n"/>
      <c r="BV341" s="162" t="n"/>
      <c r="BW341" s="162" t="n"/>
      <c r="BX341" s="162" t="n"/>
      <c r="BY341" s="162" t="n"/>
      <c r="BZ341" s="162" t="n"/>
      <c r="CA341" s="162" t="n"/>
      <c r="CB341" s="162" t="n"/>
      <c r="CC341" s="162" t="n"/>
      <c r="CD341" s="162" t="n"/>
      <c r="CE341" s="162" t="n"/>
      <c r="CF341" s="162" t="n"/>
      <c r="CG341" s="162" t="n"/>
      <c r="CH341" s="162" t="n"/>
      <c r="CI341" s="162" t="n"/>
      <c r="CJ341" s="162" t="n"/>
      <c r="CK341" s="162" t="n"/>
      <c r="CL341" s="162" t="n"/>
      <c r="CM341" s="162" t="n"/>
      <c r="CN341" s="162" t="n"/>
      <c r="CO341" s="162" t="n"/>
      <c r="CP341" s="162" t="n"/>
      <c r="CQ341" s="162" t="n"/>
      <c r="CR341" s="162" t="n"/>
      <c r="CS341" s="162" t="n"/>
      <c r="CT341" s="162" t="n"/>
    </row>
    <row r="342" ht="15" customHeight="1">
      <c r="A342" s="175" t="n">
        <v>105</v>
      </c>
      <c r="B342" s="165" t="n">
        <v>24</v>
      </c>
      <c r="C342" s="164" t="n">
        <v>45798</v>
      </c>
      <c r="D342" s="166" t="inlineStr">
        <is>
          <t>200 G. GARCERAS</t>
        </is>
      </c>
      <c r="E342" s="166" t="n">
        <v>41163</v>
      </c>
      <c r="F342" s="166" t="inlineStr">
        <is>
          <t>FERNANDO OYUELA</t>
        </is>
      </c>
      <c r="G342" s="166" t="n">
        <v>3564</v>
      </c>
      <c r="H342" s="166" t="n"/>
      <c r="I342" s="166" t="n">
        <v>3551</v>
      </c>
      <c r="J342" s="166" t="n">
        <v>2</v>
      </c>
      <c r="K342" s="166" t="n">
        <v>8</v>
      </c>
      <c r="L342" s="166" t="n">
        <v>3</v>
      </c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  <c r="AA342" s="162" t="n"/>
      <c r="AB342" s="162" t="n"/>
      <c r="AC342" s="162" t="n"/>
      <c r="AD342" s="162" t="n"/>
      <c r="AE342" s="162" t="n"/>
      <c r="AF342" s="162" t="n"/>
      <c r="AG342" s="162" t="n"/>
      <c r="AH342" s="162" t="n"/>
      <c r="AI342" s="162" t="n"/>
      <c r="AJ342" s="162" t="n"/>
      <c r="AK342" s="162" t="n"/>
      <c r="AL342" s="162" t="n"/>
      <c r="AM342" s="162" t="n"/>
      <c r="AN342" s="162" t="n"/>
      <c r="AO342" s="162" t="n"/>
      <c r="AP342" s="162" t="n"/>
      <c r="AQ342" s="162" t="n"/>
      <c r="AR342" s="162" t="n"/>
      <c r="AS342" s="162" t="n"/>
      <c r="AT342" s="162" t="n"/>
      <c r="AU342" s="162" t="n"/>
      <c r="AV342" s="162" t="n"/>
      <c r="AW342" s="162" t="n"/>
      <c r="AX342" s="162" t="n"/>
      <c r="AY342" s="162" t="n"/>
      <c r="AZ342" s="162" t="n"/>
      <c r="BA342" s="162" t="n"/>
      <c r="BB342" s="162" t="n"/>
      <c r="BC342" s="162" t="n"/>
      <c r="BD342" s="162" t="n"/>
      <c r="BE342" s="162" t="n"/>
      <c r="BF342" s="162" t="n"/>
      <c r="BG342" s="162" t="n"/>
      <c r="BH342" s="162" t="n"/>
      <c r="BI342" s="162" t="n"/>
      <c r="BJ342" s="162" t="n"/>
      <c r="BK342" s="162" t="n"/>
      <c r="BL342" s="162" t="n"/>
      <c r="BM342" s="162" t="n"/>
      <c r="BN342" s="162" t="n"/>
      <c r="BO342" s="162" t="n"/>
      <c r="BP342" s="162" t="n"/>
      <c r="BQ342" s="162" t="n"/>
      <c r="BR342" s="162" t="n"/>
      <c r="BS342" s="162" t="n"/>
      <c r="BT342" s="162" t="n"/>
      <c r="BU342" s="162" t="n"/>
      <c r="BV342" s="162" t="n"/>
      <c r="BW342" s="162" t="n"/>
      <c r="BX342" s="162" t="n"/>
      <c r="BY342" s="162" t="n"/>
      <c r="BZ342" s="162" t="n"/>
      <c r="CA342" s="162" t="n"/>
      <c r="CB342" s="162" t="n"/>
      <c r="CC342" s="162" t="n"/>
      <c r="CD342" s="162" t="n"/>
      <c r="CE342" s="162" t="n"/>
      <c r="CF342" s="162" t="n"/>
      <c r="CG342" s="162" t="n"/>
      <c r="CH342" s="162" t="n"/>
      <c r="CI342" s="162" t="n"/>
      <c r="CJ342" s="162" t="n"/>
      <c r="CK342" s="162" t="n"/>
      <c r="CL342" s="162" t="n"/>
      <c r="CM342" s="162" t="n"/>
      <c r="CN342" s="162" t="n"/>
      <c r="CO342" s="162" t="n"/>
      <c r="CP342" s="162" t="n"/>
      <c r="CQ342" s="162" t="n"/>
      <c r="CR342" s="162" t="n"/>
      <c r="CS342" s="162" t="n"/>
      <c r="CT342" s="162" t="n"/>
    </row>
    <row r="343" ht="15" customHeight="1">
      <c r="A343" s="175" t="n">
        <v>106</v>
      </c>
      <c r="B343" s="165" t="n">
        <v>25</v>
      </c>
      <c r="C343" s="164" t="n">
        <v>45798</v>
      </c>
      <c r="D343" s="166" t="inlineStr">
        <is>
          <t>200 G. GARCERAS</t>
        </is>
      </c>
      <c r="E343" s="166" t="n">
        <v>41164</v>
      </c>
      <c r="F343" s="166" t="inlineStr">
        <is>
          <t>FABIO ALDANA</t>
        </is>
      </c>
      <c r="G343" s="166" t="n">
        <v>3714</v>
      </c>
      <c r="H343" s="166" t="n"/>
      <c r="I343" s="166" t="n">
        <v>3702</v>
      </c>
      <c r="J343" s="166" t="n">
        <v>3</v>
      </c>
      <c r="K343" s="166" t="n">
        <v>7</v>
      </c>
      <c r="L343" s="166" t="n">
        <v>2</v>
      </c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  <c r="AA343" s="162" t="n"/>
      <c r="AB343" s="162" t="n"/>
      <c r="AC343" s="162" t="n"/>
      <c r="AD343" s="162" t="n"/>
      <c r="AE343" s="162" t="n"/>
      <c r="AF343" s="162" t="n"/>
      <c r="AG343" s="162" t="n"/>
      <c r="AH343" s="162" t="n"/>
      <c r="AI343" s="162" t="n"/>
      <c r="AJ343" s="162" t="n"/>
      <c r="AK343" s="162" t="n"/>
      <c r="AL343" s="162" t="n"/>
      <c r="AM343" s="162" t="n"/>
      <c r="AN343" s="162" t="n"/>
      <c r="AO343" s="162" t="n"/>
      <c r="AP343" s="162" t="n"/>
      <c r="AQ343" s="162" t="n"/>
      <c r="AR343" s="162" t="n"/>
      <c r="AS343" s="162" t="n"/>
      <c r="AT343" s="162" t="n"/>
      <c r="AU343" s="162" t="n"/>
      <c r="AV343" s="162" t="n"/>
      <c r="AW343" s="162" t="n"/>
      <c r="AX343" s="162" t="n"/>
      <c r="AY343" s="162" t="n"/>
      <c r="AZ343" s="162" t="n"/>
      <c r="BA343" s="162" t="n"/>
      <c r="BB343" s="162" t="n"/>
      <c r="BC343" s="162" t="n"/>
      <c r="BD343" s="162" t="n"/>
      <c r="BE343" s="162" t="n"/>
      <c r="BF343" s="162" t="n"/>
      <c r="BG343" s="162" t="n"/>
      <c r="BH343" s="162" t="n"/>
      <c r="BI343" s="162" t="n"/>
      <c r="BJ343" s="162" t="n"/>
      <c r="BK343" s="162" t="n"/>
      <c r="BL343" s="162" t="n"/>
      <c r="BM343" s="162" t="n"/>
      <c r="BN343" s="162" t="n"/>
      <c r="BO343" s="162" t="n"/>
      <c r="BP343" s="162" t="n"/>
      <c r="BQ343" s="162" t="n"/>
      <c r="BR343" s="162" t="n"/>
      <c r="BS343" s="162" t="n"/>
      <c r="BT343" s="162" t="n"/>
      <c r="BU343" s="162" t="n"/>
      <c r="BV343" s="162" t="n"/>
      <c r="BW343" s="162" t="n"/>
      <c r="BX343" s="162" t="n"/>
      <c r="BY343" s="162" t="n"/>
      <c r="BZ343" s="162" t="n"/>
      <c r="CA343" s="162" t="n"/>
      <c r="CB343" s="162" t="n"/>
      <c r="CC343" s="162" t="n"/>
      <c r="CD343" s="162" t="n"/>
      <c r="CE343" s="162" t="n"/>
      <c r="CF343" s="162" t="n"/>
      <c r="CG343" s="162" t="n"/>
      <c r="CH343" s="162" t="n"/>
      <c r="CI343" s="162" t="n"/>
      <c r="CJ343" s="162" t="n"/>
      <c r="CK343" s="162" t="n"/>
      <c r="CL343" s="162" t="n"/>
      <c r="CM343" s="162" t="n"/>
      <c r="CN343" s="162" t="n"/>
      <c r="CO343" s="162" t="n"/>
      <c r="CP343" s="162" t="n"/>
      <c r="CQ343" s="162" t="n"/>
      <c r="CR343" s="162" t="n"/>
      <c r="CS343" s="162" t="n"/>
      <c r="CT343" s="162" t="n"/>
    </row>
    <row r="344" ht="15" customHeight="1">
      <c r="A344" s="175" t="n">
        <v>107</v>
      </c>
      <c r="B344" s="165" t="n">
        <v>26</v>
      </c>
      <c r="C344" s="164" t="n">
        <v>45799</v>
      </c>
      <c r="D344" s="166" t="inlineStr">
        <is>
          <t>200 G. GARCERAS</t>
        </is>
      </c>
      <c r="E344" s="166" t="n">
        <v>41172</v>
      </c>
      <c r="F344" s="166" t="inlineStr">
        <is>
          <t>DUMAR ANGARITA</t>
        </is>
      </c>
      <c r="G344" s="166" t="n">
        <v>3685</v>
      </c>
      <c r="H344" s="166" t="n"/>
      <c r="I344" s="166" t="n">
        <v>3662</v>
      </c>
      <c r="J344" s="166" t="n">
        <v>11</v>
      </c>
      <c r="K344" s="166" t="n">
        <v>14</v>
      </c>
      <c r="L344" s="166" t="n">
        <v>-2</v>
      </c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  <c r="AA344" s="162" t="n"/>
      <c r="AB344" s="162" t="n"/>
      <c r="AC344" s="162" t="n"/>
      <c r="AD344" s="162" t="n"/>
      <c r="AE344" s="162" t="n"/>
      <c r="AF344" s="162" t="n"/>
      <c r="AG344" s="162" t="n"/>
      <c r="AH344" s="162" t="n"/>
      <c r="AI344" s="162" t="n"/>
      <c r="AJ344" s="162" t="n"/>
      <c r="AK344" s="162" t="n"/>
      <c r="AL344" s="162" t="n"/>
      <c r="AM344" s="162" t="n"/>
      <c r="AN344" s="162" t="n"/>
      <c r="AO344" s="162" t="n"/>
      <c r="AP344" s="162" t="n"/>
      <c r="AQ344" s="162" t="n"/>
      <c r="AR344" s="162" t="n"/>
      <c r="AS344" s="162" t="n"/>
      <c r="AT344" s="162" t="n"/>
      <c r="AU344" s="162" t="n"/>
      <c r="AV344" s="162" t="n"/>
      <c r="AW344" s="162" t="n"/>
      <c r="AX344" s="162" t="n"/>
      <c r="AY344" s="162" t="n"/>
      <c r="AZ344" s="162" t="n"/>
      <c r="BA344" s="162" t="n"/>
      <c r="BB344" s="162" t="n"/>
      <c r="BC344" s="162" t="n"/>
      <c r="BD344" s="162" t="n"/>
      <c r="BE344" s="162" t="n"/>
      <c r="BF344" s="162" t="n"/>
      <c r="BG344" s="162" t="n"/>
      <c r="BH344" s="162" t="n"/>
      <c r="BI344" s="162" t="n"/>
      <c r="BJ344" s="162" t="n"/>
      <c r="BK344" s="162" t="n"/>
      <c r="BL344" s="162" t="n"/>
      <c r="BM344" s="162" t="n"/>
      <c r="BN344" s="162" t="n"/>
      <c r="BO344" s="162" t="n"/>
      <c r="BP344" s="162" t="n"/>
      <c r="BQ344" s="162" t="n"/>
      <c r="BR344" s="162" t="n"/>
      <c r="BS344" s="162" t="n"/>
      <c r="BT344" s="162" t="n"/>
      <c r="BU344" s="162" t="n"/>
      <c r="BV344" s="162" t="n"/>
      <c r="BW344" s="162" t="n"/>
      <c r="BX344" s="162" t="n"/>
      <c r="BY344" s="162" t="n"/>
      <c r="BZ344" s="162" t="n"/>
      <c r="CA344" s="162" t="n"/>
      <c r="CB344" s="162" t="n"/>
      <c r="CC344" s="162" t="n"/>
      <c r="CD344" s="162" t="n"/>
      <c r="CE344" s="162" t="n"/>
      <c r="CF344" s="162" t="n"/>
      <c r="CG344" s="162" t="n"/>
      <c r="CH344" s="162" t="n"/>
      <c r="CI344" s="162" t="n"/>
      <c r="CJ344" s="162" t="n"/>
      <c r="CK344" s="162" t="n"/>
      <c r="CL344" s="162" t="n"/>
      <c r="CM344" s="162" t="n"/>
      <c r="CN344" s="162" t="n"/>
      <c r="CO344" s="162" t="n"/>
      <c r="CP344" s="162" t="n"/>
      <c r="CQ344" s="162" t="n"/>
      <c r="CR344" s="162" t="n"/>
      <c r="CS344" s="162" t="n"/>
      <c r="CT344" s="162" t="n"/>
    </row>
    <row r="345" ht="15" customHeight="1">
      <c r="A345" s="175" t="n">
        <v>108</v>
      </c>
      <c r="B345" s="165" t="n">
        <v>27</v>
      </c>
      <c r="C345" s="164" t="n">
        <v>45799</v>
      </c>
      <c r="D345" s="166" t="inlineStr">
        <is>
          <t>200 G. GARCERAS</t>
        </is>
      </c>
      <c r="E345" s="166" t="n">
        <v>41174</v>
      </c>
      <c r="F345" s="166" t="inlineStr">
        <is>
          <t>EDWIN ROJAS</t>
        </is>
      </c>
      <c r="G345" s="166" t="n">
        <v>3685</v>
      </c>
      <c r="H345" s="166" t="n"/>
      <c r="I345" s="166" t="n">
        <v>3673</v>
      </c>
      <c r="J345" s="166" t="n">
        <v>4</v>
      </c>
      <c r="K345" s="166" t="n">
        <v>8</v>
      </c>
      <c r="L345" s="166" t="n">
        <v>0</v>
      </c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  <c r="AA345" s="162" t="n"/>
      <c r="AB345" s="162" t="n"/>
      <c r="AC345" s="162" t="n"/>
      <c r="AD345" s="162" t="n"/>
      <c r="AE345" s="162" t="n"/>
      <c r="AF345" s="162" t="n"/>
      <c r="AG345" s="162" t="n"/>
      <c r="AH345" s="162" t="n"/>
      <c r="AI345" s="162" t="n"/>
      <c r="AJ345" s="162" t="n"/>
      <c r="AK345" s="162" t="n"/>
      <c r="AL345" s="162" t="n"/>
      <c r="AM345" s="162" t="n"/>
      <c r="AN345" s="162" t="n"/>
      <c r="AO345" s="162" t="n"/>
      <c r="AP345" s="162" t="n"/>
      <c r="AQ345" s="162" t="n"/>
      <c r="AR345" s="162" t="n"/>
      <c r="AS345" s="162" t="n"/>
      <c r="AT345" s="162" t="n"/>
      <c r="AU345" s="162" t="n"/>
      <c r="AV345" s="162" t="n"/>
      <c r="AW345" s="162" t="n"/>
      <c r="AX345" s="162" t="n"/>
      <c r="AY345" s="162" t="n"/>
      <c r="AZ345" s="162" t="n"/>
      <c r="BA345" s="162" t="n"/>
      <c r="BB345" s="162" t="n"/>
      <c r="BC345" s="162" t="n"/>
      <c r="BD345" s="162" t="n"/>
      <c r="BE345" s="162" t="n"/>
      <c r="BF345" s="162" t="n"/>
      <c r="BG345" s="162" t="n"/>
      <c r="BH345" s="162" t="n"/>
      <c r="BI345" s="162" t="n"/>
      <c r="BJ345" s="162" t="n"/>
      <c r="BK345" s="162" t="n"/>
      <c r="BL345" s="162" t="n"/>
      <c r="BM345" s="162" t="n"/>
      <c r="BN345" s="162" t="n"/>
      <c r="BO345" s="162" t="n"/>
      <c r="BP345" s="162" t="n"/>
      <c r="BQ345" s="162" t="n"/>
      <c r="BR345" s="162" t="n"/>
      <c r="BS345" s="162" t="n"/>
      <c r="BT345" s="162" t="n"/>
      <c r="BU345" s="162" t="n"/>
      <c r="BV345" s="162" t="n"/>
      <c r="BW345" s="162" t="n"/>
      <c r="BX345" s="162" t="n"/>
      <c r="BY345" s="162" t="n"/>
      <c r="BZ345" s="162" t="n"/>
      <c r="CA345" s="162" t="n"/>
      <c r="CB345" s="162" t="n"/>
      <c r="CC345" s="162" t="n"/>
      <c r="CD345" s="162" t="n"/>
      <c r="CE345" s="162" t="n"/>
      <c r="CF345" s="162" t="n"/>
      <c r="CG345" s="162" t="n"/>
      <c r="CH345" s="162" t="n"/>
      <c r="CI345" s="162" t="n"/>
      <c r="CJ345" s="162" t="n"/>
      <c r="CK345" s="162" t="n"/>
      <c r="CL345" s="162" t="n"/>
      <c r="CM345" s="162" t="n"/>
      <c r="CN345" s="162" t="n"/>
      <c r="CO345" s="162" t="n"/>
      <c r="CP345" s="162" t="n"/>
      <c r="CQ345" s="162" t="n"/>
      <c r="CR345" s="162" t="n"/>
      <c r="CS345" s="162" t="n"/>
      <c r="CT345" s="162" t="n"/>
    </row>
    <row r="346" ht="15" customHeight="1">
      <c r="A346" s="175" t="n">
        <v>109</v>
      </c>
      <c r="B346" s="165" t="n">
        <v>28</v>
      </c>
      <c r="C346" s="164" t="n">
        <v>45799</v>
      </c>
      <c r="D346" s="166" t="inlineStr">
        <is>
          <t>200 G. GARCERAS</t>
        </is>
      </c>
      <c r="E346" s="166" t="n">
        <v>41175</v>
      </c>
      <c r="F346" s="166" t="inlineStr">
        <is>
          <t>JAIRO CUBILLOS</t>
        </is>
      </c>
      <c r="G346" s="166" t="n">
        <v>3685</v>
      </c>
      <c r="H346" s="166" t="n"/>
      <c r="I346" s="166" t="n">
        <v>3670</v>
      </c>
      <c r="J346" s="166" t="n">
        <v>11</v>
      </c>
      <c r="K346" s="166" t="n">
        <v>5</v>
      </c>
      <c r="L346" s="166" t="n">
        <v>-1</v>
      </c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  <c r="AA346" s="162" t="n"/>
      <c r="AB346" s="162" t="n"/>
      <c r="AC346" s="162" t="n"/>
      <c r="AD346" s="162" t="n"/>
      <c r="AE346" s="162" t="n"/>
      <c r="AF346" s="162" t="n"/>
      <c r="AG346" s="162" t="n"/>
      <c r="AH346" s="162" t="n"/>
      <c r="AI346" s="162" t="n"/>
      <c r="AJ346" s="162" t="n"/>
      <c r="AK346" s="162" t="n"/>
      <c r="AL346" s="162" t="n"/>
      <c r="AM346" s="162" t="n"/>
      <c r="AN346" s="162" t="n"/>
      <c r="AO346" s="162" t="n"/>
      <c r="AP346" s="162" t="n"/>
      <c r="AQ346" s="162" t="n"/>
      <c r="AR346" s="162" t="n"/>
      <c r="AS346" s="162" t="n"/>
      <c r="AT346" s="162" t="n"/>
      <c r="AU346" s="162" t="n"/>
      <c r="AV346" s="162" t="n"/>
      <c r="AW346" s="162" t="n"/>
      <c r="AX346" s="162" t="n"/>
      <c r="AY346" s="162" t="n"/>
      <c r="AZ346" s="162" t="n"/>
      <c r="BA346" s="162" t="n"/>
      <c r="BB346" s="162" t="n"/>
      <c r="BC346" s="162" t="n"/>
      <c r="BD346" s="162" t="n"/>
      <c r="BE346" s="162" t="n"/>
      <c r="BF346" s="162" t="n"/>
      <c r="BG346" s="162" t="n"/>
      <c r="BH346" s="162" t="n"/>
      <c r="BI346" s="162" t="n"/>
      <c r="BJ346" s="162" t="n"/>
      <c r="BK346" s="162" t="n"/>
      <c r="BL346" s="162" t="n"/>
      <c r="BM346" s="162" t="n"/>
      <c r="BN346" s="162" t="n"/>
      <c r="BO346" s="162" t="n"/>
      <c r="BP346" s="162" t="n"/>
      <c r="BQ346" s="162" t="n"/>
      <c r="BR346" s="162" t="n"/>
      <c r="BS346" s="162" t="n"/>
      <c r="BT346" s="162" t="n"/>
      <c r="BU346" s="162" t="n"/>
      <c r="BV346" s="162" t="n"/>
      <c r="BW346" s="162" t="n"/>
      <c r="BX346" s="162" t="n"/>
      <c r="BY346" s="162" t="n"/>
      <c r="BZ346" s="162" t="n"/>
      <c r="CA346" s="162" t="n"/>
      <c r="CB346" s="162" t="n"/>
      <c r="CC346" s="162" t="n"/>
      <c r="CD346" s="162" t="n"/>
      <c r="CE346" s="162" t="n"/>
      <c r="CF346" s="162" t="n"/>
      <c r="CG346" s="162" t="n"/>
      <c r="CH346" s="162" t="n"/>
      <c r="CI346" s="162" t="n"/>
      <c r="CJ346" s="162" t="n"/>
      <c r="CK346" s="162" t="n"/>
      <c r="CL346" s="162" t="n"/>
      <c r="CM346" s="162" t="n"/>
      <c r="CN346" s="162" t="n"/>
      <c r="CO346" s="162" t="n"/>
      <c r="CP346" s="162" t="n"/>
      <c r="CQ346" s="162" t="n"/>
      <c r="CR346" s="162" t="n"/>
      <c r="CS346" s="162" t="n"/>
      <c r="CT346" s="162" t="n"/>
    </row>
    <row r="347" ht="15" customHeight="1">
      <c r="A347" s="175" t="n">
        <v>110</v>
      </c>
      <c r="B347" s="165" t="n">
        <v>29</v>
      </c>
      <c r="C347" s="164" t="n">
        <v>45799</v>
      </c>
      <c r="D347" s="166" t="inlineStr">
        <is>
          <t>200 G. GARCERAS</t>
        </is>
      </c>
      <c r="E347" s="166" t="n">
        <v>41176</v>
      </c>
      <c r="F347" s="166" t="inlineStr">
        <is>
          <t>ALBERTO LOPEZ</t>
        </is>
      </c>
      <c r="G347" s="166" t="n">
        <v>3685</v>
      </c>
      <c r="H347" s="166" t="n"/>
      <c r="I347" s="166" t="n">
        <v>3661</v>
      </c>
      <c r="J347" s="166" t="n">
        <v>16</v>
      </c>
      <c r="K347" s="166" t="n">
        <v>9</v>
      </c>
      <c r="L347" s="166" t="n">
        <v>-1</v>
      </c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  <c r="AA347" s="162" t="n"/>
      <c r="AB347" s="162" t="n"/>
      <c r="AC347" s="162" t="n"/>
      <c r="AD347" s="162" t="n"/>
      <c r="AE347" s="162" t="n"/>
      <c r="AF347" s="162" t="n"/>
      <c r="AG347" s="162" t="n"/>
      <c r="AH347" s="162" t="n"/>
      <c r="AI347" s="162" t="n"/>
      <c r="AJ347" s="162" t="n"/>
      <c r="AK347" s="162" t="n"/>
      <c r="AL347" s="162" t="n"/>
      <c r="AM347" s="162" t="n"/>
      <c r="AN347" s="162" t="n"/>
      <c r="AO347" s="162" t="n"/>
      <c r="AP347" s="162" t="n"/>
      <c r="AQ347" s="162" t="n"/>
      <c r="AR347" s="162" t="n"/>
      <c r="AS347" s="162" t="n"/>
      <c r="AT347" s="162" t="n"/>
      <c r="AU347" s="162" t="n"/>
      <c r="AV347" s="162" t="n"/>
      <c r="AW347" s="162" t="n"/>
      <c r="AX347" s="162" t="n"/>
      <c r="AY347" s="162" t="n"/>
      <c r="AZ347" s="162" t="n"/>
      <c r="BA347" s="162" t="n"/>
      <c r="BB347" s="162" t="n"/>
      <c r="BC347" s="162" t="n"/>
      <c r="BD347" s="162" t="n"/>
      <c r="BE347" s="162" t="n"/>
      <c r="BF347" s="162" t="n"/>
      <c r="BG347" s="162" t="n"/>
      <c r="BH347" s="162" t="n"/>
      <c r="BI347" s="162" t="n"/>
      <c r="BJ347" s="162" t="n"/>
      <c r="BK347" s="162" t="n"/>
      <c r="BL347" s="162" t="n"/>
      <c r="BM347" s="162" t="n"/>
      <c r="BN347" s="162" t="n"/>
      <c r="BO347" s="162" t="n"/>
      <c r="BP347" s="162" t="n"/>
      <c r="BQ347" s="162" t="n"/>
      <c r="BR347" s="162" t="n"/>
      <c r="BS347" s="162" t="n"/>
      <c r="BT347" s="162" t="n"/>
      <c r="BU347" s="162" t="n"/>
      <c r="BV347" s="162" t="n"/>
      <c r="BW347" s="162" t="n"/>
      <c r="BX347" s="162" t="n"/>
      <c r="BY347" s="162" t="n"/>
      <c r="BZ347" s="162" t="n"/>
      <c r="CA347" s="162" t="n"/>
      <c r="CB347" s="162" t="n"/>
      <c r="CC347" s="162" t="n"/>
      <c r="CD347" s="162" t="n"/>
      <c r="CE347" s="162" t="n"/>
      <c r="CF347" s="162" t="n"/>
      <c r="CG347" s="162" t="n"/>
      <c r="CH347" s="162" t="n"/>
      <c r="CI347" s="162" t="n"/>
      <c r="CJ347" s="162" t="n"/>
      <c r="CK347" s="162" t="n"/>
      <c r="CL347" s="162" t="n"/>
      <c r="CM347" s="162" t="n"/>
      <c r="CN347" s="162" t="n"/>
      <c r="CO347" s="162" t="n"/>
      <c r="CP347" s="162" t="n"/>
      <c r="CQ347" s="162" t="n"/>
      <c r="CR347" s="162" t="n"/>
      <c r="CS347" s="162" t="n"/>
      <c r="CT347" s="162" t="n"/>
    </row>
    <row r="348" ht="15" customHeight="1">
      <c r="A348" s="175" t="n">
        <v>111</v>
      </c>
      <c r="B348" s="165" t="n">
        <v>30</v>
      </c>
      <c r="C348" s="164" t="n">
        <v>45799</v>
      </c>
      <c r="D348" s="166" t="inlineStr">
        <is>
          <t>200 G. GARCERAS</t>
        </is>
      </c>
      <c r="E348" s="166" t="n">
        <v>41177</v>
      </c>
      <c r="F348" s="166" t="inlineStr">
        <is>
          <t>JHON ARIAS</t>
        </is>
      </c>
      <c r="G348" s="166" t="n">
        <v>3041</v>
      </c>
      <c r="H348" s="166" t="n"/>
      <c r="I348" s="166" t="n">
        <v>3028</v>
      </c>
      <c r="J348" s="166" t="n">
        <v>4</v>
      </c>
      <c r="K348" s="166" t="n">
        <v>11</v>
      </c>
      <c r="L348" s="166" t="n">
        <v>-2</v>
      </c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  <c r="AA348" s="162" t="n"/>
      <c r="AB348" s="162" t="n"/>
      <c r="AC348" s="162" t="n"/>
      <c r="AD348" s="162" t="n"/>
      <c r="AE348" s="162" t="n"/>
      <c r="AF348" s="162" t="n"/>
      <c r="AG348" s="162" t="n"/>
      <c r="AH348" s="162" t="n"/>
      <c r="AI348" s="162" t="n"/>
      <c r="AJ348" s="162" t="n"/>
      <c r="AK348" s="162" t="n"/>
      <c r="AL348" s="162" t="n"/>
      <c r="AM348" s="162" t="n"/>
      <c r="AN348" s="162" t="n"/>
      <c r="AO348" s="162" t="n"/>
      <c r="AP348" s="162" t="n"/>
      <c r="AQ348" s="162" t="n"/>
      <c r="AR348" s="162" t="n"/>
      <c r="AS348" s="162" t="n"/>
      <c r="AT348" s="162" t="n"/>
      <c r="AU348" s="162" t="n"/>
      <c r="AV348" s="162" t="n"/>
      <c r="AW348" s="162" t="n"/>
      <c r="AX348" s="162" t="n"/>
      <c r="AY348" s="162" t="n"/>
      <c r="AZ348" s="162" t="n"/>
      <c r="BA348" s="162" t="n"/>
      <c r="BB348" s="162" t="n"/>
      <c r="BC348" s="162" t="n"/>
      <c r="BD348" s="162" t="n"/>
      <c r="BE348" s="162" t="n"/>
      <c r="BF348" s="162" t="n"/>
      <c r="BG348" s="162" t="n"/>
      <c r="BH348" s="162" t="n"/>
      <c r="BI348" s="162" t="n"/>
      <c r="BJ348" s="162" t="n"/>
      <c r="BK348" s="162" t="n"/>
      <c r="BL348" s="162" t="n"/>
      <c r="BM348" s="162" t="n"/>
      <c r="BN348" s="162" t="n"/>
      <c r="BO348" s="162" t="n"/>
      <c r="BP348" s="162" t="n"/>
      <c r="BQ348" s="162" t="n"/>
      <c r="BR348" s="162" t="n"/>
      <c r="BS348" s="162" t="n"/>
      <c r="BT348" s="162" t="n"/>
      <c r="BU348" s="162" t="n"/>
      <c r="BV348" s="162" t="n"/>
      <c r="BW348" s="162" t="n"/>
      <c r="BX348" s="162" t="n"/>
      <c r="BY348" s="162" t="n"/>
      <c r="BZ348" s="162" t="n"/>
      <c r="CA348" s="162" t="n"/>
      <c r="CB348" s="162" t="n"/>
      <c r="CC348" s="162" t="n"/>
      <c r="CD348" s="162" t="n"/>
      <c r="CE348" s="162" t="n"/>
      <c r="CF348" s="162" t="n"/>
      <c r="CG348" s="162" t="n"/>
      <c r="CH348" s="162" t="n"/>
      <c r="CI348" s="162" t="n"/>
      <c r="CJ348" s="162" t="n"/>
      <c r="CK348" s="162" t="n"/>
      <c r="CL348" s="162" t="n"/>
      <c r="CM348" s="162" t="n"/>
      <c r="CN348" s="162" t="n"/>
      <c r="CO348" s="162" t="n"/>
      <c r="CP348" s="162" t="n"/>
      <c r="CQ348" s="162" t="n"/>
      <c r="CR348" s="162" t="n"/>
      <c r="CS348" s="162" t="n"/>
      <c r="CT348" s="162" t="n"/>
    </row>
    <row r="349" ht="15" customHeight="1">
      <c r="A349" s="175" t="n">
        <v>112</v>
      </c>
      <c r="B349" s="165" t="n">
        <v>31</v>
      </c>
      <c r="C349" s="164" t="n">
        <v>45799</v>
      </c>
      <c r="D349" s="166" t="inlineStr">
        <is>
          <t>200 G. GARCERAS</t>
        </is>
      </c>
      <c r="E349" s="166" t="n">
        <v>41178</v>
      </c>
      <c r="F349" s="166" t="inlineStr">
        <is>
          <t>ALEX GOMEZ</t>
        </is>
      </c>
      <c r="G349" s="166" t="n">
        <v>3041</v>
      </c>
      <c r="H349" s="166" t="n"/>
      <c r="I349" s="166" t="n">
        <v>3079</v>
      </c>
      <c r="J349" s="166" t="n">
        <v>3</v>
      </c>
      <c r="K349" s="166" t="n">
        <v>13</v>
      </c>
      <c r="L349" s="166" t="n">
        <v>-54</v>
      </c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  <c r="AA349" s="162" t="n"/>
      <c r="AB349" s="162" t="n"/>
      <c r="AC349" s="162" t="n"/>
      <c r="AD349" s="162" t="n"/>
      <c r="AE349" s="162" t="n"/>
      <c r="AF349" s="162" t="n"/>
      <c r="AG349" s="162" t="n"/>
      <c r="AH349" s="162" t="n"/>
      <c r="AI349" s="162" t="n"/>
      <c r="AJ349" s="162" t="n"/>
      <c r="AK349" s="162" t="n"/>
      <c r="AL349" s="162" t="n"/>
      <c r="AM349" s="162" t="n"/>
      <c r="AN349" s="162" t="n"/>
      <c r="AO349" s="162" t="n"/>
      <c r="AP349" s="162" t="n"/>
      <c r="AQ349" s="162" t="n"/>
      <c r="AR349" s="162" t="n"/>
      <c r="AS349" s="162" t="n"/>
      <c r="AT349" s="162" t="n"/>
      <c r="AU349" s="162" t="n"/>
      <c r="AV349" s="162" t="n"/>
      <c r="AW349" s="162" t="n"/>
      <c r="AX349" s="162" t="n"/>
      <c r="AY349" s="162" t="n"/>
      <c r="AZ349" s="162" t="n"/>
      <c r="BA349" s="162" t="n"/>
      <c r="BB349" s="162" t="n"/>
      <c r="BC349" s="162" t="n"/>
      <c r="BD349" s="162" t="n"/>
      <c r="BE349" s="162" t="n"/>
      <c r="BF349" s="162" t="n"/>
      <c r="BG349" s="162" t="n"/>
      <c r="BH349" s="162" t="n"/>
      <c r="BI349" s="162" t="n"/>
      <c r="BJ349" s="162" t="n"/>
      <c r="BK349" s="162" t="n"/>
      <c r="BL349" s="162" t="n"/>
      <c r="BM349" s="162" t="n"/>
      <c r="BN349" s="162" t="n"/>
      <c r="BO349" s="162" t="n"/>
      <c r="BP349" s="162" t="n"/>
      <c r="BQ349" s="162" t="n"/>
      <c r="BR349" s="162" t="n"/>
      <c r="BS349" s="162" t="n"/>
      <c r="BT349" s="162" t="n"/>
      <c r="BU349" s="162" t="n"/>
      <c r="BV349" s="162" t="n"/>
      <c r="BW349" s="162" t="n"/>
      <c r="BX349" s="162" t="n"/>
      <c r="BY349" s="162" t="n"/>
      <c r="BZ349" s="162" t="n"/>
      <c r="CA349" s="162" t="n"/>
      <c r="CB349" s="162" t="n"/>
      <c r="CC349" s="162" t="n"/>
      <c r="CD349" s="162" t="n"/>
      <c r="CE349" s="162" t="n"/>
      <c r="CF349" s="162" t="n"/>
      <c r="CG349" s="162" t="n"/>
      <c r="CH349" s="162" t="n"/>
      <c r="CI349" s="162" t="n"/>
      <c r="CJ349" s="162" t="n"/>
      <c r="CK349" s="162" t="n"/>
      <c r="CL349" s="162" t="n"/>
      <c r="CM349" s="162" t="n"/>
      <c r="CN349" s="162" t="n"/>
      <c r="CO349" s="162" t="n"/>
      <c r="CP349" s="162" t="n"/>
      <c r="CQ349" s="162" t="n"/>
      <c r="CR349" s="162" t="n"/>
      <c r="CS349" s="162" t="n"/>
      <c r="CT349" s="162" t="n"/>
    </row>
    <row r="350" ht="15" customHeight="1">
      <c r="A350" s="175" t="n">
        <v>113</v>
      </c>
      <c r="B350" s="165" t="n">
        <v>32</v>
      </c>
      <c r="C350" s="164" t="n">
        <v>45799</v>
      </c>
      <c r="D350" s="166" t="inlineStr">
        <is>
          <t>218 G. SAN JOSE 1</t>
        </is>
      </c>
      <c r="E350" s="166" t="n">
        <v>41186</v>
      </c>
      <c r="F350" s="166" t="inlineStr">
        <is>
          <t>ALBERTO HERRERA</t>
        </is>
      </c>
      <c r="G350" s="166" t="n">
        <v>3275</v>
      </c>
      <c r="H350" s="166" t="n"/>
      <c r="I350" s="166" t="n">
        <v>3263</v>
      </c>
      <c r="J350" s="166" t="n">
        <v>1</v>
      </c>
      <c r="K350" s="166" t="n">
        <v>12</v>
      </c>
      <c r="L350" s="166" t="n">
        <v>-1</v>
      </c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  <c r="AA350" s="162" t="n"/>
      <c r="AB350" s="162" t="n"/>
      <c r="AC350" s="162" t="n"/>
      <c r="AD350" s="162" t="n"/>
      <c r="AE350" s="162" t="n"/>
      <c r="AF350" s="162" t="n"/>
      <c r="AG350" s="162" t="n"/>
      <c r="AH350" s="162" t="n"/>
      <c r="AI350" s="162" t="n"/>
      <c r="AJ350" s="162" t="n"/>
      <c r="AK350" s="162" t="n"/>
      <c r="AL350" s="162" t="n"/>
      <c r="AM350" s="162" t="n"/>
      <c r="AN350" s="162" t="n"/>
      <c r="AO350" s="162" t="n"/>
      <c r="AP350" s="162" t="n"/>
      <c r="AQ350" s="162" t="n"/>
      <c r="AR350" s="162" t="n"/>
      <c r="AS350" s="162" t="n"/>
      <c r="AT350" s="162" t="n"/>
      <c r="AU350" s="162" t="n"/>
      <c r="AV350" s="162" t="n"/>
      <c r="AW350" s="162" t="n"/>
      <c r="AX350" s="162" t="n"/>
      <c r="AY350" s="162" t="n"/>
      <c r="AZ350" s="162" t="n"/>
      <c r="BA350" s="162" t="n"/>
      <c r="BB350" s="162" t="n"/>
      <c r="BC350" s="162" t="n"/>
      <c r="BD350" s="162" t="n"/>
      <c r="BE350" s="162" t="n"/>
      <c r="BF350" s="162" t="n"/>
      <c r="BG350" s="162" t="n"/>
      <c r="BH350" s="162" t="n"/>
      <c r="BI350" s="162" t="n"/>
      <c r="BJ350" s="162" t="n"/>
      <c r="BK350" s="162" t="n"/>
      <c r="BL350" s="162" t="n"/>
      <c r="BM350" s="162" t="n"/>
      <c r="BN350" s="162" t="n"/>
      <c r="BO350" s="162" t="n"/>
      <c r="BP350" s="162" t="n"/>
      <c r="BQ350" s="162" t="n"/>
      <c r="BR350" s="162" t="n"/>
      <c r="BS350" s="162" t="n"/>
      <c r="BT350" s="162" t="n"/>
      <c r="BU350" s="162" t="n"/>
      <c r="BV350" s="162" t="n"/>
      <c r="BW350" s="162" t="n"/>
      <c r="BX350" s="162" t="n"/>
      <c r="BY350" s="162" t="n"/>
      <c r="BZ350" s="162" t="n"/>
      <c r="CA350" s="162" t="n"/>
      <c r="CB350" s="162" t="n"/>
      <c r="CC350" s="162" t="n"/>
      <c r="CD350" s="162" t="n"/>
      <c r="CE350" s="162" t="n"/>
      <c r="CF350" s="162" t="n"/>
      <c r="CG350" s="162" t="n"/>
      <c r="CH350" s="162" t="n"/>
      <c r="CI350" s="162" t="n"/>
      <c r="CJ350" s="162" t="n"/>
      <c r="CK350" s="162" t="n"/>
      <c r="CL350" s="162" t="n"/>
      <c r="CM350" s="162" t="n"/>
      <c r="CN350" s="162" t="n"/>
      <c r="CO350" s="162" t="n"/>
      <c r="CP350" s="162" t="n"/>
      <c r="CQ350" s="162" t="n"/>
      <c r="CR350" s="162" t="n"/>
      <c r="CS350" s="162" t="n"/>
      <c r="CT350" s="162" t="n"/>
    </row>
    <row r="351" ht="15" customHeight="1">
      <c r="A351" s="175" t="n">
        <v>114</v>
      </c>
      <c r="B351" s="165" t="n">
        <v>33</v>
      </c>
      <c r="C351" s="164" t="n">
        <v>45799</v>
      </c>
      <c r="D351" s="166" t="inlineStr">
        <is>
          <t>218 G. SAN JOSE 1</t>
        </is>
      </c>
      <c r="E351" s="166" t="n">
        <v>41187</v>
      </c>
      <c r="F351" s="166" t="inlineStr">
        <is>
          <t>DUMAR ANGARITA</t>
        </is>
      </c>
      <c r="G351" s="166" t="n">
        <v>3275</v>
      </c>
      <c r="H351" s="166" t="n"/>
      <c r="I351" s="166" t="n">
        <v>3255</v>
      </c>
      <c r="J351" s="166" t="n">
        <v>2</v>
      </c>
      <c r="K351" s="166" t="n">
        <v>19</v>
      </c>
      <c r="L351" s="166" t="n">
        <v>-1</v>
      </c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  <c r="AA351" s="162" t="n"/>
      <c r="AB351" s="162" t="n"/>
      <c r="AC351" s="162" t="n"/>
      <c r="AD351" s="162" t="n"/>
      <c r="AE351" s="162" t="n"/>
      <c r="AF351" s="162" t="n"/>
      <c r="AG351" s="162" t="n"/>
      <c r="AH351" s="162" t="n"/>
      <c r="AI351" s="162" t="n"/>
      <c r="AJ351" s="162" t="n"/>
      <c r="AK351" s="162" t="n"/>
      <c r="AL351" s="162" t="n"/>
      <c r="AM351" s="162" t="n"/>
      <c r="AN351" s="162" t="n"/>
      <c r="AO351" s="162" t="n"/>
      <c r="AP351" s="162" t="n"/>
      <c r="AQ351" s="162" t="n"/>
      <c r="AR351" s="162" t="n"/>
      <c r="AS351" s="162" t="n"/>
      <c r="AT351" s="162" t="n"/>
      <c r="AU351" s="162" t="n"/>
      <c r="AV351" s="162" t="n"/>
      <c r="AW351" s="162" t="n"/>
      <c r="AX351" s="162" t="n"/>
      <c r="AY351" s="162" t="n"/>
      <c r="AZ351" s="162" t="n"/>
      <c r="BA351" s="162" t="n"/>
      <c r="BB351" s="162" t="n"/>
      <c r="BC351" s="162" t="n"/>
      <c r="BD351" s="162" t="n"/>
      <c r="BE351" s="162" t="n"/>
      <c r="BF351" s="162" t="n"/>
      <c r="BG351" s="162" t="n"/>
      <c r="BH351" s="162" t="n"/>
      <c r="BI351" s="162" t="n"/>
      <c r="BJ351" s="162" t="n"/>
      <c r="BK351" s="162" t="n"/>
      <c r="BL351" s="162" t="n"/>
      <c r="BM351" s="162" t="n"/>
      <c r="BN351" s="162" t="n"/>
      <c r="BO351" s="162" t="n"/>
      <c r="BP351" s="162" t="n"/>
      <c r="BQ351" s="162" t="n"/>
      <c r="BR351" s="162" t="n"/>
      <c r="BS351" s="162" t="n"/>
      <c r="BT351" s="162" t="n"/>
      <c r="BU351" s="162" t="n"/>
      <c r="BV351" s="162" t="n"/>
      <c r="BW351" s="162" t="n"/>
      <c r="BX351" s="162" t="n"/>
      <c r="BY351" s="162" t="n"/>
      <c r="BZ351" s="162" t="n"/>
      <c r="CA351" s="162" t="n"/>
      <c r="CB351" s="162" t="n"/>
      <c r="CC351" s="162" t="n"/>
      <c r="CD351" s="162" t="n"/>
      <c r="CE351" s="162" t="n"/>
      <c r="CF351" s="162" t="n"/>
      <c r="CG351" s="162" t="n"/>
      <c r="CH351" s="162" t="n"/>
      <c r="CI351" s="162" t="n"/>
      <c r="CJ351" s="162" t="n"/>
      <c r="CK351" s="162" t="n"/>
      <c r="CL351" s="162" t="n"/>
      <c r="CM351" s="162" t="n"/>
      <c r="CN351" s="162" t="n"/>
      <c r="CO351" s="162" t="n"/>
      <c r="CP351" s="162" t="n"/>
      <c r="CQ351" s="162" t="n"/>
      <c r="CR351" s="162" t="n"/>
      <c r="CS351" s="162" t="n"/>
      <c r="CT351" s="162" t="n"/>
    </row>
    <row r="352" ht="15" customHeight="1">
      <c r="A352" s="175" t="n">
        <v>115</v>
      </c>
      <c r="B352" s="165" t="n">
        <v>34</v>
      </c>
      <c r="C352" s="164" t="n">
        <v>45799</v>
      </c>
      <c r="D352" s="166" t="inlineStr">
        <is>
          <t>218 G. SAN JOSE 1</t>
        </is>
      </c>
      <c r="E352" s="166" t="n">
        <v>41188</v>
      </c>
      <c r="F352" s="166" t="inlineStr">
        <is>
          <t>EDWIN ROJAS</t>
        </is>
      </c>
      <c r="G352" s="166" t="n">
        <v>3275</v>
      </c>
      <c r="H352" s="166" t="n"/>
      <c r="I352" s="166" t="n">
        <v>3261</v>
      </c>
      <c r="J352" s="166" t="n">
        <v>2</v>
      </c>
      <c r="K352" s="166" t="n">
        <v>13</v>
      </c>
      <c r="L352" s="166" t="n">
        <v>-1</v>
      </c>
      <c r="M352" s="162" t="n"/>
      <c r="N352" s="162" t="n">
        <v>71</v>
      </c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  <c r="AA352" s="162" t="n"/>
      <c r="AB352" s="162" t="n"/>
      <c r="AC352" s="162" t="n"/>
      <c r="AD352" s="162" t="n"/>
      <c r="AE352" s="162" t="n"/>
      <c r="AF352" s="162" t="n"/>
      <c r="AG352" s="162" t="n"/>
      <c r="AH352" s="162" t="n"/>
      <c r="AI352" s="162" t="n"/>
      <c r="AJ352" s="162" t="n"/>
      <c r="AK352" s="162" t="n"/>
      <c r="AL352" s="162" t="n"/>
      <c r="AM352" s="162" t="n"/>
      <c r="AN352" s="162" t="n"/>
      <c r="AO352" s="162" t="n"/>
      <c r="AP352" s="162" t="n"/>
      <c r="AQ352" s="162" t="n"/>
      <c r="AR352" s="162" t="n"/>
      <c r="AS352" s="162" t="n"/>
      <c r="AT352" s="162" t="n"/>
      <c r="AU352" s="162" t="n"/>
      <c r="AV352" s="162" t="n"/>
      <c r="AW352" s="162" t="n"/>
      <c r="AX352" s="162" t="n"/>
      <c r="AY352" s="162" t="n"/>
      <c r="AZ352" s="162" t="n"/>
      <c r="BA352" s="162" t="n"/>
      <c r="BB352" s="162" t="n"/>
      <c r="BC352" s="162" t="n"/>
      <c r="BD352" s="162" t="n"/>
      <c r="BE352" s="162" t="n"/>
      <c r="BF352" s="162" t="n"/>
      <c r="BG352" s="162" t="n"/>
      <c r="BH352" s="162" t="n"/>
      <c r="BI352" s="162" t="n"/>
      <c r="BJ352" s="162" t="n"/>
      <c r="BK352" s="162" t="n"/>
      <c r="BL352" s="162" t="n"/>
      <c r="BM352" s="162" t="n"/>
      <c r="BN352" s="162" t="n"/>
      <c r="BO352" s="162" t="n"/>
      <c r="BP352" s="162" t="n"/>
      <c r="BQ352" s="162" t="n"/>
      <c r="BR352" s="162" t="n"/>
      <c r="BS352" s="162" t="n"/>
      <c r="BT352" s="162" t="n"/>
      <c r="BU352" s="162" t="n"/>
      <c r="BV352" s="162" t="n"/>
      <c r="BW352" s="162" t="n"/>
      <c r="BX352" s="162" t="n"/>
      <c r="BY352" s="162" t="n"/>
      <c r="BZ352" s="162" t="n"/>
      <c r="CA352" s="162" t="n"/>
      <c r="CB352" s="162" t="n"/>
      <c r="CC352" s="162" t="n"/>
      <c r="CD352" s="162" t="n"/>
      <c r="CE352" s="162" t="n"/>
      <c r="CF352" s="162" t="n"/>
      <c r="CG352" s="162" t="n"/>
      <c r="CH352" s="162" t="n"/>
      <c r="CI352" s="162" t="n"/>
      <c r="CJ352" s="162" t="n"/>
      <c r="CK352" s="162" t="n"/>
      <c r="CL352" s="162" t="n"/>
      <c r="CM352" s="162" t="n"/>
      <c r="CN352" s="162" t="n"/>
      <c r="CO352" s="162" t="n"/>
      <c r="CP352" s="162" t="n"/>
      <c r="CQ352" s="162" t="n"/>
      <c r="CR352" s="162" t="n"/>
      <c r="CS352" s="162" t="n"/>
      <c r="CT352" s="162" t="n"/>
    </row>
    <row r="353" ht="15" customHeight="1">
      <c r="A353" s="175" t="n">
        <v>116</v>
      </c>
      <c r="B353" s="165" t="n">
        <v>35</v>
      </c>
      <c r="C353" s="164" t="n">
        <v>45799</v>
      </c>
      <c r="D353" s="166" t="inlineStr">
        <is>
          <t>218 G. SAN JOSE 1</t>
        </is>
      </c>
      <c r="E353" s="166" t="n">
        <v>41189</v>
      </c>
      <c r="F353" s="166" t="inlineStr">
        <is>
          <t>JAIRO CUBILLOS</t>
        </is>
      </c>
      <c r="G353" s="166" t="n">
        <v>3275</v>
      </c>
      <c r="H353" s="166" t="n"/>
      <c r="I353" s="166" t="n">
        <v>3259</v>
      </c>
      <c r="J353" s="166" t="n">
        <v>2</v>
      </c>
      <c r="K353" s="166" t="n">
        <v>15</v>
      </c>
      <c r="L353" s="166" t="n">
        <v>-1</v>
      </c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  <c r="AA353" s="162" t="n"/>
      <c r="AB353" s="162" t="n"/>
      <c r="AC353" s="162" t="n"/>
      <c r="AD353" s="162" t="n"/>
      <c r="AE353" s="162" t="n"/>
      <c r="AF353" s="162" t="n"/>
      <c r="AG353" s="162" t="n"/>
      <c r="AH353" s="162" t="n"/>
      <c r="AI353" s="162" t="n"/>
      <c r="AJ353" s="162" t="n"/>
      <c r="AK353" s="162" t="n"/>
      <c r="AL353" s="162" t="n"/>
      <c r="AM353" s="162" t="n"/>
      <c r="AN353" s="162" t="n"/>
      <c r="AO353" s="162" t="n"/>
      <c r="AP353" s="162" t="n"/>
      <c r="AQ353" s="162" t="n"/>
      <c r="AR353" s="162" t="n"/>
      <c r="AS353" s="162" t="n"/>
      <c r="AT353" s="162" t="n"/>
      <c r="AU353" s="162" t="n"/>
      <c r="AV353" s="162" t="n"/>
      <c r="AW353" s="162" t="n"/>
      <c r="AX353" s="162" t="n"/>
      <c r="AY353" s="162" t="n"/>
      <c r="AZ353" s="162" t="n"/>
      <c r="BA353" s="162" t="n"/>
      <c r="BB353" s="162" t="n"/>
      <c r="BC353" s="162" t="n"/>
      <c r="BD353" s="162" t="n"/>
      <c r="BE353" s="162" t="n"/>
      <c r="BF353" s="162" t="n"/>
      <c r="BG353" s="162" t="n"/>
      <c r="BH353" s="162" t="n"/>
      <c r="BI353" s="162" t="n"/>
      <c r="BJ353" s="162" t="n"/>
      <c r="BK353" s="162" t="n"/>
      <c r="BL353" s="162" t="n"/>
      <c r="BM353" s="162" t="n"/>
      <c r="BN353" s="162" t="n"/>
      <c r="BO353" s="162" t="n"/>
      <c r="BP353" s="162" t="n"/>
      <c r="BQ353" s="162" t="n"/>
      <c r="BR353" s="162" t="n"/>
      <c r="BS353" s="162" t="n"/>
      <c r="BT353" s="162" t="n"/>
      <c r="BU353" s="162" t="n"/>
      <c r="BV353" s="162" t="n"/>
      <c r="BW353" s="162" t="n"/>
      <c r="BX353" s="162" t="n"/>
      <c r="BY353" s="162" t="n"/>
      <c r="BZ353" s="162" t="n"/>
      <c r="CA353" s="162" t="n"/>
      <c r="CB353" s="162" t="n"/>
      <c r="CC353" s="162" t="n"/>
      <c r="CD353" s="162" t="n"/>
      <c r="CE353" s="162" t="n"/>
      <c r="CF353" s="162" t="n"/>
      <c r="CG353" s="162" t="n"/>
      <c r="CH353" s="162" t="n"/>
      <c r="CI353" s="162" t="n"/>
      <c r="CJ353" s="162" t="n"/>
      <c r="CK353" s="162" t="n"/>
      <c r="CL353" s="162" t="n"/>
      <c r="CM353" s="162" t="n"/>
      <c r="CN353" s="162" t="n"/>
      <c r="CO353" s="162" t="n"/>
      <c r="CP353" s="162" t="n"/>
      <c r="CQ353" s="162" t="n"/>
      <c r="CR353" s="162" t="n"/>
      <c r="CS353" s="162" t="n"/>
      <c r="CT353" s="162" t="n"/>
    </row>
    <row r="354" ht="15" customHeight="1">
      <c r="A354" s="175" t="n">
        <v>117</v>
      </c>
      <c r="B354" s="165" t="n">
        <v>36</v>
      </c>
      <c r="C354" s="164" t="n">
        <v>45799</v>
      </c>
      <c r="D354" s="166" t="inlineStr">
        <is>
          <t>218 G. SAN JOSE 1</t>
        </is>
      </c>
      <c r="E354" s="166" t="n">
        <v>41190</v>
      </c>
      <c r="F354" s="166" t="inlineStr">
        <is>
          <t>ALBERTO LOPEZ</t>
        </is>
      </c>
      <c r="G354" s="166" t="n">
        <v>3575</v>
      </c>
      <c r="H354" s="166" t="n"/>
      <c r="I354" s="166" t="n">
        <v>3565</v>
      </c>
      <c r="J354" s="166" t="n">
        <v>4</v>
      </c>
      <c r="K354" s="166" t="n">
        <v>14</v>
      </c>
      <c r="L354" s="166" t="n">
        <v>-8</v>
      </c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  <c r="AA354" s="162" t="n"/>
      <c r="AB354" s="162" t="n"/>
      <c r="AC354" s="162" t="n"/>
      <c r="AD354" s="162" t="n"/>
      <c r="AE354" s="162" t="n"/>
      <c r="AF354" s="162" t="n"/>
      <c r="AG354" s="162" t="n"/>
      <c r="AH354" s="162" t="n"/>
      <c r="AI354" s="162" t="n"/>
      <c r="AJ354" s="162" t="n"/>
      <c r="AK354" s="162" t="n"/>
      <c r="AL354" s="162" t="n"/>
      <c r="AM354" s="162" t="n"/>
      <c r="AN354" s="162" t="n"/>
      <c r="AO354" s="162" t="n"/>
      <c r="AP354" s="162" t="n"/>
      <c r="AQ354" s="162" t="n"/>
      <c r="AR354" s="162" t="n"/>
      <c r="AS354" s="162" t="n"/>
      <c r="AT354" s="162" t="n"/>
      <c r="AU354" s="162" t="n"/>
      <c r="AV354" s="162" t="n"/>
      <c r="AW354" s="162" t="n"/>
      <c r="AX354" s="162" t="n"/>
      <c r="AY354" s="162" t="n"/>
      <c r="AZ354" s="162" t="n"/>
      <c r="BA354" s="162" t="n"/>
      <c r="BB354" s="162" t="n"/>
      <c r="BC354" s="162" t="n"/>
      <c r="BD354" s="162" t="n"/>
      <c r="BE354" s="162" t="n"/>
      <c r="BF354" s="162" t="n"/>
      <c r="BG354" s="162" t="n"/>
      <c r="BH354" s="162" t="n"/>
      <c r="BI354" s="162" t="n"/>
      <c r="BJ354" s="162" t="n"/>
      <c r="BK354" s="162" t="n"/>
      <c r="BL354" s="162" t="n"/>
      <c r="BM354" s="162" t="n"/>
      <c r="BN354" s="162" t="n"/>
      <c r="BO354" s="162" t="n"/>
      <c r="BP354" s="162" t="n"/>
      <c r="BQ354" s="162" t="n"/>
      <c r="BR354" s="162" t="n"/>
      <c r="BS354" s="162" t="n"/>
      <c r="BT354" s="162" t="n"/>
      <c r="BU354" s="162" t="n"/>
      <c r="BV354" s="162" t="n"/>
      <c r="BW354" s="162" t="n"/>
      <c r="BX354" s="162" t="n"/>
      <c r="BY354" s="162" t="n"/>
      <c r="BZ354" s="162" t="n"/>
      <c r="CA354" s="162" t="n"/>
      <c r="CB354" s="162" t="n"/>
      <c r="CC354" s="162" t="n"/>
      <c r="CD354" s="162" t="n"/>
      <c r="CE354" s="162" t="n"/>
      <c r="CF354" s="162" t="n"/>
      <c r="CG354" s="162" t="n"/>
      <c r="CH354" s="162" t="n"/>
      <c r="CI354" s="162" t="n"/>
      <c r="CJ354" s="162" t="n"/>
      <c r="CK354" s="162" t="n"/>
      <c r="CL354" s="162" t="n"/>
      <c r="CM354" s="162" t="n"/>
      <c r="CN354" s="162" t="n"/>
      <c r="CO354" s="162" t="n"/>
      <c r="CP354" s="162" t="n"/>
      <c r="CQ354" s="162" t="n"/>
      <c r="CR354" s="162" t="n"/>
      <c r="CS354" s="162" t="n"/>
      <c r="CT354" s="162" t="n"/>
    </row>
    <row r="355" ht="15" customHeight="1">
      <c r="A355" s="175" t="n">
        <v>118</v>
      </c>
      <c r="B355" s="165" t="n">
        <v>37</v>
      </c>
      <c r="C355" s="164" t="n">
        <v>45799</v>
      </c>
      <c r="D355" s="166" t="inlineStr">
        <is>
          <t>218 G. SAN JOSE 1</t>
        </is>
      </c>
      <c r="E355" s="166" t="n">
        <v>41191</v>
      </c>
      <c r="F355" s="166" t="inlineStr">
        <is>
          <t>JHON ARIAS</t>
        </is>
      </c>
      <c r="G355" s="166" t="n">
        <v>3575</v>
      </c>
      <c r="H355" s="166" t="n"/>
      <c r="I355" s="166" t="n">
        <v>3565</v>
      </c>
      <c r="J355" s="166" t="n">
        <v>1</v>
      </c>
      <c r="K355" s="166" t="n">
        <v>14</v>
      </c>
      <c r="L355" s="166" t="n">
        <v>-5</v>
      </c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  <c r="AA355" s="162" t="n"/>
      <c r="AB355" s="162" t="n"/>
      <c r="AC355" s="162" t="n"/>
      <c r="AD355" s="162" t="n"/>
      <c r="AE355" s="162" t="n"/>
      <c r="AF355" s="162" t="n"/>
      <c r="AG355" s="162" t="n"/>
      <c r="AH355" s="162" t="n"/>
      <c r="AI355" s="162" t="n"/>
      <c r="AJ355" s="162" t="n"/>
      <c r="AK355" s="162" t="n"/>
      <c r="AL355" s="162" t="n"/>
      <c r="AM355" s="162" t="n"/>
      <c r="AN355" s="162" t="n"/>
      <c r="AO355" s="162" t="n"/>
      <c r="AP355" s="162" t="n"/>
      <c r="AQ355" s="162" t="n"/>
      <c r="AR355" s="162" t="n"/>
      <c r="AS355" s="162" t="n"/>
      <c r="AT355" s="162" t="n"/>
      <c r="AU355" s="162" t="n"/>
      <c r="AV355" s="162" t="n"/>
      <c r="AW355" s="162" t="n"/>
      <c r="AX355" s="162" t="n"/>
      <c r="AY355" s="162" t="n"/>
      <c r="AZ355" s="162" t="n"/>
      <c r="BA355" s="162" t="n"/>
      <c r="BB355" s="162" t="n"/>
      <c r="BC355" s="162" t="n"/>
      <c r="BD355" s="162" t="n"/>
      <c r="BE355" s="162" t="n"/>
      <c r="BF355" s="162" t="n"/>
      <c r="BG355" s="162" t="n"/>
      <c r="BH355" s="162" t="n"/>
      <c r="BI355" s="162" t="n"/>
      <c r="BJ355" s="162" t="n"/>
      <c r="BK355" s="162" t="n"/>
      <c r="BL355" s="162" t="n"/>
      <c r="BM355" s="162" t="n"/>
      <c r="BN355" s="162" t="n"/>
      <c r="BO355" s="162" t="n"/>
      <c r="BP355" s="162" t="n"/>
      <c r="BQ355" s="162" t="n"/>
      <c r="BR355" s="162" t="n"/>
      <c r="BS355" s="162" t="n"/>
      <c r="BT355" s="162" t="n"/>
      <c r="BU355" s="162" t="n"/>
      <c r="BV355" s="162" t="n"/>
      <c r="BW355" s="162" t="n"/>
      <c r="BX355" s="162" t="n"/>
      <c r="BY355" s="162" t="n"/>
      <c r="BZ355" s="162" t="n"/>
      <c r="CA355" s="162" t="n"/>
      <c r="CB355" s="162" t="n"/>
      <c r="CC355" s="162" t="n"/>
      <c r="CD355" s="162" t="n"/>
      <c r="CE355" s="162" t="n"/>
      <c r="CF355" s="162" t="n"/>
      <c r="CG355" s="162" t="n"/>
      <c r="CH355" s="162" t="n"/>
      <c r="CI355" s="162" t="n"/>
      <c r="CJ355" s="162" t="n"/>
      <c r="CK355" s="162" t="n"/>
      <c r="CL355" s="162" t="n"/>
      <c r="CM355" s="162" t="n"/>
      <c r="CN355" s="162" t="n"/>
      <c r="CO355" s="162" t="n"/>
      <c r="CP355" s="162" t="n"/>
      <c r="CQ355" s="162" t="n"/>
      <c r="CR355" s="162" t="n"/>
      <c r="CS355" s="162" t="n"/>
      <c r="CT355" s="162" t="n"/>
    </row>
    <row r="356" ht="15" customHeight="1">
      <c r="A356" s="175" t="n">
        <v>119</v>
      </c>
      <c r="B356" s="165" t="n">
        <v>38</v>
      </c>
      <c r="C356" s="164" t="n">
        <v>45800</v>
      </c>
      <c r="D356" s="166" t="inlineStr">
        <is>
          <t>200 G. GARCERAS</t>
        </is>
      </c>
      <c r="E356" s="166" t="n">
        <v>41204</v>
      </c>
      <c r="F356" s="166" t="inlineStr">
        <is>
          <t>JHON AIRAS</t>
        </is>
      </c>
      <c r="G356" s="166" t="n">
        <v>3167</v>
      </c>
      <c r="H356" s="166" t="n"/>
      <c r="I356" s="166" t="n">
        <v>3153</v>
      </c>
      <c r="J356" s="166" t="n">
        <v>4</v>
      </c>
      <c r="K356" s="166" t="n">
        <v>7</v>
      </c>
      <c r="L356" s="166" t="n">
        <v>3</v>
      </c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  <c r="AA356" s="162" t="n"/>
      <c r="AB356" s="162" t="n"/>
      <c r="AC356" s="162" t="n"/>
      <c r="AD356" s="162" t="n"/>
      <c r="AE356" s="162" t="n"/>
      <c r="AF356" s="162" t="n"/>
      <c r="AG356" s="162" t="n"/>
      <c r="AH356" s="162" t="n"/>
      <c r="AI356" s="162" t="n"/>
      <c r="AJ356" s="162" t="n"/>
      <c r="AK356" s="162" t="n"/>
      <c r="AL356" s="162" t="n"/>
      <c r="AM356" s="162" t="n"/>
      <c r="AN356" s="162" t="n"/>
      <c r="AO356" s="162" t="n"/>
      <c r="AP356" s="162" t="n"/>
      <c r="AQ356" s="162" t="n"/>
      <c r="AR356" s="162" t="n"/>
      <c r="AS356" s="162" t="n"/>
      <c r="AT356" s="162" t="n"/>
      <c r="AU356" s="162" t="n"/>
      <c r="AV356" s="162" t="n"/>
      <c r="AW356" s="162" t="n"/>
      <c r="AX356" s="162" t="n"/>
      <c r="AY356" s="162" t="n"/>
      <c r="AZ356" s="162" t="n"/>
      <c r="BA356" s="162" t="n"/>
      <c r="BB356" s="162" t="n"/>
      <c r="BC356" s="162" t="n"/>
      <c r="BD356" s="162" t="n"/>
      <c r="BE356" s="162" t="n"/>
      <c r="BF356" s="162" t="n"/>
      <c r="BG356" s="162" t="n"/>
      <c r="BH356" s="162" t="n"/>
      <c r="BI356" s="162" t="n"/>
      <c r="BJ356" s="162" t="n"/>
      <c r="BK356" s="162" t="n"/>
      <c r="BL356" s="162" t="n"/>
      <c r="BM356" s="162" t="n"/>
      <c r="BN356" s="162" t="n"/>
      <c r="BO356" s="162" t="n"/>
      <c r="BP356" s="162" t="n"/>
      <c r="BQ356" s="162" t="n"/>
      <c r="BR356" s="162" t="n"/>
      <c r="BS356" s="162" t="n"/>
      <c r="BT356" s="162" t="n"/>
      <c r="BU356" s="162" t="n"/>
      <c r="BV356" s="162" t="n"/>
      <c r="BW356" s="162" t="n"/>
      <c r="BX356" s="162" t="n"/>
      <c r="BY356" s="162" t="n"/>
      <c r="BZ356" s="162" t="n"/>
      <c r="CA356" s="162" t="n"/>
      <c r="CB356" s="162" t="n"/>
      <c r="CC356" s="162" t="n"/>
      <c r="CD356" s="162" t="n"/>
      <c r="CE356" s="162" t="n"/>
      <c r="CF356" s="162" t="n"/>
      <c r="CG356" s="162" t="n"/>
      <c r="CH356" s="162" t="n"/>
      <c r="CI356" s="162" t="n"/>
      <c r="CJ356" s="162" t="n"/>
      <c r="CK356" s="162" t="n"/>
      <c r="CL356" s="162" t="n"/>
      <c r="CM356" s="162" t="n"/>
      <c r="CN356" s="162" t="n"/>
      <c r="CO356" s="162" t="n"/>
      <c r="CP356" s="162" t="n"/>
      <c r="CQ356" s="162" t="n"/>
      <c r="CR356" s="162" t="n"/>
      <c r="CS356" s="162" t="n"/>
      <c r="CT356" s="162" t="n"/>
    </row>
    <row r="357" ht="15" customHeight="1">
      <c r="A357" s="175" t="n">
        <v>120</v>
      </c>
      <c r="B357" s="165" t="n">
        <v>39</v>
      </c>
      <c r="C357" s="164" t="n">
        <v>45800</v>
      </c>
      <c r="D357" s="166" t="inlineStr">
        <is>
          <t>200 G. GARCERAS</t>
        </is>
      </c>
      <c r="E357" s="166" t="n">
        <v>41205</v>
      </c>
      <c r="F357" s="166" t="inlineStr">
        <is>
          <t>DUMAR ANGARITA</t>
        </is>
      </c>
      <c r="G357" s="166" t="n">
        <v>3167</v>
      </c>
      <c r="H357" s="166" t="n"/>
      <c r="I357" s="166" t="n">
        <v>3153</v>
      </c>
      <c r="J357" s="166" t="n">
        <v>3</v>
      </c>
      <c r="K357" s="166" t="n">
        <v>8</v>
      </c>
      <c r="L357" s="166" t="n">
        <v>3</v>
      </c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  <c r="AA357" s="162" t="n"/>
      <c r="AB357" s="162" t="n"/>
      <c r="AC357" s="162" t="n"/>
      <c r="AD357" s="162" t="n"/>
      <c r="AE357" s="162" t="n"/>
      <c r="AF357" s="162" t="n"/>
      <c r="AG357" s="162" t="n"/>
      <c r="AH357" s="162" t="n"/>
      <c r="AI357" s="162" t="n"/>
      <c r="AJ357" s="162" t="n"/>
      <c r="AK357" s="162" t="n"/>
      <c r="AL357" s="162" t="n"/>
      <c r="AM357" s="162" t="n"/>
      <c r="AN357" s="162" t="n"/>
      <c r="AO357" s="162" t="n"/>
      <c r="AP357" s="162" t="n"/>
      <c r="AQ357" s="162" t="n"/>
      <c r="AR357" s="162" t="n"/>
      <c r="AS357" s="162" t="n"/>
      <c r="AT357" s="162" t="n"/>
      <c r="AU357" s="162" t="n"/>
      <c r="AV357" s="162" t="n"/>
      <c r="AW357" s="162" t="n"/>
      <c r="AX357" s="162" t="n"/>
      <c r="AY357" s="162" t="n"/>
      <c r="AZ357" s="162" t="n"/>
      <c r="BA357" s="162" t="n"/>
      <c r="BB357" s="162" t="n"/>
      <c r="BC357" s="162" t="n"/>
      <c r="BD357" s="162" t="n"/>
      <c r="BE357" s="162" t="n"/>
      <c r="BF357" s="162" t="n"/>
      <c r="BG357" s="162" t="n"/>
      <c r="BH357" s="162" t="n"/>
      <c r="BI357" s="162" t="n"/>
      <c r="BJ357" s="162" t="n"/>
      <c r="BK357" s="162" t="n"/>
      <c r="BL357" s="162" t="n"/>
      <c r="BM357" s="162" t="n"/>
      <c r="BN357" s="162" t="n"/>
      <c r="BO357" s="162" t="n"/>
      <c r="BP357" s="162" t="n"/>
      <c r="BQ357" s="162" t="n"/>
      <c r="BR357" s="162" t="n"/>
      <c r="BS357" s="162" t="n"/>
      <c r="BT357" s="162" t="n"/>
      <c r="BU357" s="162" t="n"/>
      <c r="BV357" s="162" t="n"/>
      <c r="BW357" s="162" t="n"/>
      <c r="BX357" s="162" t="n"/>
      <c r="BY357" s="162" t="n"/>
      <c r="BZ357" s="162" t="n"/>
      <c r="CA357" s="162" t="n"/>
      <c r="CB357" s="162" t="n"/>
      <c r="CC357" s="162" t="n"/>
      <c r="CD357" s="162" t="n"/>
      <c r="CE357" s="162" t="n"/>
      <c r="CF357" s="162" t="n"/>
      <c r="CG357" s="162" t="n"/>
      <c r="CH357" s="162" t="n"/>
      <c r="CI357" s="162" t="n"/>
      <c r="CJ357" s="162" t="n"/>
      <c r="CK357" s="162" t="n"/>
      <c r="CL357" s="162" t="n"/>
      <c r="CM357" s="162" t="n"/>
      <c r="CN357" s="162" t="n"/>
      <c r="CO357" s="162" t="n"/>
      <c r="CP357" s="162" t="n"/>
      <c r="CQ357" s="162" t="n"/>
      <c r="CR357" s="162" t="n"/>
      <c r="CS357" s="162" t="n"/>
      <c r="CT357" s="162" t="n"/>
    </row>
    <row r="358" ht="15" customHeight="1">
      <c r="A358" s="175" t="n">
        <v>121</v>
      </c>
      <c r="B358" s="165" t="n">
        <v>40</v>
      </c>
      <c r="C358" s="164" t="n">
        <v>45800</v>
      </c>
      <c r="D358" s="166" t="inlineStr">
        <is>
          <t>200 G. GARCERAS</t>
        </is>
      </c>
      <c r="E358" s="166" t="n">
        <v>41206</v>
      </c>
      <c r="F358" s="166" t="inlineStr">
        <is>
          <t>FERNANDO OYUELA</t>
        </is>
      </c>
      <c r="G358" s="166" t="n">
        <v>3167</v>
      </c>
      <c r="H358" s="166" t="n"/>
      <c r="I358" s="166" t="n">
        <v>3151</v>
      </c>
      <c r="J358" s="166" t="n">
        <v>3</v>
      </c>
      <c r="K358" s="166" t="n">
        <v>8</v>
      </c>
      <c r="L358" s="166" t="n">
        <v>5</v>
      </c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  <c r="AA358" s="162" t="n"/>
      <c r="AB358" s="162" t="n"/>
      <c r="AC358" s="162" t="n"/>
      <c r="AD358" s="162" t="n"/>
      <c r="AE358" s="162" t="n"/>
      <c r="AF358" s="162" t="n"/>
      <c r="AG358" s="162" t="n"/>
      <c r="AH358" s="162" t="n"/>
      <c r="AI358" s="162" t="n"/>
      <c r="AJ358" s="162" t="n"/>
      <c r="AK358" s="162" t="n"/>
      <c r="AL358" s="162" t="n"/>
      <c r="AM358" s="162" t="n"/>
      <c r="AN358" s="162" t="n"/>
      <c r="AO358" s="162" t="n"/>
      <c r="AP358" s="162" t="n"/>
      <c r="AQ358" s="162" t="n"/>
      <c r="AR358" s="162" t="n"/>
      <c r="AS358" s="162" t="n"/>
      <c r="AT358" s="162" t="n"/>
      <c r="AU358" s="162" t="n"/>
      <c r="AV358" s="162" t="n"/>
      <c r="AW358" s="162" t="n"/>
      <c r="AX358" s="162" t="n"/>
      <c r="AY358" s="162" t="n"/>
      <c r="AZ358" s="162" t="n"/>
      <c r="BA358" s="162" t="n"/>
      <c r="BB358" s="162" t="n"/>
      <c r="BC358" s="162" t="n"/>
      <c r="BD358" s="162" t="n"/>
      <c r="BE358" s="162" t="n"/>
      <c r="BF358" s="162" t="n"/>
      <c r="BG358" s="162" t="n"/>
      <c r="BH358" s="162" t="n"/>
      <c r="BI358" s="162" t="n"/>
      <c r="BJ358" s="162" t="n"/>
      <c r="BK358" s="162" t="n"/>
      <c r="BL358" s="162" t="n"/>
      <c r="BM358" s="162" t="n"/>
      <c r="BN358" s="162" t="n"/>
      <c r="BO358" s="162" t="n"/>
      <c r="BP358" s="162" t="n"/>
      <c r="BQ358" s="162" t="n"/>
      <c r="BR358" s="162" t="n"/>
      <c r="BS358" s="162" t="n"/>
      <c r="BT358" s="162" t="n"/>
      <c r="BU358" s="162" t="n"/>
      <c r="BV358" s="162" t="n"/>
      <c r="BW358" s="162" t="n"/>
      <c r="BX358" s="162" t="n"/>
      <c r="BY358" s="162" t="n"/>
      <c r="BZ358" s="162" t="n"/>
      <c r="CA358" s="162" t="n"/>
      <c r="CB358" s="162" t="n"/>
      <c r="CC358" s="162" t="n"/>
      <c r="CD358" s="162" t="n"/>
      <c r="CE358" s="162" t="n"/>
      <c r="CF358" s="162" t="n"/>
      <c r="CG358" s="162" t="n"/>
      <c r="CH358" s="162" t="n"/>
      <c r="CI358" s="162" t="n"/>
      <c r="CJ358" s="162" t="n"/>
      <c r="CK358" s="162" t="n"/>
      <c r="CL358" s="162" t="n"/>
      <c r="CM358" s="162" t="n"/>
      <c r="CN358" s="162" t="n"/>
      <c r="CO358" s="162" t="n"/>
      <c r="CP358" s="162" t="n"/>
      <c r="CQ358" s="162" t="n"/>
      <c r="CR358" s="162" t="n"/>
      <c r="CS358" s="162" t="n"/>
      <c r="CT358" s="162" t="n"/>
    </row>
    <row r="359" ht="15" customHeight="1">
      <c r="A359" s="175" t="n">
        <v>122</v>
      </c>
      <c r="B359" s="165" t="n">
        <v>41</v>
      </c>
      <c r="C359" s="164" t="n">
        <v>45800</v>
      </c>
      <c r="D359" s="166" t="inlineStr">
        <is>
          <t>200 G. GARCERAS</t>
        </is>
      </c>
      <c r="E359" s="166" t="n">
        <v>41207</v>
      </c>
      <c r="F359" s="166" t="inlineStr">
        <is>
          <t>JHON AGUIRRE</t>
        </is>
      </c>
      <c r="G359" s="166" t="n">
        <v>3341</v>
      </c>
      <c r="H359" s="166" t="n"/>
      <c r="I359" s="166" t="n">
        <v>3326</v>
      </c>
      <c r="J359" s="166" t="n">
        <v>3</v>
      </c>
      <c r="K359" s="166" t="n">
        <v>6</v>
      </c>
      <c r="L359" s="166" t="n">
        <v>6</v>
      </c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  <c r="AA359" s="162" t="n"/>
      <c r="AB359" s="162" t="n"/>
      <c r="AC359" s="162" t="n"/>
      <c r="AD359" s="162" t="n"/>
      <c r="AE359" s="162" t="n"/>
      <c r="AF359" s="162" t="n"/>
      <c r="AG359" s="162" t="n"/>
      <c r="AH359" s="162" t="n"/>
      <c r="AI359" s="162" t="n"/>
      <c r="AJ359" s="162" t="n"/>
      <c r="AK359" s="162" t="n"/>
      <c r="AL359" s="162" t="n"/>
      <c r="AM359" s="162" t="n"/>
      <c r="AN359" s="162" t="n"/>
      <c r="AO359" s="162" t="n"/>
      <c r="AP359" s="162" t="n"/>
      <c r="AQ359" s="162" t="n"/>
      <c r="AR359" s="162" t="n"/>
      <c r="AS359" s="162" t="n"/>
      <c r="AT359" s="162" t="n"/>
      <c r="AU359" s="162" t="n"/>
      <c r="AV359" s="162" t="n"/>
      <c r="AW359" s="162" t="n"/>
      <c r="AX359" s="162" t="n"/>
      <c r="AY359" s="162" t="n"/>
      <c r="AZ359" s="162" t="n"/>
      <c r="BA359" s="162" t="n"/>
      <c r="BB359" s="162" t="n"/>
      <c r="BC359" s="162" t="n"/>
      <c r="BD359" s="162" t="n"/>
      <c r="BE359" s="162" t="n"/>
      <c r="BF359" s="162" t="n"/>
      <c r="BG359" s="162" t="n"/>
      <c r="BH359" s="162" t="n"/>
      <c r="BI359" s="162" t="n"/>
      <c r="BJ359" s="162" t="n"/>
      <c r="BK359" s="162" t="n"/>
      <c r="BL359" s="162" t="n"/>
      <c r="BM359" s="162" t="n"/>
      <c r="BN359" s="162" t="n"/>
      <c r="BO359" s="162" t="n"/>
      <c r="BP359" s="162" t="n"/>
      <c r="BQ359" s="162" t="n"/>
      <c r="BR359" s="162" t="n"/>
      <c r="BS359" s="162" t="n"/>
      <c r="BT359" s="162" t="n"/>
      <c r="BU359" s="162" t="n"/>
      <c r="BV359" s="162" t="n"/>
      <c r="BW359" s="162" t="n"/>
      <c r="BX359" s="162" t="n"/>
      <c r="BY359" s="162" t="n"/>
      <c r="BZ359" s="162" t="n"/>
      <c r="CA359" s="162" t="n"/>
      <c r="CB359" s="162" t="n"/>
      <c r="CC359" s="162" t="n"/>
      <c r="CD359" s="162" t="n"/>
      <c r="CE359" s="162" t="n"/>
      <c r="CF359" s="162" t="n"/>
      <c r="CG359" s="162" t="n"/>
      <c r="CH359" s="162" t="n"/>
      <c r="CI359" s="162" t="n"/>
      <c r="CJ359" s="162" t="n"/>
      <c r="CK359" s="162" t="n"/>
      <c r="CL359" s="162" t="n"/>
      <c r="CM359" s="162" t="n"/>
      <c r="CN359" s="162" t="n"/>
      <c r="CO359" s="162" t="n"/>
      <c r="CP359" s="162" t="n"/>
      <c r="CQ359" s="162" t="n"/>
      <c r="CR359" s="162" t="n"/>
      <c r="CS359" s="162" t="n"/>
      <c r="CT359" s="162" t="n"/>
    </row>
    <row r="360" ht="15" customHeight="1">
      <c r="A360" s="175" t="n">
        <v>123</v>
      </c>
      <c r="B360" s="165" t="n">
        <v>42</v>
      </c>
      <c r="C360" s="164" t="n">
        <v>45800</v>
      </c>
      <c r="D360" s="166" t="inlineStr">
        <is>
          <t>200 G. GARCERAS</t>
        </is>
      </c>
      <c r="E360" s="166" t="n">
        <v>41208</v>
      </c>
      <c r="F360" s="166" t="inlineStr">
        <is>
          <t>ALEX GOMEZ</t>
        </is>
      </c>
      <c r="G360" s="166" t="n">
        <v>3341</v>
      </c>
      <c r="H360" s="166" t="n"/>
      <c r="I360" s="166" t="n">
        <v>3328</v>
      </c>
      <c r="J360" s="166" t="n">
        <v>7</v>
      </c>
      <c r="K360" s="166" t="n">
        <v>5</v>
      </c>
      <c r="L360" s="166" t="n">
        <v>1</v>
      </c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  <c r="AA360" s="162" t="n"/>
      <c r="AB360" s="162" t="n"/>
      <c r="AC360" s="162" t="n"/>
      <c r="AD360" s="162" t="n"/>
      <c r="AE360" s="162" t="n"/>
      <c r="AF360" s="162" t="n"/>
      <c r="AG360" s="162" t="n"/>
      <c r="AH360" s="162" t="n"/>
      <c r="AI360" s="162" t="n"/>
      <c r="AJ360" s="162" t="n"/>
      <c r="AK360" s="162" t="n"/>
      <c r="AL360" s="162" t="n"/>
      <c r="AM360" s="162" t="n"/>
      <c r="AN360" s="162" t="n"/>
      <c r="AO360" s="162" t="n"/>
      <c r="AP360" s="162" t="n"/>
      <c r="AQ360" s="162" t="n"/>
      <c r="AR360" s="162" t="n"/>
      <c r="AS360" s="162" t="n"/>
      <c r="AT360" s="162" t="n"/>
      <c r="AU360" s="162" t="n"/>
      <c r="AV360" s="162" t="n"/>
      <c r="AW360" s="162" t="n"/>
      <c r="AX360" s="162" t="n"/>
      <c r="AY360" s="162" t="n"/>
      <c r="AZ360" s="162" t="n"/>
      <c r="BA360" s="162" t="n"/>
      <c r="BB360" s="162" t="n"/>
      <c r="BC360" s="162" t="n"/>
      <c r="BD360" s="162" t="n"/>
      <c r="BE360" s="162" t="n"/>
      <c r="BF360" s="162" t="n"/>
      <c r="BG360" s="162" t="n"/>
      <c r="BH360" s="162" t="n"/>
      <c r="BI360" s="162" t="n"/>
      <c r="BJ360" s="162" t="n"/>
      <c r="BK360" s="162" t="n"/>
      <c r="BL360" s="162" t="n"/>
      <c r="BM360" s="162" t="n"/>
      <c r="BN360" s="162" t="n"/>
      <c r="BO360" s="162" t="n"/>
      <c r="BP360" s="162" t="n"/>
      <c r="BQ360" s="162" t="n"/>
      <c r="BR360" s="162" t="n"/>
      <c r="BS360" s="162" t="n"/>
      <c r="BT360" s="162" t="n"/>
      <c r="BU360" s="162" t="n"/>
      <c r="BV360" s="162" t="n"/>
      <c r="BW360" s="162" t="n"/>
      <c r="BX360" s="162" t="n"/>
      <c r="BY360" s="162" t="n"/>
      <c r="BZ360" s="162" t="n"/>
      <c r="CA360" s="162" t="n"/>
      <c r="CB360" s="162" t="n"/>
      <c r="CC360" s="162" t="n"/>
      <c r="CD360" s="162" t="n"/>
      <c r="CE360" s="162" t="n"/>
      <c r="CF360" s="162" t="n"/>
      <c r="CG360" s="162" t="n"/>
      <c r="CH360" s="162" t="n"/>
      <c r="CI360" s="162" t="n"/>
      <c r="CJ360" s="162" t="n"/>
      <c r="CK360" s="162" t="n"/>
      <c r="CL360" s="162" t="n"/>
      <c r="CM360" s="162" t="n"/>
      <c r="CN360" s="162" t="n"/>
      <c r="CO360" s="162" t="n"/>
      <c r="CP360" s="162" t="n"/>
      <c r="CQ360" s="162" t="n"/>
      <c r="CR360" s="162" t="n"/>
      <c r="CS360" s="162" t="n"/>
      <c r="CT360" s="162" t="n"/>
    </row>
    <row r="361" ht="15" customHeight="1">
      <c r="A361" s="175" t="n">
        <v>124</v>
      </c>
      <c r="B361" s="165" t="n">
        <v>43</v>
      </c>
      <c r="C361" s="164" t="n">
        <v>45800</v>
      </c>
      <c r="D361" s="166" t="inlineStr">
        <is>
          <t>200 G. GARCERAS</t>
        </is>
      </c>
      <c r="E361" s="166" t="n">
        <v>41209</v>
      </c>
      <c r="F361" s="166" t="inlineStr">
        <is>
          <t>DIEGO NIÑO</t>
        </is>
      </c>
      <c r="G361" s="166" t="n">
        <v>3341</v>
      </c>
      <c r="H361" s="166" t="n"/>
      <c r="I361" s="166" t="n">
        <v>3333</v>
      </c>
      <c r="J361" s="166" t="n">
        <v>2</v>
      </c>
      <c r="K361" s="166" t="n">
        <v>6</v>
      </c>
      <c r="L361" s="166" t="n">
        <v>0</v>
      </c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  <c r="AA361" s="162" t="n"/>
      <c r="AB361" s="162" t="n"/>
      <c r="AC361" s="162" t="n"/>
      <c r="AD361" s="162" t="n"/>
      <c r="AE361" s="162" t="n"/>
      <c r="AF361" s="162" t="n"/>
      <c r="AG361" s="162" t="n"/>
      <c r="AH361" s="162" t="n"/>
      <c r="AI361" s="162" t="n"/>
      <c r="AJ361" s="162" t="n"/>
      <c r="AK361" s="162" t="n"/>
      <c r="AL361" s="162" t="n"/>
      <c r="AM361" s="162" t="n"/>
      <c r="AN361" s="162" t="n"/>
      <c r="AO361" s="162" t="n"/>
      <c r="AP361" s="162" t="n"/>
      <c r="AQ361" s="162" t="n"/>
      <c r="AR361" s="162" t="n"/>
      <c r="AS361" s="162" t="n"/>
      <c r="AT361" s="162" t="n"/>
      <c r="AU361" s="162" t="n"/>
      <c r="AV361" s="162" t="n"/>
      <c r="AW361" s="162" t="n"/>
      <c r="AX361" s="162" t="n"/>
      <c r="AY361" s="162" t="n"/>
      <c r="AZ361" s="162" t="n"/>
      <c r="BA361" s="162" t="n"/>
      <c r="BB361" s="162" t="n"/>
      <c r="BC361" s="162" t="n"/>
      <c r="BD361" s="162" t="n"/>
      <c r="BE361" s="162" t="n"/>
      <c r="BF361" s="162" t="n"/>
      <c r="BG361" s="162" t="n"/>
      <c r="BH361" s="162" t="n"/>
      <c r="BI361" s="162" t="n"/>
      <c r="BJ361" s="162" t="n"/>
      <c r="BK361" s="162" t="n"/>
      <c r="BL361" s="162" t="n"/>
      <c r="BM361" s="162" t="n"/>
      <c r="BN361" s="162" t="n"/>
      <c r="BO361" s="162" t="n"/>
      <c r="BP361" s="162" t="n"/>
      <c r="BQ361" s="162" t="n"/>
      <c r="BR361" s="162" t="n"/>
      <c r="BS361" s="162" t="n"/>
      <c r="BT361" s="162" t="n"/>
      <c r="BU361" s="162" t="n"/>
      <c r="BV361" s="162" t="n"/>
      <c r="BW361" s="162" t="n"/>
      <c r="BX361" s="162" t="n"/>
      <c r="BY361" s="162" t="n"/>
      <c r="BZ361" s="162" t="n"/>
      <c r="CA361" s="162" t="n"/>
      <c r="CB361" s="162" t="n"/>
      <c r="CC361" s="162" t="n"/>
      <c r="CD361" s="162" t="n"/>
      <c r="CE361" s="162" t="n"/>
      <c r="CF361" s="162" t="n"/>
      <c r="CG361" s="162" t="n"/>
      <c r="CH361" s="162" t="n"/>
      <c r="CI361" s="162" t="n"/>
      <c r="CJ361" s="162" t="n"/>
      <c r="CK361" s="162" t="n"/>
      <c r="CL361" s="162" t="n"/>
      <c r="CM361" s="162" t="n"/>
      <c r="CN361" s="162" t="n"/>
      <c r="CO361" s="162" t="n"/>
      <c r="CP361" s="162" t="n"/>
      <c r="CQ361" s="162" t="n"/>
      <c r="CR361" s="162" t="n"/>
      <c r="CS361" s="162" t="n"/>
      <c r="CT361" s="162" t="n"/>
    </row>
    <row r="362" ht="15" customHeight="1">
      <c r="A362" s="175" t="n">
        <v>125</v>
      </c>
      <c r="B362" s="165" t="n">
        <v>44</v>
      </c>
      <c r="C362" s="164" t="n">
        <v>45800</v>
      </c>
      <c r="D362" s="166" t="inlineStr">
        <is>
          <t>200 G. GARCERAS</t>
        </is>
      </c>
      <c r="E362" s="166" t="n">
        <v>41210</v>
      </c>
      <c r="F362" s="166" t="inlineStr">
        <is>
          <t>YAIR RIVEROS</t>
        </is>
      </c>
      <c r="G362" s="166" t="n">
        <v>3930</v>
      </c>
      <c r="H362" s="166" t="n"/>
      <c r="I362" s="166" t="n">
        <v>3924</v>
      </c>
      <c r="J362" s="166" t="n">
        <v>3</v>
      </c>
      <c r="K362" s="166" t="n">
        <v>3</v>
      </c>
      <c r="L362" s="166" t="n">
        <v>0</v>
      </c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  <c r="AA362" s="162" t="n"/>
      <c r="AB362" s="162" t="n"/>
      <c r="AC362" s="162" t="n"/>
      <c r="AD362" s="162" t="n"/>
      <c r="AE362" s="162" t="n"/>
      <c r="AF362" s="162" t="n"/>
      <c r="AG362" s="162" t="n"/>
      <c r="AH362" s="162" t="n"/>
      <c r="AI362" s="162" t="n"/>
      <c r="AJ362" s="162" t="n"/>
      <c r="AK362" s="162" t="n"/>
      <c r="AL362" s="162" t="n"/>
      <c r="AM362" s="162" t="n"/>
      <c r="AN362" s="162" t="n"/>
      <c r="AO362" s="162" t="n"/>
      <c r="AP362" s="162" t="n"/>
      <c r="AQ362" s="162" t="n"/>
      <c r="AR362" s="162" t="n"/>
      <c r="AS362" s="162" t="n"/>
      <c r="AT362" s="162" t="n"/>
      <c r="AU362" s="162" t="n"/>
      <c r="AV362" s="162" t="n"/>
      <c r="AW362" s="162" t="n"/>
      <c r="AX362" s="162" t="n"/>
      <c r="AY362" s="162" t="n"/>
      <c r="AZ362" s="162" t="n"/>
      <c r="BA362" s="162" t="n"/>
      <c r="BB362" s="162" t="n"/>
      <c r="BC362" s="162" t="n"/>
      <c r="BD362" s="162" t="n"/>
      <c r="BE362" s="162" t="n"/>
      <c r="BF362" s="162" t="n"/>
      <c r="BG362" s="162" t="n"/>
      <c r="BH362" s="162" t="n"/>
      <c r="BI362" s="162" t="n"/>
      <c r="BJ362" s="162" t="n"/>
      <c r="BK362" s="162" t="n"/>
      <c r="BL362" s="162" t="n"/>
      <c r="BM362" s="162" t="n"/>
      <c r="BN362" s="162" t="n"/>
      <c r="BO362" s="162" t="n"/>
      <c r="BP362" s="162" t="n"/>
      <c r="BQ362" s="162" t="n"/>
      <c r="BR362" s="162" t="n"/>
      <c r="BS362" s="162" t="n"/>
      <c r="BT362" s="162" t="n"/>
      <c r="BU362" s="162" t="n"/>
      <c r="BV362" s="162" t="n"/>
      <c r="BW362" s="162" t="n"/>
      <c r="BX362" s="162" t="n"/>
      <c r="BY362" s="162" t="n"/>
      <c r="BZ362" s="162" t="n"/>
      <c r="CA362" s="162" t="n"/>
      <c r="CB362" s="162" t="n"/>
      <c r="CC362" s="162" t="n"/>
      <c r="CD362" s="162" t="n"/>
      <c r="CE362" s="162" t="n"/>
      <c r="CF362" s="162" t="n"/>
      <c r="CG362" s="162" t="n"/>
      <c r="CH362" s="162" t="n"/>
      <c r="CI362" s="162" t="n"/>
      <c r="CJ362" s="162" t="n"/>
      <c r="CK362" s="162" t="n"/>
      <c r="CL362" s="162" t="n"/>
      <c r="CM362" s="162" t="n"/>
      <c r="CN362" s="162" t="n"/>
      <c r="CO362" s="162" t="n"/>
      <c r="CP362" s="162" t="n"/>
      <c r="CQ362" s="162" t="n"/>
      <c r="CR362" s="162" t="n"/>
      <c r="CS362" s="162" t="n"/>
      <c r="CT362" s="162" t="n"/>
    </row>
    <row r="363" ht="15" customHeight="1">
      <c r="A363" s="175" t="n">
        <v>126</v>
      </c>
      <c r="B363" s="165" t="n">
        <v>45</v>
      </c>
      <c r="C363" s="164" t="n">
        <v>45800</v>
      </c>
      <c r="D363" s="166" t="inlineStr">
        <is>
          <t>200 G. GARCERAS</t>
        </is>
      </c>
      <c r="E363" s="166" t="n">
        <v>41211</v>
      </c>
      <c r="F363" s="166" t="inlineStr">
        <is>
          <t>EDWIN ROJAS</t>
        </is>
      </c>
      <c r="G363" s="166" t="n">
        <v>3280</v>
      </c>
      <c r="H363" s="166" t="n"/>
      <c r="I363" s="166" t="n">
        <v>3269</v>
      </c>
      <c r="J363" s="166" t="n">
        <v>2</v>
      </c>
      <c r="K363" s="166" t="n">
        <v>3</v>
      </c>
      <c r="L363" s="166" t="n">
        <v>6</v>
      </c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  <c r="AA363" s="162" t="n"/>
      <c r="AB363" s="162" t="n"/>
      <c r="AC363" s="162" t="n"/>
      <c r="AD363" s="162" t="n"/>
      <c r="AE363" s="162" t="n"/>
      <c r="AF363" s="162" t="n"/>
      <c r="AG363" s="162" t="n"/>
      <c r="AH363" s="162" t="n"/>
      <c r="AI363" s="162" t="n"/>
      <c r="AJ363" s="162" t="n"/>
      <c r="AK363" s="162" t="n"/>
      <c r="AL363" s="162" t="n"/>
      <c r="AM363" s="162" t="n"/>
      <c r="AN363" s="162" t="n"/>
      <c r="AO363" s="162" t="n"/>
      <c r="AP363" s="162" t="n"/>
      <c r="AQ363" s="162" t="n"/>
      <c r="AR363" s="162" t="n"/>
      <c r="AS363" s="162" t="n"/>
      <c r="AT363" s="162" t="n"/>
      <c r="AU363" s="162" t="n"/>
      <c r="AV363" s="162" t="n"/>
      <c r="AW363" s="162" t="n"/>
      <c r="AX363" s="162" t="n"/>
      <c r="AY363" s="162" t="n"/>
      <c r="AZ363" s="162" t="n"/>
      <c r="BA363" s="162" t="n"/>
      <c r="BB363" s="162" t="n"/>
      <c r="BC363" s="162" t="n"/>
      <c r="BD363" s="162" t="n"/>
      <c r="BE363" s="162" t="n"/>
      <c r="BF363" s="162" t="n"/>
      <c r="BG363" s="162" t="n"/>
      <c r="BH363" s="162" t="n"/>
      <c r="BI363" s="162" t="n"/>
      <c r="BJ363" s="162" t="n"/>
      <c r="BK363" s="162" t="n"/>
      <c r="BL363" s="162" t="n"/>
      <c r="BM363" s="162" t="n"/>
      <c r="BN363" s="162" t="n"/>
      <c r="BO363" s="162" t="n"/>
      <c r="BP363" s="162" t="n"/>
      <c r="BQ363" s="162" t="n"/>
      <c r="BR363" s="162" t="n"/>
      <c r="BS363" s="162" t="n"/>
      <c r="BT363" s="162" t="n"/>
      <c r="BU363" s="162" t="n"/>
      <c r="BV363" s="162" t="n"/>
      <c r="BW363" s="162" t="n"/>
      <c r="BX363" s="162" t="n"/>
      <c r="BY363" s="162" t="n"/>
      <c r="BZ363" s="162" t="n"/>
      <c r="CA363" s="162" t="n"/>
      <c r="CB363" s="162" t="n"/>
      <c r="CC363" s="162" t="n"/>
      <c r="CD363" s="162" t="n"/>
      <c r="CE363" s="162" t="n"/>
      <c r="CF363" s="162" t="n"/>
      <c r="CG363" s="162" t="n"/>
      <c r="CH363" s="162" t="n"/>
      <c r="CI363" s="162" t="n"/>
      <c r="CJ363" s="162" t="n"/>
      <c r="CK363" s="162" t="n"/>
      <c r="CL363" s="162" t="n"/>
      <c r="CM363" s="162" t="n"/>
      <c r="CN363" s="162" t="n"/>
      <c r="CO363" s="162" t="n"/>
      <c r="CP363" s="162" t="n"/>
      <c r="CQ363" s="162" t="n"/>
      <c r="CR363" s="162" t="n"/>
      <c r="CS363" s="162" t="n"/>
      <c r="CT363" s="162" t="n"/>
    </row>
    <row r="364" ht="15" customHeight="1">
      <c r="A364" s="175" t="n">
        <v>127</v>
      </c>
      <c r="B364" s="165" t="n">
        <v>46</v>
      </c>
      <c r="C364" s="164" t="n">
        <v>45800</v>
      </c>
      <c r="D364" s="166" t="inlineStr">
        <is>
          <t>200 G. GARCERAS</t>
        </is>
      </c>
      <c r="E364" s="166" t="n">
        <v>41212</v>
      </c>
      <c r="F364" s="166" t="inlineStr">
        <is>
          <t>JAIRO CUBILLOS</t>
        </is>
      </c>
      <c r="G364" s="166" t="n">
        <v>3280</v>
      </c>
      <c r="H364" s="166" t="n"/>
      <c r="I364" s="166" t="n">
        <v>3273</v>
      </c>
      <c r="J364" s="166" t="n">
        <v>3</v>
      </c>
      <c r="K364" s="166" t="n">
        <v>0</v>
      </c>
      <c r="L364" s="166" t="n">
        <v>4</v>
      </c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  <c r="AA364" s="162" t="n"/>
      <c r="AB364" s="162" t="n"/>
      <c r="AC364" s="162" t="n"/>
      <c r="AD364" s="162" t="n"/>
      <c r="AE364" s="162" t="n"/>
      <c r="AF364" s="162" t="n"/>
      <c r="AG364" s="162" t="n"/>
      <c r="AH364" s="162" t="n"/>
      <c r="AI364" s="162" t="n"/>
      <c r="AJ364" s="162" t="n"/>
      <c r="AK364" s="162" t="n"/>
      <c r="AL364" s="162" t="n"/>
      <c r="AM364" s="162" t="n"/>
      <c r="AN364" s="162" t="n"/>
      <c r="AO364" s="162" t="n"/>
      <c r="AP364" s="162" t="n"/>
      <c r="AQ364" s="162" t="n"/>
      <c r="AR364" s="162" t="n"/>
      <c r="AS364" s="162" t="n"/>
      <c r="AT364" s="162" t="n"/>
      <c r="AU364" s="162" t="n"/>
      <c r="AV364" s="162" t="n"/>
      <c r="AW364" s="162" t="n"/>
      <c r="AX364" s="162" t="n"/>
      <c r="AY364" s="162" t="n"/>
      <c r="AZ364" s="162" t="n"/>
      <c r="BA364" s="162" t="n"/>
      <c r="BB364" s="162" t="n"/>
      <c r="BC364" s="162" t="n"/>
      <c r="BD364" s="162" t="n"/>
      <c r="BE364" s="162" t="n"/>
      <c r="BF364" s="162" t="n"/>
      <c r="BG364" s="162" t="n"/>
      <c r="BH364" s="162" t="n"/>
      <c r="BI364" s="162" t="n"/>
      <c r="BJ364" s="162" t="n"/>
      <c r="BK364" s="162" t="n"/>
      <c r="BL364" s="162" t="n"/>
      <c r="BM364" s="162" t="n"/>
      <c r="BN364" s="162" t="n"/>
      <c r="BO364" s="162" t="n"/>
      <c r="BP364" s="162" t="n"/>
      <c r="BQ364" s="162" t="n"/>
      <c r="BR364" s="162" t="n"/>
      <c r="BS364" s="162" t="n"/>
      <c r="BT364" s="162" t="n"/>
      <c r="BU364" s="162" t="n"/>
      <c r="BV364" s="162" t="n"/>
      <c r="BW364" s="162" t="n"/>
      <c r="BX364" s="162" t="n"/>
      <c r="BY364" s="162" t="n"/>
      <c r="BZ364" s="162" t="n"/>
      <c r="CA364" s="162" t="n"/>
      <c r="CB364" s="162" t="n"/>
      <c r="CC364" s="162" t="n"/>
      <c r="CD364" s="162" t="n"/>
      <c r="CE364" s="162" t="n"/>
      <c r="CF364" s="162" t="n"/>
      <c r="CG364" s="162" t="n"/>
      <c r="CH364" s="162" t="n"/>
      <c r="CI364" s="162" t="n"/>
      <c r="CJ364" s="162" t="n"/>
      <c r="CK364" s="162" t="n"/>
      <c r="CL364" s="162" t="n"/>
      <c r="CM364" s="162" t="n"/>
      <c r="CN364" s="162" t="n"/>
      <c r="CO364" s="162" t="n"/>
      <c r="CP364" s="162" t="n"/>
      <c r="CQ364" s="162" t="n"/>
      <c r="CR364" s="162" t="n"/>
      <c r="CS364" s="162" t="n"/>
      <c r="CT364" s="162" t="n"/>
    </row>
    <row r="365" ht="15" customHeight="1">
      <c r="A365" s="175" t="n">
        <v>128</v>
      </c>
      <c r="B365" s="165" t="n">
        <v>47</v>
      </c>
      <c r="C365" s="164" t="n">
        <v>45800</v>
      </c>
      <c r="D365" s="166" t="inlineStr">
        <is>
          <t>218 G. SAN JOSE 1</t>
        </is>
      </c>
      <c r="E365" s="166" t="n">
        <v>41220</v>
      </c>
      <c r="F365" s="166" t="inlineStr">
        <is>
          <t>DUMAR ANGARITA</t>
        </is>
      </c>
      <c r="G365" s="166" t="n">
        <v>3564</v>
      </c>
      <c r="H365" s="166" t="n"/>
      <c r="I365" s="166" t="n">
        <v>3553</v>
      </c>
      <c r="J365" s="166" t="n">
        <v>1</v>
      </c>
      <c r="K365" s="166" t="n">
        <v>11</v>
      </c>
      <c r="L365" s="166" t="n">
        <v>-1</v>
      </c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  <c r="AA365" s="162" t="n"/>
      <c r="AB365" s="162" t="n"/>
      <c r="AC365" s="162" t="n"/>
      <c r="AD365" s="162" t="n"/>
      <c r="AE365" s="162" t="n"/>
      <c r="AF365" s="162" t="n"/>
      <c r="AG365" s="162" t="n"/>
      <c r="AH365" s="162" t="n"/>
      <c r="AI365" s="162" t="n"/>
      <c r="AJ365" s="162" t="n"/>
      <c r="AK365" s="162" t="n"/>
      <c r="AL365" s="162" t="n"/>
      <c r="AM365" s="162" t="n"/>
      <c r="AN365" s="162" t="n"/>
      <c r="AO365" s="162" t="n"/>
      <c r="AP365" s="162" t="n"/>
      <c r="AQ365" s="162" t="n"/>
      <c r="AR365" s="162" t="n"/>
      <c r="AS365" s="162" t="n"/>
      <c r="AT365" s="162" t="n"/>
      <c r="AU365" s="162" t="n"/>
      <c r="AV365" s="162" t="n"/>
      <c r="AW365" s="162" t="n"/>
      <c r="AX365" s="162" t="n"/>
      <c r="AY365" s="162" t="n"/>
      <c r="AZ365" s="162" t="n"/>
      <c r="BA365" s="162" t="n"/>
      <c r="BB365" s="162" t="n"/>
      <c r="BC365" s="162" t="n"/>
      <c r="BD365" s="162" t="n"/>
      <c r="BE365" s="162" t="n"/>
      <c r="BF365" s="162" t="n"/>
      <c r="BG365" s="162" t="n"/>
      <c r="BH365" s="162" t="n"/>
      <c r="BI365" s="162" t="n"/>
      <c r="BJ365" s="162" t="n"/>
      <c r="BK365" s="162" t="n"/>
      <c r="BL365" s="162" t="n"/>
      <c r="BM365" s="162" t="n"/>
      <c r="BN365" s="162" t="n"/>
      <c r="BO365" s="162" t="n"/>
      <c r="BP365" s="162" t="n"/>
      <c r="BQ365" s="162" t="n"/>
      <c r="BR365" s="162" t="n"/>
      <c r="BS365" s="162" t="n"/>
      <c r="BT365" s="162" t="n"/>
      <c r="BU365" s="162" t="n"/>
      <c r="BV365" s="162" t="n"/>
      <c r="BW365" s="162" t="n"/>
      <c r="BX365" s="162" t="n"/>
      <c r="BY365" s="162" t="n"/>
      <c r="BZ365" s="162" t="n"/>
      <c r="CA365" s="162" t="n"/>
      <c r="CB365" s="162" t="n"/>
      <c r="CC365" s="162" t="n"/>
      <c r="CD365" s="162" t="n"/>
      <c r="CE365" s="162" t="n"/>
      <c r="CF365" s="162" t="n"/>
      <c r="CG365" s="162" t="n"/>
      <c r="CH365" s="162" t="n"/>
      <c r="CI365" s="162" t="n"/>
      <c r="CJ365" s="162" t="n"/>
      <c r="CK365" s="162" t="n"/>
      <c r="CL365" s="162" t="n"/>
      <c r="CM365" s="162" t="n"/>
      <c r="CN365" s="162" t="n"/>
      <c r="CO365" s="162" t="n"/>
      <c r="CP365" s="162" t="n"/>
      <c r="CQ365" s="162" t="n"/>
      <c r="CR365" s="162" t="n"/>
      <c r="CS365" s="162" t="n"/>
      <c r="CT365" s="162" t="n"/>
    </row>
    <row r="366" ht="15" customHeight="1">
      <c r="A366" s="175" t="n">
        <v>129</v>
      </c>
      <c r="B366" s="165" t="n">
        <v>48</v>
      </c>
      <c r="C366" s="164" t="n">
        <v>45800</v>
      </c>
      <c r="D366" s="166" t="inlineStr">
        <is>
          <t>218 G. SAN JOSE 1</t>
        </is>
      </c>
      <c r="E366" s="166" t="n">
        <v>41221</v>
      </c>
      <c r="F366" s="166" t="inlineStr">
        <is>
          <t>FERNANDO OYUELA</t>
        </is>
      </c>
      <c r="G366" s="166" t="n">
        <v>4694</v>
      </c>
      <c r="H366" s="166" t="n"/>
      <c r="I366" s="166" t="n">
        <v>4651</v>
      </c>
      <c r="J366" s="166" t="n">
        <v>10</v>
      </c>
      <c r="K366" s="166" t="n">
        <v>30</v>
      </c>
      <c r="L366" s="166" t="n">
        <v>3</v>
      </c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  <c r="AA366" s="162" t="n"/>
      <c r="AB366" s="162" t="n"/>
      <c r="AC366" s="162" t="n"/>
      <c r="AD366" s="162" t="n"/>
      <c r="AE366" s="162" t="n"/>
      <c r="AF366" s="162" t="n"/>
      <c r="AG366" s="162" t="n"/>
      <c r="AH366" s="162" t="n"/>
      <c r="AI366" s="162" t="n"/>
      <c r="AJ366" s="162" t="n"/>
      <c r="AK366" s="162" t="n"/>
      <c r="AL366" s="162" t="n"/>
      <c r="AM366" s="162" t="n"/>
      <c r="AN366" s="162" t="n"/>
      <c r="AO366" s="162" t="n"/>
      <c r="AP366" s="162" t="n"/>
      <c r="AQ366" s="162" t="n"/>
      <c r="AR366" s="162" t="n"/>
      <c r="AS366" s="162" t="n"/>
      <c r="AT366" s="162" t="n"/>
      <c r="AU366" s="162" t="n"/>
      <c r="AV366" s="162" t="n"/>
      <c r="AW366" s="162" t="n"/>
      <c r="AX366" s="162" t="n"/>
      <c r="AY366" s="162" t="n"/>
      <c r="AZ366" s="162" t="n"/>
      <c r="BA366" s="162" t="n"/>
      <c r="BB366" s="162" t="n"/>
      <c r="BC366" s="162" t="n"/>
      <c r="BD366" s="162" t="n"/>
      <c r="BE366" s="162" t="n"/>
      <c r="BF366" s="162" t="n"/>
      <c r="BG366" s="162" t="n"/>
      <c r="BH366" s="162" t="n"/>
      <c r="BI366" s="162" t="n"/>
      <c r="BJ366" s="162" t="n"/>
      <c r="BK366" s="162" t="n"/>
      <c r="BL366" s="162" t="n"/>
      <c r="BM366" s="162" t="n"/>
      <c r="BN366" s="162" t="n"/>
      <c r="BO366" s="162" t="n"/>
      <c r="BP366" s="162" t="n"/>
      <c r="BQ366" s="162" t="n"/>
      <c r="BR366" s="162" t="n"/>
      <c r="BS366" s="162" t="n"/>
      <c r="BT366" s="162" t="n"/>
      <c r="BU366" s="162" t="n"/>
      <c r="BV366" s="162" t="n"/>
      <c r="BW366" s="162" t="n"/>
      <c r="BX366" s="162" t="n"/>
      <c r="BY366" s="162" t="n"/>
      <c r="BZ366" s="162" t="n"/>
      <c r="CA366" s="162" t="n"/>
      <c r="CB366" s="162" t="n"/>
      <c r="CC366" s="162" t="n"/>
      <c r="CD366" s="162" t="n"/>
      <c r="CE366" s="162" t="n"/>
      <c r="CF366" s="162" t="n"/>
      <c r="CG366" s="162" t="n"/>
      <c r="CH366" s="162" t="n"/>
      <c r="CI366" s="162" t="n"/>
      <c r="CJ366" s="162" t="n"/>
      <c r="CK366" s="162" t="n"/>
      <c r="CL366" s="162" t="n"/>
      <c r="CM366" s="162" t="n"/>
      <c r="CN366" s="162" t="n"/>
      <c r="CO366" s="162" t="n"/>
      <c r="CP366" s="162" t="n"/>
      <c r="CQ366" s="162" t="n"/>
      <c r="CR366" s="162" t="n"/>
      <c r="CS366" s="162" t="n"/>
      <c r="CT366" s="162" t="n"/>
    </row>
    <row r="367" ht="15" customHeight="1">
      <c r="A367" s="175" t="n">
        <v>130</v>
      </c>
      <c r="B367" s="165" t="n">
        <v>49</v>
      </c>
      <c r="C367" s="164" t="n">
        <v>45801</v>
      </c>
      <c r="D367" s="166" t="inlineStr">
        <is>
          <t>200 G. GARCERAS</t>
        </is>
      </c>
      <c r="E367" s="166" t="n">
        <v>41235</v>
      </c>
      <c r="F367" s="166" t="inlineStr">
        <is>
          <t>DUMAR ANGARITA</t>
        </is>
      </c>
      <c r="G367" s="166" t="n">
        <v>2663</v>
      </c>
      <c r="H367" s="166" t="n"/>
      <c r="I367" s="166" t="n">
        <v>2648</v>
      </c>
      <c r="J367" s="166" t="n">
        <v>10</v>
      </c>
      <c r="K367" s="166" t="n">
        <v>10</v>
      </c>
      <c r="L367" s="166" t="n">
        <v>-5</v>
      </c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  <c r="AA367" s="162" t="n"/>
      <c r="AB367" s="162" t="n"/>
      <c r="AC367" s="162" t="n"/>
      <c r="AD367" s="162" t="n"/>
      <c r="AE367" s="162" t="n"/>
      <c r="AF367" s="162" t="n"/>
      <c r="AG367" s="162" t="n"/>
      <c r="AH367" s="162" t="n"/>
      <c r="AI367" s="162" t="n"/>
      <c r="AJ367" s="162" t="n"/>
      <c r="AK367" s="162" t="n"/>
      <c r="AL367" s="162" t="n"/>
      <c r="AM367" s="162" t="n"/>
      <c r="AN367" s="162" t="n"/>
      <c r="AO367" s="162" t="n"/>
      <c r="AP367" s="162" t="n"/>
      <c r="AQ367" s="162" t="n"/>
      <c r="AR367" s="162" t="n"/>
      <c r="AS367" s="162" t="n"/>
      <c r="AT367" s="162" t="n"/>
      <c r="AU367" s="162" t="n"/>
      <c r="AV367" s="162" t="n"/>
      <c r="AW367" s="162" t="n"/>
      <c r="AX367" s="162" t="n"/>
      <c r="AY367" s="162" t="n"/>
      <c r="AZ367" s="162" t="n"/>
      <c r="BA367" s="162" t="n"/>
      <c r="BB367" s="162" t="n"/>
      <c r="BC367" s="162" t="n"/>
      <c r="BD367" s="162" t="n"/>
      <c r="BE367" s="162" t="n"/>
      <c r="BF367" s="162" t="n"/>
      <c r="BG367" s="162" t="n"/>
      <c r="BH367" s="162" t="n"/>
      <c r="BI367" s="162" t="n"/>
      <c r="BJ367" s="162" t="n"/>
      <c r="BK367" s="162" t="n"/>
      <c r="BL367" s="162" t="n"/>
      <c r="BM367" s="162" t="n"/>
      <c r="BN367" s="162" t="n"/>
      <c r="BO367" s="162" t="n"/>
      <c r="BP367" s="162" t="n"/>
      <c r="BQ367" s="162" t="n"/>
      <c r="BR367" s="162" t="n"/>
      <c r="BS367" s="162" t="n"/>
      <c r="BT367" s="162" t="n"/>
      <c r="BU367" s="162" t="n"/>
      <c r="BV367" s="162" t="n"/>
      <c r="BW367" s="162" t="n"/>
      <c r="BX367" s="162" t="n"/>
      <c r="BY367" s="162" t="n"/>
      <c r="BZ367" s="162" t="n"/>
      <c r="CA367" s="162" t="n"/>
      <c r="CB367" s="162" t="n"/>
      <c r="CC367" s="162" t="n"/>
      <c r="CD367" s="162" t="n"/>
      <c r="CE367" s="162" t="n"/>
      <c r="CF367" s="162" t="n"/>
      <c r="CG367" s="162" t="n"/>
      <c r="CH367" s="162" t="n"/>
      <c r="CI367" s="162" t="n"/>
      <c r="CJ367" s="162" t="n"/>
      <c r="CK367" s="162" t="n"/>
      <c r="CL367" s="162" t="n"/>
      <c r="CM367" s="162" t="n"/>
      <c r="CN367" s="162" t="n"/>
      <c r="CO367" s="162" t="n"/>
      <c r="CP367" s="162" t="n"/>
      <c r="CQ367" s="162" t="n"/>
      <c r="CR367" s="162" t="n"/>
      <c r="CS367" s="162" t="n"/>
      <c r="CT367" s="162" t="n"/>
    </row>
    <row r="368" ht="15" customHeight="1">
      <c r="A368" s="175" t="n">
        <v>131</v>
      </c>
      <c r="B368" s="165" t="n">
        <v>50</v>
      </c>
      <c r="C368" s="164" t="n">
        <v>45801</v>
      </c>
      <c r="D368" s="166" t="inlineStr">
        <is>
          <t>200 G. GARCERAS</t>
        </is>
      </c>
      <c r="E368" s="166" t="n">
        <v>41236</v>
      </c>
      <c r="F368" s="166" t="inlineStr">
        <is>
          <t>JHON ARIAS</t>
        </is>
      </c>
      <c r="G368" s="166" t="n">
        <v>2268</v>
      </c>
      <c r="H368" s="166" t="n"/>
      <c r="I368" s="166" t="n">
        <v>2251</v>
      </c>
      <c r="J368" s="166" t="n">
        <v>10</v>
      </c>
      <c r="K368" s="166" t="n">
        <v>13</v>
      </c>
      <c r="L368" s="166" t="n">
        <v>-6</v>
      </c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  <c r="AA368" s="162" t="n"/>
      <c r="AB368" s="162" t="n"/>
      <c r="AC368" s="162" t="n"/>
      <c r="AD368" s="162" t="n"/>
      <c r="AE368" s="162" t="n"/>
      <c r="AF368" s="162" t="n"/>
      <c r="AG368" s="162" t="n"/>
      <c r="AH368" s="162" t="n"/>
      <c r="AI368" s="162" t="n"/>
      <c r="AJ368" s="162" t="n"/>
      <c r="AK368" s="162" t="n"/>
      <c r="AL368" s="162" t="n"/>
      <c r="AM368" s="162" t="n"/>
      <c r="AN368" s="162" t="n"/>
      <c r="AO368" s="162" t="n"/>
      <c r="AP368" s="162" t="n"/>
      <c r="AQ368" s="162" t="n"/>
      <c r="AR368" s="162" t="n"/>
      <c r="AS368" s="162" t="n"/>
      <c r="AT368" s="162" t="n"/>
      <c r="AU368" s="162" t="n"/>
      <c r="AV368" s="162" t="n"/>
      <c r="AW368" s="162" t="n"/>
      <c r="AX368" s="162" t="n"/>
      <c r="AY368" s="162" t="n"/>
      <c r="AZ368" s="162" t="n"/>
      <c r="BA368" s="162" t="n"/>
      <c r="BB368" s="162" t="n"/>
      <c r="BC368" s="162" t="n"/>
      <c r="BD368" s="162" t="n"/>
      <c r="BE368" s="162" t="n"/>
      <c r="BF368" s="162" t="n"/>
      <c r="BG368" s="162" t="n"/>
      <c r="BH368" s="162" t="n"/>
      <c r="BI368" s="162" t="n"/>
      <c r="BJ368" s="162" t="n"/>
      <c r="BK368" s="162" t="n"/>
      <c r="BL368" s="162" t="n"/>
      <c r="BM368" s="162" t="n"/>
      <c r="BN368" s="162" t="n"/>
      <c r="BO368" s="162" t="n"/>
      <c r="BP368" s="162" t="n"/>
      <c r="BQ368" s="162" t="n"/>
      <c r="BR368" s="162" t="n"/>
      <c r="BS368" s="162" t="n"/>
      <c r="BT368" s="162" t="n"/>
      <c r="BU368" s="162" t="n"/>
      <c r="BV368" s="162" t="n"/>
      <c r="BW368" s="162" t="n"/>
      <c r="BX368" s="162" t="n"/>
      <c r="BY368" s="162" t="n"/>
      <c r="BZ368" s="162" t="n"/>
      <c r="CA368" s="162" t="n"/>
      <c r="CB368" s="162" t="n"/>
      <c r="CC368" s="162" t="n"/>
      <c r="CD368" s="162" t="n"/>
      <c r="CE368" s="162" t="n"/>
      <c r="CF368" s="162" t="n"/>
      <c r="CG368" s="162" t="n"/>
      <c r="CH368" s="162" t="n"/>
      <c r="CI368" s="162" t="n"/>
      <c r="CJ368" s="162" t="n"/>
      <c r="CK368" s="162" t="n"/>
      <c r="CL368" s="162" t="n"/>
      <c r="CM368" s="162" t="n"/>
      <c r="CN368" s="162" t="n"/>
      <c r="CO368" s="162" t="n"/>
      <c r="CP368" s="162" t="n"/>
      <c r="CQ368" s="162" t="n"/>
      <c r="CR368" s="162" t="n"/>
      <c r="CS368" s="162" t="n"/>
      <c r="CT368" s="162" t="n"/>
    </row>
    <row r="369" ht="15" customHeight="1">
      <c r="A369" s="175" t="n">
        <v>132</v>
      </c>
      <c r="B369" s="165" t="n">
        <v>51</v>
      </c>
      <c r="C369" s="164" t="n">
        <v>45801</v>
      </c>
      <c r="D369" s="166" t="inlineStr">
        <is>
          <t>200 G. GARCERAS</t>
        </is>
      </c>
      <c r="E369" s="166" t="n">
        <v>41237</v>
      </c>
      <c r="F369" s="166" t="inlineStr">
        <is>
          <t>WILMER PIÑEROS</t>
        </is>
      </c>
      <c r="G369" s="166" t="n">
        <v>2474</v>
      </c>
      <c r="H369" s="166" t="n"/>
      <c r="I369" s="166" t="n">
        <v>2464</v>
      </c>
      <c r="J369" s="166" t="n">
        <v>12</v>
      </c>
      <c r="K369" s="166" t="n">
        <v>11</v>
      </c>
      <c r="L369" s="166" t="n">
        <v>-13</v>
      </c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  <c r="AA369" s="162" t="n"/>
      <c r="AB369" s="162" t="n"/>
      <c r="AC369" s="162" t="n"/>
      <c r="AD369" s="162" t="n"/>
      <c r="AE369" s="162" t="n"/>
      <c r="AF369" s="162" t="n"/>
      <c r="AG369" s="162" t="n"/>
      <c r="AH369" s="162" t="n"/>
      <c r="AI369" s="162" t="n"/>
      <c r="AJ369" s="162" t="n"/>
      <c r="AK369" s="162" t="n"/>
      <c r="AL369" s="162" t="n"/>
      <c r="AM369" s="162" t="n"/>
      <c r="AN369" s="162" t="n"/>
      <c r="AO369" s="162" t="n"/>
      <c r="AP369" s="162" t="n"/>
      <c r="AQ369" s="162" t="n"/>
      <c r="AR369" s="162" t="n"/>
      <c r="AS369" s="162" t="n"/>
      <c r="AT369" s="162" t="n"/>
      <c r="AU369" s="162" t="n"/>
      <c r="AV369" s="162" t="n"/>
      <c r="AW369" s="162" t="n"/>
      <c r="AX369" s="162" t="n"/>
      <c r="AY369" s="162" t="n"/>
      <c r="AZ369" s="162" t="n"/>
      <c r="BA369" s="162" t="n"/>
      <c r="BB369" s="162" t="n"/>
      <c r="BC369" s="162" t="n"/>
      <c r="BD369" s="162" t="n"/>
      <c r="BE369" s="162" t="n"/>
      <c r="BF369" s="162" t="n"/>
      <c r="BG369" s="162" t="n"/>
      <c r="BH369" s="162" t="n"/>
      <c r="BI369" s="162" t="n"/>
      <c r="BJ369" s="162" t="n"/>
      <c r="BK369" s="162" t="n"/>
      <c r="BL369" s="162" t="n"/>
      <c r="BM369" s="162" t="n"/>
      <c r="BN369" s="162" t="n"/>
      <c r="BO369" s="162" t="n"/>
      <c r="BP369" s="162" t="n"/>
      <c r="BQ369" s="162" t="n"/>
      <c r="BR369" s="162" t="n"/>
      <c r="BS369" s="162" t="n"/>
      <c r="BT369" s="162" t="n"/>
      <c r="BU369" s="162" t="n"/>
      <c r="BV369" s="162" t="n"/>
      <c r="BW369" s="162" t="n"/>
      <c r="BX369" s="162" t="n"/>
      <c r="BY369" s="162" t="n"/>
      <c r="BZ369" s="162" t="n"/>
      <c r="CA369" s="162" t="n"/>
      <c r="CB369" s="162" t="n"/>
      <c r="CC369" s="162" t="n"/>
      <c r="CD369" s="162" t="n"/>
      <c r="CE369" s="162" t="n"/>
      <c r="CF369" s="162" t="n"/>
      <c r="CG369" s="162" t="n"/>
      <c r="CH369" s="162" t="n"/>
      <c r="CI369" s="162" t="n"/>
      <c r="CJ369" s="162" t="n"/>
      <c r="CK369" s="162" t="n"/>
      <c r="CL369" s="162" t="n"/>
      <c r="CM369" s="162" t="n"/>
      <c r="CN369" s="162" t="n"/>
      <c r="CO369" s="162" t="n"/>
      <c r="CP369" s="162" t="n"/>
      <c r="CQ369" s="162" t="n"/>
      <c r="CR369" s="162" t="n"/>
      <c r="CS369" s="162" t="n"/>
      <c r="CT369" s="162" t="n"/>
    </row>
    <row r="370" ht="15" customHeight="1">
      <c r="A370" s="175" t="n">
        <v>133</v>
      </c>
      <c r="B370" s="165" t="n">
        <v>52</v>
      </c>
      <c r="C370" s="164" t="n">
        <v>45801</v>
      </c>
      <c r="D370" s="166" t="inlineStr">
        <is>
          <t>200 G. GARCERAS</t>
        </is>
      </c>
      <c r="E370" s="166" t="n">
        <v>41238</v>
      </c>
      <c r="F370" s="166" t="inlineStr">
        <is>
          <t>JOSE SOLER</t>
        </is>
      </c>
      <c r="G370" s="166" t="n">
        <v>3591</v>
      </c>
      <c r="H370" s="166" t="n"/>
      <c r="I370" s="166" t="n">
        <v>3576</v>
      </c>
      <c r="J370" s="166" t="n">
        <v>16</v>
      </c>
      <c r="K370" s="166" t="n">
        <v>4</v>
      </c>
      <c r="L370" s="166" t="n">
        <v>-5</v>
      </c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  <c r="AA370" s="162" t="n"/>
      <c r="AB370" s="162" t="n"/>
      <c r="AC370" s="162" t="n"/>
      <c r="AD370" s="162" t="n"/>
      <c r="AE370" s="162" t="n"/>
      <c r="AF370" s="162" t="n"/>
      <c r="AG370" s="162" t="n"/>
      <c r="AH370" s="162" t="n"/>
      <c r="AI370" s="162" t="n"/>
      <c r="AJ370" s="162" t="n"/>
      <c r="AK370" s="162" t="n"/>
      <c r="AL370" s="162" t="n"/>
      <c r="AM370" s="162" t="n"/>
      <c r="AN370" s="162" t="n"/>
      <c r="AO370" s="162" t="n"/>
      <c r="AP370" s="162" t="n"/>
      <c r="AQ370" s="162" t="n"/>
      <c r="AR370" s="162" t="n"/>
      <c r="AS370" s="162" t="n"/>
      <c r="AT370" s="162" t="n"/>
      <c r="AU370" s="162" t="n"/>
      <c r="AV370" s="162" t="n"/>
      <c r="AW370" s="162" t="n"/>
      <c r="AX370" s="162" t="n"/>
      <c r="AY370" s="162" t="n"/>
      <c r="AZ370" s="162" t="n"/>
      <c r="BA370" s="162" t="n"/>
      <c r="BB370" s="162" t="n"/>
      <c r="BC370" s="162" t="n"/>
      <c r="BD370" s="162" t="n"/>
      <c r="BE370" s="162" t="n"/>
      <c r="BF370" s="162" t="n"/>
      <c r="BG370" s="162" t="n"/>
      <c r="BH370" s="162" t="n"/>
      <c r="BI370" s="162" t="n"/>
      <c r="BJ370" s="162" t="n"/>
      <c r="BK370" s="162" t="n"/>
      <c r="BL370" s="162" t="n"/>
      <c r="BM370" s="162" t="n"/>
      <c r="BN370" s="162" t="n"/>
      <c r="BO370" s="162" t="n"/>
      <c r="BP370" s="162" t="n"/>
      <c r="BQ370" s="162" t="n"/>
      <c r="BR370" s="162" t="n"/>
      <c r="BS370" s="162" t="n"/>
      <c r="BT370" s="162" t="n"/>
      <c r="BU370" s="162" t="n"/>
      <c r="BV370" s="162" t="n"/>
      <c r="BW370" s="162" t="n"/>
      <c r="BX370" s="162" t="n"/>
      <c r="BY370" s="162" t="n"/>
      <c r="BZ370" s="162" t="n"/>
      <c r="CA370" s="162" t="n"/>
      <c r="CB370" s="162" t="n"/>
      <c r="CC370" s="162" t="n"/>
      <c r="CD370" s="162" t="n"/>
      <c r="CE370" s="162" t="n"/>
      <c r="CF370" s="162" t="n"/>
      <c r="CG370" s="162" t="n"/>
      <c r="CH370" s="162" t="n"/>
      <c r="CI370" s="162" t="n"/>
      <c r="CJ370" s="162" t="n"/>
      <c r="CK370" s="162" t="n"/>
      <c r="CL370" s="162" t="n"/>
      <c r="CM370" s="162" t="n"/>
      <c r="CN370" s="162" t="n"/>
      <c r="CO370" s="162" t="n"/>
      <c r="CP370" s="162" t="n"/>
      <c r="CQ370" s="162" t="n"/>
      <c r="CR370" s="162" t="n"/>
      <c r="CS370" s="162" t="n"/>
      <c r="CT370" s="162" t="n"/>
    </row>
    <row r="371" ht="15" customHeight="1">
      <c r="A371" s="175" t="n">
        <v>134</v>
      </c>
      <c r="B371" s="165" t="n">
        <v>53</v>
      </c>
      <c r="C371" s="164" t="n">
        <v>45801</v>
      </c>
      <c r="D371" s="166" t="inlineStr">
        <is>
          <t>200 G. GARCERAS</t>
        </is>
      </c>
      <c r="E371" s="166" t="n">
        <v>41239</v>
      </c>
      <c r="F371" s="166" t="inlineStr">
        <is>
          <t>FERNANDO OYUELA</t>
        </is>
      </c>
      <c r="G371" s="166" t="n">
        <v>3349</v>
      </c>
      <c r="H371" s="166" t="n"/>
      <c r="I371" s="166" t="n">
        <v>3339</v>
      </c>
      <c r="J371" s="166" t="n">
        <v>6</v>
      </c>
      <c r="K371" s="166" t="n">
        <v>4</v>
      </c>
      <c r="L371" s="166" t="n">
        <v>0</v>
      </c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  <c r="AA371" s="162" t="n"/>
      <c r="AB371" s="162" t="n"/>
      <c r="AC371" s="162" t="n"/>
      <c r="AD371" s="162" t="n"/>
      <c r="AE371" s="162" t="n"/>
      <c r="AF371" s="162" t="n"/>
      <c r="AG371" s="162" t="n"/>
      <c r="AH371" s="162" t="n"/>
      <c r="AI371" s="162" t="n"/>
      <c r="AJ371" s="162" t="n"/>
      <c r="AK371" s="162" t="n"/>
      <c r="AL371" s="162" t="n"/>
      <c r="AM371" s="162" t="n"/>
      <c r="AN371" s="162" t="n"/>
      <c r="AO371" s="162" t="n"/>
      <c r="AP371" s="162" t="n"/>
      <c r="AQ371" s="162" t="n"/>
      <c r="AR371" s="162" t="n"/>
      <c r="AS371" s="162" t="n"/>
      <c r="AT371" s="162" t="n"/>
      <c r="AU371" s="162" t="n"/>
      <c r="AV371" s="162" t="n"/>
      <c r="AW371" s="162" t="n"/>
      <c r="AX371" s="162" t="n"/>
      <c r="AY371" s="162" t="n"/>
      <c r="AZ371" s="162" t="n"/>
      <c r="BA371" s="162" t="n"/>
      <c r="BB371" s="162" t="n"/>
      <c r="BC371" s="162" t="n"/>
      <c r="BD371" s="162" t="n"/>
      <c r="BE371" s="162" t="n"/>
      <c r="BF371" s="162" t="n"/>
      <c r="BG371" s="162" t="n"/>
      <c r="BH371" s="162" t="n"/>
      <c r="BI371" s="162" t="n"/>
      <c r="BJ371" s="162" t="n"/>
      <c r="BK371" s="162" t="n"/>
      <c r="BL371" s="162" t="n"/>
      <c r="BM371" s="162" t="n"/>
      <c r="BN371" s="162" t="n"/>
      <c r="BO371" s="162" t="n"/>
      <c r="BP371" s="162" t="n"/>
      <c r="BQ371" s="162" t="n"/>
      <c r="BR371" s="162" t="n"/>
      <c r="BS371" s="162" t="n"/>
      <c r="BT371" s="162" t="n"/>
      <c r="BU371" s="162" t="n"/>
      <c r="BV371" s="162" t="n"/>
      <c r="BW371" s="162" t="n"/>
      <c r="BX371" s="162" t="n"/>
      <c r="BY371" s="162" t="n"/>
      <c r="BZ371" s="162" t="n"/>
      <c r="CA371" s="162" t="n"/>
      <c r="CB371" s="162" t="n"/>
      <c r="CC371" s="162" t="n"/>
      <c r="CD371" s="162" t="n"/>
      <c r="CE371" s="162" t="n"/>
      <c r="CF371" s="162" t="n"/>
      <c r="CG371" s="162" t="n"/>
      <c r="CH371" s="162" t="n"/>
      <c r="CI371" s="162" t="n"/>
      <c r="CJ371" s="162" t="n"/>
      <c r="CK371" s="162" t="n"/>
      <c r="CL371" s="162" t="n"/>
      <c r="CM371" s="162" t="n"/>
      <c r="CN371" s="162" t="n"/>
      <c r="CO371" s="162" t="n"/>
      <c r="CP371" s="162" t="n"/>
      <c r="CQ371" s="162" t="n"/>
      <c r="CR371" s="162" t="n"/>
      <c r="CS371" s="162" t="n"/>
      <c r="CT371" s="162" t="n"/>
    </row>
  </sheetData>
  <pageMargins left="0.7" right="0.7" top="0.75" bottom="0.75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35"/>
  <sheetViews>
    <sheetView workbookViewId="0">
      <selection activeCell="A1" sqref="A1"/>
    </sheetView>
  </sheetViews>
  <sheetFormatPr baseColWidth="8" defaultRowHeight="15"/>
  <cols>
    <col width="1.71" customWidth="1" min="1" max="1"/>
    <col width="5" customWidth="1" min="2" max="2"/>
    <col width="11.57" customWidth="1" min="3" max="3"/>
    <col width="9.140000000000001" customWidth="1" min="4" max="4"/>
    <col width="13.14" customWidth="1" min="5" max="5"/>
    <col width="16.71" customWidth="1" min="6" max="6"/>
    <col width="12.71" customWidth="1" min="7" max="7"/>
    <col width="24.29" customWidth="1" min="8" max="8"/>
    <col width="11.57" customWidth="1" min="9" max="9"/>
    <col width="15.29" customWidth="1" min="10" max="10"/>
    <col width="13" customWidth="1" min="11" max="11"/>
    <col width="14.43" customWidth="1" min="12" max="12"/>
    <col width="17.14" customWidth="1" min="13" max="13"/>
    <col width="10.71" customWidth="1" min="14" max="14"/>
    <col width="23.43" customWidth="1" min="15" max="15"/>
    <col width="9.43" customWidth="1" min="16" max="16"/>
    <col width="33.43" customWidth="1" min="17" max="17"/>
    <col width="10.71" customWidth="1" min="18" max="18"/>
  </cols>
  <sheetData>
    <row r="1">
      <c r="A1" s="113" t="n"/>
      <c r="B1" s="113" t="n"/>
      <c r="C1" s="237" t="n"/>
      <c r="D1" s="238" t="n"/>
      <c r="E1" s="239" t="n"/>
      <c r="F1" s="239" t="n"/>
      <c r="G1" s="239" t="n"/>
      <c r="H1" s="239" t="n"/>
      <c r="I1" s="239" t="n"/>
      <c r="J1" s="240" t="n"/>
      <c r="K1" s="241" t="n"/>
      <c r="L1" s="242" t="n"/>
      <c r="M1" s="113" t="n"/>
      <c r="N1" s="113" t="n"/>
      <c r="O1" s="113" t="n"/>
      <c r="P1" s="243" t="n"/>
      <c r="Q1" s="113" t="n"/>
      <c r="R1" s="113" t="n"/>
    </row>
    <row r="2">
      <c r="A2" s="113" t="n"/>
      <c r="B2" s="113" t="n"/>
      <c r="C2" s="237" t="n"/>
      <c r="D2" s="238" t="n"/>
      <c r="E2" s="239" t="n"/>
      <c r="F2" s="239" t="n"/>
      <c r="G2" s="239" t="n"/>
      <c r="H2" s="239" t="n"/>
      <c r="I2" s="239" t="n"/>
      <c r="J2" s="240" t="n"/>
      <c r="K2" s="241" t="n"/>
      <c r="L2" s="242" t="n"/>
      <c r="M2" s="113" t="n"/>
      <c r="N2" s="113" t="n"/>
      <c r="O2" s="113" t="n"/>
      <c r="P2" s="243" t="n"/>
      <c r="Q2" s="113" t="n"/>
      <c r="R2" s="113" t="n"/>
    </row>
    <row r="3" ht="21.75" customHeight="1">
      <c r="A3" s="113" t="n"/>
      <c r="B3" s="113" t="n"/>
      <c r="C3" s="244" t="n"/>
      <c r="D3" s="238" t="n"/>
      <c r="E3" s="245" t="inlineStr">
        <is>
          <t xml:space="preserve">                             REPORTE DIARIO DE CARGUE  SAVICOL</t>
        </is>
      </c>
      <c r="F3" s="244" t="n"/>
      <c r="G3" s="245" t="n"/>
      <c r="H3" s="245" t="n"/>
      <c r="I3" s="245" t="n"/>
      <c r="J3" s="245" t="n"/>
      <c r="K3" s="246" t="n"/>
      <c r="L3" s="245" t="n"/>
      <c r="M3" s="113" t="n"/>
      <c r="N3" s="113" t="n"/>
      <c r="O3" s="113" t="n"/>
      <c r="P3" s="243" t="n"/>
      <c r="Q3" s="113" t="n"/>
      <c r="R3" s="113" t="n"/>
    </row>
    <row r="4" ht="11.25" customHeight="1">
      <c r="A4" s="113" t="n"/>
      <c r="B4" s="113" t="n"/>
      <c r="C4" s="244" t="n"/>
      <c r="D4" s="244" t="n"/>
      <c r="E4" s="244" t="n"/>
      <c r="F4" s="244" t="n"/>
      <c r="G4" s="244" t="n"/>
      <c r="H4" s="244" t="n"/>
      <c r="I4" s="244" t="n"/>
      <c r="J4" s="244" t="n"/>
      <c r="K4" s="246" t="n"/>
      <c r="L4" s="242" t="n"/>
      <c r="M4" s="113" t="n"/>
      <c r="N4" s="113" t="n"/>
      <c r="O4" s="113" t="n"/>
      <c r="P4" s="243" t="n"/>
      <c r="Q4" s="113" t="n"/>
      <c r="R4" s="113" t="n"/>
    </row>
    <row r="5">
      <c r="A5" s="113" t="n"/>
      <c r="B5" s="113" t="n"/>
      <c r="C5" s="247" t="inlineStr">
        <is>
          <t xml:space="preserve">FECHA </t>
        </is>
      </c>
      <c r="D5" s="248" t="inlineStr">
        <is>
          <t>Nº VIAJES</t>
        </is>
      </c>
      <c r="E5" s="249" t="inlineStr">
        <is>
          <t xml:space="preserve">GRANJA </t>
        </is>
      </c>
      <c r="F5" s="250" t="inlineStr">
        <is>
          <t>CUADRILLA</t>
        </is>
      </c>
      <c r="G5" s="251" t="inlineStr">
        <is>
          <t xml:space="preserve">CANTIDAD DE PERSONAS </t>
        </is>
      </c>
      <c r="H5" s="248" t="inlineStr">
        <is>
          <t>NOMBRE CONDUCTOR</t>
        </is>
      </c>
      <c r="I5" s="250" t="inlineStr">
        <is>
          <t>PLACA</t>
        </is>
      </c>
      <c r="J5" s="252" t="inlineStr">
        <is>
          <t xml:space="preserve">HORA SALIDA </t>
        </is>
      </c>
      <c r="K5" s="253" t="inlineStr">
        <is>
          <t>CANTIDAD</t>
        </is>
      </c>
      <c r="L5" s="254" t="inlineStr">
        <is>
          <t xml:space="preserve">TOTAL POLLOS DIA </t>
        </is>
      </c>
      <c r="M5" s="113" t="n"/>
      <c r="N5" s="255" t="inlineStr">
        <is>
          <t>NOVEDAD</t>
        </is>
      </c>
      <c r="O5" s="113" t="n"/>
      <c r="P5" s="243" t="n"/>
      <c r="Q5" s="113" t="n"/>
      <c r="R5" s="113" t="n"/>
    </row>
    <row r="6">
      <c r="A6" s="113" t="n"/>
      <c r="B6" s="146" t="n">
        <v>1</v>
      </c>
      <c r="C6" s="256" t="n">
        <v>45809</v>
      </c>
      <c r="D6" s="257" t="n">
        <v>1</v>
      </c>
      <c r="E6" s="258" t="inlineStr">
        <is>
          <t xml:space="preserve">GARCERAS </t>
        </is>
      </c>
      <c r="F6" s="258" t="inlineStr">
        <is>
          <t xml:space="preserve">CARGUEROS  </t>
        </is>
      </c>
      <c r="G6" s="258" t="n">
        <v>8</v>
      </c>
      <c r="H6" s="258" t="inlineStr">
        <is>
          <t xml:space="preserve">ALEX GOMEZ </t>
        </is>
      </c>
      <c r="I6" s="258" t="inlineStr">
        <is>
          <t>TLO881</t>
        </is>
      </c>
      <c r="J6" s="259" t="n">
        <v>0.09583333333333334</v>
      </c>
      <c r="K6" s="260" t="n">
        <v>2640</v>
      </c>
      <c r="L6" s="261" t="n"/>
      <c r="M6" s="113" t="n"/>
      <c r="N6" s="113" t="n"/>
      <c r="O6" s="113" t="n"/>
      <c r="P6" s="113" t="n"/>
      <c r="Q6" s="113" t="n"/>
      <c r="R6" s="113" t="n"/>
    </row>
    <row r="7">
      <c r="A7" s="113" t="n"/>
      <c r="B7" s="146" t="n">
        <v>1</v>
      </c>
      <c r="C7" s="262" t="n"/>
      <c r="D7" s="263" t="n">
        <v>2</v>
      </c>
      <c r="E7" s="264" t="inlineStr">
        <is>
          <t xml:space="preserve">GARCERAS </t>
        </is>
      </c>
      <c r="F7" s="264" t="inlineStr">
        <is>
          <t xml:space="preserve">CARGUEROS  </t>
        </is>
      </c>
      <c r="G7" s="264" t="n">
        <v>8</v>
      </c>
      <c r="H7" s="264" t="inlineStr">
        <is>
          <t xml:space="preserve">JHON ARIAS </t>
        </is>
      </c>
      <c r="I7" s="264" t="inlineStr">
        <is>
          <t>EQY781</t>
        </is>
      </c>
      <c r="J7" s="265" t="n">
        <v>0.1388888888888889</v>
      </c>
      <c r="K7" s="266" t="n">
        <v>2640</v>
      </c>
      <c r="L7" s="267" t="n"/>
      <c r="M7" s="113" t="n"/>
      <c r="N7" s="113" t="n"/>
      <c r="O7" s="113" t="n"/>
      <c r="P7" s="113" t="n"/>
      <c r="Q7" s="113" t="n"/>
      <c r="R7" s="113" t="n"/>
    </row>
    <row r="8">
      <c r="A8" s="113" t="n"/>
      <c r="B8" s="146" t="n">
        <v>1</v>
      </c>
      <c r="C8" s="262" t="n"/>
      <c r="D8" s="263" t="n">
        <v>3</v>
      </c>
      <c r="E8" s="264" t="inlineStr">
        <is>
          <t xml:space="preserve">GARCERAS </t>
        </is>
      </c>
      <c r="F8" s="264" t="inlineStr">
        <is>
          <t xml:space="preserve">CARGUEROS  </t>
        </is>
      </c>
      <c r="G8" s="264" t="n">
        <v>10</v>
      </c>
      <c r="H8" s="264" t="inlineStr">
        <is>
          <t xml:space="preserve">DUMAR ANGARITA </t>
        </is>
      </c>
      <c r="I8" s="264" t="inlineStr">
        <is>
          <t>LQO745</t>
        </is>
      </c>
      <c r="J8" s="265" t="n">
        <v>0.1701388888888889</v>
      </c>
      <c r="K8" s="266" t="n">
        <v>1848</v>
      </c>
      <c r="L8" s="267" t="n"/>
      <c r="M8" s="113" t="n"/>
      <c r="N8" s="113" t="n"/>
      <c r="O8" s="113" t="n"/>
      <c r="P8" s="113" t="n"/>
      <c r="Q8" s="113" t="n"/>
      <c r="R8" s="113" t="n"/>
    </row>
    <row r="9">
      <c r="A9" s="113" t="n"/>
      <c r="B9" s="146" t="n">
        <v>1</v>
      </c>
      <c r="C9" s="262" t="n"/>
      <c r="D9" s="263" t="n">
        <v>4</v>
      </c>
      <c r="E9" s="264" t="inlineStr">
        <is>
          <t xml:space="preserve">GARCERAS </t>
        </is>
      </c>
      <c r="F9" s="264" t="inlineStr">
        <is>
          <t xml:space="preserve">CARGUEROS  </t>
        </is>
      </c>
      <c r="G9" s="264" t="n">
        <v>10</v>
      </c>
      <c r="H9" s="264" t="inlineStr">
        <is>
          <t xml:space="preserve">ALBERTO LOPEZ </t>
        </is>
      </c>
      <c r="I9" s="264" t="inlineStr">
        <is>
          <t>EQY777</t>
        </is>
      </c>
      <c r="J9" s="265" t="n">
        <v>0.2222222222222222</v>
      </c>
      <c r="K9" s="266" t="n">
        <v>3305</v>
      </c>
      <c r="L9" s="267" t="n"/>
      <c r="M9" s="113" t="n"/>
      <c r="N9" s="113" t="n"/>
      <c r="O9" s="113" t="n"/>
      <c r="P9" s="113" t="n"/>
      <c r="Q9" s="113" t="n"/>
      <c r="R9" s="113" t="n"/>
    </row>
    <row r="10">
      <c r="A10" s="113" t="n"/>
      <c r="B10" s="146" t="n">
        <v>1</v>
      </c>
      <c r="C10" s="262" t="n"/>
      <c r="D10" s="263" t="n">
        <v>5</v>
      </c>
      <c r="E10" s="264" t="inlineStr">
        <is>
          <t xml:space="preserve">GARCERAS </t>
        </is>
      </c>
      <c r="F10" s="264" t="inlineStr">
        <is>
          <t xml:space="preserve">CARGUEROS  </t>
        </is>
      </c>
      <c r="G10" s="264" t="n">
        <v>10</v>
      </c>
      <c r="H10" s="264" t="inlineStr">
        <is>
          <t>JHON AGUIRRE</t>
        </is>
      </c>
      <c r="I10" s="264" t="inlineStr">
        <is>
          <t>EQY780</t>
        </is>
      </c>
      <c r="J10" s="265" t="n">
        <v>0.2708333333333333</v>
      </c>
      <c r="K10" s="266" t="n">
        <v>3670</v>
      </c>
      <c r="L10" s="267" t="n"/>
      <c r="M10" s="113" t="n"/>
      <c r="N10" s="113" t="n"/>
      <c r="O10" s="113" t="n"/>
      <c r="P10" s="113" t="n"/>
      <c r="Q10" s="113" t="n"/>
      <c r="R10" s="113" t="n"/>
    </row>
    <row r="11">
      <c r="A11" s="113" t="n"/>
      <c r="B11" s="146" t="n">
        <v>1</v>
      </c>
      <c r="C11" s="262" t="n"/>
      <c r="D11" s="263" t="n">
        <v>6</v>
      </c>
      <c r="E11" s="264" t="inlineStr">
        <is>
          <t xml:space="preserve">GARCERAS </t>
        </is>
      </c>
      <c r="F11" s="264" t="inlineStr">
        <is>
          <t xml:space="preserve">CARGUEROS  </t>
        </is>
      </c>
      <c r="G11" s="264" t="n">
        <v>10</v>
      </c>
      <c r="H11" s="264" t="inlineStr">
        <is>
          <t xml:space="preserve">JOSE HERRERA </t>
        </is>
      </c>
      <c r="I11" s="264" t="inlineStr">
        <is>
          <t>KUS176</t>
        </is>
      </c>
      <c r="J11" s="265" t="n">
        <v>0.3229166666666667</v>
      </c>
      <c r="K11" s="266" t="n">
        <v>2916</v>
      </c>
      <c r="L11" s="267" t="n"/>
      <c r="M11" s="113" t="n"/>
      <c r="N11" s="113" t="n"/>
      <c r="O11" s="113" t="n"/>
      <c r="P11" s="113" t="n"/>
      <c r="Q11" s="113" t="n"/>
      <c r="R11" s="113" t="n"/>
    </row>
    <row r="12">
      <c r="A12" s="113" t="n"/>
      <c r="B12" s="146" t="n">
        <v>1</v>
      </c>
      <c r="C12" s="262" t="n"/>
      <c r="D12" s="263" t="n">
        <v>7</v>
      </c>
      <c r="E12" s="264" t="inlineStr">
        <is>
          <t xml:space="preserve">GARCERAS </t>
        </is>
      </c>
      <c r="F12" s="264" t="inlineStr">
        <is>
          <t xml:space="preserve">CARGUEROS  </t>
        </is>
      </c>
      <c r="G12" s="264" t="n">
        <v>10</v>
      </c>
      <c r="H12" s="264" t="inlineStr">
        <is>
          <t xml:space="preserve">JOSE SOLER </t>
        </is>
      </c>
      <c r="I12" s="264" t="inlineStr">
        <is>
          <t>EQY776</t>
        </is>
      </c>
      <c r="J12" s="265" t="n">
        <v>0.3625</v>
      </c>
      <c r="K12" s="266" t="n">
        <v>2916</v>
      </c>
      <c r="L12" s="267" t="n"/>
      <c r="M12" s="113" t="n"/>
      <c r="N12" s="113" t="n"/>
      <c r="O12" s="113" t="n"/>
      <c r="P12" s="113" t="n"/>
      <c r="Q12" s="113" t="n"/>
      <c r="R12" s="113" t="n"/>
    </row>
    <row r="13">
      <c r="A13" s="113" t="n"/>
      <c r="B13" s="146" t="n">
        <v>1</v>
      </c>
      <c r="C13" s="262" t="n"/>
      <c r="D13" s="263" t="n">
        <v>8</v>
      </c>
      <c r="E13" s="264" t="inlineStr">
        <is>
          <t xml:space="preserve">GARCERAS </t>
        </is>
      </c>
      <c r="F13" s="264" t="inlineStr">
        <is>
          <t xml:space="preserve">CARGUEROS  </t>
        </is>
      </c>
      <c r="G13" s="264" t="n">
        <v>10</v>
      </c>
      <c r="H13" s="264" t="inlineStr">
        <is>
          <t xml:space="preserve">DIEGO NIÑO </t>
        </is>
      </c>
      <c r="I13" s="264" t="inlineStr">
        <is>
          <t>GZZ673</t>
        </is>
      </c>
      <c r="J13" s="265" t="n">
        <v>0.4076388888888889</v>
      </c>
      <c r="K13" s="266" t="n">
        <v>2916</v>
      </c>
      <c r="L13" s="267" t="n"/>
      <c r="M13" s="113" t="n"/>
      <c r="N13" s="113" t="n"/>
      <c r="O13" s="113" t="n"/>
      <c r="P13" s="113" t="n"/>
      <c r="Q13" s="113" t="n"/>
      <c r="R13" s="113" t="n"/>
    </row>
    <row r="14">
      <c r="A14" s="113" t="n"/>
      <c r="B14" s="146" t="n">
        <v>1</v>
      </c>
      <c r="C14" s="262" t="n"/>
      <c r="D14" s="263" t="n">
        <v>9</v>
      </c>
      <c r="E14" s="264" t="inlineStr">
        <is>
          <t xml:space="preserve">GARCERAS </t>
        </is>
      </c>
      <c r="F14" s="264" t="inlineStr">
        <is>
          <t xml:space="preserve">CARGUEROS  </t>
        </is>
      </c>
      <c r="G14" s="264" t="n">
        <v>10</v>
      </c>
      <c r="H14" s="264" t="inlineStr">
        <is>
          <t xml:space="preserve">ALEX GOMEZ </t>
        </is>
      </c>
      <c r="I14" s="264" t="inlineStr">
        <is>
          <t>TLO881</t>
        </is>
      </c>
      <c r="J14" s="265" t="n">
        <v>0.4583333333333333</v>
      </c>
      <c r="K14" s="266" t="n">
        <v>2352</v>
      </c>
      <c r="L14" s="267" t="n"/>
      <c r="M14" s="113" t="n"/>
      <c r="N14" s="113" t="n"/>
      <c r="O14" s="113" t="n"/>
      <c r="P14" s="113" t="n"/>
      <c r="Q14" s="113" t="n"/>
      <c r="R14" s="113" t="n"/>
    </row>
    <row r="15">
      <c r="A15" s="113" t="n"/>
      <c r="B15" s="146" t="n">
        <v>1</v>
      </c>
      <c r="C15" s="262" t="n"/>
      <c r="D15" s="263" t="n">
        <v>10</v>
      </c>
      <c r="E15" s="264" t="inlineStr">
        <is>
          <t xml:space="preserve">MALAGUEÑA </t>
        </is>
      </c>
      <c r="F15" s="264" t="inlineStr">
        <is>
          <t xml:space="preserve">ABONEROS </t>
        </is>
      </c>
      <c r="G15" s="264" t="n">
        <v>9</v>
      </c>
      <c r="H15" s="264" t="inlineStr">
        <is>
          <t xml:space="preserve">JOSE SOLER </t>
        </is>
      </c>
      <c r="I15" s="264" t="inlineStr">
        <is>
          <t>EQY776</t>
        </is>
      </c>
      <c r="J15" s="265" t="n">
        <v>0.1479166666666667</v>
      </c>
      <c r="K15" s="266" t="n">
        <v>3564</v>
      </c>
      <c r="L15" s="268" t="n"/>
      <c r="M15" s="113" t="n"/>
      <c r="N15" s="113" t="n"/>
      <c r="O15" s="113" t="n"/>
      <c r="P15" s="113" t="n"/>
      <c r="Q15" s="113" t="n"/>
      <c r="R15" s="113" t="n"/>
    </row>
    <row r="16">
      <c r="A16" s="113" t="n"/>
      <c r="B16" s="146" t="n">
        <v>1</v>
      </c>
      <c r="C16" s="269" t="n"/>
      <c r="D16" s="270" t="n">
        <v>11</v>
      </c>
      <c r="E16" s="271" t="inlineStr">
        <is>
          <t xml:space="preserve">MALAGUEÑA </t>
        </is>
      </c>
      <c r="F16" s="271" t="inlineStr">
        <is>
          <t xml:space="preserve">ABONEROS </t>
        </is>
      </c>
      <c r="G16" s="271" t="n">
        <v>9</v>
      </c>
      <c r="H16" s="271" t="inlineStr">
        <is>
          <t xml:space="preserve">DIEGO NIÑO </t>
        </is>
      </c>
      <c r="I16" s="271" t="inlineStr">
        <is>
          <t>6ZZ673</t>
        </is>
      </c>
      <c r="J16" s="272" t="n">
        <v>0.1972222222222222</v>
      </c>
      <c r="K16" s="273" t="n">
        <v>3600</v>
      </c>
      <c r="L16" s="274">
        <f>SUM(K6:K16)</f>
        <v/>
      </c>
      <c r="M16" s="113" t="n"/>
      <c r="N16" s="113" t="n"/>
      <c r="O16" s="113" t="n"/>
      <c r="P16" s="113" t="n"/>
      <c r="Q16" s="113" t="n"/>
      <c r="R16" s="113" t="n"/>
    </row>
    <row r="17">
      <c r="A17" s="113" t="n"/>
      <c r="B17" s="146" t="n">
        <v>1</v>
      </c>
      <c r="C17" s="256" t="n">
        <v>45811</v>
      </c>
      <c r="D17" s="257" t="n">
        <v>1</v>
      </c>
      <c r="E17" s="258" t="inlineStr">
        <is>
          <t xml:space="preserve">GARCERAS </t>
        </is>
      </c>
      <c r="F17" s="258" t="inlineStr">
        <is>
          <t xml:space="preserve">ABONEROS </t>
        </is>
      </c>
      <c r="G17" s="258" t="n">
        <v>10</v>
      </c>
      <c r="H17" s="258" t="inlineStr">
        <is>
          <t xml:space="preserve">JHON ARIAS </t>
        </is>
      </c>
      <c r="I17" s="258" t="inlineStr">
        <is>
          <t>EQY781</t>
        </is>
      </c>
      <c r="J17" s="259" t="n">
        <v>0.9208333333333333</v>
      </c>
      <c r="K17" s="260" t="n">
        <v>3276</v>
      </c>
      <c r="L17" s="275" t="n"/>
      <c r="M17" s="113" t="n"/>
      <c r="N17" s="113" t="n"/>
      <c r="O17" s="113" t="n"/>
      <c r="P17" s="243" t="n"/>
      <c r="Q17" s="113" t="n"/>
      <c r="R17" s="113" t="n"/>
    </row>
    <row r="18">
      <c r="A18" s="113" t="n"/>
      <c r="B18" s="146" t="n">
        <v>1</v>
      </c>
      <c r="C18" s="262" t="n"/>
      <c r="D18" s="263" t="n">
        <v>2</v>
      </c>
      <c r="E18" s="264" t="inlineStr">
        <is>
          <t xml:space="preserve">GARCERAS </t>
        </is>
      </c>
      <c r="F18" s="264" t="inlineStr">
        <is>
          <t xml:space="preserve">ABONEROS </t>
        </is>
      </c>
      <c r="G18" s="264" t="n">
        <v>10</v>
      </c>
      <c r="H18" s="264" t="inlineStr">
        <is>
          <t xml:space="preserve">JOSE HERRERA </t>
        </is>
      </c>
      <c r="I18" s="264" t="inlineStr">
        <is>
          <t>KUS176</t>
        </is>
      </c>
      <c r="J18" s="265" t="n">
        <v>0.9541666666666667</v>
      </c>
      <c r="K18" s="266" t="n">
        <v>2820</v>
      </c>
      <c r="L18" s="267" t="n"/>
      <c r="M18" s="113" t="n"/>
      <c r="N18" s="113" t="n"/>
      <c r="O18" s="113" t="n"/>
      <c r="P18" s="243" t="n"/>
      <c r="Q18" s="113" t="n"/>
      <c r="R18" s="113" t="n"/>
    </row>
    <row r="19">
      <c r="A19" s="113" t="n"/>
      <c r="B19" s="146" t="n">
        <v>1</v>
      </c>
      <c r="C19" s="262" t="n"/>
      <c r="D19" s="263" t="n">
        <v>3</v>
      </c>
      <c r="E19" s="264" t="inlineStr">
        <is>
          <t xml:space="preserve">GARCERAS </t>
        </is>
      </c>
      <c r="F19" s="264" t="inlineStr">
        <is>
          <t xml:space="preserve">ABONEROS </t>
        </is>
      </c>
      <c r="G19" s="264" t="n">
        <v>10</v>
      </c>
      <c r="H19" s="264" t="inlineStr">
        <is>
          <t xml:space="preserve">ALEX GOMEZ </t>
        </is>
      </c>
      <c r="I19" s="264" t="inlineStr">
        <is>
          <t>TLO881</t>
        </is>
      </c>
      <c r="J19" s="265" t="n">
        <v>0.9986111111111111</v>
      </c>
      <c r="K19" s="266" t="n">
        <v>3605</v>
      </c>
      <c r="L19" s="267" t="n"/>
      <c r="M19" s="113" t="n"/>
      <c r="N19" s="113" t="n"/>
      <c r="O19" s="113" t="n"/>
      <c r="P19" s="243" t="n"/>
      <c r="Q19" s="113" t="n"/>
      <c r="R19" s="113" t="n"/>
    </row>
    <row r="20">
      <c r="A20" s="113" t="n"/>
      <c r="B20" s="146" t="n">
        <v>1</v>
      </c>
      <c r="C20" s="262" t="n"/>
      <c r="D20" s="276" t="n">
        <v>4</v>
      </c>
      <c r="E20" s="264" t="inlineStr">
        <is>
          <t xml:space="preserve">GARCERAS </t>
        </is>
      </c>
      <c r="F20" s="264" t="inlineStr">
        <is>
          <t xml:space="preserve">ABONEROS </t>
        </is>
      </c>
      <c r="G20" s="264" t="n">
        <v>10</v>
      </c>
      <c r="H20" s="264" t="inlineStr">
        <is>
          <t xml:space="preserve">WILMER PIÑEROS </t>
        </is>
      </c>
      <c r="I20" s="264" t="inlineStr">
        <is>
          <t>KNL076</t>
        </is>
      </c>
      <c r="J20" s="265" t="n">
        <v>0.03263888888888889</v>
      </c>
      <c r="K20" s="266" t="n">
        <v>3605</v>
      </c>
      <c r="L20" s="267" t="n"/>
      <c r="M20" s="113" t="n"/>
      <c r="N20" s="113" t="n"/>
      <c r="O20" s="113" t="n"/>
      <c r="P20" s="243" t="n"/>
      <c r="Q20" s="113" t="n"/>
      <c r="R20" s="113" t="n"/>
    </row>
    <row r="21" ht="15.75" customHeight="1">
      <c r="A21" s="113" t="n"/>
      <c r="B21" s="146" t="n">
        <v>1</v>
      </c>
      <c r="C21" s="262" t="n"/>
      <c r="D21" s="263" t="n">
        <v>5</v>
      </c>
      <c r="E21" s="264" t="inlineStr">
        <is>
          <t xml:space="preserve">GARCERAS </t>
        </is>
      </c>
      <c r="F21" s="264" t="inlineStr">
        <is>
          <t xml:space="preserve">ABONEROS </t>
        </is>
      </c>
      <c r="G21" s="264" t="n">
        <v>10</v>
      </c>
      <c r="H21" s="264" t="inlineStr">
        <is>
          <t xml:space="preserve">JAIRO CUBILLOS </t>
        </is>
      </c>
      <c r="I21" s="264" t="inlineStr">
        <is>
          <t>TLO884</t>
        </is>
      </c>
      <c r="J21" s="265" t="n">
        <v>0.08263888888888889</v>
      </c>
      <c r="K21" s="266" t="n">
        <v>3605</v>
      </c>
      <c r="L21" s="267" t="n"/>
      <c r="M21" s="113" t="n"/>
      <c r="N21" s="113" t="n"/>
      <c r="O21" s="113" t="n"/>
      <c r="P21" s="243" t="n"/>
      <c r="Q21" s="113" t="n"/>
      <c r="R21" s="113" t="n"/>
    </row>
    <row r="22" ht="15.75" customHeight="1">
      <c r="A22" s="113" t="n"/>
      <c r="B22" s="146" t="n">
        <v>1</v>
      </c>
      <c r="C22" s="262" t="n"/>
      <c r="D22" s="263" t="n">
        <v>6</v>
      </c>
      <c r="E22" s="264" t="inlineStr">
        <is>
          <t xml:space="preserve">GARCERAS </t>
        </is>
      </c>
      <c r="F22" s="264" t="inlineStr">
        <is>
          <t xml:space="preserve">ABONEROS </t>
        </is>
      </c>
      <c r="G22" s="264" t="n">
        <v>10</v>
      </c>
      <c r="H22" s="264" t="inlineStr">
        <is>
          <t xml:space="preserve">EDUAN CAVIEDEZ </t>
        </is>
      </c>
      <c r="I22" s="264" t="inlineStr">
        <is>
          <t>EQY779</t>
        </is>
      </c>
      <c r="J22" s="265" t="n">
        <v>0.125</v>
      </c>
      <c r="K22" s="266" t="n">
        <v>3216</v>
      </c>
      <c r="L22" s="267" t="n"/>
      <c r="M22" s="113" t="n"/>
      <c r="N22" s="113" t="n"/>
      <c r="O22" s="113" t="n"/>
      <c r="P22" s="243" t="n"/>
      <c r="Q22" s="113" t="n"/>
      <c r="R22" s="113" t="n"/>
    </row>
    <row r="23" ht="15.75" customHeight="1">
      <c r="A23" s="113" t="n"/>
      <c r="B23" s="146" t="n">
        <v>1</v>
      </c>
      <c r="C23" s="262" t="n"/>
      <c r="D23" s="276" t="n">
        <v>7</v>
      </c>
      <c r="E23" s="264" t="inlineStr">
        <is>
          <t xml:space="preserve">GARCERAS </t>
        </is>
      </c>
      <c r="F23" s="264" t="inlineStr">
        <is>
          <t xml:space="preserve">ABONEROS </t>
        </is>
      </c>
      <c r="G23" s="264" t="n">
        <v>10</v>
      </c>
      <c r="H23" s="264" t="inlineStr">
        <is>
          <t xml:space="preserve">FERNANDO OYUELA </t>
        </is>
      </c>
      <c r="I23" s="264" t="inlineStr">
        <is>
          <t>EQY778</t>
        </is>
      </c>
      <c r="J23" s="265" t="n">
        <v>0.15625</v>
      </c>
      <c r="K23" s="266" t="n">
        <v>3240</v>
      </c>
      <c r="L23" s="267" t="n"/>
      <c r="M23" s="113" t="n"/>
      <c r="N23" s="113" t="n"/>
      <c r="O23" s="113" t="n"/>
      <c r="P23" s="243" t="n"/>
      <c r="Q23" s="113" t="n"/>
      <c r="R23" s="113" t="n"/>
    </row>
    <row r="24" ht="15.75" customHeight="1">
      <c r="A24" s="113" t="n"/>
      <c r="B24" s="146" t="n">
        <v>1</v>
      </c>
      <c r="C24" s="262" t="n"/>
      <c r="D24" s="276" t="n">
        <v>8</v>
      </c>
      <c r="E24" s="264" t="inlineStr">
        <is>
          <t xml:space="preserve">MALAGUEÑA </t>
        </is>
      </c>
      <c r="F24" s="264" t="inlineStr">
        <is>
          <t xml:space="preserve">CARGUEROS  </t>
        </is>
      </c>
      <c r="G24" s="264" t="n">
        <v>10</v>
      </c>
      <c r="H24" s="264" t="inlineStr">
        <is>
          <t xml:space="preserve">FABIO ALDANA </t>
        </is>
      </c>
      <c r="I24" s="264" t="inlineStr">
        <is>
          <t>TLO882</t>
        </is>
      </c>
      <c r="J24" s="265" t="n">
        <v>0.2083333333333333</v>
      </c>
      <c r="K24" s="266" t="n">
        <v>3432</v>
      </c>
      <c r="L24" s="267" t="n"/>
      <c r="M24" s="113" t="n"/>
      <c r="N24" s="113" t="n"/>
      <c r="O24" s="113" t="n"/>
      <c r="P24" s="243" t="n"/>
      <c r="Q24" s="113" t="n"/>
      <c r="R24" s="113" t="n"/>
    </row>
    <row r="25" ht="15.75" customHeight="1">
      <c r="A25" s="113" t="n"/>
      <c r="B25" s="146" t="n">
        <v>1</v>
      </c>
      <c r="C25" s="262" t="n"/>
      <c r="D25" s="263" t="n">
        <v>9</v>
      </c>
      <c r="E25" s="264" t="inlineStr">
        <is>
          <t xml:space="preserve">MALAGUEÑA </t>
        </is>
      </c>
      <c r="F25" s="264" t="inlineStr">
        <is>
          <t xml:space="preserve">CARGUEROS  </t>
        </is>
      </c>
      <c r="G25" s="264" t="n">
        <v>10</v>
      </c>
      <c r="H25" s="264" t="inlineStr">
        <is>
          <t xml:space="preserve">JHON ARIAS </t>
        </is>
      </c>
      <c r="I25" s="264" t="inlineStr">
        <is>
          <t>EQY781</t>
        </is>
      </c>
      <c r="J25" s="265" t="n">
        <v>0.2493055555555556</v>
      </c>
      <c r="K25" s="266" t="n">
        <v>3432</v>
      </c>
      <c r="L25" s="267" t="n"/>
      <c r="M25" s="113" t="n"/>
      <c r="N25" s="113" t="n"/>
      <c r="O25" s="113" t="n"/>
      <c r="P25" s="243" t="n"/>
      <c r="Q25" s="113" t="n"/>
      <c r="R25" s="113" t="n"/>
    </row>
    <row r="26" ht="15.75" customHeight="1">
      <c r="A26" s="113" t="n"/>
      <c r="B26" s="146" t="n">
        <v>1</v>
      </c>
      <c r="C26" s="262" t="n"/>
      <c r="D26" s="263" t="n">
        <v>10</v>
      </c>
      <c r="E26" s="264" t="inlineStr">
        <is>
          <t xml:space="preserve">MALAGUEÑA </t>
        </is>
      </c>
      <c r="F26" s="264" t="inlineStr">
        <is>
          <t xml:space="preserve">CARGUEROS  </t>
        </is>
      </c>
      <c r="G26" s="264" t="n">
        <v>10</v>
      </c>
      <c r="H26" s="264" t="inlineStr">
        <is>
          <t xml:space="preserve">ALEX GOMEZ </t>
        </is>
      </c>
      <c r="I26" s="264" t="inlineStr">
        <is>
          <t>TLO881</t>
        </is>
      </c>
      <c r="J26" s="265" t="n">
        <v>0.2916666666666667</v>
      </c>
      <c r="K26" s="266" t="n">
        <v>3370</v>
      </c>
      <c r="L26" s="267" t="n"/>
      <c r="M26" s="113" t="n"/>
      <c r="N26" s="113" t="n"/>
      <c r="O26" s="113" t="n"/>
      <c r="P26" s="243" t="n"/>
      <c r="Q26" s="113" t="n"/>
      <c r="R26" s="113" t="n"/>
    </row>
    <row r="27" ht="15.75" customHeight="1">
      <c r="A27" s="113" t="n"/>
      <c r="B27" s="146" t="n">
        <v>1</v>
      </c>
      <c r="C27" s="262" t="n"/>
      <c r="D27" s="276" t="n">
        <v>11</v>
      </c>
      <c r="E27" s="264" t="inlineStr">
        <is>
          <t xml:space="preserve">MALAGUEÑA </t>
        </is>
      </c>
      <c r="F27" s="264" t="inlineStr">
        <is>
          <t xml:space="preserve">CARGUEROS  </t>
        </is>
      </c>
      <c r="G27" s="264" t="n">
        <v>10</v>
      </c>
      <c r="H27" s="264" t="inlineStr">
        <is>
          <t xml:space="preserve">JAIRO CUBILLOS </t>
        </is>
      </c>
      <c r="I27" s="264" t="inlineStr">
        <is>
          <t>TLO881</t>
        </is>
      </c>
      <c r="J27" s="265" t="n">
        <v>0.3368055555555556</v>
      </c>
      <c r="K27" s="266" t="n">
        <v>3258</v>
      </c>
      <c r="L27" s="267" t="n"/>
      <c r="M27" s="113" t="n"/>
      <c r="N27" s="113" t="n"/>
      <c r="O27" s="113" t="n"/>
      <c r="P27" s="243" t="n"/>
      <c r="Q27" s="113" t="n"/>
      <c r="R27" s="113" t="n"/>
    </row>
    <row r="28" ht="15.75" customHeight="1">
      <c r="A28" s="113" t="n"/>
      <c r="B28" s="146" t="n">
        <v>1</v>
      </c>
      <c r="C28" s="262" t="n"/>
      <c r="D28" s="263" t="n">
        <v>12</v>
      </c>
      <c r="E28" s="264" t="inlineStr">
        <is>
          <t xml:space="preserve">MALAGUEÑA </t>
        </is>
      </c>
      <c r="F28" s="264" t="inlineStr">
        <is>
          <t xml:space="preserve">CARGUEROS  </t>
        </is>
      </c>
      <c r="G28" s="264" t="n">
        <v>10</v>
      </c>
      <c r="H28" s="264" t="inlineStr">
        <is>
          <t xml:space="preserve">FERNANDO OYUELA </t>
        </is>
      </c>
      <c r="I28" s="264" t="inlineStr">
        <is>
          <t>EQY778</t>
        </is>
      </c>
      <c r="J28" s="265" t="n">
        <v>0.3888888888888889</v>
      </c>
      <c r="K28" s="266" t="n">
        <v>3258</v>
      </c>
      <c r="L28" s="267" t="n"/>
      <c r="M28" s="113" t="n"/>
      <c r="N28" s="113" t="n"/>
      <c r="O28" s="113" t="n"/>
      <c r="P28" s="243" t="n"/>
      <c r="Q28" s="113" t="n"/>
      <c r="R28" s="113" t="n"/>
    </row>
    <row r="29" ht="15.75" customHeight="1">
      <c r="A29" s="113" t="n"/>
      <c r="B29" s="146" t="n">
        <v>1</v>
      </c>
      <c r="C29" s="262" t="n"/>
      <c r="D29" s="263" t="n">
        <v>13</v>
      </c>
      <c r="E29" s="264" t="inlineStr">
        <is>
          <t xml:space="preserve">MALAGUEÑA </t>
        </is>
      </c>
      <c r="F29" s="264" t="inlineStr">
        <is>
          <t xml:space="preserve">CARGUEROS  </t>
        </is>
      </c>
      <c r="G29" s="264" t="n">
        <v>10</v>
      </c>
      <c r="H29" s="264" t="inlineStr">
        <is>
          <t xml:space="preserve">DIEGO NIÑO </t>
        </is>
      </c>
      <c r="I29" s="264" t="inlineStr">
        <is>
          <t>GZZ673</t>
        </is>
      </c>
      <c r="J29" s="265" t="n">
        <v>0.4236111111111111</v>
      </c>
      <c r="K29" s="266" t="n">
        <v>3258</v>
      </c>
      <c r="L29" s="267" t="n"/>
      <c r="M29" s="113" t="n"/>
      <c r="N29" s="113" t="n"/>
      <c r="O29" s="113" t="n"/>
      <c r="P29" s="243" t="n"/>
      <c r="Q29" s="113" t="n"/>
      <c r="R29" s="113" t="n"/>
    </row>
    <row r="30" ht="15.75" customHeight="1">
      <c r="A30" s="113" t="n"/>
      <c r="B30" s="146" t="n">
        <v>1</v>
      </c>
      <c r="C30" s="262" t="n"/>
      <c r="D30" s="276" t="n">
        <v>14</v>
      </c>
      <c r="E30" s="264" t="inlineStr">
        <is>
          <t xml:space="preserve">MALAGUEÑA </t>
        </is>
      </c>
      <c r="F30" s="264" t="inlineStr">
        <is>
          <t xml:space="preserve">CARGUEROS  </t>
        </is>
      </c>
      <c r="G30" s="264" t="n">
        <v>10</v>
      </c>
      <c r="H30" s="264" t="inlineStr">
        <is>
          <t xml:space="preserve">JAIR RIVEROS </t>
        </is>
      </c>
      <c r="I30" s="264" t="inlineStr">
        <is>
          <t>TLO181</t>
        </is>
      </c>
      <c r="J30" s="265" t="n">
        <v>0.4652777777777778</v>
      </c>
      <c r="K30" s="266" t="n">
        <v>3258</v>
      </c>
      <c r="L30" s="267" t="n"/>
      <c r="M30" s="113" t="n"/>
      <c r="N30" s="113" t="n"/>
      <c r="O30" s="113" t="n"/>
      <c r="P30" s="243" t="n"/>
      <c r="Q30" s="113" t="n"/>
      <c r="R30" s="113" t="n"/>
    </row>
    <row r="31" ht="15.75" customHeight="1">
      <c r="A31" s="113" t="n"/>
      <c r="B31" s="146" t="n">
        <v>1</v>
      </c>
      <c r="C31" s="262" t="n"/>
      <c r="D31" s="276" t="n">
        <v>15</v>
      </c>
      <c r="E31" s="264" t="inlineStr">
        <is>
          <t xml:space="preserve">MALAGUEÑA </t>
        </is>
      </c>
      <c r="F31" s="264" t="inlineStr">
        <is>
          <t xml:space="preserve">CARGUEROS  </t>
        </is>
      </c>
      <c r="G31" s="264" t="n">
        <v>10</v>
      </c>
      <c r="H31" s="264" t="inlineStr">
        <is>
          <t xml:space="preserve">ALBERTO LOPEZ </t>
        </is>
      </c>
      <c r="I31" s="264" t="inlineStr">
        <is>
          <t>EQY777</t>
        </is>
      </c>
      <c r="J31" s="265" t="n">
        <v>0.5104166666666666</v>
      </c>
      <c r="K31" s="266" t="n">
        <v>3258</v>
      </c>
      <c r="L31" s="267" t="n"/>
      <c r="M31" s="113" t="n"/>
      <c r="N31" s="113" t="n"/>
      <c r="O31" s="113" t="n"/>
      <c r="P31" s="243" t="n"/>
      <c r="Q31" s="113" t="n"/>
      <c r="R31" s="113" t="n"/>
    </row>
    <row r="32" ht="15.75" customHeight="1">
      <c r="A32" s="113" t="n"/>
      <c r="B32" s="146" t="n">
        <v>1</v>
      </c>
      <c r="C32" s="262" t="n"/>
      <c r="D32" s="263" t="n">
        <v>16</v>
      </c>
      <c r="E32" s="264" t="inlineStr">
        <is>
          <t xml:space="preserve">MALAGUEÑA </t>
        </is>
      </c>
      <c r="F32" s="264" t="inlineStr">
        <is>
          <t xml:space="preserve">CARGUEROS  </t>
        </is>
      </c>
      <c r="G32" s="264" t="n">
        <v>10</v>
      </c>
      <c r="H32" s="264" t="inlineStr">
        <is>
          <t>JHON AGUIRRE</t>
        </is>
      </c>
      <c r="I32" s="264" t="inlineStr">
        <is>
          <t>EQY780</t>
        </is>
      </c>
      <c r="J32" s="265" t="n">
        <v>0.5576388888888889</v>
      </c>
      <c r="K32" s="266" t="n">
        <v>3258</v>
      </c>
      <c r="L32" s="277" t="n"/>
      <c r="M32" s="113" t="n"/>
      <c r="N32" s="113" t="n"/>
      <c r="O32" s="113" t="n"/>
      <c r="P32" s="243" t="n"/>
      <c r="Q32" s="113" t="n"/>
      <c r="R32" s="113" t="n"/>
    </row>
    <row r="33" ht="15.75" customHeight="1">
      <c r="A33" s="113" t="n"/>
      <c r="B33" s="146" t="n">
        <v>1</v>
      </c>
      <c r="C33" s="269" t="n"/>
      <c r="D33" s="270" t="n">
        <v>17</v>
      </c>
      <c r="E33" s="271" t="inlineStr">
        <is>
          <t xml:space="preserve">MALAGUEÑA </t>
        </is>
      </c>
      <c r="F33" s="271" t="inlineStr">
        <is>
          <t xml:space="preserve">CARGUEROS  </t>
        </is>
      </c>
      <c r="G33" s="271" t="n">
        <v>10</v>
      </c>
      <c r="H33" s="271" t="inlineStr">
        <is>
          <t xml:space="preserve">JHON ARIAS </t>
        </is>
      </c>
      <c r="I33" s="271" t="inlineStr">
        <is>
          <t>EQY781</t>
        </is>
      </c>
      <c r="J33" s="272" t="n">
        <v>0.6076388888888888</v>
      </c>
      <c r="K33" s="273" t="n">
        <v>2848</v>
      </c>
      <c r="L33" s="274">
        <f>SUM(K17:K33)</f>
        <v/>
      </c>
      <c r="M33" s="113" t="n"/>
      <c r="N33" s="113" t="n"/>
      <c r="O33" s="113" t="n"/>
      <c r="P33" s="243" t="n"/>
      <c r="Q33" s="113" t="n"/>
      <c r="R33" s="113" t="n"/>
    </row>
    <row r="34" ht="15.75" customHeight="1">
      <c r="A34" s="113" t="n"/>
      <c r="B34" s="146" t="n">
        <v>1</v>
      </c>
      <c r="C34" s="278" t="n">
        <v>45812</v>
      </c>
      <c r="D34" s="257" t="n">
        <v>1</v>
      </c>
      <c r="E34" s="258" t="inlineStr">
        <is>
          <t xml:space="preserve">GARCERAS </t>
        </is>
      </c>
      <c r="F34" s="258" t="inlineStr">
        <is>
          <t xml:space="preserve">ABONEROS </t>
        </is>
      </c>
      <c r="G34" s="258" t="n">
        <v>10</v>
      </c>
      <c r="H34" s="258" t="inlineStr">
        <is>
          <t xml:space="preserve">EDUAN CAVIEDEZ </t>
        </is>
      </c>
      <c r="I34" s="258" t="inlineStr">
        <is>
          <t>EQY779</t>
        </is>
      </c>
      <c r="J34" s="259" t="n">
        <v>0.99375</v>
      </c>
      <c r="K34" s="260" t="n">
        <v>3225</v>
      </c>
      <c r="L34" s="275" t="n"/>
      <c r="M34" s="113" t="n"/>
      <c r="N34" s="113" t="n"/>
      <c r="O34" s="113" t="n"/>
      <c r="P34" s="243" t="n"/>
      <c r="Q34" s="113" t="n"/>
      <c r="R34" s="113" t="n"/>
    </row>
    <row r="35" ht="15.75" customHeight="1">
      <c r="A35" s="113" t="n"/>
      <c r="B35" s="146" t="n">
        <v>1</v>
      </c>
      <c r="C35" s="279" t="n"/>
      <c r="D35" s="263" t="n">
        <v>2</v>
      </c>
      <c r="E35" s="264" t="inlineStr">
        <is>
          <t xml:space="preserve">GARCERAS </t>
        </is>
      </c>
      <c r="F35" s="264" t="inlineStr">
        <is>
          <t xml:space="preserve">ABONEROS </t>
        </is>
      </c>
      <c r="G35" s="264" t="n">
        <v>10</v>
      </c>
      <c r="H35" s="264" t="inlineStr">
        <is>
          <t xml:space="preserve">DIEGO NIÑO </t>
        </is>
      </c>
      <c r="I35" s="264" t="inlineStr">
        <is>
          <t>GZZ673</t>
        </is>
      </c>
      <c r="J35" s="265" t="n">
        <v>0.02986111111111111</v>
      </c>
      <c r="K35" s="266" t="n">
        <v>3225</v>
      </c>
      <c r="L35" s="267" t="n"/>
      <c r="M35" s="113" t="n"/>
      <c r="N35" s="113" t="n"/>
      <c r="O35" s="113" t="n"/>
      <c r="P35" s="243" t="n"/>
      <c r="Q35" s="113" t="n"/>
      <c r="R35" s="113" t="n"/>
    </row>
    <row r="36" ht="15.75" customHeight="1">
      <c r="A36" s="113" t="n"/>
      <c r="B36" s="146" t="n">
        <v>1</v>
      </c>
      <c r="C36" s="279" t="n"/>
      <c r="D36" s="263" t="n">
        <v>3</v>
      </c>
      <c r="E36" s="264" t="inlineStr">
        <is>
          <t xml:space="preserve">GARCERAS </t>
        </is>
      </c>
      <c r="F36" s="264" t="inlineStr">
        <is>
          <t xml:space="preserve">ABONEROS </t>
        </is>
      </c>
      <c r="G36" s="264" t="n">
        <v>10</v>
      </c>
      <c r="H36" s="264" t="inlineStr">
        <is>
          <t xml:space="preserve">WILMER PIÑEROS </t>
        </is>
      </c>
      <c r="I36" s="264" t="inlineStr">
        <is>
          <t>KNL076</t>
        </is>
      </c>
      <c r="J36" s="265" t="n">
        <v>0.06875000000000001</v>
      </c>
      <c r="K36" s="266" t="n">
        <v>3225</v>
      </c>
      <c r="L36" s="267" t="n"/>
      <c r="M36" s="113" t="n"/>
      <c r="N36" s="113" t="n"/>
      <c r="O36" s="113" t="n"/>
      <c r="P36" s="243" t="n"/>
      <c r="Q36" s="113" t="n"/>
      <c r="R36" s="113" t="n"/>
    </row>
    <row r="37" ht="15.75" customHeight="1">
      <c r="A37" s="113" t="n"/>
      <c r="B37" s="146" t="n">
        <v>1</v>
      </c>
      <c r="C37" s="279" t="n"/>
      <c r="D37" s="263" t="n">
        <v>4</v>
      </c>
      <c r="E37" s="264" t="inlineStr">
        <is>
          <t xml:space="preserve">GARCERAS </t>
        </is>
      </c>
      <c r="F37" s="264" t="inlineStr">
        <is>
          <t xml:space="preserve">ABONEROS </t>
        </is>
      </c>
      <c r="G37" s="264" t="n">
        <v>10</v>
      </c>
      <c r="H37" s="264" t="inlineStr">
        <is>
          <t xml:space="preserve">ALEX GOMEZ </t>
        </is>
      </c>
      <c r="I37" s="264" t="inlineStr">
        <is>
          <t>TLO881</t>
        </is>
      </c>
      <c r="J37" s="265" t="n">
        <v>0.1083333333333333</v>
      </c>
      <c r="K37" s="266" t="n">
        <v>3225</v>
      </c>
      <c r="L37" s="267" t="n"/>
      <c r="M37" s="113" t="n"/>
      <c r="N37" s="113" t="n"/>
      <c r="O37" s="113" t="n"/>
      <c r="P37" s="243" t="n"/>
      <c r="Q37" s="113" t="n"/>
      <c r="R37" s="113" t="n"/>
    </row>
    <row r="38" ht="15.75" customHeight="1">
      <c r="A38" s="113" t="n"/>
      <c r="B38" s="146" t="n">
        <v>1</v>
      </c>
      <c r="C38" s="279" t="n"/>
      <c r="D38" s="263" t="n">
        <v>5</v>
      </c>
      <c r="E38" s="264" t="inlineStr">
        <is>
          <t xml:space="preserve">GARCERAS </t>
        </is>
      </c>
      <c r="F38" s="264" t="inlineStr">
        <is>
          <t xml:space="preserve">ABONEROS </t>
        </is>
      </c>
      <c r="G38" s="264" t="n">
        <v>10</v>
      </c>
      <c r="H38" s="264" t="inlineStr">
        <is>
          <t>EDWIN ROJAS</t>
        </is>
      </c>
      <c r="I38" s="264" t="inlineStr">
        <is>
          <t>TLN248</t>
        </is>
      </c>
      <c r="J38" s="265" t="n">
        <v>0.1513888888888889</v>
      </c>
      <c r="K38" s="266" t="n">
        <v>2620</v>
      </c>
      <c r="L38" s="267" t="n"/>
      <c r="M38" s="113" t="n"/>
      <c r="N38" s="113" t="n"/>
      <c r="O38" s="113" t="n"/>
      <c r="P38" s="243" t="n"/>
      <c r="Q38" s="113" t="n"/>
      <c r="R38" s="113" t="n"/>
    </row>
    <row r="39" ht="15.75" customHeight="1">
      <c r="A39" s="113" t="n"/>
      <c r="B39" s="146" t="n">
        <v>1</v>
      </c>
      <c r="C39" s="279" t="n"/>
      <c r="D39" s="263" t="n">
        <v>6</v>
      </c>
      <c r="E39" s="264" t="inlineStr">
        <is>
          <t xml:space="preserve">GARCERAS </t>
        </is>
      </c>
      <c r="F39" s="264" t="inlineStr">
        <is>
          <t xml:space="preserve">ABONEROS </t>
        </is>
      </c>
      <c r="G39" s="264" t="n">
        <v>10</v>
      </c>
      <c r="H39" s="264" t="inlineStr">
        <is>
          <t>HENRY ROMERO</t>
        </is>
      </c>
      <c r="I39" s="264" t="inlineStr">
        <is>
          <t>EQY781</t>
        </is>
      </c>
      <c r="J39" s="265" t="n">
        <v>0.1993055555555556</v>
      </c>
      <c r="K39" s="266" t="n">
        <v>2800</v>
      </c>
      <c r="L39" s="267" t="n"/>
      <c r="M39" s="113" t="n"/>
      <c r="N39" s="113" t="n"/>
      <c r="O39" s="113" t="n"/>
      <c r="P39" s="243" t="n"/>
      <c r="Q39" s="113" t="n"/>
      <c r="R39" s="113" t="n"/>
    </row>
    <row r="40" ht="15.75" customHeight="1">
      <c r="A40" s="113" t="n"/>
      <c r="B40" s="146" t="n">
        <v>1</v>
      </c>
      <c r="C40" s="279" t="n"/>
      <c r="D40" s="263" t="n">
        <v>7</v>
      </c>
      <c r="E40" s="264" t="inlineStr">
        <is>
          <t xml:space="preserve">GARCERAS </t>
        </is>
      </c>
      <c r="F40" s="264" t="inlineStr">
        <is>
          <t xml:space="preserve">ABONEROS </t>
        </is>
      </c>
      <c r="G40" s="264" t="n">
        <v>10</v>
      </c>
      <c r="H40" s="264" t="inlineStr">
        <is>
          <t xml:space="preserve">JAIRO CUBILLOS </t>
        </is>
      </c>
      <c r="I40" s="264" t="inlineStr">
        <is>
          <t>TLO884</t>
        </is>
      </c>
      <c r="J40" s="265" t="n">
        <v>0.2326388888888889</v>
      </c>
      <c r="K40" s="266" t="n">
        <v>2800</v>
      </c>
      <c r="L40" s="267" t="n"/>
      <c r="M40" s="113" t="n"/>
      <c r="N40" s="113" t="n"/>
      <c r="O40" s="113" t="n"/>
      <c r="P40" s="243" t="n"/>
      <c r="Q40" s="113" t="n"/>
      <c r="R40" s="113" t="n"/>
    </row>
    <row r="41" ht="15.75" customHeight="1">
      <c r="A41" s="113" t="n"/>
      <c r="B41" s="146" t="n">
        <v>1</v>
      </c>
      <c r="C41" s="279" t="n"/>
      <c r="D41" s="263" t="n">
        <v>8</v>
      </c>
      <c r="E41" s="264" t="inlineStr">
        <is>
          <t xml:space="preserve">MALAGUEÑA </t>
        </is>
      </c>
      <c r="F41" s="264" t="inlineStr">
        <is>
          <t xml:space="preserve">CARGUEROS  </t>
        </is>
      </c>
      <c r="G41" s="264" t="n">
        <v>10</v>
      </c>
      <c r="H41" s="264" t="inlineStr">
        <is>
          <t xml:space="preserve">JOSE SOLER </t>
        </is>
      </c>
      <c r="I41" s="264" t="inlineStr">
        <is>
          <t>EQY776</t>
        </is>
      </c>
      <c r="J41" s="265" t="n">
        <v>0.2534722222222222</v>
      </c>
      <c r="K41" s="266" t="n">
        <v>3298</v>
      </c>
      <c r="L41" s="267" t="n"/>
      <c r="M41" s="113" t="n"/>
      <c r="N41" s="113" t="n"/>
      <c r="O41" s="113" t="n"/>
      <c r="P41" s="243" t="n"/>
      <c r="Q41" s="113" t="n"/>
      <c r="R41" s="113" t="n"/>
    </row>
    <row r="42" ht="15.75" customHeight="1">
      <c r="A42" s="113" t="n"/>
      <c r="B42" s="146" t="n">
        <v>1</v>
      </c>
      <c r="C42" s="279" t="n"/>
      <c r="D42" s="263" t="n">
        <v>9</v>
      </c>
      <c r="E42" s="264" t="inlineStr">
        <is>
          <t xml:space="preserve">MALAGUEÑA </t>
        </is>
      </c>
      <c r="F42" s="264" t="inlineStr">
        <is>
          <t xml:space="preserve">CARGUEROS  </t>
        </is>
      </c>
      <c r="G42" s="264" t="n">
        <v>10</v>
      </c>
      <c r="H42" s="264" t="inlineStr">
        <is>
          <t xml:space="preserve">EDUAN CAVIEDEZ </t>
        </is>
      </c>
      <c r="I42" s="264" t="inlineStr">
        <is>
          <t>EQY779</t>
        </is>
      </c>
      <c r="J42" s="265" t="n">
        <v>0.2951388888888889</v>
      </c>
      <c r="K42" s="266" t="n">
        <v>3298</v>
      </c>
      <c r="L42" s="267" t="n"/>
      <c r="M42" s="113" t="n"/>
      <c r="N42" s="113" t="n"/>
      <c r="O42" s="113" t="n"/>
      <c r="P42" s="243" t="n"/>
      <c r="Q42" s="113" t="n"/>
      <c r="R42" s="113" t="n"/>
    </row>
    <row r="43" ht="15.75" customHeight="1">
      <c r="A43" s="113" t="n"/>
      <c r="B43" s="146" t="n">
        <v>1</v>
      </c>
      <c r="C43" s="279" t="n"/>
      <c r="D43" s="263" t="n">
        <v>10</v>
      </c>
      <c r="E43" s="264" t="inlineStr">
        <is>
          <t xml:space="preserve">MALAGUEÑA </t>
        </is>
      </c>
      <c r="F43" s="264" t="inlineStr">
        <is>
          <t xml:space="preserve">CARGUEROS  </t>
        </is>
      </c>
      <c r="G43" s="264" t="n">
        <v>10</v>
      </c>
      <c r="H43" s="264" t="inlineStr">
        <is>
          <t xml:space="preserve">DIEGO NIÑO </t>
        </is>
      </c>
      <c r="I43" s="264" t="inlineStr">
        <is>
          <t>GZZ673</t>
        </is>
      </c>
      <c r="J43" s="265" t="n">
        <v>0.3493055555555555</v>
      </c>
      <c r="K43" s="266" t="n">
        <v>3298</v>
      </c>
      <c r="L43" s="267" t="n"/>
      <c r="M43" s="113" t="n"/>
      <c r="N43" s="113" t="n"/>
      <c r="O43" s="113" t="n"/>
      <c r="P43" s="243" t="n"/>
      <c r="Q43" s="113" t="n"/>
      <c r="R43" s="113" t="n"/>
    </row>
    <row r="44" ht="15.75" customHeight="1">
      <c r="A44" s="113" t="n"/>
      <c r="B44" s="146" t="n">
        <v>1</v>
      </c>
      <c r="C44" s="279" t="n"/>
      <c r="D44" s="263" t="n">
        <v>11</v>
      </c>
      <c r="E44" s="264" t="inlineStr">
        <is>
          <t xml:space="preserve">MALAGUEÑA </t>
        </is>
      </c>
      <c r="F44" s="264" t="inlineStr">
        <is>
          <t xml:space="preserve">CARGUEROS  </t>
        </is>
      </c>
      <c r="G44" s="264" t="n">
        <v>10</v>
      </c>
      <c r="H44" s="264" t="inlineStr">
        <is>
          <t xml:space="preserve">WILMER PIÑEROS </t>
        </is>
      </c>
      <c r="I44" s="264" t="inlineStr">
        <is>
          <t>KUS176</t>
        </is>
      </c>
      <c r="J44" s="265" t="n">
        <v>0.3888888888888889</v>
      </c>
      <c r="K44" s="266" t="n">
        <v>3298</v>
      </c>
      <c r="L44" s="267" t="n"/>
      <c r="M44" s="113" t="n"/>
      <c r="N44" s="113" t="n"/>
      <c r="O44" s="113" t="n"/>
      <c r="P44" s="243" t="n"/>
      <c r="Q44" s="113" t="n"/>
      <c r="R44" s="113" t="n"/>
    </row>
    <row r="45" ht="15.75" customHeight="1">
      <c r="A45" s="113" t="n"/>
      <c r="B45" s="146" t="n">
        <v>1</v>
      </c>
      <c r="C45" s="279" t="n"/>
      <c r="D45" s="263" t="n">
        <v>12</v>
      </c>
      <c r="E45" s="264" t="inlineStr">
        <is>
          <t xml:space="preserve">MALAGUEÑA </t>
        </is>
      </c>
      <c r="F45" s="264" t="inlineStr">
        <is>
          <t xml:space="preserve">CARGUEROS  </t>
        </is>
      </c>
      <c r="G45" s="264" t="n">
        <v>10</v>
      </c>
      <c r="H45" s="264" t="inlineStr">
        <is>
          <t xml:space="preserve">ALEX GOMEZ </t>
        </is>
      </c>
      <c r="I45" s="264" t="inlineStr">
        <is>
          <t>TLO881</t>
        </is>
      </c>
      <c r="J45" s="265" t="n">
        <v>0.4284722222222222</v>
      </c>
      <c r="K45" s="266" t="n">
        <v>3298</v>
      </c>
      <c r="L45" s="267" t="n"/>
      <c r="M45" s="113" t="n"/>
      <c r="N45" s="113" t="n"/>
      <c r="O45" s="113" t="n"/>
      <c r="P45" s="243" t="n"/>
      <c r="Q45" s="113" t="n"/>
      <c r="R45" s="113" t="n"/>
    </row>
    <row r="46" ht="15.75" customHeight="1">
      <c r="A46" s="113" t="n"/>
      <c r="B46" s="146" t="n">
        <v>1</v>
      </c>
      <c r="C46" s="279" t="n"/>
      <c r="D46" s="263" t="n">
        <v>13</v>
      </c>
      <c r="E46" s="264" t="inlineStr">
        <is>
          <t xml:space="preserve">MALAGUEÑA </t>
        </is>
      </c>
      <c r="F46" s="264" t="inlineStr">
        <is>
          <t xml:space="preserve">CARGUEROS  </t>
        </is>
      </c>
      <c r="G46" s="264" t="n">
        <v>10</v>
      </c>
      <c r="H46" s="264" t="inlineStr">
        <is>
          <t>EDWIN ROJAS</t>
        </is>
      </c>
      <c r="I46" s="264" t="inlineStr">
        <is>
          <t>TLN248</t>
        </is>
      </c>
      <c r="J46" s="265" t="n">
        <v>0.4680555555555556</v>
      </c>
      <c r="K46" s="266" t="n">
        <v>3298</v>
      </c>
      <c r="L46" s="277" t="n"/>
      <c r="M46" s="113" t="n"/>
      <c r="N46" s="113" t="n"/>
      <c r="O46" s="113" t="n"/>
      <c r="P46" s="243" t="n"/>
      <c r="Q46" s="113" t="n"/>
      <c r="R46" s="113" t="n"/>
    </row>
    <row r="47" ht="15.75" customHeight="1">
      <c r="A47" s="113" t="n"/>
      <c r="B47" s="146" t="n">
        <v>1</v>
      </c>
      <c r="C47" s="280" t="n"/>
      <c r="D47" s="281" t="n">
        <v>14</v>
      </c>
      <c r="E47" s="282" t="inlineStr">
        <is>
          <t xml:space="preserve">MALAGUEÑA </t>
        </is>
      </c>
      <c r="F47" s="282" t="inlineStr">
        <is>
          <t xml:space="preserve">CARGUEROS  </t>
        </is>
      </c>
      <c r="G47" s="282" t="n">
        <v>9</v>
      </c>
      <c r="H47" s="282" t="inlineStr">
        <is>
          <t>HENRY ROMERO</t>
        </is>
      </c>
      <c r="I47" s="282" t="inlineStr">
        <is>
          <t>EQY781</t>
        </is>
      </c>
      <c r="J47" s="283" t="n">
        <v>0.5173611111111112</v>
      </c>
      <c r="K47" s="284" t="n">
        <v>2641</v>
      </c>
      <c r="L47" s="285">
        <f>SUM(K34:K47)</f>
        <v/>
      </c>
      <c r="M47" s="113" t="n"/>
      <c r="N47" s="113" t="n"/>
      <c r="O47" s="113" t="n"/>
      <c r="P47" s="243" t="n"/>
      <c r="Q47" s="113" t="n"/>
      <c r="R47" s="113" t="n"/>
    </row>
    <row r="48" ht="15.75" customHeight="1">
      <c r="A48" s="113" t="n"/>
      <c r="B48" s="146" t="n">
        <v>1</v>
      </c>
      <c r="C48" s="278" t="n">
        <v>45813</v>
      </c>
      <c r="D48" s="257" t="n">
        <v>1</v>
      </c>
      <c r="E48" s="258" t="inlineStr">
        <is>
          <t xml:space="preserve">GARCERAS </t>
        </is>
      </c>
      <c r="F48" s="258" t="inlineStr">
        <is>
          <t xml:space="preserve">CARGUEROS  </t>
        </is>
      </c>
      <c r="G48" s="258" t="n">
        <v>10</v>
      </c>
      <c r="H48" s="258" t="inlineStr">
        <is>
          <t>HENRY ROMERO</t>
        </is>
      </c>
      <c r="I48" s="258">
        <f>+I47</f>
        <v/>
      </c>
      <c r="J48" s="259" t="n">
        <v>0.9979166666666667</v>
      </c>
      <c r="K48" s="260" t="n">
        <v>3564</v>
      </c>
      <c r="L48" s="261" t="n"/>
      <c r="M48" s="113" t="n"/>
      <c r="N48" s="113" t="n"/>
      <c r="O48" s="113" t="n"/>
      <c r="P48" s="243" t="n"/>
      <c r="Q48" s="113" t="n"/>
      <c r="R48" s="113" t="n"/>
    </row>
    <row r="49" ht="15.75" customHeight="1">
      <c r="A49" s="113" t="n"/>
      <c r="B49" s="146" t="n">
        <v>1</v>
      </c>
      <c r="C49" s="279" t="n"/>
      <c r="D49" s="263" t="n">
        <v>2</v>
      </c>
      <c r="E49" s="264" t="inlineStr">
        <is>
          <t xml:space="preserve">GARCERAS </t>
        </is>
      </c>
      <c r="F49" s="264" t="inlineStr">
        <is>
          <t xml:space="preserve">CARGUEROS  </t>
        </is>
      </c>
      <c r="G49" s="264" t="n">
        <v>10</v>
      </c>
      <c r="H49" s="264" t="inlineStr">
        <is>
          <t xml:space="preserve">JOSE SOLER </t>
        </is>
      </c>
      <c r="I49" s="264" t="inlineStr">
        <is>
          <t>EQY776</t>
        </is>
      </c>
      <c r="J49" s="265" t="n">
        <v>0.04305555555555556</v>
      </c>
      <c r="K49" s="266" t="n">
        <v>3333</v>
      </c>
      <c r="L49" s="267" t="n"/>
      <c r="M49" s="113" t="n"/>
      <c r="N49" s="113" t="n"/>
      <c r="O49" s="113" t="n"/>
      <c r="P49" s="243" t="n"/>
      <c r="Q49" s="113" t="n"/>
      <c r="R49" s="113" t="n"/>
    </row>
    <row r="50" ht="15.75" customHeight="1">
      <c r="A50" s="113" t="n"/>
      <c r="B50" s="146" t="n">
        <v>1</v>
      </c>
      <c r="C50" s="279" t="n"/>
      <c r="D50" s="263" t="n">
        <v>3</v>
      </c>
      <c r="E50" s="264" t="inlineStr">
        <is>
          <t xml:space="preserve">GARCERAS </t>
        </is>
      </c>
      <c r="F50" s="264" t="inlineStr">
        <is>
          <t xml:space="preserve">CARGUEROS  </t>
        </is>
      </c>
      <c r="G50" s="264" t="n">
        <v>10</v>
      </c>
      <c r="H50" s="264" t="inlineStr">
        <is>
          <t xml:space="preserve">JHON ARIAS </t>
        </is>
      </c>
      <c r="I50" s="264" t="inlineStr">
        <is>
          <t>EQY781</t>
        </is>
      </c>
      <c r="J50" s="265" t="n">
        <v>0.08680555555555555</v>
      </c>
      <c r="K50" s="266" t="n">
        <v>3600</v>
      </c>
      <c r="L50" s="267" t="n"/>
      <c r="M50" s="113" t="n"/>
      <c r="N50" s="113" t="n"/>
      <c r="O50" s="113" t="n"/>
      <c r="P50" s="243" t="n"/>
      <c r="Q50" s="113" t="n"/>
      <c r="R50" s="113" t="n"/>
    </row>
    <row r="51" ht="15.75" customHeight="1">
      <c r="A51" s="113" t="n"/>
      <c r="B51" s="146" t="n">
        <v>1</v>
      </c>
      <c r="C51" s="279" t="n"/>
      <c r="D51" s="263" t="n">
        <v>4</v>
      </c>
      <c r="E51" s="264" t="inlineStr">
        <is>
          <t xml:space="preserve">GARCERAS </t>
        </is>
      </c>
      <c r="F51" s="264" t="inlineStr">
        <is>
          <t xml:space="preserve">CARGUEROS  </t>
        </is>
      </c>
      <c r="G51" s="264" t="n">
        <v>10</v>
      </c>
      <c r="H51" s="264" t="inlineStr">
        <is>
          <t xml:space="preserve">JOSE HERRERA </t>
        </is>
      </c>
      <c r="I51" s="264" t="inlineStr">
        <is>
          <t>KUS176</t>
        </is>
      </c>
      <c r="J51" s="265" t="n">
        <v>0.1236111111111111</v>
      </c>
      <c r="K51" s="266" t="n">
        <v>3564</v>
      </c>
      <c r="L51" s="267" t="n"/>
      <c r="M51" s="113" t="n"/>
      <c r="N51" s="113" t="n"/>
      <c r="O51" s="113" t="n"/>
      <c r="P51" s="243" t="n"/>
      <c r="Q51" s="113" t="n"/>
      <c r="R51" s="113" t="n"/>
    </row>
    <row r="52" ht="15.75" customHeight="1">
      <c r="A52" s="113" t="n"/>
      <c r="B52" s="146" t="n">
        <v>1</v>
      </c>
      <c r="C52" s="279" t="n"/>
      <c r="D52" s="263" t="n">
        <v>5</v>
      </c>
      <c r="E52" s="264" t="inlineStr">
        <is>
          <t xml:space="preserve">GARCERAS </t>
        </is>
      </c>
      <c r="F52" s="264" t="inlineStr">
        <is>
          <t xml:space="preserve">CARGUEROS  </t>
        </is>
      </c>
      <c r="G52" s="264" t="n">
        <v>10</v>
      </c>
      <c r="H52" s="264" t="inlineStr">
        <is>
          <t xml:space="preserve">FERNANDO OYUELA </t>
        </is>
      </c>
      <c r="I52" s="264" t="inlineStr">
        <is>
          <t>EQY778</t>
        </is>
      </c>
      <c r="J52" s="265" t="n">
        <v>0.1604166666666667</v>
      </c>
      <c r="K52" s="266" t="n">
        <v>3564</v>
      </c>
      <c r="L52" s="267" t="n"/>
      <c r="M52" s="113" t="n"/>
      <c r="N52" s="113" t="n"/>
      <c r="O52" s="113" t="n"/>
      <c r="P52" s="243" t="n"/>
      <c r="Q52" s="113" t="n"/>
      <c r="R52" s="113" t="n"/>
    </row>
    <row r="53" ht="15.75" customHeight="1">
      <c r="A53" s="113" t="n"/>
      <c r="B53" s="146" t="n">
        <v>1</v>
      </c>
      <c r="C53" s="279" t="n"/>
      <c r="D53" s="263" t="n">
        <v>6</v>
      </c>
      <c r="E53" s="264" t="inlineStr">
        <is>
          <t xml:space="preserve">GARCERAS </t>
        </is>
      </c>
      <c r="F53" s="264" t="inlineStr">
        <is>
          <t xml:space="preserve">CARGUEROS  </t>
        </is>
      </c>
      <c r="G53" s="264" t="n">
        <v>10</v>
      </c>
      <c r="H53" s="264" t="inlineStr">
        <is>
          <t xml:space="preserve">ALBERTO LOPEZ </t>
        </is>
      </c>
      <c r="I53" s="264" t="inlineStr">
        <is>
          <t>EQY777</t>
        </is>
      </c>
      <c r="J53" s="265" t="n">
        <v>0.2083333333333333</v>
      </c>
      <c r="K53" s="266" t="n">
        <v>3600</v>
      </c>
      <c r="L53" s="267" t="n"/>
      <c r="M53" s="113" t="n"/>
      <c r="N53" s="113" t="n"/>
      <c r="O53" s="113" t="n"/>
      <c r="P53" s="243" t="n"/>
      <c r="Q53" s="113" t="n"/>
      <c r="R53" s="113" t="n"/>
    </row>
    <row r="54" ht="15.75" customHeight="1">
      <c r="A54" s="113" t="n"/>
      <c r="B54" s="146" t="n">
        <v>1</v>
      </c>
      <c r="C54" s="279" t="n"/>
      <c r="D54" s="263" t="n">
        <v>7</v>
      </c>
      <c r="E54" s="264" t="inlineStr">
        <is>
          <t xml:space="preserve">MALAGUEÑA </t>
        </is>
      </c>
      <c r="F54" s="264" t="inlineStr">
        <is>
          <t xml:space="preserve">CARGUEROS  </t>
        </is>
      </c>
      <c r="G54" s="264" t="n">
        <v>10</v>
      </c>
      <c r="H54" s="264" t="inlineStr">
        <is>
          <t xml:space="preserve">EDUAN CAVIEDEZ </t>
        </is>
      </c>
      <c r="I54" s="264" t="inlineStr">
        <is>
          <t>EQY779</t>
        </is>
      </c>
      <c r="J54" s="265" t="n">
        <v>0.3576388888888889</v>
      </c>
      <c r="K54" s="266" t="n">
        <v>3225</v>
      </c>
      <c r="L54" s="267" t="n"/>
      <c r="M54" s="113" t="n"/>
      <c r="N54" s="113" t="n"/>
      <c r="O54" s="113" t="n"/>
      <c r="P54" s="243" t="n"/>
      <c r="Q54" s="113" t="n"/>
      <c r="R54" s="113" t="n"/>
    </row>
    <row r="55" ht="15.75" customHeight="1">
      <c r="A55" s="113" t="n"/>
      <c r="B55" s="146" t="n">
        <v>1</v>
      </c>
      <c r="C55" s="279" t="n"/>
      <c r="D55" s="263" t="n">
        <v>8</v>
      </c>
      <c r="E55" s="264" t="inlineStr">
        <is>
          <t xml:space="preserve">MALAGUEÑA </t>
        </is>
      </c>
      <c r="F55" s="264" t="inlineStr">
        <is>
          <t xml:space="preserve">CARGUEROS  </t>
        </is>
      </c>
      <c r="G55" s="264" t="n">
        <v>10</v>
      </c>
      <c r="H55" s="264" t="inlineStr">
        <is>
          <t xml:space="preserve">DUMAR ANGARITA </t>
        </is>
      </c>
      <c r="I55" s="264" t="inlineStr">
        <is>
          <t>LQO745</t>
        </is>
      </c>
      <c r="J55" s="265" t="n">
        <v>0.3993055555555556</v>
      </c>
      <c r="K55" s="266" t="n">
        <v>3225</v>
      </c>
      <c r="L55" s="268" t="n"/>
      <c r="M55" s="113" t="n"/>
      <c r="N55" s="113" t="n"/>
      <c r="O55" s="113" t="n"/>
      <c r="P55" s="243" t="n"/>
      <c r="Q55" s="113" t="n"/>
      <c r="R55" s="113" t="n"/>
    </row>
    <row r="56" ht="15.75" customHeight="1">
      <c r="A56" s="113" t="n"/>
      <c r="B56" s="146" t="n">
        <v>1</v>
      </c>
      <c r="C56" s="280" t="n"/>
      <c r="D56" s="270" t="n">
        <v>9</v>
      </c>
      <c r="E56" s="271" t="inlineStr">
        <is>
          <t xml:space="preserve">MALAGUEÑA </t>
        </is>
      </c>
      <c r="F56" s="271" t="inlineStr">
        <is>
          <t xml:space="preserve">CARGUEROS  </t>
        </is>
      </c>
      <c r="G56" s="271" t="n">
        <v>10</v>
      </c>
      <c r="H56" s="271" t="inlineStr">
        <is>
          <t>HENRY ROMERO</t>
        </is>
      </c>
      <c r="I56" s="271" t="inlineStr">
        <is>
          <t>EQY781</t>
        </is>
      </c>
      <c r="J56" s="272" t="n">
        <v>0.4513888888888889</v>
      </c>
      <c r="K56" s="286" t="n">
        <v>3225</v>
      </c>
      <c r="L56" s="287">
        <f>SUM(K48:K56)</f>
        <v/>
      </c>
      <c r="M56" s="113" t="n"/>
      <c r="N56" s="113" t="n"/>
      <c r="O56" s="113" t="n"/>
      <c r="P56" s="243" t="n"/>
      <c r="Q56" s="113" t="n"/>
      <c r="R56" s="113" t="n"/>
    </row>
    <row r="57" ht="15.75" customHeight="1">
      <c r="A57" s="113" t="n"/>
      <c r="B57" s="146" t="n">
        <v>1</v>
      </c>
      <c r="C57" s="256" t="n">
        <v>45814</v>
      </c>
      <c r="D57" s="257" t="n">
        <v>1</v>
      </c>
      <c r="E57" s="258" t="inlineStr">
        <is>
          <t xml:space="preserve">MALAGUEÑA </t>
        </is>
      </c>
      <c r="F57" s="258" t="inlineStr">
        <is>
          <t>CARGUEROS</t>
        </is>
      </c>
      <c r="G57" s="258" t="n">
        <v>10</v>
      </c>
      <c r="H57" s="258" t="inlineStr">
        <is>
          <t xml:space="preserve">DUMAR ANGARITA </t>
        </is>
      </c>
      <c r="I57" s="258" t="inlineStr">
        <is>
          <t>LQO745</t>
        </is>
      </c>
      <c r="J57" s="259" t="n">
        <v>0.03819444444444445</v>
      </c>
      <c r="K57" s="260" t="n">
        <v>2775</v>
      </c>
      <c r="L57" s="261" t="n"/>
      <c r="M57" s="113" t="n"/>
      <c r="N57" s="113" t="n"/>
      <c r="O57" s="113" t="n"/>
      <c r="P57" s="243" t="n"/>
      <c r="Q57" s="113" t="n"/>
      <c r="R57" s="113" t="n"/>
    </row>
    <row r="58" ht="15.75" customHeight="1">
      <c r="A58" s="113" t="n"/>
      <c r="B58" s="146" t="n">
        <v>1</v>
      </c>
      <c r="C58" s="262" t="n"/>
      <c r="D58" s="263" t="n">
        <v>2</v>
      </c>
      <c r="E58" s="264" t="inlineStr">
        <is>
          <t xml:space="preserve">MALAGUEÑA </t>
        </is>
      </c>
      <c r="F58" s="264" t="inlineStr">
        <is>
          <t>CARGUEROS</t>
        </is>
      </c>
      <c r="G58" s="264" t="n">
        <v>10</v>
      </c>
      <c r="H58" s="264" t="inlineStr">
        <is>
          <t xml:space="preserve">FERNANDO OYUELA </t>
        </is>
      </c>
      <c r="I58" s="264" t="inlineStr">
        <is>
          <t>EQY777</t>
        </is>
      </c>
      <c r="J58" s="265" t="n">
        <v>0.07291666666666667</v>
      </c>
      <c r="K58" s="266" t="n">
        <v>2775</v>
      </c>
      <c r="L58" s="267" t="n"/>
      <c r="M58" s="113" t="n"/>
      <c r="N58" s="113" t="n"/>
      <c r="O58" s="113" t="n"/>
      <c r="P58" s="243" t="n"/>
      <c r="Q58" s="113" t="n"/>
      <c r="R58" s="113" t="n"/>
    </row>
    <row r="59" ht="15.75" customHeight="1">
      <c r="A59" s="113" t="n"/>
      <c r="B59" s="146" t="n">
        <v>1</v>
      </c>
      <c r="C59" s="262" t="n"/>
      <c r="D59" s="263" t="n">
        <v>3</v>
      </c>
      <c r="E59" s="264" t="inlineStr">
        <is>
          <t xml:space="preserve">MALAGUEÑA </t>
        </is>
      </c>
      <c r="F59" s="264">
        <f>+F58</f>
        <v/>
      </c>
      <c r="G59" s="264" t="n">
        <v>10</v>
      </c>
      <c r="H59" s="264" t="inlineStr">
        <is>
          <t xml:space="preserve">ALEX GOMEZ </t>
        </is>
      </c>
      <c r="I59" s="264" t="inlineStr">
        <is>
          <t>TLO881</t>
        </is>
      </c>
      <c r="J59" s="265" t="n">
        <v>0.1125</v>
      </c>
      <c r="K59" s="266" t="n">
        <v>2775</v>
      </c>
      <c r="L59" s="267" t="n"/>
      <c r="M59" s="113" t="n"/>
      <c r="N59" s="113" t="n"/>
      <c r="O59" s="113" t="n"/>
      <c r="P59" s="243" t="n"/>
      <c r="Q59" s="113" t="n"/>
      <c r="R59" s="113" t="n"/>
    </row>
    <row r="60" ht="15.75" customHeight="1">
      <c r="A60" s="113" t="n"/>
      <c r="B60" s="146" t="n">
        <v>1</v>
      </c>
      <c r="C60" s="262" t="n"/>
      <c r="D60" s="263" t="n">
        <v>4</v>
      </c>
      <c r="E60" s="264" t="inlineStr">
        <is>
          <t xml:space="preserve">MALAGUEÑA </t>
        </is>
      </c>
      <c r="F60" s="264">
        <f>+F59</f>
        <v/>
      </c>
      <c r="G60" s="264" t="n">
        <v>10</v>
      </c>
      <c r="H60" s="264" t="inlineStr">
        <is>
          <t>MANUEL QUITIAN</t>
        </is>
      </c>
      <c r="I60" s="264" t="inlineStr">
        <is>
          <t>KUS176</t>
        </is>
      </c>
      <c r="J60" s="265" t="n">
        <v>0.15625</v>
      </c>
      <c r="K60" s="266" t="n">
        <v>2692</v>
      </c>
      <c r="L60" s="267" t="n"/>
      <c r="M60" s="113" t="n"/>
      <c r="N60" s="113" t="n"/>
      <c r="O60" s="113" t="n"/>
      <c r="P60" s="243" t="n"/>
      <c r="Q60" s="113" t="n"/>
      <c r="R60" s="113" t="n"/>
    </row>
    <row r="61" ht="15.75" customHeight="1">
      <c r="A61" s="113" t="n"/>
      <c r="B61" s="146" t="n">
        <v>1</v>
      </c>
      <c r="C61" s="262" t="n"/>
      <c r="D61" s="263" t="n">
        <v>5</v>
      </c>
      <c r="E61" s="264" t="inlineStr">
        <is>
          <t xml:space="preserve">MALAGUEÑA </t>
        </is>
      </c>
      <c r="F61" s="264">
        <f>+F60</f>
        <v/>
      </c>
      <c r="G61" s="264" t="n">
        <v>10</v>
      </c>
      <c r="H61" s="264" t="inlineStr">
        <is>
          <t>HENRY ROMERO</t>
        </is>
      </c>
      <c r="I61" s="264" t="inlineStr">
        <is>
          <t>EQY781</t>
        </is>
      </c>
      <c r="J61" s="265" t="n">
        <v>0.2083333333333333</v>
      </c>
      <c r="K61" s="266" t="n">
        <v>3200</v>
      </c>
      <c r="L61" s="267" t="n"/>
      <c r="M61" s="113" t="n"/>
      <c r="N61" s="113" t="n"/>
      <c r="O61" s="113" t="n"/>
      <c r="P61" s="243" t="n"/>
      <c r="Q61" s="113" t="n"/>
      <c r="R61" s="113" t="n"/>
    </row>
    <row r="62" ht="15.75" customHeight="1">
      <c r="A62" s="113" t="n"/>
      <c r="B62" s="146" t="n">
        <v>1</v>
      </c>
      <c r="C62" s="262" t="n"/>
      <c r="D62" s="263" t="n">
        <v>6</v>
      </c>
      <c r="E62" s="264" t="inlineStr">
        <is>
          <t xml:space="preserve">SAN JOSE </t>
        </is>
      </c>
      <c r="F62" s="264">
        <f>+F61</f>
        <v/>
      </c>
      <c r="G62" s="264" t="n">
        <v>10</v>
      </c>
      <c r="H62" s="264" t="inlineStr">
        <is>
          <t xml:space="preserve">EDUAN CAVIEDEZ </t>
        </is>
      </c>
      <c r="I62" s="264" t="inlineStr">
        <is>
          <t>EQY779</t>
        </is>
      </c>
      <c r="J62" s="265" t="n">
        <v>0.3090277777777778</v>
      </c>
      <c r="K62" s="266" t="n">
        <v>3500</v>
      </c>
      <c r="L62" s="268" t="n"/>
      <c r="M62" s="113" t="n"/>
      <c r="N62" s="113" t="n"/>
      <c r="O62" s="113" t="n"/>
      <c r="P62" s="243" t="n"/>
      <c r="Q62" s="113" t="n"/>
      <c r="R62" s="113" t="n"/>
    </row>
    <row r="63" ht="15.75" customHeight="1">
      <c r="A63" s="113" t="n"/>
      <c r="B63" s="146" t="n">
        <v>1</v>
      </c>
      <c r="C63" s="269" t="n"/>
      <c r="D63" s="270" t="n">
        <v>7</v>
      </c>
      <c r="E63" s="271" t="inlineStr">
        <is>
          <t xml:space="preserve">SAN JOSE </t>
        </is>
      </c>
      <c r="F63" s="264">
        <f>+F62</f>
        <v/>
      </c>
      <c r="G63" s="271" t="n">
        <v>10</v>
      </c>
      <c r="H63" s="271" t="inlineStr">
        <is>
          <t xml:space="preserve">JAIRO CUBILLOS </t>
        </is>
      </c>
      <c r="I63" s="271" t="inlineStr">
        <is>
          <t>tlo884</t>
        </is>
      </c>
      <c r="J63" s="272" t="n">
        <v>0.3416666666666667</v>
      </c>
      <c r="K63" s="286" t="n">
        <v>3500</v>
      </c>
      <c r="L63" s="287">
        <f>SUM(K57:K63)</f>
        <v/>
      </c>
      <c r="M63" s="113" t="n"/>
      <c r="N63" s="113" t="n"/>
      <c r="O63" s="113" t="n"/>
      <c r="P63" s="243" t="n"/>
      <c r="Q63" s="113" t="n"/>
      <c r="R63" s="113" t="n"/>
    </row>
    <row r="64" ht="15.75" customHeight="1">
      <c r="A64" s="113" t="n"/>
      <c r="B64" s="146" t="n">
        <v>1</v>
      </c>
      <c r="C64" s="256" t="n">
        <v>45815</v>
      </c>
      <c r="D64" s="288" t="n">
        <v>1</v>
      </c>
      <c r="E64" s="258" t="inlineStr">
        <is>
          <t xml:space="preserve">MALAGUEÑA </t>
        </is>
      </c>
      <c r="F64" s="258" t="inlineStr">
        <is>
          <t>CARGUEROS</t>
        </is>
      </c>
      <c r="G64" s="258" t="n">
        <v>10</v>
      </c>
      <c r="H64" s="258" t="inlineStr">
        <is>
          <t xml:space="preserve">FERNANDO OYUELA </t>
        </is>
      </c>
      <c r="I64" s="258" t="inlineStr">
        <is>
          <t>EQY778</t>
        </is>
      </c>
      <c r="J64" s="259" t="n">
        <v>0.05555555555555555</v>
      </c>
      <c r="K64" s="260" t="n">
        <v>3442</v>
      </c>
      <c r="L64" s="275" t="n"/>
      <c r="M64" s="113" t="n"/>
      <c r="N64" s="113" t="n"/>
      <c r="O64" s="113" t="n"/>
      <c r="P64" s="243" t="n"/>
      <c r="Q64" s="113" t="n"/>
      <c r="R64" s="113" t="n"/>
    </row>
    <row r="65" ht="15.75" customHeight="1">
      <c r="A65" s="113" t="n"/>
      <c r="B65" s="146" t="n">
        <v>1</v>
      </c>
      <c r="C65" s="262" t="n"/>
      <c r="D65" s="289" t="n">
        <v>2</v>
      </c>
      <c r="E65" s="264" t="inlineStr">
        <is>
          <t xml:space="preserve">MALAGUEÑA </t>
        </is>
      </c>
      <c r="F65" s="264" t="inlineStr">
        <is>
          <t>CARGUEROS</t>
        </is>
      </c>
      <c r="G65" s="264" t="n">
        <v>10</v>
      </c>
      <c r="H65" s="264" t="inlineStr">
        <is>
          <t xml:space="preserve">FABIO ALDANA </t>
        </is>
      </c>
      <c r="I65" s="264" t="inlineStr">
        <is>
          <t>TLO882</t>
        </is>
      </c>
      <c r="J65" s="265" t="n">
        <v>0.1090277777777778</v>
      </c>
      <c r="K65" s="266" t="n">
        <v>3442</v>
      </c>
      <c r="L65" s="267" t="n"/>
      <c r="M65" s="113" t="n"/>
      <c r="N65" s="113" t="n"/>
      <c r="O65" s="113" t="n"/>
      <c r="P65" s="243" t="n"/>
      <c r="Q65" s="113" t="n"/>
      <c r="R65" s="113" t="n"/>
    </row>
    <row r="66" ht="15.75" customHeight="1">
      <c r="A66" s="113" t="n"/>
      <c r="B66" s="146" t="n">
        <v>1</v>
      </c>
      <c r="C66" s="262" t="n"/>
      <c r="D66" s="289" t="n">
        <v>3</v>
      </c>
      <c r="E66" s="264" t="inlineStr">
        <is>
          <t xml:space="preserve">MALAGUEÑA </t>
        </is>
      </c>
      <c r="F66" s="264" t="inlineStr">
        <is>
          <t>CARGUEROS</t>
        </is>
      </c>
      <c r="G66" s="264" t="n">
        <v>10</v>
      </c>
      <c r="H66" s="264" t="inlineStr">
        <is>
          <t xml:space="preserve">JOSE HERRERA </t>
        </is>
      </c>
      <c r="I66" s="264" t="inlineStr">
        <is>
          <t>GZZ673</t>
        </is>
      </c>
      <c r="J66" s="265" t="n">
        <v>0.15625</v>
      </c>
      <c r="K66" s="266" t="n">
        <v>3442</v>
      </c>
      <c r="L66" s="267" t="n"/>
      <c r="M66" s="113" t="n"/>
      <c r="N66" s="113" t="n"/>
      <c r="O66" s="113" t="n"/>
      <c r="P66" s="243" t="n"/>
      <c r="Q66" s="113" t="n"/>
      <c r="R66" s="113" t="n"/>
    </row>
    <row r="67" ht="15.75" customHeight="1">
      <c r="A67" s="113" t="n"/>
      <c r="B67" s="146" t="n">
        <v>1</v>
      </c>
      <c r="C67" s="262" t="n"/>
      <c r="D67" s="289" t="n">
        <v>4</v>
      </c>
      <c r="E67" s="264" t="inlineStr">
        <is>
          <t xml:space="preserve">MALAGUEÑA </t>
        </is>
      </c>
      <c r="F67" s="264" t="inlineStr">
        <is>
          <t>CARGUEROS</t>
        </is>
      </c>
      <c r="G67" s="264" t="n">
        <v>10</v>
      </c>
      <c r="H67" s="264" t="inlineStr">
        <is>
          <t xml:space="preserve">JOSE SOLER </t>
        </is>
      </c>
      <c r="I67" s="264" t="inlineStr">
        <is>
          <t>EQY776</t>
        </is>
      </c>
      <c r="J67" s="265" t="n">
        <v>0.2013888888888889</v>
      </c>
      <c r="K67" s="266" t="n">
        <v>3138</v>
      </c>
      <c r="L67" s="267" t="n"/>
      <c r="M67" s="113" t="n"/>
      <c r="N67" s="113" t="n"/>
      <c r="O67" s="113" t="n"/>
      <c r="P67" s="243" t="n"/>
      <c r="Q67" s="113" t="n"/>
      <c r="R67" s="113" t="n"/>
    </row>
    <row r="68" ht="15.75" customHeight="1">
      <c r="A68" s="113" t="n"/>
      <c r="B68" s="146" t="n">
        <v>1</v>
      </c>
      <c r="C68" s="262" t="n"/>
      <c r="D68" s="289" t="n">
        <v>5</v>
      </c>
      <c r="E68" s="264" t="inlineStr">
        <is>
          <t xml:space="preserve">SAN JOSE </t>
        </is>
      </c>
      <c r="F68" s="264" t="inlineStr">
        <is>
          <t>ABONEROS</t>
        </is>
      </c>
      <c r="G68" s="264" t="n">
        <v>10</v>
      </c>
      <c r="H68" s="264" t="inlineStr">
        <is>
          <t xml:space="preserve">DUMAR ANGARITA </t>
        </is>
      </c>
      <c r="I68" s="264" t="inlineStr">
        <is>
          <t>LQO745</t>
        </is>
      </c>
      <c r="J68" s="265" t="n">
        <v>0.2236111111111111</v>
      </c>
      <c r="K68" s="266" t="n">
        <v>3605</v>
      </c>
      <c r="L68" s="277" t="n"/>
      <c r="M68" s="113" t="n"/>
      <c r="N68" s="113" t="n"/>
      <c r="O68" s="113" t="n"/>
      <c r="P68" s="243" t="n"/>
      <c r="Q68" s="113" t="n"/>
      <c r="R68" s="113" t="n"/>
    </row>
    <row r="69" ht="15.75" customHeight="1">
      <c r="A69" s="113" t="n"/>
      <c r="B69" s="146" t="n">
        <v>1</v>
      </c>
      <c r="C69" s="269" t="n"/>
      <c r="D69" s="290" t="n">
        <v>6</v>
      </c>
      <c r="E69" s="271" t="inlineStr">
        <is>
          <t xml:space="preserve">SAN JOSE </t>
        </is>
      </c>
      <c r="F69" s="271" t="inlineStr">
        <is>
          <t>ABONEROS</t>
        </is>
      </c>
      <c r="G69" s="271" t="n">
        <v>10</v>
      </c>
      <c r="H69" s="271" t="inlineStr">
        <is>
          <t xml:space="preserve">FERNANDO OYUELA </t>
        </is>
      </c>
      <c r="I69" s="271" t="inlineStr">
        <is>
          <t>EQY778</t>
        </is>
      </c>
      <c r="J69" s="272" t="n">
        <v>0.2784722222222222</v>
      </c>
      <c r="K69" s="273" t="n">
        <v>3605</v>
      </c>
      <c r="L69" s="274">
        <f>SUM(K64:K69)</f>
        <v/>
      </c>
      <c r="M69" s="113" t="n"/>
      <c r="N69" s="113" t="n"/>
      <c r="O69" s="113" t="n"/>
      <c r="P69" s="243" t="n"/>
      <c r="Q69" s="113" t="n"/>
      <c r="R69" s="113" t="n"/>
    </row>
    <row r="70" ht="15.75" customHeight="1">
      <c r="A70" s="113" t="n"/>
      <c r="B70" s="146" t="n">
        <v>2</v>
      </c>
      <c r="C70" s="291" t="n">
        <v>45817</v>
      </c>
      <c r="D70" s="257" t="n">
        <v>1</v>
      </c>
      <c r="E70" s="258" t="inlineStr">
        <is>
          <t xml:space="preserve">SAN JOSE </t>
        </is>
      </c>
      <c r="F70" s="258" t="inlineStr">
        <is>
          <t>CARGUEROS</t>
        </is>
      </c>
      <c r="G70" s="258" t="n">
        <v>11</v>
      </c>
      <c r="H70" s="258" t="inlineStr">
        <is>
          <t xml:space="preserve">FERNANDO OYUELA </t>
        </is>
      </c>
      <c r="I70" s="258" t="inlineStr">
        <is>
          <t>EQY778</t>
        </is>
      </c>
      <c r="J70" s="259" t="n">
        <v>0.1284722222222222</v>
      </c>
      <c r="K70" s="260" t="n">
        <v>3082</v>
      </c>
      <c r="L70" s="292" t="n"/>
      <c r="M70" s="113" t="n"/>
      <c r="N70" s="113" t="n"/>
      <c r="O70" s="113" t="n"/>
      <c r="P70" s="243" t="n"/>
      <c r="Q70" s="113" t="n"/>
      <c r="R70" s="113" t="n"/>
    </row>
    <row r="71" ht="15.75" customHeight="1">
      <c r="A71" s="113" t="n"/>
      <c r="B71" s="146" t="n">
        <v>2</v>
      </c>
      <c r="C71" s="262" t="n"/>
      <c r="D71" s="276" t="n">
        <v>2</v>
      </c>
      <c r="E71" s="293" t="inlineStr">
        <is>
          <t xml:space="preserve">SAN JOSE </t>
        </is>
      </c>
      <c r="F71" s="293" t="inlineStr">
        <is>
          <t>CARGUEROS</t>
        </is>
      </c>
      <c r="G71" s="293" t="n">
        <v>11</v>
      </c>
      <c r="H71" s="293" t="inlineStr">
        <is>
          <t xml:space="preserve">JOSE SOLER </t>
        </is>
      </c>
      <c r="I71" s="293" t="inlineStr">
        <is>
          <t>EQY776</t>
        </is>
      </c>
      <c r="J71" s="294" t="n">
        <v>0.1701388888888889</v>
      </c>
      <c r="K71" s="295" t="n">
        <v>3564</v>
      </c>
      <c r="L71" s="296" t="n"/>
      <c r="M71" s="113" t="n"/>
      <c r="N71" s="113" t="n"/>
      <c r="O71" s="113" t="n"/>
      <c r="P71" s="243" t="n"/>
      <c r="Q71" s="113" t="n"/>
      <c r="R71" s="113" t="n"/>
    </row>
    <row r="72" ht="15.75" customHeight="1">
      <c r="A72" s="113" t="n"/>
      <c r="B72" s="146" t="n">
        <v>2</v>
      </c>
      <c r="C72" s="262" t="n"/>
      <c r="D72" s="276" t="n">
        <v>3</v>
      </c>
      <c r="E72" s="293" t="inlineStr">
        <is>
          <t xml:space="preserve">SAN JOSE </t>
        </is>
      </c>
      <c r="F72" s="293" t="inlineStr">
        <is>
          <t>CARGUEROS</t>
        </is>
      </c>
      <c r="G72" s="293" t="n">
        <v>11</v>
      </c>
      <c r="H72" s="293" t="inlineStr">
        <is>
          <t xml:space="preserve">DUMAR ANGARITA </t>
        </is>
      </c>
      <c r="I72" s="293" t="inlineStr">
        <is>
          <t>LQO745</t>
        </is>
      </c>
      <c r="J72" s="294" t="n">
        <v>0.2152777777777778</v>
      </c>
      <c r="K72" s="295" t="n">
        <v>3564</v>
      </c>
      <c r="L72" s="296" t="n"/>
      <c r="M72" s="113" t="n"/>
      <c r="N72" s="113" t="n"/>
      <c r="O72" s="113" t="n"/>
      <c r="P72" s="243" t="n"/>
      <c r="Q72" s="113" t="n"/>
      <c r="R72" s="113" t="n"/>
    </row>
    <row r="73" ht="15.75" customHeight="1">
      <c r="A73" s="113" t="n"/>
      <c r="B73" s="146" t="n">
        <v>2</v>
      </c>
      <c r="C73" s="262" t="n"/>
      <c r="D73" s="276" t="n">
        <v>4</v>
      </c>
      <c r="E73" s="293" t="inlineStr">
        <is>
          <t xml:space="preserve">SAN JOSE </t>
        </is>
      </c>
      <c r="F73" s="293" t="inlineStr">
        <is>
          <t>CARGUEROS</t>
        </is>
      </c>
      <c r="G73" s="293" t="n">
        <v>11</v>
      </c>
      <c r="H73" s="293" t="inlineStr">
        <is>
          <t xml:space="preserve">FERNANDO OYUELA </t>
        </is>
      </c>
      <c r="I73" s="293" t="inlineStr">
        <is>
          <t>EQY778</t>
        </is>
      </c>
      <c r="J73" s="294" t="n">
        <v>0.3090277777777778</v>
      </c>
      <c r="K73" s="295" t="n">
        <v>3564</v>
      </c>
      <c r="L73" s="296" t="n"/>
      <c r="M73" s="113" t="n"/>
      <c r="N73" s="113" t="n"/>
      <c r="O73" s="113" t="n"/>
      <c r="P73" s="243" t="n"/>
      <c r="Q73" s="113" t="n"/>
      <c r="R73" s="113" t="n"/>
    </row>
    <row r="74" ht="15.75" customHeight="1">
      <c r="A74" s="113" t="n"/>
      <c r="B74" s="146" t="n">
        <v>2</v>
      </c>
      <c r="C74" s="262" t="n"/>
      <c r="D74" s="276" t="n">
        <v>5</v>
      </c>
      <c r="E74" s="293" t="inlineStr">
        <is>
          <t xml:space="preserve">SAN JOSE </t>
        </is>
      </c>
      <c r="F74" s="293" t="inlineStr">
        <is>
          <t>CARGUEROS</t>
        </is>
      </c>
      <c r="G74" s="293" t="n">
        <v>11</v>
      </c>
      <c r="H74" s="293" t="inlineStr">
        <is>
          <t xml:space="preserve">JOSE SOLER </t>
        </is>
      </c>
      <c r="I74" s="293" t="inlineStr">
        <is>
          <t>EQY776</t>
        </is>
      </c>
      <c r="J74" s="294" t="n">
        <v>0.3388888888888889</v>
      </c>
      <c r="K74" s="295" t="n">
        <v>3444</v>
      </c>
      <c r="L74" s="296" t="n"/>
      <c r="M74" s="113" t="n"/>
      <c r="N74" s="113" t="n"/>
      <c r="O74" s="113" t="n"/>
      <c r="P74" s="243" t="n"/>
      <c r="Q74" s="113" t="n"/>
      <c r="R74" s="113" t="n"/>
    </row>
    <row r="75" ht="15.75" customHeight="1">
      <c r="A75" s="113" t="n"/>
      <c r="B75" s="146" t="n">
        <v>2</v>
      </c>
      <c r="C75" s="262" t="n"/>
      <c r="D75" s="276" t="n">
        <v>6</v>
      </c>
      <c r="E75" s="293" t="inlineStr">
        <is>
          <t xml:space="preserve">SAN JOSE </t>
        </is>
      </c>
      <c r="F75" s="293" t="inlineStr">
        <is>
          <t>CARGUEROS</t>
        </is>
      </c>
      <c r="G75" s="293" t="n">
        <v>11</v>
      </c>
      <c r="H75" s="293" t="inlineStr">
        <is>
          <t xml:space="preserve">DUMAR ANGARITA </t>
        </is>
      </c>
      <c r="I75" s="293" t="inlineStr">
        <is>
          <t>LQO745</t>
        </is>
      </c>
      <c r="J75" s="294" t="n">
        <v>0.3784722222222222</v>
      </c>
      <c r="K75" s="295" t="n">
        <v>3444</v>
      </c>
      <c r="L75" s="296" t="n"/>
      <c r="M75" s="113" t="n"/>
      <c r="N75" s="113" t="n"/>
      <c r="O75" s="113" t="n"/>
      <c r="P75" s="243" t="n"/>
      <c r="Q75" s="113" t="n"/>
      <c r="R75" s="113" t="n"/>
    </row>
    <row r="76" ht="15.75" customHeight="1">
      <c r="A76" s="113" t="n"/>
      <c r="B76" s="146" t="n">
        <v>2</v>
      </c>
      <c r="C76" s="262" t="n"/>
      <c r="D76" s="276" t="n">
        <v>7</v>
      </c>
      <c r="E76" s="293" t="inlineStr">
        <is>
          <t xml:space="preserve">SAN JOSE </t>
        </is>
      </c>
      <c r="F76" s="293" t="inlineStr">
        <is>
          <t>CARGUEROS</t>
        </is>
      </c>
      <c r="G76" s="293" t="n">
        <v>11</v>
      </c>
      <c r="H76" s="293" t="inlineStr">
        <is>
          <t xml:space="preserve">FERNANDO OYUELA </t>
        </is>
      </c>
      <c r="I76" s="293" t="inlineStr">
        <is>
          <t>EQY778</t>
        </is>
      </c>
      <c r="J76" s="294" t="n">
        <v>0.4166666666666667</v>
      </c>
      <c r="K76" s="295" t="n">
        <v>3444</v>
      </c>
      <c r="L76" s="296" t="n"/>
      <c r="M76" s="113" t="n"/>
      <c r="N76" s="113" t="n"/>
      <c r="O76" s="113" t="n"/>
      <c r="P76" s="243" t="n"/>
      <c r="Q76" s="113" t="n"/>
      <c r="R76" s="113" t="n"/>
    </row>
    <row r="77" ht="15.75" customHeight="1">
      <c r="A77" s="113" t="n"/>
      <c r="B77" s="146" t="n">
        <v>2</v>
      </c>
      <c r="C77" s="262" t="n"/>
      <c r="D77" s="276" t="n">
        <v>8</v>
      </c>
      <c r="E77" s="293" t="inlineStr">
        <is>
          <t xml:space="preserve">SAN JOSE </t>
        </is>
      </c>
      <c r="F77" s="293" t="inlineStr">
        <is>
          <t>CARGUEROS</t>
        </is>
      </c>
      <c r="G77" s="293" t="n">
        <v>11</v>
      </c>
      <c r="H77" s="293" t="inlineStr">
        <is>
          <t xml:space="preserve">JOSE SOLER </t>
        </is>
      </c>
      <c r="I77" s="293" t="inlineStr">
        <is>
          <t>EQY776</t>
        </is>
      </c>
      <c r="J77" s="294" t="n">
        <v>0.5</v>
      </c>
      <c r="K77" s="295" t="n">
        <v>3500</v>
      </c>
      <c r="L77" s="297" t="n"/>
      <c r="M77" s="113" t="n"/>
      <c r="N77" s="113" t="n"/>
      <c r="O77" s="113" t="n"/>
      <c r="P77" s="243" t="n"/>
      <c r="Q77" s="113" t="n"/>
      <c r="R77" s="113" t="n"/>
    </row>
    <row r="78" ht="15.75" customHeight="1">
      <c r="A78" s="113" t="n"/>
      <c r="B78" s="146" t="n">
        <v>2</v>
      </c>
      <c r="C78" s="269" t="n"/>
      <c r="D78" s="298" t="n">
        <v>9</v>
      </c>
      <c r="E78" s="299" t="inlineStr">
        <is>
          <t xml:space="preserve">SAN JOSE </t>
        </is>
      </c>
      <c r="F78" s="299" t="inlineStr">
        <is>
          <t>CARGUEROS</t>
        </is>
      </c>
      <c r="G78" s="299" t="n">
        <v>11</v>
      </c>
      <c r="H78" s="299" t="inlineStr">
        <is>
          <t xml:space="preserve">JAIRO CUBILLOS </t>
        </is>
      </c>
      <c r="I78" s="299" t="inlineStr">
        <is>
          <t>TLO884</t>
        </is>
      </c>
      <c r="J78" s="300" t="n">
        <v>0.4583333333333333</v>
      </c>
      <c r="K78" s="301" t="n">
        <v>3444</v>
      </c>
      <c r="L78" s="274">
        <f>SUM(K70:K78)</f>
        <v/>
      </c>
      <c r="M78" s="113" t="n"/>
      <c r="N78" s="113" t="n"/>
      <c r="O78" s="113" t="n"/>
      <c r="P78" s="243" t="n"/>
      <c r="Q78" s="113" t="n"/>
      <c r="R78" s="113" t="n"/>
    </row>
    <row r="79" ht="15.75" customHeight="1">
      <c r="A79" s="113" t="n"/>
      <c r="B79" s="146" t="n">
        <v>2</v>
      </c>
      <c r="C79" s="302" t="n">
        <v>45818</v>
      </c>
      <c r="D79" s="288" t="n">
        <v>1</v>
      </c>
      <c r="E79" s="258" t="inlineStr">
        <is>
          <t xml:space="preserve">MALAGUEÑA </t>
        </is>
      </c>
      <c r="F79" s="258" t="inlineStr">
        <is>
          <t xml:space="preserve">CARGUEROS  </t>
        </is>
      </c>
      <c r="G79" s="258" t="n">
        <v>11</v>
      </c>
      <c r="H79" s="258" t="inlineStr">
        <is>
          <t xml:space="preserve">MIGUEL HERRERA </t>
        </is>
      </c>
      <c r="I79" s="258" t="inlineStr">
        <is>
          <t>WFI354</t>
        </is>
      </c>
      <c r="J79" s="259" t="n">
        <v>0.1680555555555556</v>
      </c>
      <c r="K79" s="260" t="n">
        <v>2950</v>
      </c>
      <c r="L79" s="292" t="n"/>
      <c r="M79" s="113" t="n"/>
      <c r="N79" s="113" t="n"/>
      <c r="O79" s="113" t="n"/>
      <c r="P79" s="243" t="n"/>
      <c r="Q79" s="113" t="n"/>
      <c r="R79" s="113" t="n"/>
    </row>
    <row r="80" ht="15.75" customHeight="1">
      <c r="A80" s="113" t="n"/>
      <c r="B80" s="146" t="n">
        <v>2</v>
      </c>
      <c r="C80" s="262" t="n"/>
      <c r="D80" s="303" t="n">
        <v>2</v>
      </c>
      <c r="E80" s="293" t="inlineStr">
        <is>
          <t xml:space="preserve">MALAGUEÑA </t>
        </is>
      </c>
      <c r="F80" s="293" t="inlineStr">
        <is>
          <t xml:space="preserve">CARGUEROS  </t>
        </is>
      </c>
      <c r="G80" s="293" t="n">
        <v>11</v>
      </c>
      <c r="H80" s="293" t="inlineStr">
        <is>
          <t xml:space="preserve">JAVIER GARZON </t>
        </is>
      </c>
      <c r="I80" s="293" t="inlineStr">
        <is>
          <t>WFI418</t>
        </is>
      </c>
      <c r="J80" s="294" t="n">
        <v>0.2048611111111111</v>
      </c>
      <c r="K80" s="295" t="n">
        <v>2950</v>
      </c>
      <c r="L80" s="296" t="n"/>
      <c r="M80" s="113" t="n"/>
      <c r="N80" s="113" t="n"/>
      <c r="O80" s="113" t="n"/>
      <c r="P80" s="243" t="n"/>
      <c r="Q80" s="113" t="n"/>
      <c r="R80" s="113" t="n"/>
    </row>
    <row r="81" ht="15.75" customHeight="1">
      <c r="A81" s="113" t="n"/>
      <c r="B81" s="146" t="n">
        <v>2</v>
      </c>
      <c r="C81" s="262" t="n"/>
      <c r="D81" s="303" t="n">
        <v>3</v>
      </c>
      <c r="E81" s="293" t="inlineStr">
        <is>
          <t xml:space="preserve">MALAGUEÑA </t>
        </is>
      </c>
      <c r="F81" s="293" t="inlineStr">
        <is>
          <t xml:space="preserve">CARGUEROS  </t>
        </is>
      </c>
      <c r="G81" s="293" t="n">
        <v>11</v>
      </c>
      <c r="H81" s="293" t="inlineStr">
        <is>
          <t xml:space="preserve">MANUEL QUITIAN </t>
        </is>
      </c>
      <c r="I81" s="293" t="inlineStr">
        <is>
          <t>KUS176</t>
        </is>
      </c>
      <c r="J81" s="294" t="n">
        <v>0.24375</v>
      </c>
      <c r="K81" s="295" t="n">
        <v>2950</v>
      </c>
      <c r="L81" s="296" t="n"/>
      <c r="M81" s="113" t="n"/>
      <c r="N81" s="113" t="n"/>
      <c r="O81" s="113" t="n"/>
      <c r="P81" s="243" t="n"/>
      <c r="Q81" s="113" t="n"/>
      <c r="R81" s="113" t="n"/>
    </row>
    <row r="82" ht="15.75" customHeight="1">
      <c r="A82" s="113" t="n"/>
      <c r="B82" s="146" t="n">
        <v>2</v>
      </c>
      <c r="C82" s="262" t="n"/>
      <c r="D82" s="303" t="n">
        <v>4</v>
      </c>
      <c r="E82" s="293" t="inlineStr">
        <is>
          <t xml:space="preserve">MALAGUEÑA </t>
        </is>
      </c>
      <c r="F82" s="293" t="inlineStr">
        <is>
          <t xml:space="preserve">CARGUEROS  </t>
        </is>
      </c>
      <c r="G82" s="293" t="n">
        <v>11</v>
      </c>
      <c r="H82" s="293" t="inlineStr">
        <is>
          <t xml:space="preserve">JAIRO CUBILLOS </t>
        </is>
      </c>
      <c r="I82" s="293" t="inlineStr">
        <is>
          <t>TLO884</t>
        </is>
      </c>
      <c r="J82" s="294" t="n">
        <v>0.28125</v>
      </c>
      <c r="K82" s="295" t="n">
        <v>2950</v>
      </c>
      <c r="L82" s="296" t="n"/>
      <c r="M82" s="113" t="n"/>
      <c r="N82" s="113" t="n"/>
      <c r="O82" s="113" t="n"/>
      <c r="P82" s="243" t="n"/>
      <c r="Q82" s="113" t="n"/>
      <c r="R82" s="113" t="n"/>
    </row>
    <row r="83" ht="15.75" customHeight="1">
      <c r="A83" s="113" t="n"/>
      <c r="B83" s="146" t="n">
        <v>2</v>
      </c>
      <c r="C83" s="262" t="n"/>
      <c r="D83" s="303" t="n">
        <v>5</v>
      </c>
      <c r="E83" s="293" t="inlineStr">
        <is>
          <t xml:space="preserve">MALAGUEÑA </t>
        </is>
      </c>
      <c r="F83" s="293" t="inlineStr">
        <is>
          <t xml:space="preserve">CARGUEROS  </t>
        </is>
      </c>
      <c r="G83" s="293" t="n">
        <v>11</v>
      </c>
      <c r="H83" s="293" t="inlineStr">
        <is>
          <t xml:space="preserve">JHON ARIAS </t>
        </is>
      </c>
      <c r="I83" s="293" t="inlineStr">
        <is>
          <t>TLN181</t>
        </is>
      </c>
      <c r="J83" s="294" t="n">
        <v>0.3333333333333333</v>
      </c>
      <c r="K83" s="295" t="n">
        <v>2880</v>
      </c>
      <c r="L83" s="296" t="n"/>
      <c r="M83" s="113" t="n"/>
      <c r="N83" s="113" t="n"/>
      <c r="O83" s="113" t="n"/>
      <c r="P83" s="243" t="n"/>
      <c r="Q83" s="113" t="n"/>
      <c r="R83" s="113" t="n"/>
    </row>
    <row r="84" ht="15.75" customHeight="1">
      <c r="A84" s="113" t="n"/>
      <c r="B84" s="146" t="n">
        <v>2</v>
      </c>
      <c r="C84" s="262" t="n"/>
      <c r="D84" s="303" t="n">
        <v>6</v>
      </c>
      <c r="E84" s="293" t="inlineStr">
        <is>
          <t xml:space="preserve">MALAGUEÑA </t>
        </is>
      </c>
      <c r="F84" s="293" t="inlineStr">
        <is>
          <t xml:space="preserve">CARGUEROS  </t>
        </is>
      </c>
      <c r="G84" s="293" t="n">
        <v>11</v>
      </c>
      <c r="H84" s="293" t="inlineStr">
        <is>
          <t xml:space="preserve">ALEX GOMEZ </t>
        </is>
      </c>
      <c r="I84" s="293" t="inlineStr">
        <is>
          <t>TLO881</t>
        </is>
      </c>
      <c r="J84" s="294" t="n">
        <v>0.3743055555555556</v>
      </c>
      <c r="K84" s="295" t="n">
        <v>2880</v>
      </c>
      <c r="L84" s="296" t="n"/>
      <c r="M84" s="113" t="n"/>
      <c r="N84" s="113" t="n"/>
      <c r="O84" s="113" t="n"/>
      <c r="P84" s="243" t="n"/>
      <c r="Q84" s="113" t="n"/>
      <c r="R84" s="113" t="n"/>
    </row>
    <row r="85" ht="15.75" customHeight="1">
      <c r="A85" s="113" t="n"/>
      <c r="B85" s="146" t="n">
        <v>2</v>
      </c>
      <c r="C85" s="262" t="n"/>
      <c r="D85" s="303" t="n">
        <v>7</v>
      </c>
      <c r="E85" s="293" t="inlineStr">
        <is>
          <t xml:space="preserve">MALAGUEÑA </t>
        </is>
      </c>
      <c r="F85" s="293" t="inlineStr">
        <is>
          <t xml:space="preserve">CARGUEROS  </t>
        </is>
      </c>
      <c r="G85" s="293" t="n">
        <v>11</v>
      </c>
      <c r="H85" s="293" t="inlineStr">
        <is>
          <t>HENRY ROMERO</t>
        </is>
      </c>
      <c r="I85" s="293" t="inlineStr">
        <is>
          <t>EQY781</t>
        </is>
      </c>
      <c r="J85" s="294" t="n">
        <v>0.4152777777777778</v>
      </c>
      <c r="K85" s="295" t="n">
        <v>2878</v>
      </c>
      <c r="L85" s="296" t="n"/>
      <c r="M85" s="113" t="n"/>
      <c r="N85" s="113" t="n"/>
      <c r="O85" s="113" t="n"/>
      <c r="P85" s="243" t="n"/>
      <c r="Q85" s="113" t="n"/>
      <c r="R85" s="113" t="n"/>
    </row>
    <row r="86" ht="15.75" customHeight="1">
      <c r="A86" s="113" t="n"/>
      <c r="B86" s="146" t="n">
        <v>2</v>
      </c>
      <c r="C86" s="262" t="n"/>
      <c r="D86" s="303" t="n">
        <v>8</v>
      </c>
      <c r="E86" s="293" t="inlineStr">
        <is>
          <t xml:space="preserve">MALAGUEÑA </t>
        </is>
      </c>
      <c r="F86" s="293" t="inlineStr">
        <is>
          <t xml:space="preserve">CARGUEROS  </t>
        </is>
      </c>
      <c r="G86" s="293" t="n">
        <v>11</v>
      </c>
      <c r="H86" s="293" t="inlineStr">
        <is>
          <t xml:space="preserve">ALBERTO HERRERA </t>
        </is>
      </c>
      <c r="I86" s="293" t="inlineStr">
        <is>
          <t>GZZ673</t>
        </is>
      </c>
      <c r="J86" s="294" t="n">
        <v>0.4506944444444445</v>
      </c>
      <c r="K86" s="295" t="n">
        <v>2880</v>
      </c>
      <c r="L86" s="296" t="n"/>
      <c r="M86" s="113" t="n"/>
      <c r="N86" s="113" t="n"/>
      <c r="O86" s="113" t="n"/>
      <c r="P86" s="243" t="n"/>
      <c r="Q86" s="113" t="n"/>
      <c r="R86" s="113" t="n"/>
    </row>
    <row r="87" ht="15.75" customHeight="1">
      <c r="A87" s="113" t="n"/>
      <c r="B87" s="146" t="n">
        <v>2</v>
      </c>
      <c r="C87" s="262" t="n"/>
      <c r="D87" s="303" t="n">
        <v>9</v>
      </c>
      <c r="E87" s="293" t="inlineStr">
        <is>
          <t xml:space="preserve">MALAGUEÑA </t>
        </is>
      </c>
      <c r="F87" s="293" t="inlineStr">
        <is>
          <t xml:space="preserve">CARGUEROS  </t>
        </is>
      </c>
      <c r="G87" s="293" t="n">
        <v>11</v>
      </c>
      <c r="H87" s="293" t="inlineStr">
        <is>
          <t xml:space="preserve">DUMAR ANGARITA </t>
        </is>
      </c>
      <c r="I87" s="293" t="inlineStr">
        <is>
          <t>LQO745</t>
        </is>
      </c>
      <c r="J87" s="294" t="n">
        <v>0.5166666666666667</v>
      </c>
      <c r="K87" s="295" t="n">
        <v>2878</v>
      </c>
      <c r="L87" s="297" t="n"/>
      <c r="M87" s="113" t="n"/>
      <c r="N87" s="113" t="n"/>
      <c r="O87" s="113" t="n"/>
      <c r="P87" s="243" t="n"/>
      <c r="Q87" s="113" t="n"/>
      <c r="R87" s="113" t="n"/>
    </row>
    <row r="88" ht="15.75" customHeight="1">
      <c r="A88" s="113" t="n"/>
      <c r="B88" s="146" t="n">
        <v>2</v>
      </c>
      <c r="C88" s="262" t="n"/>
      <c r="D88" s="304" t="n">
        <v>10</v>
      </c>
      <c r="E88" s="305" t="inlineStr">
        <is>
          <t xml:space="preserve">MALAGUEÑA </t>
        </is>
      </c>
      <c r="F88" s="305" t="inlineStr">
        <is>
          <t xml:space="preserve">CARGUEROS  </t>
        </is>
      </c>
      <c r="G88" s="305" t="n">
        <v>11</v>
      </c>
      <c r="H88" s="305" t="inlineStr">
        <is>
          <t xml:space="preserve">FERNANDO OYUELA </t>
        </is>
      </c>
      <c r="I88" s="305" t="inlineStr">
        <is>
          <t>EQY778</t>
        </is>
      </c>
      <c r="J88" s="306" t="n">
        <v>0.5590277777777778</v>
      </c>
      <c r="K88" s="307" t="n">
        <v>2878</v>
      </c>
      <c r="L88" s="285">
        <f>SUM(K79:K88)</f>
        <v/>
      </c>
      <c r="M88" s="113" t="n"/>
      <c r="N88" s="113" t="n"/>
      <c r="O88" s="113" t="n"/>
      <c r="P88" s="243" t="n"/>
      <c r="Q88" s="113" t="n"/>
      <c r="R88" s="113" t="n"/>
    </row>
    <row r="89" ht="15.75" customHeight="1">
      <c r="A89" s="113" t="n"/>
      <c r="B89" s="146" t="n">
        <v>2</v>
      </c>
      <c r="C89" s="291" t="n">
        <v>45819</v>
      </c>
      <c r="D89" s="288" t="n">
        <v>1</v>
      </c>
      <c r="E89" s="258" t="inlineStr">
        <is>
          <t xml:space="preserve">MALAGUEÑA </t>
        </is>
      </c>
      <c r="F89" s="258" t="inlineStr">
        <is>
          <t>CARGUEROS</t>
        </is>
      </c>
      <c r="G89" s="258" t="n">
        <v>11</v>
      </c>
      <c r="H89" s="258" t="inlineStr">
        <is>
          <t xml:space="preserve">FABIO ALDANA </t>
        </is>
      </c>
      <c r="I89" s="258" t="inlineStr">
        <is>
          <t>TLO882</t>
        </is>
      </c>
      <c r="J89" s="259" t="n">
        <v>0.1944444444444444</v>
      </c>
      <c r="K89" s="260" t="n">
        <v>3543</v>
      </c>
      <c r="L89" s="292" t="n"/>
      <c r="M89" s="113" t="n"/>
      <c r="N89" s="113" t="n"/>
      <c r="O89" s="113" t="n"/>
      <c r="P89" s="243" t="n"/>
      <c r="Q89" s="113" t="n"/>
      <c r="R89" s="113" t="n"/>
    </row>
    <row r="90" ht="15.75" customHeight="1">
      <c r="A90" s="113" t="n"/>
      <c r="B90" s="146" t="n">
        <v>2</v>
      </c>
      <c r="C90" s="262" t="n"/>
      <c r="D90" s="289" t="n">
        <v>2</v>
      </c>
      <c r="E90" s="264" t="inlineStr">
        <is>
          <t xml:space="preserve">MALAGUEÑA </t>
        </is>
      </c>
      <c r="F90" s="264" t="inlineStr">
        <is>
          <t>CARGUEROS</t>
        </is>
      </c>
      <c r="G90" s="264" t="n">
        <v>11</v>
      </c>
      <c r="H90" s="264" t="inlineStr">
        <is>
          <t xml:space="preserve">ALEX GOMEZ </t>
        </is>
      </c>
      <c r="I90" s="264" t="inlineStr">
        <is>
          <t>TLO881</t>
        </is>
      </c>
      <c r="J90" s="265" t="n">
        <v>0.2444444444444444</v>
      </c>
      <c r="K90" s="266" t="n">
        <v>3543</v>
      </c>
      <c r="L90" s="308" t="n"/>
      <c r="M90" s="113" t="n"/>
      <c r="N90" s="113" t="n"/>
      <c r="O90" s="113" t="n"/>
      <c r="P90" s="243" t="n"/>
      <c r="Q90" s="113" t="n"/>
      <c r="R90" s="113" t="n"/>
    </row>
    <row r="91" ht="15.75" customHeight="1">
      <c r="A91" s="113" t="n"/>
      <c r="B91" s="146" t="n">
        <v>2</v>
      </c>
      <c r="C91" s="262" t="n"/>
      <c r="D91" s="289" t="n">
        <v>3</v>
      </c>
      <c r="E91" s="264" t="inlineStr">
        <is>
          <t xml:space="preserve">MALAGUEÑA </t>
        </is>
      </c>
      <c r="F91" s="264" t="inlineStr">
        <is>
          <t>CARGUEROS</t>
        </is>
      </c>
      <c r="G91" s="264" t="n">
        <v>11</v>
      </c>
      <c r="H91" s="264" t="inlineStr">
        <is>
          <t xml:space="preserve">ALBERTO LOPEZ </t>
        </is>
      </c>
      <c r="I91" s="264" t="inlineStr">
        <is>
          <t>TLO884</t>
        </is>
      </c>
      <c r="J91" s="265" t="n">
        <v>0.2895833333333334</v>
      </c>
      <c r="K91" s="266" t="n">
        <v>3543</v>
      </c>
      <c r="L91" s="308" t="n"/>
      <c r="M91" s="113" t="n"/>
      <c r="N91" s="113" t="n"/>
      <c r="O91" s="113" t="n"/>
      <c r="P91" s="243" t="n"/>
      <c r="Q91" s="113" t="n"/>
      <c r="R91" s="113" t="n"/>
    </row>
    <row r="92" ht="15.75" customHeight="1">
      <c r="A92" s="113" t="n"/>
      <c r="B92" s="146" t="n">
        <v>2</v>
      </c>
      <c r="C92" s="262" t="n"/>
      <c r="D92" s="289" t="n">
        <v>4</v>
      </c>
      <c r="E92" s="264" t="inlineStr">
        <is>
          <t xml:space="preserve">MALAGUEÑA </t>
        </is>
      </c>
      <c r="F92" s="264" t="inlineStr">
        <is>
          <t>CARGUEROS</t>
        </is>
      </c>
      <c r="G92" s="264" t="n">
        <v>11</v>
      </c>
      <c r="H92" s="264" t="inlineStr">
        <is>
          <t>HENRY ROMERO</t>
        </is>
      </c>
      <c r="I92" s="264" t="inlineStr">
        <is>
          <t>EQY781</t>
        </is>
      </c>
      <c r="J92" s="265" t="n">
        <v>0.3333333333333333</v>
      </c>
      <c r="K92" s="266" t="n">
        <v>3114</v>
      </c>
      <c r="L92" s="308" t="n"/>
      <c r="M92" s="113" t="n"/>
      <c r="N92" s="113" t="n"/>
      <c r="O92" s="113" t="n"/>
      <c r="P92" s="243" t="n"/>
      <c r="Q92" s="113" t="n"/>
      <c r="R92" s="113" t="n"/>
    </row>
    <row r="93" ht="15.75" customHeight="1">
      <c r="A93" s="113" t="n"/>
      <c r="B93" s="146" t="n">
        <v>2</v>
      </c>
      <c r="C93" s="262" t="n"/>
      <c r="D93" s="289" t="n">
        <v>5</v>
      </c>
      <c r="E93" s="264" t="inlineStr">
        <is>
          <t xml:space="preserve">MALAGUEÑA </t>
        </is>
      </c>
      <c r="F93" s="264" t="inlineStr">
        <is>
          <t>CARGUEROS</t>
        </is>
      </c>
      <c r="G93" s="264" t="n">
        <v>11</v>
      </c>
      <c r="H93" s="264" t="inlineStr">
        <is>
          <t>MANUEL QUITIAN</t>
        </is>
      </c>
      <c r="I93" s="264" t="inlineStr">
        <is>
          <t>KUS176</t>
        </is>
      </c>
      <c r="J93" s="265" t="n">
        <v>0.3784722222222222</v>
      </c>
      <c r="K93" s="266" t="n">
        <v>3238</v>
      </c>
      <c r="L93" s="309" t="n"/>
      <c r="M93" s="113" t="n"/>
      <c r="N93" s="113" t="n"/>
      <c r="O93" s="113" t="n"/>
      <c r="P93" s="243" t="n"/>
      <c r="Q93" s="113" t="n"/>
      <c r="R93" s="113" t="n"/>
    </row>
    <row r="94" ht="15.75" customHeight="1">
      <c r="A94" s="113" t="n"/>
      <c r="B94" s="146" t="n">
        <v>2</v>
      </c>
      <c r="C94" s="269" t="n"/>
      <c r="D94" s="290" t="n">
        <v>6</v>
      </c>
      <c r="E94" s="271" t="inlineStr">
        <is>
          <t xml:space="preserve">MALAGUEÑA </t>
        </is>
      </c>
      <c r="F94" s="271" t="inlineStr">
        <is>
          <t xml:space="preserve">CARGUEROS  </t>
        </is>
      </c>
      <c r="G94" s="271" t="n">
        <v>11</v>
      </c>
      <c r="H94" s="271" t="inlineStr">
        <is>
          <t>JHON AGUIRRE</t>
        </is>
      </c>
      <c r="I94" s="271" t="inlineStr">
        <is>
          <t>EQY780</t>
        </is>
      </c>
      <c r="J94" s="272" t="n">
        <v>0.4166666666666667</v>
      </c>
      <c r="K94" s="273" t="n">
        <v>3238</v>
      </c>
      <c r="L94" s="310">
        <f>SUM(K89:K94)</f>
        <v/>
      </c>
      <c r="M94" s="113" t="n"/>
      <c r="N94" s="113" t="n"/>
      <c r="O94" s="113" t="n"/>
      <c r="P94" s="243" t="n"/>
      <c r="Q94" s="113" t="n"/>
      <c r="R94" s="113" t="n"/>
    </row>
    <row r="95" ht="15.75" customHeight="1">
      <c r="A95" s="113" t="n"/>
      <c r="B95" s="146" t="n">
        <v>2</v>
      </c>
      <c r="C95" s="291" t="n">
        <v>45820</v>
      </c>
      <c r="D95" s="257" t="n">
        <v>1</v>
      </c>
      <c r="E95" s="258" t="inlineStr">
        <is>
          <t xml:space="preserve">MALAGUEÑA </t>
        </is>
      </c>
      <c r="F95" s="258" t="inlineStr">
        <is>
          <t>CARGUEROS</t>
        </is>
      </c>
      <c r="G95" s="258" t="n">
        <v>12</v>
      </c>
      <c r="H95" s="258" t="inlineStr">
        <is>
          <t xml:space="preserve">MIGUEL HERRERA </t>
        </is>
      </c>
      <c r="I95" s="258" t="inlineStr">
        <is>
          <t>wfi354</t>
        </is>
      </c>
      <c r="J95" s="259" t="n">
        <v>0.08333333333333333</v>
      </c>
      <c r="K95" s="260" t="n">
        <v>3157</v>
      </c>
      <c r="L95" s="292" t="n"/>
      <c r="M95" s="113" t="n"/>
      <c r="N95" s="113" t="n"/>
      <c r="O95" s="113" t="n"/>
      <c r="P95" s="243" t="n"/>
      <c r="Q95" s="113" t="n"/>
      <c r="R95" s="113" t="n"/>
    </row>
    <row r="96" ht="15.75" customHeight="1">
      <c r="A96" s="113" t="n"/>
      <c r="B96" s="146" t="n">
        <v>2</v>
      </c>
      <c r="C96" s="262" t="n"/>
      <c r="D96" s="276" t="n">
        <v>2</v>
      </c>
      <c r="E96" s="293" t="inlineStr">
        <is>
          <t xml:space="preserve">MALAGUEÑA </t>
        </is>
      </c>
      <c r="F96" s="293" t="inlineStr">
        <is>
          <t>CARGUEROS</t>
        </is>
      </c>
      <c r="G96" s="293" t="n">
        <v>12</v>
      </c>
      <c r="H96" s="293" t="inlineStr">
        <is>
          <t xml:space="preserve">MANUEL QUITIAN </t>
        </is>
      </c>
      <c r="I96" s="293" t="inlineStr">
        <is>
          <t>KUS176</t>
        </is>
      </c>
      <c r="J96" s="294" t="n">
        <v>0.1215277777777778</v>
      </c>
      <c r="K96" s="295" t="n">
        <v>3157</v>
      </c>
      <c r="L96" s="296" t="n"/>
      <c r="M96" s="113" t="n"/>
      <c r="N96" s="113" t="n"/>
      <c r="O96" s="113" t="n"/>
      <c r="P96" s="243" t="n"/>
      <c r="Q96" s="113" t="n"/>
      <c r="R96" s="113" t="n"/>
    </row>
    <row r="97" ht="15.75" customHeight="1">
      <c r="A97" s="113" t="n"/>
      <c r="B97" s="146" t="n">
        <v>2</v>
      </c>
      <c r="C97" s="262" t="n"/>
      <c r="D97" s="276" t="n">
        <v>3</v>
      </c>
      <c r="E97" s="293" t="inlineStr">
        <is>
          <t xml:space="preserve">MALAGUEÑA </t>
        </is>
      </c>
      <c r="F97" s="293" t="inlineStr">
        <is>
          <t>CARGUEROS</t>
        </is>
      </c>
      <c r="G97" s="293" t="n">
        <v>12</v>
      </c>
      <c r="H97" s="293" t="inlineStr">
        <is>
          <t xml:space="preserve">EDUAN CAVIEDEZ </t>
        </is>
      </c>
      <c r="I97" s="293" t="inlineStr">
        <is>
          <t>EQY779</t>
        </is>
      </c>
      <c r="J97" s="294" t="n">
        <v>0.1527777777777778</v>
      </c>
      <c r="K97" s="295" t="n">
        <v>3157</v>
      </c>
      <c r="L97" s="296" t="n"/>
      <c r="M97" s="113" t="n"/>
      <c r="N97" s="113" t="n"/>
      <c r="O97" s="113" t="n"/>
      <c r="P97" s="243" t="n"/>
      <c r="Q97" s="113" t="n"/>
      <c r="R97" s="113" t="n"/>
    </row>
    <row r="98" ht="15.75" customHeight="1">
      <c r="A98" s="113" t="n"/>
      <c r="B98" s="146" t="n">
        <v>2</v>
      </c>
      <c r="C98" s="262" t="n"/>
      <c r="D98" s="276" t="n">
        <v>4</v>
      </c>
      <c r="E98" s="293" t="inlineStr">
        <is>
          <t xml:space="preserve">MALAGUEÑA </t>
        </is>
      </c>
      <c r="F98" s="293" t="inlineStr">
        <is>
          <t>CARGUEROS</t>
        </is>
      </c>
      <c r="G98" s="293" t="n">
        <v>12</v>
      </c>
      <c r="H98" s="293" t="inlineStr">
        <is>
          <t>EDWIN ROJAS</t>
        </is>
      </c>
      <c r="I98" s="293" t="inlineStr">
        <is>
          <t>TLN248</t>
        </is>
      </c>
      <c r="J98" s="294" t="n">
        <v>0.1888888888888889</v>
      </c>
      <c r="K98" s="295" t="n">
        <v>3157</v>
      </c>
      <c r="L98" s="296" t="n"/>
      <c r="M98" s="113" t="n"/>
      <c r="N98" s="113" t="n"/>
      <c r="O98" s="113" t="n"/>
      <c r="P98" s="243" t="n"/>
      <c r="Q98" s="113" t="n"/>
      <c r="R98" s="113" t="n"/>
    </row>
    <row r="99" ht="15.75" customHeight="1">
      <c r="A99" s="113" t="n"/>
      <c r="B99" s="146" t="n">
        <v>2</v>
      </c>
      <c r="C99" s="262" t="n"/>
      <c r="D99" s="276" t="n">
        <v>5</v>
      </c>
      <c r="E99" s="293" t="inlineStr">
        <is>
          <t xml:space="preserve">MALAGUEÑA </t>
        </is>
      </c>
      <c r="F99" s="293" t="inlineStr">
        <is>
          <t>CARGUEROS</t>
        </is>
      </c>
      <c r="G99" s="293" t="n">
        <v>12</v>
      </c>
      <c r="H99" s="293" t="inlineStr">
        <is>
          <t xml:space="preserve">FERNANDO OYUELA </t>
        </is>
      </c>
      <c r="I99" s="293" t="inlineStr">
        <is>
          <t>EQY778</t>
        </is>
      </c>
      <c r="J99" s="294" t="n">
        <v>0.2222222222222222</v>
      </c>
      <c r="K99" s="295" t="n">
        <v>3157</v>
      </c>
      <c r="L99" s="296" t="n"/>
      <c r="M99" s="113" t="n"/>
      <c r="N99" s="113" t="n"/>
      <c r="O99" s="113" t="n"/>
      <c r="P99" s="243" t="n"/>
      <c r="Q99" s="113" t="n"/>
      <c r="R99" s="113" t="n"/>
    </row>
    <row r="100" ht="15.75" customHeight="1">
      <c r="A100" s="113" t="n"/>
      <c r="B100" s="146" t="n">
        <v>2</v>
      </c>
      <c r="C100" s="262" t="n"/>
      <c r="D100" s="276" t="n">
        <v>6</v>
      </c>
      <c r="E100" s="293" t="inlineStr">
        <is>
          <t xml:space="preserve">MALAGUEÑA </t>
        </is>
      </c>
      <c r="F100" s="293" t="inlineStr">
        <is>
          <t>CARGUEROS</t>
        </is>
      </c>
      <c r="G100" s="293" t="n">
        <v>12</v>
      </c>
      <c r="H100" s="293" t="inlineStr">
        <is>
          <t xml:space="preserve">JHON ARIAS </t>
        </is>
      </c>
      <c r="I100" s="293" t="inlineStr">
        <is>
          <t>TLN181</t>
        </is>
      </c>
      <c r="J100" s="294" t="n">
        <v>0.2569444444444444</v>
      </c>
      <c r="K100" s="295" t="n">
        <v>3157</v>
      </c>
      <c r="L100" s="296" t="n"/>
      <c r="M100" s="113" t="n"/>
      <c r="N100" s="113" t="n"/>
      <c r="O100" s="113" t="n"/>
      <c r="P100" s="243" t="n"/>
      <c r="Q100" s="113" t="n"/>
      <c r="R100" s="113" t="n"/>
    </row>
    <row r="101" ht="15.75" customHeight="1">
      <c r="A101" s="113" t="n"/>
      <c r="B101" s="146" t="n">
        <v>2</v>
      </c>
      <c r="C101" s="262" t="n"/>
      <c r="D101" s="276" t="n">
        <v>7</v>
      </c>
      <c r="E101" s="293" t="inlineStr">
        <is>
          <t xml:space="preserve">MALAGUEÑA </t>
        </is>
      </c>
      <c r="F101" s="293" t="inlineStr">
        <is>
          <t>CARGUEROS</t>
        </is>
      </c>
      <c r="G101" s="293" t="n">
        <v>12</v>
      </c>
      <c r="H101" s="293" t="inlineStr">
        <is>
          <t xml:space="preserve">DUMAR ANGARITA </t>
        </is>
      </c>
      <c r="I101" s="293" t="inlineStr">
        <is>
          <t>LQO745</t>
        </is>
      </c>
      <c r="J101" s="294" t="n">
        <v>0.3055555555555556</v>
      </c>
      <c r="K101" s="295" t="n">
        <v>3153</v>
      </c>
      <c r="L101" s="296" t="n"/>
      <c r="M101" s="113" t="n"/>
      <c r="N101" s="113" t="n"/>
      <c r="O101" s="113" t="n"/>
      <c r="P101" s="243" t="n"/>
      <c r="Q101" s="113" t="n"/>
      <c r="R101" s="113" t="n"/>
    </row>
    <row r="102" ht="15.75" customHeight="1">
      <c r="A102" s="113" t="n"/>
      <c r="B102" s="146" t="n">
        <v>2</v>
      </c>
      <c r="C102" s="262" t="n"/>
      <c r="D102" s="276" t="n">
        <v>8</v>
      </c>
      <c r="E102" s="293" t="inlineStr">
        <is>
          <t xml:space="preserve">MALAGUEÑA </t>
        </is>
      </c>
      <c r="F102" s="293" t="inlineStr">
        <is>
          <t>CARGUEROS</t>
        </is>
      </c>
      <c r="G102" s="293" t="n">
        <v>12</v>
      </c>
      <c r="H102" s="293" t="inlineStr">
        <is>
          <t xml:space="preserve">JAIRO CUBILLOS </t>
        </is>
      </c>
      <c r="I102" s="293" t="inlineStr">
        <is>
          <t>TLO884</t>
        </is>
      </c>
      <c r="J102" s="294" t="n">
        <v>0.3506944444444444</v>
      </c>
      <c r="K102" s="295" t="n">
        <v>3240</v>
      </c>
      <c r="L102" s="296" t="n"/>
      <c r="M102" s="113" t="n"/>
      <c r="N102" s="113" t="n"/>
      <c r="O102" s="113" t="n"/>
      <c r="P102" s="243" t="n"/>
      <c r="Q102" s="113" t="n"/>
      <c r="R102" s="113" t="n"/>
    </row>
    <row r="103" ht="15.75" customHeight="1">
      <c r="A103" s="113" t="n"/>
      <c r="B103" s="146" t="n">
        <v>2</v>
      </c>
      <c r="C103" s="262" t="n"/>
      <c r="D103" s="276" t="n">
        <v>9</v>
      </c>
      <c r="E103" s="293" t="inlineStr">
        <is>
          <t xml:space="preserve">MALAGUEÑA </t>
        </is>
      </c>
      <c r="F103" s="293" t="inlineStr">
        <is>
          <t>CARGUEROS</t>
        </is>
      </c>
      <c r="G103" s="293" t="n">
        <v>12</v>
      </c>
      <c r="H103" s="293" t="inlineStr">
        <is>
          <t xml:space="preserve">JAVIER GARZON </t>
        </is>
      </c>
      <c r="I103" s="293" t="inlineStr">
        <is>
          <t>WFI418</t>
        </is>
      </c>
      <c r="J103" s="294" t="n">
        <v>0.3909722222222222</v>
      </c>
      <c r="K103" s="295" t="n">
        <v>3240</v>
      </c>
      <c r="L103" s="296" t="n"/>
      <c r="M103" s="113" t="n"/>
      <c r="N103" s="113" t="n"/>
      <c r="O103" s="113" t="n"/>
      <c r="P103" s="243" t="n"/>
      <c r="Q103" s="113" t="n"/>
      <c r="R103" s="113" t="n"/>
    </row>
    <row r="104" ht="15.75" customHeight="1">
      <c r="A104" s="113" t="n"/>
      <c r="B104" s="146" t="n">
        <v>2</v>
      </c>
      <c r="C104" s="262" t="n"/>
      <c r="D104" s="276" t="n">
        <v>10</v>
      </c>
      <c r="E104" s="293" t="inlineStr">
        <is>
          <t xml:space="preserve">MALAGUEÑA </t>
        </is>
      </c>
      <c r="F104" s="293" t="inlineStr">
        <is>
          <t>CARGUEROS</t>
        </is>
      </c>
      <c r="G104" s="293" t="n">
        <v>12</v>
      </c>
      <c r="H104" s="293" t="inlineStr">
        <is>
          <t xml:space="preserve">WILMER PIÑEROS </t>
        </is>
      </c>
      <c r="I104" s="293" t="inlineStr">
        <is>
          <t>KLO076</t>
        </is>
      </c>
      <c r="J104" s="294" t="n">
        <v>0.4236111111111111</v>
      </c>
      <c r="K104" s="295" t="n">
        <v>3240</v>
      </c>
      <c r="L104" s="296" t="n"/>
      <c r="M104" s="113" t="n"/>
      <c r="N104" s="113" t="n"/>
      <c r="O104" s="113" t="n"/>
      <c r="P104" s="243" t="n"/>
      <c r="Q104" s="113" t="n"/>
      <c r="R104" s="113" t="n"/>
    </row>
    <row r="105" ht="15.75" customHeight="1">
      <c r="A105" s="113" t="n"/>
      <c r="B105" s="146" t="n">
        <v>2</v>
      </c>
      <c r="C105" s="262" t="n"/>
      <c r="D105" s="276" t="n">
        <v>11</v>
      </c>
      <c r="E105" s="293" t="inlineStr">
        <is>
          <t xml:space="preserve">MALAGUEÑA </t>
        </is>
      </c>
      <c r="F105" s="293" t="inlineStr">
        <is>
          <t>CARGUEROS</t>
        </is>
      </c>
      <c r="G105" s="293" t="n">
        <v>12</v>
      </c>
      <c r="H105" s="293" t="inlineStr">
        <is>
          <t xml:space="preserve">MANUEL QUITIAN </t>
        </is>
      </c>
      <c r="I105" s="293" t="inlineStr">
        <is>
          <t>KUS176</t>
        </is>
      </c>
      <c r="J105" s="294" t="n">
        <v>0.4708333333333333</v>
      </c>
      <c r="K105" s="295" t="n">
        <v>3240</v>
      </c>
      <c r="L105" s="296" t="n"/>
      <c r="M105" s="113" t="n"/>
      <c r="N105" s="113" t="n"/>
      <c r="O105" s="113" t="n"/>
      <c r="P105" s="243" t="n"/>
      <c r="Q105" s="113" t="n"/>
      <c r="R105" s="113" t="n"/>
    </row>
    <row r="106" ht="15.75" customHeight="1">
      <c r="A106" s="113" t="n"/>
      <c r="B106" s="146" t="n">
        <v>2</v>
      </c>
      <c r="C106" s="262" t="n"/>
      <c r="D106" s="276" t="n">
        <v>12</v>
      </c>
      <c r="E106" s="293" t="inlineStr">
        <is>
          <t xml:space="preserve">MALAGUEÑA </t>
        </is>
      </c>
      <c r="F106" s="293" t="inlineStr">
        <is>
          <t>CARGUEROS</t>
        </is>
      </c>
      <c r="G106" s="293" t="n">
        <v>12</v>
      </c>
      <c r="H106" s="293" t="inlineStr">
        <is>
          <t xml:space="preserve">EDUAN CAVIEDEZ </t>
        </is>
      </c>
      <c r="I106" s="293" t="inlineStr">
        <is>
          <t>EQY778</t>
        </is>
      </c>
      <c r="J106" s="294" t="n">
        <v>0.5</v>
      </c>
      <c r="K106" s="295" t="n">
        <v>2330</v>
      </c>
      <c r="L106" s="296" t="n"/>
      <c r="M106" s="113" t="n"/>
      <c r="N106" s="113" t="n"/>
      <c r="O106" s="113" t="n"/>
      <c r="P106" s="243" t="n"/>
      <c r="Q106" s="113" t="n"/>
      <c r="R106" s="113" t="n"/>
    </row>
    <row r="107" ht="15.75" customHeight="1">
      <c r="A107" s="113" t="n"/>
      <c r="B107" s="146" t="n">
        <v>2</v>
      </c>
      <c r="C107" s="262" t="n"/>
      <c r="D107" s="276" t="n">
        <v>13</v>
      </c>
      <c r="E107" s="293" t="inlineStr">
        <is>
          <t xml:space="preserve">SAN JOSE </t>
        </is>
      </c>
      <c r="F107" s="293" t="inlineStr">
        <is>
          <t xml:space="preserve">ABONEROS </t>
        </is>
      </c>
      <c r="G107" s="293" t="n">
        <v>10</v>
      </c>
      <c r="H107" s="293" t="inlineStr">
        <is>
          <t>EDWIN ROJAS</t>
        </is>
      </c>
      <c r="I107" s="293" t="inlineStr">
        <is>
          <t>TON248</t>
        </is>
      </c>
      <c r="J107" s="294" t="n">
        <v>0.6652777777777777</v>
      </c>
      <c r="K107" s="295" t="n">
        <v>3617</v>
      </c>
      <c r="L107" s="296" t="n"/>
      <c r="M107" s="113" t="n"/>
      <c r="N107" s="113" t="n"/>
      <c r="O107" s="113" t="n"/>
      <c r="P107" s="243" t="n"/>
      <c r="Q107" s="113" t="n"/>
      <c r="R107" s="113" t="n"/>
    </row>
    <row r="108" ht="15.75" customHeight="1">
      <c r="A108" s="113" t="n"/>
      <c r="B108" s="146" t="n">
        <v>2</v>
      </c>
      <c r="C108" s="262" t="n"/>
      <c r="D108" s="276" t="n">
        <v>14</v>
      </c>
      <c r="E108" s="264" t="inlineStr">
        <is>
          <t xml:space="preserve">MALAGUEÑA BOGOTA </t>
        </is>
      </c>
      <c r="F108" s="293" t="inlineStr">
        <is>
          <t>CARGUEROS</t>
        </is>
      </c>
      <c r="G108" s="293" t="n">
        <v>12</v>
      </c>
      <c r="H108" s="264" t="inlineStr">
        <is>
          <t xml:space="preserve">MARCOS OSPINA </t>
        </is>
      </c>
      <c r="I108" s="264" t="inlineStr">
        <is>
          <t>EQY688</t>
        </is>
      </c>
      <c r="J108" s="265" t="n">
        <v>0.6770833333333334</v>
      </c>
      <c r="K108" s="266" t="n">
        <v>3240</v>
      </c>
      <c r="L108" s="308" t="n"/>
      <c r="M108" s="113" t="n"/>
      <c r="N108" s="113" t="n"/>
      <c r="O108" s="113" t="n"/>
      <c r="P108" s="243" t="n"/>
      <c r="Q108" s="113" t="n"/>
      <c r="R108" s="113" t="n"/>
    </row>
    <row r="109" ht="15.75" customHeight="1">
      <c r="A109" s="113" t="n"/>
      <c r="B109" s="146" t="n">
        <v>2</v>
      </c>
      <c r="C109" s="262" t="n"/>
      <c r="D109" s="276" t="n">
        <v>15</v>
      </c>
      <c r="E109" s="264" t="inlineStr">
        <is>
          <t xml:space="preserve">MALAGUEÑA BOGOTA </t>
        </is>
      </c>
      <c r="F109" s="293" t="inlineStr">
        <is>
          <t>CARGUEROS</t>
        </is>
      </c>
      <c r="G109" s="293" t="n">
        <v>12</v>
      </c>
      <c r="H109" s="264" t="inlineStr">
        <is>
          <t>ALEJANDRO TOCAITA</t>
        </is>
      </c>
      <c r="I109" s="264" t="inlineStr">
        <is>
          <t>TLN250</t>
        </is>
      </c>
      <c r="J109" s="265" t="n">
        <v>0.7118055555555556</v>
      </c>
      <c r="K109" s="266" t="n">
        <v>3240</v>
      </c>
      <c r="L109" s="308" t="n"/>
      <c r="M109" s="113" t="n"/>
      <c r="N109" s="113" t="n"/>
      <c r="O109" s="113" t="n"/>
      <c r="P109" s="243" t="n"/>
      <c r="Q109" s="113" t="n"/>
      <c r="R109" s="113" t="n"/>
    </row>
    <row r="110" ht="15.75" customHeight="1">
      <c r="A110" s="113" t="n"/>
      <c r="B110" s="146" t="n">
        <v>2</v>
      </c>
      <c r="C110" s="262" t="n"/>
      <c r="D110" s="276" t="n">
        <v>16</v>
      </c>
      <c r="E110" s="264" t="inlineStr">
        <is>
          <t xml:space="preserve">MALAGUEÑA BOGOTA </t>
        </is>
      </c>
      <c r="F110" s="293" t="inlineStr">
        <is>
          <t>CARGUEROS</t>
        </is>
      </c>
      <c r="G110" s="293" t="n">
        <v>12</v>
      </c>
      <c r="H110" s="264" t="inlineStr">
        <is>
          <t xml:space="preserve">MARCOS LOPEZ </t>
        </is>
      </c>
      <c r="I110" s="264" t="inlineStr">
        <is>
          <t>SQW176</t>
        </is>
      </c>
      <c r="J110" s="265" t="n">
        <v>0.7534722222222222</v>
      </c>
      <c r="K110" s="266" t="n">
        <v>3240</v>
      </c>
      <c r="L110" s="308" t="n"/>
      <c r="M110" s="113" t="n"/>
      <c r="N110" s="113" t="n"/>
      <c r="O110" s="113" t="n"/>
      <c r="P110" s="243" t="n"/>
      <c r="Q110" s="113" t="n"/>
      <c r="R110" s="113" t="n"/>
    </row>
    <row r="111" ht="15.75" customHeight="1">
      <c r="A111" s="113" t="n"/>
      <c r="B111" s="146" t="n">
        <v>2</v>
      </c>
      <c r="C111" s="269" t="n"/>
      <c r="D111" s="298" t="n">
        <v>17</v>
      </c>
      <c r="E111" s="271" t="inlineStr">
        <is>
          <t xml:space="preserve">MALAGUEÑA BOGOTA </t>
        </is>
      </c>
      <c r="F111" s="299" t="inlineStr">
        <is>
          <t>CARGUEROS</t>
        </is>
      </c>
      <c r="G111" s="299" t="n">
        <v>12</v>
      </c>
      <c r="H111" s="271" t="inlineStr">
        <is>
          <t xml:space="preserve">MERVIN CORTEZ </t>
        </is>
      </c>
      <c r="I111" s="271" t="inlineStr">
        <is>
          <t>TLN180</t>
        </is>
      </c>
      <c r="J111" s="272" t="n">
        <v>0.8048611111111111</v>
      </c>
      <c r="K111" s="273" t="n">
        <v>3240</v>
      </c>
      <c r="L111" s="310">
        <f>SUM(K95:K111)</f>
        <v/>
      </c>
      <c r="M111" s="113" t="n"/>
      <c r="N111" s="113" t="n"/>
      <c r="O111" s="113" t="n"/>
      <c r="P111" s="243" t="n"/>
      <c r="Q111" s="113" t="n"/>
      <c r="R111" s="113" t="n"/>
    </row>
    <row r="112" ht="15.75" customHeight="1">
      <c r="A112" s="113" t="n"/>
      <c r="B112" s="146" t="n">
        <v>2</v>
      </c>
      <c r="C112" s="311" t="n">
        <v>45821</v>
      </c>
      <c r="D112" s="257" t="n">
        <v>1</v>
      </c>
      <c r="E112" s="258" t="inlineStr">
        <is>
          <t xml:space="preserve">SAN JOSE </t>
        </is>
      </c>
      <c r="F112" s="258" t="inlineStr">
        <is>
          <t>CARGUEROS</t>
        </is>
      </c>
      <c r="G112" s="258" t="n">
        <v>13</v>
      </c>
      <c r="H112" s="258" t="inlineStr">
        <is>
          <t xml:space="preserve">FABIO ALDANA </t>
        </is>
      </c>
      <c r="I112" s="258" t="inlineStr">
        <is>
          <t>TLO882</t>
        </is>
      </c>
      <c r="J112" s="259" t="n">
        <v>0.08888888888888889</v>
      </c>
      <c r="K112" s="260" t="n">
        <v>3660</v>
      </c>
      <c r="L112" s="292" t="n"/>
      <c r="M112" s="113" t="n"/>
      <c r="N112" s="113" t="n"/>
      <c r="O112" s="113" t="n"/>
      <c r="P112" s="243" t="n"/>
      <c r="Q112" s="113" t="n"/>
      <c r="R112" s="113" t="n"/>
    </row>
    <row r="113" ht="15.75" customHeight="1">
      <c r="A113" s="113" t="n"/>
      <c r="B113" s="146" t="n">
        <v>2</v>
      </c>
      <c r="C113" s="279" t="n"/>
      <c r="D113" s="276" t="n">
        <v>2</v>
      </c>
      <c r="E113" s="293" t="inlineStr">
        <is>
          <t xml:space="preserve">SAN JOSE </t>
        </is>
      </c>
      <c r="F113" s="293" t="inlineStr">
        <is>
          <t>CARGUEROS</t>
        </is>
      </c>
      <c r="G113" s="293" t="n">
        <v>13</v>
      </c>
      <c r="H113" s="293" t="inlineStr">
        <is>
          <t xml:space="preserve">ALEX GOMEZ </t>
        </is>
      </c>
      <c r="I113" s="293" t="inlineStr">
        <is>
          <t>TLO881</t>
        </is>
      </c>
      <c r="J113" s="294" t="n">
        <v>0.125</v>
      </c>
      <c r="K113" s="295" t="n">
        <v>3660</v>
      </c>
      <c r="L113" s="296" t="n"/>
      <c r="M113" s="113" t="n"/>
      <c r="N113" s="113" t="n"/>
      <c r="O113" s="113" t="n"/>
      <c r="P113" s="243" t="n"/>
      <c r="Q113" s="113" t="n"/>
      <c r="R113" s="113" t="n"/>
    </row>
    <row r="114" ht="15.75" customHeight="1">
      <c r="A114" s="113" t="n"/>
      <c r="B114" s="146" t="n">
        <v>2</v>
      </c>
      <c r="C114" s="279" t="n"/>
      <c r="D114" s="276" t="n">
        <v>3</v>
      </c>
      <c r="E114" s="293" t="inlineStr">
        <is>
          <t xml:space="preserve">SAN JOSE </t>
        </is>
      </c>
      <c r="F114" s="293" t="inlineStr">
        <is>
          <t>CARGUEROS</t>
        </is>
      </c>
      <c r="G114" s="293" t="n">
        <v>13</v>
      </c>
      <c r="H114" s="293" t="inlineStr">
        <is>
          <t xml:space="preserve">FERNANDO OYUELA </t>
        </is>
      </c>
      <c r="I114" s="293" t="inlineStr">
        <is>
          <t>EQY778</t>
        </is>
      </c>
      <c r="J114" s="294" t="n">
        <v>0.1583333333333333</v>
      </c>
      <c r="K114" s="295" t="n">
        <v>3672</v>
      </c>
      <c r="L114" s="296" t="n"/>
      <c r="M114" s="113" t="n"/>
      <c r="N114" s="113" t="n"/>
      <c r="O114" s="113" t="n"/>
      <c r="P114" s="243" t="n"/>
      <c r="Q114" s="113" t="n"/>
      <c r="R114" s="113" t="n"/>
    </row>
    <row r="115" ht="15.75" customHeight="1">
      <c r="A115" s="113" t="n"/>
      <c r="B115" s="146" t="n">
        <v>2</v>
      </c>
      <c r="C115" s="279" t="n"/>
      <c r="D115" s="276" t="n">
        <v>4</v>
      </c>
      <c r="E115" s="293" t="inlineStr">
        <is>
          <t xml:space="preserve">SAN JOSE </t>
        </is>
      </c>
      <c r="F115" s="293" t="inlineStr">
        <is>
          <t>CARGUEROS</t>
        </is>
      </c>
      <c r="G115" s="293" t="n">
        <v>13</v>
      </c>
      <c r="H115" s="293" t="inlineStr">
        <is>
          <t xml:space="preserve">JOSE SOLER </t>
        </is>
      </c>
      <c r="I115" s="293" t="inlineStr">
        <is>
          <t>EQY776</t>
        </is>
      </c>
      <c r="J115" s="294" t="n">
        <v>0.1944444444444444</v>
      </c>
      <c r="K115" s="295" t="n">
        <v>3672</v>
      </c>
      <c r="L115" s="296" t="n"/>
      <c r="M115" s="113" t="n"/>
      <c r="N115" s="113" t="n"/>
      <c r="O115" s="113" t="n"/>
      <c r="P115" s="243" t="n"/>
      <c r="Q115" s="113" t="n"/>
      <c r="R115" s="113" t="n"/>
    </row>
    <row r="116" ht="15.75" customHeight="1">
      <c r="A116" s="113" t="n"/>
      <c r="B116" s="146" t="n">
        <v>2</v>
      </c>
      <c r="C116" s="279" t="n"/>
      <c r="D116" s="276" t="n">
        <v>5</v>
      </c>
      <c r="E116" s="293" t="inlineStr">
        <is>
          <t xml:space="preserve">SAN JOSE </t>
        </is>
      </c>
      <c r="F116" s="293" t="inlineStr">
        <is>
          <t>CARGUEROS</t>
        </is>
      </c>
      <c r="G116" s="293" t="n">
        <v>13</v>
      </c>
      <c r="H116" s="293" t="inlineStr">
        <is>
          <t xml:space="preserve">DUMAR ANGARITA </t>
        </is>
      </c>
      <c r="I116" s="293" t="inlineStr">
        <is>
          <t>LQ745</t>
        </is>
      </c>
      <c r="J116" s="294" t="n">
        <v>0.2604166666666667</v>
      </c>
      <c r="K116" s="295" t="n">
        <v>3672</v>
      </c>
      <c r="L116" s="296" t="n"/>
      <c r="M116" s="113" t="n"/>
      <c r="N116" s="113" t="n"/>
      <c r="O116" s="113" t="n"/>
      <c r="P116" s="243" t="n"/>
      <c r="Q116" s="113" t="n"/>
      <c r="R116" s="113" t="n"/>
    </row>
    <row r="117" ht="15.75" customHeight="1">
      <c r="A117" s="113" t="n"/>
      <c r="B117" s="146" t="n">
        <v>2</v>
      </c>
      <c r="C117" s="279" t="n"/>
      <c r="D117" s="276" t="n">
        <v>6</v>
      </c>
      <c r="E117" s="293" t="inlineStr">
        <is>
          <t xml:space="preserve">SAN JOSE </t>
        </is>
      </c>
      <c r="F117" s="293" t="inlineStr">
        <is>
          <t>CARGUEROS</t>
        </is>
      </c>
      <c r="G117" s="293" t="n">
        <v>13</v>
      </c>
      <c r="H117" s="293" t="inlineStr">
        <is>
          <t xml:space="preserve">MIGUEL HERRERA </t>
        </is>
      </c>
      <c r="I117" s="293" t="inlineStr">
        <is>
          <t>GZZ673</t>
        </is>
      </c>
      <c r="J117" s="294" t="n">
        <v>0.2888888888888889</v>
      </c>
      <c r="K117" s="295" t="n">
        <v>3672</v>
      </c>
      <c r="L117" s="296" t="n"/>
      <c r="M117" s="113" t="n"/>
      <c r="N117" s="113" t="n"/>
      <c r="O117" s="113" t="n"/>
      <c r="P117" s="243" t="n"/>
      <c r="Q117" s="113" t="n"/>
      <c r="R117" s="113" t="n"/>
    </row>
    <row r="118" ht="15.75" customHeight="1">
      <c r="A118" s="113" t="n"/>
      <c r="B118" s="146" t="n">
        <v>2</v>
      </c>
      <c r="C118" s="279" t="n"/>
      <c r="D118" s="276" t="n">
        <v>7</v>
      </c>
      <c r="E118" s="293" t="inlineStr">
        <is>
          <t xml:space="preserve">SAN JOSE </t>
        </is>
      </c>
      <c r="F118" s="293" t="inlineStr">
        <is>
          <t>CARGUEROS</t>
        </is>
      </c>
      <c r="G118" s="293" t="n">
        <v>13</v>
      </c>
      <c r="H118" s="293" t="inlineStr">
        <is>
          <t xml:space="preserve">JAVIER GARZON </t>
        </is>
      </c>
      <c r="I118" s="293" t="inlineStr">
        <is>
          <t>WFI418</t>
        </is>
      </c>
      <c r="J118" s="294" t="n">
        <v>0.3256944444444445</v>
      </c>
      <c r="K118" s="295" t="n">
        <v>3672</v>
      </c>
      <c r="L118" s="296" t="n"/>
      <c r="M118" s="113" t="n"/>
      <c r="N118" s="113" t="n"/>
      <c r="O118" s="113" t="n"/>
      <c r="P118" s="243" t="n"/>
      <c r="Q118" s="113" t="n"/>
      <c r="R118" s="113" t="n"/>
    </row>
    <row r="119" ht="15.75" customHeight="1">
      <c r="A119" s="113" t="n"/>
      <c r="B119" s="146" t="n">
        <v>2</v>
      </c>
      <c r="C119" s="279" t="n"/>
      <c r="D119" s="276" t="n">
        <v>8</v>
      </c>
      <c r="E119" s="293" t="inlineStr">
        <is>
          <t xml:space="preserve">SAN JOSE </t>
        </is>
      </c>
      <c r="F119" s="293" t="inlineStr">
        <is>
          <t>CARGUEROS</t>
        </is>
      </c>
      <c r="G119" s="293" t="n">
        <v>13</v>
      </c>
      <c r="H119" s="293" t="inlineStr">
        <is>
          <t xml:space="preserve">EDUAN CAVIEDEZ </t>
        </is>
      </c>
      <c r="I119" s="293" t="inlineStr">
        <is>
          <t>EQY779</t>
        </is>
      </c>
      <c r="J119" s="294" t="n">
        <v>0.375</v>
      </c>
      <c r="K119" s="295" t="n">
        <v>3672</v>
      </c>
      <c r="L119" s="296" t="n"/>
      <c r="M119" s="113" t="n"/>
      <c r="N119" s="113" t="n"/>
      <c r="O119" s="113" t="n"/>
      <c r="P119" s="243" t="n"/>
      <c r="Q119" s="113" t="n"/>
      <c r="R119" s="113" t="n"/>
    </row>
    <row r="120" ht="15.75" customHeight="1">
      <c r="A120" s="113" t="n"/>
      <c r="B120" s="146" t="n">
        <v>2</v>
      </c>
      <c r="C120" s="279" t="n"/>
      <c r="D120" s="276" t="n">
        <v>9</v>
      </c>
      <c r="E120" s="293" t="inlineStr">
        <is>
          <t xml:space="preserve">SAN JOSE </t>
        </is>
      </c>
      <c r="F120" s="293" t="inlineStr">
        <is>
          <t>CARGUEROS</t>
        </is>
      </c>
      <c r="G120" s="293" t="n">
        <v>13</v>
      </c>
      <c r="H120" s="293" t="inlineStr">
        <is>
          <t xml:space="preserve">ALBERTO LOPEZ </t>
        </is>
      </c>
      <c r="I120" s="293" t="inlineStr">
        <is>
          <t>EQY777</t>
        </is>
      </c>
      <c r="J120" s="294" t="n">
        <v>0.4222222222222222</v>
      </c>
      <c r="K120" s="295" t="n">
        <v>3672</v>
      </c>
      <c r="L120" s="296" t="n"/>
      <c r="M120" s="113" t="n"/>
      <c r="N120" s="113" t="n"/>
      <c r="O120" s="113" t="n"/>
      <c r="P120" s="243" t="n"/>
      <c r="Q120" s="113" t="n"/>
      <c r="R120" s="113" t="n"/>
    </row>
    <row r="121" ht="15.75" customHeight="1">
      <c r="A121" s="113" t="n"/>
      <c r="B121" s="146" t="n">
        <v>2</v>
      </c>
      <c r="C121" s="279" t="n"/>
      <c r="D121" s="276" t="n">
        <v>10</v>
      </c>
      <c r="E121" s="293" t="inlineStr">
        <is>
          <t xml:space="preserve">SAN JOSE </t>
        </is>
      </c>
      <c r="F121" s="293" t="inlineStr">
        <is>
          <t>CARGUEROS</t>
        </is>
      </c>
      <c r="G121" s="293" t="n">
        <v>13</v>
      </c>
      <c r="H121" s="293" t="inlineStr">
        <is>
          <t xml:space="preserve">MIGUEL HERRERA </t>
        </is>
      </c>
      <c r="I121" s="293" t="inlineStr">
        <is>
          <t>WFI354</t>
        </is>
      </c>
      <c r="J121" s="294" t="n">
        <v>0.4604166666666666</v>
      </c>
      <c r="K121" s="295" t="n">
        <v>3432</v>
      </c>
      <c r="L121" s="296" t="n"/>
      <c r="M121" s="113" t="n"/>
      <c r="N121" s="113" t="n"/>
      <c r="O121" s="113" t="n"/>
      <c r="P121" s="243" t="n"/>
      <c r="Q121" s="113" t="n"/>
      <c r="R121" s="113" t="n"/>
    </row>
    <row r="122" ht="15.75" customHeight="1">
      <c r="A122" s="113" t="n"/>
      <c r="B122" s="146" t="n">
        <v>2</v>
      </c>
      <c r="C122" s="279" t="n"/>
      <c r="D122" s="276" t="n">
        <v>11</v>
      </c>
      <c r="E122" s="293" t="inlineStr">
        <is>
          <t xml:space="preserve">SAN JOSE </t>
        </is>
      </c>
      <c r="F122" s="293" t="inlineStr">
        <is>
          <t>CARGUEROS</t>
        </is>
      </c>
      <c r="G122" s="293" t="n">
        <v>13</v>
      </c>
      <c r="H122" s="293" t="inlineStr">
        <is>
          <t xml:space="preserve">ALEX GOMEZ </t>
        </is>
      </c>
      <c r="I122" s="293" t="inlineStr">
        <is>
          <t>TLO881</t>
        </is>
      </c>
      <c r="J122" s="294" t="n">
        <v>0.5034722222222222</v>
      </c>
      <c r="K122" s="295" t="n">
        <v>3835</v>
      </c>
      <c r="L122" s="296" t="n"/>
      <c r="M122" s="113" t="n"/>
      <c r="N122" s="113" t="n"/>
      <c r="O122" s="113" t="n"/>
      <c r="P122" s="243" t="n"/>
      <c r="Q122" s="113" t="n"/>
      <c r="R122" s="113" t="n"/>
    </row>
    <row r="123" ht="15.75" customHeight="1">
      <c r="A123" s="113" t="n"/>
      <c r="B123" s="146" t="n">
        <v>2</v>
      </c>
      <c r="C123" s="279" t="n"/>
      <c r="D123" s="276" t="n">
        <v>12</v>
      </c>
      <c r="E123" s="293" t="inlineStr">
        <is>
          <t xml:space="preserve">SAN JOSE </t>
        </is>
      </c>
      <c r="F123" s="293" t="inlineStr">
        <is>
          <t>CARGUEROS</t>
        </is>
      </c>
      <c r="G123" s="293" t="n">
        <v>13</v>
      </c>
      <c r="H123" s="293" t="inlineStr">
        <is>
          <t xml:space="preserve">FABIO ALDANA </t>
        </is>
      </c>
      <c r="I123" s="293" t="inlineStr">
        <is>
          <t>TLO882</t>
        </is>
      </c>
      <c r="J123" s="294" t="n">
        <v>0.5555555555555556</v>
      </c>
      <c r="K123" s="295" t="n">
        <v>3260</v>
      </c>
      <c r="L123" s="296" t="n"/>
      <c r="M123" s="113" t="n"/>
      <c r="N123" s="113" t="n"/>
      <c r="O123" s="113" t="n"/>
      <c r="P123" s="243" t="n"/>
      <c r="Q123" s="113" t="n"/>
      <c r="R123" s="113" t="n"/>
    </row>
    <row r="124" ht="15.75" customHeight="1">
      <c r="A124" s="113" t="n"/>
      <c r="B124" s="146" t="n">
        <v>2</v>
      </c>
      <c r="C124" s="279" t="n"/>
      <c r="D124" s="276" t="n">
        <v>13</v>
      </c>
      <c r="E124" s="293" t="inlineStr">
        <is>
          <t xml:space="preserve">SAN JOSE </t>
        </is>
      </c>
      <c r="F124" s="293" t="inlineStr">
        <is>
          <t>CARGUEROS</t>
        </is>
      </c>
      <c r="G124" s="293" t="n">
        <v>13</v>
      </c>
      <c r="H124" s="264" t="inlineStr">
        <is>
          <t>MANUEL QUITIAN</t>
        </is>
      </c>
      <c r="I124" s="293" t="inlineStr">
        <is>
          <t>KUS176</t>
        </is>
      </c>
      <c r="J124" s="294" t="n">
        <v>0.5930555555555556</v>
      </c>
      <c r="K124" s="295" t="n">
        <v>3260</v>
      </c>
      <c r="L124" s="296" t="n"/>
      <c r="M124" s="113" t="n"/>
      <c r="N124" s="113" t="n"/>
      <c r="O124" s="113" t="n"/>
      <c r="P124" s="243" t="n"/>
      <c r="Q124" s="113" t="n"/>
      <c r="R124" s="113" t="n"/>
    </row>
    <row r="125" ht="15.75" customHeight="1">
      <c r="A125" s="113" t="n"/>
      <c r="B125" s="146" t="n">
        <v>2</v>
      </c>
      <c r="C125" s="280" t="n"/>
      <c r="D125" s="270" t="n">
        <v>14</v>
      </c>
      <c r="E125" s="271" t="inlineStr">
        <is>
          <t xml:space="preserve">MALAGUEÑA BOGOTA </t>
        </is>
      </c>
      <c r="F125" s="271" t="inlineStr">
        <is>
          <t xml:space="preserve">ABONEROS </t>
        </is>
      </c>
      <c r="G125" s="271" t="n">
        <v>9</v>
      </c>
      <c r="H125" s="271" t="inlineStr">
        <is>
          <t xml:space="preserve">MARCOS OSPINA </t>
        </is>
      </c>
      <c r="I125" s="271" t="inlineStr">
        <is>
          <t>EQY688</t>
        </is>
      </c>
      <c r="J125" s="272" t="n">
        <v>0.675</v>
      </c>
      <c r="K125" s="286" t="n">
        <v>3300</v>
      </c>
      <c r="L125" s="310">
        <f>SUBTOTAL(9,K112:K125)</f>
        <v/>
      </c>
      <c r="M125" s="113" t="n"/>
      <c r="N125" s="113" t="n"/>
      <c r="O125" s="113" t="n"/>
      <c r="P125" s="243" t="n"/>
      <c r="Q125" s="113" t="n"/>
      <c r="R125" s="113" t="n"/>
    </row>
    <row r="126" ht="15.75" customHeight="1">
      <c r="A126" s="113" t="n"/>
      <c r="B126" s="146" t="n">
        <v>2</v>
      </c>
      <c r="C126" s="291" t="n">
        <v>45822</v>
      </c>
      <c r="D126" s="257" t="n">
        <v>1</v>
      </c>
      <c r="E126" s="258" t="inlineStr">
        <is>
          <t xml:space="preserve">MALAGUEÑA </t>
        </is>
      </c>
      <c r="F126" s="258" t="inlineStr">
        <is>
          <t>ABONEROS</t>
        </is>
      </c>
      <c r="G126" s="258" t="n">
        <v>11</v>
      </c>
      <c r="H126" s="258" t="inlineStr">
        <is>
          <t xml:space="preserve">JAVIER GARZON </t>
        </is>
      </c>
      <c r="I126" s="258" t="inlineStr">
        <is>
          <t>WFI418</t>
        </is>
      </c>
      <c r="J126" s="259" t="n">
        <v>0.2409722222222222</v>
      </c>
      <c r="K126" s="260" t="n">
        <v>3000</v>
      </c>
      <c r="L126" s="292" t="n"/>
      <c r="M126" s="113" t="n"/>
      <c r="N126" s="113" t="n"/>
      <c r="O126" s="113" t="n"/>
      <c r="P126" s="243" t="n"/>
      <c r="Q126" s="113" t="n"/>
      <c r="R126" s="113" t="n"/>
    </row>
    <row r="127" ht="15.75" customHeight="1">
      <c r="A127" s="113" t="n"/>
      <c r="B127" s="146" t="n">
        <v>2</v>
      </c>
      <c r="C127" s="262" t="n"/>
      <c r="D127" s="263" t="n">
        <v>2</v>
      </c>
      <c r="E127" s="264" t="inlineStr">
        <is>
          <t xml:space="preserve">MALAGUEÑA </t>
        </is>
      </c>
      <c r="F127" s="264" t="inlineStr">
        <is>
          <t>ABONEROS</t>
        </is>
      </c>
      <c r="G127" s="264" t="n">
        <v>11</v>
      </c>
      <c r="H127" s="264" t="inlineStr">
        <is>
          <t xml:space="preserve">FERNANDO OYUELA </t>
        </is>
      </c>
      <c r="I127" s="264" t="inlineStr">
        <is>
          <t>EQY778</t>
        </is>
      </c>
      <c r="J127" s="265" t="inlineStr">
        <is>
          <t>09:31 a.m</t>
        </is>
      </c>
      <c r="K127" s="266" t="n">
        <v>3557</v>
      </c>
      <c r="L127" s="308" t="n"/>
      <c r="M127" s="113" t="n"/>
      <c r="N127" s="113" t="n"/>
      <c r="O127" s="113" t="n"/>
      <c r="P127" s="243" t="n"/>
      <c r="Q127" s="113" t="n"/>
      <c r="R127" s="113" t="n"/>
    </row>
    <row r="128" ht="15.75" customHeight="1">
      <c r="A128" s="113" t="n"/>
      <c r="B128" s="146" t="n">
        <v>2</v>
      </c>
      <c r="C128" s="262" t="n"/>
      <c r="D128" s="263" t="n">
        <v>3</v>
      </c>
      <c r="E128" s="264" t="inlineStr">
        <is>
          <t xml:space="preserve">MALAGUEÑA </t>
        </is>
      </c>
      <c r="F128" s="264" t="inlineStr">
        <is>
          <t>ABONEROS</t>
        </is>
      </c>
      <c r="G128" s="264" t="n">
        <v>11</v>
      </c>
      <c r="H128" s="264" t="inlineStr">
        <is>
          <t xml:space="preserve">FABIO ALDANA </t>
        </is>
      </c>
      <c r="I128" s="264" t="inlineStr">
        <is>
          <t>TLO882</t>
        </is>
      </c>
      <c r="J128" s="265" t="inlineStr">
        <is>
          <t>10:29 a.m</t>
        </is>
      </c>
      <c r="K128" s="266" t="n">
        <v>3557</v>
      </c>
      <c r="L128" s="308" t="n"/>
      <c r="M128" s="113" t="n"/>
      <c r="N128" s="113" t="n"/>
      <c r="O128" s="113" t="n"/>
      <c r="P128" s="243" t="n"/>
      <c r="Q128" s="113" t="n"/>
      <c r="R128" s="113" t="n"/>
    </row>
    <row r="129" ht="15.75" customHeight="1">
      <c r="A129" s="113" t="n"/>
      <c r="B129" s="146" t="n">
        <v>2</v>
      </c>
      <c r="C129" s="262" t="n"/>
      <c r="D129" s="263" t="n">
        <v>4</v>
      </c>
      <c r="E129" s="264" t="inlineStr">
        <is>
          <t xml:space="preserve">SAN JOSE </t>
        </is>
      </c>
      <c r="F129" s="264" t="inlineStr">
        <is>
          <t>CARGUEROS</t>
        </is>
      </c>
      <c r="G129" s="264" t="n">
        <v>10</v>
      </c>
      <c r="H129" s="264" t="inlineStr">
        <is>
          <t xml:space="preserve">JOSE SOLER </t>
        </is>
      </c>
      <c r="I129" s="264" t="inlineStr">
        <is>
          <t>EQY776</t>
        </is>
      </c>
      <c r="J129" s="265" t="n">
        <v>0.4243055555555555</v>
      </c>
      <c r="K129" s="266" t="n">
        <v>3686</v>
      </c>
      <c r="L129" s="308" t="n"/>
      <c r="M129" s="113" t="n"/>
      <c r="N129" s="113" t="n"/>
      <c r="O129" s="113" t="n"/>
      <c r="P129" s="243" t="n"/>
      <c r="Q129" s="113" t="n"/>
      <c r="R129" s="113" t="n"/>
    </row>
    <row r="130" ht="15.75" customHeight="1">
      <c r="A130" s="113" t="n"/>
      <c r="B130" s="146" t="n">
        <v>2</v>
      </c>
      <c r="C130" s="262" t="n"/>
      <c r="D130" s="263" t="n">
        <v>5</v>
      </c>
      <c r="E130" s="264" t="inlineStr">
        <is>
          <t xml:space="preserve">SAN JOSE </t>
        </is>
      </c>
      <c r="F130" s="264" t="inlineStr">
        <is>
          <t>CARGUEROS</t>
        </is>
      </c>
      <c r="G130" s="264" t="n">
        <v>10</v>
      </c>
      <c r="H130" s="264" t="inlineStr">
        <is>
          <t>HENRY ROMERO</t>
        </is>
      </c>
      <c r="I130" s="264" t="inlineStr">
        <is>
          <t>EQY781</t>
        </is>
      </c>
      <c r="J130" s="265" t="n">
        <v>0.4583333333333333</v>
      </c>
      <c r="K130" s="266" t="n">
        <v>3686</v>
      </c>
      <c r="L130" s="308" t="n"/>
      <c r="M130" s="113" t="n"/>
      <c r="N130" s="113" t="n"/>
      <c r="O130" s="113" t="n"/>
      <c r="P130" s="243" t="n"/>
      <c r="Q130" s="113" t="n"/>
      <c r="R130" s="113" t="n"/>
    </row>
    <row r="131" ht="15.75" customHeight="1">
      <c r="A131" s="113" t="n"/>
      <c r="B131" s="146" t="n">
        <v>2</v>
      </c>
      <c r="C131" s="262" t="n"/>
      <c r="D131" s="263" t="n">
        <v>6</v>
      </c>
      <c r="E131" s="264" t="inlineStr">
        <is>
          <t xml:space="preserve">SAN JOSE </t>
        </is>
      </c>
      <c r="F131" s="264" t="inlineStr">
        <is>
          <t>CARGUEROS</t>
        </is>
      </c>
      <c r="G131" s="264" t="n">
        <v>10</v>
      </c>
      <c r="H131" s="264" t="inlineStr">
        <is>
          <t xml:space="preserve">EDUAN CAVIEDEZ </t>
        </is>
      </c>
      <c r="I131" s="264" t="inlineStr">
        <is>
          <t>EQY779</t>
        </is>
      </c>
      <c r="J131" s="265" t="n">
        <v>0.5</v>
      </c>
      <c r="K131" s="266" t="n">
        <v>3686</v>
      </c>
      <c r="L131" s="308" t="n"/>
      <c r="M131" s="113" t="n"/>
      <c r="N131" s="113" t="n"/>
      <c r="O131" s="113" t="n"/>
      <c r="P131" s="243" t="n"/>
      <c r="Q131" s="113" t="n"/>
      <c r="R131" s="113" t="n"/>
    </row>
    <row r="132" ht="15.75" customHeight="1">
      <c r="A132" s="113" t="n"/>
      <c r="B132" s="146" t="n">
        <v>2</v>
      </c>
      <c r="C132" s="262" t="n"/>
      <c r="D132" s="263" t="n">
        <v>7</v>
      </c>
      <c r="E132" s="264" t="inlineStr">
        <is>
          <t xml:space="preserve">SAN JOSE </t>
        </is>
      </c>
      <c r="F132" s="264" t="inlineStr">
        <is>
          <t>CARGUEROS</t>
        </is>
      </c>
      <c r="G132" s="264" t="n">
        <v>10</v>
      </c>
      <c r="H132" s="264" t="inlineStr">
        <is>
          <t xml:space="preserve">JAVIER GARZON </t>
        </is>
      </c>
      <c r="I132" s="264" t="inlineStr">
        <is>
          <t>WFI418</t>
        </is>
      </c>
      <c r="J132" s="265" t="n">
        <v>0.5520833333333334</v>
      </c>
      <c r="K132" s="266" t="n">
        <v>3000</v>
      </c>
      <c r="L132" s="308" t="n"/>
      <c r="M132" s="113" t="n"/>
      <c r="N132" s="113" t="n"/>
      <c r="O132" s="113" t="n"/>
      <c r="P132" s="243" t="n"/>
      <c r="Q132" s="113" t="n"/>
      <c r="R132" s="113" t="n"/>
    </row>
    <row r="133" ht="15.75" customHeight="1">
      <c r="A133" s="113" t="n"/>
      <c r="B133" s="146" t="n">
        <v>2</v>
      </c>
      <c r="C133" s="262" t="n"/>
      <c r="D133" s="263" t="n">
        <v>8</v>
      </c>
      <c r="E133" s="264" t="inlineStr">
        <is>
          <t xml:space="preserve">SAN JOSE </t>
        </is>
      </c>
      <c r="F133" s="264" t="inlineStr">
        <is>
          <t>CARGUEROS</t>
        </is>
      </c>
      <c r="G133" s="264" t="n">
        <v>10</v>
      </c>
      <c r="H133" s="264" t="inlineStr">
        <is>
          <t xml:space="preserve">FABIO ALDANA </t>
        </is>
      </c>
      <c r="I133" s="264" t="inlineStr">
        <is>
          <t>TLO882</t>
        </is>
      </c>
      <c r="J133" s="265" t="n">
        <v>0.6041666666666666</v>
      </c>
      <c r="K133" s="266" t="n">
        <v>3686</v>
      </c>
      <c r="L133" s="308" t="n"/>
      <c r="M133" s="113" t="n"/>
      <c r="N133" s="113" t="n"/>
      <c r="O133" s="113" t="n"/>
      <c r="P133" s="243" t="n"/>
      <c r="Q133" s="113" t="n"/>
      <c r="R133" s="113" t="n"/>
    </row>
    <row r="134" ht="15.75" customHeight="1">
      <c r="A134" s="113" t="n"/>
      <c r="B134" s="146" t="n">
        <v>2</v>
      </c>
      <c r="C134" s="262" t="n"/>
      <c r="D134" s="263" t="n">
        <v>9</v>
      </c>
      <c r="E134" s="264" t="inlineStr">
        <is>
          <t xml:space="preserve">SAN JOSE </t>
        </is>
      </c>
      <c r="F134" s="264" t="inlineStr">
        <is>
          <t>CARGUEROS</t>
        </is>
      </c>
      <c r="G134" s="264" t="n">
        <v>10</v>
      </c>
      <c r="H134" s="264" t="inlineStr">
        <is>
          <t xml:space="preserve">JOSE HERRERA </t>
        </is>
      </c>
      <c r="I134" s="264" t="inlineStr">
        <is>
          <t>TLN881</t>
        </is>
      </c>
      <c r="J134" s="265" t="n">
        <v>0.6284722222222222</v>
      </c>
      <c r="K134" s="266" t="n">
        <v>3686</v>
      </c>
      <c r="L134" s="308" t="n"/>
      <c r="M134" s="113" t="n"/>
      <c r="N134" s="113" t="n"/>
      <c r="O134" s="113" t="n"/>
      <c r="P134" s="243" t="n"/>
      <c r="Q134" s="113" t="n"/>
      <c r="R134" s="113" t="n"/>
    </row>
    <row r="135" ht="15.75" customHeight="1">
      <c r="A135" s="113" t="n"/>
      <c r="B135" s="146" t="n">
        <v>2</v>
      </c>
      <c r="C135" s="262" t="n"/>
      <c r="D135" s="263" t="n">
        <v>10</v>
      </c>
      <c r="E135" s="264" t="inlineStr">
        <is>
          <t xml:space="preserve">SAN JOSE </t>
        </is>
      </c>
      <c r="F135" s="264" t="inlineStr">
        <is>
          <t>CARGUEROS</t>
        </is>
      </c>
      <c r="G135" s="264" t="n">
        <v>10</v>
      </c>
      <c r="H135" s="264" t="inlineStr">
        <is>
          <t>EDWIN ROJAS</t>
        </is>
      </c>
      <c r="I135" s="264" t="inlineStr">
        <is>
          <t>TLN248</t>
        </is>
      </c>
      <c r="J135" s="265" t="n">
        <v>0.6805555555555556</v>
      </c>
      <c r="K135" s="266" t="n">
        <v>3686</v>
      </c>
      <c r="L135" s="309" t="n"/>
      <c r="M135" s="113" t="n"/>
      <c r="N135" s="113" t="n"/>
      <c r="O135" s="113" t="n"/>
      <c r="P135" s="243" t="n"/>
      <c r="Q135" s="113" t="n"/>
      <c r="R135" s="113" t="n"/>
    </row>
    <row r="136" ht="15.75" customHeight="1">
      <c r="A136" s="113" t="n"/>
      <c r="B136" s="146" t="n">
        <v>2</v>
      </c>
      <c r="C136" s="269" t="n"/>
      <c r="D136" s="281" t="n">
        <v>11</v>
      </c>
      <c r="E136" s="282" t="inlineStr">
        <is>
          <t xml:space="preserve">SAN JOSE </t>
        </is>
      </c>
      <c r="F136" s="282" t="inlineStr">
        <is>
          <t>CARGUEROS</t>
        </is>
      </c>
      <c r="G136" s="282" t="n">
        <v>10</v>
      </c>
      <c r="H136" s="282" t="inlineStr">
        <is>
          <t xml:space="preserve">DIEGO NIÑO </t>
        </is>
      </c>
      <c r="I136" s="282" t="inlineStr">
        <is>
          <t>GZZ673</t>
        </is>
      </c>
      <c r="J136" s="283" t="n">
        <v>0.7291666666666666</v>
      </c>
      <c r="K136" s="284" t="n">
        <v>3000</v>
      </c>
      <c r="L136" s="285">
        <f>SUBTOTAL(9,K126:K136)</f>
        <v/>
      </c>
      <c r="M136" s="113" t="n"/>
      <c r="N136" s="113" t="n"/>
      <c r="O136" s="113" t="n"/>
      <c r="P136" s="243" t="n"/>
      <c r="Q136" s="113" t="n"/>
      <c r="R136" s="113" t="n"/>
    </row>
    <row r="137" ht="15.75" customHeight="1">
      <c r="A137" s="113" t="n"/>
      <c r="B137" s="146" t="n">
        <v>3</v>
      </c>
      <c r="C137" s="311" t="n">
        <v>45824</v>
      </c>
      <c r="D137" s="257" t="n">
        <v>1</v>
      </c>
      <c r="E137" s="258" t="inlineStr">
        <is>
          <t>MALAGUEÑA</t>
        </is>
      </c>
      <c r="F137" s="312" t="inlineStr">
        <is>
          <t xml:space="preserve">ABONEROS </t>
        </is>
      </c>
      <c r="G137" s="258" t="n">
        <v>10</v>
      </c>
      <c r="H137" s="258" t="inlineStr">
        <is>
          <t xml:space="preserve">MANUEL QUITIAN </t>
        </is>
      </c>
      <c r="I137" s="258" t="inlineStr">
        <is>
          <t>KUS176</t>
        </is>
      </c>
      <c r="J137" s="259" t="n">
        <v>0.08819444444444445</v>
      </c>
      <c r="K137" s="260" t="n">
        <v>3536</v>
      </c>
      <c r="L137" s="292" t="n"/>
      <c r="M137" s="113" t="n"/>
      <c r="N137" s="113" t="n"/>
      <c r="O137" s="113" t="n"/>
      <c r="P137" s="243" t="n"/>
      <c r="Q137" s="113" t="n"/>
      <c r="R137" s="113" t="n"/>
    </row>
    <row r="138" ht="15.75" customHeight="1">
      <c r="A138" s="113" t="n"/>
      <c r="B138" s="146" t="n">
        <v>3</v>
      </c>
      <c r="C138" s="279" t="n"/>
      <c r="D138" s="263" t="n">
        <v>2</v>
      </c>
      <c r="E138" s="264" t="inlineStr">
        <is>
          <t>MALAGUEÑA</t>
        </is>
      </c>
      <c r="F138" s="313" t="inlineStr">
        <is>
          <t>ABONEROS</t>
        </is>
      </c>
      <c r="G138" s="264" t="n">
        <v>10</v>
      </c>
      <c r="H138" s="264" t="inlineStr">
        <is>
          <t>HENRY ROMERO</t>
        </is>
      </c>
      <c r="I138" s="264" t="inlineStr">
        <is>
          <t>EQY781</t>
        </is>
      </c>
      <c r="J138" s="265" t="n">
        <v>0.125</v>
      </c>
      <c r="K138" s="266" t="n">
        <v>3536</v>
      </c>
      <c r="L138" s="308" t="n"/>
      <c r="M138" s="113" t="n"/>
      <c r="N138" s="113" t="n"/>
      <c r="O138" s="113" t="n"/>
      <c r="P138" s="243" t="n"/>
      <c r="Q138" s="113" t="n"/>
      <c r="R138" s="113" t="n"/>
    </row>
    <row r="139" ht="15.75" customHeight="1">
      <c r="A139" s="113" t="n"/>
      <c r="B139" s="146" t="n">
        <v>3</v>
      </c>
      <c r="C139" s="279" t="n"/>
      <c r="D139" s="263" t="n">
        <v>3</v>
      </c>
      <c r="E139" s="264" t="inlineStr">
        <is>
          <t>MALAGUEÑA</t>
        </is>
      </c>
      <c r="F139" s="313" t="inlineStr">
        <is>
          <t>ABONEROS</t>
        </is>
      </c>
      <c r="G139" s="264" t="n">
        <v>9</v>
      </c>
      <c r="H139" s="264" t="inlineStr">
        <is>
          <t xml:space="preserve">FERNANDO OYUELA </t>
        </is>
      </c>
      <c r="I139" s="264" t="inlineStr">
        <is>
          <t>EQY778</t>
        </is>
      </c>
      <c r="J139" s="265" t="n">
        <v>0.1625</v>
      </c>
      <c r="K139" s="266" t="n">
        <v>3536</v>
      </c>
      <c r="L139" s="308" t="n"/>
      <c r="M139" s="113" t="n"/>
      <c r="N139" s="113" t="n"/>
      <c r="O139" s="113" t="n"/>
      <c r="P139" s="243" t="n"/>
      <c r="Q139" s="113" t="n"/>
      <c r="R139" s="113" t="n"/>
    </row>
    <row r="140" ht="15.75" customHeight="1">
      <c r="A140" s="113" t="n"/>
      <c r="B140" s="146" t="n">
        <v>3</v>
      </c>
      <c r="C140" s="279" t="n"/>
      <c r="D140" s="263" t="n">
        <v>4</v>
      </c>
      <c r="E140" s="264" t="inlineStr">
        <is>
          <t>MALAGUEÑA</t>
        </is>
      </c>
      <c r="F140" s="313" t="inlineStr">
        <is>
          <t>ABONEROS</t>
        </is>
      </c>
      <c r="G140" s="264" t="n">
        <v>9</v>
      </c>
      <c r="H140" s="264" t="inlineStr">
        <is>
          <t>EDWIN ROJAS</t>
        </is>
      </c>
      <c r="I140" s="264" t="inlineStr">
        <is>
          <t>TLN248</t>
        </is>
      </c>
      <c r="J140" s="265" t="n">
        <v>0.2166666666666667</v>
      </c>
      <c r="K140" s="266" t="n">
        <v>3598</v>
      </c>
      <c r="L140" s="308" t="n"/>
      <c r="M140" s="113" t="n"/>
      <c r="N140" s="113" t="n"/>
      <c r="O140" s="113" t="n"/>
      <c r="P140" s="243" t="n"/>
      <c r="Q140" s="113" t="n"/>
      <c r="R140" s="113" t="n"/>
    </row>
    <row r="141" ht="15.75" customHeight="1">
      <c r="A141" s="113" t="n"/>
      <c r="B141" s="146" t="n">
        <v>3</v>
      </c>
      <c r="C141" s="279" t="n"/>
      <c r="D141" s="263" t="n">
        <v>5</v>
      </c>
      <c r="E141" s="264" t="inlineStr">
        <is>
          <t xml:space="preserve">SAN JOSE </t>
        </is>
      </c>
      <c r="F141" s="314" t="inlineStr">
        <is>
          <t xml:space="preserve">CARGUEROS  </t>
        </is>
      </c>
      <c r="G141" s="264" t="n">
        <v>10</v>
      </c>
      <c r="H141" s="264" t="inlineStr">
        <is>
          <t xml:space="preserve">DIEGO NIÑO </t>
        </is>
      </c>
      <c r="I141" s="264" t="inlineStr">
        <is>
          <t>GZZ673</t>
        </is>
      </c>
      <c r="J141" s="265" t="n">
        <v>0.25</v>
      </c>
      <c r="K141" s="266" t="n">
        <v>3163</v>
      </c>
      <c r="L141" s="308" t="n"/>
      <c r="M141" s="113" t="n"/>
      <c r="N141" s="113" t="n"/>
      <c r="O141" s="113" t="n"/>
      <c r="P141" s="243" t="n"/>
      <c r="Q141" s="113" t="n"/>
      <c r="R141" s="113" t="n"/>
    </row>
    <row r="142" ht="15.75" customHeight="1">
      <c r="A142" s="113" t="n"/>
      <c r="B142" s="146" t="n">
        <v>3</v>
      </c>
      <c r="C142" s="279" t="n"/>
      <c r="D142" s="263" t="n">
        <v>6</v>
      </c>
      <c r="E142" s="264" t="inlineStr">
        <is>
          <t xml:space="preserve">SAN JOSE </t>
        </is>
      </c>
      <c r="F142" s="314" t="inlineStr">
        <is>
          <t xml:space="preserve">CARGUEROS  </t>
        </is>
      </c>
      <c r="G142" s="264" t="n">
        <v>10</v>
      </c>
      <c r="H142" s="264" t="inlineStr">
        <is>
          <t xml:space="preserve">ALEX GOMEZ </t>
        </is>
      </c>
      <c r="I142" s="264" t="inlineStr">
        <is>
          <t>TLO881</t>
        </is>
      </c>
      <c r="J142" s="265" t="n">
        <v>0.2888888888888889</v>
      </c>
      <c r="K142" s="266" t="n">
        <v>3163</v>
      </c>
      <c r="L142" s="308" t="n"/>
      <c r="M142" s="113" t="n"/>
      <c r="N142" s="113" t="n"/>
      <c r="O142" s="113" t="n"/>
      <c r="P142" s="243" t="n"/>
      <c r="Q142" s="113" t="n"/>
      <c r="R142" s="113" t="n"/>
    </row>
    <row r="143" ht="15.75" customHeight="1">
      <c r="A143" s="113" t="n"/>
      <c r="B143" s="146" t="n">
        <v>3</v>
      </c>
      <c r="C143" s="279" t="n"/>
      <c r="D143" s="263" t="n">
        <v>7</v>
      </c>
      <c r="E143" s="264" t="inlineStr">
        <is>
          <t xml:space="preserve">SAN JOSE </t>
        </is>
      </c>
      <c r="F143" s="314" t="inlineStr">
        <is>
          <t>CARGUEROS</t>
        </is>
      </c>
      <c r="G143" s="264" t="n">
        <v>10</v>
      </c>
      <c r="H143" s="264" t="inlineStr">
        <is>
          <t xml:space="preserve">DUMAR ANGARITA </t>
        </is>
      </c>
      <c r="I143" s="264" t="inlineStr">
        <is>
          <t>LQO745</t>
        </is>
      </c>
      <c r="J143" s="265" t="n">
        <v>0.3368055555555556</v>
      </c>
      <c r="K143" s="266" t="n">
        <v>3163</v>
      </c>
      <c r="L143" s="308" t="n"/>
      <c r="M143" s="113" t="n"/>
      <c r="N143" s="113" t="n"/>
      <c r="O143" s="113" t="n"/>
      <c r="P143" s="243" t="n"/>
      <c r="Q143" s="113" t="n"/>
      <c r="R143" s="113" t="n"/>
    </row>
    <row r="144" ht="15.75" customHeight="1">
      <c r="A144" s="113" t="n"/>
      <c r="B144" s="146" t="n">
        <v>3</v>
      </c>
      <c r="C144" s="279" t="n"/>
      <c r="D144" s="263" t="n">
        <v>8</v>
      </c>
      <c r="E144" s="264" t="inlineStr">
        <is>
          <t xml:space="preserve">SAN JOSE </t>
        </is>
      </c>
      <c r="F144" s="313" t="inlineStr">
        <is>
          <t xml:space="preserve">ABONEROS </t>
        </is>
      </c>
      <c r="G144" s="264" t="n">
        <v>9</v>
      </c>
      <c r="H144" s="264" t="inlineStr">
        <is>
          <t xml:space="preserve">JAIRO CUBILLOS </t>
        </is>
      </c>
      <c r="I144" s="264" t="inlineStr">
        <is>
          <t>TLO884</t>
        </is>
      </c>
      <c r="J144" s="265" t="n">
        <v>0.3465277777777778</v>
      </c>
      <c r="K144" s="266" t="n">
        <v>3725</v>
      </c>
      <c r="L144" s="308" t="n"/>
      <c r="M144" s="113" t="n"/>
      <c r="N144" s="113" t="n"/>
      <c r="O144" s="113" t="n"/>
      <c r="P144" s="243" t="n"/>
      <c r="Q144" s="113" t="n"/>
      <c r="R144" s="113" t="n"/>
    </row>
    <row r="145" ht="15.75" customHeight="1">
      <c r="A145" s="113" t="n"/>
      <c r="B145" s="146" t="n">
        <v>3</v>
      </c>
      <c r="C145" s="279" t="n"/>
      <c r="D145" s="263" t="n">
        <v>9</v>
      </c>
      <c r="E145" s="264" t="inlineStr">
        <is>
          <t xml:space="preserve">SAN JOSE </t>
        </is>
      </c>
      <c r="F145" s="313" t="inlineStr">
        <is>
          <t xml:space="preserve">ABONEROS </t>
        </is>
      </c>
      <c r="G145" s="264" t="n">
        <v>9</v>
      </c>
      <c r="H145" s="264" t="inlineStr">
        <is>
          <t xml:space="preserve">FABIO ALDANA </t>
        </is>
      </c>
      <c r="I145" s="264" t="inlineStr">
        <is>
          <t>TLO882</t>
        </is>
      </c>
      <c r="J145" s="265" t="n">
        <v>0.3854166666666667</v>
      </c>
      <c r="K145" s="266" t="n">
        <v>3725</v>
      </c>
      <c r="L145" s="308" t="n"/>
      <c r="M145" s="113" t="n"/>
      <c r="N145" s="113" t="n"/>
      <c r="O145" s="113" t="n"/>
      <c r="P145" s="243" t="n"/>
      <c r="Q145" s="113" t="n"/>
      <c r="R145" s="113" t="n"/>
    </row>
    <row r="146" ht="15.75" customHeight="1">
      <c r="A146" s="113" t="n"/>
      <c r="B146" s="146" t="n">
        <v>3</v>
      </c>
      <c r="C146" s="279" t="n"/>
      <c r="D146" s="263" t="n">
        <v>10</v>
      </c>
      <c r="E146" s="264" t="inlineStr">
        <is>
          <t xml:space="preserve">SAN JOSE </t>
        </is>
      </c>
      <c r="F146" s="314" t="inlineStr">
        <is>
          <t xml:space="preserve">CARGUEROS  </t>
        </is>
      </c>
      <c r="G146" s="264" t="n">
        <v>10</v>
      </c>
      <c r="H146" s="264" t="inlineStr">
        <is>
          <t xml:space="preserve">EDUAN CAVIEDEZ </t>
        </is>
      </c>
      <c r="I146" s="264" t="inlineStr">
        <is>
          <t>EQY779</t>
        </is>
      </c>
      <c r="J146" s="265" t="n">
        <v>0.4076388888888889</v>
      </c>
      <c r="K146" s="266" t="n">
        <v>3753</v>
      </c>
      <c r="L146" s="308" t="n"/>
      <c r="M146" s="113" t="n"/>
      <c r="N146" s="113" t="n"/>
      <c r="O146" s="113" t="n"/>
      <c r="P146" s="243" t="n"/>
      <c r="Q146" s="113" t="n"/>
      <c r="R146" s="113" t="n"/>
    </row>
    <row r="147" ht="15.75" customHeight="1">
      <c r="A147" s="113" t="n"/>
      <c r="B147" s="146" t="n">
        <v>3</v>
      </c>
      <c r="C147" s="279" t="n"/>
      <c r="D147" s="263" t="n">
        <v>11</v>
      </c>
      <c r="E147" s="264" t="inlineStr">
        <is>
          <t xml:space="preserve">SAN JOSE </t>
        </is>
      </c>
      <c r="F147" s="313" t="inlineStr">
        <is>
          <t xml:space="preserve">ABONEROS </t>
        </is>
      </c>
      <c r="G147" s="264" t="n">
        <v>9</v>
      </c>
      <c r="H147" s="264" t="inlineStr">
        <is>
          <t xml:space="preserve">JOSE HERRERA </t>
        </is>
      </c>
      <c r="I147" s="264" t="inlineStr">
        <is>
          <t>TLN181</t>
        </is>
      </c>
      <c r="J147" s="265" t="n">
        <v>0.4270833333333333</v>
      </c>
      <c r="K147" s="266" t="n">
        <v>3675</v>
      </c>
      <c r="L147" s="308" t="n"/>
      <c r="M147" s="113" t="n"/>
      <c r="N147" s="113" t="n"/>
      <c r="O147" s="113" t="n"/>
      <c r="P147" s="243" t="n"/>
      <c r="Q147" s="113" t="n"/>
      <c r="R147" s="113" t="n"/>
    </row>
    <row r="148" ht="15.75" customHeight="1">
      <c r="A148" s="113" t="n"/>
      <c r="B148" s="146" t="n">
        <v>3</v>
      </c>
      <c r="C148" s="279" t="n"/>
      <c r="D148" s="263" t="n">
        <v>12</v>
      </c>
      <c r="E148" s="264" t="inlineStr">
        <is>
          <t xml:space="preserve">SAN JOSE </t>
        </is>
      </c>
      <c r="F148" s="314" t="inlineStr">
        <is>
          <t xml:space="preserve">CARGUEROS  </t>
        </is>
      </c>
      <c r="G148" s="264" t="n">
        <v>10</v>
      </c>
      <c r="H148" s="264" t="inlineStr">
        <is>
          <t xml:space="preserve">ALBERTO LOPEZ </t>
        </is>
      </c>
      <c r="I148" s="264" t="inlineStr">
        <is>
          <t>EQY777</t>
        </is>
      </c>
      <c r="J148" s="265" t="n">
        <v>0.4409722222222222</v>
      </c>
      <c r="K148" s="266" t="n">
        <v>3725</v>
      </c>
      <c r="L148" s="308" t="n"/>
      <c r="M148" s="113" t="n"/>
      <c r="N148" s="113" t="n"/>
      <c r="O148" s="113" t="n"/>
      <c r="P148" s="243" t="n"/>
      <c r="Q148" s="113" t="n"/>
      <c r="R148" s="113" t="n"/>
    </row>
    <row r="149" ht="15.75" customHeight="1">
      <c r="A149" s="113" t="n"/>
      <c r="B149" s="146" t="n">
        <v>3</v>
      </c>
      <c r="C149" s="279" t="n"/>
      <c r="D149" s="263" t="n">
        <v>13</v>
      </c>
      <c r="E149" s="264" t="inlineStr">
        <is>
          <t xml:space="preserve">SAN JOSE </t>
        </is>
      </c>
      <c r="F149" s="313" t="inlineStr">
        <is>
          <t>ABONEROS</t>
        </is>
      </c>
      <c r="G149" s="264" t="n">
        <v>9</v>
      </c>
      <c r="H149" s="264" t="inlineStr">
        <is>
          <t xml:space="preserve">MANUEL QUITIAN </t>
        </is>
      </c>
      <c r="I149" s="264" t="inlineStr">
        <is>
          <t>KUS176</t>
        </is>
      </c>
      <c r="J149" s="265" t="n">
        <v>0.4652777777777778</v>
      </c>
      <c r="K149" s="266" t="n">
        <v>3600</v>
      </c>
      <c r="L149" s="308" t="n"/>
      <c r="M149" s="113" t="n"/>
      <c r="N149" s="113" t="n"/>
      <c r="O149" s="113" t="n"/>
      <c r="P149" s="243" t="n"/>
      <c r="Q149" s="113" t="n"/>
      <c r="R149" s="113" t="n"/>
    </row>
    <row r="150" ht="15.75" customHeight="1">
      <c r="A150" s="113" t="n"/>
      <c r="B150" s="146" t="n">
        <v>3</v>
      </c>
      <c r="C150" s="279" t="n"/>
      <c r="D150" s="263" t="n">
        <v>14</v>
      </c>
      <c r="E150" s="264" t="inlineStr">
        <is>
          <t xml:space="preserve">SAN JOSE </t>
        </is>
      </c>
      <c r="F150" s="314" t="inlineStr">
        <is>
          <t xml:space="preserve">CARGUEROS  </t>
        </is>
      </c>
      <c r="G150" s="264" t="n">
        <v>10</v>
      </c>
      <c r="H150" s="264" t="inlineStr">
        <is>
          <t>HENRY ROMERO</t>
        </is>
      </c>
      <c r="I150" s="264" t="inlineStr">
        <is>
          <t>EQY781</t>
        </is>
      </c>
      <c r="J150" s="265" t="n">
        <v>0.4826388888888889</v>
      </c>
      <c r="K150" s="266" t="n">
        <v>3555</v>
      </c>
      <c r="L150" s="308" t="n"/>
      <c r="M150" s="113" t="n"/>
      <c r="N150" s="113" t="n"/>
      <c r="O150" s="113" t="n"/>
      <c r="P150" s="243" t="n"/>
      <c r="Q150" s="113" t="n"/>
      <c r="R150" s="113" t="n"/>
    </row>
    <row r="151" ht="15.75" customHeight="1">
      <c r="A151" s="113" t="n"/>
      <c r="B151" s="146" t="n">
        <v>3</v>
      </c>
      <c r="C151" s="279" t="n"/>
      <c r="D151" s="263" t="n">
        <v>15</v>
      </c>
      <c r="E151" s="264" t="inlineStr">
        <is>
          <t xml:space="preserve">SAN JOSE </t>
        </is>
      </c>
      <c r="F151" s="313" t="inlineStr">
        <is>
          <t xml:space="preserve">ABONEROS </t>
        </is>
      </c>
      <c r="G151" s="264" t="n">
        <v>9</v>
      </c>
      <c r="H151" s="264" t="inlineStr">
        <is>
          <t xml:space="preserve">FERNANDO OYUELA </t>
        </is>
      </c>
      <c r="I151" s="264" t="inlineStr">
        <is>
          <t>EQY778</t>
        </is>
      </c>
      <c r="J151" s="265" t="n">
        <v>0.50625</v>
      </c>
      <c r="K151" s="266" t="n">
        <v>3675</v>
      </c>
      <c r="L151" s="308" t="n"/>
      <c r="M151" s="113" t="n"/>
      <c r="N151" s="113" t="n"/>
      <c r="O151" s="113" t="n"/>
      <c r="P151" s="243" t="n"/>
      <c r="Q151" s="113" t="n"/>
      <c r="R151" s="113" t="n"/>
    </row>
    <row r="152" ht="15.75" customHeight="1">
      <c r="A152" s="113" t="n"/>
      <c r="B152" s="146" t="n">
        <v>3</v>
      </c>
      <c r="C152" s="279" t="n"/>
      <c r="D152" s="263" t="n">
        <v>16</v>
      </c>
      <c r="E152" s="264" t="inlineStr">
        <is>
          <t xml:space="preserve">SAN JOSE </t>
        </is>
      </c>
      <c r="F152" s="314" t="inlineStr">
        <is>
          <t>CARGUEROS</t>
        </is>
      </c>
      <c r="G152" s="264" t="n">
        <v>10</v>
      </c>
      <c r="H152" s="264" t="inlineStr">
        <is>
          <t>EDWIN ROJAS</t>
        </is>
      </c>
      <c r="I152" s="264" t="inlineStr">
        <is>
          <t>TLN248</t>
        </is>
      </c>
      <c r="J152" s="265" t="n">
        <v>0.5277777777777778</v>
      </c>
      <c r="K152" s="266" t="n">
        <v>3600</v>
      </c>
      <c r="L152" s="309" t="n"/>
      <c r="M152" s="113" t="n"/>
      <c r="N152" s="113" t="n"/>
      <c r="O152" s="113" t="n"/>
      <c r="P152" s="243" t="n"/>
      <c r="Q152" s="113" t="n"/>
      <c r="R152" s="113" t="n"/>
    </row>
    <row r="153" ht="15.75" customHeight="1">
      <c r="A153" s="113" t="n"/>
      <c r="B153" s="146" t="n">
        <v>3</v>
      </c>
      <c r="C153" s="280" t="n"/>
      <c r="D153" s="270" t="n">
        <v>17</v>
      </c>
      <c r="E153" s="271" t="inlineStr">
        <is>
          <t xml:space="preserve">SAN JOSE </t>
        </is>
      </c>
      <c r="F153" s="315" t="inlineStr">
        <is>
          <t>CARGUEROS</t>
        </is>
      </c>
      <c r="G153" s="271" t="n">
        <v>10</v>
      </c>
      <c r="H153" s="271" t="inlineStr">
        <is>
          <t xml:space="preserve">DIEGO NIÑO </t>
        </is>
      </c>
      <c r="I153" s="271" t="inlineStr">
        <is>
          <t>GZZ673</t>
        </is>
      </c>
      <c r="J153" s="272" t="n">
        <v>0.5833333333333334</v>
      </c>
      <c r="K153" s="273" t="n">
        <v>3600</v>
      </c>
      <c r="L153" s="310">
        <f>SUBTOTAL(9,K137:K153)</f>
        <v/>
      </c>
      <c r="M153" s="113" t="n"/>
      <c r="N153" s="113" t="n"/>
      <c r="O153" s="113" t="n"/>
      <c r="P153" s="243" t="n"/>
      <c r="Q153" s="113" t="n"/>
      <c r="R153" s="113" t="n"/>
    </row>
    <row r="154" ht="15.75" customHeight="1">
      <c r="A154" s="113" t="n"/>
      <c r="B154" s="146" t="n">
        <v>3</v>
      </c>
      <c r="C154" s="311" t="n">
        <v>45825</v>
      </c>
      <c r="D154" s="257" t="n">
        <v>1</v>
      </c>
      <c r="E154" s="258" t="inlineStr">
        <is>
          <t>MALAGUEÑA</t>
        </is>
      </c>
      <c r="F154" s="316" t="inlineStr">
        <is>
          <t>CARGUEROS</t>
        </is>
      </c>
      <c r="G154" s="258" t="n">
        <v>12</v>
      </c>
      <c r="H154" s="258" t="inlineStr">
        <is>
          <t xml:space="preserve">JHON ARIAS </t>
        </is>
      </c>
      <c r="I154" s="258" t="inlineStr">
        <is>
          <t>TLN181</t>
        </is>
      </c>
      <c r="J154" s="259" t="n">
        <v>0.06597222222222222</v>
      </c>
      <c r="K154" s="260" t="n">
        <v>3600</v>
      </c>
      <c r="L154" s="292" t="n"/>
      <c r="M154" s="113" t="n"/>
      <c r="N154" s="113" t="n"/>
      <c r="O154" s="113" t="n"/>
      <c r="P154" s="243" t="n"/>
      <c r="Q154" s="113" t="n"/>
      <c r="R154" s="113" t="n"/>
    </row>
    <row r="155" ht="15.75" customHeight="1">
      <c r="A155" s="113" t="n"/>
      <c r="B155" s="146" t="n">
        <v>3</v>
      </c>
      <c r="C155" s="279" t="n"/>
      <c r="D155" s="263" t="n">
        <v>2</v>
      </c>
      <c r="E155" s="264" t="inlineStr">
        <is>
          <t>MALAGUEÑA</t>
        </is>
      </c>
      <c r="F155" s="314" t="inlineStr">
        <is>
          <t xml:space="preserve">CARGUEROS  </t>
        </is>
      </c>
      <c r="G155" s="264" t="n">
        <v>12</v>
      </c>
      <c r="H155" s="264" t="inlineStr">
        <is>
          <t xml:space="preserve">JOSE HERRERA </t>
        </is>
      </c>
      <c r="I155" s="264" t="inlineStr">
        <is>
          <t>EQY777</t>
        </is>
      </c>
      <c r="J155" s="265" t="n">
        <v>0.1006944444444444</v>
      </c>
      <c r="K155" s="266" t="n">
        <v>3600</v>
      </c>
      <c r="L155" s="308" t="n"/>
      <c r="M155" s="113" t="n"/>
      <c r="N155" s="113" t="n"/>
      <c r="O155" s="113" t="n"/>
      <c r="P155" s="243" t="n"/>
      <c r="Q155" s="113" t="n"/>
      <c r="R155" s="113" t="n"/>
    </row>
    <row r="156" ht="15.75" customHeight="1">
      <c r="A156" s="113" t="n"/>
      <c r="B156" s="146" t="n">
        <v>3</v>
      </c>
      <c r="C156" s="279" t="n"/>
      <c r="D156" s="263" t="n">
        <v>3</v>
      </c>
      <c r="E156" s="264" t="inlineStr">
        <is>
          <t>MALAGUEÑA</t>
        </is>
      </c>
      <c r="F156" s="314" t="inlineStr">
        <is>
          <t xml:space="preserve">CARGUEROS  </t>
        </is>
      </c>
      <c r="G156" s="264" t="n">
        <v>11</v>
      </c>
      <c r="H156" s="264" t="inlineStr">
        <is>
          <t xml:space="preserve">DIEGO NIÑO </t>
        </is>
      </c>
      <c r="I156" s="264" t="inlineStr">
        <is>
          <t>GZZ673</t>
        </is>
      </c>
      <c r="J156" s="265" t="n">
        <v>0.1354166666666667</v>
      </c>
      <c r="K156" s="266" t="n">
        <v>3600</v>
      </c>
      <c r="L156" s="308" t="n"/>
      <c r="M156" s="113" t="n"/>
      <c r="N156" s="113" t="n"/>
      <c r="O156" s="113" t="n"/>
      <c r="P156" s="243" t="n"/>
      <c r="Q156" s="113" t="n"/>
      <c r="R156" s="113" t="n"/>
    </row>
    <row r="157" ht="15.75" customHeight="1">
      <c r="A157" s="113" t="n"/>
      <c r="B157" s="146" t="n">
        <v>3</v>
      </c>
      <c r="C157" s="279" t="n"/>
      <c r="D157" s="263" t="n">
        <v>4</v>
      </c>
      <c r="E157" s="264" t="inlineStr">
        <is>
          <t>MALAGUEÑA</t>
        </is>
      </c>
      <c r="F157" s="314" t="inlineStr">
        <is>
          <t xml:space="preserve">CARGUEROS  </t>
        </is>
      </c>
      <c r="G157" s="264" t="n">
        <v>11</v>
      </c>
      <c r="H157" s="264" t="inlineStr">
        <is>
          <t xml:space="preserve">DUMAR ANGARITA </t>
        </is>
      </c>
      <c r="I157" s="264" t="inlineStr">
        <is>
          <t>LQO745</t>
        </is>
      </c>
      <c r="J157" s="265" t="n">
        <v>0.1763888888888889</v>
      </c>
      <c r="K157" s="266" t="n">
        <v>3600</v>
      </c>
      <c r="L157" s="308" t="n"/>
      <c r="M157" s="113" t="n"/>
      <c r="N157" s="113" t="n"/>
      <c r="O157" s="113" t="n"/>
      <c r="P157" s="243" t="n"/>
      <c r="Q157" s="113" t="n"/>
      <c r="R157" s="113" t="n"/>
    </row>
    <row r="158" ht="15.75" customHeight="1">
      <c r="A158" s="113" t="n"/>
      <c r="B158" s="146" t="n">
        <v>3</v>
      </c>
      <c r="C158" s="279" t="n"/>
      <c r="D158" s="263" t="n">
        <v>5</v>
      </c>
      <c r="E158" s="264" t="inlineStr">
        <is>
          <t>MALAGUEÑA</t>
        </is>
      </c>
      <c r="F158" s="314" t="inlineStr">
        <is>
          <t xml:space="preserve">CARGUEROS  </t>
        </is>
      </c>
      <c r="G158" s="264" t="n">
        <v>11</v>
      </c>
      <c r="H158" s="264" t="inlineStr">
        <is>
          <t xml:space="preserve">JAIRO CUBILLOS </t>
        </is>
      </c>
      <c r="I158" s="264" t="inlineStr">
        <is>
          <t>TLO884</t>
        </is>
      </c>
      <c r="J158" s="265" t="n">
        <v>0.2180555555555556</v>
      </c>
      <c r="K158" s="266" t="n">
        <v>3600</v>
      </c>
      <c r="L158" s="308" t="n"/>
      <c r="M158" s="113" t="n"/>
      <c r="N158" s="113" t="n"/>
      <c r="O158" s="113" t="n"/>
      <c r="P158" s="243" t="n"/>
      <c r="Q158" s="113" t="n"/>
      <c r="R158" s="113" t="n"/>
    </row>
    <row r="159" ht="15.75" customHeight="1">
      <c r="A159" s="113" t="n"/>
      <c r="B159" s="146" t="n">
        <v>3</v>
      </c>
      <c r="C159" s="279" t="n"/>
      <c r="D159" s="263" t="n">
        <v>6</v>
      </c>
      <c r="E159" s="264" t="inlineStr">
        <is>
          <t>MALAGUEÑA</t>
        </is>
      </c>
      <c r="F159" s="314" t="inlineStr">
        <is>
          <t xml:space="preserve">CARGUEROS  </t>
        </is>
      </c>
      <c r="G159" s="264" t="n">
        <v>11</v>
      </c>
      <c r="H159" s="264" t="inlineStr">
        <is>
          <t xml:space="preserve">EDUAN CAVIEDEZ </t>
        </is>
      </c>
      <c r="I159" s="264" t="inlineStr">
        <is>
          <t>EQY779</t>
        </is>
      </c>
      <c r="J159" s="265" t="n">
        <v>0.2597222222222222</v>
      </c>
      <c r="K159" s="266" t="n">
        <v>3600</v>
      </c>
      <c r="L159" s="308" t="n"/>
      <c r="M159" s="113" t="n"/>
      <c r="N159" s="113" t="n"/>
      <c r="O159" s="113" t="n"/>
      <c r="P159" s="243" t="n"/>
      <c r="Q159" s="113" t="n"/>
      <c r="R159" s="113" t="n"/>
    </row>
    <row r="160" ht="15.75" customHeight="1">
      <c r="A160" s="113" t="n"/>
      <c r="B160" s="146" t="n">
        <v>3</v>
      </c>
      <c r="C160" s="280" t="n"/>
      <c r="D160" s="270" t="n">
        <v>7</v>
      </c>
      <c r="E160" s="271" t="inlineStr">
        <is>
          <t>MALAGUEÑA</t>
        </is>
      </c>
      <c r="F160" s="315" t="inlineStr">
        <is>
          <t>CARGUEROS</t>
        </is>
      </c>
      <c r="G160" s="271" t="n">
        <v>11</v>
      </c>
      <c r="H160" s="271" t="inlineStr">
        <is>
          <t xml:space="preserve">FABIO ALDANA </t>
        </is>
      </c>
      <c r="I160" s="271" t="inlineStr">
        <is>
          <t>TLO882</t>
        </is>
      </c>
      <c r="J160" s="272" t="n">
        <v>0.3159722222222222</v>
      </c>
      <c r="K160" s="286" t="n">
        <v>2684</v>
      </c>
      <c r="L160" s="310">
        <f>SUBTOTAL(9,K154:K160)</f>
        <v/>
      </c>
      <c r="M160" s="113" t="n"/>
      <c r="N160" s="113" t="n"/>
      <c r="O160" s="113" t="n"/>
      <c r="P160" s="243" t="n"/>
      <c r="Q160" s="113" t="n"/>
      <c r="R160" s="113" t="n"/>
    </row>
    <row r="161" ht="15.75" customHeight="1">
      <c r="A161" s="113" t="n"/>
      <c r="B161" s="146" t="n">
        <v>3</v>
      </c>
      <c r="C161" s="311" t="n">
        <v>45826</v>
      </c>
      <c r="D161" s="257" t="n">
        <v>1</v>
      </c>
      <c r="E161" s="258" t="inlineStr">
        <is>
          <t xml:space="preserve">MALAGUEÑA </t>
        </is>
      </c>
      <c r="F161" s="316" t="inlineStr">
        <is>
          <t xml:space="preserve">CARGUEROS  </t>
        </is>
      </c>
      <c r="G161" s="258" t="n">
        <v>10</v>
      </c>
      <c r="H161" s="258" t="inlineStr">
        <is>
          <t>JHON AGUIRRE</t>
        </is>
      </c>
      <c r="I161" s="258" t="inlineStr">
        <is>
          <t>EQY780</t>
        </is>
      </c>
      <c r="J161" s="259" t="n">
        <v>0.1972222222222222</v>
      </c>
      <c r="K161" s="260" t="n">
        <v>2651</v>
      </c>
      <c r="L161" s="292" t="n"/>
      <c r="M161" s="113" t="n"/>
      <c r="N161" s="113" t="n"/>
      <c r="O161" s="113" t="n"/>
      <c r="P161" s="243" t="n"/>
      <c r="Q161" s="113" t="n"/>
      <c r="R161" s="113" t="n"/>
    </row>
    <row r="162" ht="15.75" customHeight="1">
      <c r="A162" s="113" t="n"/>
      <c r="B162" s="146" t="n">
        <v>3</v>
      </c>
      <c r="C162" s="280" t="n"/>
      <c r="D162" s="270" t="n">
        <v>2</v>
      </c>
      <c r="E162" s="271" t="inlineStr">
        <is>
          <t xml:space="preserve">MALAGUEÑA </t>
        </is>
      </c>
      <c r="F162" s="315" t="inlineStr">
        <is>
          <t xml:space="preserve">CARGUEROS  </t>
        </is>
      </c>
      <c r="G162" s="271" t="n">
        <v>10</v>
      </c>
      <c r="H162" s="271" t="inlineStr">
        <is>
          <t>HENRY ROMERO</t>
        </is>
      </c>
      <c r="I162" s="271" t="inlineStr">
        <is>
          <t>EQY781</t>
        </is>
      </c>
      <c r="J162" s="272" t="n">
        <v>0.2395833333333333</v>
      </c>
      <c r="K162" s="286" t="n">
        <v>2603</v>
      </c>
      <c r="L162" s="310">
        <f>SUBTOTAL(9,K161:K162)</f>
        <v/>
      </c>
      <c r="M162" s="113" t="n"/>
      <c r="N162" s="113" t="n"/>
      <c r="O162" s="113" t="n"/>
      <c r="P162" s="243" t="n"/>
      <c r="Q162" s="113" t="n"/>
      <c r="R162" s="113" t="n"/>
    </row>
    <row r="163" ht="15.75" customHeight="1">
      <c r="A163" s="113" t="n"/>
      <c r="B163" s="146" t="n">
        <v>3</v>
      </c>
      <c r="C163" s="311" t="n">
        <v>45827</v>
      </c>
      <c r="D163" s="257" t="n">
        <v>1</v>
      </c>
      <c r="E163" s="258" t="inlineStr">
        <is>
          <t xml:space="preserve">SAN JOSE </t>
        </is>
      </c>
      <c r="F163" s="316" t="inlineStr">
        <is>
          <t>CARGUEROS</t>
        </is>
      </c>
      <c r="G163" s="258" t="n">
        <v>10</v>
      </c>
      <c r="H163" s="258" t="inlineStr">
        <is>
          <t xml:space="preserve">JAIRO CUBILLOS </t>
        </is>
      </c>
      <c r="I163" s="258" t="inlineStr">
        <is>
          <t>TLO884</t>
        </is>
      </c>
      <c r="J163" s="259" t="n">
        <v>0.1145833333333333</v>
      </c>
      <c r="K163" s="260" t="n">
        <v>3200</v>
      </c>
      <c r="L163" s="292" t="n"/>
      <c r="M163" s="113" t="n"/>
      <c r="N163" s="113" t="n"/>
      <c r="O163" s="113" t="n"/>
      <c r="P163" s="243" t="n"/>
      <c r="Q163" s="113" t="n"/>
      <c r="R163" s="113" t="n"/>
    </row>
    <row r="164" ht="15.75" customHeight="1">
      <c r="A164" s="113" t="n"/>
      <c r="B164" s="146" t="n">
        <v>3</v>
      </c>
      <c r="C164" s="279" t="n"/>
      <c r="D164" s="263" t="n">
        <v>2</v>
      </c>
      <c r="E164" s="264" t="inlineStr">
        <is>
          <t xml:space="preserve">SAN JOSE </t>
        </is>
      </c>
      <c r="F164" s="314" t="inlineStr">
        <is>
          <t>CARGUEROS</t>
        </is>
      </c>
      <c r="G164" s="264" t="n">
        <v>10</v>
      </c>
      <c r="H164" s="264" t="inlineStr">
        <is>
          <t xml:space="preserve">FABIO ALDANA </t>
        </is>
      </c>
      <c r="I164" s="264" t="inlineStr">
        <is>
          <t>TLO882</t>
        </is>
      </c>
      <c r="J164" s="265" t="n">
        <v>0.1458333333333333</v>
      </c>
      <c r="K164" s="266" t="n">
        <v>3200</v>
      </c>
      <c r="L164" s="308" t="n"/>
      <c r="M164" s="113" t="n"/>
      <c r="N164" s="113" t="n"/>
      <c r="O164" s="113" t="n"/>
      <c r="P164" s="243" t="n"/>
      <c r="Q164" s="113" t="n"/>
      <c r="R164" s="113" t="n"/>
    </row>
    <row r="165" ht="15.75" customHeight="1">
      <c r="A165" s="113" t="n"/>
      <c r="B165" s="146" t="n">
        <v>3</v>
      </c>
      <c r="C165" s="279" t="n"/>
      <c r="D165" s="263" t="n">
        <v>3</v>
      </c>
      <c r="E165" s="264" t="inlineStr">
        <is>
          <t xml:space="preserve">SAN JOSE </t>
        </is>
      </c>
      <c r="F165" s="314" t="inlineStr">
        <is>
          <t>CARGUEROS</t>
        </is>
      </c>
      <c r="G165" s="264" t="n">
        <v>10</v>
      </c>
      <c r="H165" s="264" t="inlineStr">
        <is>
          <t xml:space="preserve">ALBERTO LOPEZ </t>
        </is>
      </c>
      <c r="I165" s="264" t="inlineStr">
        <is>
          <t>EQY777</t>
        </is>
      </c>
      <c r="J165" s="265" t="n">
        <v>0.1805555555555556</v>
      </c>
      <c r="K165" s="266" t="n">
        <v>3200</v>
      </c>
      <c r="L165" s="308" t="n"/>
      <c r="M165" s="113" t="n"/>
      <c r="N165" s="113" t="n"/>
      <c r="O165" s="113" t="n"/>
      <c r="P165" s="243" t="n"/>
      <c r="Q165" s="113" t="n"/>
      <c r="R165" s="113" t="n"/>
    </row>
    <row r="166" ht="15.75" customHeight="1">
      <c r="A166" s="113" t="n"/>
      <c r="B166" s="146" t="n">
        <v>3</v>
      </c>
      <c r="C166" s="279" t="n"/>
      <c r="D166" s="263" t="n">
        <v>4</v>
      </c>
      <c r="E166" s="264" t="inlineStr">
        <is>
          <t xml:space="preserve">SAN JOSE </t>
        </is>
      </c>
      <c r="F166" s="314" t="inlineStr">
        <is>
          <t>CARGUEROS</t>
        </is>
      </c>
      <c r="G166" s="264" t="n">
        <v>10</v>
      </c>
      <c r="H166" s="264" t="inlineStr">
        <is>
          <t xml:space="preserve">EDUAN CAVIEDEZ </t>
        </is>
      </c>
      <c r="I166" s="264" t="inlineStr">
        <is>
          <t>EQY779</t>
        </is>
      </c>
      <c r="J166" s="265" t="n">
        <v>0.2180555555555556</v>
      </c>
      <c r="K166" s="266" t="n">
        <v>3200</v>
      </c>
      <c r="L166" s="308" t="n"/>
      <c r="M166" s="113" t="n"/>
      <c r="N166" s="113" t="n"/>
      <c r="O166" s="113" t="n"/>
      <c r="P166" s="243" t="n"/>
      <c r="Q166" s="113" t="n"/>
      <c r="R166" s="113" t="n"/>
    </row>
    <row r="167" ht="15.75" customHeight="1">
      <c r="A167" s="113" t="n"/>
      <c r="B167" s="146" t="n">
        <v>3</v>
      </c>
      <c r="C167" s="279" t="n"/>
      <c r="D167" s="263" t="n">
        <v>5</v>
      </c>
      <c r="E167" s="264" t="inlineStr">
        <is>
          <t xml:space="preserve">SAN JOSE </t>
        </is>
      </c>
      <c r="F167" s="314" t="inlineStr">
        <is>
          <t xml:space="preserve">CARGUEROS  </t>
        </is>
      </c>
      <c r="G167" s="264" t="n">
        <v>10</v>
      </c>
      <c r="H167" s="264" t="inlineStr">
        <is>
          <t>EDWIN ROJAS</t>
        </is>
      </c>
      <c r="I167" s="264" t="inlineStr">
        <is>
          <t>TLN248</t>
        </is>
      </c>
      <c r="J167" s="265" t="n">
        <v>0.2583333333333334</v>
      </c>
      <c r="K167" s="266" t="n">
        <v>3200</v>
      </c>
      <c r="L167" s="308" t="n"/>
      <c r="M167" s="113" t="n"/>
      <c r="N167" s="113" t="n"/>
      <c r="O167" s="113" t="n"/>
      <c r="P167" s="243" t="n"/>
      <c r="Q167" s="113" t="n"/>
      <c r="R167" s="113" t="n"/>
    </row>
    <row r="168" ht="15.75" customHeight="1">
      <c r="A168" s="113" t="n"/>
      <c r="B168" s="146" t="n">
        <v>3</v>
      </c>
      <c r="C168" s="280" t="n"/>
      <c r="D168" s="270" t="n">
        <v>6</v>
      </c>
      <c r="E168" s="271" t="inlineStr">
        <is>
          <t xml:space="preserve">MALAGUEÑA </t>
        </is>
      </c>
      <c r="F168" s="317" t="inlineStr">
        <is>
          <t xml:space="preserve">ABONEROS </t>
        </is>
      </c>
      <c r="G168" s="271" t="n">
        <v>7</v>
      </c>
      <c r="H168" s="271" t="inlineStr">
        <is>
          <t xml:space="preserve">ALEX GOMEZ </t>
        </is>
      </c>
      <c r="I168" s="271" t="inlineStr">
        <is>
          <t>TLO881</t>
        </is>
      </c>
      <c r="J168" s="272" t="n">
        <v>0.2569444444444444</v>
      </c>
      <c r="K168" s="286" t="n">
        <v>3638</v>
      </c>
      <c r="L168" s="310">
        <f>SUBTOTAL(9,K163:K168)</f>
        <v/>
      </c>
      <c r="M168" s="113" t="n"/>
      <c r="N168" s="113" t="n"/>
      <c r="O168" s="113" t="n"/>
      <c r="P168" s="243" t="n"/>
      <c r="Q168" s="113" t="n"/>
      <c r="R168" s="113" t="n"/>
    </row>
    <row r="169" ht="15.75" customHeight="1">
      <c r="A169" s="113" t="n"/>
      <c r="B169" s="146" t="n">
        <v>3</v>
      </c>
      <c r="C169" s="311" t="n">
        <v>45828</v>
      </c>
      <c r="D169" s="257" t="n">
        <v>1</v>
      </c>
      <c r="E169" s="258" t="inlineStr">
        <is>
          <t xml:space="preserve">SAN JOSE </t>
        </is>
      </c>
      <c r="F169" s="316" t="inlineStr">
        <is>
          <t>CARGUEROS</t>
        </is>
      </c>
      <c r="G169" s="258" t="n">
        <v>10</v>
      </c>
      <c r="H169" s="258" t="inlineStr">
        <is>
          <t xml:space="preserve">JOSE HERRERA </t>
        </is>
      </c>
      <c r="I169" s="258" t="inlineStr">
        <is>
          <t>EQY780</t>
        </is>
      </c>
      <c r="J169" s="259" t="n">
        <v>0.03125</v>
      </c>
      <c r="K169" s="260" t="n">
        <v>3350</v>
      </c>
      <c r="L169" s="292" t="n"/>
      <c r="M169" s="113" t="n"/>
      <c r="N169" s="113" t="n"/>
      <c r="O169" s="113" t="n"/>
      <c r="P169" s="243" t="n"/>
      <c r="Q169" s="113" t="n"/>
      <c r="R169" s="113" t="n"/>
    </row>
    <row r="170" ht="15.75" customHeight="1">
      <c r="A170" s="113" t="n"/>
      <c r="B170" s="146" t="n">
        <v>3</v>
      </c>
      <c r="C170" s="279" t="n"/>
      <c r="D170" s="263" t="n">
        <v>2</v>
      </c>
      <c r="E170" s="264" t="inlineStr">
        <is>
          <t xml:space="preserve">SAN JOSE </t>
        </is>
      </c>
      <c r="F170" s="314" t="inlineStr">
        <is>
          <t>CARGUEROS</t>
        </is>
      </c>
      <c r="G170" s="264" t="n">
        <v>10</v>
      </c>
      <c r="H170" s="264" t="inlineStr">
        <is>
          <t xml:space="preserve">DIEGO NIÑO </t>
        </is>
      </c>
      <c r="I170" s="264" t="inlineStr">
        <is>
          <t>GZZ673</t>
        </is>
      </c>
      <c r="J170" s="265" t="n">
        <v>0.06597222222222222</v>
      </c>
      <c r="K170" s="266" t="n">
        <v>3350</v>
      </c>
      <c r="L170" s="308" t="n"/>
      <c r="M170" s="113" t="n"/>
      <c r="N170" s="113" t="n"/>
      <c r="O170" s="113" t="n"/>
      <c r="P170" s="243" t="n"/>
      <c r="Q170" s="113" t="n"/>
      <c r="R170" s="113" t="n"/>
    </row>
    <row r="171" ht="15.75" customHeight="1">
      <c r="A171" s="113" t="n"/>
      <c r="B171" s="146" t="n">
        <v>3</v>
      </c>
      <c r="C171" s="279" t="n"/>
      <c r="D171" s="263" t="n">
        <v>3</v>
      </c>
      <c r="E171" s="264" t="inlineStr">
        <is>
          <t xml:space="preserve">SAN JOSE </t>
        </is>
      </c>
      <c r="F171" s="314" t="inlineStr">
        <is>
          <t>CARGUEROS</t>
        </is>
      </c>
      <c r="G171" s="264" t="n">
        <v>10</v>
      </c>
      <c r="H171" s="264" t="inlineStr">
        <is>
          <t xml:space="preserve">JHON ARIAS </t>
        </is>
      </c>
      <c r="I171" s="264" t="inlineStr">
        <is>
          <t>TLN181</t>
        </is>
      </c>
      <c r="J171" s="265" t="n">
        <v>0.10625</v>
      </c>
      <c r="K171" s="266" t="n">
        <v>3350</v>
      </c>
      <c r="L171" s="308" t="n"/>
      <c r="M171" s="113" t="n"/>
      <c r="N171" s="113" t="n"/>
      <c r="O171" s="113" t="n"/>
      <c r="P171" s="243" t="n"/>
      <c r="Q171" s="113" t="n"/>
      <c r="R171" s="113" t="n"/>
    </row>
    <row r="172" ht="15.75" customHeight="1">
      <c r="A172" s="113" t="n"/>
      <c r="B172" s="146" t="n">
        <v>3</v>
      </c>
      <c r="C172" s="279" t="n"/>
      <c r="D172" s="263" t="n">
        <v>4</v>
      </c>
      <c r="E172" s="264" t="inlineStr">
        <is>
          <t xml:space="preserve">SAN JOSE </t>
        </is>
      </c>
      <c r="F172" s="314" t="inlineStr">
        <is>
          <t>CARGUEROS</t>
        </is>
      </c>
      <c r="G172" s="264" t="n">
        <v>10</v>
      </c>
      <c r="H172" s="264" t="inlineStr">
        <is>
          <t xml:space="preserve">FERNANDO OYUELA </t>
        </is>
      </c>
      <c r="I172" s="264" t="inlineStr">
        <is>
          <t>EQY778</t>
        </is>
      </c>
      <c r="J172" s="265" t="n">
        <v>0.1527777777777778</v>
      </c>
      <c r="K172" s="266" t="n">
        <v>3350</v>
      </c>
      <c r="L172" s="308" t="n"/>
      <c r="M172" s="113" t="n"/>
      <c r="N172" s="113" t="n"/>
      <c r="O172" s="113" t="n"/>
      <c r="P172" s="243" t="n"/>
      <c r="Q172" s="113" t="n"/>
      <c r="R172" s="113" t="n"/>
    </row>
    <row r="173" ht="15.75" customHeight="1">
      <c r="A173" s="113" t="n"/>
      <c r="B173" s="146" t="n">
        <v>3</v>
      </c>
      <c r="C173" s="279" t="n"/>
      <c r="D173" s="263" t="n">
        <v>5</v>
      </c>
      <c r="E173" s="264" t="inlineStr">
        <is>
          <t xml:space="preserve">SAN JOSE </t>
        </is>
      </c>
      <c r="F173" s="314" t="inlineStr">
        <is>
          <t>CARGUEROS</t>
        </is>
      </c>
      <c r="G173" s="264" t="n">
        <v>10</v>
      </c>
      <c r="H173" s="264" t="inlineStr">
        <is>
          <t>MANUEL QUITIAN</t>
        </is>
      </c>
      <c r="I173" s="264" t="inlineStr">
        <is>
          <t>KUS176</t>
        </is>
      </c>
      <c r="J173" s="265" t="n">
        <v>0.1930555555555556</v>
      </c>
      <c r="K173" s="266" t="n">
        <v>3375</v>
      </c>
      <c r="L173" s="308" t="n"/>
      <c r="M173" s="113" t="n"/>
      <c r="N173" s="113" t="n"/>
      <c r="O173" s="113" t="n"/>
      <c r="P173" s="243" t="n"/>
      <c r="Q173" s="113" t="n"/>
      <c r="R173" s="113" t="n"/>
    </row>
    <row r="174" ht="15.75" customHeight="1">
      <c r="A174" s="113" t="n"/>
      <c r="B174" s="146" t="n">
        <v>3</v>
      </c>
      <c r="C174" s="279" t="n"/>
      <c r="D174" s="281" t="n">
        <v>6</v>
      </c>
      <c r="E174" s="282" t="inlineStr">
        <is>
          <t xml:space="preserve">SAN JOSE </t>
        </is>
      </c>
      <c r="F174" s="314" t="inlineStr">
        <is>
          <t>CARGUEROS</t>
        </is>
      </c>
      <c r="G174" s="282" t="n">
        <v>10</v>
      </c>
      <c r="H174" s="282" t="inlineStr">
        <is>
          <t>HENRY ROMERO</t>
        </is>
      </c>
      <c r="I174" s="282" t="inlineStr">
        <is>
          <t>EQY781</t>
        </is>
      </c>
      <c r="J174" s="283" t="n">
        <v>0.2291666666666667</v>
      </c>
      <c r="K174" s="318" t="n">
        <v>3375</v>
      </c>
      <c r="L174" s="319" t="n"/>
      <c r="M174" s="113" t="n"/>
      <c r="N174" s="113" t="n"/>
      <c r="O174" s="113" t="n"/>
      <c r="P174" s="243" t="n"/>
      <c r="Q174" s="113" t="n"/>
      <c r="R174" s="113" t="n"/>
    </row>
    <row r="175" ht="15.75" customHeight="1">
      <c r="A175" s="113" t="n"/>
      <c r="B175" s="146" t="n">
        <v>3</v>
      </c>
      <c r="C175" s="280" t="n"/>
      <c r="D175" s="270" t="n">
        <v>7</v>
      </c>
      <c r="E175" s="271" t="inlineStr">
        <is>
          <t xml:space="preserve">SAN JOSE </t>
        </is>
      </c>
      <c r="F175" s="315" t="inlineStr">
        <is>
          <t>CARGUEROS</t>
        </is>
      </c>
      <c r="G175" s="271" t="n">
        <v>10</v>
      </c>
      <c r="H175" s="271" t="inlineStr">
        <is>
          <t xml:space="preserve">JOSE SOLER </t>
        </is>
      </c>
      <c r="I175" s="271" t="inlineStr">
        <is>
          <t>EQUY76</t>
        </is>
      </c>
      <c r="J175" s="272" t="n">
        <v>0.2791666666666667</v>
      </c>
      <c r="K175" s="286" t="n">
        <v>3375</v>
      </c>
      <c r="L175" s="285">
        <f>SUBTOTAL(9,K169:K175)</f>
        <v/>
      </c>
      <c r="M175" s="113" t="n"/>
      <c r="N175" s="113" t="n"/>
      <c r="O175" s="113" t="n"/>
      <c r="P175" s="243" t="n"/>
      <c r="Q175" s="113" t="n"/>
      <c r="R175" s="113" t="n"/>
    </row>
    <row r="176" ht="15.75" customHeight="1">
      <c r="A176" s="113" t="n"/>
      <c r="B176" s="146" t="n">
        <v>3</v>
      </c>
      <c r="C176" s="320" t="n">
        <v>45829</v>
      </c>
      <c r="D176" s="257" t="n">
        <v>1</v>
      </c>
      <c r="E176" s="258" t="inlineStr">
        <is>
          <t xml:space="preserve">SAN JOSE </t>
        </is>
      </c>
      <c r="F176" s="316" t="inlineStr">
        <is>
          <t>CARGUEROS</t>
        </is>
      </c>
      <c r="G176" s="258" t="n">
        <v>11</v>
      </c>
      <c r="H176" s="258" t="inlineStr">
        <is>
          <t xml:space="preserve">FABIO ALDANA </t>
        </is>
      </c>
      <c r="I176" s="258" t="inlineStr">
        <is>
          <t>TLO882</t>
        </is>
      </c>
      <c r="J176" s="259" t="n">
        <v>0.1131944444444444</v>
      </c>
      <c r="K176" s="260" t="n">
        <v>2692</v>
      </c>
      <c r="L176" s="321" t="n"/>
      <c r="M176" s="113" t="n"/>
      <c r="N176" s="113" t="n"/>
      <c r="O176" s="113" t="n"/>
      <c r="P176" s="243" t="n"/>
      <c r="Q176" s="113" t="n"/>
      <c r="R176" s="113" t="n"/>
    </row>
    <row r="177" ht="15.75" customHeight="1">
      <c r="A177" s="113" t="n"/>
      <c r="B177" s="146" t="n">
        <v>3</v>
      </c>
      <c r="C177" s="279" t="n"/>
      <c r="D177" s="263" t="n">
        <v>2</v>
      </c>
      <c r="E177" s="264" t="inlineStr">
        <is>
          <t xml:space="preserve">SAN JOSE </t>
        </is>
      </c>
      <c r="F177" s="314" t="inlineStr">
        <is>
          <t>CARGUEROS</t>
        </is>
      </c>
      <c r="G177" s="264" t="n">
        <v>11</v>
      </c>
      <c r="H177" s="264" t="inlineStr">
        <is>
          <t xml:space="preserve">JAIRO CUBILLOS </t>
        </is>
      </c>
      <c r="I177" s="264" t="inlineStr">
        <is>
          <t>TLN248</t>
        </is>
      </c>
      <c r="J177" s="265" t="n">
        <v>0.1458333333333333</v>
      </c>
      <c r="K177" s="266" t="n">
        <v>2695</v>
      </c>
      <c r="L177" s="321" t="n"/>
      <c r="M177" s="113" t="n"/>
      <c r="N177" s="113" t="n"/>
      <c r="O177" s="113" t="n"/>
      <c r="P177" s="243" t="n"/>
      <c r="Q177" s="113" t="n"/>
      <c r="R177" s="113" t="n"/>
    </row>
    <row r="178" ht="15.75" customHeight="1">
      <c r="A178" s="113" t="n"/>
      <c r="B178" s="146" t="n">
        <v>3</v>
      </c>
      <c r="C178" s="279" t="n"/>
      <c r="D178" s="263" t="n">
        <v>3</v>
      </c>
      <c r="E178" s="264" t="inlineStr">
        <is>
          <t xml:space="preserve">SAN JOSE </t>
        </is>
      </c>
      <c r="F178" s="314" t="inlineStr">
        <is>
          <t>CARGUEROS</t>
        </is>
      </c>
      <c r="G178" s="264" t="n">
        <v>11</v>
      </c>
      <c r="H178" s="264" t="inlineStr">
        <is>
          <t xml:space="preserve">ALBERTO LOPEZ </t>
        </is>
      </c>
      <c r="I178" s="264" t="inlineStr">
        <is>
          <t>EQY777</t>
        </is>
      </c>
      <c r="J178" s="265" t="n">
        <v>0.1763888888888889</v>
      </c>
      <c r="K178" s="266" t="n">
        <v>3240</v>
      </c>
      <c r="L178" s="321" t="n"/>
      <c r="M178" s="113" t="n"/>
      <c r="N178" s="113" t="n"/>
      <c r="O178" s="113" t="n"/>
      <c r="P178" s="243" t="n"/>
      <c r="Q178" s="113" t="n"/>
      <c r="R178" s="113" t="n"/>
    </row>
    <row r="179" ht="15.75" customHeight="1">
      <c r="A179" s="113" t="n"/>
      <c r="B179" s="146" t="n">
        <v>3</v>
      </c>
      <c r="C179" s="279" t="n"/>
      <c r="D179" s="263" t="n">
        <v>4</v>
      </c>
      <c r="E179" s="264" t="inlineStr">
        <is>
          <t xml:space="preserve">SAN JOSE </t>
        </is>
      </c>
      <c r="F179" s="314" t="inlineStr">
        <is>
          <t>CARGUEROS</t>
        </is>
      </c>
      <c r="G179" s="264" t="n">
        <v>11</v>
      </c>
      <c r="H179" s="264" t="inlineStr">
        <is>
          <t xml:space="preserve">ALEX GOMEZ </t>
        </is>
      </c>
      <c r="I179" s="264" t="inlineStr">
        <is>
          <t>TLO881</t>
        </is>
      </c>
      <c r="J179" s="265" t="n">
        <v>0.2361111111111111</v>
      </c>
      <c r="K179" s="266" t="n">
        <v>3385</v>
      </c>
      <c r="L179" s="321" t="n"/>
      <c r="M179" s="113" t="n"/>
      <c r="N179" s="113" t="n"/>
      <c r="O179" s="113" t="n"/>
      <c r="P179" s="243" t="n"/>
      <c r="Q179" s="113" t="n"/>
      <c r="R179" s="113" t="n"/>
    </row>
    <row r="180" ht="15.75" customHeight="1">
      <c r="A180" s="113" t="n"/>
      <c r="B180" s="146" t="n">
        <v>3</v>
      </c>
      <c r="C180" s="279" t="n"/>
      <c r="D180" s="263" t="n">
        <v>5</v>
      </c>
      <c r="E180" s="264" t="inlineStr">
        <is>
          <t xml:space="preserve">SAN JOSE </t>
        </is>
      </c>
      <c r="F180" s="314" t="inlineStr">
        <is>
          <t>CARGUEROS</t>
        </is>
      </c>
      <c r="G180" s="264" t="n">
        <v>11</v>
      </c>
      <c r="H180" s="264" t="inlineStr">
        <is>
          <t xml:space="preserve">JOSE HERRERA </t>
        </is>
      </c>
      <c r="I180" s="264" t="inlineStr">
        <is>
          <t>EQY780</t>
        </is>
      </c>
      <c r="J180" s="265" t="n">
        <v>0.2847222222222222</v>
      </c>
      <c r="K180" s="266" t="n">
        <v>3385</v>
      </c>
      <c r="L180" s="321" t="n"/>
      <c r="M180" s="113" t="n"/>
      <c r="N180" s="113" t="n"/>
      <c r="O180" s="113" t="n"/>
      <c r="P180" s="243" t="n"/>
      <c r="Q180" s="113" t="n"/>
      <c r="R180" s="113" t="n"/>
    </row>
    <row r="181" ht="15.75" customHeight="1">
      <c r="A181" s="113" t="n"/>
      <c r="B181" s="146" t="n">
        <v>3</v>
      </c>
      <c r="C181" s="279" t="n"/>
      <c r="D181" s="263" t="n">
        <v>6</v>
      </c>
      <c r="E181" s="282" t="inlineStr">
        <is>
          <t xml:space="preserve">SAN JOSE </t>
        </is>
      </c>
      <c r="F181" s="314" t="inlineStr">
        <is>
          <t>CARGUEROS</t>
        </is>
      </c>
      <c r="G181" s="282" t="n">
        <v>11</v>
      </c>
      <c r="H181" s="282" t="inlineStr">
        <is>
          <t>EDWIN ROJAS</t>
        </is>
      </c>
      <c r="I181" s="282" t="inlineStr">
        <is>
          <t>TLN248</t>
        </is>
      </c>
      <c r="J181" s="283" t="n">
        <v>0.3333333333333333</v>
      </c>
      <c r="K181" s="318" t="n">
        <v>3050</v>
      </c>
      <c r="L181" s="321" t="n"/>
      <c r="M181" s="113" t="n"/>
      <c r="N181" s="113" t="n"/>
      <c r="O181" s="113" t="n"/>
      <c r="P181" s="243" t="n"/>
      <c r="Q181" s="113" t="n"/>
      <c r="R181" s="113" t="n"/>
    </row>
    <row r="182" ht="15.75" customHeight="1">
      <c r="A182" s="113" t="n"/>
      <c r="B182" s="146" t="n">
        <v>3</v>
      </c>
      <c r="C182" s="279" t="n"/>
      <c r="D182" s="263" t="n">
        <v>7</v>
      </c>
      <c r="E182" s="282" t="inlineStr">
        <is>
          <t xml:space="preserve">SAN JOSE </t>
        </is>
      </c>
      <c r="F182" s="314" t="inlineStr">
        <is>
          <t>CARGUEROS</t>
        </is>
      </c>
      <c r="G182" s="282" t="n">
        <v>11</v>
      </c>
      <c r="H182" s="282" t="inlineStr">
        <is>
          <t xml:space="preserve">JAIRO CUBILLOS </t>
        </is>
      </c>
      <c r="I182" s="282" t="inlineStr">
        <is>
          <t>TLN884</t>
        </is>
      </c>
      <c r="J182" s="283" t="n">
        <v>0.3680555555555556</v>
      </c>
      <c r="K182" s="318" t="n">
        <v>3050</v>
      </c>
      <c r="L182" s="321" t="n"/>
      <c r="M182" s="113" t="n"/>
      <c r="N182" s="113" t="n"/>
      <c r="O182" s="113" t="n"/>
      <c r="P182" s="243" t="n"/>
      <c r="Q182" s="113" t="n"/>
      <c r="R182" s="113" t="n"/>
    </row>
    <row r="183" ht="15.75" customHeight="1">
      <c r="A183" s="113" t="n"/>
      <c r="B183" s="146" t="n">
        <v>3</v>
      </c>
      <c r="C183" s="279" t="n"/>
      <c r="D183" s="263" t="n">
        <v>8</v>
      </c>
      <c r="E183" s="282" t="inlineStr">
        <is>
          <t xml:space="preserve">SAN JOSE </t>
        </is>
      </c>
      <c r="F183" s="314" t="inlineStr">
        <is>
          <t>CARGUEROS</t>
        </is>
      </c>
      <c r="G183" s="282" t="n">
        <v>11</v>
      </c>
      <c r="H183" s="282" t="inlineStr">
        <is>
          <t xml:space="preserve">JOSE HERRERA </t>
        </is>
      </c>
      <c r="I183" s="282" t="inlineStr">
        <is>
          <t>EQY780</t>
        </is>
      </c>
      <c r="J183" s="283" t="n">
        <v>0.4375</v>
      </c>
      <c r="K183" s="318" t="n">
        <v>3050</v>
      </c>
      <c r="L183" s="322" t="n"/>
      <c r="M183" s="113" t="n"/>
      <c r="N183" s="113" t="n"/>
      <c r="O183" s="113" t="n"/>
      <c r="P183" s="243" t="n"/>
      <c r="Q183" s="113" t="n"/>
      <c r="R183" s="113" t="n"/>
    </row>
    <row r="184" ht="15.75" customHeight="1">
      <c r="A184" s="113" t="n"/>
      <c r="B184" s="146" t="n">
        <v>3</v>
      </c>
      <c r="C184" s="279" t="n"/>
      <c r="D184" s="281" t="n">
        <v>9</v>
      </c>
      <c r="E184" s="282" t="inlineStr">
        <is>
          <t xml:space="preserve">SAN JOSE </t>
        </is>
      </c>
      <c r="F184" s="323" t="inlineStr">
        <is>
          <t>CARGUEROS</t>
        </is>
      </c>
      <c r="G184" s="282" t="n">
        <v>11</v>
      </c>
      <c r="H184" s="282" t="inlineStr">
        <is>
          <t xml:space="preserve">ALEX GOMEZ </t>
        </is>
      </c>
      <c r="I184" s="282" t="inlineStr">
        <is>
          <t>TLO881</t>
        </is>
      </c>
      <c r="J184" s="283" t="n">
        <v>0.3993055555555556</v>
      </c>
      <c r="K184" s="318" t="n">
        <v>3050</v>
      </c>
      <c r="L184" s="285">
        <f>SUBTOTAL(9,K176:K184)</f>
        <v/>
      </c>
      <c r="M184" s="113" t="n"/>
      <c r="N184" s="113" t="n"/>
      <c r="O184" s="113" t="n"/>
      <c r="P184" s="243" t="n"/>
      <c r="Q184" s="113" t="n"/>
      <c r="R184" s="113" t="n"/>
    </row>
    <row r="185" ht="15.75" customHeight="1">
      <c r="A185" s="113" t="n"/>
      <c r="B185" s="146" t="n">
        <v>4</v>
      </c>
      <c r="C185" s="324" t="n">
        <v>45830</v>
      </c>
      <c r="D185" s="325" t="n">
        <v>1</v>
      </c>
      <c r="E185" s="326" t="inlineStr">
        <is>
          <t xml:space="preserve">SAN JOSE </t>
        </is>
      </c>
      <c r="F185" s="258" t="inlineStr">
        <is>
          <t>CARGUEROS</t>
        </is>
      </c>
      <c r="G185" s="258" t="n">
        <v>12</v>
      </c>
      <c r="H185" s="258" t="inlineStr">
        <is>
          <t xml:space="preserve">JOSE SOLER </t>
        </is>
      </c>
      <c r="I185" s="258" t="inlineStr">
        <is>
          <t>EQY776</t>
        </is>
      </c>
      <c r="J185" s="259" t="n">
        <v>0.1340277777777778</v>
      </c>
      <c r="K185" s="260" t="n">
        <v>2615</v>
      </c>
      <c r="L185" s="292" t="n"/>
      <c r="M185" s="113" t="n"/>
      <c r="N185" s="113" t="n"/>
      <c r="O185" s="113" t="n"/>
      <c r="P185" s="243" t="n"/>
      <c r="Q185" s="113" t="n"/>
      <c r="R185" s="113" t="n"/>
    </row>
    <row r="186" ht="15.75" customHeight="1">
      <c r="A186" s="113" t="n"/>
      <c r="B186" s="146" t="n">
        <v>4</v>
      </c>
      <c r="C186" s="262" t="n"/>
      <c r="D186" s="327" t="n">
        <v>2</v>
      </c>
      <c r="E186" s="328" t="inlineStr">
        <is>
          <t xml:space="preserve">SAN JOSE </t>
        </is>
      </c>
      <c r="F186" s="264" t="inlineStr">
        <is>
          <t>CARGUEROS</t>
        </is>
      </c>
      <c r="G186" s="264" t="n">
        <v>12</v>
      </c>
      <c r="H186" s="264" t="inlineStr">
        <is>
          <t xml:space="preserve">WILMER PIÑEROS </t>
        </is>
      </c>
      <c r="I186" s="264" t="inlineStr">
        <is>
          <t>KML076</t>
        </is>
      </c>
      <c r="J186" s="265" t="n">
        <v>0.1666666666666667</v>
      </c>
      <c r="K186" s="266" t="n">
        <v>2615</v>
      </c>
      <c r="L186" s="308" t="n"/>
      <c r="M186" s="113" t="n"/>
      <c r="N186" s="113" t="n"/>
      <c r="O186" s="113" t="n"/>
      <c r="P186" s="243" t="n"/>
      <c r="Q186" s="113" t="n"/>
      <c r="R186" s="113" t="n"/>
    </row>
    <row r="187" ht="15.75" customHeight="1">
      <c r="A187" s="113" t="n"/>
      <c r="B187" s="146" t="n">
        <v>4</v>
      </c>
      <c r="C187" s="262" t="n"/>
      <c r="D187" s="327" t="n">
        <v>3</v>
      </c>
      <c r="E187" s="328" t="inlineStr">
        <is>
          <t xml:space="preserve">SAN JOSE </t>
        </is>
      </c>
      <c r="F187" s="264" t="inlineStr">
        <is>
          <t>CARGUEROS</t>
        </is>
      </c>
      <c r="G187" s="264" t="n">
        <v>12</v>
      </c>
      <c r="H187" s="264" t="inlineStr">
        <is>
          <t>EDWIN ROJAS</t>
        </is>
      </c>
      <c r="I187" s="264" t="inlineStr">
        <is>
          <t>TLN248</t>
        </is>
      </c>
      <c r="J187" s="265" t="n">
        <v>0.2</v>
      </c>
      <c r="K187" s="266" t="n">
        <v>3000</v>
      </c>
      <c r="L187" s="308" t="n"/>
      <c r="M187" s="113" t="n"/>
      <c r="N187" s="113" t="n"/>
      <c r="O187" s="113" t="n"/>
      <c r="P187" s="243" t="n"/>
      <c r="Q187" s="113" t="n"/>
      <c r="R187" s="113" t="n"/>
    </row>
    <row r="188" ht="15.75" customHeight="1">
      <c r="A188" s="113" t="n"/>
      <c r="B188" s="146" t="n">
        <v>4</v>
      </c>
      <c r="C188" s="262" t="n"/>
      <c r="D188" s="327" t="n">
        <v>4</v>
      </c>
      <c r="E188" s="328" t="inlineStr">
        <is>
          <t xml:space="preserve">SAN JOSE </t>
        </is>
      </c>
      <c r="F188" s="264" t="inlineStr">
        <is>
          <t>CARGUEROS</t>
        </is>
      </c>
      <c r="G188" s="264" t="n">
        <v>12</v>
      </c>
      <c r="H188" s="264" t="inlineStr">
        <is>
          <t xml:space="preserve">FABIO ALDANA </t>
        </is>
      </c>
      <c r="I188" s="264" t="inlineStr">
        <is>
          <t>TLO882</t>
        </is>
      </c>
      <c r="J188" s="265" t="n">
        <v>0.2326388888888889</v>
      </c>
      <c r="K188" s="266" t="n">
        <v>3385</v>
      </c>
      <c r="L188" s="308" t="n"/>
      <c r="M188" s="113" t="n"/>
      <c r="N188" s="113" t="n"/>
      <c r="O188" s="113" t="n"/>
      <c r="P188" s="243" t="n"/>
      <c r="Q188" s="113" t="n"/>
      <c r="R188" s="113" t="n"/>
    </row>
    <row r="189" ht="15.75" customHeight="1">
      <c r="A189" s="113" t="n"/>
      <c r="B189" s="146" t="n">
        <v>4</v>
      </c>
      <c r="C189" s="262" t="n"/>
      <c r="D189" s="327" t="n">
        <v>5</v>
      </c>
      <c r="E189" s="328" t="inlineStr">
        <is>
          <t xml:space="preserve">SAN JOSE </t>
        </is>
      </c>
      <c r="F189" s="264" t="inlineStr">
        <is>
          <t>CARGUEROS</t>
        </is>
      </c>
      <c r="G189" s="264" t="n">
        <v>12</v>
      </c>
      <c r="H189" s="264" t="inlineStr">
        <is>
          <t xml:space="preserve">JAIRO CUBILLOS </t>
        </is>
      </c>
      <c r="I189" s="264" t="inlineStr">
        <is>
          <t>TLN884</t>
        </is>
      </c>
      <c r="J189" s="265" t="n">
        <v>0.2708333333333333</v>
      </c>
      <c r="K189" s="266" t="n">
        <v>3385</v>
      </c>
      <c r="L189" s="308" t="n"/>
      <c r="M189" s="113" t="n"/>
      <c r="N189" s="113" t="n"/>
      <c r="O189" s="113" t="n"/>
      <c r="P189" s="243" t="n"/>
      <c r="Q189" s="113" t="n"/>
      <c r="R189" s="113" t="n"/>
    </row>
    <row r="190" ht="15.75" customHeight="1">
      <c r="A190" s="113" t="n"/>
      <c r="B190" s="146" t="n">
        <v>4</v>
      </c>
      <c r="C190" s="262" t="n"/>
      <c r="D190" s="327" t="n">
        <v>6</v>
      </c>
      <c r="E190" s="328" t="inlineStr">
        <is>
          <t xml:space="preserve">SAN JOSE </t>
        </is>
      </c>
      <c r="F190" s="264" t="inlineStr">
        <is>
          <t>CARGUEROS</t>
        </is>
      </c>
      <c r="G190" s="264" t="n">
        <v>12</v>
      </c>
      <c r="H190" s="264" t="inlineStr">
        <is>
          <t xml:space="preserve">ALBERTO LOPEZ </t>
        </is>
      </c>
      <c r="I190" s="264" t="inlineStr">
        <is>
          <t>EQY777</t>
        </is>
      </c>
      <c r="J190" s="265" t="n">
        <v>0.3055555555555556</v>
      </c>
      <c r="K190" s="266" t="n">
        <v>3728</v>
      </c>
      <c r="L190" s="308" t="n"/>
      <c r="M190" s="113" t="n"/>
      <c r="N190" s="113" t="n"/>
      <c r="O190" s="113" t="n"/>
      <c r="P190" s="243" t="n"/>
      <c r="Q190" s="113" t="n"/>
      <c r="R190" s="113" t="n"/>
    </row>
    <row r="191" ht="15.75" customHeight="1">
      <c r="A191" s="113" t="n"/>
      <c r="B191" s="146" t="n">
        <v>4</v>
      </c>
      <c r="C191" s="262" t="n"/>
      <c r="D191" s="327" t="n">
        <v>7</v>
      </c>
      <c r="E191" s="328" t="inlineStr">
        <is>
          <t xml:space="preserve">SAN JOSE </t>
        </is>
      </c>
      <c r="F191" s="264" t="inlineStr">
        <is>
          <t>CARGUEROS</t>
        </is>
      </c>
      <c r="G191" s="264" t="n">
        <v>12</v>
      </c>
      <c r="H191" s="264" t="inlineStr">
        <is>
          <t xml:space="preserve">DUMAR ANGARITA </t>
        </is>
      </c>
      <c r="I191" s="264" t="inlineStr">
        <is>
          <t>LQO745</t>
        </is>
      </c>
      <c r="J191" s="265" t="n">
        <v>0.3361111111111111</v>
      </c>
      <c r="K191" s="266" t="n">
        <v>3728</v>
      </c>
      <c r="L191" s="308" t="n"/>
      <c r="M191" s="113" t="n"/>
      <c r="N191" s="113" t="n"/>
      <c r="O191" s="113" t="n"/>
      <c r="P191" s="243" t="n"/>
      <c r="Q191" s="113" t="n"/>
      <c r="R191" s="113" t="n"/>
    </row>
    <row r="192" ht="15.75" customHeight="1">
      <c r="A192" s="113" t="n"/>
      <c r="B192" s="146" t="n">
        <v>4</v>
      </c>
      <c r="C192" s="262" t="n"/>
      <c r="D192" s="327" t="n">
        <v>8</v>
      </c>
      <c r="E192" s="328" t="inlineStr">
        <is>
          <t xml:space="preserve">SAN JOSE </t>
        </is>
      </c>
      <c r="F192" s="264" t="inlineStr">
        <is>
          <t>CARGUEROS</t>
        </is>
      </c>
      <c r="G192" s="264" t="n">
        <v>12</v>
      </c>
      <c r="H192" s="264" t="inlineStr">
        <is>
          <t xml:space="preserve">FERNANDO OYUELA </t>
        </is>
      </c>
      <c r="I192" s="264" t="inlineStr">
        <is>
          <t>EQY778</t>
        </is>
      </c>
      <c r="J192" s="265" t="n">
        <v>0.36875</v>
      </c>
      <c r="K192" s="266" t="n">
        <v>3728</v>
      </c>
      <c r="L192" s="308" t="n"/>
      <c r="M192" s="113" t="n"/>
      <c r="N192" s="113" t="n"/>
      <c r="O192" s="113" t="n"/>
      <c r="P192" s="243" t="n"/>
      <c r="Q192" s="113" t="n"/>
      <c r="R192" s="113" t="n"/>
    </row>
    <row r="193" ht="15.75" customHeight="1">
      <c r="A193" s="113" t="n"/>
      <c r="B193" s="146" t="n">
        <v>4</v>
      </c>
      <c r="C193" s="262" t="n"/>
      <c r="D193" s="327" t="n">
        <v>9</v>
      </c>
      <c r="E193" s="328" t="inlineStr">
        <is>
          <t xml:space="preserve">SAN JOSE </t>
        </is>
      </c>
      <c r="F193" s="264" t="inlineStr">
        <is>
          <t>CARGUEROS</t>
        </is>
      </c>
      <c r="G193" s="264" t="n">
        <v>12</v>
      </c>
      <c r="H193" s="264" t="inlineStr">
        <is>
          <t xml:space="preserve">JHON ARIAS </t>
        </is>
      </c>
      <c r="I193" s="264" t="inlineStr">
        <is>
          <t>TLO181</t>
        </is>
      </c>
      <c r="J193" s="265" t="n">
        <v>0.4166666666666667</v>
      </c>
      <c r="K193" s="266" t="n">
        <v>3728</v>
      </c>
      <c r="L193" s="308" t="n"/>
      <c r="M193" s="113" t="n"/>
      <c r="N193" s="113" t="n"/>
      <c r="O193" s="113" t="n"/>
      <c r="P193" s="243" t="n"/>
      <c r="Q193" s="113" t="n"/>
      <c r="R193" s="113" t="n"/>
    </row>
    <row r="194" ht="15.75" customHeight="1">
      <c r="A194" s="113" t="n"/>
      <c r="B194" s="146" t="n">
        <v>4</v>
      </c>
      <c r="C194" s="262" t="n"/>
      <c r="D194" s="327" t="n">
        <v>10</v>
      </c>
      <c r="E194" s="328" t="inlineStr">
        <is>
          <t xml:space="preserve">SAN JOSE </t>
        </is>
      </c>
      <c r="F194" s="264" t="inlineStr">
        <is>
          <t>CARGUEROS</t>
        </is>
      </c>
      <c r="G194" s="264" t="n">
        <v>12</v>
      </c>
      <c r="H194" s="264" t="inlineStr">
        <is>
          <t xml:space="preserve">JOSE SOLER </t>
        </is>
      </c>
      <c r="I194" s="264" t="inlineStr">
        <is>
          <t>EQY776</t>
        </is>
      </c>
      <c r="J194" s="265" t="n">
        <v>0.4583333333333333</v>
      </c>
      <c r="K194" s="266" t="n">
        <v>2800</v>
      </c>
      <c r="L194" s="308" t="n"/>
      <c r="M194" s="113" t="n"/>
      <c r="N194" s="113" t="n"/>
      <c r="O194" s="113" t="n"/>
      <c r="P194" s="243" t="n"/>
      <c r="Q194" s="113" t="n"/>
      <c r="R194" s="113" t="n"/>
    </row>
    <row r="195" ht="15.75" customHeight="1">
      <c r="A195" s="113" t="n"/>
      <c r="B195" s="146" t="n">
        <v>4</v>
      </c>
      <c r="C195" s="262" t="n"/>
      <c r="D195" s="327" t="n">
        <v>11</v>
      </c>
      <c r="E195" s="328" t="inlineStr">
        <is>
          <t xml:space="preserve">SAN JOSE </t>
        </is>
      </c>
      <c r="F195" s="264" t="inlineStr">
        <is>
          <t>CARGUEROS</t>
        </is>
      </c>
      <c r="G195" s="264" t="n">
        <v>12</v>
      </c>
      <c r="H195" s="264" t="inlineStr">
        <is>
          <t>EDWIN ROJAS</t>
        </is>
      </c>
      <c r="I195" s="264" t="inlineStr">
        <is>
          <t>TLN248</t>
        </is>
      </c>
      <c r="J195" s="265" t="n">
        <v>0.5173611111111112</v>
      </c>
      <c r="K195" s="266" t="n">
        <v>2800</v>
      </c>
      <c r="L195" s="309" t="n"/>
      <c r="M195" s="113" t="n"/>
      <c r="N195" s="113" t="n"/>
      <c r="O195" s="113" t="n"/>
      <c r="P195" s="243" t="n"/>
      <c r="Q195" s="113" t="n"/>
      <c r="R195" s="113" t="n"/>
    </row>
    <row r="196" ht="15.75" customHeight="1">
      <c r="A196" s="113" t="n"/>
      <c r="B196" s="146" t="n">
        <v>4</v>
      </c>
      <c r="C196" s="269" t="n"/>
      <c r="D196" s="329" t="n">
        <v>12</v>
      </c>
      <c r="E196" s="330" t="inlineStr">
        <is>
          <t xml:space="preserve">SAN JOSE </t>
        </is>
      </c>
      <c r="F196" s="271" t="inlineStr">
        <is>
          <t>CARGUEROS</t>
        </is>
      </c>
      <c r="G196" s="271" t="n">
        <v>12</v>
      </c>
      <c r="H196" s="271" t="inlineStr">
        <is>
          <t xml:space="preserve">FABIO ALDANA </t>
        </is>
      </c>
      <c r="I196" s="271" t="inlineStr">
        <is>
          <t>TLO882</t>
        </is>
      </c>
      <c r="J196" s="272" t="n">
        <v>0.5486111111111112</v>
      </c>
      <c r="K196" s="273" t="n">
        <v>3050</v>
      </c>
      <c r="L196" s="310">
        <f>SUBTOTAL(9,K185:K196)</f>
        <v/>
      </c>
      <c r="M196" s="113" t="n"/>
      <c r="N196" s="113" t="n"/>
      <c r="O196" s="113" t="n"/>
      <c r="P196" s="243" t="n"/>
      <c r="Q196" s="113" t="n"/>
      <c r="R196" s="113" t="n"/>
    </row>
    <row r="197" ht="15.75" customHeight="1">
      <c r="A197" s="113" t="n"/>
      <c r="B197" s="146" t="n">
        <v>4</v>
      </c>
      <c r="C197" s="324" t="n">
        <v>45832</v>
      </c>
      <c r="D197" s="325" t="n">
        <v>1</v>
      </c>
      <c r="E197" s="326" t="inlineStr">
        <is>
          <t xml:space="preserve">SAN JOSE </t>
        </is>
      </c>
      <c r="F197" s="258" t="inlineStr">
        <is>
          <t>CARGUEROS</t>
        </is>
      </c>
      <c r="G197" s="258" t="n">
        <v>12</v>
      </c>
      <c r="H197" s="258" t="inlineStr">
        <is>
          <t xml:space="preserve">DUMAR ANGARITA </t>
        </is>
      </c>
      <c r="I197" s="258" t="inlineStr">
        <is>
          <t>LQO745</t>
        </is>
      </c>
      <c r="J197" s="259" t="n">
        <v>0.1583333333333333</v>
      </c>
      <c r="K197" s="260" t="n">
        <v>3000</v>
      </c>
      <c r="L197" s="292" t="n"/>
      <c r="M197" s="113" t="n"/>
      <c r="N197" s="113" t="n"/>
      <c r="O197" s="113" t="n"/>
      <c r="P197" s="243" t="n"/>
      <c r="Q197" s="113" t="n"/>
      <c r="R197" s="113" t="n"/>
    </row>
    <row r="198" ht="15.75" customHeight="1">
      <c r="A198" s="113" t="n"/>
      <c r="B198" s="146" t="n">
        <v>4</v>
      </c>
      <c r="C198" s="262" t="n"/>
      <c r="D198" s="327" t="n">
        <v>2</v>
      </c>
      <c r="E198" s="328" t="inlineStr">
        <is>
          <t xml:space="preserve">SAN JOSE </t>
        </is>
      </c>
      <c r="F198" s="264" t="inlineStr">
        <is>
          <t>CARGUEROS</t>
        </is>
      </c>
      <c r="G198" s="264" t="n">
        <v>12</v>
      </c>
      <c r="H198" s="264" t="inlineStr">
        <is>
          <t>PEDRO CAVIEDESS</t>
        </is>
      </c>
      <c r="I198" s="264" t="inlineStr">
        <is>
          <t>EQY779</t>
        </is>
      </c>
      <c r="J198" s="265" t="n">
        <v>0.1909722222222222</v>
      </c>
      <c r="K198" s="266" t="n">
        <v>3000</v>
      </c>
      <c r="L198" s="308" t="n"/>
      <c r="M198" s="113" t="n"/>
      <c r="N198" s="113" t="n"/>
      <c r="O198" s="113" t="n"/>
      <c r="P198" s="243" t="n"/>
      <c r="Q198" s="113" t="n"/>
      <c r="R198" s="113" t="n"/>
    </row>
    <row r="199" ht="15.75" customHeight="1">
      <c r="A199" s="113" t="n"/>
      <c r="B199" s="146" t="n">
        <v>4</v>
      </c>
      <c r="C199" s="262" t="n"/>
      <c r="D199" s="327" t="n">
        <v>3</v>
      </c>
      <c r="E199" s="328" t="inlineStr">
        <is>
          <t xml:space="preserve">SAN JOSE </t>
        </is>
      </c>
      <c r="F199" s="264" t="inlineStr">
        <is>
          <t>CARGUEROS</t>
        </is>
      </c>
      <c r="G199" s="264" t="n">
        <v>12</v>
      </c>
      <c r="H199" s="264" t="inlineStr">
        <is>
          <t xml:space="preserve">FABIO ALDANA </t>
        </is>
      </c>
      <c r="I199" s="264" t="inlineStr">
        <is>
          <t>TLOL882</t>
        </is>
      </c>
      <c r="J199" s="265" t="n">
        <v>0.2430555555555556</v>
      </c>
      <c r="K199" s="266" t="n">
        <v>3000</v>
      </c>
      <c r="L199" s="308" t="n"/>
      <c r="M199" s="113" t="n"/>
      <c r="N199" s="113" t="n"/>
      <c r="O199" s="113" t="n"/>
      <c r="P199" s="243" t="n"/>
      <c r="Q199" s="113" t="n"/>
      <c r="R199" s="113" t="n"/>
    </row>
    <row r="200" ht="15.75" customHeight="1">
      <c r="A200" s="113" t="n"/>
      <c r="B200" s="146" t="n">
        <v>4</v>
      </c>
      <c r="C200" s="262" t="n"/>
      <c r="D200" s="327" t="n">
        <v>4</v>
      </c>
      <c r="E200" s="328" t="inlineStr">
        <is>
          <t xml:space="preserve">SAN JOSE </t>
        </is>
      </c>
      <c r="F200" s="264" t="inlineStr">
        <is>
          <t>CARGUEROS</t>
        </is>
      </c>
      <c r="G200" s="264" t="n">
        <v>12</v>
      </c>
      <c r="H200" s="264" t="inlineStr">
        <is>
          <t xml:space="preserve">JAIRO CUBILLOS </t>
        </is>
      </c>
      <c r="I200" s="264" t="inlineStr">
        <is>
          <t>TLN884</t>
        </is>
      </c>
      <c r="J200" s="265" t="n">
        <v>0.2986111111111111</v>
      </c>
      <c r="K200" s="266" t="n">
        <v>3700</v>
      </c>
      <c r="L200" s="308" t="n"/>
      <c r="M200" s="113" t="n"/>
      <c r="N200" s="113" t="n"/>
      <c r="O200" s="113" t="n"/>
      <c r="P200" s="243" t="n"/>
      <c r="Q200" s="113" t="n"/>
      <c r="R200" s="113" t="n"/>
    </row>
    <row r="201" ht="15.75" customHeight="1">
      <c r="A201" s="113" t="n"/>
      <c r="B201" s="146" t="n">
        <v>4</v>
      </c>
      <c r="C201" s="262" t="n"/>
      <c r="D201" s="327" t="n">
        <v>5</v>
      </c>
      <c r="E201" s="328" t="inlineStr">
        <is>
          <t xml:space="preserve">SAN JOSE </t>
        </is>
      </c>
      <c r="F201" s="264" t="inlineStr">
        <is>
          <t>CARGUEROS</t>
        </is>
      </c>
      <c r="G201" s="264" t="n">
        <v>12</v>
      </c>
      <c r="H201" s="264" t="inlineStr">
        <is>
          <t xml:space="preserve">DIEGO NIÑO </t>
        </is>
      </c>
      <c r="I201" s="264" t="inlineStr">
        <is>
          <t>GZZ673</t>
        </is>
      </c>
      <c r="J201" s="265" t="n">
        <v>0.3333333333333333</v>
      </c>
      <c r="K201" s="266" t="n">
        <v>3600</v>
      </c>
      <c r="L201" s="308" t="n"/>
      <c r="M201" s="113" t="n"/>
      <c r="N201" s="113" t="n"/>
      <c r="O201" s="113" t="n"/>
      <c r="P201" s="243" t="n"/>
      <c r="Q201" s="113" t="n"/>
      <c r="R201" s="113" t="n"/>
    </row>
    <row r="202" ht="15.75" customHeight="1">
      <c r="A202" s="113" t="n"/>
      <c r="B202" s="146" t="n">
        <v>4</v>
      </c>
      <c r="C202" s="262" t="n"/>
      <c r="D202" s="327" t="n">
        <v>6</v>
      </c>
      <c r="E202" s="328" t="inlineStr">
        <is>
          <t xml:space="preserve">SAN JOSE </t>
        </is>
      </c>
      <c r="F202" s="264" t="inlineStr">
        <is>
          <t>CARGUEROS</t>
        </is>
      </c>
      <c r="G202" s="264" t="n">
        <v>12</v>
      </c>
      <c r="H202" s="264" t="inlineStr">
        <is>
          <t>HENRY ROMERO</t>
        </is>
      </c>
      <c r="I202" s="264" t="inlineStr">
        <is>
          <t>EQY781</t>
        </is>
      </c>
      <c r="J202" s="265" t="n">
        <v>0.3645833333333333</v>
      </c>
      <c r="K202" s="266" t="n">
        <v>2800</v>
      </c>
      <c r="L202" s="308" t="n"/>
      <c r="M202" s="113" t="n"/>
      <c r="N202" s="113" t="n"/>
      <c r="O202" s="113" t="n"/>
      <c r="P202" s="243" t="n"/>
      <c r="Q202" s="113" t="n"/>
      <c r="R202" s="113" t="n"/>
    </row>
    <row r="203" ht="15.75" customHeight="1">
      <c r="A203" s="113" t="n"/>
      <c r="B203" s="146" t="n">
        <v>4</v>
      </c>
      <c r="C203" s="262" t="n"/>
      <c r="D203" s="327" t="n">
        <v>7</v>
      </c>
      <c r="E203" s="328" t="inlineStr">
        <is>
          <t xml:space="preserve">SAN JOSE </t>
        </is>
      </c>
      <c r="F203" s="264" t="inlineStr">
        <is>
          <t>CARGUEROS</t>
        </is>
      </c>
      <c r="G203" s="264" t="n">
        <v>12</v>
      </c>
      <c r="H203" s="264" t="inlineStr">
        <is>
          <t xml:space="preserve">WILMER PIÑEROS </t>
        </is>
      </c>
      <c r="I203" s="264" t="inlineStr">
        <is>
          <t>KLN076</t>
        </is>
      </c>
      <c r="J203" s="265" t="n">
        <v>0.3923611111111111</v>
      </c>
      <c r="K203" s="266" t="n">
        <v>2800</v>
      </c>
      <c r="L203" s="308" t="n"/>
      <c r="M203" s="113" t="n"/>
      <c r="N203" s="113" t="n"/>
      <c r="O203" s="113" t="n"/>
      <c r="P203" s="243" t="n"/>
      <c r="Q203" s="113" t="n"/>
      <c r="R203" s="113" t="n"/>
    </row>
    <row r="204" ht="15.75" customHeight="1">
      <c r="A204" s="113" t="n"/>
      <c r="B204" s="146" t="n">
        <v>4</v>
      </c>
      <c r="C204" s="262" t="n"/>
      <c r="D204" s="327" t="n">
        <v>8</v>
      </c>
      <c r="E204" s="328" t="inlineStr">
        <is>
          <t xml:space="preserve">SAN JOSE </t>
        </is>
      </c>
      <c r="F204" s="264" t="inlineStr">
        <is>
          <t>CARGUEROS</t>
        </is>
      </c>
      <c r="G204" s="264" t="n">
        <v>12</v>
      </c>
      <c r="H204" s="264" t="inlineStr">
        <is>
          <t>JHON AGUIRRE</t>
        </is>
      </c>
      <c r="I204" s="264" t="inlineStr">
        <is>
          <t>EQY780</t>
        </is>
      </c>
      <c r="J204" s="265" t="n">
        <v>0.4201388888888889</v>
      </c>
      <c r="K204" s="266" t="n">
        <v>3190</v>
      </c>
      <c r="L204" s="308" t="n"/>
      <c r="M204" s="113" t="n"/>
      <c r="N204" s="113" t="n"/>
      <c r="O204" s="113" t="n"/>
      <c r="P204" s="243" t="n"/>
      <c r="Q204" s="113" t="n"/>
      <c r="R204" s="113" t="n"/>
    </row>
    <row r="205" ht="15.75" customHeight="1">
      <c r="A205" s="113" t="n"/>
      <c r="B205" s="146" t="n">
        <v>4</v>
      </c>
      <c r="C205" s="262" t="n"/>
      <c r="D205" s="327" t="n">
        <v>9</v>
      </c>
      <c r="E205" s="328" t="inlineStr">
        <is>
          <t xml:space="preserve">SAN JOSE </t>
        </is>
      </c>
      <c r="F205" s="264" t="inlineStr">
        <is>
          <t>CARGUEROS</t>
        </is>
      </c>
      <c r="G205" s="264" t="n">
        <v>12</v>
      </c>
      <c r="H205" s="264" t="inlineStr">
        <is>
          <t>EDWIN ROJAS</t>
        </is>
      </c>
      <c r="I205" s="264" t="inlineStr">
        <is>
          <t>TLN248</t>
        </is>
      </c>
      <c r="J205" s="265" t="n">
        <v>0.4541666666666667</v>
      </c>
      <c r="K205" s="266" t="n">
        <v>3564</v>
      </c>
      <c r="L205" s="308" t="n"/>
      <c r="M205" s="113" t="n"/>
      <c r="N205" s="113" t="n"/>
      <c r="O205" s="113" t="n"/>
      <c r="P205" s="243" t="n"/>
      <c r="Q205" s="113" t="n"/>
      <c r="R205" s="113" t="n"/>
    </row>
    <row r="206" ht="15.75" customHeight="1">
      <c r="A206" s="113" t="n"/>
      <c r="B206" s="146" t="n">
        <v>4</v>
      </c>
      <c r="C206" s="262" t="n"/>
      <c r="D206" s="327" t="n">
        <v>10</v>
      </c>
      <c r="E206" s="328" t="inlineStr">
        <is>
          <t xml:space="preserve">SAN JOSE </t>
        </is>
      </c>
      <c r="F206" s="264" t="inlineStr">
        <is>
          <t>CARGUEROS</t>
        </is>
      </c>
      <c r="G206" s="264" t="n">
        <v>12</v>
      </c>
      <c r="H206" s="264" t="inlineStr">
        <is>
          <t xml:space="preserve">JOSE SOLER </t>
        </is>
      </c>
      <c r="I206" s="264" t="inlineStr">
        <is>
          <t>EQY776</t>
        </is>
      </c>
      <c r="J206" s="265" t="n">
        <v>0.5069444444444444</v>
      </c>
      <c r="K206" s="266" t="n">
        <v>3240</v>
      </c>
      <c r="L206" s="308" t="n"/>
      <c r="M206" s="113" t="n"/>
      <c r="N206" s="113" t="n"/>
      <c r="O206" s="113" t="n"/>
      <c r="P206" s="243" t="n"/>
      <c r="Q206" s="113" t="n"/>
      <c r="R206" s="113" t="n"/>
    </row>
    <row r="207" ht="15.75" customHeight="1">
      <c r="A207" s="113" t="n"/>
      <c r="B207" s="146" t="n">
        <v>4</v>
      </c>
      <c r="C207" s="262" t="n"/>
      <c r="D207" s="327" t="n">
        <v>11</v>
      </c>
      <c r="E207" s="328" t="inlineStr">
        <is>
          <t xml:space="preserve">SAN JOSE </t>
        </is>
      </c>
      <c r="F207" s="264" t="inlineStr">
        <is>
          <t>CARGUEROS</t>
        </is>
      </c>
      <c r="G207" s="264" t="n">
        <v>12</v>
      </c>
      <c r="H207" s="264" t="inlineStr">
        <is>
          <t xml:space="preserve">DUMAR ANGARITA </t>
        </is>
      </c>
      <c r="I207" s="264" t="inlineStr">
        <is>
          <t>LQO745</t>
        </is>
      </c>
      <c r="J207" s="265" t="n">
        <v>0.5819444444444445</v>
      </c>
      <c r="K207" s="266" t="n">
        <v>3888</v>
      </c>
      <c r="L207" s="309" t="n"/>
      <c r="M207" s="113" t="n"/>
      <c r="N207" s="113" t="n"/>
      <c r="O207" s="113" t="n"/>
      <c r="P207" s="243" t="n"/>
      <c r="Q207" s="113" t="n"/>
      <c r="R207" s="113" t="n"/>
    </row>
    <row r="208" ht="15.75" customHeight="1">
      <c r="A208" s="113" t="n"/>
      <c r="B208" s="146" t="n">
        <v>4</v>
      </c>
      <c r="C208" s="269" t="n"/>
      <c r="D208" s="329" t="n">
        <v>12</v>
      </c>
      <c r="E208" s="330" t="inlineStr">
        <is>
          <t xml:space="preserve">SAN JOSE </t>
        </is>
      </c>
      <c r="F208" s="271" t="inlineStr">
        <is>
          <t>CARGUEROS</t>
        </is>
      </c>
      <c r="G208" s="271" t="n">
        <v>12</v>
      </c>
      <c r="H208" s="271" t="inlineStr">
        <is>
          <t xml:space="preserve">EDUAN CAVIEDEZ </t>
        </is>
      </c>
      <c r="I208" s="271" t="inlineStr">
        <is>
          <t>EQY779</t>
        </is>
      </c>
      <c r="J208" s="272" t="n">
        <v>0.6354166666666666</v>
      </c>
      <c r="K208" s="273" t="n">
        <v>3432</v>
      </c>
      <c r="L208" s="310">
        <f>SUBTOTAL(9,K197:K208)</f>
        <v/>
      </c>
      <c r="M208" s="113" t="n"/>
      <c r="N208" s="113" t="n"/>
      <c r="O208" s="113" t="n"/>
      <c r="P208" s="243" t="n"/>
      <c r="Q208" s="113" t="n"/>
      <c r="R208" s="113" t="n"/>
    </row>
    <row r="209" ht="15.75" customHeight="1">
      <c r="A209" s="113" t="n"/>
      <c r="B209" s="146" t="n">
        <v>4</v>
      </c>
      <c r="C209" s="331" t="n">
        <v>45833</v>
      </c>
      <c r="D209" s="332" t="n">
        <v>1</v>
      </c>
      <c r="E209" s="333" t="inlineStr">
        <is>
          <t xml:space="preserve">SAN JOSE </t>
        </is>
      </c>
      <c r="F209" s="334" t="inlineStr">
        <is>
          <t>CARGUEROS</t>
        </is>
      </c>
      <c r="G209" s="334" t="n">
        <v>12</v>
      </c>
      <c r="H209" s="334" t="inlineStr">
        <is>
          <t>MANUEL QUITIAN</t>
        </is>
      </c>
      <c r="I209" s="334" t="inlineStr">
        <is>
          <t>KUS176</t>
        </is>
      </c>
      <c r="J209" s="335" t="n">
        <v>0.3090277777777778</v>
      </c>
      <c r="K209" s="336" t="n">
        <v>3140</v>
      </c>
      <c r="L209" s="310">
        <f>SUBTOTAL(9,K209)</f>
        <v/>
      </c>
      <c r="M209" s="113" t="n"/>
      <c r="N209" s="113" t="n"/>
      <c r="O209" s="113" t="n"/>
      <c r="P209" s="243" t="n"/>
      <c r="Q209" s="113" t="n"/>
      <c r="R209" s="113" t="n"/>
    </row>
    <row r="210" ht="15.75" customHeight="1">
      <c r="A210" s="113" t="n"/>
      <c r="B210" s="146" t="n">
        <v>4</v>
      </c>
      <c r="C210" s="337" t="n">
        <v>45835</v>
      </c>
      <c r="D210" s="325" t="n">
        <v>1</v>
      </c>
      <c r="E210" s="326" t="inlineStr">
        <is>
          <t xml:space="preserve">SAN JOSE </t>
        </is>
      </c>
      <c r="F210" s="258" t="inlineStr">
        <is>
          <t>CARGUEROS</t>
        </is>
      </c>
      <c r="G210" s="258" t="n">
        <v>12</v>
      </c>
      <c r="H210" s="258" t="inlineStr">
        <is>
          <t xml:space="preserve">JOSE HERRERA </t>
        </is>
      </c>
      <c r="I210" s="258" t="inlineStr">
        <is>
          <t>EQY776</t>
        </is>
      </c>
      <c r="J210" s="259" t="n">
        <v>0.02777777777777778</v>
      </c>
      <c r="K210" s="338" t="n">
        <v>2876</v>
      </c>
      <c r="L210" s="339" t="n"/>
      <c r="M210" s="113" t="n"/>
      <c r="N210" s="113" t="n"/>
      <c r="O210" s="113" t="n"/>
      <c r="P210" s="243" t="n"/>
      <c r="Q210" s="113" t="n"/>
      <c r="R210" s="113" t="n"/>
    </row>
    <row r="211" ht="15.75" customHeight="1">
      <c r="A211" s="113" t="n"/>
      <c r="B211" s="146" t="n">
        <v>4</v>
      </c>
      <c r="C211" s="340" t="n"/>
      <c r="D211" s="327" t="n">
        <v>2</v>
      </c>
      <c r="E211" s="328" t="inlineStr">
        <is>
          <t xml:space="preserve">SAN JOSE </t>
        </is>
      </c>
      <c r="F211" s="264" t="inlineStr">
        <is>
          <t>CARGUEROS</t>
        </is>
      </c>
      <c r="G211" s="264" t="n">
        <v>12</v>
      </c>
      <c r="H211" s="264" t="inlineStr">
        <is>
          <t xml:space="preserve">FABIO ALDANA </t>
        </is>
      </c>
      <c r="I211" s="264" t="inlineStr">
        <is>
          <t>TLO882</t>
        </is>
      </c>
      <c r="J211" s="265" t="n">
        <v>0.05902777777777778</v>
      </c>
      <c r="K211" s="341" t="n">
        <v>2887</v>
      </c>
      <c r="L211" s="342" t="n"/>
      <c r="M211" s="113" t="n"/>
      <c r="N211" s="113" t="n"/>
      <c r="O211" s="113" t="n"/>
      <c r="P211" s="243" t="n"/>
      <c r="Q211" s="113" t="n"/>
      <c r="R211" s="113" t="n"/>
    </row>
    <row r="212" ht="15.75" customHeight="1">
      <c r="A212" s="113" t="n"/>
      <c r="B212" s="146" t="n">
        <v>4</v>
      </c>
      <c r="C212" s="340" t="n"/>
      <c r="D212" s="327" t="n">
        <v>3</v>
      </c>
      <c r="E212" s="328" t="inlineStr">
        <is>
          <t xml:space="preserve">SAN JOSE </t>
        </is>
      </c>
      <c r="F212" s="264" t="inlineStr">
        <is>
          <t>CARGUEROS</t>
        </is>
      </c>
      <c r="G212" s="264" t="n">
        <v>12</v>
      </c>
      <c r="H212" s="264" t="inlineStr">
        <is>
          <t xml:space="preserve">JAIRO CUBILLOS </t>
        </is>
      </c>
      <c r="I212" s="264" t="inlineStr">
        <is>
          <t>TLO884</t>
        </is>
      </c>
      <c r="J212" s="265" t="n">
        <v>0.08680555555555555</v>
      </c>
      <c r="K212" s="341" t="n">
        <v>2887</v>
      </c>
      <c r="L212" s="342" t="n"/>
      <c r="M212" s="113" t="n"/>
      <c r="N212" s="113" t="n"/>
      <c r="O212" s="113" t="n"/>
      <c r="P212" s="243" t="n"/>
      <c r="Q212" s="113" t="n"/>
      <c r="R212" s="113" t="n"/>
    </row>
    <row r="213" ht="15.75" customHeight="1">
      <c r="A213" s="113" t="n"/>
      <c r="B213" s="146" t="n">
        <v>4</v>
      </c>
      <c r="C213" s="340" t="n"/>
      <c r="D213" s="327" t="n">
        <v>4</v>
      </c>
      <c r="E213" s="328" t="inlineStr">
        <is>
          <t xml:space="preserve">SAN JOSE </t>
        </is>
      </c>
      <c r="F213" s="264" t="inlineStr">
        <is>
          <t>CARGUEROS</t>
        </is>
      </c>
      <c r="G213" s="264" t="n">
        <v>12</v>
      </c>
      <c r="H213" s="264" t="inlineStr">
        <is>
          <t xml:space="preserve">JHON ARIAS </t>
        </is>
      </c>
      <c r="I213" s="264" t="inlineStr">
        <is>
          <t>KNL076</t>
        </is>
      </c>
      <c r="J213" s="265" t="n">
        <v>0.1180555555555556</v>
      </c>
      <c r="K213" s="341" t="n">
        <v>2887</v>
      </c>
      <c r="L213" s="342" t="n"/>
      <c r="M213" s="113" t="n"/>
      <c r="N213" s="113" t="n"/>
      <c r="O213" s="113" t="n"/>
      <c r="P213" s="243" t="n"/>
      <c r="Q213" s="113" t="n"/>
      <c r="R213" s="113" t="n"/>
    </row>
    <row r="214" ht="15.75" customHeight="1">
      <c r="A214" s="113" t="n"/>
      <c r="B214" s="146" t="n">
        <v>4</v>
      </c>
      <c r="C214" s="340" t="n"/>
      <c r="D214" s="327" t="n">
        <v>5</v>
      </c>
      <c r="E214" s="328" t="inlineStr">
        <is>
          <t xml:space="preserve">SAN JOSE </t>
        </is>
      </c>
      <c r="F214" s="264" t="inlineStr">
        <is>
          <t>CARGUEROS</t>
        </is>
      </c>
      <c r="G214" s="264" t="n">
        <v>12</v>
      </c>
      <c r="H214" s="264" t="inlineStr">
        <is>
          <t xml:space="preserve">ALEX GOMEZ </t>
        </is>
      </c>
      <c r="I214" s="264" t="inlineStr">
        <is>
          <t>TLO881</t>
        </is>
      </c>
      <c r="J214" s="265" t="n">
        <v>0.1541666666666667</v>
      </c>
      <c r="K214" s="341" t="n">
        <v>2552</v>
      </c>
      <c r="L214" s="342" t="n"/>
      <c r="M214" s="113" t="n"/>
      <c r="N214" s="113" t="n"/>
      <c r="O214" s="113" t="n"/>
      <c r="P214" s="243" t="n"/>
      <c r="Q214" s="113" t="n"/>
      <c r="R214" s="113" t="n"/>
    </row>
    <row r="215" ht="15.75" customHeight="1">
      <c r="A215" s="113" t="n"/>
      <c r="B215" s="146" t="n">
        <v>4</v>
      </c>
      <c r="C215" s="340" t="n"/>
      <c r="D215" s="327" t="n">
        <v>6</v>
      </c>
      <c r="E215" s="328" t="inlineStr">
        <is>
          <t xml:space="preserve">SAN JOSE </t>
        </is>
      </c>
      <c r="F215" s="264" t="inlineStr">
        <is>
          <t>CARGUEROS</t>
        </is>
      </c>
      <c r="G215" s="264" t="n">
        <v>12</v>
      </c>
      <c r="H215" s="264" t="inlineStr">
        <is>
          <t xml:space="preserve">JAIR RIVEROS </t>
        </is>
      </c>
      <c r="I215" s="264" t="inlineStr">
        <is>
          <t>TLN181</t>
        </is>
      </c>
      <c r="J215" s="265" t="n">
        <v>0.1909722222222222</v>
      </c>
      <c r="K215" s="341" t="n">
        <v>3474</v>
      </c>
      <c r="L215" s="342" t="n"/>
      <c r="M215" s="113" t="n"/>
      <c r="N215" s="113" t="n"/>
      <c r="O215" s="113" t="n"/>
      <c r="P215" s="243" t="n"/>
      <c r="Q215" s="113" t="n"/>
      <c r="R215" s="113" t="n"/>
    </row>
    <row r="216" ht="15.75" customHeight="1">
      <c r="A216" s="113" t="n"/>
      <c r="B216" s="146" t="n">
        <v>4</v>
      </c>
      <c r="C216" s="340" t="n"/>
      <c r="D216" s="327" t="n">
        <v>7</v>
      </c>
      <c r="E216" s="328" t="inlineStr">
        <is>
          <t xml:space="preserve">SAN JOSE </t>
        </is>
      </c>
      <c r="F216" s="264" t="inlineStr">
        <is>
          <t>CARGUEROS</t>
        </is>
      </c>
      <c r="G216" s="264" t="n">
        <v>12</v>
      </c>
      <c r="H216" s="264" t="inlineStr">
        <is>
          <t xml:space="preserve">EDUAN CAVIEDEZ </t>
        </is>
      </c>
      <c r="I216" s="264" t="inlineStr">
        <is>
          <t>EQY779</t>
        </is>
      </c>
      <c r="J216" s="265" t="n">
        <v>0.2201388888888889</v>
      </c>
      <c r="K216" s="341" t="n">
        <v>3474</v>
      </c>
      <c r="L216" s="342" t="n"/>
      <c r="M216" s="113" t="n"/>
      <c r="N216" s="113" t="n"/>
      <c r="O216" s="113" t="n"/>
      <c r="P216" s="243" t="n"/>
      <c r="Q216" s="113" t="n"/>
      <c r="R216" s="113" t="n"/>
    </row>
    <row r="217" ht="15.75" customHeight="1">
      <c r="A217" s="113" t="n"/>
      <c r="B217" s="146" t="n">
        <v>4</v>
      </c>
      <c r="C217" s="340" t="n"/>
      <c r="D217" s="343" t="n">
        <v>8</v>
      </c>
      <c r="E217" s="344" t="inlineStr">
        <is>
          <t xml:space="preserve">SAN JOSE </t>
        </is>
      </c>
      <c r="F217" s="282" t="inlineStr">
        <is>
          <t>CARGUEROS</t>
        </is>
      </c>
      <c r="G217" s="282" t="n">
        <v>12</v>
      </c>
      <c r="H217" s="282" t="inlineStr">
        <is>
          <t xml:space="preserve">JOSE HERRERA </t>
        </is>
      </c>
      <c r="I217" s="282" t="inlineStr">
        <is>
          <t>EQY776</t>
        </is>
      </c>
      <c r="J217" s="283" t="n">
        <v>0.3013888888888889</v>
      </c>
      <c r="K217" s="345" t="n">
        <v>3564</v>
      </c>
      <c r="L217" s="346" t="n"/>
      <c r="M217" s="113" t="n"/>
      <c r="N217" s="113" t="n"/>
      <c r="O217" s="113" t="n"/>
      <c r="P217" s="243" t="n"/>
      <c r="Q217" s="113" t="n"/>
      <c r="R217" s="113" t="n"/>
    </row>
    <row r="218" ht="15.75" customHeight="1">
      <c r="A218" s="113" t="n"/>
      <c r="B218" s="146" t="n">
        <v>4</v>
      </c>
      <c r="C218" s="340" t="n"/>
      <c r="D218" s="347" t="n">
        <v>9</v>
      </c>
      <c r="E218" s="282" t="inlineStr">
        <is>
          <t xml:space="preserve">SAN JOSE </t>
        </is>
      </c>
      <c r="F218" s="282" t="inlineStr">
        <is>
          <t>CARGUEROS</t>
        </is>
      </c>
      <c r="G218" s="282" t="n">
        <v>12</v>
      </c>
      <c r="H218" s="282" t="inlineStr">
        <is>
          <t xml:space="preserve">JAIRO CUBILLOS </t>
        </is>
      </c>
      <c r="I218" s="282" t="inlineStr">
        <is>
          <t>TLO884</t>
        </is>
      </c>
      <c r="J218" s="283" t="n">
        <v>0.3402777777777778</v>
      </c>
      <c r="K218" s="284" t="n">
        <v>3355</v>
      </c>
      <c r="L218" s="285">
        <f>SUBTOTAL(9,K210:K218)</f>
        <v/>
      </c>
      <c r="M218" s="113" t="n"/>
      <c r="N218" s="113" t="n"/>
      <c r="O218" s="113" t="n"/>
      <c r="P218" s="243" t="n"/>
      <c r="Q218" s="113" t="n"/>
      <c r="R218" s="113" t="n"/>
    </row>
    <row r="219" ht="15.75" customHeight="1">
      <c r="A219" s="113" t="n"/>
      <c r="B219" s="146" t="n">
        <v>5</v>
      </c>
      <c r="C219" s="348" t="n">
        <v>45837</v>
      </c>
      <c r="D219" s="349" t="n">
        <v>1</v>
      </c>
      <c r="E219" s="258" t="inlineStr">
        <is>
          <t xml:space="preserve">SAN JOSE </t>
        </is>
      </c>
      <c r="F219" s="258" t="inlineStr">
        <is>
          <t>CARGUEROS</t>
        </is>
      </c>
      <c r="G219" s="258" t="n">
        <v>9</v>
      </c>
      <c r="H219" s="258" t="inlineStr">
        <is>
          <t xml:space="preserve">ALBERTO LOPEZ </t>
        </is>
      </c>
      <c r="I219" s="258" t="inlineStr">
        <is>
          <t>EQY777</t>
        </is>
      </c>
      <c r="J219" s="259" t="n">
        <v>0.09236111111111112</v>
      </c>
      <c r="K219" s="260" t="n">
        <v>3140</v>
      </c>
      <c r="L219" s="275" t="n"/>
      <c r="M219" s="113" t="n"/>
      <c r="N219" s="113" t="n"/>
      <c r="O219" s="113" t="n"/>
      <c r="P219" s="243" t="n"/>
      <c r="Q219" s="113" t="n"/>
      <c r="R219" s="113" t="n"/>
    </row>
    <row r="220" ht="15.75" customHeight="1">
      <c r="A220" s="113" t="n"/>
      <c r="B220" s="146" t="n">
        <v>5</v>
      </c>
      <c r="C220" s="350" t="n">
        <v>45837</v>
      </c>
      <c r="D220" s="351" t="n">
        <v>2</v>
      </c>
      <c r="E220" s="264" t="inlineStr">
        <is>
          <t xml:space="preserve">SAN JOSE </t>
        </is>
      </c>
      <c r="F220" s="264" t="inlineStr">
        <is>
          <t>CARGUEROS</t>
        </is>
      </c>
      <c r="G220" s="264" t="n">
        <v>11</v>
      </c>
      <c r="H220" s="264" t="inlineStr">
        <is>
          <t xml:space="preserve">MANUEL QUITIAN </t>
        </is>
      </c>
      <c r="I220" s="264" t="inlineStr">
        <is>
          <t>KUS176</t>
        </is>
      </c>
      <c r="J220" s="265" t="n">
        <v>0.1243055555555556</v>
      </c>
      <c r="K220" s="266" t="n">
        <v>3140</v>
      </c>
      <c r="L220" s="267" t="n"/>
      <c r="M220" s="113" t="n"/>
      <c r="N220" s="113" t="n"/>
      <c r="O220" s="113" t="n"/>
      <c r="P220" s="243" t="n"/>
      <c r="Q220" s="113" t="n"/>
      <c r="R220" s="113" t="n"/>
    </row>
    <row r="221" ht="15.75" customHeight="1">
      <c r="A221" s="113" t="n"/>
      <c r="B221" s="146" t="n">
        <v>5</v>
      </c>
      <c r="C221" s="350" t="n">
        <v>45837</v>
      </c>
      <c r="D221" s="351" t="n">
        <v>3</v>
      </c>
      <c r="E221" s="264" t="inlineStr">
        <is>
          <t xml:space="preserve">SAN JOSE </t>
        </is>
      </c>
      <c r="F221" s="264" t="inlineStr">
        <is>
          <t>CARGUEROS</t>
        </is>
      </c>
      <c r="G221" s="264" t="n">
        <v>11</v>
      </c>
      <c r="H221" s="264" t="inlineStr">
        <is>
          <t xml:space="preserve">JHON ARIAS </t>
        </is>
      </c>
      <c r="I221" s="264" t="inlineStr">
        <is>
          <t>KNL076</t>
        </is>
      </c>
      <c r="J221" s="265" t="n">
        <v>0.15625</v>
      </c>
      <c r="K221" s="266" t="n">
        <v>3140</v>
      </c>
      <c r="L221" s="267" t="n"/>
      <c r="M221" s="113" t="n"/>
      <c r="N221" s="113" t="n"/>
      <c r="O221" s="113" t="n"/>
      <c r="P221" s="243" t="n"/>
      <c r="Q221" s="113" t="n"/>
      <c r="R221" s="113" t="n"/>
    </row>
    <row r="222" ht="15.75" customHeight="1">
      <c r="A222" s="113" t="n"/>
      <c r="B222" s="146" t="n">
        <v>5</v>
      </c>
      <c r="C222" s="350" t="n">
        <v>45837</v>
      </c>
      <c r="D222" s="351" t="n">
        <v>4</v>
      </c>
      <c r="E222" s="264" t="inlineStr">
        <is>
          <t xml:space="preserve">SAN JOSE </t>
        </is>
      </c>
      <c r="F222" s="264" t="inlineStr">
        <is>
          <t>CARGUEROS</t>
        </is>
      </c>
      <c r="G222" s="264" t="n">
        <v>11</v>
      </c>
      <c r="H222" s="264" t="inlineStr">
        <is>
          <t xml:space="preserve">DIEGO NIÑO </t>
        </is>
      </c>
      <c r="I222" s="264" t="inlineStr">
        <is>
          <t>GZZ673</t>
        </is>
      </c>
      <c r="J222" s="265" t="n">
        <v>0.1909722222222222</v>
      </c>
      <c r="K222" s="266" t="n">
        <v>3140</v>
      </c>
      <c r="L222" s="267" t="n"/>
      <c r="M222" s="113" t="n"/>
      <c r="N222" s="113" t="n"/>
      <c r="O222" s="113" t="n"/>
      <c r="P222" s="243" t="n"/>
      <c r="Q222" s="113" t="n"/>
      <c r="R222" s="113" t="n"/>
    </row>
    <row r="223" ht="15.75" customHeight="1">
      <c r="A223" s="113" t="n"/>
      <c r="B223" s="146" t="n">
        <v>5</v>
      </c>
      <c r="C223" s="350" t="n">
        <v>45837</v>
      </c>
      <c r="D223" s="351" t="n">
        <v>5</v>
      </c>
      <c r="E223" s="264" t="inlineStr">
        <is>
          <t xml:space="preserve">SAN JOSE </t>
        </is>
      </c>
      <c r="F223" s="264" t="inlineStr">
        <is>
          <t>CARGUEROS</t>
        </is>
      </c>
      <c r="G223" s="264" t="n">
        <v>11</v>
      </c>
      <c r="H223" s="264" t="inlineStr">
        <is>
          <t>HENRY ROMERO</t>
        </is>
      </c>
      <c r="I223" s="264" t="inlineStr">
        <is>
          <t>EQY781</t>
        </is>
      </c>
      <c r="J223" s="265" t="n">
        <v>0.2236111111111111</v>
      </c>
      <c r="K223" s="266" t="n">
        <v>2700</v>
      </c>
      <c r="L223" s="267" t="n"/>
      <c r="M223" s="113" t="n"/>
      <c r="N223" s="113" t="n"/>
      <c r="O223" s="113" t="n"/>
      <c r="P223" s="243" t="n"/>
      <c r="Q223" s="113" t="n"/>
      <c r="R223" s="113" t="n"/>
    </row>
    <row r="224" ht="15.75" customHeight="1">
      <c r="A224" s="113" t="n"/>
      <c r="B224" s="146" t="n">
        <v>5</v>
      </c>
      <c r="C224" s="350" t="n">
        <v>45837</v>
      </c>
      <c r="D224" s="351" t="n">
        <v>6</v>
      </c>
      <c r="E224" s="264" t="inlineStr">
        <is>
          <t xml:space="preserve">SAN JOSE </t>
        </is>
      </c>
      <c r="F224" s="264" t="inlineStr">
        <is>
          <t>CARGUEROS</t>
        </is>
      </c>
      <c r="G224" s="264" t="n">
        <v>11</v>
      </c>
      <c r="H224" s="264" t="inlineStr">
        <is>
          <t xml:space="preserve">EDUAN CAVIEDEZ </t>
        </is>
      </c>
      <c r="I224" s="264" t="inlineStr">
        <is>
          <t>EQY779</t>
        </is>
      </c>
      <c r="J224" s="265" t="n">
        <v>0.2631944444444445</v>
      </c>
      <c r="K224" s="266" t="n">
        <v>3600</v>
      </c>
      <c r="L224" s="267" t="n"/>
      <c r="M224" s="113" t="n"/>
      <c r="N224" s="113" t="n"/>
      <c r="O224" s="113" t="n"/>
      <c r="P224" s="243" t="n"/>
      <c r="Q224" s="113" t="n"/>
      <c r="R224" s="113" t="n"/>
    </row>
    <row r="225" ht="15.75" customHeight="1">
      <c r="A225" s="113" t="n"/>
      <c r="B225" s="146" t="n">
        <v>5</v>
      </c>
      <c r="C225" s="350" t="n">
        <v>45837</v>
      </c>
      <c r="D225" s="351" t="n">
        <v>7</v>
      </c>
      <c r="E225" s="264" t="inlineStr">
        <is>
          <t xml:space="preserve">SAN JOSE </t>
        </is>
      </c>
      <c r="F225" s="264" t="inlineStr">
        <is>
          <t>CARGUEROS</t>
        </is>
      </c>
      <c r="G225" s="264" t="n">
        <v>11</v>
      </c>
      <c r="H225" s="264" t="inlineStr">
        <is>
          <t>JHON AGUIRRE</t>
        </is>
      </c>
      <c r="I225" s="264" t="inlineStr">
        <is>
          <t>EQY780</t>
        </is>
      </c>
      <c r="J225" s="265" t="n">
        <v>0.2944444444444445</v>
      </c>
      <c r="K225" s="266" t="n">
        <v>3600</v>
      </c>
      <c r="L225" s="267" t="n"/>
      <c r="M225" s="113" t="n"/>
      <c r="N225" s="113" t="n"/>
      <c r="O225" s="113" t="n"/>
      <c r="P225" s="243" t="n"/>
      <c r="Q225" s="113" t="n"/>
      <c r="R225" s="113" t="n"/>
    </row>
    <row r="226" ht="15.75" customHeight="1">
      <c r="A226" s="113" t="n"/>
      <c r="B226" s="146" t="n">
        <v>5</v>
      </c>
      <c r="C226" s="350" t="n">
        <v>45837</v>
      </c>
      <c r="D226" s="351" t="n">
        <v>8</v>
      </c>
      <c r="E226" s="264" t="inlineStr">
        <is>
          <t>HUERTAS</t>
        </is>
      </c>
      <c r="F226" s="264" t="inlineStr">
        <is>
          <t xml:space="preserve">ABONEROS </t>
        </is>
      </c>
      <c r="G226" s="264" t="n">
        <v>8</v>
      </c>
      <c r="H226" s="264" t="inlineStr">
        <is>
          <t xml:space="preserve">JOSE HERRERA </t>
        </is>
      </c>
      <c r="I226" s="264" t="inlineStr">
        <is>
          <t>EQY776</t>
        </is>
      </c>
      <c r="J226" s="265" t="n">
        <v>0.1270833333333333</v>
      </c>
      <c r="K226" s="266" t="n">
        <v>2916</v>
      </c>
      <c r="L226" s="277" t="n"/>
      <c r="M226" s="113" t="n"/>
      <c r="N226" s="113" t="n"/>
      <c r="O226" s="113" t="n"/>
      <c r="P226" s="243" t="n"/>
      <c r="Q226" s="113" t="n"/>
      <c r="R226" s="113" t="n"/>
    </row>
    <row r="227" ht="15.75" customHeight="1">
      <c r="A227" s="113" t="n"/>
      <c r="B227" s="146" t="n">
        <v>5</v>
      </c>
      <c r="C227" s="352" t="n">
        <v>45837</v>
      </c>
      <c r="D227" s="347" t="n">
        <v>9</v>
      </c>
      <c r="E227" s="282" t="inlineStr">
        <is>
          <t>HUERTAS</t>
        </is>
      </c>
      <c r="F227" s="282" t="inlineStr">
        <is>
          <t xml:space="preserve">ABONEROS </t>
        </is>
      </c>
      <c r="G227" s="282" t="n">
        <v>8</v>
      </c>
      <c r="H227" s="282" t="inlineStr">
        <is>
          <t xml:space="preserve">JAIR RIVEROS </t>
        </is>
      </c>
      <c r="I227" s="282" t="inlineStr">
        <is>
          <t>TLN181</t>
        </is>
      </c>
      <c r="J227" s="283" t="n">
        <v>0.1722222222222222</v>
      </c>
      <c r="K227" s="284" t="n">
        <v>2880</v>
      </c>
      <c r="L227" s="353">
        <f>SUBTOTAL(9,K219:K227)</f>
        <v/>
      </c>
      <c r="M227" s="113" t="n"/>
      <c r="N227" s="113" t="n"/>
      <c r="O227" s="113" t="n"/>
      <c r="P227" s="243" t="n"/>
      <c r="Q227" s="113" t="n"/>
      <c r="R227" s="113" t="n"/>
    </row>
    <row r="228" ht="15.75" customHeight="1">
      <c r="A228" s="113" t="n"/>
      <c r="B228" s="146" t="n">
        <v>5</v>
      </c>
      <c r="C228" s="348" t="n">
        <v>45839</v>
      </c>
      <c r="D228" s="349" t="n">
        <v>1</v>
      </c>
      <c r="E228" s="258" t="inlineStr">
        <is>
          <t>HUERTAS</t>
        </is>
      </c>
      <c r="F228" s="258" t="inlineStr">
        <is>
          <t>CARGUEROS</t>
        </is>
      </c>
      <c r="G228" s="258" t="n">
        <v>10</v>
      </c>
      <c r="H228" s="258" t="inlineStr">
        <is>
          <t xml:space="preserve">FERNANDO OYUELA </t>
        </is>
      </c>
      <c r="I228" s="258" t="inlineStr">
        <is>
          <t>EQY776</t>
        </is>
      </c>
      <c r="J228" s="259" t="n">
        <v>0.1138888888888889</v>
      </c>
      <c r="K228" s="260" t="n">
        <v>2612</v>
      </c>
      <c r="L228" s="261" t="n"/>
      <c r="M228" s="113" t="n"/>
      <c r="N228" s="113" t="n"/>
      <c r="O228" s="113" t="n"/>
      <c r="P228" s="243" t="n"/>
      <c r="Q228" s="113" t="n"/>
      <c r="R228" s="113" t="n"/>
    </row>
    <row r="229" ht="15.75" customHeight="1">
      <c r="A229" s="113" t="n"/>
      <c r="B229" s="146" t="n">
        <v>5</v>
      </c>
      <c r="C229" s="350" t="n">
        <v>45839</v>
      </c>
      <c r="D229" s="351" t="n">
        <v>2</v>
      </c>
      <c r="E229" s="264" t="inlineStr">
        <is>
          <t>HUERTAS</t>
        </is>
      </c>
      <c r="F229" s="264" t="inlineStr">
        <is>
          <t>CARGUEROS</t>
        </is>
      </c>
      <c r="G229" s="264" t="n">
        <v>10</v>
      </c>
      <c r="H229" s="264" t="inlineStr">
        <is>
          <t xml:space="preserve">FABIO ALDANA </t>
        </is>
      </c>
      <c r="I229" s="264" t="inlineStr">
        <is>
          <t>TLO882</t>
        </is>
      </c>
      <c r="J229" s="265" t="n">
        <v>0.1458333333333333</v>
      </c>
      <c r="K229" s="266" t="n">
        <v>2614</v>
      </c>
      <c r="L229" s="267" t="n"/>
      <c r="M229" s="113" t="n"/>
      <c r="N229" s="113" t="n"/>
      <c r="O229" s="113" t="n"/>
      <c r="P229" s="243" t="n"/>
      <c r="Q229" s="113" t="n"/>
      <c r="R229" s="113" t="n"/>
    </row>
    <row r="230" ht="15.75" customHeight="1">
      <c r="A230" s="113" t="n"/>
      <c r="B230" s="146" t="n">
        <v>5</v>
      </c>
      <c r="C230" s="350" t="n">
        <v>45839</v>
      </c>
      <c r="D230" s="351" t="n">
        <v>3</v>
      </c>
      <c r="E230" s="264" t="inlineStr">
        <is>
          <t>HUERTAS</t>
        </is>
      </c>
      <c r="F230" s="264" t="inlineStr">
        <is>
          <t>CARGUEROS</t>
        </is>
      </c>
      <c r="G230" s="264" t="n">
        <v>10</v>
      </c>
      <c r="H230" s="264" t="inlineStr">
        <is>
          <t xml:space="preserve">JAIRO CUBILLOS </t>
        </is>
      </c>
      <c r="I230" s="264" t="inlineStr">
        <is>
          <t>TLR884</t>
        </is>
      </c>
      <c r="J230" s="265" t="n">
        <v>0.2048611111111111</v>
      </c>
      <c r="K230" s="266" t="n">
        <v>3400</v>
      </c>
      <c r="L230" s="267" t="n"/>
      <c r="M230" s="113" t="n"/>
      <c r="N230" s="113" t="n"/>
      <c r="O230" s="113" t="n"/>
      <c r="P230" s="243" t="n"/>
      <c r="Q230" s="113" t="n"/>
      <c r="R230" s="113" t="n"/>
    </row>
    <row r="231" ht="15.75" customHeight="1">
      <c r="A231" s="113" t="n"/>
      <c r="B231" s="146" t="n">
        <v>5</v>
      </c>
      <c r="C231" s="350" t="n">
        <v>45839</v>
      </c>
      <c r="D231" s="351" t="n">
        <v>4</v>
      </c>
      <c r="E231" s="264" t="inlineStr">
        <is>
          <t>HUERTAS</t>
        </is>
      </c>
      <c r="F231" s="264" t="inlineStr">
        <is>
          <t>CARGUEROS</t>
        </is>
      </c>
      <c r="G231" s="264" t="n">
        <v>10</v>
      </c>
      <c r="H231" s="264" t="inlineStr">
        <is>
          <t xml:space="preserve">ALEX GOMEZ </t>
        </is>
      </c>
      <c r="I231" s="264" t="inlineStr">
        <is>
          <t>TLN181</t>
        </is>
      </c>
      <c r="J231" s="265" t="n">
        <v>0.25</v>
      </c>
      <c r="K231" s="266" t="n">
        <v>3400</v>
      </c>
      <c r="L231" s="267" t="n"/>
      <c r="M231" s="113" t="n"/>
      <c r="N231" s="113" t="n"/>
      <c r="O231" s="113" t="n"/>
      <c r="P231" s="243" t="n"/>
      <c r="Q231" s="113" t="n"/>
      <c r="R231" s="113" t="n"/>
    </row>
    <row r="232" ht="15.75" customHeight="1">
      <c r="A232" s="113" t="n"/>
      <c r="B232" s="146" t="n">
        <v>5</v>
      </c>
      <c r="C232" s="350" t="n">
        <v>45839</v>
      </c>
      <c r="D232" s="351" t="n">
        <v>5</v>
      </c>
      <c r="E232" s="264" t="inlineStr">
        <is>
          <t xml:space="preserve">SAN JOSE </t>
        </is>
      </c>
      <c r="F232" s="264" t="inlineStr">
        <is>
          <t>ABONEROS</t>
        </is>
      </c>
      <c r="G232" s="264" t="n">
        <v>9</v>
      </c>
      <c r="H232" s="264" t="inlineStr">
        <is>
          <t xml:space="preserve">JOSE HERRERA </t>
        </is>
      </c>
      <c r="I232" s="264" t="inlineStr">
        <is>
          <t>EQY776</t>
        </is>
      </c>
      <c r="J232" s="265" t="n">
        <v>0.21875</v>
      </c>
      <c r="K232" s="266" t="n">
        <v>3600</v>
      </c>
      <c r="L232" s="267" t="n"/>
      <c r="M232" s="113" t="n"/>
      <c r="N232" s="113" t="n"/>
      <c r="O232" s="113" t="n"/>
      <c r="P232" s="243" t="n"/>
      <c r="Q232" s="113" t="n"/>
      <c r="R232" s="113" t="n"/>
    </row>
    <row r="233" ht="15.75" customHeight="1">
      <c r="A233" s="113" t="n"/>
      <c r="B233" s="146" t="n">
        <v>5</v>
      </c>
      <c r="C233" s="350" t="n">
        <v>45839</v>
      </c>
      <c r="D233" s="351" t="n">
        <v>6</v>
      </c>
      <c r="E233" s="264" t="inlineStr">
        <is>
          <t xml:space="preserve">SAN JOSE </t>
        </is>
      </c>
      <c r="F233" s="264" t="inlineStr">
        <is>
          <t>ABONEROS</t>
        </is>
      </c>
      <c r="G233" s="264" t="n">
        <v>9</v>
      </c>
      <c r="H233" s="264" t="inlineStr">
        <is>
          <t xml:space="preserve">MANUEL QUITIAN </t>
        </is>
      </c>
      <c r="I233" s="264" t="inlineStr">
        <is>
          <t>KUS176</t>
        </is>
      </c>
      <c r="J233" s="265" t="n">
        <v>0.2625</v>
      </c>
      <c r="K233" s="266" t="n">
        <v>3600</v>
      </c>
      <c r="L233" s="268" t="n"/>
      <c r="M233" s="113" t="n"/>
      <c r="N233" s="113" t="n"/>
      <c r="O233" s="113" t="n"/>
      <c r="P233" s="243" t="n"/>
      <c r="Q233" s="113" t="n"/>
      <c r="R233" s="113" t="n"/>
    </row>
    <row r="234" ht="15.75" customHeight="1">
      <c r="A234" s="113" t="n"/>
      <c r="B234" s="146" t="n">
        <v>5</v>
      </c>
      <c r="C234" s="352" t="n">
        <v>45839</v>
      </c>
      <c r="D234" s="347" t="n">
        <v>7</v>
      </c>
      <c r="E234" s="282" t="inlineStr">
        <is>
          <t xml:space="preserve">SAN JOSE </t>
        </is>
      </c>
      <c r="F234" s="282" t="inlineStr">
        <is>
          <t>ABONEROS</t>
        </is>
      </c>
      <c r="G234" s="282" t="n">
        <v>8</v>
      </c>
      <c r="H234" s="282" t="inlineStr">
        <is>
          <t>JHON AGUIRRE</t>
        </is>
      </c>
      <c r="I234" s="282" t="inlineStr">
        <is>
          <t>EQY780</t>
        </is>
      </c>
      <c r="J234" s="283" t="n">
        <v>0.3055555555555556</v>
      </c>
      <c r="K234" s="318" t="n">
        <v>3212</v>
      </c>
      <c r="L234" s="354">
        <f>SUBTOTAL(9,K228:K234)</f>
        <v/>
      </c>
      <c r="M234" s="113" t="n"/>
      <c r="N234" s="113" t="n"/>
      <c r="O234" s="113" t="n"/>
      <c r="P234" s="243" t="n"/>
      <c r="Q234" s="113" t="n"/>
      <c r="R234" s="113" t="n"/>
    </row>
    <row r="235" ht="15.75" customHeight="1">
      <c r="A235" s="113" t="n"/>
      <c r="B235" s="146" t="n">
        <v>5</v>
      </c>
      <c r="C235" s="348" t="n">
        <v>45840</v>
      </c>
      <c r="D235" s="349" t="n">
        <v>1</v>
      </c>
      <c r="E235" s="258" t="inlineStr">
        <is>
          <t>HUERTAS</t>
        </is>
      </c>
      <c r="F235" s="258" t="inlineStr">
        <is>
          <t>CARGUEROS</t>
        </is>
      </c>
      <c r="G235" s="258" t="n">
        <v>14</v>
      </c>
      <c r="H235" s="258" t="inlineStr">
        <is>
          <t xml:space="preserve">EDUAN CAVIEDEZ </t>
        </is>
      </c>
      <c r="I235" s="258" t="inlineStr">
        <is>
          <t>EQY779</t>
        </is>
      </c>
      <c r="J235" s="259" t="inlineStr">
        <is>
          <t>10:00:00 p.m</t>
        </is>
      </c>
      <c r="K235" s="260" t="n">
        <v>2592</v>
      </c>
      <c r="L235" s="261" t="n"/>
      <c r="M235" s="113" t="n"/>
      <c r="N235" s="113" t="n"/>
      <c r="O235" s="113" t="n"/>
      <c r="P235" s="243" t="n"/>
      <c r="Q235" s="113" t="n"/>
      <c r="R235" s="113" t="n"/>
    </row>
    <row r="236" ht="15.75" customHeight="1">
      <c r="A236" s="113" t="n"/>
      <c r="B236" s="146" t="n">
        <v>5</v>
      </c>
      <c r="C236" s="350" t="n">
        <v>45840</v>
      </c>
      <c r="D236" s="351" t="n">
        <v>2</v>
      </c>
      <c r="E236" s="264" t="inlineStr">
        <is>
          <t>HUERTAS</t>
        </is>
      </c>
      <c r="F236" s="264" t="inlineStr">
        <is>
          <t>CARGUEROS</t>
        </is>
      </c>
      <c r="G236" s="264" t="n">
        <v>14</v>
      </c>
      <c r="H236" s="264" t="inlineStr">
        <is>
          <t>DUMAR ANGARITA</t>
        </is>
      </c>
      <c r="I236" s="264" t="inlineStr">
        <is>
          <t>LQO745</t>
        </is>
      </c>
      <c r="J236" s="265" t="inlineStr">
        <is>
          <t>10:40:00 p.m</t>
        </is>
      </c>
      <c r="K236" s="266" t="n">
        <v>3040</v>
      </c>
      <c r="L236" s="267" t="n"/>
      <c r="M236" s="113" t="n"/>
      <c r="N236" s="113" t="n"/>
      <c r="O236" s="113" t="n"/>
      <c r="P236" s="243" t="n"/>
      <c r="Q236" s="113" t="n"/>
      <c r="R236" s="113" t="n"/>
    </row>
    <row r="237" ht="15.75" customHeight="1">
      <c r="A237" s="113" t="n"/>
      <c r="B237" s="146" t="n">
        <v>5</v>
      </c>
      <c r="C237" s="350" t="n">
        <v>45840</v>
      </c>
      <c r="D237" s="351" t="n">
        <v>3</v>
      </c>
      <c r="E237" s="264" t="inlineStr">
        <is>
          <t>HUERTAS</t>
        </is>
      </c>
      <c r="F237" s="264" t="inlineStr">
        <is>
          <t>CARGUEROS</t>
        </is>
      </c>
      <c r="G237" s="264" t="n">
        <v>14</v>
      </c>
      <c r="H237" s="264" t="inlineStr">
        <is>
          <t xml:space="preserve">JAIR RIVEROS </t>
        </is>
      </c>
      <c r="I237" s="264" t="inlineStr">
        <is>
          <t>TLN181</t>
        </is>
      </c>
      <c r="J237" s="265" t="inlineStr">
        <is>
          <t>11:34:00 p.m</t>
        </is>
      </c>
      <c r="K237" s="266" t="n">
        <v>3600</v>
      </c>
      <c r="L237" s="267" t="n"/>
      <c r="M237" s="113" t="n"/>
      <c r="N237" s="113" t="n"/>
      <c r="O237" s="113" t="n"/>
      <c r="P237" s="243" t="n"/>
      <c r="Q237" s="113" t="n"/>
      <c r="R237" s="113" t="n"/>
    </row>
    <row r="238" ht="15.75" customHeight="1">
      <c r="A238" s="113" t="n"/>
      <c r="B238" s="146" t="n">
        <v>5</v>
      </c>
      <c r="C238" s="350" t="n">
        <v>45840</v>
      </c>
      <c r="D238" s="351" t="n">
        <v>4</v>
      </c>
      <c r="E238" s="264" t="inlineStr">
        <is>
          <t>HUERTAS</t>
        </is>
      </c>
      <c r="F238" s="264" t="inlineStr">
        <is>
          <t>CARGUEROS</t>
        </is>
      </c>
      <c r="G238" s="264" t="n">
        <v>14</v>
      </c>
      <c r="H238" s="264" t="inlineStr">
        <is>
          <t>HENRY ROMERO</t>
        </is>
      </c>
      <c r="I238" s="264" t="inlineStr">
        <is>
          <t>EQY781</t>
        </is>
      </c>
      <c r="J238" s="265" t="inlineStr">
        <is>
          <t>12:45:00 a.m</t>
        </is>
      </c>
      <c r="K238" s="266" t="n">
        <v>3240</v>
      </c>
      <c r="L238" s="267" t="n"/>
      <c r="M238" s="113" t="n"/>
      <c r="N238" s="113" t="n"/>
      <c r="O238" s="113" t="n"/>
      <c r="P238" s="243" t="n"/>
      <c r="Q238" s="113" t="n"/>
      <c r="R238" s="113" t="n"/>
    </row>
    <row r="239" ht="15.75" customHeight="1">
      <c r="A239" s="113" t="n"/>
      <c r="B239" s="146" t="n">
        <v>5</v>
      </c>
      <c r="C239" s="350" t="n">
        <v>45840</v>
      </c>
      <c r="D239" s="351" t="n">
        <v>5</v>
      </c>
      <c r="E239" s="264" t="inlineStr">
        <is>
          <t>HUERTAS</t>
        </is>
      </c>
      <c r="F239" s="264" t="inlineStr">
        <is>
          <t>CARGUEROS</t>
        </is>
      </c>
      <c r="G239" s="264" t="n">
        <v>14</v>
      </c>
      <c r="H239" s="264" t="inlineStr">
        <is>
          <t>JHON AGUIRRE</t>
        </is>
      </c>
      <c r="I239" s="264" t="inlineStr">
        <is>
          <t>EQY780</t>
        </is>
      </c>
      <c r="J239" s="265" t="inlineStr">
        <is>
          <t>1:30:00 a.m</t>
        </is>
      </c>
      <c r="K239" s="266" t="n">
        <v>2916</v>
      </c>
      <c r="L239" s="267" t="n"/>
      <c r="M239" s="113" t="n"/>
      <c r="N239" s="113" t="n"/>
      <c r="O239" s="113" t="n"/>
      <c r="P239" s="243" t="n"/>
      <c r="Q239" s="113" t="n"/>
      <c r="R239" s="113" t="n"/>
    </row>
    <row r="240" ht="15.75" customHeight="1">
      <c r="A240" s="113" t="n"/>
      <c r="B240" s="146" t="n">
        <v>5</v>
      </c>
      <c r="C240" s="350" t="n">
        <v>45840</v>
      </c>
      <c r="D240" s="351" t="n">
        <v>6</v>
      </c>
      <c r="E240" s="264" t="inlineStr">
        <is>
          <t>HUERTAS</t>
        </is>
      </c>
      <c r="F240" s="264" t="inlineStr">
        <is>
          <t>CARGUEROS</t>
        </is>
      </c>
      <c r="G240" s="264" t="n">
        <v>14</v>
      </c>
      <c r="H240" s="264" t="inlineStr">
        <is>
          <t xml:space="preserve">MANUEL QUITIAN </t>
        </is>
      </c>
      <c r="I240" s="264" t="inlineStr">
        <is>
          <t>KUS176</t>
        </is>
      </c>
      <c r="J240" s="265" t="inlineStr">
        <is>
          <t>2:15:00 a.m</t>
        </is>
      </c>
      <c r="K240" s="266" t="n">
        <v>2592</v>
      </c>
      <c r="L240" s="267" t="n"/>
      <c r="M240" s="113" t="n"/>
      <c r="N240" s="113" t="n"/>
      <c r="O240" s="113" t="n"/>
      <c r="P240" s="243" t="n"/>
      <c r="Q240" s="113" t="n"/>
      <c r="R240" s="113" t="n"/>
    </row>
    <row r="241" ht="15.75" customHeight="1">
      <c r="A241" s="113" t="n"/>
      <c r="B241" s="146" t="n">
        <v>5</v>
      </c>
      <c r="C241" s="350" t="n">
        <v>45840</v>
      </c>
      <c r="D241" s="351" t="n">
        <v>7</v>
      </c>
      <c r="E241" s="264" t="inlineStr">
        <is>
          <t>HUERTAS</t>
        </is>
      </c>
      <c r="F241" s="264" t="inlineStr">
        <is>
          <t>CARGUEROS</t>
        </is>
      </c>
      <c r="G241" s="264" t="n">
        <v>14</v>
      </c>
      <c r="H241" s="264" t="inlineStr">
        <is>
          <t xml:space="preserve">ALBERTO LOPEZ </t>
        </is>
      </c>
      <c r="I241" s="264" t="inlineStr">
        <is>
          <t>EQY777</t>
        </is>
      </c>
      <c r="J241" s="265" t="n">
        <v>0.1236111111111111</v>
      </c>
      <c r="K241" s="266" t="n">
        <v>1952</v>
      </c>
      <c r="L241" s="267" t="n"/>
      <c r="M241" s="113" t="n"/>
      <c r="N241" s="113" t="n"/>
      <c r="O241" s="113" t="n"/>
      <c r="P241" s="243" t="n"/>
      <c r="Q241" s="113" t="n"/>
      <c r="R241" s="113" t="n"/>
    </row>
    <row r="242" ht="15.75" customHeight="1">
      <c r="A242" s="113" t="n"/>
      <c r="B242" s="146" t="n">
        <v>5</v>
      </c>
      <c r="C242" s="350" t="n">
        <v>45840</v>
      </c>
      <c r="D242" s="351" t="n">
        <v>8</v>
      </c>
      <c r="E242" s="264" t="inlineStr">
        <is>
          <t>HUERTAS</t>
        </is>
      </c>
      <c r="F242" s="264" t="inlineStr">
        <is>
          <t>CARGUEROS</t>
        </is>
      </c>
      <c r="G242" s="264" t="n">
        <v>14</v>
      </c>
      <c r="H242" s="264" t="inlineStr">
        <is>
          <t xml:space="preserve">JOSE HERRERA </t>
        </is>
      </c>
      <c r="I242" s="264" t="inlineStr">
        <is>
          <t>EQY776</t>
        </is>
      </c>
      <c r="J242" s="265" t="inlineStr">
        <is>
          <t>4:00:00 a.m</t>
        </is>
      </c>
      <c r="K242" s="266" t="n">
        <v>3174</v>
      </c>
      <c r="L242" s="267" t="n"/>
      <c r="M242" s="113" t="n"/>
      <c r="N242" s="113" t="n"/>
      <c r="O242" s="113" t="n"/>
      <c r="P242" s="243" t="n"/>
      <c r="Q242" s="113" t="n"/>
      <c r="R242" s="113" t="n"/>
    </row>
    <row r="243" ht="15.75" customHeight="1">
      <c r="A243" s="113" t="n"/>
      <c r="B243" s="146" t="n">
        <v>5</v>
      </c>
      <c r="C243" s="350" t="n">
        <v>45840</v>
      </c>
      <c r="D243" s="351" t="n">
        <v>9</v>
      </c>
      <c r="E243" s="264" t="inlineStr">
        <is>
          <t>HUERTAS</t>
        </is>
      </c>
      <c r="F243" s="264" t="inlineStr">
        <is>
          <t>CARGUEROS</t>
        </is>
      </c>
      <c r="G243" s="264" t="n">
        <v>14</v>
      </c>
      <c r="H243" s="264" t="inlineStr">
        <is>
          <t xml:space="preserve">EDUAN CAVIEDEZ </t>
        </is>
      </c>
      <c r="I243" s="264" t="inlineStr">
        <is>
          <t>GZZ673</t>
        </is>
      </c>
      <c r="J243" s="265" t="inlineStr">
        <is>
          <t>4:51:00 a.m</t>
        </is>
      </c>
      <c r="K243" s="266" t="n">
        <v>3174</v>
      </c>
      <c r="L243" s="267" t="n"/>
      <c r="M243" s="113" t="n"/>
      <c r="N243" s="113" t="n"/>
      <c r="O243" s="113" t="n"/>
      <c r="P243" s="243" t="n"/>
      <c r="Q243" s="113" t="n"/>
      <c r="R243" s="113" t="n"/>
    </row>
    <row r="244" ht="15.75" customHeight="1">
      <c r="A244" s="113" t="n"/>
      <c r="B244" s="146" t="n">
        <v>5</v>
      </c>
      <c r="C244" s="350" t="n">
        <v>45840</v>
      </c>
      <c r="D244" s="351" t="n">
        <v>10</v>
      </c>
      <c r="E244" s="264" t="inlineStr">
        <is>
          <t>HUERTAS</t>
        </is>
      </c>
      <c r="F244" s="264" t="inlineStr">
        <is>
          <t>CARGUEROS</t>
        </is>
      </c>
      <c r="G244" s="264" t="n">
        <v>14</v>
      </c>
      <c r="H244" s="264" t="inlineStr">
        <is>
          <t>DUMAR ANGARITA</t>
        </is>
      </c>
      <c r="I244" s="264" t="inlineStr">
        <is>
          <t>LQO745</t>
        </is>
      </c>
      <c r="J244" s="265" t="inlineStr">
        <is>
          <t>6:00:00 a.m</t>
        </is>
      </c>
      <c r="K244" s="266" t="n">
        <v>3174</v>
      </c>
      <c r="L244" s="267" t="n"/>
      <c r="M244" s="113" t="n"/>
      <c r="N244" s="113" t="n"/>
      <c r="O244" s="113" t="n"/>
      <c r="P244" s="243" t="n"/>
      <c r="Q244" s="113" t="n"/>
      <c r="R244" s="113" t="n"/>
    </row>
    <row r="245" ht="15.75" customHeight="1">
      <c r="A245" s="113" t="n"/>
      <c r="B245" s="146" t="n">
        <v>5</v>
      </c>
      <c r="C245" s="350" t="n">
        <v>45840</v>
      </c>
      <c r="D245" s="351" t="n">
        <v>11</v>
      </c>
      <c r="E245" s="264" t="inlineStr">
        <is>
          <t>HUERTAS</t>
        </is>
      </c>
      <c r="F245" s="264" t="inlineStr">
        <is>
          <t>CARGUEROS</t>
        </is>
      </c>
      <c r="G245" s="264" t="n">
        <v>14</v>
      </c>
      <c r="H245" s="264" t="inlineStr">
        <is>
          <t>HENRY ROMERO</t>
        </is>
      </c>
      <c r="I245" s="264" t="inlineStr">
        <is>
          <t>EQY781</t>
        </is>
      </c>
      <c r="J245" s="265" t="inlineStr">
        <is>
          <t>9:13:00 a.m</t>
        </is>
      </c>
      <c r="K245" s="266" t="n">
        <v>3420</v>
      </c>
      <c r="L245" s="267" t="n"/>
      <c r="M245" s="113" t="n"/>
      <c r="N245" s="113" t="n"/>
      <c r="O245" s="113" t="n"/>
      <c r="P245" s="243" t="n"/>
      <c r="Q245" s="113" t="n"/>
      <c r="R245" s="113" t="n"/>
    </row>
    <row r="246" ht="15.75" customHeight="1">
      <c r="A246" s="113" t="n"/>
      <c r="B246" s="146" t="n">
        <v>5</v>
      </c>
      <c r="C246" s="350" t="n">
        <v>45840</v>
      </c>
      <c r="D246" s="351" t="n">
        <v>12</v>
      </c>
      <c r="E246" s="264" t="inlineStr">
        <is>
          <t>HUERTAS</t>
        </is>
      </c>
      <c r="F246" s="264" t="inlineStr">
        <is>
          <t>CARGUEROS</t>
        </is>
      </c>
      <c r="G246" s="264" t="n">
        <v>14</v>
      </c>
      <c r="H246" s="264" t="inlineStr">
        <is>
          <t xml:space="preserve">MANUEL QUITIAN </t>
        </is>
      </c>
      <c r="I246" s="264" t="inlineStr">
        <is>
          <t>KUS176</t>
        </is>
      </c>
      <c r="J246" s="265" t="inlineStr">
        <is>
          <t>10:05:00 a.m</t>
        </is>
      </c>
      <c r="K246" s="266" t="n">
        <v>3174</v>
      </c>
      <c r="L246" s="267" t="n"/>
      <c r="M246" s="113" t="n"/>
      <c r="N246" s="113" t="n"/>
      <c r="O246" s="113" t="n"/>
      <c r="P246" s="243" t="n"/>
      <c r="Q246" s="113" t="n"/>
      <c r="R246" s="113" t="n"/>
    </row>
    <row r="247" ht="15.75" customHeight="1">
      <c r="A247" s="113" t="n"/>
      <c r="B247" s="146" t="n">
        <v>5</v>
      </c>
      <c r="C247" s="350" t="n">
        <v>45840</v>
      </c>
      <c r="D247" s="351" t="n">
        <v>13</v>
      </c>
      <c r="E247" s="264" t="inlineStr">
        <is>
          <t>HUERTAS</t>
        </is>
      </c>
      <c r="F247" s="264" t="inlineStr">
        <is>
          <t>CARGUEROS</t>
        </is>
      </c>
      <c r="G247" s="264" t="n">
        <v>14</v>
      </c>
      <c r="H247" s="264" t="inlineStr">
        <is>
          <t xml:space="preserve">JOSE HERRERA </t>
        </is>
      </c>
      <c r="I247" s="264" t="inlineStr">
        <is>
          <t>EQY776</t>
        </is>
      </c>
      <c r="J247" s="265" t="inlineStr">
        <is>
          <t>10:55:00 a.m</t>
        </is>
      </c>
      <c r="K247" s="266" t="n">
        <v>3174</v>
      </c>
      <c r="L247" s="267" t="n"/>
      <c r="M247" s="113" t="n"/>
      <c r="N247" s="113" t="n"/>
      <c r="O247" s="113" t="n"/>
      <c r="P247" s="243" t="n"/>
      <c r="Q247" s="113" t="n"/>
      <c r="R247" s="113" t="n"/>
    </row>
    <row r="248" ht="15.75" customHeight="1">
      <c r="A248" s="113" t="n"/>
      <c r="B248" s="146" t="n">
        <v>5</v>
      </c>
      <c r="C248" s="350" t="n">
        <v>45840</v>
      </c>
      <c r="D248" s="351" t="n">
        <v>14</v>
      </c>
      <c r="E248" s="264" t="inlineStr">
        <is>
          <t>HUERTAS</t>
        </is>
      </c>
      <c r="F248" s="264" t="inlineStr">
        <is>
          <t>CARGUEROS</t>
        </is>
      </c>
      <c r="G248" s="264" t="n">
        <v>14</v>
      </c>
      <c r="H248" s="264" t="inlineStr">
        <is>
          <t xml:space="preserve">FERNANDO OYUELA </t>
        </is>
      </c>
      <c r="I248" s="264" t="inlineStr">
        <is>
          <t>EQY778</t>
        </is>
      </c>
      <c r="J248" s="265" t="inlineStr">
        <is>
          <t xml:space="preserve">12:20:00 p.m </t>
        </is>
      </c>
      <c r="K248" s="266" t="n">
        <v>2916</v>
      </c>
      <c r="L248" s="267" t="n"/>
      <c r="M248" s="113" t="n"/>
      <c r="N248" s="113" t="n"/>
      <c r="O248" s="113" t="n"/>
      <c r="P248" s="243" t="n"/>
      <c r="Q248" s="113" t="n"/>
      <c r="R248" s="113" t="n"/>
    </row>
    <row r="249" ht="15.75" customHeight="1">
      <c r="A249" s="113" t="n"/>
      <c r="B249" s="146" t="n">
        <v>5</v>
      </c>
      <c r="C249" s="350" t="n">
        <v>45840</v>
      </c>
      <c r="D249" s="351" t="n">
        <v>15</v>
      </c>
      <c r="E249" s="264" t="inlineStr">
        <is>
          <t>HUERTAS</t>
        </is>
      </c>
      <c r="F249" s="264" t="inlineStr">
        <is>
          <t>CARGUEROS</t>
        </is>
      </c>
      <c r="G249" s="264" t="n">
        <v>14</v>
      </c>
      <c r="H249" s="264" t="inlineStr">
        <is>
          <t xml:space="preserve">FABIO ALDANA </t>
        </is>
      </c>
      <c r="I249" s="264" t="inlineStr">
        <is>
          <t>TLO882</t>
        </is>
      </c>
      <c r="J249" s="265" t="inlineStr">
        <is>
          <t>1:45:00 p.m</t>
        </is>
      </c>
      <c r="K249" s="266" t="n">
        <v>3157</v>
      </c>
      <c r="L249" s="268" t="n"/>
      <c r="M249" s="113" t="n"/>
      <c r="N249" s="113" t="n"/>
      <c r="O249" s="113" t="n"/>
      <c r="P249" s="243" t="n"/>
      <c r="Q249" s="113" t="n"/>
      <c r="R249" s="113" t="n"/>
    </row>
    <row r="250" ht="15.75" customHeight="1">
      <c r="A250" s="113" t="n"/>
      <c r="B250" s="146" t="n">
        <v>5</v>
      </c>
      <c r="C250" s="352" t="n">
        <v>45840</v>
      </c>
      <c r="D250" s="347" t="n">
        <v>16</v>
      </c>
      <c r="E250" s="282" t="inlineStr">
        <is>
          <t>HUERTAS</t>
        </is>
      </c>
      <c r="F250" s="282" t="inlineStr">
        <is>
          <t>CARGUEROS</t>
        </is>
      </c>
      <c r="G250" s="282" t="n">
        <v>14</v>
      </c>
      <c r="H250" s="282" t="inlineStr">
        <is>
          <t>EDWIN ROJAS</t>
        </is>
      </c>
      <c r="I250" s="282" t="inlineStr">
        <is>
          <t>TLN248</t>
        </is>
      </c>
      <c r="J250" s="283" t="inlineStr">
        <is>
          <t>2:40:00 p.m</t>
        </is>
      </c>
      <c r="K250" s="318" t="n">
        <v>3174</v>
      </c>
      <c r="L250" s="355">
        <f>SUBTOTAL(9,K235:K250)</f>
        <v/>
      </c>
      <c r="M250" s="113" t="n"/>
      <c r="N250" s="113" t="n"/>
      <c r="O250" s="113" t="n"/>
      <c r="P250" s="243" t="n"/>
      <c r="Q250" s="113" t="n"/>
      <c r="R250" s="113" t="n"/>
    </row>
    <row r="251" ht="15.75" customHeight="1">
      <c r="A251" s="113" t="n"/>
      <c r="B251" s="146" t="n">
        <v>5</v>
      </c>
      <c r="C251" s="348" t="n">
        <v>45841</v>
      </c>
      <c r="D251" s="349" t="n">
        <v>1</v>
      </c>
      <c r="E251" s="258" t="inlineStr">
        <is>
          <t>HUERTAS</t>
        </is>
      </c>
      <c r="F251" s="258" t="inlineStr">
        <is>
          <t>CARGUEROS</t>
        </is>
      </c>
      <c r="G251" s="258" t="n">
        <v>14</v>
      </c>
      <c r="H251" s="258" t="inlineStr">
        <is>
          <t xml:space="preserve">JHON ARIAS </t>
        </is>
      </c>
      <c r="I251" s="258" t="inlineStr">
        <is>
          <t>KNL076</t>
        </is>
      </c>
      <c r="J251" s="259" t="n">
        <v>0.9666666666666667</v>
      </c>
      <c r="K251" s="260" t="n">
        <v>3300</v>
      </c>
      <c r="L251" s="261" t="n"/>
      <c r="M251" s="113" t="n"/>
      <c r="N251" s="113" t="n"/>
      <c r="O251" s="113" t="n"/>
      <c r="P251" s="243" t="n"/>
      <c r="Q251" s="113" t="n"/>
      <c r="R251" s="113" t="n"/>
    </row>
    <row r="252" ht="15.75" customHeight="1">
      <c r="A252" s="113" t="n"/>
      <c r="B252" s="146" t="n">
        <v>5</v>
      </c>
      <c r="C252" s="350" t="n">
        <v>45841</v>
      </c>
      <c r="D252" s="351" t="n">
        <v>2</v>
      </c>
      <c r="E252" s="264" t="inlineStr">
        <is>
          <t>HUERTAS</t>
        </is>
      </c>
      <c r="F252" s="264" t="inlineStr">
        <is>
          <t>CARGUEROS</t>
        </is>
      </c>
      <c r="G252" s="264" t="n">
        <v>14</v>
      </c>
      <c r="H252" s="264" t="inlineStr">
        <is>
          <t xml:space="preserve">DIEGO NIÑO </t>
        </is>
      </c>
      <c r="I252" s="264" t="inlineStr">
        <is>
          <t>GZZ673</t>
        </is>
      </c>
      <c r="J252" s="265" t="n">
        <v>0.15625</v>
      </c>
      <c r="K252" s="266" t="n">
        <v>3300</v>
      </c>
      <c r="L252" s="267" t="n"/>
      <c r="M252" s="113" t="n"/>
      <c r="N252" s="113" t="n"/>
      <c r="O252" s="113" t="n"/>
      <c r="P252" s="243" t="n"/>
      <c r="Q252" s="113" t="n"/>
      <c r="R252" s="113" t="n"/>
    </row>
    <row r="253" ht="15.75" customHeight="1">
      <c r="A253" s="113" t="n"/>
      <c r="B253" s="146" t="n">
        <v>5</v>
      </c>
      <c r="C253" s="350" t="n">
        <v>45841</v>
      </c>
      <c r="D253" s="351" t="n">
        <v>3</v>
      </c>
      <c r="E253" s="264" t="inlineStr">
        <is>
          <t>HUERTAS</t>
        </is>
      </c>
      <c r="F253" s="264" t="inlineStr">
        <is>
          <t>CARGUEROS</t>
        </is>
      </c>
      <c r="G253" s="264" t="n">
        <v>14</v>
      </c>
      <c r="H253" s="264" t="inlineStr">
        <is>
          <t xml:space="preserve">ALEX GOMEZ </t>
        </is>
      </c>
      <c r="I253" s="264" t="inlineStr">
        <is>
          <t>TLO881</t>
        </is>
      </c>
      <c r="J253" s="265" t="inlineStr">
        <is>
          <t>12:37:00 a.m</t>
        </is>
      </c>
      <c r="K253" s="266" t="n">
        <v>3300</v>
      </c>
      <c r="L253" s="267" t="n"/>
      <c r="M253" s="113" t="n"/>
      <c r="N253" s="113" t="n"/>
      <c r="O253" s="113" t="n"/>
      <c r="P253" s="243" t="n"/>
      <c r="Q253" s="113" t="n"/>
      <c r="R253" s="113" t="n"/>
    </row>
    <row r="254" ht="15.75" customHeight="1">
      <c r="A254" s="113" t="n"/>
      <c r="B254" s="146" t="n">
        <v>5</v>
      </c>
      <c r="C254" s="350" t="n">
        <v>45841</v>
      </c>
      <c r="D254" s="351" t="n">
        <v>4</v>
      </c>
      <c r="E254" s="264" t="inlineStr">
        <is>
          <t>HUERTAS</t>
        </is>
      </c>
      <c r="F254" s="264" t="inlineStr">
        <is>
          <t>CARGUEROS</t>
        </is>
      </c>
      <c r="G254" s="264" t="n">
        <v>14</v>
      </c>
      <c r="H254" s="264" t="inlineStr">
        <is>
          <t xml:space="preserve">JAIRO CUBILLOS </t>
        </is>
      </c>
      <c r="I254" s="264" t="inlineStr">
        <is>
          <t>TLO884</t>
        </is>
      </c>
      <c r="J254" s="265" t="n">
        <v>0.05208333333333334</v>
      </c>
      <c r="K254" s="266" t="n">
        <v>3300</v>
      </c>
      <c r="L254" s="267" t="n"/>
      <c r="M254" s="113" t="n"/>
      <c r="N254" s="113" t="n"/>
      <c r="O254" s="113" t="n"/>
      <c r="P254" s="243" t="n"/>
      <c r="Q254" s="113" t="n"/>
      <c r="R254" s="113" t="n"/>
    </row>
    <row r="255" ht="15.75" customHeight="1">
      <c r="A255" s="113" t="n"/>
      <c r="B255" s="146" t="n">
        <v>5</v>
      </c>
      <c r="C255" s="350" t="n">
        <v>45841</v>
      </c>
      <c r="D255" s="351" t="n">
        <v>5</v>
      </c>
      <c r="E255" s="264" t="inlineStr">
        <is>
          <t>HUERTAS</t>
        </is>
      </c>
      <c r="F255" s="264" t="inlineStr">
        <is>
          <t>CARGUEROS</t>
        </is>
      </c>
      <c r="G255" s="264" t="n">
        <v>14</v>
      </c>
      <c r="H255" s="264" t="inlineStr">
        <is>
          <t xml:space="preserve">FABIO ALDANA </t>
        </is>
      </c>
      <c r="I255" s="264" t="inlineStr">
        <is>
          <t>TLO882</t>
        </is>
      </c>
      <c r="J255" s="265" t="inlineStr">
        <is>
          <t>2:50:00 a.m</t>
        </is>
      </c>
      <c r="K255" s="266" t="n">
        <v>3300</v>
      </c>
      <c r="L255" s="267" t="n"/>
      <c r="M255" s="113" t="n"/>
      <c r="N255" s="113" t="n"/>
      <c r="O255" s="113" t="n"/>
      <c r="P255" s="243" t="n"/>
      <c r="Q255" s="113" t="n"/>
      <c r="R255" s="113" t="n"/>
    </row>
    <row r="256" ht="15.75" customHeight="1">
      <c r="A256" s="113" t="n"/>
      <c r="B256" s="146" t="n">
        <v>5</v>
      </c>
      <c r="C256" s="350" t="n">
        <v>45841</v>
      </c>
      <c r="D256" s="351" t="n">
        <v>6</v>
      </c>
      <c r="E256" s="264" t="inlineStr">
        <is>
          <t>HUERTAS</t>
        </is>
      </c>
      <c r="F256" s="264" t="inlineStr">
        <is>
          <t>CARGUEROS</t>
        </is>
      </c>
      <c r="G256" s="264" t="n">
        <v>14</v>
      </c>
      <c r="H256" s="264" t="inlineStr">
        <is>
          <t>EDWIN ROJAS</t>
        </is>
      </c>
      <c r="I256" s="264" t="inlineStr">
        <is>
          <t>TLN248</t>
        </is>
      </c>
      <c r="J256" s="265" t="n">
        <v>0.9951388888888889</v>
      </c>
      <c r="K256" s="266" t="n">
        <v>3300</v>
      </c>
      <c r="L256" s="267" t="n"/>
      <c r="M256" s="113" t="n"/>
      <c r="N256" s="113" t="n"/>
      <c r="O256" s="113" t="n"/>
      <c r="P256" s="243" t="n"/>
      <c r="Q256" s="113" t="n"/>
      <c r="R256" s="113" t="n"/>
    </row>
    <row r="257" ht="15.75" customHeight="1">
      <c r="A257" s="113" t="n"/>
      <c r="B257" s="146" t="n">
        <v>5</v>
      </c>
      <c r="C257" s="350" t="n">
        <v>45841</v>
      </c>
      <c r="D257" s="351" t="n">
        <v>7</v>
      </c>
      <c r="E257" s="264" t="inlineStr">
        <is>
          <t>HUERTAS</t>
        </is>
      </c>
      <c r="F257" s="264" t="inlineStr">
        <is>
          <t>CARGUEROS</t>
        </is>
      </c>
      <c r="G257" s="264" t="n">
        <v>14</v>
      </c>
      <c r="H257" s="264" t="inlineStr">
        <is>
          <t xml:space="preserve">FERNANDO OYUELA </t>
        </is>
      </c>
      <c r="I257" s="264" t="inlineStr">
        <is>
          <t>EQY778</t>
        </is>
      </c>
      <c r="J257" s="265" t="inlineStr">
        <is>
          <t>4:45:00 a.m</t>
        </is>
      </c>
      <c r="K257" s="266" t="n">
        <v>3300</v>
      </c>
      <c r="L257" s="267" t="n"/>
      <c r="M257" s="113" t="n"/>
      <c r="N257" s="113" t="n"/>
      <c r="O257" s="113" t="n"/>
      <c r="P257" s="243" t="n"/>
      <c r="Q257" s="113" t="n"/>
      <c r="R257" s="113" t="n"/>
    </row>
    <row r="258" ht="15.75" customHeight="1">
      <c r="A258" s="113" t="n"/>
      <c r="B258" s="146" t="n">
        <v>5</v>
      </c>
      <c r="C258" s="350" t="n">
        <v>45841</v>
      </c>
      <c r="D258" s="351" t="n">
        <v>8</v>
      </c>
      <c r="E258" s="264" t="inlineStr">
        <is>
          <t>HUERTAS</t>
        </is>
      </c>
      <c r="F258" s="264" t="inlineStr">
        <is>
          <t>CARGUEROS</t>
        </is>
      </c>
      <c r="G258" s="264" t="n">
        <v>14</v>
      </c>
      <c r="H258" s="264" t="inlineStr">
        <is>
          <t xml:space="preserve">JHON ARIAS </t>
        </is>
      </c>
      <c r="I258" s="264" t="inlineStr">
        <is>
          <t>KUS176</t>
        </is>
      </c>
      <c r="J258" s="265" t="inlineStr">
        <is>
          <t>5:30:00 a.m</t>
        </is>
      </c>
      <c r="K258" s="266" t="n">
        <v>3300</v>
      </c>
      <c r="L258" s="267" t="n"/>
      <c r="M258" s="113" t="n"/>
      <c r="N258" s="113" t="n"/>
      <c r="O258" s="113" t="n"/>
      <c r="P258" s="243" t="n"/>
      <c r="Q258" s="113" t="n"/>
      <c r="R258" s="113" t="n"/>
    </row>
    <row r="259" ht="15.75" customHeight="1">
      <c r="A259" s="113" t="n"/>
      <c r="B259" s="146" t="n">
        <v>5</v>
      </c>
      <c r="C259" s="350" t="n">
        <v>45841</v>
      </c>
      <c r="D259" s="351" t="n">
        <v>9</v>
      </c>
      <c r="E259" s="264" t="inlineStr">
        <is>
          <t>HUERTAS</t>
        </is>
      </c>
      <c r="F259" s="264" t="inlineStr">
        <is>
          <t>CARGUEROS</t>
        </is>
      </c>
      <c r="G259" s="264" t="n">
        <v>14</v>
      </c>
      <c r="H259" s="264" t="inlineStr">
        <is>
          <t>EDWIN ROJAS</t>
        </is>
      </c>
      <c r="I259" s="264" t="inlineStr">
        <is>
          <t>EQY781</t>
        </is>
      </c>
      <c r="J259" s="265" t="inlineStr">
        <is>
          <t>7:05:00 a.m</t>
        </is>
      </c>
      <c r="K259" s="266" t="n">
        <v>3300</v>
      </c>
      <c r="L259" s="267" t="n"/>
      <c r="M259" s="113" t="n"/>
      <c r="N259" s="113" t="n"/>
      <c r="O259" s="113" t="n"/>
      <c r="P259" s="243" t="n"/>
      <c r="Q259" s="113" t="n"/>
      <c r="R259" s="113" t="n"/>
    </row>
    <row r="260" ht="15.75" customHeight="1">
      <c r="A260" s="113" t="n"/>
      <c r="B260" s="146" t="n">
        <v>5</v>
      </c>
      <c r="C260" s="350" t="n">
        <v>45841</v>
      </c>
      <c r="D260" s="351" t="n">
        <v>10</v>
      </c>
      <c r="E260" s="264" t="inlineStr">
        <is>
          <t>HUERTAS</t>
        </is>
      </c>
      <c r="F260" s="264" t="inlineStr">
        <is>
          <t>CARGUEROS</t>
        </is>
      </c>
      <c r="G260" s="264" t="n">
        <v>14</v>
      </c>
      <c r="H260" s="264" t="inlineStr">
        <is>
          <t xml:space="preserve">ALEX GOMEZ </t>
        </is>
      </c>
      <c r="I260" s="264" t="inlineStr">
        <is>
          <t>TLN881</t>
        </is>
      </c>
      <c r="J260" s="265" t="inlineStr">
        <is>
          <t>9:15:00 a.m</t>
        </is>
      </c>
      <c r="K260" s="266" t="n">
        <v>3300</v>
      </c>
      <c r="L260" s="268" t="n"/>
      <c r="M260" s="113" t="n"/>
      <c r="N260" s="113" t="n"/>
      <c r="O260" s="113" t="n"/>
      <c r="P260" s="243" t="n"/>
      <c r="Q260" s="113" t="n"/>
      <c r="R260" s="113" t="n"/>
    </row>
    <row r="261" ht="15.75" customHeight="1">
      <c r="A261" s="113" t="n"/>
      <c r="B261" s="146" t="n">
        <v>5</v>
      </c>
      <c r="C261" s="352" t="n">
        <v>45841</v>
      </c>
      <c r="D261" s="347" t="n">
        <v>11</v>
      </c>
      <c r="E261" s="282" t="inlineStr">
        <is>
          <t>HUERTAS</t>
        </is>
      </c>
      <c r="F261" s="282" t="inlineStr">
        <is>
          <t>CARGUEROS</t>
        </is>
      </c>
      <c r="G261" s="282" t="n">
        <v>14</v>
      </c>
      <c r="H261" s="282" t="inlineStr">
        <is>
          <t xml:space="preserve">JAIRO CUBILLOS </t>
        </is>
      </c>
      <c r="I261" s="282" t="inlineStr">
        <is>
          <t>TLR884</t>
        </is>
      </c>
      <c r="J261" s="283" t="inlineStr">
        <is>
          <t>10:10:00 a.m</t>
        </is>
      </c>
      <c r="K261" s="318" t="n">
        <v>3420</v>
      </c>
      <c r="L261" s="355">
        <f>SUBTOTAL(9,K251:K261)</f>
        <v/>
      </c>
      <c r="M261" s="113" t="n"/>
      <c r="N261" s="113" t="n"/>
      <c r="O261" s="113" t="n"/>
      <c r="P261" s="243" t="n"/>
      <c r="Q261" s="113" t="n"/>
      <c r="R261" s="113" t="n"/>
    </row>
    <row r="262" ht="15.75" customHeight="1">
      <c r="A262" s="113" t="n"/>
      <c r="B262" s="146" t="n">
        <v>5</v>
      </c>
      <c r="C262" s="348" t="n">
        <v>45842</v>
      </c>
      <c r="D262" s="349" t="n">
        <v>1</v>
      </c>
      <c r="E262" s="258" t="inlineStr">
        <is>
          <t>HUERTAS</t>
        </is>
      </c>
      <c r="F262" s="258" t="inlineStr">
        <is>
          <t>CARGUEROS</t>
        </is>
      </c>
      <c r="G262" s="258" t="n">
        <v>14</v>
      </c>
      <c r="H262" s="258" t="inlineStr">
        <is>
          <t>JUAN DAVID GOMEZ</t>
        </is>
      </c>
      <c r="I262" s="258" t="inlineStr">
        <is>
          <t>SMS205</t>
        </is>
      </c>
      <c r="J262" s="259" t="n">
        <v>0.75</v>
      </c>
      <c r="K262" s="260" t="n">
        <v>3000</v>
      </c>
      <c r="L262" s="261" t="n"/>
      <c r="M262" s="146" t="inlineStr">
        <is>
          <t>BOGOTA</t>
        </is>
      </c>
      <c r="N262" s="113" t="n"/>
      <c r="O262" s="113" t="n"/>
      <c r="P262" s="243" t="n"/>
      <c r="Q262" s="113" t="n"/>
      <c r="R262" s="113" t="n"/>
    </row>
    <row r="263" ht="15.75" customHeight="1">
      <c r="A263" s="113" t="n"/>
      <c r="B263" s="146" t="n">
        <v>5</v>
      </c>
      <c r="C263" s="350" t="n">
        <v>45842</v>
      </c>
      <c r="D263" s="351" t="n">
        <v>2</v>
      </c>
      <c r="E263" s="264" t="inlineStr">
        <is>
          <t>HUERTAS</t>
        </is>
      </c>
      <c r="F263" s="264" t="inlineStr">
        <is>
          <t>CARGUEROS</t>
        </is>
      </c>
      <c r="G263" s="264" t="n">
        <v>14</v>
      </c>
      <c r="H263" s="264" t="inlineStr">
        <is>
          <t>GUSTAVO MONROY</t>
        </is>
      </c>
      <c r="I263" s="264" t="inlineStr">
        <is>
          <t>SUV760</t>
        </is>
      </c>
      <c r="J263" s="265" t="inlineStr">
        <is>
          <t>6:55:00 p.m</t>
        </is>
      </c>
      <c r="K263" s="266" t="n">
        <v>2925</v>
      </c>
      <c r="L263" s="267" t="n"/>
      <c r="M263" s="146" t="inlineStr">
        <is>
          <t>BOGOTA</t>
        </is>
      </c>
      <c r="N263" s="113" t="n"/>
      <c r="O263" s="113" t="n"/>
      <c r="P263" s="243" t="n"/>
      <c r="Q263" s="113" t="n"/>
      <c r="R263" s="113" t="n"/>
    </row>
    <row r="264" ht="15.75" customHeight="1">
      <c r="A264" s="113" t="n"/>
      <c r="B264" s="146" t="n">
        <v>5</v>
      </c>
      <c r="C264" s="350" t="n">
        <v>45842</v>
      </c>
      <c r="D264" s="351" t="n">
        <v>3</v>
      </c>
      <c r="E264" s="264" t="inlineStr">
        <is>
          <t>HUERTAS</t>
        </is>
      </c>
      <c r="F264" s="264" t="inlineStr">
        <is>
          <t>CARGUEROS</t>
        </is>
      </c>
      <c r="G264" s="264" t="n">
        <v>14</v>
      </c>
      <c r="H264" s="264" t="inlineStr">
        <is>
          <t>FERNANDO SABOGAL</t>
        </is>
      </c>
      <c r="I264" s="264" t="inlineStr">
        <is>
          <t>SHL416</t>
        </is>
      </c>
      <c r="J264" s="265" t="inlineStr">
        <is>
          <t>8:05:00 p.m</t>
        </is>
      </c>
      <c r="K264" s="266" t="n">
        <v>2925</v>
      </c>
      <c r="L264" s="267" t="n"/>
      <c r="M264" s="146" t="inlineStr">
        <is>
          <t>BOGOTA</t>
        </is>
      </c>
      <c r="N264" s="113" t="n"/>
      <c r="O264" s="113" t="n"/>
      <c r="P264" s="243" t="n"/>
      <c r="Q264" s="113" t="n"/>
      <c r="R264" s="113" t="n"/>
    </row>
    <row r="265" ht="15.75" customHeight="1">
      <c r="A265" s="113" t="n"/>
      <c r="B265" s="146" t="n">
        <v>5</v>
      </c>
      <c r="C265" s="350" t="n">
        <v>45842</v>
      </c>
      <c r="D265" s="351" t="n">
        <v>4</v>
      </c>
      <c r="E265" s="264" t="inlineStr">
        <is>
          <t>HUERTAS</t>
        </is>
      </c>
      <c r="F265" s="264" t="inlineStr">
        <is>
          <t>CARGUEROS</t>
        </is>
      </c>
      <c r="G265" s="264" t="n">
        <v>14</v>
      </c>
      <c r="H265" s="264" t="inlineStr">
        <is>
          <t>CRISTIAN ROJAS</t>
        </is>
      </c>
      <c r="I265" s="264" t="inlineStr">
        <is>
          <t>SGG055</t>
        </is>
      </c>
      <c r="J265" s="265" t="inlineStr">
        <is>
          <t>9:15:00 p.m</t>
        </is>
      </c>
      <c r="K265" s="266" t="n">
        <v>2925</v>
      </c>
      <c r="L265" s="267" t="n"/>
      <c r="M265" s="146" t="inlineStr">
        <is>
          <t>BOGOTA</t>
        </is>
      </c>
      <c r="N265" s="113" t="n"/>
      <c r="O265" s="113" t="n"/>
      <c r="P265" s="243" t="n"/>
      <c r="Q265" s="113" t="n"/>
      <c r="R265" s="113" t="n"/>
    </row>
    <row r="266" ht="15.75" customHeight="1">
      <c r="A266" s="113" t="n"/>
      <c r="B266" s="146" t="n">
        <v>5</v>
      </c>
      <c r="C266" s="350" t="n">
        <v>45842</v>
      </c>
      <c r="D266" s="351" t="n">
        <v>5</v>
      </c>
      <c r="E266" s="264" t="inlineStr">
        <is>
          <t>HUERTAS</t>
        </is>
      </c>
      <c r="F266" s="264" t="inlineStr">
        <is>
          <t>CARGUEROS</t>
        </is>
      </c>
      <c r="G266" s="264" t="n">
        <v>14</v>
      </c>
      <c r="H266" s="264" t="inlineStr">
        <is>
          <t>JORGE OVIEDO</t>
        </is>
      </c>
      <c r="I266" s="264" t="inlineStr">
        <is>
          <t>SKG142</t>
        </is>
      </c>
      <c r="J266" s="265" t="inlineStr">
        <is>
          <t>10:20:00 p.m</t>
        </is>
      </c>
      <c r="K266" s="266" t="n">
        <v>2925</v>
      </c>
      <c r="L266" s="267" t="n"/>
      <c r="M266" s="146" t="inlineStr">
        <is>
          <t>BOGOTA</t>
        </is>
      </c>
      <c r="N266" s="113" t="n"/>
      <c r="O266" s="113" t="n"/>
      <c r="P266" s="243" t="n"/>
      <c r="Q266" s="113" t="n"/>
      <c r="R266" s="113" t="n"/>
    </row>
    <row r="267" ht="15.75" customHeight="1">
      <c r="A267" s="113" t="n"/>
      <c r="B267" s="146" t="n">
        <v>5</v>
      </c>
      <c r="C267" s="350" t="n">
        <v>45842</v>
      </c>
      <c r="D267" s="351" t="n">
        <v>6</v>
      </c>
      <c r="E267" s="264" t="inlineStr">
        <is>
          <t>HUERTAS</t>
        </is>
      </c>
      <c r="F267" s="264" t="inlineStr">
        <is>
          <t>CARGUEROS</t>
        </is>
      </c>
      <c r="G267" s="264" t="n">
        <v>14</v>
      </c>
      <c r="H267" s="264" t="inlineStr">
        <is>
          <t xml:space="preserve">DUMAR ANGARITA </t>
        </is>
      </c>
      <c r="I267" s="264" t="inlineStr">
        <is>
          <t>LQO745</t>
        </is>
      </c>
      <c r="J267" s="265" t="inlineStr">
        <is>
          <t>11:25:00 p.m</t>
        </is>
      </c>
      <c r="K267" s="266" t="n">
        <v>2542</v>
      </c>
      <c r="L267" s="267" t="n"/>
      <c r="M267" s="113" t="n"/>
      <c r="N267" s="113" t="n"/>
      <c r="O267" s="113" t="n"/>
      <c r="P267" s="243" t="n"/>
      <c r="Q267" s="113" t="n"/>
      <c r="R267" s="113" t="n"/>
    </row>
    <row r="268" ht="15.75" customHeight="1">
      <c r="A268" s="113" t="n"/>
      <c r="B268" s="146" t="n">
        <v>5</v>
      </c>
      <c r="C268" s="350" t="n">
        <v>45842</v>
      </c>
      <c r="D268" s="351" t="n">
        <v>7</v>
      </c>
      <c r="E268" s="264" t="inlineStr">
        <is>
          <t>HUERTAS</t>
        </is>
      </c>
      <c r="F268" s="264" t="inlineStr">
        <is>
          <t>CARGUEROS</t>
        </is>
      </c>
      <c r="G268" s="264" t="n">
        <v>14</v>
      </c>
      <c r="H268" s="264" t="inlineStr">
        <is>
          <t xml:space="preserve">EDUAN CAVIEDEZ </t>
        </is>
      </c>
      <c r="I268" s="264" t="inlineStr">
        <is>
          <t>EQY779</t>
        </is>
      </c>
      <c r="J268" s="265" t="n">
        <v>12.00694444444444</v>
      </c>
      <c r="K268" s="266" t="n">
        <v>2224</v>
      </c>
      <c r="L268" s="267" t="n"/>
      <c r="M268" s="113" t="n"/>
      <c r="N268" s="113" t="n"/>
      <c r="O268" s="113" t="n"/>
      <c r="P268" s="243" t="n"/>
      <c r="Q268" s="113" t="n"/>
      <c r="R268" s="113" t="n"/>
    </row>
    <row r="269" ht="15.75" customHeight="1">
      <c r="A269" s="113" t="n"/>
      <c r="B269" s="146" t="n">
        <v>5</v>
      </c>
      <c r="C269" s="350" t="n">
        <v>45842</v>
      </c>
      <c r="D269" s="351" t="n">
        <v>8</v>
      </c>
      <c r="E269" s="264" t="inlineStr">
        <is>
          <t>HUERTAS</t>
        </is>
      </c>
      <c r="F269" s="264" t="inlineStr">
        <is>
          <t>CARGUEROS</t>
        </is>
      </c>
      <c r="G269" s="264" t="n">
        <v>14</v>
      </c>
      <c r="H269" s="264" t="inlineStr">
        <is>
          <t>JHON AGUIRRE</t>
        </is>
      </c>
      <c r="I269" s="264" t="inlineStr">
        <is>
          <t>EQY780</t>
        </is>
      </c>
      <c r="J269" s="265" t="inlineStr">
        <is>
          <t>1:15:00 a.m</t>
        </is>
      </c>
      <c r="K269" s="266" t="n">
        <v>2916</v>
      </c>
      <c r="L269" s="267" t="n"/>
      <c r="M269" s="113" t="n"/>
      <c r="N269" s="113" t="n"/>
      <c r="O269" s="113" t="n"/>
      <c r="P269" s="243" t="n"/>
      <c r="Q269" s="113" t="n"/>
      <c r="R269" s="113" t="n"/>
    </row>
    <row r="270" ht="15.75" customHeight="1">
      <c r="A270" s="113" t="n"/>
      <c r="B270" s="146" t="n">
        <v>5</v>
      </c>
      <c r="C270" s="350" t="n">
        <v>45842</v>
      </c>
      <c r="D270" s="351" t="n">
        <v>9</v>
      </c>
      <c r="E270" s="264" t="inlineStr">
        <is>
          <t>HUERTAS</t>
        </is>
      </c>
      <c r="F270" s="264" t="inlineStr">
        <is>
          <t>CARGUEROS</t>
        </is>
      </c>
      <c r="G270" s="264" t="n">
        <v>14</v>
      </c>
      <c r="H270" s="264" t="inlineStr">
        <is>
          <t xml:space="preserve">JOSE HERRERA </t>
        </is>
      </c>
      <c r="I270" s="264" t="inlineStr">
        <is>
          <t>EQY776</t>
        </is>
      </c>
      <c r="J270" s="265" t="inlineStr">
        <is>
          <t>2:00:00 a.m</t>
        </is>
      </c>
      <c r="K270" s="266" t="n">
        <v>2916</v>
      </c>
      <c r="L270" s="268" t="n"/>
      <c r="M270" s="113" t="n"/>
      <c r="N270" s="113" t="n"/>
      <c r="O270" s="113" t="n"/>
      <c r="P270" s="243" t="n"/>
      <c r="Q270" s="113" t="n"/>
      <c r="R270" s="113" t="n"/>
    </row>
    <row r="271" ht="15.75" customHeight="1">
      <c r="A271" s="113" t="n"/>
      <c r="B271" s="146" t="n">
        <v>5</v>
      </c>
      <c r="C271" s="356" t="n">
        <v>45842</v>
      </c>
      <c r="D271" s="357" t="n">
        <v>10</v>
      </c>
      <c r="E271" s="271" t="inlineStr">
        <is>
          <t>HUERTAS</t>
        </is>
      </c>
      <c r="F271" s="271" t="inlineStr">
        <is>
          <t>CARGUEROS</t>
        </is>
      </c>
      <c r="G271" s="271" t="n">
        <v>14</v>
      </c>
      <c r="H271" s="271" t="inlineStr">
        <is>
          <t xml:space="preserve">MANUEL QUITIAN </t>
        </is>
      </c>
      <c r="I271" s="271" t="inlineStr">
        <is>
          <t>KUS176</t>
        </is>
      </c>
      <c r="J271" s="272" t="inlineStr">
        <is>
          <t>3:10:00 a.m</t>
        </is>
      </c>
      <c r="K271" s="286" t="n">
        <v>3231</v>
      </c>
      <c r="L271" s="358">
        <f>SUBTOTAL(9,K262:K271)</f>
        <v/>
      </c>
      <c r="M271" s="113" t="n"/>
      <c r="N271" s="113" t="n"/>
      <c r="O271" s="113" t="n"/>
      <c r="P271" s="243" t="n"/>
      <c r="Q271" s="113" t="n"/>
      <c r="R271" s="113" t="n"/>
    </row>
    <row r="272" ht="15.75" customHeight="1">
      <c r="A272" s="113" t="n"/>
      <c r="B272" s="146" t="n">
        <v>5</v>
      </c>
      <c r="C272" s="359" t="n">
        <v>45843</v>
      </c>
      <c r="D272" s="360" t="n">
        <v>1</v>
      </c>
      <c r="E272" s="293" t="inlineStr">
        <is>
          <t>SANJOSE</t>
        </is>
      </c>
      <c r="F272" s="293" t="inlineStr">
        <is>
          <t>CARGUEROS</t>
        </is>
      </c>
      <c r="G272" s="293" t="n">
        <v>11</v>
      </c>
      <c r="H272" s="293" t="inlineStr">
        <is>
          <t xml:space="preserve">JOSE HERRERA </t>
        </is>
      </c>
      <c r="I272" s="293" t="inlineStr">
        <is>
          <t>EQY776</t>
        </is>
      </c>
      <c r="J272" s="294" t="inlineStr">
        <is>
          <t>9:50:00 p.m</t>
        </is>
      </c>
      <c r="K272" s="295" t="n">
        <v>3160</v>
      </c>
      <c r="L272" s="361" t="n"/>
      <c r="M272" s="113" t="n"/>
      <c r="N272" s="113" t="n"/>
      <c r="O272" s="113" t="n"/>
      <c r="P272" s="243" t="n"/>
      <c r="Q272" s="113" t="n"/>
      <c r="R272" s="113" t="n"/>
    </row>
    <row r="273" ht="15.75" customHeight="1">
      <c r="A273" s="113" t="n"/>
      <c r="B273" s="146" t="n">
        <v>5</v>
      </c>
      <c r="C273" s="350" t="n">
        <v>45843</v>
      </c>
      <c r="D273" s="351" t="n">
        <v>2</v>
      </c>
      <c r="E273" s="264" t="inlineStr">
        <is>
          <t>SANJOSE</t>
        </is>
      </c>
      <c r="F273" s="264" t="inlineStr">
        <is>
          <t>CARGUEROS</t>
        </is>
      </c>
      <c r="G273" s="264" t="n">
        <v>11</v>
      </c>
      <c r="H273" s="264" t="inlineStr">
        <is>
          <t xml:space="preserve">MANUEL QUITIAN </t>
        </is>
      </c>
      <c r="I273" s="264" t="inlineStr">
        <is>
          <t>KUS176</t>
        </is>
      </c>
      <c r="J273" s="265" t="inlineStr">
        <is>
          <t>10:40:00 p.m</t>
        </is>
      </c>
      <c r="K273" s="266" t="n">
        <v>3160</v>
      </c>
      <c r="L273" s="267" t="n"/>
      <c r="M273" s="113" t="n"/>
      <c r="N273" s="113" t="n"/>
      <c r="O273" s="113" t="n"/>
      <c r="P273" s="243" t="n"/>
      <c r="Q273" s="113" t="n"/>
      <c r="R273" s="113" t="n"/>
    </row>
    <row r="274" ht="15.75" customHeight="1">
      <c r="A274" s="113" t="n"/>
      <c r="B274" s="146" t="n">
        <v>5</v>
      </c>
      <c r="C274" s="352" t="n">
        <v>45843</v>
      </c>
      <c r="D274" s="347" t="n">
        <v>3</v>
      </c>
      <c r="E274" s="282" t="inlineStr">
        <is>
          <t>SANJOSE</t>
        </is>
      </c>
      <c r="F274" s="264" t="inlineStr">
        <is>
          <t>CARGUEROS</t>
        </is>
      </c>
      <c r="G274" s="264" t="n">
        <v>11</v>
      </c>
      <c r="H274" s="282" t="inlineStr">
        <is>
          <t xml:space="preserve">DUMAR ANGARITA </t>
        </is>
      </c>
      <c r="I274" s="282" t="inlineStr">
        <is>
          <t>LQO745</t>
        </is>
      </c>
      <c r="J274" s="283" t="inlineStr">
        <is>
          <t>11:23:00 p.m</t>
        </is>
      </c>
      <c r="K274" s="318" t="n">
        <v>3160</v>
      </c>
      <c r="L274" s="267" t="n"/>
      <c r="M274" s="113" t="n"/>
      <c r="N274" s="113" t="n"/>
      <c r="O274" s="113" t="n"/>
      <c r="P274" s="243" t="n"/>
      <c r="Q274" s="113" t="n"/>
      <c r="R274" s="113" t="n"/>
    </row>
    <row r="275" ht="15.75" customHeight="1">
      <c r="A275" s="113" t="n"/>
      <c r="B275" s="146" t="n">
        <v>5</v>
      </c>
      <c r="C275" s="362" t="n">
        <v>45843</v>
      </c>
      <c r="D275" s="351" t="n">
        <v>4</v>
      </c>
      <c r="E275" s="264" t="inlineStr">
        <is>
          <t>SANJOSE</t>
        </is>
      </c>
      <c r="F275" s="328" t="inlineStr">
        <is>
          <t>CARGUEROS</t>
        </is>
      </c>
      <c r="G275" s="363" t="n">
        <v>11</v>
      </c>
      <c r="H275" s="264" t="inlineStr">
        <is>
          <t>EDUAN CAVIEDEZ</t>
        </is>
      </c>
      <c r="I275" s="264" t="inlineStr">
        <is>
          <t>EQY779</t>
        </is>
      </c>
      <c r="J275" s="265" t="inlineStr">
        <is>
          <t>12:10:00 a.m</t>
        </is>
      </c>
      <c r="K275" s="266" t="n">
        <v>3160</v>
      </c>
      <c r="L275" s="267" t="n"/>
      <c r="M275" s="113" t="n"/>
      <c r="N275" s="113" t="n"/>
      <c r="O275" s="113" t="n"/>
      <c r="P275" s="243" t="n"/>
      <c r="Q275" s="113" t="n"/>
      <c r="R275" s="113" t="n"/>
    </row>
    <row r="276" ht="15.75" customHeight="1">
      <c r="A276" s="113" t="n"/>
      <c r="B276" s="146" t="n">
        <v>5</v>
      </c>
      <c r="C276" s="362" t="n">
        <v>45843</v>
      </c>
      <c r="D276" s="351" t="n">
        <v>5</v>
      </c>
      <c r="E276" s="264" t="inlineStr">
        <is>
          <t>SANJOSE</t>
        </is>
      </c>
      <c r="F276" s="328" t="inlineStr">
        <is>
          <t>CARGUEROS</t>
        </is>
      </c>
      <c r="G276" s="363" t="n">
        <v>11</v>
      </c>
      <c r="H276" s="264" t="inlineStr">
        <is>
          <t xml:space="preserve">FERNANDO OYUELA </t>
        </is>
      </c>
      <c r="I276" s="264" t="inlineStr">
        <is>
          <t>EQY778</t>
        </is>
      </c>
      <c r="J276" s="265" t="inlineStr">
        <is>
          <t>12:54:00 a.m</t>
        </is>
      </c>
      <c r="K276" s="266" t="n">
        <v>2680</v>
      </c>
      <c r="L276" s="267" t="n"/>
      <c r="M276" s="113" t="n"/>
      <c r="N276" s="113" t="n"/>
      <c r="O276" s="113" t="n"/>
      <c r="P276" s="243" t="n"/>
      <c r="Q276" s="113" t="n"/>
      <c r="R276" s="113" t="n"/>
    </row>
    <row r="277" ht="15.75" customHeight="1">
      <c r="A277" s="113" t="n"/>
      <c r="B277" s="146" t="n">
        <v>5</v>
      </c>
      <c r="C277" s="362" t="n">
        <v>45843</v>
      </c>
      <c r="D277" s="351" t="n">
        <v>6</v>
      </c>
      <c r="E277" s="264" t="inlineStr">
        <is>
          <t>SANJOSE</t>
        </is>
      </c>
      <c r="F277" s="328" t="inlineStr">
        <is>
          <t>CARGUEROS</t>
        </is>
      </c>
      <c r="G277" s="363" t="n">
        <v>11</v>
      </c>
      <c r="H277" s="264" t="inlineStr">
        <is>
          <t>JHON AGUIRRE</t>
        </is>
      </c>
      <c r="I277" s="264" t="inlineStr">
        <is>
          <t>EQY780</t>
        </is>
      </c>
      <c r="J277" s="265" t="inlineStr">
        <is>
          <t>2:00:00 a.m</t>
        </is>
      </c>
      <c r="K277" s="266" t="n">
        <v>3180</v>
      </c>
      <c r="L277" s="267" t="n"/>
      <c r="M277" s="113" t="n"/>
      <c r="N277" s="113" t="n"/>
      <c r="O277" s="113" t="n"/>
      <c r="P277" s="243" t="n"/>
      <c r="Q277" s="113" t="n"/>
      <c r="R277" s="113" t="n"/>
    </row>
    <row r="278" ht="15.75" customHeight="1">
      <c r="A278" s="113" t="n"/>
      <c r="B278" s="146" t="n">
        <v>5</v>
      </c>
      <c r="C278" s="362" t="n">
        <v>45843</v>
      </c>
      <c r="D278" s="351" t="n">
        <v>7</v>
      </c>
      <c r="E278" s="264" t="inlineStr">
        <is>
          <t>SANJOSE</t>
        </is>
      </c>
      <c r="F278" s="328" t="inlineStr">
        <is>
          <t>CARGUEROS</t>
        </is>
      </c>
      <c r="G278" s="363" t="n">
        <v>11</v>
      </c>
      <c r="H278" s="264" t="inlineStr">
        <is>
          <t xml:space="preserve">DIEGO NIÑO </t>
        </is>
      </c>
      <c r="I278" s="264" t="inlineStr">
        <is>
          <t>EZZ673</t>
        </is>
      </c>
      <c r="J278" s="265" t="inlineStr">
        <is>
          <t>3:00:00 a.m</t>
        </is>
      </c>
      <c r="K278" s="266" t="n">
        <v>3180</v>
      </c>
      <c r="L278" s="268" t="n"/>
      <c r="M278" s="113" t="n"/>
      <c r="N278" s="113" t="n"/>
      <c r="O278" s="113" t="n"/>
      <c r="P278" s="243" t="n"/>
      <c r="Q278" s="113" t="n"/>
      <c r="R278" s="113" t="n"/>
    </row>
    <row r="279" ht="15.75" customHeight="1">
      <c r="A279" s="113" t="n"/>
      <c r="B279" s="146" t="n">
        <v>5</v>
      </c>
      <c r="C279" s="364" t="n">
        <v>45843</v>
      </c>
      <c r="D279" s="347" t="n">
        <v>8</v>
      </c>
      <c r="E279" s="282" t="inlineStr">
        <is>
          <t>SANJOSE</t>
        </is>
      </c>
      <c r="F279" s="344" t="inlineStr">
        <is>
          <t>CARGUEROS</t>
        </is>
      </c>
      <c r="G279" s="365" t="n">
        <v>11</v>
      </c>
      <c r="H279" s="282" t="inlineStr">
        <is>
          <t xml:space="preserve">FABIO ALDANA </t>
        </is>
      </c>
      <c r="I279" s="282" t="inlineStr">
        <is>
          <t>TLO882</t>
        </is>
      </c>
      <c r="J279" s="283" t="inlineStr">
        <is>
          <t>3:47:00 a.m</t>
        </is>
      </c>
      <c r="K279" s="318" t="n">
        <v>3180</v>
      </c>
      <c r="L279" s="366">
        <f>SUBTOTAL(9,K272:K279)</f>
        <v/>
      </c>
      <c r="M279" s="113" t="n"/>
      <c r="N279" s="113" t="n"/>
      <c r="O279" s="113" t="n"/>
      <c r="P279" s="243" t="n"/>
      <c r="Q279" s="113" t="n"/>
      <c r="R279" s="113" t="n"/>
    </row>
    <row r="280" ht="18" customHeight="1">
      <c r="A280" s="113" t="n"/>
      <c r="B280" s="146" t="n">
        <v>6</v>
      </c>
      <c r="C280" s="348" t="n">
        <v>45845</v>
      </c>
      <c r="D280" s="349" t="n">
        <v>1</v>
      </c>
      <c r="E280" s="258" t="inlineStr">
        <is>
          <t xml:space="preserve">SAN JOSE </t>
        </is>
      </c>
      <c r="F280" s="326" t="inlineStr">
        <is>
          <t>ABONEROS</t>
        </is>
      </c>
      <c r="G280" s="367" t="n">
        <v>10</v>
      </c>
      <c r="H280" s="258" t="inlineStr">
        <is>
          <t>EDWIN ROJAS</t>
        </is>
      </c>
      <c r="I280" s="258" t="inlineStr">
        <is>
          <t>TLN248</t>
        </is>
      </c>
      <c r="J280" s="259" t="n">
        <v>0.1520833333333333</v>
      </c>
      <c r="K280" s="338" t="n">
        <v>2246</v>
      </c>
      <c r="L280" s="368" t="n"/>
      <c r="M280" s="113" t="n"/>
      <c r="N280" s="113" t="n"/>
      <c r="O280" s="113" t="n"/>
      <c r="P280" s="243" t="n"/>
      <c r="Q280" s="113" t="n"/>
      <c r="R280" s="113" t="n"/>
    </row>
    <row r="281" ht="15.75" customHeight="1">
      <c r="A281" s="113" t="n"/>
      <c r="B281" s="146" t="n">
        <v>6</v>
      </c>
      <c r="C281" s="350" t="n">
        <v>45845</v>
      </c>
      <c r="D281" s="351" t="n">
        <v>2</v>
      </c>
      <c r="E281" s="264" t="inlineStr">
        <is>
          <t xml:space="preserve">SAN JOSE </t>
        </is>
      </c>
      <c r="F281" s="328" t="inlineStr">
        <is>
          <t>CARGUEROS</t>
        </is>
      </c>
      <c r="G281" s="363" t="n">
        <v>11</v>
      </c>
      <c r="H281" s="264" t="inlineStr">
        <is>
          <t xml:space="preserve">JAIRO CUBILLOS </t>
        </is>
      </c>
      <c r="I281" s="264" t="inlineStr">
        <is>
          <t>TLO884</t>
        </is>
      </c>
      <c r="J281" s="265" t="n">
        <v>0.1527777777777778</v>
      </c>
      <c r="K281" s="341" t="n">
        <v>2664</v>
      </c>
      <c r="L281" s="369" t="n"/>
      <c r="M281" s="113" t="n"/>
      <c r="N281" s="113" t="n"/>
      <c r="O281" s="113" t="n"/>
      <c r="P281" s="243" t="n"/>
      <c r="Q281" s="113" t="n"/>
      <c r="R281" s="113" t="n"/>
    </row>
    <row r="282" ht="15.75" customHeight="1">
      <c r="A282" s="113" t="n"/>
      <c r="B282" s="146" t="n">
        <v>6</v>
      </c>
      <c r="C282" s="350" t="n">
        <v>45845</v>
      </c>
      <c r="D282" s="351" t="n">
        <v>3</v>
      </c>
      <c r="E282" s="264" t="inlineStr">
        <is>
          <t xml:space="preserve">SAN JOSE </t>
        </is>
      </c>
      <c r="F282" s="328" t="inlineStr">
        <is>
          <t>CARGUEROS</t>
        </is>
      </c>
      <c r="G282" s="363" t="n">
        <v>11</v>
      </c>
      <c r="H282" s="264" t="inlineStr">
        <is>
          <t xml:space="preserve">JOSE HERRERA </t>
        </is>
      </c>
      <c r="I282" s="264" t="inlineStr">
        <is>
          <t>EQY776</t>
        </is>
      </c>
      <c r="J282" s="265" t="n">
        <v>0.2048611111111111</v>
      </c>
      <c r="K282" s="341" t="n">
        <v>3564</v>
      </c>
      <c r="L282" s="369" t="n"/>
      <c r="M282" s="113" t="n"/>
      <c r="N282" s="113" t="n"/>
      <c r="O282" s="113" t="n"/>
      <c r="P282" s="243" t="n"/>
      <c r="Q282" s="113" t="n"/>
      <c r="R282" s="113" t="n"/>
    </row>
    <row r="283" ht="15.75" customHeight="1">
      <c r="A283" s="113" t="n"/>
      <c r="B283" s="146" t="n">
        <v>6</v>
      </c>
      <c r="C283" s="370" t="n">
        <v>45845</v>
      </c>
      <c r="D283" s="371" t="n">
        <v>4</v>
      </c>
      <c r="E283" s="305" t="inlineStr">
        <is>
          <t xml:space="preserve">SAN JOSE </t>
        </is>
      </c>
      <c r="F283" s="264" t="inlineStr">
        <is>
          <t>ABONEROS</t>
        </is>
      </c>
      <c r="G283" s="264" t="n">
        <v>10</v>
      </c>
      <c r="H283" s="305" t="inlineStr">
        <is>
          <t>YAIR RIVEROS</t>
        </is>
      </c>
      <c r="I283" s="305" t="inlineStr">
        <is>
          <t>TLN181</t>
        </is>
      </c>
      <c r="J283" s="306" t="n">
        <v>0.2083333333333333</v>
      </c>
      <c r="K283" s="372" t="n">
        <v>3560</v>
      </c>
      <c r="L283" s="369" t="n"/>
      <c r="M283" s="113" t="n"/>
      <c r="N283" s="113" t="n"/>
      <c r="O283" s="113" t="n"/>
      <c r="P283" s="243" t="n"/>
      <c r="Q283" s="113" t="n"/>
      <c r="R283" s="113" t="n"/>
    </row>
    <row r="284" ht="16.5" customHeight="1">
      <c r="A284" s="113" t="n"/>
      <c r="B284" s="146" t="n">
        <v>6</v>
      </c>
      <c r="C284" s="350" t="n">
        <v>45845</v>
      </c>
      <c r="D284" s="351" t="n">
        <v>5</v>
      </c>
      <c r="E284" s="264" t="inlineStr">
        <is>
          <t xml:space="preserve">SAN JOSE </t>
        </is>
      </c>
      <c r="F284" s="328" t="inlineStr">
        <is>
          <t>ABONEROS</t>
        </is>
      </c>
      <c r="G284" s="363" t="n">
        <v>10</v>
      </c>
      <c r="H284" s="264" t="inlineStr">
        <is>
          <t xml:space="preserve">ALBERTO LOPEZ </t>
        </is>
      </c>
      <c r="I284" s="264" t="inlineStr">
        <is>
          <t>EQY777</t>
        </is>
      </c>
      <c r="J284" s="265" t="n">
        <v>0.24375</v>
      </c>
      <c r="K284" s="341" t="n">
        <v>3564</v>
      </c>
      <c r="L284" s="369" t="n"/>
      <c r="M284" s="113" t="n"/>
      <c r="N284" s="113" t="n"/>
      <c r="O284" s="113" t="n"/>
      <c r="P284" s="243" t="n"/>
      <c r="Q284" s="113" t="n"/>
      <c r="R284" s="113" t="n"/>
    </row>
    <row r="285" ht="15.75" customHeight="1">
      <c r="A285" s="113" t="n"/>
      <c r="B285" s="146" t="n">
        <v>6</v>
      </c>
      <c r="C285" s="350" t="n">
        <v>45845</v>
      </c>
      <c r="D285" s="351" t="n">
        <v>6</v>
      </c>
      <c r="E285" s="264" t="inlineStr">
        <is>
          <t xml:space="preserve">SAN JOSE </t>
        </is>
      </c>
      <c r="F285" s="328" t="inlineStr">
        <is>
          <t>CARGUEROS</t>
        </is>
      </c>
      <c r="G285" s="363" t="n">
        <v>11</v>
      </c>
      <c r="H285" s="264" t="inlineStr">
        <is>
          <t>HENRY ROMERO</t>
        </is>
      </c>
      <c r="I285" s="264" t="inlineStr">
        <is>
          <t>EQY781</t>
        </is>
      </c>
      <c r="J285" s="265" t="n">
        <v>0.2430555555555556</v>
      </c>
      <c r="K285" s="341" t="n">
        <v>3564</v>
      </c>
      <c r="L285" s="369" t="n"/>
      <c r="M285" s="113" t="n"/>
      <c r="N285" s="113" t="n"/>
      <c r="O285" s="113" t="n"/>
      <c r="P285" s="243" t="n"/>
      <c r="Q285" s="113" t="n"/>
      <c r="R285" s="113" t="n"/>
    </row>
    <row r="286" ht="13.5" customHeight="1">
      <c r="A286" s="113" t="n"/>
      <c r="B286" s="146" t="n">
        <v>6</v>
      </c>
      <c r="C286" s="350" t="n">
        <v>45845</v>
      </c>
      <c r="D286" s="351" t="n">
        <v>7</v>
      </c>
      <c r="E286" s="264" t="inlineStr">
        <is>
          <t xml:space="preserve">SAN JOSE </t>
        </is>
      </c>
      <c r="F286" s="328" t="inlineStr">
        <is>
          <t>ABONEROS</t>
        </is>
      </c>
      <c r="G286" s="363" t="n">
        <v>10</v>
      </c>
      <c r="H286" s="264" t="inlineStr">
        <is>
          <t xml:space="preserve">JHON ARIAS </t>
        </is>
      </c>
      <c r="I286" s="264" t="inlineStr">
        <is>
          <t>KNL076</t>
        </is>
      </c>
      <c r="J286" s="265" t="n">
        <v>0.2777777777777778</v>
      </c>
      <c r="K286" s="341" t="n">
        <v>3564</v>
      </c>
      <c r="L286" s="369" t="n"/>
      <c r="M286" s="113" t="n"/>
      <c r="N286" s="113" t="n"/>
      <c r="O286" s="113" t="n"/>
      <c r="P286" s="243" t="n"/>
      <c r="Q286" s="113" t="n"/>
      <c r="R286" s="113" t="n"/>
    </row>
    <row r="287" ht="15.75" customHeight="1">
      <c r="A287" s="113" t="n"/>
      <c r="B287" s="146" t="n">
        <v>6</v>
      </c>
      <c r="C287" s="350" t="n">
        <v>45845</v>
      </c>
      <c r="D287" s="351" t="n">
        <v>8</v>
      </c>
      <c r="E287" s="264" t="inlineStr">
        <is>
          <t xml:space="preserve">SAN JOSE </t>
        </is>
      </c>
      <c r="F287" s="328" t="inlineStr">
        <is>
          <t>CARGUEROS</t>
        </is>
      </c>
      <c r="G287" s="363" t="n">
        <v>11</v>
      </c>
      <c r="H287" s="264" t="inlineStr">
        <is>
          <t xml:space="preserve">ALEX GOMEZ </t>
        </is>
      </c>
      <c r="I287" s="264" t="inlineStr">
        <is>
          <t>TLO181</t>
        </is>
      </c>
      <c r="J287" s="265" t="n">
        <v>0.2777777777777778</v>
      </c>
      <c r="K287" s="341" t="n">
        <v>3560</v>
      </c>
      <c r="L287" s="369" t="n"/>
      <c r="M287" s="113" t="n"/>
      <c r="N287" s="113" t="n"/>
      <c r="O287" s="113" t="n"/>
      <c r="P287" s="243" t="n"/>
      <c r="Q287" s="113" t="n"/>
      <c r="R287" s="113" t="n"/>
    </row>
    <row r="288" ht="12" customHeight="1">
      <c r="A288" s="113" t="n"/>
      <c r="B288" s="146" t="n">
        <v>6</v>
      </c>
      <c r="C288" s="350" t="n">
        <v>45845</v>
      </c>
      <c r="D288" s="351" t="n">
        <v>9</v>
      </c>
      <c r="E288" s="264" t="inlineStr">
        <is>
          <t xml:space="preserve">SAN JOSE </t>
        </is>
      </c>
      <c r="F288" s="328" t="inlineStr">
        <is>
          <t>ABONEROS</t>
        </is>
      </c>
      <c r="G288" s="363" t="n">
        <v>10</v>
      </c>
      <c r="H288" s="264" t="inlineStr">
        <is>
          <t xml:space="preserve">FABIO ALDANA </t>
        </is>
      </c>
      <c r="I288" s="264" t="inlineStr">
        <is>
          <t>TLO882</t>
        </is>
      </c>
      <c r="J288" s="265" t="n">
        <v>0.3118055555555556</v>
      </c>
      <c r="K288" s="341" t="n">
        <v>3267</v>
      </c>
      <c r="L288" s="369" t="n"/>
      <c r="M288" s="113" t="n"/>
      <c r="N288" s="113" t="n"/>
      <c r="O288" s="113" t="n"/>
      <c r="P288" s="243" t="n"/>
      <c r="Q288" s="113" t="n"/>
      <c r="R288" s="113" t="n"/>
    </row>
    <row r="289" ht="15.75" customHeight="1">
      <c r="A289" s="113" t="n"/>
      <c r="B289" s="146" t="n">
        <v>6</v>
      </c>
      <c r="C289" s="350" t="n">
        <v>45845</v>
      </c>
      <c r="D289" s="351" t="n">
        <v>10</v>
      </c>
      <c r="E289" s="264" t="inlineStr">
        <is>
          <t xml:space="preserve">SAN JOSE </t>
        </is>
      </c>
      <c r="F289" s="328" t="inlineStr">
        <is>
          <t>CARGUEROS</t>
        </is>
      </c>
      <c r="G289" s="363" t="n">
        <v>10</v>
      </c>
      <c r="H289" s="264" t="inlineStr">
        <is>
          <t xml:space="preserve">DIEGO NIÑO </t>
        </is>
      </c>
      <c r="I289" s="264" t="inlineStr">
        <is>
          <t>GZZ673</t>
        </is>
      </c>
      <c r="J289" s="265" t="n">
        <v>0.3263888888888889</v>
      </c>
      <c r="K289" s="341" t="n">
        <v>2590</v>
      </c>
      <c r="L289" s="369" t="n"/>
      <c r="M289" s="113" t="n"/>
      <c r="N289" s="113" t="n"/>
      <c r="O289" s="113" t="n"/>
      <c r="P289" s="243" t="n"/>
      <c r="Q289" s="113" t="n"/>
      <c r="R289" s="113" t="n"/>
    </row>
    <row r="290" ht="15.75" customHeight="1">
      <c r="A290" s="113" t="n"/>
      <c r="B290" s="146" t="n">
        <v>6</v>
      </c>
      <c r="C290" s="350" t="n">
        <v>45845</v>
      </c>
      <c r="D290" s="351" t="n">
        <v>11</v>
      </c>
      <c r="E290" s="264" t="inlineStr">
        <is>
          <t xml:space="preserve">SAN JOSE </t>
        </is>
      </c>
      <c r="F290" s="328" t="inlineStr">
        <is>
          <t>CARGUEROS</t>
        </is>
      </c>
      <c r="G290" s="363" t="n">
        <v>10</v>
      </c>
      <c r="H290" s="264" t="inlineStr">
        <is>
          <t>DUMAR ANGARITA</t>
        </is>
      </c>
      <c r="I290" s="264" t="inlineStr">
        <is>
          <t>LQO745</t>
        </is>
      </c>
      <c r="J290" s="265" t="n">
        <v>0.3541666666666667</v>
      </c>
      <c r="K290" s="341" t="n">
        <v>3285</v>
      </c>
      <c r="L290" s="369" t="n"/>
      <c r="M290" s="113" t="n"/>
      <c r="N290" s="113" t="n"/>
      <c r="O290" s="113" t="n"/>
      <c r="P290" s="243" t="n"/>
      <c r="Q290" s="113" t="n"/>
      <c r="R290" s="113" t="n"/>
    </row>
    <row r="291" ht="15.75" customHeight="1">
      <c r="A291" s="113" t="n"/>
      <c r="B291" s="146" t="n">
        <v>6</v>
      </c>
      <c r="C291" s="370" t="n">
        <v>45845</v>
      </c>
      <c r="D291" s="371" t="n">
        <v>12</v>
      </c>
      <c r="E291" s="305" t="inlineStr">
        <is>
          <t xml:space="preserve">SAN JOSE </t>
        </is>
      </c>
      <c r="F291" s="264" t="inlineStr">
        <is>
          <t xml:space="preserve">ABONEROS </t>
        </is>
      </c>
      <c r="G291" s="264" t="n">
        <v>10</v>
      </c>
      <c r="H291" s="305" t="inlineStr">
        <is>
          <t>JHON AGUIRRE</t>
        </is>
      </c>
      <c r="I291" s="305" t="inlineStr">
        <is>
          <t>EQY780</t>
        </is>
      </c>
      <c r="J291" s="306" t="n">
        <v>0.3590277777777778</v>
      </c>
      <c r="K291" s="372" t="n">
        <v>3285</v>
      </c>
      <c r="L291" s="369" t="n"/>
      <c r="M291" s="113" t="n"/>
      <c r="N291" s="113" t="n"/>
      <c r="O291" s="113" t="n"/>
      <c r="P291" s="243" t="n"/>
      <c r="Q291" s="113" t="n"/>
      <c r="R291" s="113" t="n"/>
    </row>
    <row r="292" ht="15.75" customHeight="1">
      <c r="A292" s="113" t="n"/>
      <c r="B292" s="146" t="n">
        <v>6</v>
      </c>
      <c r="C292" s="350" t="n">
        <v>45845</v>
      </c>
      <c r="D292" s="351" t="n">
        <v>13</v>
      </c>
      <c r="E292" s="264" t="inlineStr">
        <is>
          <t xml:space="preserve">SAN JOSE </t>
        </is>
      </c>
      <c r="F292" s="328" t="inlineStr">
        <is>
          <t>CARGUEROS</t>
        </is>
      </c>
      <c r="G292" s="363" t="n">
        <v>10</v>
      </c>
      <c r="H292" s="264" t="inlineStr">
        <is>
          <t xml:space="preserve">MANUEL QUITIAN </t>
        </is>
      </c>
      <c r="I292" s="264" t="inlineStr">
        <is>
          <t>KUS176</t>
        </is>
      </c>
      <c r="J292" s="265" t="n">
        <v>0.3888888888888889</v>
      </c>
      <c r="K292" s="341" t="n">
        <v>3285</v>
      </c>
      <c r="L292" s="369" t="n"/>
      <c r="M292" s="113" t="n"/>
      <c r="N292" s="113" t="n"/>
      <c r="O292" s="113" t="n"/>
      <c r="P292" s="243" t="n"/>
      <c r="Q292" s="113" t="n"/>
      <c r="R292" s="113" t="n"/>
    </row>
    <row r="293" ht="12.75" customHeight="1">
      <c r="A293" s="113" t="n"/>
      <c r="B293" s="146" t="n">
        <v>6</v>
      </c>
      <c r="C293" s="370" t="n">
        <v>45845</v>
      </c>
      <c r="D293" s="371" t="n">
        <v>14</v>
      </c>
      <c r="E293" s="305" t="inlineStr">
        <is>
          <t xml:space="preserve">SAN JOSE </t>
        </is>
      </c>
      <c r="F293" s="264" t="inlineStr">
        <is>
          <t>ABONEROS</t>
        </is>
      </c>
      <c r="G293" s="264" t="n">
        <v>10</v>
      </c>
      <c r="H293" s="305" t="inlineStr">
        <is>
          <t>EDUAN CAVIEDEZ</t>
        </is>
      </c>
      <c r="I293" s="305" t="inlineStr">
        <is>
          <t>EQY779</t>
        </is>
      </c>
      <c r="J293" s="306" t="n">
        <v>0.3923611111111111</v>
      </c>
      <c r="K293" s="372" t="n">
        <v>3285</v>
      </c>
      <c r="L293" s="373" t="n"/>
      <c r="M293" s="113" t="n"/>
      <c r="N293" s="113" t="n"/>
      <c r="O293" s="113" t="n"/>
      <c r="P293" s="243" t="n"/>
      <c r="Q293" s="113" t="n"/>
      <c r="R293" s="113" t="n"/>
    </row>
    <row r="294" ht="15.75" customHeight="1">
      <c r="A294" s="113" t="n"/>
      <c r="B294" s="146" t="n">
        <v>6</v>
      </c>
      <c r="C294" s="356" t="n">
        <v>45845</v>
      </c>
      <c r="D294" s="357" t="n">
        <v>15</v>
      </c>
      <c r="E294" s="271" t="inlineStr">
        <is>
          <t xml:space="preserve">SAN JOSE </t>
        </is>
      </c>
      <c r="F294" s="330" t="inlineStr">
        <is>
          <t>CARGUEROS</t>
        </is>
      </c>
      <c r="G294" s="374" t="n">
        <v>10</v>
      </c>
      <c r="H294" s="271" t="inlineStr">
        <is>
          <t xml:space="preserve">FERNANDO OYUELA </t>
        </is>
      </c>
      <c r="I294" s="271" t="inlineStr">
        <is>
          <t>EQY778</t>
        </is>
      </c>
      <c r="J294" s="272" t="n">
        <v>0.4125</v>
      </c>
      <c r="K294" s="375" t="n">
        <v>3278</v>
      </c>
      <c r="L294" s="376">
        <f>SUBTOTAL(9,K280:K294)</f>
        <v/>
      </c>
      <c r="M294" s="113" t="n"/>
      <c r="N294" s="113" t="n"/>
      <c r="O294" s="113" t="n"/>
      <c r="P294" s="243" t="n"/>
      <c r="Q294" s="113" t="n"/>
      <c r="R294" s="113" t="n"/>
    </row>
    <row r="295" ht="15.75" customHeight="1">
      <c r="A295" s="113" t="n"/>
      <c r="B295" s="146" t="n">
        <v>6</v>
      </c>
      <c r="C295" s="348" t="n">
        <v>45846</v>
      </c>
      <c r="D295" s="349" t="n">
        <v>1</v>
      </c>
      <c r="E295" s="258" t="inlineStr">
        <is>
          <t xml:space="preserve">SAN JOSE </t>
        </is>
      </c>
      <c r="F295" s="258" t="inlineStr">
        <is>
          <t>CARGUEROS</t>
        </is>
      </c>
      <c r="G295" s="258" t="n">
        <v>12</v>
      </c>
      <c r="H295" s="258" t="inlineStr">
        <is>
          <t>FERNANDO OYUELA</t>
        </is>
      </c>
      <c r="I295" s="258" t="inlineStr">
        <is>
          <t>EQY778</t>
        </is>
      </c>
      <c r="J295" s="259" t="n">
        <v>0.9548611111111112</v>
      </c>
      <c r="K295" s="338" t="n">
        <v>3119</v>
      </c>
      <c r="L295" s="377" t="n"/>
      <c r="M295" s="113" t="n"/>
      <c r="N295" s="113" t="n"/>
      <c r="O295" s="113" t="n"/>
      <c r="P295" s="243" t="n"/>
      <c r="Q295" s="113" t="n"/>
      <c r="R295" s="113" t="n"/>
    </row>
    <row r="296" ht="15.75" customHeight="1">
      <c r="A296" s="113" t="n"/>
      <c r="B296" s="146" t="n">
        <v>6</v>
      </c>
      <c r="C296" s="350" t="n">
        <v>45846</v>
      </c>
      <c r="D296" s="351" t="n">
        <v>2</v>
      </c>
      <c r="E296" s="264" t="inlineStr">
        <is>
          <t xml:space="preserve">SAN JOSE </t>
        </is>
      </c>
      <c r="F296" s="264" t="inlineStr">
        <is>
          <t>CARGUEROS</t>
        </is>
      </c>
      <c r="G296" s="264" t="n">
        <v>12</v>
      </c>
      <c r="H296" s="264" t="inlineStr">
        <is>
          <t>EDUAN CAVIEDEZ</t>
        </is>
      </c>
      <c r="I296" s="264" t="inlineStr">
        <is>
          <t>EQY779</t>
        </is>
      </c>
      <c r="J296" s="265" t="n">
        <v>0.9826388888888888</v>
      </c>
      <c r="K296" s="341" t="n">
        <v>3119</v>
      </c>
      <c r="L296" s="369" t="n"/>
      <c r="M296" s="113" t="n"/>
      <c r="N296" s="113" t="n"/>
      <c r="O296" s="113" t="n"/>
      <c r="P296" s="243" t="n"/>
      <c r="Q296" s="113" t="n"/>
      <c r="R296" s="113" t="n"/>
    </row>
    <row r="297" ht="15.75" customHeight="1">
      <c r="A297" s="113" t="n"/>
      <c r="B297" s="146" t="n">
        <v>6</v>
      </c>
      <c r="C297" s="350" t="n">
        <v>45846</v>
      </c>
      <c r="D297" s="351" t="n">
        <v>3</v>
      </c>
      <c r="E297" s="264" t="inlineStr">
        <is>
          <t xml:space="preserve">SAN JOSE </t>
        </is>
      </c>
      <c r="F297" s="264" t="inlineStr">
        <is>
          <t>CARGUEROS</t>
        </is>
      </c>
      <c r="G297" s="264" t="n">
        <v>12</v>
      </c>
      <c r="H297" s="264" t="inlineStr">
        <is>
          <t>DUMAR ANGARITA</t>
        </is>
      </c>
      <c r="I297" s="264" t="inlineStr">
        <is>
          <t>LQO745</t>
        </is>
      </c>
      <c r="J297" s="265" t="n">
        <v>0.01041666666666667</v>
      </c>
      <c r="K297" s="341" t="n">
        <v>3119</v>
      </c>
      <c r="L297" s="369" t="n"/>
      <c r="M297" s="113" t="n"/>
      <c r="N297" s="113" t="n"/>
      <c r="O297" s="113" t="n"/>
      <c r="P297" s="243" t="n"/>
      <c r="Q297" s="113" t="n"/>
      <c r="R297" s="113" t="n"/>
    </row>
    <row r="298" ht="15.75" customHeight="1">
      <c r="A298" s="113" t="n"/>
      <c r="B298" s="146" t="n">
        <v>6</v>
      </c>
      <c r="C298" s="350" t="n">
        <v>45846</v>
      </c>
      <c r="D298" s="351" t="n">
        <v>4</v>
      </c>
      <c r="E298" s="264" t="inlineStr">
        <is>
          <t xml:space="preserve">SAN JOSE </t>
        </is>
      </c>
      <c r="F298" s="264" t="inlineStr">
        <is>
          <t>CARGUEROS</t>
        </is>
      </c>
      <c r="G298" s="264" t="n">
        <v>12</v>
      </c>
      <c r="H298" s="264" t="inlineStr">
        <is>
          <t xml:space="preserve">MANUEL QUITIAN </t>
        </is>
      </c>
      <c r="I298" s="264" t="inlineStr">
        <is>
          <t>KUS176</t>
        </is>
      </c>
      <c r="J298" s="265" t="n">
        <v>0.03819444444444445</v>
      </c>
      <c r="K298" s="341" t="n">
        <v>3119</v>
      </c>
      <c r="L298" s="369" t="n"/>
      <c r="M298" s="113" t="n"/>
      <c r="N298" s="113" t="n"/>
      <c r="O298" s="113" t="n"/>
      <c r="P298" s="243" t="n"/>
      <c r="Q298" s="113" t="n"/>
      <c r="R298" s="113" t="n"/>
    </row>
    <row r="299" ht="15.75" customHeight="1">
      <c r="A299" s="113" t="n"/>
      <c r="B299" s="146" t="n">
        <v>6</v>
      </c>
      <c r="C299" s="350" t="n">
        <v>45846</v>
      </c>
      <c r="D299" s="351" t="n">
        <v>5</v>
      </c>
      <c r="E299" s="264" t="inlineStr">
        <is>
          <t xml:space="preserve">SAN JOSE </t>
        </is>
      </c>
      <c r="F299" s="264" t="inlineStr">
        <is>
          <t>CARGUEROS</t>
        </is>
      </c>
      <c r="G299" s="264" t="n">
        <v>12</v>
      </c>
      <c r="H299" s="264" t="inlineStr">
        <is>
          <t>DIEGO NIÑO</t>
        </is>
      </c>
      <c r="I299" s="264" t="inlineStr">
        <is>
          <t>GZZ673</t>
        </is>
      </c>
      <c r="J299" s="265" t="n">
        <v>0.07291666666666667</v>
      </c>
      <c r="K299" s="341" t="n">
        <v>3580</v>
      </c>
      <c r="L299" s="369" t="n"/>
      <c r="M299" s="113" t="n"/>
      <c r="N299" s="113" t="n"/>
      <c r="O299" s="113" t="n"/>
      <c r="P299" s="243" t="n"/>
      <c r="Q299" s="113" t="n"/>
      <c r="R299" s="113" t="n"/>
    </row>
    <row r="300" ht="15.75" customHeight="1">
      <c r="A300" s="113" t="n"/>
      <c r="B300" s="146" t="n">
        <v>6</v>
      </c>
      <c r="C300" s="350" t="n">
        <v>45846</v>
      </c>
      <c r="D300" s="351" t="n">
        <v>6</v>
      </c>
      <c r="E300" s="264" t="inlineStr">
        <is>
          <t xml:space="preserve">SAN JOSE </t>
        </is>
      </c>
      <c r="F300" s="264" t="inlineStr">
        <is>
          <t>CARGUEROS</t>
        </is>
      </c>
      <c r="G300" s="264" t="n">
        <v>12</v>
      </c>
      <c r="H300" s="264" t="inlineStr">
        <is>
          <t>FABIO ALDANA</t>
        </is>
      </c>
      <c r="I300" s="264" t="inlineStr">
        <is>
          <t>TLO882</t>
        </is>
      </c>
      <c r="J300" s="265" t="n">
        <v>0.1145833333333333</v>
      </c>
      <c r="K300" s="341" t="n">
        <v>3277</v>
      </c>
      <c r="L300" s="369" t="n"/>
      <c r="M300" s="113" t="n"/>
      <c r="N300" s="113" t="n"/>
      <c r="O300" s="113" t="n"/>
      <c r="P300" s="243" t="n"/>
      <c r="Q300" s="113" t="n"/>
      <c r="R300" s="113" t="n"/>
    </row>
    <row r="301" ht="15.75" customHeight="1">
      <c r="A301" s="113" t="n"/>
      <c r="B301" s="146" t="n">
        <v>6</v>
      </c>
      <c r="C301" s="350" t="n">
        <v>45846</v>
      </c>
      <c r="D301" s="351" t="n">
        <v>7</v>
      </c>
      <c r="E301" s="264" t="inlineStr">
        <is>
          <t xml:space="preserve">SAN JOSE </t>
        </is>
      </c>
      <c r="F301" s="264" t="inlineStr">
        <is>
          <t>CARGUEROS</t>
        </is>
      </c>
      <c r="G301" s="264" t="n">
        <v>12</v>
      </c>
      <c r="H301" s="264" t="inlineStr">
        <is>
          <t>ALEX GOMEZ</t>
        </is>
      </c>
      <c r="I301" s="264" t="inlineStr">
        <is>
          <t>TLO881</t>
        </is>
      </c>
      <c r="J301" s="265" t="n">
        <v>0.1493055555555556</v>
      </c>
      <c r="K301" s="341" t="n">
        <v>3277</v>
      </c>
      <c r="L301" s="369" t="n"/>
      <c r="M301" s="113" t="n"/>
      <c r="N301" s="113" t="n"/>
      <c r="O301" s="113" t="n"/>
      <c r="P301" s="243" t="n"/>
      <c r="Q301" s="113" t="n"/>
      <c r="R301" s="113" t="n"/>
    </row>
    <row r="302" ht="15.75" customHeight="1">
      <c r="A302" s="113" t="n"/>
      <c r="B302" s="146" t="n">
        <v>6</v>
      </c>
      <c r="C302" s="350" t="n">
        <v>45846</v>
      </c>
      <c r="D302" s="351" t="n">
        <v>8</v>
      </c>
      <c r="E302" s="264" t="inlineStr">
        <is>
          <t xml:space="preserve">SAN JOSE </t>
        </is>
      </c>
      <c r="F302" s="264" t="inlineStr">
        <is>
          <t>CARGUEROS</t>
        </is>
      </c>
      <c r="G302" s="264" t="n">
        <v>12</v>
      </c>
      <c r="H302" s="264" t="inlineStr">
        <is>
          <t>HENRY ROMERO</t>
        </is>
      </c>
      <c r="I302" s="264" t="inlineStr">
        <is>
          <t>EQY781</t>
        </is>
      </c>
      <c r="J302" s="265" t="n">
        <v>0.1819444444444444</v>
      </c>
      <c r="K302" s="341" t="n">
        <v>1277</v>
      </c>
      <c r="L302" s="369" t="n"/>
      <c r="M302" s="113" t="n"/>
      <c r="N302" s="113" t="n"/>
      <c r="O302" s="113" t="n"/>
      <c r="P302" s="243" t="n"/>
      <c r="Q302" s="113" t="n"/>
      <c r="R302" s="113" t="n"/>
    </row>
    <row r="303" ht="15.75" customHeight="1">
      <c r="A303" s="113" t="n"/>
      <c r="B303" s="146" t="n">
        <v>6</v>
      </c>
      <c r="C303" s="350" t="n">
        <v>45846</v>
      </c>
      <c r="D303" s="351" t="n">
        <v>9</v>
      </c>
      <c r="E303" s="264" t="inlineStr">
        <is>
          <t xml:space="preserve">SAN JOSE </t>
        </is>
      </c>
      <c r="F303" s="264" t="inlineStr">
        <is>
          <t>CARGUEROS</t>
        </is>
      </c>
      <c r="G303" s="264" t="n">
        <v>12</v>
      </c>
      <c r="H303" s="264" t="inlineStr">
        <is>
          <t xml:space="preserve">YAIR RIVEROS </t>
        </is>
      </c>
      <c r="I303" s="264" t="inlineStr">
        <is>
          <t>TLO181</t>
        </is>
      </c>
      <c r="J303" s="265" t="n">
        <v>0.2152777777777778</v>
      </c>
      <c r="K303" s="341" t="n">
        <v>3277</v>
      </c>
      <c r="L303" s="369" t="n"/>
      <c r="M303" s="113" t="n"/>
      <c r="N303" s="113" t="n"/>
      <c r="O303" s="113" t="n"/>
      <c r="P303" s="243" t="n"/>
      <c r="Q303" s="113" t="n"/>
      <c r="R303" s="113" t="n"/>
    </row>
    <row r="304" ht="15.75" customHeight="1">
      <c r="A304" s="113" t="n"/>
      <c r="B304" s="146" t="n">
        <v>6</v>
      </c>
      <c r="C304" s="350" t="n">
        <v>45846</v>
      </c>
      <c r="D304" s="351" t="n">
        <v>10</v>
      </c>
      <c r="E304" s="264" t="inlineStr">
        <is>
          <t xml:space="preserve">SAN JOSE </t>
        </is>
      </c>
      <c r="F304" s="264" t="inlineStr">
        <is>
          <t>CARGUEROS</t>
        </is>
      </c>
      <c r="G304" s="264" t="n">
        <v>12</v>
      </c>
      <c r="H304" s="264" t="inlineStr">
        <is>
          <t xml:space="preserve">ALBERTO LOPEZ </t>
        </is>
      </c>
      <c r="I304" s="264" t="inlineStr">
        <is>
          <t>EQY777</t>
        </is>
      </c>
      <c r="J304" s="265" t="n">
        <v>0.2465277777777778</v>
      </c>
      <c r="K304" s="341" t="n">
        <v>3277</v>
      </c>
      <c r="L304" s="369" t="n"/>
      <c r="M304" s="113" t="n"/>
      <c r="N304" s="113" t="n"/>
      <c r="O304" s="113" t="n"/>
      <c r="P304" s="243" t="n"/>
      <c r="Q304" s="113" t="n"/>
      <c r="R304" s="113" t="n"/>
    </row>
    <row r="305" ht="15.75" customHeight="1">
      <c r="A305" s="113" t="n"/>
      <c r="B305" s="146" t="n">
        <v>6</v>
      </c>
      <c r="C305" s="350" t="n">
        <v>45846</v>
      </c>
      <c r="D305" s="351" t="n">
        <v>11</v>
      </c>
      <c r="E305" s="264" t="inlineStr">
        <is>
          <t xml:space="preserve">SAN JOSE </t>
        </is>
      </c>
      <c r="F305" s="264" t="inlineStr">
        <is>
          <t>CARGUEROS</t>
        </is>
      </c>
      <c r="G305" s="264" t="n">
        <v>12</v>
      </c>
      <c r="H305" s="264" t="inlineStr">
        <is>
          <t>JAIRO CUBILLOS</t>
        </is>
      </c>
      <c r="I305" s="264" t="inlineStr">
        <is>
          <t>TLO884</t>
        </is>
      </c>
      <c r="J305" s="265" t="n">
        <v>0.28125</v>
      </c>
      <c r="K305" s="341" t="n">
        <v>3277</v>
      </c>
      <c r="L305" s="369" t="n"/>
      <c r="M305" s="113" t="n"/>
      <c r="N305" s="113" t="n"/>
      <c r="O305" s="113" t="n"/>
      <c r="P305" s="243" t="n"/>
      <c r="Q305" s="113" t="n"/>
      <c r="R305" s="113" t="n"/>
    </row>
    <row r="306" ht="15.75" customHeight="1">
      <c r="A306" s="113" t="n"/>
      <c r="B306" s="146" t="n">
        <v>6</v>
      </c>
      <c r="C306" s="356" t="n">
        <v>45846</v>
      </c>
      <c r="D306" s="357" t="n">
        <v>12</v>
      </c>
      <c r="E306" s="271" t="inlineStr">
        <is>
          <t xml:space="preserve">SAN JOSE </t>
        </is>
      </c>
      <c r="F306" s="271" t="inlineStr">
        <is>
          <t>CARGUEROS</t>
        </is>
      </c>
      <c r="G306" s="271" t="n">
        <v>12</v>
      </c>
      <c r="H306" s="271" t="inlineStr">
        <is>
          <t>JOSE HERRERA</t>
        </is>
      </c>
      <c r="I306" s="271" t="inlineStr">
        <is>
          <t>EQY776</t>
        </is>
      </c>
      <c r="J306" s="272" t="n">
        <v>0.3159722222222222</v>
      </c>
      <c r="K306" s="375" t="n">
        <v>3277</v>
      </c>
      <c r="L306" s="378">
        <f>SUBTOTAL(9,K295:K306)</f>
        <v/>
      </c>
      <c r="M306" s="113" t="n"/>
      <c r="N306" s="113" t="n"/>
      <c r="O306" s="113" t="n"/>
      <c r="P306" s="243" t="n"/>
      <c r="Q306" s="113" t="n"/>
      <c r="R306" s="113" t="n"/>
    </row>
    <row r="307" ht="15.75" customHeight="1">
      <c r="A307" s="113" t="n"/>
      <c r="B307" s="146" t="n">
        <v>6</v>
      </c>
      <c r="C307" s="370" t="n">
        <v>45847</v>
      </c>
      <c r="D307" s="360" t="n">
        <v>1</v>
      </c>
      <c r="E307" s="305" t="inlineStr">
        <is>
          <t>HUERTAS</t>
        </is>
      </c>
      <c r="F307" s="293" t="inlineStr">
        <is>
          <t>CARGUEROS</t>
        </is>
      </c>
      <c r="G307" s="293" t="n">
        <v>10</v>
      </c>
      <c r="H307" s="293" t="inlineStr">
        <is>
          <t>EDWIN ROJAS</t>
        </is>
      </c>
      <c r="I307" s="293" t="inlineStr">
        <is>
          <t>TLN248</t>
        </is>
      </c>
      <c r="J307" s="294" t="n">
        <v>0.006944444444444444</v>
      </c>
      <c r="K307" s="295" t="n">
        <v>2916</v>
      </c>
      <c r="L307" s="379" t="n"/>
      <c r="M307" s="113" t="n"/>
      <c r="N307" s="113" t="n"/>
      <c r="O307" s="113" t="n"/>
      <c r="P307" s="243" t="n"/>
      <c r="Q307" s="113" t="n"/>
      <c r="R307" s="113" t="n"/>
    </row>
    <row r="308" ht="15.75" customHeight="1">
      <c r="A308" s="113" t="n"/>
      <c r="B308" s="146" t="n">
        <v>6</v>
      </c>
      <c r="C308" s="352" t="n">
        <v>45847</v>
      </c>
      <c r="D308" s="351" t="n">
        <v>2</v>
      </c>
      <c r="E308" s="282" t="inlineStr">
        <is>
          <t>HUERTAS</t>
        </is>
      </c>
      <c r="F308" s="264" t="inlineStr">
        <is>
          <t>CARGUEROS</t>
        </is>
      </c>
      <c r="G308" s="264" t="n">
        <v>10</v>
      </c>
      <c r="H308" s="264" t="inlineStr">
        <is>
          <t>JHON AGUIRRE</t>
        </is>
      </c>
      <c r="I308" s="264" t="inlineStr">
        <is>
          <t>EQY780</t>
        </is>
      </c>
      <c r="J308" s="265" t="n">
        <v>0.03541666666666667</v>
      </c>
      <c r="K308" s="266" t="n">
        <v>2916</v>
      </c>
      <c r="L308" s="267" t="n"/>
      <c r="M308" s="113" t="n"/>
      <c r="N308" s="113" t="n"/>
      <c r="O308" s="113" t="n"/>
      <c r="P308" s="243" t="n"/>
      <c r="Q308" s="113" t="n"/>
      <c r="R308" s="113" t="n"/>
    </row>
    <row r="309" ht="15.75" customHeight="1">
      <c r="A309" s="113" t="n"/>
      <c r="B309" s="146" t="n">
        <v>6</v>
      </c>
      <c r="C309" s="352" t="n">
        <v>45847</v>
      </c>
      <c r="D309" s="351" t="n">
        <v>3</v>
      </c>
      <c r="E309" s="282" t="inlineStr">
        <is>
          <t>HUERTAS</t>
        </is>
      </c>
      <c r="F309" s="264" t="inlineStr">
        <is>
          <t>CARGUEROS</t>
        </is>
      </c>
      <c r="G309" s="264" t="n">
        <v>10</v>
      </c>
      <c r="H309" s="264" t="inlineStr">
        <is>
          <t>JHON ARIAS</t>
        </is>
      </c>
      <c r="I309" s="264" t="inlineStr">
        <is>
          <t>KNL076</t>
        </is>
      </c>
      <c r="J309" s="265" t="n">
        <v>0.075</v>
      </c>
      <c r="K309" s="266" t="n">
        <v>2916</v>
      </c>
      <c r="L309" s="267" t="n"/>
      <c r="M309" s="113" t="n"/>
      <c r="N309" s="113" t="n"/>
      <c r="O309" s="113" t="n"/>
      <c r="P309" s="243" t="n"/>
      <c r="Q309" s="113" t="n"/>
      <c r="R309" s="113" t="n"/>
    </row>
    <row r="310" ht="15.75" customHeight="1">
      <c r="A310" s="113" t="n"/>
      <c r="B310" s="146" t="n">
        <v>6</v>
      </c>
      <c r="C310" s="352" t="n">
        <v>45847</v>
      </c>
      <c r="D310" s="351" t="n">
        <v>4</v>
      </c>
      <c r="E310" s="282" t="inlineStr">
        <is>
          <t>HUERTAS</t>
        </is>
      </c>
      <c r="F310" s="264" t="inlineStr">
        <is>
          <t>CARGUEROS</t>
        </is>
      </c>
      <c r="G310" s="264" t="n">
        <v>10</v>
      </c>
      <c r="H310" s="264" t="inlineStr">
        <is>
          <t xml:space="preserve">HENRY ROMERO </t>
        </is>
      </c>
      <c r="I310" s="264" t="inlineStr">
        <is>
          <t>EQY781</t>
        </is>
      </c>
      <c r="J310" s="265" t="n">
        <v>0.1215277777777778</v>
      </c>
      <c r="K310" s="266" t="n">
        <v>2916</v>
      </c>
      <c r="L310" s="267" t="n"/>
      <c r="M310" s="113" t="n"/>
      <c r="N310" s="113" t="n"/>
      <c r="O310" s="113" t="n"/>
      <c r="P310" s="243" t="n"/>
      <c r="Q310" s="113" t="n"/>
      <c r="R310" s="113" t="n"/>
    </row>
    <row r="311" ht="15.75" customHeight="1">
      <c r="A311" s="113" t="n"/>
      <c r="B311" s="146" t="n">
        <v>6</v>
      </c>
      <c r="C311" s="352" t="n">
        <v>45847</v>
      </c>
      <c r="D311" s="351" t="n">
        <v>5</v>
      </c>
      <c r="E311" s="282" t="inlineStr">
        <is>
          <t>HUERTAS</t>
        </is>
      </c>
      <c r="F311" s="264" t="inlineStr">
        <is>
          <t>CARGUEROS</t>
        </is>
      </c>
      <c r="G311" s="264" t="n">
        <v>10</v>
      </c>
      <c r="H311" s="264" t="inlineStr">
        <is>
          <t xml:space="preserve">MANUEL QUITIAN </t>
        </is>
      </c>
      <c r="I311" s="264" t="inlineStr">
        <is>
          <t>KUS176</t>
        </is>
      </c>
      <c r="J311" s="265" t="n">
        <v>0.1666666666666667</v>
      </c>
      <c r="K311" s="266" t="n">
        <v>3240</v>
      </c>
      <c r="L311" s="267" t="n"/>
      <c r="M311" s="113" t="n"/>
      <c r="N311" s="113" t="n"/>
      <c r="O311" s="113" t="n"/>
      <c r="P311" s="243" t="n"/>
      <c r="Q311" s="113" t="n"/>
      <c r="R311" s="113" t="n"/>
    </row>
    <row r="312" ht="15.75" customHeight="1">
      <c r="A312" s="113" t="n"/>
      <c r="B312" s="146" t="n">
        <v>6</v>
      </c>
      <c r="C312" s="350" t="n">
        <v>45847</v>
      </c>
      <c r="D312" s="351" t="n">
        <v>6</v>
      </c>
      <c r="E312" s="264" t="inlineStr">
        <is>
          <t>HUERTAS</t>
        </is>
      </c>
      <c r="F312" s="264" t="inlineStr">
        <is>
          <t>CARGUEROS</t>
        </is>
      </c>
      <c r="G312" s="264" t="n">
        <v>10</v>
      </c>
      <c r="H312" s="264" t="inlineStr">
        <is>
          <t xml:space="preserve">YAIR RIVEROS </t>
        </is>
      </c>
      <c r="I312" s="264" t="inlineStr">
        <is>
          <t>TLO881</t>
        </is>
      </c>
      <c r="J312" s="265" t="n">
        <v>0.21875</v>
      </c>
      <c r="K312" s="266" t="n">
        <v>3050</v>
      </c>
      <c r="L312" s="267" t="n"/>
      <c r="M312" s="113" t="n"/>
      <c r="N312" s="113" t="n"/>
      <c r="O312" s="113" t="n"/>
      <c r="P312" s="243" t="n"/>
      <c r="Q312" s="113" t="n"/>
      <c r="R312" s="113" t="n"/>
    </row>
    <row r="313" ht="15.75" customHeight="1">
      <c r="A313" s="113" t="n"/>
      <c r="B313" s="146" t="n">
        <v>6</v>
      </c>
      <c r="C313" s="350" t="n">
        <v>45847</v>
      </c>
      <c r="D313" s="351" t="n">
        <v>7</v>
      </c>
      <c r="E313" s="264" t="inlineStr">
        <is>
          <t>SANJOSE</t>
        </is>
      </c>
      <c r="F313" s="264" t="inlineStr">
        <is>
          <t>ABONEROS</t>
        </is>
      </c>
      <c r="G313" s="264" t="n">
        <v>10</v>
      </c>
      <c r="H313" s="264" t="inlineStr">
        <is>
          <t>EDUAN CAVIEDEZ</t>
        </is>
      </c>
      <c r="I313" s="264" t="inlineStr">
        <is>
          <t>EQY779</t>
        </is>
      </c>
      <c r="J313" s="265" t="n">
        <v>0.25</v>
      </c>
      <c r="K313" s="266" t="n">
        <v>3340</v>
      </c>
      <c r="L313" s="267" t="n"/>
      <c r="M313" s="113" t="n"/>
      <c r="N313" s="113" t="n"/>
      <c r="O313" s="113" t="n"/>
      <c r="P313" s="243" t="n"/>
      <c r="Q313" s="113" t="n"/>
      <c r="R313" s="113" t="n"/>
    </row>
    <row r="314" ht="15.75" customHeight="1">
      <c r="A314" s="113" t="n"/>
      <c r="B314" s="146" t="n">
        <v>6</v>
      </c>
      <c r="C314" s="352" t="n">
        <v>45847</v>
      </c>
      <c r="D314" s="347" t="n">
        <v>8</v>
      </c>
      <c r="E314" s="282" t="inlineStr">
        <is>
          <t xml:space="preserve">SAN JOSE </t>
        </is>
      </c>
      <c r="F314" s="282" t="inlineStr">
        <is>
          <t>ABONEROS</t>
        </is>
      </c>
      <c r="G314" s="282" t="n">
        <v>10</v>
      </c>
      <c r="H314" s="282" t="inlineStr">
        <is>
          <t>DIEGO NIÑO</t>
        </is>
      </c>
      <c r="I314" s="282" t="inlineStr">
        <is>
          <t>GZZ673</t>
        </is>
      </c>
      <c r="J314" s="283" t="n">
        <v>0.2833333333333333</v>
      </c>
      <c r="K314" s="284" t="n">
        <v>3470</v>
      </c>
      <c r="L314" s="353">
        <f>SUBTOTAL(9,K307:K314)</f>
        <v/>
      </c>
      <c r="M314" s="113" t="n"/>
      <c r="N314" s="113" t="n"/>
      <c r="O314" s="113" t="n"/>
      <c r="P314" s="243" t="n"/>
      <c r="Q314" s="113" t="n"/>
      <c r="R314" s="113" t="n"/>
    </row>
    <row r="315" ht="15.75" customHeight="1">
      <c r="A315" s="113" t="n"/>
      <c r="B315" s="146" t="n">
        <v>6</v>
      </c>
      <c r="C315" s="348" t="n">
        <v>45848</v>
      </c>
      <c r="D315" s="349" t="n">
        <v>1</v>
      </c>
      <c r="E315" s="258" t="inlineStr">
        <is>
          <t>HUERTAS</t>
        </is>
      </c>
      <c r="F315" s="258" t="inlineStr">
        <is>
          <t xml:space="preserve">CARGUEROS  </t>
        </is>
      </c>
      <c r="G315" s="258" t="n">
        <v>10</v>
      </c>
      <c r="H315" s="258" t="inlineStr">
        <is>
          <t xml:space="preserve">ALBERTO HERRERA </t>
        </is>
      </c>
      <c r="I315" s="258" t="inlineStr">
        <is>
          <t>EQY776</t>
        </is>
      </c>
      <c r="J315" s="259" t="n">
        <v>0.07083333333333333</v>
      </c>
      <c r="K315" s="260" t="n">
        <v>2816</v>
      </c>
      <c r="L315" s="380" t="n"/>
      <c r="M315" s="113" t="n"/>
      <c r="N315" s="113" t="n"/>
      <c r="O315" s="113" t="n"/>
      <c r="P315" s="243" t="n"/>
      <c r="Q315" s="113" t="n"/>
      <c r="R315" s="113" t="n"/>
    </row>
    <row r="316" ht="15.75" customHeight="1">
      <c r="A316" s="113" t="n"/>
      <c r="B316" s="146" t="n">
        <v>6</v>
      </c>
      <c r="C316" s="350" t="n">
        <v>45848</v>
      </c>
      <c r="D316" s="351" t="n">
        <v>2</v>
      </c>
      <c r="E316" s="264" t="inlineStr">
        <is>
          <t>HUERTAS</t>
        </is>
      </c>
      <c r="F316" s="264" t="inlineStr">
        <is>
          <t xml:space="preserve">CARGUEROS  </t>
        </is>
      </c>
      <c r="G316" s="264" t="n">
        <v>10</v>
      </c>
      <c r="H316" s="264" t="inlineStr">
        <is>
          <t xml:space="preserve">FABIO ALDANA </t>
        </is>
      </c>
      <c r="I316" s="264" t="inlineStr">
        <is>
          <t>TLO882</t>
        </is>
      </c>
      <c r="J316" s="265" t="n">
        <v>0.1111111111111111</v>
      </c>
      <c r="K316" s="266" t="n">
        <v>2816</v>
      </c>
      <c r="L316" s="319" t="n"/>
      <c r="M316" s="113" t="n"/>
      <c r="N316" s="113" t="n"/>
      <c r="O316" s="113" t="n"/>
      <c r="P316" s="243" t="n"/>
      <c r="Q316" s="113" t="n"/>
      <c r="R316" s="113" t="n"/>
    </row>
    <row r="317" ht="15.75" customHeight="1">
      <c r="A317" s="113" t="n"/>
      <c r="B317" s="146" t="n">
        <v>6</v>
      </c>
      <c r="C317" s="350" t="n">
        <v>45848</v>
      </c>
      <c r="D317" s="351" t="n">
        <v>3</v>
      </c>
      <c r="E317" s="264" t="inlineStr">
        <is>
          <t>HUERTAS</t>
        </is>
      </c>
      <c r="F317" s="264" t="inlineStr">
        <is>
          <t xml:space="preserve">CARGUEROS  </t>
        </is>
      </c>
      <c r="G317" s="264" t="n">
        <v>10</v>
      </c>
      <c r="H317" s="264" t="inlineStr">
        <is>
          <t xml:space="preserve">JAIRO CUBILLOS </t>
        </is>
      </c>
      <c r="I317" s="264" t="inlineStr">
        <is>
          <t>TLN884</t>
        </is>
      </c>
      <c r="J317" s="265" t="n">
        <v>0.1458333333333333</v>
      </c>
      <c r="K317" s="266" t="n">
        <v>2816</v>
      </c>
      <c r="L317" s="319" t="n"/>
      <c r="M317" s="113" t="n"/>
      <c r="N317" s="113" t="n"/>
      <c r="O317" s="113" t="n"/>
      <c r="P317" s="243" t="n"/>
      <c r="Q317" s="113" t="n"/>
      <c r="R317" s="113" t="n"/>
    </row>
    <row r="318" ht="15.75" customHeight="1">
      <c r="A318" s="113" t="n"/>
      <c r="B318" s="146" t="n">
        <v>6</v>
      </c>
      <c r="C318" s="350" t="n">
        <v>45848</v>
      </c>
      <c r="D318" s="351" t="n">
        <v>4</v>
      </c>
      <c r="E318" s="264" t="inlineStr">
        <is>
          <t>HUERTAS</t>
        </is>
      </c>
      <c r="F318" s="264" t="inlineStr">
        <is>
          <t xml:space="preserve">CARGUEROS  </t>
        </is>
      </c>
      <c r="G318" s="264" t="n">
        <v>10</v>
      </c>
      <c r="H318" s="264" t="inlineStr">
        <is>
          <t xml:space="preserve">ALEX GOMEZ </t>
        </is>
      </c>
      <c r="I318" s="264" t="inlineStr">
        <is>
          <t>TLN181</t>
        </is>
      </c>
      <c r="J318" s="265" t="n">
        <v>0.1854166666666667</v>
      </c>
      <c r="K318" s="266" t="n">
        <v>2728</v>
      </c>
      <c r="L318" s="319" t="n"/>
      <c r="M318" s="113" t="n"/>
      <c r="N318" s="113" t="n"/>
      <c r="O318" s="113" t="n"/>
      <c r="P318" s="243" t="n"/>
      <c r="Q318" s="113" t="n"/>
      <c r="R318" s="113" t="n"/>
    </row>
    <row r="319" ht="15.75" customHeight="1">
      <c r="A319" s="113" t="n"/>
      <c r="B319" s="146" t="n">
        <v>6</v>
      </c>
      <c r="C319" s="350" t="n">
        <v>45848</v>
      </c>
      <c r="D319" s="351" t="n">
        <v>5</v>
      </c>
      <c r="E319" s="264" t="inlineStr">
        <is>
          <t>HUERTAS</t>
        </is>
      </c>
      <c r="F319" s="264" t="inlineStr">
        <is>
          <t xml:space="preserve">CARGUEROS  </t>
        </is>
      </c>
      <c r="G319" s="264" t="n">
        <v>10</v>
      </c>
      <c r="H319" s="264" t="inlineStr">
        <is>
          <t xml:space="preserve">ALBERTO LOPEZ </t>
        </is>
      </c>
      <c r="I319" s="264" t="inlineStr">
        <is>
          <t>EQY777</t>
        </is>
      </c>
      <c r="J319" s="265" t="n">
        <v>0.2256944444444444</v>
      </c>
      <c r="K319" s="266" t="n">
        <v>2692</v>
      </c>
      <c r="L319" s="319" t="n"/>
      <c r="M319" s="113" t="n"/>
      <c r="N319" s="113" t="n"/>
      <c r="O319" s="113" t="n"/>
      <c r="P319" s="243" t="n"/>
      <c r="Q319" s="113" t="n"/>
      <c r="R319" s="113" t="n"/>
    </row>
    <row r="320" ht="15.75" customHeight="1">
      <c r="A320" s="113" t="n"/>
      <c r="B320" s="146" t="n">
        <v>6</v>
      </c>
      <c r="C320" s="350" t="n">
        <v>45848</v>
      </c>
      <c r="D320" s="351" t="n">
        <v>6</v>
      </c>
      <c r="E320" s="264" t="inlineStr">
        <is>
          <t>HUERTAS</t>
        </is>
      </c>
      <c r="F320" s="264" t="inlineStr">
        <is>
          <t xml:space="preserve">CARGUEROS  </t>
        </is>
      </c>
      <c r="G320" s="264" t="n">
        <v>10</v>
      </c>
      <c r="H320" s="264" t="inlineStr">
        <is>
          <t>FERNANDO OYUELA</t>
        </is>
      </c>
      <c r="I320" s="264" t="inlineStr">
        <is>
          <t>EQY778</t>
        </is>
      </c>
      <c r="J320" s="265" t="n">
        <v>0.2673611111111111</v>
      </c>
      <c r="K320" s="266" t="n">
        <v>2692</v>
      </c>
      <c r="L320" s="319" t="n"/>
      <c r="M320" s="113" t="n"/>
      <c r="N320" s="113" t="n"/>
      <c r="O320" s="113" t="n"/>
      <c r="P320" s="243" t="n"/>
      <c r="Q320" s="113" t="n"/>
      <c r="R320" s="113" t="n"/>
    </row>
    <row r="321" ht="15.75" customHeight="1">
      <c r="A321" s="113" t="n"/>
      <c r="B321" s="146" t="n">
        <v>6</v>
      </c>
      <c r="C321" s="350" t="n">
        <v>45848</v>
      </c>
      <c r="D321" s="351" t="n">
        <v>7</v>
      </c>
      <c r="E321" s="264" t="inlineStr">
        <is>
          <t>HUERTAS</t>
        </is>
      </c>
      <c r="F321" s="264" t="inlineStr">
        <is>
          <t xml:space="preserve">CARGUEROS  </t>
        </is>
      </c>
      <c r="G321" s="264" t="n">
        <v>10</v>
      </c>
      <c r="H321" s="264" t="inlineStr">
        <is>
          <t xml:space="preserve">DUMAR ANGARITA </t>
        </is>
      </c>
      <c r="I321" s="264" t="inlineStr">
        <is>
          <t>LQU745</t>
        </is>
      </c>
      <c r="J321" s="265" t="n">
        <v>0.3159722222222222</v>
      </c>
      <c r="K321" s="266" t="n">
        <v>2692</v>
      </c>
      <c r="L321" s="319" t="n"/>
      <c r="M321" s="113" t="n"/>
      <c r="N321" s="113" t="n"/>
      <c r="O321" s="113" t="n"/>
      <c r="P321" s="243" t="n"/>
      <c r="Q321" s="113" t="n"/>
      <c r="R321" s="113" t="n"/>
    </row>
    <row r="322" ht="15.75" customHeight="1">
      <c r="A322" s="113" t="n"/>
      <c r="B322" s="146" t="n">
        <v>6</v>
      </c>
      <c r="C322" s="350" t="n">
        <v>45848</v>
      </c>
      <c r="D322" s="351" t="n">
        <v>8</v>
      </c>
      <c r="E322" s="264" t="inlineStr">
        <is>
          <t xml:space="preserve">SAN JOSE </t>
        </is>
      </c>
      <c r="F322" s="264" t="inlineStr">
        <is>
          <t>CARGUEROS</t>
        </is>
      </c>
      <c r="G322" s="264" t="n">
        <v>10</v>
      </c>
      <c r="H322" s="264" t="inlineStr">
        <is>
          <t xml:space="preserve">MANUEL QUITIAN </t>
        </is>
      </c>
      <c r="I322" s="264" t="inlineStr">
        <is>
          <t>KUS176</t>
        </is>
      </c>
      <c r="J322" s="265" t="n">
        <v>0.5361111111111111</v>
      </c>
      <c r="K322" s="266" t="n">
        <v>2787</v>
      </c>
      <c r="L322" s="319" t="n"/>
      <c r="M322" s="113" t="n"/>
      <c r="N322" s="113" t="n"/>
      <c r="O322" s="113" t="n"/>
      <c r="P322" s="243" t="n"/>
      <c r="Q322" s="113" t="n"/>
      <c r="R322" s="113" t="n"/>
    </row>
    <row r="323" ht="15.75" customHeight="1">
      <c r="A323" s="113" t="n"/>
      <c r="B323" s="146" t="n">
        <v>6</v>
      </c>
      <c r="C323" s="352" t="n">
        <v>45848</v>
      </c>
      <c r="D323" s="347" t="n">
        <v>9</v>
      </c>
      <c r="E323" s="282" t="inlineStr">
        <is>
          <t xml:space="preserve">SAN JOSE </t>
        </is>
      </c>
      <c r="F323" s="282" t="inlineStr">
        <is>
          <t>CARGUEROS</t>
        </is>
      </c>
      <c r="G323" s="282" t="n">
        <v>10</v>
      </c>
      <c r="H323" s="282" t="inlineStr">
        <is>
          <t xml:space="preserve">ALBERTO HERRERA </t>
        </is>
      </c>
      <c r="I323" s="282" t="inlineStr">
        <is>
          <t>EQY776</t>
        </is>
      </c>
      <c r="J323" s="283" t="n">
        <v>0.5715277777777777</v>
      </c>
      <c r="K323" s="284" t="n">
        <v>2787</v>
      </c>
      <c r="L323" s="353">
        <f>SUBTOTAL(9,K315:K323)</f>
        <v/>
      </c>
      <c r="M323" s="113" t="n"/>
      <c r="N323" s="113" t="n"/>
      <c r="O323" s="113" t="n"/>
      <c r="P323" s="243" t="n"/>
      <c r="Q323" s="113" t="n"/>
      <c r="R323" s="113" t="n"/>
    </row>
    <row r="324" ht="15.75" customHeight="1">
      <c r="A324" s="113" t="n"/>
      <c r="B324" s="146" t="n">
        <v>6</v>
      </c>
      <c r="C324" s="348" t="n">
        <v>45849</v>
      </c>
      <c r="D324" s="349" t="n">
        <v>1</v>
      </c>
      <c r="E324" s="258" t="inlineStr">
        <is>
          <t xml:space="preserve">SAN JOSE </t>
        </is>
      </c>
      <c r="F324" s="258" t="inlineStr">
        <is>
          <t xml:space="preserve">ABONEROS </t>
        </is>
      </c>
      <c r="G324" s="258" t="n">
        <v>9</v>
      </c>
      <c r="H324" s="258" t="inlineStr">
        <is>
          <t xml:space="preserve">EDWIN ROJAS </t>
        </is>
      </c>
      <c r="I324" s="258" t="inlineStr">
        <is>
          <t>TLN248</t>
        </is>
      </c>
      <c r="J324" s="259" t="n">
        <v>0.2180555555555556</v>
      </c>
      <c r="K324" s="260" t="n">
        <v>2700</v>
      </c>
      <c r="L324" s="379" t="n"/>
      <c r="M324" s="113" t="n"/>
      <c r="N324" s="113" t="n"/>
      <c r="O324" s="113" t="n"/>
      <c r="P324" s="243" t="n"/>
      <c r="Q324" s="113" t="n"/>
      <c r="R324" s="113" t="n"/>
    </row>
    <row r="325" ht="15.75" customHeight="1">
      <c r="A325" s="113" t="n"/>
      <c r="B325" s="146" t="n">
        <v>6</v>
      </c>
      <c r="C325" s="350" t="n">
        <v>45849</v>
      </c>
      <c r="D325" s="351" t="n">
        <v>2</v>
      </c>
      <c r="E325" s="264" t="inlineStr">
        <is>
          <t xml:space="preserve">SAN JOSE </t>
        </is>
      </c>
      <c r="F325" s="264" t="inlineStr">
        <is>
          <t xml:space="preserve">ABONEROS </t>
        </is>
      </c>
      <c r="G325" s="264" t="n">
        <v>9</v>
      </c>
      <c r="H325" s="264" t="inlineStr">
        <is>
          <t xml:space="preserve">MANUEL QUITIAN </t>
        </is>
      </c>
      <c r="I325" s="264" t="inlineStr">
        <is>
          <t>KNL076</t>
        </is>
      </c>
      <c r="J325" s="265" t="n">
        <v>0.2569444444444444</v>
      </c>
      <c r="K325" s="266" t="n">
        <v>2667</v>
      </c>
      <c r="L325" s="267" t="n"/>
      <c r="M325" s="113" t="n"/>
      <c r="N325" s="113" t="n"/>
      <c r="O325" s="113" t="n"/>
      <c r="P325" s="243" t="n"/>
      <c r="Q325" s="113" t="n"/>
      <c r="R325" s="113" t="n"/>
    </row>
    <row r="326" ht="15.75" customHeight="1">
      <c r="A326" s="113" t="n"/>
      <c r="B326" s="146" t="n">
        <v>6</v>
      </c>
      <c r="C326" s="350" t="n">
        <v>45849</v>
      </c>
      <c r="D326" s="351" t="n">
        <v>3</v>
      </c>
      <c r="E326" s="264" t="inlineStr">
        <is>
          <t xml:space="preserve">SAN JOSE </t>
        </is>
      </c>
      <c r="F326" s="264" t="inlineStr">
        <is>
          <t xml:space="preserve">ABONEROS </t>
        </is>
      </c>
      <c r="G326" s="264" t="n">
        <v>9</v>
      </c>
      <c r="H326" s="264" t="inlineStr">
        <is>
          <t>HENRY ROMERO</t>
        </is>
      </c>
      <c r="I326" s="264" t="inlineStr">
        <is>
          <t>EQY781</t>
        </is>
      </c>
      <c r="J326" s="265" t="n">
        <v>0.2965277777777778</v>
      </c>
      <c r="K326" s="266" t="n">
        <v>2667</v>
      </c>
      <c r="L326" s="267" t="n"/>
      <c r="M326" s="113" t="n"/>
      <c r="N326" s="113" t="n"/>
      <c r="O326" s="113" t="n"/>
      <c r="P326" s="243" t="n"/>
      <c r="Q326" s="113" t="n"/>
      <c r="R326" s="113" t="n"/>
    </row>
    <row r="327" ht="15.75" customHeight="1">
      <c r="A327" s="113" t="n"/>
      <c r="B327" s="146" t="n">
        <v>6</v>
      </c>
      <c r="C327" s="350" t="n">
        <v>45849</v>
      </c>
      <c r="D327" s="351" t="n">
        <v>4</v>
      </c>
      <c r="E327" s="264" t="inlineStr">
        <is>
          <t xml:space="preserve">SAN JOSE </t>
        </is>
      </c>
      <c r="F327" s="264" t="inlineStr">
        <is>
          <t xml:space="preserve">ABONEROS </t>
        </is>
      </c>
      <c r="G327" s="264" t="n">
        <v>9</v>
      </c>
      <c r="H327" s="264" t="inlineStr">
        <is>
          <t xml:space="preserve">JHON ARIAS </t>
        </is>
      </c>
      <c r="I327" s="264" t="inlineStr">
        <is>
          <t>KUS176</t>
        </is>
      </c>
      <c r="J327" s="265" t="n">
        <v>0.3333333333333333</v>
      </c>
      <c r="K327" s="266" t="n">
        <v>2667</v>
      </c>
      <c r="L327" s="267" t="n"/>
      <c r="M327" s="113" t="n"/>
      <c r="N327" s="113" t="n"/>
      <c r="O327" s="113" t="n"/>
      <c r="P327" s="243" t="n"/>
      <c r="Q327" s="113" t="n"/>
      <c r="R327" s="113" t="n"/>
    </row>
    <row r="328" ht="15.75" customHeight="1">
      <c r="A328" s="113" t="n"/>
      <c r="B328" s="146" t="n">
        <v>6</v>
      </c>
      <c r="C328" s="350" t="n">
        <v>45849</v>
      </c>
      <c r="D328" s="351" t="n">
        <v>5</v>
      </c>
      <c r="E328" s="264" t="inlineStr">
        <is>
          <t xml:space="preserve">SAN JOSE </t>
        </is>
      </c>
      <c r="F328" s="264" t="inlineStr">
        <is>
          <t xml:space="preserve">ABONEROS </t>
        </is>
      </c>
      <c r="G328" s="264" t="n">
        <v>9</v>
      </c>
      <c r="H328" s="264" t="inlineStr">
        <is>
          <t xml:space="preserve">JOSE HERRERA </t>
        </is>
      </c>
      <c r="I328" s="264" t="inlineStr">
        <is>
          <t>EQY776</t>
        </is>
      </c>
      <c r="J328" s="265" t="n">
        <v>0.3986111111111111</v>
      </c>
      <c r="K328" s="266" t="n">
        <v>3240</v>
      </c>
      <c r="L328" s="267" t="n"/>
      <c r="M328" s="113" t="n"/>
      <c r="N328" s="113" t="n"/>
      <c r="O328" s="113" t="n"/>
      <c r="P328" s="243" t="n"/>
      <c r="Q328" s="113" t="n"/>
      <c r="R328" s="113" t="n"/>
    </row>
    <row r="329" ht="15.75" customHeight="1">
      <c r="A329" s="113" t="n"/>
      <c r="B329" s="146" t="n">
        <v>6</v>
      </c>
      <c r="C329" s="350" t="n">
        <v>45849</v>
      </c>
      <c r="D329" s="351" t="n">
        <v>6</v>
      </c>
      <c r="E329" s="264" t="inlineStr">
        <is>
          <t xml:space="preserve">SAN JOSE </t>
        </is>
      </c>
      <c r="F329" s="264" t="inlineStr">
        <is>
          <t xml:space="preserve">ABONEROS </t>
        </is>
      </c>
      <c r="G329" s="264" t="n">
        <v>9</v>
      </c>
      <c r="H329" s="264" t="inlineStr">
        <is>
          <t xml:space="preserve">FABIO ALDANA </t>
        </is>
      </c>
      <c r="I329" s="264" t="inlineStr">
        <is>
          <t>TLO882</t>
        </is>
      </c>
      <c r="J329" s="265" t="n">
        <v>0.4416666666666667</v>
      </c>
      <c r="K329" s="266" t="n">
        <v>3240</v>
      </c>
      <c r="L329" s="267" t="n"/>
      <c r="M329" s="113" t="n"/>
      <c r="N329" s="113" t="n"/>
      <c r="O329" s="113" t="n"/>
      <c r="P329" s="243" t="n"/>
      <c r="Q329" s="113" t="n"/>
      <c r="R329" s="113" t="n"/>
    </row>
    <row r="330" ht="15.75" customHeight="1">
      <c r="A330" s="113" t="n"/>
      <c r="B330" s="146" t="n">
        <v>6</v>
      </c>
      <c r="C330" s="350" t="n">
        <v>45849</v>
      </c>
      <c r="D330" s="351" t="n">
        <v>7</v>
      </c>
      <c r="E330" s="264" t="inlineStr">
        <is>
          <t xml:space="preserve">SAN JOSE </t>
        </is>
      </c>
      <c r="F330" s="264" t="inlineStr">
        <is>
          <t xml:space="preserve">ABONEROS </t>
        </is>
      </c>
      <c r="G330" s="264" t="n">
        <v>9</v>
      </c>
      <c r="H330" s="264" t="inlineStr">
        <is>
          <t xml:space="preserve">DUMAR ANGARITA </t>
        </is>
      </c>
      <c r="I330" s="264" t="inlineStr">
        <is>
          <t>LQO745</t>
        </is>
      </c>
      <c r="J330" s="265" t="n">
        <v>0.4861111111111111</v>
      </c>
      <c r="K330" s="266" t="n">
        <v>3240</v>
      </c>
      <c r="L330" s="267" t="n"/>
      <c r="M330" s="113" t="n"/>
      <c r="N330" s="113" t="n"/>
      <c r="O330" s="113" t="n"/>
      <c r="P330" s="243" t="n"/>
      <c r="Q330" s="113" t="n"/>
      <c r="R330" s="113" t="n"/>
    </row>
    <row r="331" ht="15.75" customHeight="1">
      <c r="A331" s="113" t="n"/>
      <c r="B331" s="146" t="n">
        <v>6</v>
      </c>
      <c r="C331" s="350" t="n">
        <v>45849</v>
      </c>
      <c r="D331" s="351" t="n">
        <v>8</v>
      </c>
      <c r="E331" s="264" t="inlineStr">
        <is>
          <t>HUERTAS</t>
        </is>
      </c>
      <c r="F331" s="264" t="inlineStr">
        <is>
          <t xml:space="preserve">CARGUEROS  </t>
        </is>
      </c>
      <c r="G331" s="264" t="n">
        <v>10</v>
      </c>
      <c r="H331" s="264" t="inlineStr">
        <is>
          <t xml:space="preserve">YAIR RIVEROS </t>
        </is>
      </c>
      <c r="I331" s="264" t="inlineStr">
        <is>
          <t>TLN181</t>
        </is>
      </c>
      <c r="J331" s="265" t="n">
        <v>0.28125</v>
      </c>
      <c r="K331" s="266" t="n">
        <v>3240</v>
      </c>
      <c r="L331" s="267" t="n"/>
      <c r="M331" s="113" t="n"/>
      <c r="N331" s="113" t="n"/>
      <c r="O331" s="113" t="n"/>
      <c r="P331" s="243" t="n"/>
      <c r="Q331" s="113" t="n"/>
      <c r="R331" s="113" t="n"/>
    </row>
    <row r="332" ht="15.75" customHeight="1">
      <c r="A332" s="113" t="n"/>
      <c r="B332" s="146" t="n">
        <v>6</v>
      </c>
      <c r="C332" s="350" t="n">
        <v>45849</v>
      </c>
      <c r="D332" s="351" t="n">
        <v>9</v>
      </c>
      <c r="E332" s="264" t="inlineStr">
        <is>
          <t>HUERTAS</t>
        </is>
      </c>
      <c r="F332" s="264" t="inlineStr">
        <is>
          <t xml:space="preserve">CARGUEROS  </t>
        </is>
      </c>
      <c r="G332" s="264" t="n">
        <v>10</v>
      </c>
      <c r="H332" s="264" t="inlineStr">
        <is>
          <t xml:space="preserve">EDUAN CAVIEDEZ </t>
        </is>
      </c>
      <c r="I332" s="264" t="inlineStr">
        <is>
          <t>EQY779</t>
        </is>
      </c>
      <c r="J332" s="265" t="n">
        <v>0.3229166666666667</v>
      </c>
      <c r="K332" s="266" t="n">
        <v>3166</v>
      </c>
      <c r="L332" s="267" t="n"/>
      <c r="M332" s="113" t="n"/>
      <c r="N332" s="113" t="n"/>
      <c r="O332" s="113" t="n"/>
      <c r="P332" s="243" t="n"/>
      <c r="Q332" s="113" t="n"/>
      <c r="R332" s="113" t="n"/>
    </row>
    <row r="333" ht="15.75" customHeight="1">
      <c r="A333" s="113" t="n"/>
      <c r="B333" s="146" t="n">
        <v>6</v>
      </c>
      <c r="C333" s="350" t="n">
        <v>45849</v>
      </c>
      <c r="D333" s="351" t="n">
        <v>10</v>
      </c>
      <c r="E333" s="264" t="inlineStr">
        <is>
          <t>HUERTAS</t>
        </is>
      </c>
      <c r="F333" s="264" t="inlineStr">
        <is>
          <t xml:space="preserve">CARGUEROS  </t>
        </is>
      </c>
      <c r="G333" s="264" t="n">
        <v>10</v>
      </c>
      <c r="H333" s="264" t="inlineStr">
        <is>
          <t xml:space="preserve">DIEGO NIÑO </t>
        </is>
      </c>
      <c r="I333" s="264" t="inlineStr">
        <is>
          <t>GZZ673</t>
        </is>
      </c>
      <c r="J333" s="265" t="n">
        <v>0.3611111111111111</v>
      </c>
      <c r="K333" s="266" t="n">
        <v>2520</v>
      </c>
      <c r="L333" s="267" t="n"/>
      <c r="M333" s="113" t="n"/>
      <c r="N333" s="113" t="n"/>
      <c r="O333" s="113" t="n"/>
      <c r="P333" s="243" t="n"/>
      <c r="Q333" s="113" t="n"/>
      <c r="R333" s="113" t="n"/>
    </row>
    <row r="334" ht="15.75" customHeight="1">
      <c r="A334" s="113" t="n"/>
      <c r="B334" s="146" t="n">
        <v>6</v>
      </c>
      <c r="C334" s="350" t="n">
        <v>45849</v>
      </c>
      <c r="D334" s="351" t="n">
        <v>11</v>
      </c>
      <c r="E334" s="264" t="inlineStr">
        <is>
          <t>HUERTAS</t>
        </is>
      </c>
      <c r="F334" s="264" t="inlineStr">
        <is>
          <t xml:space="preserve">CARGUEROS  </t>
        </is>
      </c>
      <c r="G334" s="264" t="n">
        <v>10</v>
      </c>
      <c r="H334" s="264" t="inlineStr">
        <is>
          <t>JHON AGUIRRE</t>
        </is>
      </c>
      <c r="I334" s="264" t="inlineStr">
        <is>
          <t>EQY780</t>
        </is>
      </c>
      <c r="J334" s="265" t="n">
        <v>0.40625</v>
      </c>
      <c r="K334" s="266" t="n">
        <v>2592</v>
      </c>
      <c r="L334" s="267" t="n"/>
      <c r="M334" s="113" t="n"/>
      <c r="N334" s="113" t="n"/>
      <c r="O334" s="113" t="n"/>
      <c r="P334" s="243" t="n"/>
      <c r="Q334" s="113" t="n"/>
      <c r="R334" s="113" t="n"/>
    </row>
    <row r="335" ht="15.75" customHeight="1">
      <c r="A335" s="113" t="n"/>
      <c r="B335" s="146" t="n">
        <v>6</v>
      </c>
      <c r="C335" s="352" t="n">
        <v>45849</v>
      </c>
      <c r="D335" s="347" t="n">
        <v>12</v>
      </c>
      <c r="E335" s="282" t="inlineStr">
        <is>
          <t xml:space="preserve">GARCERAS </t>
        </is>
      </c>
      <c r="F335" s="282" t="inlineStr">
        <is>
          <t xml:space="preserve">CARGUEROS  </t>
        </is>
      </c>
      <c r="G335" s="264" t="n">
        <v>10</v>
      </c>
      <c r="H335" s="282" t="inlineStr">
        <is>
          <t xml:space="preserve">JAIRO CUBILLOS </t>
        </is>
      </c>
      <c r="I335" s="282" t="inlineStr">
        <is>
          <t>TLN884</t>
        </is>
      </c>
      <c r="J335" s="283" t="n">
        <v>0.5486111111111112</v>
      </c>
      <c r="K335" s="318" t="n">
        <v>3092</v>
      </c>
      <c r="L335" s="267" t="n"/>
      <c r="M335" s="113" t="n"/>
      <c r="N335" s="113" t="n"/>
      <c r="O335" s="113" t="n"/>
      <c r="P335" s="243" t="n"/>
      <c r="Q335" s="113" t="n"/>
      <c r="R335" s="113" t="n"/>
    </row>
    <row r="336" ht="15.75" customHeight="1">
      <c r="A336" s="113" t="n"/>
      <c r="B336" s="146" t="n">
        <v>6</v>
      </c>
      <c r="C336" s="352" t="n">
        <v>45849</v>
      </c>
      <c r="D336" s="347" t="n">
        <v>13</v>
      </c>
      <c r="E336" s="282" t="inlineStr">
        <is>
          <t xml:space="preserve">GARCERAS </t>
        </is>
      </c>
      <c r="F336" s="282" t="inlineStr">
        <is>
          <t xml:space="preserve">CARGUEROS  </t>
        </is>
      </c>
      <c r="G336" s="282" t="n">
        <v>10</v>
      </c>
      <c r="H336" s="282" t="inlineStr">
        <is>
          <t xml:space="preserve">ALBERTO LOPEZ </t>
        </is>
      </c>
      <c r="I336" s="282" t="inlineStr">
        <is>
          <t>EQY777</t>
        </is>
      </c>
      <c r="J336" s="283" t="n">
        <v>0.5868055555555556</v>
      </c>
      <c r="K336" s="284" t="n">
        <v>3092</v>
      </c>
      <c r="L336" s="378">
        <f>SUBTOTAL(9,K324:K336)</f>
        <v/>
      </c>
      <c r="M336" s="113" t="n"/>
      <c r="N336" s="113" t="n"/>
      <c r="O336" s="113" t="n"/>
      <c r="P336" s="243" t="n"/>
      <c r="Q336" s="113" t="n"/>
      <c r="R336" s="113" t="n"/>
    </row>
    <row r="337" ht="15.75" customHeight="1">
      <c r="A337" s="113" t="n"/>
      <c r="B337" s="146" t="n">
        <v>6</v>
      </c>
      <c r="C337" s="381" t="n">
        <v>45850</v>
      </c>
      <c r="D337" s="382" t="n">
        <v>1</v>
      </c>
      <c r="E337" s="334" t="inlineStr">
        <is>
          <t xml:space="preserve">SAN JOSE </t>
        </is>
      </c>
      <c r="F337" s="334" t="inlineStr">
        <is>
          <t xml:space="preserve">CARGUEROS  </t>
        </is>
      </c>
      <c r="G337" s="334" t="n">
        <v>8</v>
      </c>
      <c r="H337" s="334" t="inlineStr">
        <is>
          <t xml:space="preserve">JHON AGUIRRE </t>
        </is>
      </c>
      <c r="I337" s="334" t="inlineStr">
        <is>
          <t>EY780</t>
        </is>
      </c>
      <c r="J337" s="335" t="n">
        <v>0.2152777777777778</v>
      </c>
      <c r="K337" s="383" t="n">
        <v>3240</v>
      </c>
      <c r="L337" s="379" t="n"/>
      <c r="M337" s="113" t="n"/>
      <c r="N337" s="113" t="n"/>
      <c r="O337" s="113" t="n"/>
      <c r="P337" s="243" t="n"/>
      <c r="Q337" s="113" t="n"/>
      <c r="R337" s="113" t="n"/>
    </row>
    <row r="338" ht="15.75" customHeight="1">
      <c r="A338" s="113" t="n"/>
      <c r="B338" s="146" t="n">
        <v>6</v>
      </c>
      <c r="C338" s="352" t="n">
        <v>45850</v>
      </c>
      <c r="D338" s="347" t="n">
        <v>2</v>
      </c>
      <c r="E338" s="282" t="inlineStr">
        <is>
          <t xml:space="preserve">SAN JOSE </t>
        </is>
      </c>
      <c r="F338" s="282" t="inlineStr">
        <is>
          <t xml:space="preserve">CARGUEROS  </t>
        </is>
      </c>
      <c r="G338" s="282" t="n">
        <v>8</v>
      </c>
      <c r="H338" s="282" t="inlineStr">
        <is>
          <t>FABIO ALDANA</t>
        </is>
      </c>
      <c r="I338" s="282" t="inlineStr">
        <is>
          <t>TLO882</t>
        </is>
      </c>
      <c r="J338" s="283" t="n">
        <v>0.2569444444444444</v>
      </c>
      <c r="K338" s="318" t="n">
        <v>3240</v>
      </c>
      <c r="L338" s="267" t="n"/>
      <c r="M338" s="113" t="n"/>
      <c r="N338" s="113" t="n"/>
      <c r="O338" s="113" t="n"/>
      <c r="P338" s="243" t="n"/>
      <c r="Q338" s="113" t="n"/>
      <c r="R338" s="113" t="n"/>
    </row>
    <row r="339" ht="15.75" customHeight="1">
      <c r="A339" s="113" t="n"/>
      <c r="B339" s="146" t="n">
        <v>6</v>
      </c>
      <c r="C339" s="356" t="n">
        <v>45850</v>
      </c>
      <c r="D339" s="357" t="n">
        <v>3</v>
      </c>
      <c r="E339" s="271" t="inlineStr">
        <is>
          <t xml:space="preserve">SAN JOSE </t>
        </is>
      </c>
      <c r="F339" s="271" t="inlineStr">
        <is>
          <t xml:space="preserve">CARGUEROS  </t>
        </is>
      </c>
      <c r="G339" s="271" t="n">
        <v>8</v>
      </c>
      <c r="H339" s="271" t="inlineStr">
        <is>
          <t xml:space="preserve">JAIRO CUBILLOS </t>
        </is>
      </c>
      <c r="I339" s="271" t="inlineStr">
        <is>
          <t>TLN884</t>
        </is>
      </c>
      <c r="J339" s="272" t="n">
        <v>0.2916666666666667</v>
      </c>
      <c r="K339" s="273" t="n">
        <v>2340</v>
      </c>
      <c r="L339" s="378">
        <f>SUBTOTAL(9,K337:K339)</f>
        <v/>
      </c>
      <c r="M339" s="113" t="n"/>
      <c r="N339" s="113" t="n"/>
      <c r="O339" s="113" t="n"/>
      <c r="P339" s="243" t="n"/>
      <c r="Q339" s="113" t="n"/>
      <c r="R339" s="113" t="n"/>
    </row>
    <row r="340" ht="15.75" customHeight="1">
      <c r="A340" s="113" t="n"/>
      <c r="B340" s="146" t="n">
        <v>7</v>
      </c>
      <c r="C340" s="348" t="n">
        <v>45852</v>
      </c>
      <c r="D340" s="349" t="n">
        <v>1</v>
      </c>
      <c r="E340" s="258" t="inlineStr">
        <is>
          <t>HUERTAS</t>
        </is>
      </c>
      <c r="F340" s="258" t="inlineStr">
        <is>
          <t>ABONEROS</t>
        </is>
      </c>
      <c r="G340" s="258" t="n">
        <v>10</v>
      </c>
      <c r="H340" s="258" t="inlineStr">
        <is>
          <t>EDISON DUQUE</t>
        </is>
      </c>
      <c r="I340" s="258" t="inlineStr">
        <is>
          <t>SQW176</t>
        </is>
      </c>
      <c r="J340" s="259" t="n">
        <v>0.7284722222222222</v>
      </c>
      <c r="K340" s="260" t="n">
        <v>2860</v>
      </c>
      <c r="L340" s="261" t="n"/>
      <c r="M340" s="113" t="n"/>
      <c r="N340" s="113" t="n"/>
      <c r="O340" s="113" t="n"/>
      <c r="P340" s="243" t="n"/>
      <c r="Q340" s="113" t="n"/>
      <c r="R340" s="113" t="n"/>
    </row>
    <row r="341" ht="15.75" customHeight="1">
      <c r="A341" s="113" t="n"/>
      <c r="B341" s="146" t="n">
        <v>7</v>
      </c>
      <c r="C341" s="350" t="n">
        <v>45852</v>
      </c>
      <c r="D341" s="351" t="n">
        <v>2</v>
      </c>
      <c r="E341" s="264" t="inlineStr">
        <is>
          <t>HUERTAS</t>
        </is>
      </c>
      <c r="F341" s="264" t="inlineStr">
        <is>
          <t>ABONEROS</t>
        </is>
      </c>
      <c r="G341" s="264" t="n">
        <v>10</v>
      </c>
      <c r="H341" s="264" t="inlineStr">
        <is>
          <t>ANDRES PORRAS</t>
        </is>
      </c>
      <c r="I341" s="264" t="inlineStr">
        <is>
          <t>TLN249</t>
        </is>
      </c>
      <c r="J341" s="265" t="n">
        <v>0.7791666666666667</v>
      </c>
      <c r="K341" s="266" t="n">
        <v>2718</v>
      </c>
      <c r="L341" s="267" t="n"/>
      <c r="M341" s="113" t="n"/>
      <c r="N341" s="113" t="n"/>
      <c r="O341" s="113" t="n"/>
      <c r="P341" s="243" t="n"/>
      <c r="Q341" s="113" t="n"/>
      <c r="R341" s="113" t="n"/>
    </row>
    <row r="342" ht="15.75" customHeight="1">
      <c r="A342" s="113" t="n"/>
      <c r="B342" s="146" t="n">
        <v>7</v>
      </c>
      <c r="C342" s="350" t="n">
        <v>45852</v>
      </c>
      <c r="D342" s="351" t="n">
        <v>3</v>
      </c>
      <c r="E342" s="264" t="inlineStr">
        <is>
          <t>HUERTAS</t>
        </is>
      </c>
      <c r="F342" s="264" t="inlineStr">
        <is>
          <t>ABONEROS</t>
        </is>
      </c>
      <c r="G342" s="264" t="n">
        <v>11</v>
      </c>
      <c r="H342" s="264" t="inlineStr">
        <is>
          <t>FERNANDO SABOGAL</t>
        </is>
      </c>
      <c r="I342" s="264" t="inlineStr">
        <is>
          <t>CHL416</t>
        </is>
      </c>
      <c r="J342" s="265" t="n">
        <v>0.8458333333333333</v>
      </c>
      <c r="K342" s="266" t="n">
        <v>2530</v>
      </c>
      <c r="L342" s="267" t="n"/>
      <c r="M342" s="113" t="n"/>
      <c r="N342" s="113" t="n"/>
      <c r="O342" s="113" t="n"/>
      <c r="P342" s="243" t="n"/>
      <c r="Q342" s="113" t="n"/>
      <c r="R342" s="113" t="n"/>
    </row>
    <row r="343" ht="15.75" customHeight="1">
      <c r="A343" s="113" t="n"/>
      <c r="B343" s="146" t="n">
        <v>7</v>
      </c>
      <c r="C343" s="350" t="n">
        <v>45852</v>
      </c>
      <c r="D343" s="351" t="n">
        <v>4</v>
      </c>
      <c r="E343" s="264" t="inlineStr">
        <is>
          <t>HUERTAS</t>
        </is>
      </c>
      <c r="F343" s="264" t="inlineStr">
        <is>
          <t>ABONEROS</t>
        </is>
      </c>
      <c r="G343" s="264" t="n">
        <v>11</v>
      </c>
      <c r="H343" s="264" t="inlineStr">
        <is>
          <t>HENRY ROMERO</t>
        </is>
      </c>
      <c r="I343" s="264" t="inlineStr">
        <is>
          <t>EQY781</t>
        </is>
      </c>
      <c r="J343" s="265" t="n">
        <v>0.9368055555555556</v>
      </c>
      <c r="K343" s="266" t="n">
        <v>2916</v>
      </c>
      <c r="L343" s="267" t="n"/>
      <c r="M343" s="113" t="n"/>
      <c r="N343" s="113" t="n"/>
      <c r="O343" s="113" t="n"/>
      <c r="P343" s="243" t="n"/>
      <c r="Q343" s="113" t="n"/>
      <c r="R343" s="113" t="n"/>
    </row>
    <row r="344" ht="15.75" customHeight="1">
      <c r="A344" s="113" t="n"/>
      <c r="B344" s="146" t="n">
        <v>7</v>
      </c>
      <c r="C344" s="350" t="n">
        <v>45852</v>
      </c>
      <c r="D344" s="351" t="n">
        <v>5</v>
      </c>
      <c r="E344" s="264" t="inlineStr">
        <is>
          <t>HUERTAS</t>
        </is>
      </c>
      <c r="F344" s="264" t="inlineStr">
        <is>
          <t>ABONEROS</t>
        </is>
      </c>
      <c r="G344" s="264" t="n">
        <v>11</v>
      </c>
      <c r="H344" s="264" t="inlineStr">
        <is>
          <t>DIEGO NIÑO</t>
        </is>
      </c>
      <c r="I344" s="264" t="inlineStr">
        <is>
          <t>GZZ673</t>
        </is>
      </c>
      <c r="J344" s="265" t="n">
        <v>0.9916666666666667</v>
      </c>
      <c r="K344" s="266" t="n">
        <v>2880</v>
      </c>
      <c r="L344" s="267" t="n"/>
      <c r="M344" s="113" t="n"/>
      <c r="N344" s="113" t="n"/>
      <c r="O344" s="113" t="n"/>
      <c r="P344" s="243" t="n"/>
      <c r="Q344" s="113" t="n"/>
      <c r="R344" s="113" t="n"/>
    </row>
    <row r="345" ht="15.75" customHeight="1">
      <c r="A345" s="113" t="n"/>
      <c r="B345" s="146" t="n">
        <v>7</v>
      </c>
      <c r="C345" s="350" t="n">
        <v>45852</v>
      </c>
      <c r="D345" s="351" t="n">
        <v>6</v>
      </c>
      <c r="E345" s="264" t="inlineStr">
        <is>
          <t>HUERTAS</t>
        </is>
      </c>
      <c r="F345" s="264" t="inlineStr">
        <is>
          <t>ABONEROS</t>
        </is>
      </c>
      <c r="G345" s="264" t="n">
        <v>10</v>
      </c>
      <c r="H345" s="264" t="inlineStr">
        <is>
          <t>MANUEL QUITIAN</t>
        </is>
      </c>
      <c r="I345" s="264" t="inlineStr">
        <is>
          <t>KUS176</t>
        </is>
      </c>
      <c r="J345" s="265" t="n">
        <v>0.05694444444444444</v>
      </c>
      <c r="K345" s="266" t="n">
        <v>2916</v>
      </c>
      <c r="L345" s="267" t="n"/>
      <c r="M345" s="113" t="n"/>
      <c r="N345" s="113" t="n"/>
      <c r="O345" s="113" t="n"/>
      <c r="P345" s="243" t="n"/>
      <c r="Q345" s="113" t="n"/>
      <c r="R345" s="113" t="n"/>
    </row>
    <row r="346" ht="15.75" customHeight="1">
      <c r="A346" s="113" t="n"/>
      <c r="B346" s="146" t="n">
        <v>7</v>
      </c>
      <c r="C346" s="350" t="n">
        <v>45852</v>
      </c>
      <c r="D346" s="351" t="n">
        <v>7</v>
      </c>
      <c r="E346" s="264" t="inlineStr">
        <is>
          <t xml:space="preserve">GARCERAS </t>
        </is>
      </c>
      <c r="F346" s="264" t="inlineStr">
        <is>
          <t>CARGUEROS</t>
        </is>
      </c>
      <c r="G346" s="264" t="n">
        <v>10</v>
      </c>
      <c r="H346" s="264" t="inlineStr">
        <is>
          <t>EDWIN ROJAS</t>
        </is>
      </c>
      <c r="I346" s="264" t="inlineStr">
        <is>
          <t>TLN248</t>
        </is>
      </c>
      <c r="J346" s="265" t="n">
        <v>0.04166666666666666</v>
      </c>
      <c r="K346" s="266" t="n">
        <v>2853</v>
      </c>
      <c r="L346" s="267" t="n"/>
      <c r="M346" s="113" t="n"/>
      <c r="N346" s="113" t="n"/>
      <c r="O346" s="113" t="n"/>
      <c r="P346" s="243" t="n"/>
      <c r="Q346" s="113" t="n"/>
      <c r="R346" s="113" t="n"/>
    </row>
    <row r="347" ht="15.75" customHeight="1">
      <c r="A347" s="113" t="n"/>
      <c r="B347" s="146" t="n">
        <v>7</v>
      </c>
      <c r="C347" s="350" t="n">
        <v>45852</v>
      </c>
      <c r="D347" s="351" t="n">
        <v>8</v>
      </c>
      <c r="E347" s="264" t="inlineStr">
        <is>
          <t xml:space="preserve">GARCERAS </t>
        </is>
      </c>
      <c r="F347" s="264" t="inlineStr">
        <is>
          <t>CARGUEROS</t>
        </is>
      </c>
      <c r="G347" s="264" t="n">
        <v>10</v>
      </c>
      <c r="H347" s="264" t="inlineStr">
        <is>
          <t>YAIR RIVEROS</t>
        </is>
      </c>
      <c r="I347" s="264" t="inlineStr">
        <is>
          <t>TLN181</t>
        </is>
      </c>
      <c r="J347" s="265" t="n">
        <v>0.07291666666666667</v>
      </c>
      <c r="K347" s="266" t="n">
        <v>2853</v>
      </c>
      <c r="L347" s="267" t="n"/>
      <c r="M347" s="113" t="n"/>
      <c r="N347" s="113" t="n"/>
      <c r="O347" s="113" t="n"/>
      <c r="P347" s="243" t="n"/>
      <c r="Q347" s="113" t="n"/>
      <c r="R347" s="113" t="n"/>
    </row>
    <row r="348" ht="15.75" customHeight="1">
      <c r="A348" s="113" t="n"/>
      <c r="B348" s="146" t="n">
        <v>7</v>
      </c>
      <c r="C348" s="350" t="n">
        <v>45852</v>
      </c>
      <c r="D348" s="351" t="n">
        <v>9</v>
      </c>
      <c r="E348" s="264" t="inlineStr">
        <is>
          <t xml:space="preserve">GARCERAS </t>
        </is>
      </c>
      <c r="F348" s="264" t="inlineStr">
        <is>
          <t>CARGUEROS</t>
        </is>
      </c>
      <c r="G348" s="264" t="n">
        <v>10</v>
      </c>
      <c r="H348" s="264" t="inlineStr">
        <is>
          <t>OMAR ANGARITA</t>
        </is>
      </c>
      <c r="I348" s="264" t="inlineStr">
        <is>
          <t>LQO745</t>
        </is>
      </c>
      <c r="J348" s="265" t="n">
        <v>0.1215277777777778</v>
      </c>
      <c r="K348" s="266" t="n">
        <v>2853</v>
      </c>
      <c r="L348" s="267" t="n"/>
      <c r="M348" s="113" t="n"/>
      <c r="N348" s="113" t="n"/>
      <c r="O348" s="113" t="n"/>
      <c r="P348" s="243" t="n"/>
      <c r="Q348" s="113" t="n"/>
      <c r="R348" s="113" t="n"/>
    </row>
    <row r="349" ht="15.75" customHeight="1">
      <c r="A349" s="113" t="n"/>
      <c r="B349" s="146" t="n">
        <v>7</v>
      </c>
      <c r="C349" s="350" t="n">
        <v>45852</v>
      </c>
      <c r="D349" s="351" t="n">
        <v>10</v>
      </c>
      <c r="E349" s="264" t="inlineStr">
        <is>
          <t xml:space="preserve">GARCERAS </t>
        </is>
      </c>
      <c r="F349" s="264" t="inlineStr">
        <is>
          <t>CARGUEROS</t>
        </is>
      </c>
      <c r="G349" s="264" t="n">
        <v>10</v>
      </c>
      <c r="H349" s="264" t="inlineStr">
        <is>
          <t>JHON ARIAS</t>
        </is>
      </c>
      <c r="I349" s="264" t="inlineStr">
        <is>
          <t>KLN076</t>
        </is>
      </c>
      <c r="J349" s="265" t="n">
        <v>0.1611111111111111</v>
      </c>
      <c r="K349" s="266" t="n">
        <v>3263</v>
      </c>
      <c r="L349" s="267" t="n"/>
      <c r="M349" s="113" t="n"/>
      <c r="N349" s="113" t="n"/>
      <c r="O349" s="113" t="n"/>
      <c r="P349" s="243" t="n"/>
      <c r="Q349" s="113" t="n"/>
      <c r="R349" s="113" t="n"/>
    </row>
    <row r="350" ht="15.75" customHeight="1">
      <c r="A350" s="113" t="n"/>
      <c r="B350" s="146" t="n">
        <v>7</v>
      </c>
      <c r="C350" s="350" t="n">
        <v>45852</v>
      </c>
      <c r="D350" s="351" t="n">
        <v>11</v>
      </c>
      <c r="E350" s="264" t="inlineStr">
        <is>
          <t xml:space="preserve">GARCERAS </t>
        </is>
      </c>
      <c r="F350" s="264" t="inlineStr">
        <is>
          <t>CARGUEROS</t>
        </is>
      </c>
      <c r="G350" s="264" t="n">
        <v>10</v>
      </c>
      <c r="H350" s="264" t="inlineStr">
        <is>
          <t>DIEGO NIÑO</t>
        </is>
      </c>
      <c r="I350" s="264" t="inlineStr">
        <is>
          <t>GZZ673</t>
        </is>
      </c>
      <c r="J350" s="265" t="n">
        <v>0.1979166666666667</v>
      </c>
      <c r="K350" s="266" t="n">
        <v>3262</v>
      </c>
      <c r="L350" s="267" t="n"/>
      <c r="M350" s="113" t="n"/>
      <c r="N350" s="113" t="n"/>
      <c r="O350" s="113" t="n"/>
      <c r="P350" s="243" t="n"/>
      <c r="Q350" s="113" t="n"/>
      <c r="R350" s="113" t="n"/>
    </row>
    <row r="351" ht="15.75" customHeight="1">
      <c r="A351" s="113" t="n"/>
      <c r="B351" s="146" t="n">
        <v>7</v>
      </c>
      <c r="C351" s="350" t="n">
        <v>45852</v>
      </c>
      <c r="D351" s="351" t="n">
        <v>12</v>
      </c>
      <c r="E351" s="264" t="inlineStr">
        <is>
          <t xml:space="preserve">GARCERAS </t>
        </is>
      </c>
      <c r="F351" s="264" t="inlineStr">
        <is>
          <t>CARGUEROS</t>
        </is>
      </c>
      <c r="G351" s="264" t="n">
        <v>10</v>
      </c>
      <c r="H351" s="264" t="inlineStr">
        <is>
          <t>MANUEL QUITIAN</t>
        </is>
      </c>
      <c r="I351" s="264" t="inlineStr">
        <is>
          <t>KUS176</t>
        </is>
      </c>
      <c r="J351" s="265" t="n">
        <v>0.3055555555555556</v>
      </c>
      <c r="K351" s="266" t="n">
        <v>3262</v>
      </c>
      <c r="L351" s="267" t="n"/>
      <c r="M351" s="113" t="n"/>
      <c r="N351" s="113" t="n"/>
      <c r="O351" s="113" t="n"/>
      <c r="P351" s="243" t="n"/>
      <c r="Q351" s="113" t="n"/>
      <c r="R351" s="113" t="n"/>
    </row>
    <row r="352" ht="15.75" customHeight="1">
      <c r="A352" s="113" t="n"/>
      <c r="B352" s="146" t="n">
        <v>7</v>
      </c>
      <c r="C352" s="350" t="n">
        <v>45852</v>
      </c>
      <c r="D352" s="351" t="n">
        <v>13</v>
      </c>
      <c r="E352" s="264" t="inlineStr">
        <is>
          <t xml:space="preserve">GARCERAS </t>
        </is>
      </c>
      <c r="F352" s="264" t="inlineStr">
        <is>
          <t>CARGUEROS</t>
        </is>
      </c>
      <c r="G352" s="264" t="n">
        <v>10</v>
      </c>
      <c r="H352" s="264" t="inlineStr">
        <is>
          <t>EDWIN ROJAS</t>
        </is>
      </c>
      <c r="I352" s="264" t="inlineStr">
        <is>
          <t>TLN248</t>
        </is>
      </c>
      <c r="J352" s="265" t="n">
        <v>0.3402777777777778</v>
      </c>
      <c r="K352" s="266" t="n">
        <v>2262</v>
      </c>
      <c r="L352" s="267" t="n"/>
      <c r="M352" s="113" t="n"/>
      <c r="N352" s="113" t="n"/>
      <c r="O352" s="113" t="n"/>
      <c r="P352" s="243" t="n"/>
      <c r="Q352" s="113" t="n"/>
      <c r="R352" s="113" t="n"/>
    </row>
    <row r="353" ht="15.75" customHeight="1">
      <c r="A353" s="113" t="n"/>
      <c r="B353" s="146" t="n">
        <v>7</v>
      </c>
      <c r="C353" s="350" t="n">
        <v>45852</v>
      </c>
      <c r="D353" s="351" t="n">
        <v>14</v>
      </c>
      <c r="E353" s="264" t="inlineStr">
        <is>
          <t xml:space="preserve">GARCERAS </t>
        </is>
      </c>
      <c r="F353" s="264" t="inlineStr">
        <is>
          <t>CARGUEROS</t>
        </is>
      </c>
      <c r="G353" s="264" t="n">
        <v>10</v>
      </c>
      <c r="H353" s="264" t="inlineStr">
        <is>
          <t>YAIR RIVEROS</t>
        </is>
      </c>
      <c r="I353" s="264" t="inlineStr">
        <is>
          <t>TLN181</t>
        </is>
      </c>
      <c r="J353" s="265" t="n">
        <v>0.3958333333333333</v>
      </c>
      <c r="K353" s="266" t="n">
        <v>3157</v>
      </c>
      <c r="L353" s="267" t="n"/>
      <c r="M353" s="113" t="n"/>
      <c r="N353" s="113" t="n"/>
      <c r="O353" s="113" t="n"/>
      <c r="P353" s="243" t="n"/>
      <c r="Q353" s="113" t="n"/>
      <c r="R353" s="113" t="n"/>
    </row>
    <row r="354" ht="15.75" customHeight="1">
      <c r="A354" s="113" t="n"/>
      <c r="B354" s="146" t="n">
        <v>7</v>
      </c>
      <c r="C354" s="350" t="n">
        <v>45852</v>
      </c>
      <c r="D354" s="351" t="n">
        <v>15</v>
      </c>
      <c r="E354" s="264" t="inlineStr">
        <is>
          <t xml:space="preserve">GARCERAS </t>
        </is>
      </c>
      <c r="F354" s="264" t="inlineStr">
        <is>
          <t>CARGUEROS</t>
        </is>
      </c>
      <c r="G354" s="264" t="n">
        <v>10</v>
      </c>
      <c r="H354" s="264" t="inlineStr">
        <is>
          <t>DUMAR ANGARITA</t>
        </is>
      </c>
      <c r="I354" s="264" t="inlineStr">
        <is>
          <t>LQO745</t>
        </is>
      </c>
      <c r="J354" s="265" t="n">
        <v>0.4361111111111111</v>
      </c>
      <c r="K354" s="266" t="n">
        <v>3262</v>
      </c>
      <c r="L354" s="268" t="n"/>
      <c r="M354" s="113" t="n"/>
      <c r="N354" s="113" t="n"/>
      <c r="O354" s="113" t="n"/>
      <c r="P354" s="243" t="n"/>
      <c r="Q354" s="113" t="n"/>
      <c r="R354" s="113" t="n"/>
    </row>
    <row r="355" ht="15.75" customHeight="1">
      <c r="A355" s="113" t="n"/>
      <c r="B355" s="146" t="n">
        <v>7</v>
      </c>
      <c r="C355" s="350" t="n">
        <v>45852</v>
      </c>
      <c r="D355" s="357" t="n">
        <v>16</v>
      </c>
      <c r="E355" s="271" t="inlineStr">
        <is>
          <t xml:space="preserve">GARCERAS </t>
        </is>
      </c>
      <c r="F355" s="271" t="inlineStr">
        <is>
          <t>CARGUEROS</t>
        </is>
      </c>
      <c r="G355" s="271" t="n">
        <v>10</v>
      </c>
      <c r="H355" s="271" t="inlineStr">
        <is>
          <t>JHON ARIAS</t>
        </is>
      </c>
      <c r="I355" s="271" t="inlineStr">
        <is>
          <t>KLN076</t>
        </is>
      </c>
      <c r="J355" s="272" t="n">
        <v>0.4805555555555556</v>
      </c>
      <c r="K355" s="286" t="n">
        <v>3262</v>
      </c>
      <c r="L355" s="384">
        <f>SUBTOTAL(9,K340:K355)</f>
        <v/>
      </c>
      <c r="M355" s="113" t="n"/>
      <c r="N355" s="113" t="n"/>
      <c r="O355" s="113" t="n"/>
      <c r="P355" s="243" t="n"/>
      <c r="Q355" s="113" t="n"/>
      <c r="R355" s="113" t="n"/>
    </row>
    <row r="356" ht="15.75" customHeight="1">
      <c r="A356" s="113" t="n"/>
      <c r="B356" s="146" t="n">
        <v>7</v>
      </c>
      <c r="C356" s="348" t="n">
        <v>45853</v>
      </c>
      <c r="D356" s="349" t="n">
        <v>1</v>
      </c>
      <c r="E356" s="258" t="inlineStr">
        <is>
          <t>HUERTAS</t>
        </is>
      </c>
      <c r="F356" s="258" t="inlineStr">
        <is>
          <t>ABONEROS</t>
        </is>
      </c>
      <c r="G356" s="258" t="n">
        <v>10</v>
      </c>
      <c r="H356" s="258" t="inlineStr">
        <is>
          <t>ANDRES PORRAS</t>
        </is>
      </c>
      <c r="I356" s="258" t="inlineStr">
        <is>
          <t>TLN249</t>
        </is>
      </c>
      <c r="J356" s="259" t="n">
        <v>0.8090277777777778</v>
      </c>
      <c r="K356" s="260" t="n">
        <v>3060</v>
      </c>
      <c r="L356" s="261" t="n"/>
      <c r="M356" s="146" t="inlineStr">
        <is>
          <t>BOGOTA</t>
        </is>
      </c>
      <c r="N356" s="113" t="n"/>
      <c r="O356" s="113" t="n"/>
      <c r="P356" s="243" t="n"/>
      <c r="Q356" s="113" t="n"/>
      <c r="R356" s="113" t="n"/>
    </row>
    <row r="357" ht="15.75" customHeight="1">
      <c r="A357" s="113" t="n"/>
      <c r="B357" s="146" t="n">
        <v>7</v>
      </c>
      <c r="C357" s="350" t="n">
        <v>45853</v>
      </c>
      <c r="D357" s="351" t="n">
        <v>2</v>
      </c>
      <c r="E357" s="264" t="inlineStr">
        <is>
          <t>HUERTAS</t>
        </is>
      </c>
      <c r="F357" s="264" t="inlineStr">
        <is>
          <t>ABONEROS</t>
        </is>
      </c>
      <c r="G357" s="264" t="n">
        <v>10</v>
      </c>
      <c r="H357" s="264" t="inlineStr">
        <is>
          <t>JEISON ECHEVARRIA</t>
        </is>
      </c>
      <c r="I357" s="264" t="inlineStr">
        <is>
          <t>SGG055</t>
        </is>
      </c>
      <c r="J357" s="265" t="n">
        <v>0.8673611111111111</v>
      </c>
      <c r="K357" s="266" t="n">
        <v>3240</v>
      </c>
      <c r="L357" s="267" t="n"/>
      <c r="M357" s="146" t="inlineStr">
        <is>
          <t>BOGOTA</t>
        </is>
      </c>
      <c r="N357" s="113" t="n"/>
      <c r="O357" s="113" t="n"/>
      <c r="P357" s="243" t="n"/>
      <c r="Q357" s="113" t="n"/>
      <c r="R357" s="113" t="n"/>
    </row>
    <row r="358" ht="15.75" customHeight="1">
      <c r="A358" s="113" t="n"/>
      <c r="B358" s="146" t="n">
        <v>7</v>
      </c>
      <c r="C358" s="350" t="n">
        <v>45853</v>
      </c>
      <c r="D358" s="351" t="n">
        <v>3</v>
      </c>
      <c r="E358" s="264" t="inlineStr">
        <is>
          <t>HUERTAS</t>
        </is>
      </c>
      <c r="F358" s="264" t="inlineStr">
        <is>
          <t>ABONEROS</t>
        </is>
      </c>
      <c r="G358" s="264" t="n">
        <v>10</v>
      </c>
      <c r="H358" s="264" t="inlineStr">
        <is>
          <t>JORGE HERNANDEZ</t>
        </is>
      </c>
      <c r="I358" s="264" t="inlineStr">
        <is>
          <t>SQW243</t>
        </is>
      </c>
      <c r="J358" s="265" t="n">
        <v>0.9055555555555556</v>
      </c>
      <c r="K358" s="266" t="n">
        <v>3240</v>
      </c>
      <c r="L358" s="267" t="n"/>
      <c r="M358" s="146" t="inlineStr">
        <is>
          <t>BOGOTA</t>
        </is>
      </c>
      <c r="N358" s="113" t="n"/>
      <c r="O358" s="113" t="n"/>
      <c r="P358" s="243" t="n"/>
      <c r="Q358" s="113" t="n"/>
      <c r="R358" s="113" t="n"/>
    </row>
    <row r="359" ht="15.75" customHeight="1">
      <c r="A359" s="113" t="n"/>
      <c r="B359" s="146" t="n">
        <v>7</v>
      </c>
      <c r="C359" s="350" t="n">
        <v>45853</v>
      </c>
      <c r="D359" s="351" t="n">
        <v>4</v>
      </c>
      <c r="E359" s="264" t="inlineStr">
        <is>
          <t>HUERTAS</t>
        </is>
      </c>
      <c r="F359" s="264" t="inlineStr">
        <is>
          <t>ABONEROS</t>
        </is>
      </c>
      <c r="G359" s="264" t="n">
        <v>10</v>
      </c>
      <c r="H359" s="264" t="inlineStr">
        <is>
          <t>MARCO DAZA</t>
        </is>
      </c>
      <c r="I359" s="264" t="inlineStr">
        <is>
          <t>ERL409</t>
        </is>
      </c>
      <c r="J359" s="265" t="n">
        <v>0.9541666666666667</v>
      </c>
      <c r="K359" s="266" t="n">
        <v>3240</v>
      </c>
      <c r="L359" s="267" t="n"/>
      <c r="M359" s="146" t="inlineStr">
        <is>
          <t>BOGOTA</t>
        </is>
      </c>
      <c r="N359" s="113" t="n"/>
      <c r="O359" s="113" t="n"/>
      <c r="P359" s="243" t="n"/>
      <c r="Q359" s="113" t="n"/>
      <c r="R359" s="113" t="n"/>
    </row>
    <row r="360" ht="15.75" customHeight="1">
      <c r="A360" s="113" t="n"/>
      <c r="B360" s="146" t="n">
        <v>7</v>
      </c>
      <c r="C360" s="350" t="n">
        <v>45853</v>
      </c>
      <c r="D360" s="351" t="n">
        <v>6</v>
      </c>
      <c r="E360" s="264" t="inlineStr">
        <is>
          <t>HUERTAS</t>
        </is>
      </c>
      <c r="F360" s="264" t="inlineStr">
        <is>
          <t>ABONEROS</t>
        </is>
      </c>
      <c r="G360" s="264" t="n">
        <v>10</v>
      </c>
      <c r="H360" s="264" t="inlineStr">
        <is>
          <t>FERNANDO SABOGAL</t>
        </is>
      </c>
      <c r="I360" s="264" t="inlineStr">
        <is>
          <t>CHL416</t>
        </is>
      </c>
      <c r="J360" s="265" t="n">
        <v>0.03055555555555555</v>
      </c>
      <c r="K360" s="266" t="n">
        <v>3240</v>
      </c>
      <c r="L360" s="267" t="n"/>
      <c r="M360" s="113" t="n"/>
      <c r="N360" s="113" t="n"/>
      <c r="O360" s="113" t="n"/>
      <c r="P360" s="243" t="n"/>
      <c r="Q360" s="113" t="n"/>
      <c r="R360" s="113" t="n"/>
    </row>
    <row r="361" ht="15.75" customHeight="1">
      <c r="A361" s="113" t="n"/>
      <c r="B361" s="146" t="n">
        <v>7</v>
      </c>
      <c r="C361" s="350" t="n">
        <v>45853</v>
      </c>
      <c r="D361" s="351" t="n">
        <v>7</v>
      </c>
      <c r="E361" s="264" t="inlineStr">
        <is>
          <t>HUERTAS</t>
        </is>
      </c>
      <c r="F361" s="264" t="inlineStr">
        <is>
          <t>ABONEROS</t>
        </is>
      </c>
      <c r="G361" s="264" t="n">
        <v>10</v>
      </c>
      <c r="H361" s="264" t="inlineStr">
        <is>
          <t xml:space="preserve">WILMER PIÑEROS </t>
        </is>
      </c>
      <c r="I361" s="264" t="inlineStr">
        <is>
          <t>KNL076</t>
        </is>
      </c>
      <c r="J361" s="265" t="n">
        <v>0.09652777777777778</v>
      </c>
      <c r="K361" s="266" t="n">
        <v>2592</v>
      </c>
      <c r="L361" s="267" t="n"/>
      <c r="M361" s="113" t="n"/>
      <c r="N361" s="113" t="n"/>
      <c r="O361" s="113" t="n"/>
      <c r="P361" s="243" t="n"/>
      <c r="Q361" s="113" t="n"/>
      <c r="R361" s="113" t="n"/>
    </row>
    <row r="362" ht="15.75" customHeight="1">
      <c r="A362" s="113" t="n"/>
      <c r="B362" s="146" t="n">
        <v>7</v>
      </c>
      <c r="C362" s="350" t="n">
        <v>45853</v>
      </c>
      <c r="D362" s="351" t="n">
        <v>8</v>
      </c>
      <c r="E362" s="264" t="inlineStr">
        <is>
          <t>HUERTAS</t>
        </is>
      </c>
      <c r="F362" s="264" t="inlineStr">
        <is>
          <t>ABONEROS</t>
        </is>
      </c>
      <c r="G362" s="264" t="n">
        <v>10</v>
      </c>
      <c r="H362" s="264" t="inlineStr">
        <is>
          <t>JAIRO CUBILLOS</t>
        </is>
      </c>
      <c r="I362" s="264" t="inlineStr">
        <is>
          <t>TLO884</t>
        </is>
      </c>
      <c r="J362" s="265" t="n">
        <v>0.1479166666666667</v>
      </c>
      <c r="K362" s="266" t="n">
        <v>3564</v>
      </c>
      <c r="L362" s="267" t="n"/>
      <c r="M362" s="113" t="n"/>
      <c r="N362" s="113" t="n"/>
      <c r="O362" s="113" t="n"/>
      <c r="P362" s="243" t="n"/>
      <c r="Q362" s="113" t="n"/>
      <c r="R362" s="113" t="n"/>
    </row>
    <row r="363" ht="15.75" customHeight="1">
      <c r="A363" s="113" t="n"/>
      <c r="B363" s="146" t="n">
        <v>7</v>
      </c>
      <c r="C363" s="350" t="n">
        <v>45853</v>
      </c>
      <c r="D363" s="351" t="n">
        <v>9</v>
      </c>
      <c r="E363" s="264" t="inlineStr">
        <is>
          <t>HUERTAS</t>
        </is>
      </c>
      <c r="F363" s="264" t="inlineStr">
        <is>
          <t>ABONEROS</t>
        </is>
      </c>
      <c r="G363" s="264" t="n">
        <v>10</v>
      </c>
      <c r="H363" s="264" t="inlineStr">
        <is>
          <t>DUMAR ANGARITA</t>
        </is>
      </c>
      <c r="I363" s="264" t="inlineStr">
        <is>
          <t>LQO745</t>
        </is>
      </c>
      <c r="J363" s="265" t="n">
        <v>0.2138888888888889</v>
      </c>
      <c r="K363" s="266" t="n">
        <v>3240</v>
      </c>
      <c r="L363" s="267" t="n"/>
      <c r="M363" s="113" t="n"/>
      <c r="N363" s="113" t="n"/>
      <c r="O363" s="113" t="n"/>
      <c r="P363" s="243" t="n"/>
      <c r="Q363" s="113" t="n"/>
      <c r="R363" s="113" t="n"/>
    </row>
    <row r="364" ht="15.75" customHeight="1">
      <c r="A364" s="113" t="n"/>
      <c r="B364" s="146" t="n">
        <v>7</v>
      </c>
      <c r="C364" s="350" t="n">
        <v>45853</v>
      </c>
      <c r="D364" s="351" t="n">
        <v>10</v>
      </c>
      <c r="E364" s="264" t="inlineStr">
        <is>
          <t>HUERTAS</t>
        </is>
      </c>
      <c r="F364" s="264" t="inlineStr">
        <is>
          <t>ABONEROS</t>
        </is>
      </c>
      <c r="G364" s="264" t="n">
        <v>10</v>
      </c>
      <c r="H364" s="264" t="inlineStr">
        <is>
          <t>FABIO ALDANA</t>
        </is>
      </c>
      <c r="I364" s="264" t="inlineStr">
        <is>
          <t>TLO882</t>
        </is>
      </c>
      <c r="J364" s="265" t="n">
        <v>0.2729166666666666</v>
      </c>
      <c r="K364" s="266" t="n">
        <v>3564</v>
      </c>
      <c r="L364" s="267" t="n"/>
      <c r="M364" s="113" t="n"/>
      <c r="N364" s="113" t="n"/>
      <c r="O364" s="113" t="n"/>
      <c r="P364" s="243" t="n"/>
      <c r="Q364" s="113" t="n"/>
      <c r="R364" s="113" t="n"/>
    </row>
    <row r="365" ht="15.75" customHeight="1">
      <c r="A365" s="113" t="n"/>
      <c r="B365" s="146" t="n">
        <v>7</v>
      </c>
      <c r="C365" s="350" t="n">
        <v>45853</v>
      </c>
      <c r="D365" s="351" t="n">
        <v>11</v>
      </c>
      <c r="E365" s="264" t="inlineStr">
        <is>
          <t xml:space="preserve">GARCERAS </t>
        </is>
      </c>
      <c r="F365" s="264" t="inlineStr">
        <is>
          <t>CARGUEROS</t>
        </is>
      </c>
      <c r="G365" s="264" t="n">
        <v>10</v>
      </c>
      <c r="H365" s="264" t="inlineStr">
        <is>
          <t>JOSE HERRERA</t>
        </is>
      </c>
      <c r="I365" s="264" t="inlineStr">
        <is>
          <t>EQY776</t>
        </is>
      </c>
      <c r="J365" s="265" t="n">
        <v>0.07291666666666667</v>
      </c>
      <c r="K365" s="266" t="n">
        <v>3067</v>
      </c>
      <c r="L365" s="267" t="n"/>
      <c r="M365" s="113" t="n"/>
      <c r="N365" s="113" t="n"/>
      <c r="O365" s="113" t="n"/>
      <c r="P365" s="243" t="n"/>
      <c r="Q365" s="113" t="n"/>
      <c r="R365" s="113" t="n"/>
    </row>
    <row r="366" ht="15.75" customHeight="1">
      <c r="A366" s="113" t="n"/>
      <c r="B366" s="146" t="n">
        <v>7</v>
      </c>
      <c r="C366" s="350" t="n">
        <v>45853</v>
      </c>
      <c r="D366" s="351" t="n">
        <v>12</v>
      </c>
      <c r="E366" s="264" t="inlineStr">
        <is>
          <t xml:space="preserve">GARCERAS </t>
        </is>
      </c>
      <c r="F366" s="264" t="inlineStr">
        <is>
          <t>CARGUEROS</t>
        </is>
      </c>
      <c r="G366" s="264" t="n">
        <v>10</v>
      </c>
      <c r="H366" s="264" t="inlineStr">
        <is>
          <t>FERNANDO OYUELA</t>
        </is>
      </c>
      <c r="I366" s="264" t="inlineStr">
        <is>
          <t>EQY778</t>
        </is>
      </c>
      <c r="J366" s="265" t="n">
        <v>0.1055555555555556</v>
      </c>
      <c r="K366" s="266" t="n">
        <v>3067</v>
      </c>
      <c r="L366" s="267" t="n"/>
      <c r="M366" s="113" t="n"/>
      <c r="N366" s="113" t="n"/>
      <c r="O366" s="113" t="n"/>
      <c r="P366" s="243" t="n"/>
      <c r="Q366" s="113" t="n"/>
      <c r="R366" s="113" t="n"/>
    </row>
    <row r="367" ht="15.75" customHeight="1">
      <c r="A367" s="113" t="n"/>
      <c r="B367" s="146" t="n">
        <v>7</v>
      </c>
      <c r="C367" s="350" t="n">
        <v>45853</v>
      </c>
      <c r="D367" s="351" t="n">
        <v>13</v>
      </c>
      <c r="E367" s="264" t="inlineStr">
        <is>
          <t xml:space="preserve">GARCERAS </t>
        </is>
      </c>
      <c r="F367" s="264" t="inlineStr">
        <is>
          <t>CARGUEROS</t>
        </is>
      </c>
      <c r="G367" s="264" t="n">
        <v>10</v>
      </c>
      <c r="H367" s="264" t="inlineStr">
        <is>
          <t>MANUEL QUITIAN</t>
        </is>
      </c>
      <c r="I367" s="264" t="inlineStr">
        <is>
          <t>KUS176</t>
        </is>
      </c>
      <c r="J367" s="265" t="n">
        <v>0.1388888888888889</v>
      </c>
      <c r="K367" s="266" t="n">
        <v>3067</v>
      </c>
      <c r="L367" s="267" t="n"/>
      <c r="M367" s="113" t="n"/>
      <c r="N367" s="113" t="n"/>
      <c r="O367" s="113" t="n"/>
      <c r="P367" s="243" t="n"/>
      <c r="Q367" s="113" t="n"/>
      <c r="R367" s="113" t="n"/>
    </row>
    <row r="368" ht="15.75" customHeight="1">
      <c r="A368" s="113" t="n"/>
      <c r="B368" s="146" t="n">
        <v>7</v>
      </c>
      <c r="C368" s="350" t="n">
        <v>45853</v>
      </c>
      <c r="D368" s="351" t="n">
        <v>14</v>
      </c>
      <c r="E368" s="264" t="inlineStr">
        <is>
          <t xml:space="preserve">GARCERAS </t>
        </is>
      </c>
      <c r="F368" s="264" t="inlineStr">
        <is>
          <t>CARGUEROS</t>
        </is>
      </c>
      <c r="G368" s="264" t="n">
        <v>10</v>
      </c>
      <c r="H368" s="264" t="inlineStr">
        <is>
          <t>JHON AGUIRRE</t>
        </is>
      </c>
      <c r="I368" s="264" t="inlineStr">
        <is>
          <t>EQY780</t>
        </is>
      </c>
      <c r="J368" s="265" t="n">
        <v>0.1875</v>
      </c>
      <c r="K368" s="266" t="n">
        <v>3035</v>
      </c>
      <c r="L368" s="267" t="n"/>
      <c r="M368" s="113" t="n"/>
      <c r="N368" s="113" t="n"/>
      <c r="O368" s="113" t="n"/>
      <c r="P368" s="243" t="n"/>
      <c r="Q368" s="113" t="n"/>
      <c r="R368" s="113" t="n"/>
    </row>
    <row r="369" ht="15.75" customHeight="1">
      <c r="A369" s="113" t="n"/>
      <c r="B369" s="146" t="n">
        <v>7</v>
      </c>
      <c r="C369" s="350" t="n">
        <v>45853</v>
      </c>
      <c r="D369" s="351" t="n">
        <v>14</v>
      </c>
      <c r="E369" s="264" t="inlineStr">
        <is>
          <t xml:space="preserve">GARCERAS </t>
        </is>
      </c>
      <c r="F369" s="264" t="inlineStr">
        <is>
          <t>CARGUEROS</t>
        </is>
      </c>
      <c r="G369" s="264" t="n">
        <v>10</v>
      </c>
      <c r="H369" s="264" t="inlineStr">
        <is>
          <t>FERNANDO OYUELA</t>
        </is>
      </c>
      <c r="I369" s="264" t="inlineStr">
        <is>
          <t>EQY778</t>
        </is>
      </c>
      <c r="J369" s="265" t="n">
        <v>0.34375</v>
      </c>
      <c r="K369" s="266" t="n">
        <v>3035</v>
      </c>
      <c r="L369" s="267" t="n"/>
      <c r="M369" s="113" t="n"/>
      <c r="N369" s="113" t="n"/>
      <c r="O369" s="113" t="n"/>
      <c r="P369" s="243" t="n"/>
      <c r="Q369" s="113" t="n"/>
      <c r="R369" s="113" t="n"/>
    </row>
    <row r="370" ht="15.75" customHeight="1">
      <c r="A370" s="113" t="n"/>
      <c r="B370" s="146" t="n">
        <v>7</v>
      </c>
      <c r="C370" s="350" t="n">
        <v>45853</v>
      </c>
      <c r="D370" s="351" t="n">
        <v>15</v>
      </c>
      <c r="E370" s="264" t="inlineStr">
        <is>
          <t xml:space="preserve">GARCERAS </t>
        </is>
      </c>
      <c r="F370" s="264" t="inlineStr">
        <is>
          <t>CARGUEROS</t>
        </is>
      </c>
      <c r="G370" s="264" t="n">
        <v>10</v>
      </c>
      <c r="H370" s="264" t="inlineStr">
        <is>
          <t>MANUEL QUITIAN</t>
        </is>
      </c>
      <c r="I370" s="264" t="inlineStr">
        <is>
          <t>KUS176</t>
        </is>
      </c>
      <c r="J370" s="265" t="n">
        <v>0.3819444444444444</v>
      </c>
      <c r="K370" s="266" t="n">
        <v>3035</v>
      </c>
      <c r="L370" s="267" t="n"/>
      <c r="M370" s="113" t="n"/>
      <c r="N370" s="113" t="n"/>
      <c r="O370" s="113" t="n"/>
      <c r="P370" s="243" t="n"/>
      <c r="Q370" s="113" t="n"/>
      <c r="R370" s="113" t="n"/>
    </row>
    <row r="371" ht="15.75" customHeight="1">
      <c r="A371" s="113" t="n"/>
      <c r="B371" s="146" t="n">
        <v>7</v>
      </c>
      <c r="C371" s="350" t="n">
        <v>45853</v>
      </c>
      <c r="D371" s="351" t="n">
        <v>16</v>
      </c>
      <c r="E371" s="264" t="inlineStr">
        <is>
          <t xml:space="preserve">GARCERAS </t>
        </is>
      </c>
      <c r="F371" s="264" t="inlineStr">
        <is>
          <t>CARGUEROS</t>
        </is>
      </c>
      <c r="G371" s="264" t="n">
        <v>10</v>
      </c>
      <c r="H371" s="264" t="inlineStr">
        <is>
          <t>JHON AGUIRRE</t>
        </is>
      </c>
      <c r="I371" s="264" t="inlineStr">
        <is>
          <t>EQY780</t>
        </is>
      </c>
      <c r="J371" s="265" t="n">
        <v>0.4131944444444444</v>
      </c>
      <c r="K371" s="266" t="n">
        <v>3035</v>
      </c>
      <c r="L371" s="268" t="n"/>
      <c r="M371" s="113" t="n"/>
      <c r="N371" s="113" t="n"/>
      <c r="O371" s="113" t="n"/>
      <c r="P371" s="243" t="n"/>
      <c r="Q371" s="113" t="n"/>
      <c r="R371" s="113" t="n"/>
    </row>
    <row r="372" ht="15.75" customHeight="1">
      <c r="A372" s="113" t="n"/>
      <c r="B372" s="146" t="n">
        <v>7</v>
      </c>
      <c r="C372" s="356" t="n">
        <v>45853</v>
      </c>
      <c r="D372" s="357" t="n">
        <v>17</v>
      </c>
      <c r="E372" s="271" t="inlineStr">
        <is>
          <t xml:space="preserve">GARCERAS </t>
        </is>
      </c>
      <c r="F372" s="271" t="inlineStr">
        <is>
          <t>CARGUEROS</t>
        </is>
      </c>
      <c r="G372" s="271" t="n">
        <v>10</v>
      </c>
      <c r="H372" s="271" t="inlineStr">
        <is>
          <t xml:space="preserve">WILMER PIÑEROS </t>
        </is>
      </c>
      <c r="I372" s="271" t="inlineStr">
        <is>
          <t>QLO076</t>
        </is>
      </c>
      <c r="J372" s="272" t="n">
        <v>0.4583333333333333</v>
      </c>
      <c r="K372" s="286" t="n">
        <v>3035</v>
      </c>
      <c r="L372" s="384">
        <f>SUBTOTAL(9,K356:K372)</f>
        <v/>
      </c>
      <c r="M372" s="113" t="n"/>
      <c r="N372" s="113" t="n"/>
      <c r="O372" s="113" t="n"/>
      <c r="P372" s="243" t="n"/>
      <c r="Q372" s="113" t="n"/>
      <c r="R372" s="113" t="n"/>
    </row>
    <row r="373" ht="15.75" customHeight="1">
      <c r="A373" s="113" t="n"/>
      <c r="B373" s="146" t="n">
        <v>7</v>
      </c>
      <c r="C373" s="348" t="n">
        <v>45854</v>
      </c>
      <c r="D373" s="349" t="n">
        <v>1</v>
      </c>
      <c r="E373" s="258" t="inlineStr">
        <is>
          <t>HUERTAS</t>
        </is>
      </c>
      <c r="F373" s="258" t="inlineStr">
        <is>
          <t>ABONEROS</t>
        </is>
      </c>
      <c r="G373" s="258" t="n">
        <v>10</v>
      </c>
      <c r="H373" s="258" t="inlineStr">
        <is>
          <t>ANDRES PORRAS</t>
        </is>
      </c>
      <c r="I373" s="258" t="inlineStr">
        <is>
          <t>TLN249</t>
        </is>
      </c>
      <c r="J373" s="259" t="n">
        <v>0.8041666666666667</v>
      </c>
      <c r="K373" s="260" t="n">
        <v>3300</v>
      </c>
      <c r="L373" s="261" t="n"/>
      <c r="M373" s="113" t="n"/>
      <c r="N373" s="113" t="n"/>
      <c r="O373" s="113" t="n"/>
      <c r="P373" s="243" t="n"/>
      <c r="Q373" s="113" t="n"/>
      <c r="R373" s="113" t="n"/>
    </row>
    <row r="374" ht="15.75" customHeight="1">
      <c r="A374" s="113" t="n"/>
      <c r="B374" s="146" t="n">
        <v>7</v>
      </c>
      <c r="C374" s="350" t="n">
        <v>45854</v>
      </c>
      <c r="D374" s="351" t="n">
        <v>2</v>
      </c>
      <c r="E374" s="264" t="inlineStr">
        <is>
          <t>HUERTAS</t>
        </is>
      </c>
      <c r="F374" s="264" t="inlineStr">
        <is>
          <t>ABONEROS</t>
        </is>
      </c>
      <c r="G374" s="264" t="n">
        <v>10</v>
      </c>
      <c r="H374" s="264" t="inlineStr">
        <is>
          <t>PEDRO BARRETO</t>
        </is>
      </c>
      <c r="I374" s="264" t="inlineStr">
        <is>
          <t>SKG140</t>
        </is>
      </c>
      <c r="J374" s="265" t="n">
        <v>0.8583333333333333</v>
      </c>
      <c r="K374" s="266" t="n">
        <v>3240</v>
      </c>
      <c r="L374" s="267" t="n"/>
      <c r="M374" s="113" t="n"/>
      <c r="N374" s="113" t="n"/>
      <c r="O374" s="113" t="n"/>
      <c r="P374" s="243" t="n"/>
      <c r="Q374" s="113" t="n"/>
      <c r="R374" s="113" t="n"/>
    </row>
    <row r="375" ht="15.75" customHeight="1">
      <c r="A375" s="113" t="n"/>
      <c r="B375" s="146" t="n">
        <v>7</v>
      </c>
      <c r="C375" s="350" t="n">
        <v>45854</v>
      </c>
      <c r="D375" s="351" t="n">
        <v>3</v>
      </c>
      <c r="E375" s="264" t="inlineStr">
        <is>
          <t>HUERTAS</t>
        </is>
      </c>
      <c r="F375" s="264" t="inlineStr">
        <is>
          <t>ABONEROS</t>
        </is>
      </c>
      <c r="G375" s="264" t="n">
        <v>10</v>
      </c>
      <c r="H375" s="264" t="inlineStr">
        <is>
          <t>MERVIN CORTEZ</t>
        </is>
      </c>
      <c r="I375" s="264" t="inlineStr">
        <is>
          <t>TLN180</t>
        </is>
      </c>
      <c r="J375" s="265" t="n">
        <v>0.9118055555555555</v>
      </c>
      <c r="K375" s="266" t="n">
        <v>3212</v>
      </c>
      <c r="L375" s="267" t="n"/>
      <c r="M375" s="113" t="n"/>
      <c r="N375" s="113" t="n"/>
      <c r="O375" s="113" t="n"/>
      <c r="P375" s="243" t="n"/>
      <c r="Q375" s="113" t="n"/>
      <c r="R375" s="113" t="n"/>
    </row>
    <row r="376" ht="15.75" customHeight="1">
      <c r="A376" s="113" t="n"/>
      <c r="B376" s="146" t="n">
        <v>7</v>
      </c>
      <c r="C376" s="350" t="n">
        <v>45854</v>
      </c>
      <c r="D376" s="351" t="n">
        <v>4</v>
      </c>
      <c r="E376" s="264" t="inlineStr">
        <is>
          <t xml:space="preserve">GARCERAS </t>
        </is>
      </c>
      <c r="F376" s="264" t="inlineStr">
        <is>
          <t>CARGUEROS</t>
        </is>
      </c>
      <c r="G376" s="264" t="n">
        <v>13</v>
      </c>
      <c r="H376" s="264" t="inlineStr">
        <is>
          <t xml:space="preserve">WILMER PIÑEROS </t>
        </is>
      </c>
      <c r="I376" s="264" t="inlineStr">
        <is>
          <t>KLL076</t>
        </is>
      </c>
      <c r="J376" s="265" t="n">
        <v>0.9444444444444444</v>
      </c>
      <c r="K376" s="266" t="n">
        <v>2951</v>
      </c>
      <c r="L376" s="267" t="n"/>
      <c r="M376" s="113" t="n"/>
      <c r="N376" s="113" t="n"/>
      <c r="O376" s="113" t="n"/>
      <c r="P376" s="243" t="n"/>
      <c r="Q376" s="113" t="n"/>
      <c r="R376" s="113" t="n"/>
    </row>
    <row r="377" ht="15.75" customHeight="1">
      <c r="A377" s="113" t="n"/>
      <c r="B377" s="146" t="n">
        <v>7</v>
      </c>
      <c r="C377" s="350" t="n">
        <v>45854</v>
      </c>
      <c r="D377" s="351" t="n">
        <v>5</v>
      </c>
      <c r="E377" s="264" t="inlineStr">
        <is>
          <t xml:space="preserve">GARCERAS </t>
        </is>
      </c>
      <c r="F377" s="264" t="inlineStr">
        <is>
          <t>CARGUEROS</t>
        </is>
      </c>
      <c r="G377" s="264" t="n">
        <v>13</v>
      </c>
      <c r="H377" s="264" t="inlineStr">
        <is>
          <t>EDWIN ROJAS</t>
        </is>
      </c>
      <c r="I377" s="264" t="inlineStr">
        <is>
          <t>TLO248</t>
        </is>
      </c>
      <c r="J377" s="265" t="n">
        <v>0.96875</v>
      </c>
      <c r="K377" s="266" t="n">
        <v>2951</v>
      </c>
      <c r="L377" s="267" t="n"/>
      <c r="M377" s="113" t="n"/>
      <c r="N377" s="113" t="n"/>
      <c r="O377" s="113" t="n"/>
      <c r="P377" s="243" t="n"/>
      <c r="Q377" s="113" t="n"/>
      <c r="R377" s="113" t="n"/>
    </row>
    <row r="378" ht="15.75" customHeight="1">
      <c r="A378" s="113" t="n"/>
      <c r="B378" s="146" t="n">
        <v>7</v>
      </c>
      <c r="C378" s="350" t="n">
        <v>45854</v>
      </c>
      <c r="D378" s="351" t="n">
        <v>6</v>
      </c>
      <c r="E378" s="264" t="inlineStr">
        <is>
          <t xml:space="preserve">GARCERAS </t>
        </is>
      </c>
      <c r="F378" s="264" t="inlineStr">
        <is>
          <t>CARGUEROS</t>
        </is>
      </c>
      <c r="G378" s="264" t="n">
        <v>13</v>
      </c>
      <c r="H378" s="264" t="inlineStr">
        <is>
          <t>DIEGO NIÑO</t>
        </is>
      </c>
      <c r="I378" s="264" t="inlineStr">
        <is>
          <t>GZZ673</t>
        </is>
      </c>
      <c r="J378" s="265" t="n">
        <v>0</v>
      </c>
      <c r="K378" s="266" t="n">
        <v>2951</v>
      </c>
      <c r="L378" s="267" t="n"/>
      <c r="M378" s="113" t="n"/>
      <c r="N378" s="113" t="n"/>
      <c r="O378" s="113" t="n"/>
      <c r="P378" s="243" t="n"/>
      <c r="Q378" s="113" t="n"/>
      <c r="R378" s="113" t="n"/>
    </row>
    <row r="379" ht="15.75" customHeight="1">
      <c r="A379" s="113" t="n"/>
      <c r="B379" s="146" t="n">
        <v>7</v>
      </c>
      <c r="C379" s="350" t="n">
        <v>45854</v>
      </c>
      <c r="D379" s="351" t="n">
        <v>7</v>
      </c>
      <c r="E379" s="264" t="inlineStr">
        <is>
          <t xml:space="preserve">GARCERAS </t>
        </is>
      </c>
      <c r="F379" s="264" t="inlineStr">
        <is>
          <t>CARGUEROS</t>
        </is>
      </c>
      <c r="G379" s="264" t="n">
        <v>13</v>
      </c>
      <c r="H379" s="264" t="inlineStr">
        <is>
          <t>YAIR RIVEROS</t>
        </is>
      </c>
      <c r="I379" s="264" t="inlineStr">
        <is>
          <t>TLN181</t>
        </is>
      </c>
      <c r="J379" s="265" t="n">
        <v>0.02430555555555556</v>
      </c>
      <c r="K379" s="266" t="n">
        <v>2951</v>
      </c>
      <c r="L379" s="267" t="n"/>
      <c r="M379" s="113" t="n"/>
      <c r="N379" s="113" t="n"/>
      <c r="O379" s="113" t="n"/>
      <c r="P379" s="243" t="n"/>
      <c r="Q379" s="113" t="n"/>
      <c r="R379" s="113" t="n"/>
    </row>
    <row r="380" ht="15.75" customHeight="1">
      <c r="A380" s="113" t="n"/>
      <c r="B380" s="146" t="n">
        <v>7</v>
      </c>
      <c r="C380" s="350" t="n">
        <v>45854</v>
      </c>
      <c r="D380" s="351" t="n">
        <v>8</v>
      </c>
      <c r="E380" s="264" t="inlineStr">
        <is>
          <t xml:space="preserve">GARCERAS </t>
        </is>
      </c>
      <c r="F380" s="264" t="inlineStr">
        <is>
          <t>CARGUEROS</t>
        </is>
      </c>
      <c r="G380" s="264" t="n">
        <v>13</v>
      </c>
      <c r="H380" s="264" t="inlineStr">
        <is>
          <t xml:space="preserve">ALBERTO LOPEZ </t>
        </is>
      </c>
      <c r="I380" s="264" t="inlineStr">
        <is>
          <t>EQY777</t>
        </is>
      </c>
      <c r="J380" s="265" t="n">
        <v>0.05902777777777778</v>
      </c>
      <c r="K380" s="266" t="n">
        <v>2975</v>
      </c>
      <c r="L380" s="267" t="n"/>
      <c r="M380" s="113" t="n"/>
      <c r="N380" s="113" t="n"/>
      <c r="O380" s="113" t="n"/>
      <c r="P380" s="243" t="n"/>
      <c r="Q380" s="113" t="n"/>
      <c r="R380" s="113" t="n"/>
    </row>
    <row r="381" ht="15.75" customHeight="1">
      <c r="A381" s="113" t="n"/>
      <c r="B381" s="146" t="n">
        <v>7</v>
      </c>
      <c r="C381" s="350" t="n">
        <v>45854</v>
      </c>
      <c r="D381" s="351" t="n">
        <v>9</v>
      </c>
      <c r="E381" s="264" t="inlineStr">
        <is>
          <t xml:space="preserve">GARCERAS </t>
        </is>
      </c>
      <c r="F381" s="264" t="inlineStr">
        <is>
          <t>CARGUEROS</t>
        </is>
      </c>
      <c r="G381" s="264" t="n">
        <v>13</v>
      </c>
      <c r="H381" s="264" t="inlineStr">
        <is>
          <t>ALEX GOMEZ</t>
        </is>
      </c>
      <c r="I381" s="264" t="inlineStr">
        <is>
          <t>TLN181</t>
        </is>
      </c>
      <c r="J381" s="265" t="n">
        <v>0.1041666666666667</v>
      </c>
      <c r="K381" s="266" t="n">
        <v>3179</v>
      </c>
      <c r="L381" s="267" t="n"/>
      <c r="M381" s="113" t="n"/>
      <c r="N381" s="113" t="n"/>
      <c r="O381" s="113" t="n"/>
      <c r="P381" s="243" t="n"/>
      <c r="Q381" s="113" t="n"/>
      <c r="R381" s="113" t="n"/>
    </row>
    <row r="382" ht="15.75" customHeight="1">
      <c r="A382" s="113" t="n"/>
      <c r="B382" s="146" t="n">
        <v>7</v>
      </c>
      <c r="C382" s="350" t="n">
        <v>45854</v>
      </c>
      <c r="D382" s="351" t="n">
        <v>10</v>
      </c>
      <c r="E382" s="264" t="inlineStr">
        <is>
          <t xml:space="preserve">GARCERAS </t>
        </is>
      </c>
      <c r="F382" s="264" t="inlineStr">
        <is>
          <t>CARGUEROS</t>
        </is>
      </c>
      <c r="G382" s="264" t="n">
        <v>13</v>
      </c>
      <c r="H382" s="264" t="inlineStr">
        <is>
          <t xml:space="preserve">JAIRO CUBILLOS </t>
        </is>
      </c>
      <c r="I382" s="264" t="inlineStr">
        <is>
          <t>TLO884</t>
        </is>
      </c>
      <c r="J382" s="265" t="n">
        <v>0.1388888888888889</v>
      </c>
      <c r="K382" s="266" t="n">
        <v>3179</v>
      </c>
      <c r="L382" s="267" t="n"/>
      <c r="M382" s="113" t="n"/>
      <c r="N382" s="113" t="n"/>
      <c r="O382" s="113" t="n"/>
      <c r="P382" s="243" t="n"/>
      <c r="Q382" s="113" t="n"/>
      <c r="R382" s="113" t="n"/>
    </row>
    <row r="383" ht="15.75" customHeight="1">
      <c r="A383" s="113" t="n"/>
      <c r="B383" s="146" t="n">
        <v>7</v>
      </c>
      <c r="C383" s="350" t="n">
        <v>45854</v>
      </c>
      <c r="D383" s="351" t="n">
        <v>11</v>
      </c>
      <c r="E383" s="264" t="inlineStr">
        <is>
          <t xml:space="preserve">GARCERAS </t>
        </is>
      </c>
      <c r="F383" s="264" t="inlineStr">
        <is>
          <t>CARGUEROS</t>
        </is>
      </c>
      <c r="G383" s="264" t="n">
        <v>13</v>
      </c>
      <c r="H383" s="264" t="inlineStr">
        <is>
          <t>HENRY ROMERO</t>
        </is>
      </c>
      <c r="I383" s="264" t="inlineStr">
        <is>
          <t>EQY781</t>
        </is>
      </c>
      <c r="J383" s="265" t="n">
        <v>0.1701388888888889</v>
      </c>
      <c r="K383" s="266" t="n">
        <v>3179</v>
      </c>
      <c r="L383" s="267" t="n"/>
      <c r="M383" s="113" t="n"/>
      <c r="N383" s="113" t="n"/>
      <c r="O383" s="113" t="n"/>
      <c r="P383" s="243" t="n"/>
      <c r="Q383" s="113" t="n"/>
      <c r="R383" s="113" t="n"/>
    </row>
    <row r="384" ht="15.75" customHeight="1">
      <c r="A384" s="113" t="n"/>
      <c r="B384" s="146" t="n">
        <v>7</v>
      </c>
      <c r="C384" s="350" t="n">
        <v>45854</v>
      </c>
      <c r="D384" s="351" t="n">
        <v>12</v>
      </c>
      <c r="E384" s="264" t="inlineStr">
        <is>
          <t xml:space="preserve">GARCERAS </t>
        </is>
      </c>
      <c r="F384" s="264" t="inlineStr">
        <is>
          <t>CARGUEROS</t>
        </is>
      </c>
      <c r="G384" s="264" t="n">
        <v>13</v>
      </c>
      <c r="H384" s="264" t="inlineStr">
        <is>
          <t>EDWIN ROJAS</t>
        </is>
      </c>
      <c r="I384" s="264" t="inlineStr">
        <is>
          <t>TLN248</t>
        </is>
      </c>
      <c r="J384" s="265" t="n">
        <v>0.25</v>
      </c>
      <c r="K384" s="266" t="n">
        <v>3179</v>
      </c>
      <c r="L384" s="267" t="n"/>
      <c r="M384" s="113" t="n"/>
      <c r="N384" s="113" t="n"/>
      <c r="O384" s="113" t="n"/>
      <c r="P384" s="243" t="n"/>
      <c r="Q384" s="113" t="n"/>
      <c r="R384" s="113" t="n"/>
    </row>
    <row r="385" ht="15.75" customHeight="1">
      <c r="A385" s="113" t="n"/>
      <c r="B385" s="146" t="n">
        <v>7</v>
      </c>
      <c r="C385" s="350" t="n">
        <v>45854</v>
      </c>
      <c r="D385" s="351" t="n">
        <v>13</v>
      </c>
      <c r="E385" s="264" t="inlineStr">
        <is>
          <t xml:space="preserve">GARCERAS </t>
        </is>
      </c>
      <c r="F385" s="264" t="inlineStr">
        <is>
          <t>CARGUEROS</t>
        </is>
      </c>
      <c r="G385" s="264" t="n">
        <v>13</v>
      </c>
      <c r="H385" s="264" t="inlineStr">
        <is>
          <t>DIEGO NIÑO</t>
        </is>
      </c>
      <c r="I385" s="264" t="inlineStr">
        <is>
          <t>GZZ673</t>
        </is>
      </c>
      <c r="J385" s="265" t="n">
        <v>0.3125</v>
      </c>
      <c r="K385" s="266" t="n">
        <v>3400</v>
      </c>
      <c r="L385" s="267" t="n"/>
      <c r="M385" s="113" t="n"/>
      <c r="N385" s="113" t="n"/>
      <c r="O385" s="113" t="n"/>
      <c r="P385" s="243" t="n"/>
      <c r="Q385" s="113" t="n"/>
      <c r="R385" s="113" t="n"/>
    </row>
    <row r="386" ht="15.75" customHeight="1">
      <c r="A386" s="113" t="n"/>
      <c r="B386" s="146" t="n">
        <v>7</v>
      </c>
      <c r="C386" s="350" t="n">
        <v>45854</v>
      </c>
      <c r="D386" s="351" t="n">
        <v>14</v>
      </c>
      <c r="E386" s="264" t="inlineStr">
        <is>
          <t xml:space="preserve">GARCERAS </t>
        </is>
      </c>
      <c r="F386" s="264" t="inlineStr">
        <is>
          <t>CARGUEROS</t>
        </is>
      </c>
      <c r="G386" s="264" t="n">
        <v>13</v>
      </c>
      <c r="H386" s="264" t="inlineStr">
        <is>
          <t xml:space="preserve">ALBERTO LOPEZ </t>
        </is>
      </c>
      <c r="I386" s="264" t="inlineStr">
        <is>
          <t>EQY777</t>
        </is>
      </c>
      <c r="J386" s="265" t="n">
        <v>0.3680555555555556</v>
      </c>
      <c r="K386" s="266" t="n">
        <v>3148</v>
      </c>
      <c r="L386" s="267" t="n"/>
      <c r="M386" s="113" t="n"/>
      <c r="N386" s="113" t="n"/>
      <c r="O386" s="113" t="n"/>
      <c r="P386" s="243" t="n"/>
      <c r="Q386" s="113" t="n"/>
      <c r="R386" s="113" t="n"/>
    </row>
    <row r="387" ht="15.75" customHeight="1">
      <c r="A387" s="113" t="n"/>
      <c r="B387" s="146" t="n">
        <v>7</v>
      </c>
      <c r="C387" s="350" t="n">
        <v>45854</v>
      </c>
      <c r="D387" s="351" t="n">
        <v>15</v>
      </c>
      <c r="E387" s="264" t="inlineStr">
        <is>
          <t xml:space="preserve">GARCERAS </t>
        </is>
      </c>
      <c r="F387" s="264" t="inlineStr">
        <is>
          <t>CARGUEROS</t>
        </is>
      </c>
      <c r="G387" s="264" t="n">
        <v>13</v>
      </c>
      <c r="H387" s="264" t="inlineStr">
        <is>
          <t>HENRY ROMERO</t>
        </is>
      </c>
      <c r="I387" s="264" t="inlineStr">
        <is>
          <t>EQY781</t>
        </is>
      </c>
      <c r="J387" s="265" t="n">
        <v>0.3958333333333333</v>
      </c>
      <c r="K387" s="266" t="n">
        <v>3148</v>
      </c>
      <c r="L387" s="268" t="n"/>
      <c r="M387" s="113" t="n"/>
      <c r="N387" s="113" t="n"/>
      <c r="O387" s="113" t="n"/>
      <c r="P387" s="243" t="n"/>
      <c r="Q387" s="113" t="n"/>
      <c r="R387" s="113" t="n"/>
    </row>
    <row r="388" ht="15.75" customHeight="1">
      <c r="A388" s="113" t="n"/>
      <c r="B388" s="146" t="n">
        <v>7</v>
      </c>
      <c r="C388" s="356" t="n">
        <v>45854</v>
      </c>
      <c r="D388" s="357" t="n">
        <v>16</v>
      </c>
      <c r="E388" s="271" t="inlineStr">
        <is>
          <t xml:space="preserve">GARCERAS </t>
        </is>
      </c>
      <c r="F388" s="271" t="inlineStr">
        <is>
          <t>CARGUEROS</t>
        </is>
      </c>
      <c r="G388" s="271" t="n">
        <v>13</v>
      </c>
      <c r="H388" s="271" t="inlineStr">
        <is>
          <t>JHON AGUIRRE</t>
        </is>
      </c>
      <c r="I388" s="271" t="inlineStr">
        <is>
          <t>EQY780</t>
        </is>
      </c>
      <c r="J388" s="272" t="n">
        <v>0.4319444444444445</v>
      </c>
      <c r="K388" s="286" t="n">
        <v>2680</v>
      </c>
      <c r="L388" s="384">
        <f>SUBTOTAL(9,K373:K388)</f>
        <v/>
      </c>
      <c r="M388" s="113" t="n"/>
      <c r="N388" s="113" t="n"/>
      <c r="O388" s="113" t="n"/>
      <c r="P388" s="243" t="n"/>
      <c r="Q388" s="113" t="n"/>
      <c r="R388" s="113" t="n"/>
    </row>
    <row r="389" ht="15.75" customHeight="1">
      <c r="A389" s="113" t="n"/>
      <c r="B389" s="146" t="n">
        <v>7</v>
      </c>
      <c r="C389" s="348" t="n">
        <v>45855</v>
      </c>
      <c r="D389" s="349" t="n">
        <v>1</v>
      </c>
      <c r="E389" s="258" t="inlineStr">
        <is>
          <t>HUERTAS</t>
        </is>
      </c>
      <c r="F389" s="258" t="inlineStr">
        <is>
          <t>ABONEROS</t>
        </is>
      </c>
      <c r="G389" s="258" t="n">
        <v>10</v>
      </c>
      <c r="H389" s="258" t="inlineStr">
        <is>
          <t>ELIGIO RODRIGUEZ</t>
        </is>
      </c>
      <c r="I389" s="258" t="inlineStr">
        <is>
          <t>ASF125</t>
        </is>
      </c>
      <c r="J389" s="259" t="n">
        <v>0.8541666666666666</v>
      </c>
      <c r="K389" s="260" t="n">
        <v>2662</v>
      </c>
      <c r="L389" s="261" t="n"/>
      <c r="M389" s="113" t="n"/>
      <c r="N389" s="113" t="n"/>
      <c r="O389" s="113" t="n"/>
      <c r="P389" s="243" t="n"/>
      <c r="Q389" s="113" t="n"/>
      <c r="R389" s="113" t="n"/>
    </row>
    <row r="390" ht="15.75" customHeight="1">
      <c r="A390" s="113" t="n"/>
      <c r="B390" s="146" t="n">
        <v>7</v>
      </c>
      <c r="C390" s="350" t="n">
        <v>45855</v>
      </c>
      <c r="D390" s="351" t="n">
        <v>2</v>
      </c>
      <c r="E390" s="264" t="inlineStr">
        <is>
          <t>HUERTAS</t>
        </is>
      </c>
      <c r="F390" s="264" t="inlineStr">
        <is>
          <t>ABONEROS</t>
        </is>
      </c>
      <c r="G390" s="264" t="n">
        <v>10</v>
      </c>
      <c r="H390" s="264" t="inlineStr">
        <is>
          <t>GERMAN QUITIAN</t>
        </is>
      </c>
      <c r="I390" s="264" t="inlineStr">
        <is>
          <t>OEO033</t>
        </is>
      </c>
      <c r="J390" s="265" t="n">
        <v>0.9027777777777778</v>
      </c>
      <c r="K390" s="266" t="n">
        <v>2662</v>
      </c>
      <c r="L390" s="267" t="n"/>
      <c r="M390" s="113" t="n"/>
      <c r="N390" s="113" t="n"/>
      <c r="O390" s="113" t="n"/>
      <c r="P390" s="243" t="n"/>
      <c r="Q390" s="113" t="n"/>
      <c r="R390" s="113" t="n"/>
    </row>
    <row r="391" ht="15.75" customHeight="1">
      <c r="A391" s="113" t="n"/>
      <c r="B391" s="146" t="n">
        <v>7</v>
      </c>
      <c r="C391" s="350" t="n">
        <v>45855</v>
      </c>
      <c r="D391" s="351" t="n">
        <v>3</v>
      </c>
      <c r="E391" s="264" t="inlineStr">
        <is>
          <t>HUERTAS</t>
        </is>
      </c>
      <c r="F391" s="264" t="inlineStr">
        <is>
          <t>ABONEROS</t>
        </is>
      </c>
      <c r="G391" s="264" t="n">
        <v>10</v>
      </c>
      <c r="H391" s="264" t="inlineStr">
        <is>
          <t>JEISON ECHEVARRIA</t>
        </is>
      </c>
      <c r="I391" s="264" t="inlineStr">
        <is>
          <t>SGG055</t>
        </is>
      </c>
      <c r="J391" s="265" t="n">
        <v>0.9416666666666667</v>
      </c>
      <c r="K391" s="266" t="n">
        <v>1792</v>
      </c>
      <c r="L391" s="267" t="n"/>
      <c r="M391" s="113" t="n"/>
      <c r="N391" s="113" t="n"/>
      <c r="O391" s="113" t="n"/>
      <c r="P391" s="243" t="n"/>
      <c r="Q391" s="113" t="n"/>
      <c r="R391" s="113" t="n"/>
    </row>
    <row r="392" ht="15.75" customHeight="1">
      <c r="A392" s="113" t="n"/>
      <c r="B392" s="146" t="n">
        <v>7</v>
      </c>
      <c r="C392" s="350" t="n">
        <v>45855</v>
      </c>
      <c r="D392" s="351" t="n">
        <v>4</v>
      </c>
      <c r="E392" s="264" t="inlineStr">
        <is>
          <t xml:space="preserve">GARCERAS </t>
        </is>
      </c>
      <c r="F392" s="264" t="inlineStr">
        <is>
          <t>CARGUEROS</t>
        </is>
      </c>
      <c r="G392" s="264" t="n">
        <v>12</v>
      </c>
      <c r="H392" s="264" t="inlineStr">
        <is>
          <t xml:space="preserve">JOSE SOLER </t>
        </is>
      </c>
      <c r="I392" s="264" t="inlineStr">
        <is>
          <t>EQY776</t>
        </is>
      </c>
      <c r="J392" s="265" t="n">
        <v>0.95</v>
      </c>
      <c r="K392" s="266" t="n">
        <v>3059</v>
      </c>
      <c r="L392" s="267" t="n"/>
      <c r="M392" s="113" t="n"/>
      <c r="N392" s="113" t="n"/>
      <c r="O392" s="113" t="n"/>
      <c r="P392" s="243" t="n"/>
      <c r="Q392" s="113" t="n"/>
      <c r="R392" s="113" t="n"/>
    </row>
    <row r="393" ht="15.75" customHeight="1">
      <c r="A393" s="113" t="n"/>
      <c r="B393" s="146" t="n">
        <v>7</v>
      </c>
      <c r="C393" s="350" t="n">
        <v>45855</v>
      </c>
      <c r="D393" s="351" t="n">
        <v>5</v>
      </c>
      <c r="E393" s="264" t="inlineStr">
        <is>
          <t xml:space="preserve">GARCERAS </t>
        </is>
      </c>
      <c r="F393" s="264" t="inlineStr">
        <is>
          <t>CARGUEROS</t>
        </is>
      </c>
      <c r="G393" s="264" t="n">
        <v>12</v>
      </c>
      <c r="H393" s="264" t="inlineStr">
        <is>
          <t>FERNANDO OYUELA</t>
        </is>
      </c>
      <c r="I393" s="264" t="inlineStr">
        <is>
          <t>EQY778</t>
        </is>
      </c>
      <c r="J393" s="265" t="n">
        <v>0.9861111111111112</v>
      </c>
      <c r="K393" s="266" t="n">
        <v>3059</v>
      </c>
      <c r="L393" s="267" t="n"/>
      <c r="M393" s="113" t="n"/>
      <c r="N393" s="113" t="n"/>
      <c r="O393" s="113" t="n"/>
      <c r="P393" s="243" t="n"/>
      <c r="Q393" s="113" t="n"/>
      <c r="R393" s="113" t="n"/>
    </row>
    <row r="394" ht="15.75" customHeight="1">
      <c r="A394" s="113" t="n"/>
      <c r="B394" s="146" t="n">
        <v>7</v>
      </c>
      <c r="C394" s="350" t="n">
        <v>45855</v>
      </c>
      <c r="D394" s="351" t="n">
        <v>6</v>
      </c>
      <c r="E394" s="264" t="inlineStr">
        <is>
          <t xml:space="preserve">GARCERAS </t>
        </is>
      </c>
      <c r="F394" s="264" t="inlineStr">
        <is>
          <t>CARGUEROS</t>
        </is>
      </c>
      <c r="G394" s="264" t="n">
        <v>12</v>
      </c>
      <c r="H394" s="264" t="inlineStr">
        <is>
          <t xml:space="preserve">JAIRO CUBILLOS </t>
        </is>
      </c>
      <c r="I394" s="264" t="inlineStr">
        <is>
          <t>TLO884</t>
        </is>
      </c>
      <c r="J394" s="265" t="n">
        <v>0.01388888888888889</v>
      </c>
      <c r="K394" s="266" t="n">
        <v>3059</v>
      </c>
      <c r="L394" s="267" t="n"/>
      <c r="M394" s="113" t="n"/>
      <c r="N394" s="113" t="n"/>
      <c r="O394" s="113" t="n"/>
      <c r="P394" s="243" t="n"/>
      <c r="Q394" s="113" t="n"/>
      <c r="R394" s="113" t="n"/>
    </row>
    <row r="395" ht="15.75" customHeight="1">
      <c r="A395" s="113" t="n"/>
      <c r="B395" s="146" t="n">
        <v>7</v>
      </c>
      <c r="C395" s="350" t="n">
        <v>45855</v>
      </c>
      <c r="D395" s="351" t="n">
        <v>7</v>
      </c>
      <c r="E395" s="264" t="inlineStr">
        <is>
          <t xml:space="preserve">GARCERAS </t>
        </is>
      </c>
      <c r="F395" s="264" t="inlineStr">
        <is>
          <t>CARGUEROS</t>
        </is>
      </c>
      <c r="G395" s="264" t="n">
        <v>12</v>
      </c>
      <c r="H395" s="264" t="inlineStr">
        <is>
          <t xml:space="preserve">WILMER PIÑEROS </t>
        </is>
      </c>
      <c r="I395" s="264" t="inlineStr">
        <is>
          <t>KLO076</t>
        </is>
      </c>
      <c r="J395" s="265" t="n">
        <v>0.04513888888888889</v>
      </c>
      <c r="K395" s="266" t="n">
        <v>3059</v>
      </c>
      <c r="L395" s="267" t="n"/>
      <c r="M395" s="113" t="n"/>
      <c r="N395" s="113" t="n"/>
      <c r="O395" s="113" t="n"/>
      <c r="P395" s="243" t="n"/>
      <c r="Q395" s="113" t="n"/>
      <c r="R395" s="113" t="n"/>
    </row>
    <row r="396" ht="15.75" customHeight="1">
      <c r="A396" s="113" t="n"/>
      <c r="B396" s="146" t="n">
        <v>7</v>
      </c>
      <c r="C396" s="350" t="n">
        <v>45855</v>
      </c>
      <c r="D396" s="351" t="n">
        <v>8</v>
      </c>
      <c r="E396" s="264" t="inlineStr">
        <is>
          <t xml:space="preserve">GARCERAS </t>
        </is>
      </c>
      <c r="F396" s="264" t="inlineStr">
        <is>
          <t>CARGUEROS</t>
        </is>
      </c>
      <c r="G396" s="264" t="n">
        <v>12</v>
      </c>
      <c r="H396" s="264" t="inlineStr">
        <is>
          <t>DIEGO NIÑO</t>
        </is>
      </c>
      <c r="I396" s="264" t="inlineStr">
        <is>
          <t>GZZ673</t>
        </is>
      </c>
      <c r="J396" s="265" t="n">
        <v>0.0763888888888889</v>
      </c>
      <c r="K396" s="266" t="n">
        <v>3059</v>
      </c>
      <c r="L396" s="267" t="n"/>
      <c r="M396" s="113" t="n"/>
      <c r="N396" s="113" t="n"/>
      <c r="O396" s="113" t="n"/>
      <c r="P396" s="243" t="n"/>
      <c r="Q396" s="113" t="n"/>
      <c r="R396" s="113" t="n"/>
    </row>
    <row r="397" ht="15.75" customHeight="1">
      <c r="A397" s="113" t="n"/>
      <c r="B397" s="146" t="n">
        <v>7</v>
      </c>
      <c r="C397" s="350" t="n">
        <v>45855</v>
      </c>
      <c r="D397" s="351" t="n">
        <v>9</v>
      </c>
      <c r="E397" s="264" t="inlineStr">
        <is>
          <t xml:space="preserve">GARCERAS </t>
        </is>
      </c>
      <c r="F397" s="264" t="inlineStr">
        <is>
          <t>CARGUEROS</t>
        </is>
      </c>
      <c r="G397" s="264" t="n">
        <v>12</v>
      </c>
      <c r="H397" s="264" t="inlineStr">
        <is>
          <t>JHON ARIAS</t>
        </is>
      </c>
      <c r="I397" s="264" t="inlineStr">
        <is>
          <t>EQY779</t>
        </is>
      </c>
      <c r="J397" s="265" t="n">
        <v>0.1180555555555556</v>
      </c>
      <c r="K397" s="266" t="n">
        <v>3002</v>
      </c>
      <c r="L397" s="267" t="n"/>
      <c r="M397" s="113" t="n"/>
      <c r="N397" s="113" t="n"/>
      <c r="O397" s="113" t="n"/>
      <c r="P397" s="243" t="n"/>
      <c r="Q397" s="113" t="n"/>
      <c r="R397" s="113" t="n"/>
    </row>
    <row r="398" ht="15.75" customHeight="1">
      <c r="A398" s="113" t="n"/>
      <c r="B398" s="146" t="n">
        <v>7</v>
      </c>
      <c r="C398" s="350" t="n">
        <v>45855</v>
      </c>
      <c r="D398" s="351" t="n">
        <v>10</v>
      </c>
      <c r="E398" s="264" t="inlineStr">
        <is>
          <t xml:space="preserve">GARCERAS </t>
        </is>
      </c>
      <c r="F398" s="264" t="inlineStr">
        <is>
          <t>CARGUEROS</t>
        </is>
      </c>
      <c r="G398" s="264" t="n">
        <v>12</v>
      </c>
      <c r="H398" s="264" t="inlineStr">
        <is>
          <t>EDWIN ROJAS</t>
        </is>
      </c>
      <c r="I398" s="264" t="inlineStr">
        <is>
          <t>TLN248</t>
        </is>
      </c>
      <c r="J398" s="265" t="n">
        <v>0.15625</v>
      </c>
      <c r="K398" s="266" t="n">
        <v>3002</v>
      </c>
      <c r="L398" s="268" t="n"/>
      <c r="M398" s="113" t="n"/>
      <c r="N398" s="113" t="n"/>
      <c r="O398" s="113" t="n"/>
      <c r="P398" s="243" t="n"/>
      <c r="Q398" s="113" t="n"/>
      <c r="R398" s="113" t="n"/>
    </row>
    <row r="399" ht="15.75" customHeight="1">
      <c r="A399" s="113" t="n"/>
      <c r="B399" s="146" t="n">
        <v>7</v>
      </c>
      <c r="C399" s="356" t="n">
        <v>45855</v>
      </c>
      <c r="D399" s="357" t="n">
        <v>11</v>
      </c>
      <c r="E399" s="271" t="inlineStr">
        <is>
          <t xml:space="preserve">GARCERAS </t>
        </is>
      </c>
      <c r="F399" s="271" t="inlineStr">
        <is>
          <t>CARGUEROS</t>
        </is>
      </c>
      <c r="G399" s="271" t="n">
        <v>12</v>
      </c>
      <c r="H399" s="271" t="inlineStr">
        <is>
          <t>HENRY ROMERO</t>
        </is>
      </c>
      <c r="I399" s="271" t="inlineStr">
        <is>
          <t>EQY781</t>
        </is>
      </c>
      <c r="J399" s="272" t="n">
        <v>0.2256944444444444</v>
      </c>
      <c r="K399" s="286" t="n">
        <v>3002</v>
      </c>
      <c r="L399" s="384">
        <f>SUBTOTAL(9,K389:K399)</f>
        <v/>
      </c>
      <c r="M399" s="113" t="n"/>
      <c r="N399" s="113" t="n"/>
      <c r="O399" s="113" t="n"/>
      <c r="P399" s="243" t="n"/>
      <c r="Q399" s="113" t="n"/>
      <c r="R399" s="113" t="n"/>
    </row>
    <row r="400" ht="15.75" customHeight="1">
      <c r="A400" s="113" t="n"/>
      <c r="B400" s="146" t="n">
        <v>7</v>
      </c>
      <c r="C400" s="348" t="n">
        <v>45856</v>
      </c>
      <c r="D400" s="349" t="n">
        <v>1</v>
      </c>
      <c r="E400" s="258" t="inlineStr">
        <is>
          <t xml:space="preserve">GARCERAS </t>
        </is>
      </c>
      <c r="F400" s="258" t="inlineStr">
        <is>
          <t xml:space="preserve">CARGUEROS  </t>
        </is>
      </c>
      <c r="G400" s="258" t="n">
        <v>11</v>
      </c>
      <c r="H400" s="258" t="inlineStr">
        <is>
          <t xml:space="preserve">MANUEL QUITIAN </t>
        </is>
      </c>
      <c r="I400" s="258" t="inlineStr">
        <is>
          <t>KUS176</t>
        </is>
      </c>
      <c r="J400" s="259" t="n">
        <v>0.9513888888888888</v>
      </c>
      <c r="K400" s="260" t="n">
        <v>2904</v>
      </c>
      <c r="L400" s="292" t="n"/>
      <c r="M400" s="113" t="n"/>
      <c r="N400" s="113" t="n"/>
      <c r="O400" s="113" t="n"/>
      <c r="P400" s="243" t="n"/>
      <c r="Q400" s="113" t="n"/>
      <c r="R400" s="113" t="n"/>
    </row>
    <row r="401" ht="15.75" customHeight="1">
      <c r="A401" s="113" t="n"/>
      <c r="B401" s="146" t="n">
        <v>7</v>
      </c>
      <c r="C401" s="350" t="n">
        <v>45856</v>
      </c>
      <c r="D401" s="351" t="n">
        <v>2</v>
      </c>
      <c r="E401" s="264" t="inlineStr">
        <is>
          <t xml:space="preserve">GARCERAS </t>
        </is>
      </c>
      <c r="F401" s="264" t="inlineStr">
        <is>
          <t>CARGUEROS</t>
        </is>
      </c>
      <c r="G401" s="264" t="n">
        <v>11</v>
      </c>
      <c r="H401" s="264" t="inlineStr">
        <is>
          <t xml:space="preserve">YAIR RIVEROS </t>
        </is>
      </c>
      <c r="I401" s="264" t="inlineStr">
        <is>
          <t>TLN181</t>
        </is>
      </c>
      <c r="J401" s="265" t="n">
        <v>0.9819444444444444</v>
      </c>
      <c r="K401" s="266" t="n">
        <v>2904</v>
      </c>
      <c r="L401" s="308" t="n"/>
      <c r="M401" s="113" t="n"/>
      <c r="N401" s="113" t="n"/>
      <c r="O401" s="113" t="n"/>
      <c r="P401" s="243" t="n"/>
      <c r="Q401" s="113" t="n"/>
      <c r="R401" s="113" t="n"/>
    </row>
    <row r="402" ht="15.75" customHeight="1">
      <c r="A402" s="113" t="n"/>
      <c r="B402" s="146" t="n">
        <v>7</v>
      </c>
      <c r="C402" s="350" t="n">
        <v>45856</v>
      </c>
      <c r="D402" s="351" t="n">
        <v>3</v>
      </c>
      <c r="E402" s="264" t="inlineStr">
        <is>
          <t xml:space="preserve">GARCERAS </t>
        </is>
      </c>
      <c r="F402" s="264" t="inlineStr">
        <is>
          <t>CARGUEROS</t>
        </is>
      </c>
      <c r="G402" s="264" t="n">
        <v>11</v>
      </c>
      <c r="H402" s="264" t="inlineStr">
        <is>
          <t xml:space="preserve">WILMER PIÑEROS </t>
        </is>
      </c>
      <c r="I402" s="264" t="inlineStr">
        <is>
          <t>KNL076</t>
        </is>
      </c>
      <c r="J402" s="265" t="n">
        <v>0.009027777777777777</v>
      </c>
      <c r="K402" s="266" t="n">
        <v>2904</v>
      </c>
      <c r="L402" s="308" t="n"/>
      <c r="M402" s="113" t="n"/>
      <c r="N402" s="113" t="n"/>
      <c r="O402" s="113" t="n"/>
      <c r="P402" s="243" t="n"/>
      <c r="Q402" s="113" t="n"/>
      <c r="R402" s="113" t="n"/>
    </row>
    <row r="403" ht="15.75" customHeight="1">
      <c r="A403" s="113" t="n"/>
      <c r="B403" s="146" t="n">
        <v>7</v>
      </c>
      <c r="C403" s="350" t="n">
        <v>45856</v>
      </c>
      <c r="D403" s="351" t="n">
        <v>4</v>
      </c>
      <c r="E403" s="264" t="inlineStr">
        <is>
          <t xml:space="preserve">GARCERAS </t>
        </is>
      </c>
      <c r="F403" s="264" t="inlineStr">
        <is>
          <t>CARGUEROS</t>
        </is>
      </c>
      <c r="G403" s="264" t="n">
        <v>11</v>
      </c>
      <c r="H403" s="264" t="inlineStr">
        <is>
          <t>JHON AGUIRRE</t>
        </is>
      </c>
      <c r="I403" s="264" t="inlineStr">
        <is>
          <t>EQY780</t>
        </is>
      </c>
      <c r="J403" s="265" t="n">
        <v>0.04027777777777778</v>
      </c>
      <c r="K403" s="266" t="n">
        <v>2904</v>
      </c>
      <c r="L403" s="308" t="n"/>
      <c r="M403" s="113" t="n"/>
      <c r="N403" s="113" t="n"/>
      <c r="O403" s="113" t="n"/>
      <c r="P403" s="243" t="n"/>
      <c r="Q403" s="113" t="n"/>
      <c r="R403" s="113" t="n"/>
    </row>
    <row r="404" ht="15.75" customHeight="1">
      <c r="A404" s="113" t="n"/>
      <c r="B404" s="146" t="n">
        <v>7</v>
      </c>
      <c r="C404" s="350" t="n">
        <v>45856</v>
      </c>
      <c r="D404" s="351" t="n">
        <v>5</v>
      </c>
      <c r="E404" s="264" t="inlineStr">
        <is>
          <t xml:space="preserve">GARCERAS </t>
        </is>
      </c>
      <c r="F404" s="264" t="inlineStr">
        <is>
          <t>CARGUEROS</t>
        </is>
      </c>
      <c r="G404" s="264" t="n">
        <v>11</v>
      </c>
      <c r="H404" s="264" t="inlineStr">
        <is>
          <t xml:space="preserve">ALBERTO LOPEZ </t>
        </is>
      </c>
      <c r="I404" s="264" t="inlineStr">
        <is>
          <t>EQY777</t>
        </is>
      </c>
      <c r="J404" s="265" t="n">
        <v>0.08333333333333333</v>
      </c>
      <c r="K404" s="266" t="n">
        <v>2904</v>
      </c>
      <c r="L404" s="308" t="n"/>
      <c r="M404" s="113" t="n"/>
      <c r="N404" s="113" t="n"/>
      <c r="O404" s="113" t="n"/>
      <c r="P404" s="243" t="n"/>
      <c r="Q404" s="113" t="n"/>
      <c r="R404" s="113" t="n"/>
    </row>
    <row r="405" ht="15.75" customHeight="1">
      <c r="A405" s="113" t="n"/>
      <c r="B405" s="146" t="n">
        <v>7</v>
      </c>
      <c r="C405" s="350" t="n">
        <v>45856</v>
      </c>
      <c r="D405" s="351" t="n">
        <v>6</v>
      </c>
      <c r="E405" s="264" t="inlineStr">
        <is>
          <t xml:space="preserve">GARCERAS </t>
        </is>
      </c>
      <c r="F405" s="264" t="inlineStr">
        <is>
          <t>CARGUEROS</t>
        </is>
      </c>
      <c r="G405" s="264" t="n">
        <v>11</v>
      </c>
      <c r="H405" s="264" t="inlineStr">
        <is>
          <t xml:space="preserve">JHON ARIAS </t>
        </is>
      </c>
      <c r="I405" s="264" t="inlineStr">
        <is>
          <t>EQY779</t>
        </is>
      </c>
      <c r="J405" s="265" t="n">
        <v>0.1333333333333333</v>
      </c>
      <c r="K405" s="266" t="n">
        <v>3240</v>
      </c>
      <c r="L405" s="308" t="n"/>
      <c r="M405" s="113" t="n"/>
      <c r="N405" s="113" t="n"/>
      <c r="O405" s="113" t="n"/>
      <c r="P405" s="243" t="n"/>
      <c r="Q405" s="113" t="n"/>
      <c r="R405" s="113" t="n"/>
    </row>
    <row r="406" ht="15.75" customHeight="1">
      <c r="A406" s="113" t="n"/>
      <c r="B406" s="146" t="n">
        <v>7</v>
      </c>
      <c r="C406" s="350" t="n">
        <v>45856</v>
      </c>
      <c r="D406" s="351" t="n">
        <v>7</v>
      </c>
      <c r="E406" s="264" t="inlineStr">
        <is>
          <t xml:space="preserve">GARCERAS </t>
        </is>
      </c>
      <c r="F406" s="264" t="inlineStr">
        <is>
          <t>CARGUEROS</t>
        </is>
      </c>
      <c r="G406" s="264" t="n">
        <v>11</v>
      </c>
      <c r="H406" s="264" t="inlineStr">
        <is>
          <t xml:space="preserve">FERNANDO OYUELA </t>
        </is>
      </c>
      <c r="I406" s="264" t="inlineStr">
        <is>
          <t>EQY778</t>
        </is>
      </c>
      <c r="J406" s="265" t="n">
        <v>0.1666666666666667</v>
      </c>
      <c r="K406" s="266" t="n">
        <v>2950</v>
      </c>
      <c r="L406" s="308" t="n"/>
      <c r="M406" s="113" t="n"/>
      <c r="N406" s="113" t="n"/>
      <c r="O406" s="113" t="n"/>
      <c r="P406" s="243" t="n"/>
      <c r="Q406" s="113" t="n"/>
      <c r="R406" s="113" t="n"/>
    </row>
    <row r="407" ht="15.75" customHeight="1">
      <c r="A407" s="113" t="n"/>
      <c r="B407" s="146" t="n">
        <v>7</v>
      </c>
      <c r="C407" s="350" t="n">
        <v>45856</v>
      </c>
      <c r="D407" s="351" t="n">
        <v>8</v>
      </c>
      <c r="E407" s="264" t="inlineStr">
        <is>
          <t xml:space="preserve">GARCERAS </t>
        </is>
      </c>
      <c r="F407" s="264" t="inlineStr">
        <is>
          <t>CARGUEROS</t>
        </is>
      </c>
      <c r="G407" s="264" t="n">
        <v>11</v>
      </c>
      <c r="H407" s="264" t="inlineStr">
        <is>
          <t xml:space="preserve">DIEGO NIÑO </t>
        </is>
      </c>
      <c r="I407" s="264" t="inlineStr">
        <is>
          <t>GZZ673</t>
        </is>
      </c>
      <c r="J407" s="265" t="n">
        <v>0.2152777777777778</v>
      </c>
      <c r="K407" s="266" t="n">
        <v>2935</v>
      </c>
      <c r="L407" s="308" t="n"/>
      <c r="M407" s="113" t="n"/>
      <c r="N407" s="113" t="n"/>
      <c r="O407" s="113" t="n"/>
      <c r="P407" s="243" t="n"/>
      <c r="Q407" s="113" t="n"/>
      <c r="R407" s="113" t="n"/>
    </row>
    <row r="408" ht="15.75" customHeight="1">
      <c r="A408" s="113" t="n"/>
      <c r="B408" s="146" t="n">
        <v>7</v>
      </c>
      <c r="C408" s="356" t="n">
        <v>45856</v>
      </c>
      <c r="D408" s="357" t="n">
        <v>9</v>
      </c>
      <c r="E408" s="271" t="inlineStr">
        <is>
          <t xml:space="preserve">GARCERAS </t>
        </is>
      </c>
      <c r="F408" s="271" t="inlineStr">
        <is>
          <t>CARGUEROS</t>
        </is>
      </c>
      <c r="G408" s="271" t="n">
        <v>11</v>
      </c>
      <c r="H408" s="271" t="inlineStr">
        <is>
          <t xml:space="preserve">JOSE SOLER </t>
        </is>
      </c>
      <c r="I408" s="271" t="inlineStr">
        <is>
          <t>EQY776</t>
        </is>
      </c>
      <c r="J408" s="272" t="n">
        <v>0.2479166666666667</v>
      </c>
      <c r="K408" s="286" t="n">
        <v>2935</v>
      </c>
      <c r="L408" s="385">
        <f>SUM(K400:K408)</f>
        <v/>
      </c>
      <c r="M408" s="113" t="n"/>
      <c r="N408" s="113" t="n"/>
      <c r="O408" s="113" t="n"/>
      <c r="P408" s="243" t="n"/>
      <c r="Q408" s="113" t="n"/>
      <c r="R408" s="113" t="n"/>
    </row>
    <row r="409" ht="15.75" customHeight="1">
      <c r="A409" s="113" t="n"/>
      <c r="B409" s="146" t="n">
        <v>7</v>
      </c>
      <c r="C409" s="348" t="n">
        <v>45857</v>
      </c>
      <c r="D409" s="349" t="n">
        <v>1</v>
      </c>
      <c r="E409" s="258" t="inlineStr">
        <is>
          <t xml:space="preserve">GARCERAS </t>
        </is>
      </c>
      <c r="F409" s="258" t="inlineStr">
        <is>
          <t>CARGUEROS</t>
        </is>
      </c>
      <c r="G409" s="258" t="n">
        <v>9</v>
      </c>
      <c r="H409" s="258" t="inlineStr">
        <is>
          <t xml:space="preserve">JHON ARIAS </t>
        </is>
      </c>
      <c r="I409" s="258" t="inlineStr">
        <is>
          <t>EQY779</t>
        </is>
      </c>
      <c r="J409" s="259" t="n">
        <v>0.9465277777777777</v>
      </c>
      <c r="K409" s="260" t="n">
        <v>2885</v>
      </c>
      <c r="L409" s="292" t="n"/>
      <c r="M409" s="113" t="n"/>
      <c r="N409" s="113" t="n"/>
      <c r="O409" s="113" t="n"/>
      <c r="P409" s="243" t="n"/>
      <c r="Q409" s="113" t="n"/>
      <c r="R409" s="113" t="n"/>
    </row>
    <row r="410" ht="15.75" customHeight="1">
      <c r="A410" s="113" t="n"/>
      <c r="B410" s="146" t="n">
        <v>7</v>
      </c>
      <c r="C410" s="350" t="n">
        <v>45857</v>
      </c>
      <c r="D410" s="351" t="n">
        <v>2</v>
      </c>
      <c r="E410" s="264" t="inlineStr">
        <is>
          <t xml:space="preserve">GARCERAS </t>
        </is>
      </c>
      <c r="F410" s="264" t="inlineStr">
        <is>
          <t>CARGUEROS</t>
        </is>
      </c>
      <c r="G410" s="264" t="n">
        <v>9</v>
      </c>
      <c r="H410" s="264" t="inlineStr">
        <is>
          <t>JOSE HERRERA</t>
        </is>
      </c>
      <c r="I410" s="264" t="inlineStr">
        <is>
          <t>TLO882</t>
        </is>
      </c>
      <c r="J410" s="265" t="n">
        <v>0.9826388888888888</v>
      </c>
      <c r="K410" s="266" t="n">
        <v>2885</v>
      </c>
      <c r="L410" s="308" t="n"/>
      <c r="M410" s="113" t="n"/>
      <c r="N410" s="113" t="n"/>
      <c r="O410" s="113" t="n"/>
      <c r="P410" s="243" t="n"/>
      <c r="Q410" s="113" t="n"/>
      <c r="R410" s="113" t="n"/>
    </row>
    <row r="411" ht="15.75" customHeight="1">
      <c r="A411" s="113" t="n"/>
      <c r="B411" s="146" t="n">
        <v>7</v>
      </c>
      <c r="C411" s="350" t="n">
        <v>45857</v>
      </c>
      <c r="D411" s="351" t="n">
        <v>3</v>
      </c>
      <c r="E411" s="264" t="inlineStr">
        <is>
          <t xml:space="preserve">GARCERAS </t>
        </is>
      </c>
      <c r="F411" s="264" t="inlineStr">
        <is>
          <t>CARGUEROS</t>
        </is>
      </c>
      <c r="G411" s="264" t="n">
        <v>10</v>
      </c>
      <c r="H411" s="264" t="inlineStr">
        <is>
          <t>DUMAR ANGARITA</t>
        </is>
      </c>
      <c r="I411" s="264" t="inlineStr">
        <is>
          <t>LQO745</t>
        </is>
      </c>
      <c r="J411" s="265" t="n">
        <v>0.02083333333333333</v>
      </c>
      <c r="K411" s="266" t="n">
        <v>2140</v>
      </c>
      <c r="L411" s="308" t="n"/>
      <c r="M411" s="113" t="n"/>
      <c r="N411" s="113" t="n"/>
      <c r="O411" s="113" t="n"/>
      <c r="P411" s="243" t="n"/>
      <c r="Q411" s="113" t="n"/>
      <c r="R411" s="113" t="n"/>
    </row>
    <row r="412" ht="15.75" customHeight="1">
      <c r="A412" s="113" t="n"/>
      <c r="B412" s="146" t="n">
        <v>7</v>
      </c>
      <c r="C412" s="350" t="n">
        <v>45857</v>
      </c>
      <c r="D412" s="351" t="n">
        <v>4</v>
      </c>
      <c r="E412" s="264" t="inlineStr">
        <is>
          <t xml:space="preserve">GARCERAS </t>
        </is>
      </c>
      <c r="F412" s="264" t="inlineStr">
        <is>
          <t>CARGUEROS</t>
        </is>
      </c>
      <c r="G412" s="264" t="n">
        <v>10</v>
      </c>
      <c r="H412" s="264" t="inlineStr">
        <is>
          <t>HENRY ROMERO</t>
        </is>
      </c>
      <c r="I412" s="264" t="inlineStr">
        <is>
          <t>EQY781</t>
        </is>
      </c>
      <c r="J412" s="265" t="n">
        <v>0.05902777777777778</v>
      </c>
      <c r="K412" s="266" t="n">
        <v>3046</v>
      </c>
      <c r="L412" s="308" t="n"/>
      <c r="M412" s="113" t="n"/>
      <c r="N412" s="113" t="n"/>
      <c r="O412" s="113" t="n"/>
      <c r="P412" s="243" t="n"/>
      <c r="Q412" s="113" t="n"/>
      <c r="R412" s="113" t="n"/>
    </row>
    <row r="413" ht="15.75" customHeight="1">
      <c r="A413" s="113" t="n"/>
      <c r="B413" s="146" t="n">
        <v>7</v>
      </c>
      <c r="C413" s="350" t="n">
        <v>45857</v>
      </c>
      <c r="D413" s="351" t="n">
        <v>5</v>
      </c>
      <c r="E413" s="264" t="inlineStr">
        <is>
          <t xml:space="preserve">GARCERAS </t>
        </is>
      </c>
      <c r="F413" s="264" t="inlineStr">
        <is>
          <t>CARGUEROS</t>
        </is>
      </c>
      <c r="G413" s="264" t="n">
        <v>10</v>
      </c>
      <c r="H413" s="264" t="inlineStr">
        <is>
          <t>EDWIN ROJAS</t>
        </is>
      </c>
      <c r="I413" s="264" t="inlineStr">
        <is>
          <t>TLN248</t>
        </is>
      </c>
      <c r="J413" s="265" t="n">
        <v>0.09722222222222222</v>
      </c>
      <c r="K413" s="266" t="n">
        <v>3049</v>
      </c>
      <c r="L413" s="308" t="n"/>
      <c r="M413" s="113" t="n"/>
      <c r="N413" s="113" t="n"/>
      <c r="O413" s="113" t="n"/>
      <c r="P413" s="243" t="n"/>
      <c r="Q413" s="113" t="n"/>
      <c r="R413" s="113" t="n"/>
    </row>
    <row r="414" ht="15.75" customHeight="1">
      <c r="A414" s="113" t="n"/>
      <c r="B414" s="146" t="n">
        <v>7</v>
      </c>
      <c r="C414" s="352" t="n">
        <v>45857</v>
      </c>
      <c r="D414" s="347" t="n">
        <v>6</v>
      </c>
      <c r="E414" s="282" t="inlineStr">
        <is>
          <t xml:space="preserve">GARCERAS </t>
        </is>
      </c>
      <c r="F414" s="282" t="inlineStr">
        <is>
          <t>CARGUEROS</t>
        </is>
      </c>
      <c r="G414" s="282" t="n">
        <v>10</v>
      </c>
      <c r="H414" s="282" t="inlineStr">
        <is>
          <t xml:space="preserve">JAIRO CUBILLOS </t>
        </is>
      </c>
      <c r="I414" s="282" t="inlineStr">
        <is>
          <t>TLO884</t>
        </is>
      </c>
      <c r="J414" s="283" t="n">
        <v>0.1388888888888889</v>
      </c>
      <c r="K414" s="318" t="n">
        <v>3049</v>
      </c>
      <c r="L414" s="354">
        <f>SUM(K409:K414)</f>
        <v/>
      </c>
      <c r="M414" s="113" t="n"/>
      <c r="N414" s="113" t="n"/>
      <c r="O414" s="113" t="n"/>
      <c r="P414" s="243" t="n"/>
      <c r="Q414" s="113" t="n"/>
      <c r="R414" s="113" t="n"/>
    </row>
    <row r="415" ht="15.75" customHeight="1">
      <c r="A415" s="113" t="n"/>
      <c r="B415" s="146" t="n">
        <v>8</v>
      </c>
      <c r="C415" s="348" t="n">
        <v>45858</v>
      </c>
      <c r="D415" s="349" t="n">
        <v>1</v>
      </c>
      <c r="E415" s="258" t="inlineStr">
        <is>
          <t>HUERTAS</t>
        </is>
      </c>
      <c r="F415" s="258" t="inlineStr">
        <is>
          <t>CARGUEROS</t>
        </is>
      </c>
      <c r="G415" s="258" t="n">
        <v>8</v>
      </c>
      <c r="H415" s="258" t="inlineStr">
        <is>
          <t>CARLOS PORRAS</t>
        </is>
      </c>
      <c r="I415" s="258" t="inlineStr">
        <is>
          <t>TLN249</t>
        </is>
      </c>
      <c r="J415" s="259" t="n">
        <v>0.625</v>
      </c>
      <c r="K415" s="260" t="n">
        <v>2094</v>
      </c>
      <c r="L415" s="292" t="n"/>
      <c r="M415" s="113" t="n"/>
      <c r="N415" s="113" t="n"/>
      <c r="O415" s="113" t="n"/>
      <c r="P415" s="243" t="n"/>
      <c r="Q415" s="113" t="n"/>
      <c r="R415" s="113" t="n"/>
    </row>
    <row r="416" ht="15.75" customHeight="1">
      <c r="A416" s="113" t="n"/>
      <c r="B416" s="146" t="n">
        <v>8</v>
      </c>
      <c r="C416" s="350" t="n">
        <v>45858</v>
      </c>
      <c r="D416" s="351" t="n">
        <v>2</v>
      </c>
      <c r="E416" s="264" t="inlineStr">
        <is>
          <t>HUERTAS</t>
        </is>
      </c>
      <c r="F416" s="264" t="inlineStr">
        <is>
          <t>CARGUEROS</t>
        </is>
      </c>
      <c r="G416" s="264" t="n">
        <v>8</v>
      </c>
      <c r="H416" s="264" t="inlineStr">
        <is>
          <t>JORGE HERNANDEZ</t>
        </is>
      </c>
      <c r="I416" s="264" t="inlineStr">
        <is>
          <t>SQW243</t>
        </is>
      </c>
      <c r="J416" s="265" t="n">
        <v>0.6631944444444444</v>
      </c>
      <c r="K416" s="266" t="n">
        <v>1643</v>
      </c>
      <c r="L416" s="308" t="n"/>
      <c r="M416" s="113" t="n"/>
      <c r="N416" s="113" t="n"/>
      <c r="O416" s="113" t="n"/>
      <c r="P416" s="243" t="n"/>
      <c r="Q416" s="113" t="n"/>
      <c r="R416" s="113" t="n"/>
    </row>
    <row r="417" ht="15.75" customHeight="1">
      <c r="A417" s="113" t="n"/>
      <c r="B417" s="146" t="n">
        <v>8</v>
      </c>
      <c r="C417" s="350" t="n">
        <v>45859</v>
      </c>
      <c r="D417" s="351" t="n">
        <v>3</v>
      </c>
      <c r="E417" s="264" t="inlineStr">
        <is>
          <t xml:space="preserve">GARCERAS </t>
        </is>
      </c>
      <c r="F417" s="264" t="inlineStr">
        <is>
          <t>CARGUEROS</t>
        </is>
      </c>
      <c r="G417" s="264" t="n">
        <v>10</v>
      </c>
      <c r="H417" s="264" t="inlineStr">
        <is>
          <t>FERNANDO OYUELA</t>
        </is>
      </c>
      <c r="I417" s="264" t="inlineStr">
        <is>
          <t>EQY778</t>
        </is>
      </c>
      <c r="J417" s="265" t="n">
        <v>0.1763888888888889</v>
      </c>
      <c r="K417" s="266" t="n">
        <v>3674</v>
      </c>
      <c r="L417" s="308" t="n"/>
      <c r="M417" s="113" t="n"/>
      <c r="N417" s="113" t="n"/>
      <c r="O417" s="113" t="n"/>
      <c r="P417" s="243" t="n"/>
      <c r="Q417" s="113" t="n"/>
      <c r="R417" s="113" t="n"/>
    </row>
    <row r="418" ht="15.75" customHeight="1">
      <c r="A418" s="113" t="n"/>
      <c r="B418" s="146" t="n">
        <v>8</v>
      </c>
      <c r="C418" s="350" t="n">
        <v>45859</v>
      </c>
      <c r="D418" s="351" t="n">
        <v>4</v>
      </c>
      <c r="E418" s="264" t="inlineStr">
        <is>
          <t>MALAGUEÑA</t>
        </is>
      </c>
      <c r="F418" s="264" t="inlineStr">
        <is>
          <t>ABONEROS</t>
        </is>
      </c>
      <c r="G418" s="264" t="n">
        <v>11</v>
      </c>
      <c r="H418" s="264" t="inlineStr">
        <is>
          <t xml:space="preserve">EDWIN ROJAS </t>
        </is>
      </c>
      <c r="I418" s="264" t="inlineStr">
        <is>
          <t>TLN248</t>
        </is>
      </c>
      <c r="J418" s="265" t="n">
        <v>0.1770833333333333</v>
      </c>
      <c r="K418" s="266" t="n">
        <v>3416</v>
      </c>
      <c r="L418" s="308" t="n"/>
      <c r="M418" s="113" t="n"/>
      <c r="N418" s="113" t="n"/>
      <c r="O418" s="113" t="n"/>
      <c r="P418" s="243" t="n"/>
      <c r="Q418" s="113" t="n"/>
      <c r="R418" s="113" t="n"/>
    </row>
    <row r="419" ht="15.75" customHeight="1">
      <c r="A419" s="113" t="n"/>
      <c r="B419" s="146" t="n">
        <v>8</v>
      </c>
      <c r="C419" s="350" t="n">
        <v>45859</v>
      </c>
      <c r="D419" s="351" t="n">
        <v>5</v>
      </c>
      <c r="E419" s="264" t="inlineStr">
        <is>
          <t xml:space="preserve">GARCERAS </t>
        </is>
      </c>
      <c r="F419" s="264" t="inlineStr">
        <is>
          <t>CARGUEROS</t>
        </is>
      </c>
      <c r="G419" s="264" t="n">
        <v>10</v>
      </c>
      <c r="H419" s="264" t="inlineStr">
        <is>
          <t>DUMAR ANGARITA</t>
        </is>
      </c>
      <c r="I419" s="264" t="inlineStr">
        <is>
          <t>LQO745</t>
        </is>
      </c>
      <c r="J419" s="265" t="n">
        <v>0.2152777777777778</v>
      </c>
      <c r="K419" s="266" t="n">
        <v>3485</v>
      </c>
      <c r="L419" s="308" t="n"/>
      <c r="M419" s="113" t="n"/>
      <c r="N419" s="113" t="n"/>
      <c r="O419" s="113" t="n"/>
      <c r="P419" s="243" t="n"/>
      <c r="Q419" s="113" t="n"/>
      <c r="R419" s="113" t="n"/>
    </row>
    <row r="420" ht="15.75" customHeight="1">
      <c r="A420" s="113" t="n"/>
      <c r="B420" s="146" t="n">
        <v>8</v>
      </c>
      <c r="C420" s="350" t="n">
        <v>45859</v>
      </c>
      <c r="D420" s="351" t="n">
        <v>6</v>
      </c>
      <c r="E420" s="264" t="inlineStr">
        <is>
          <t>MALAGUEÑA</t>
        </is>
      </c>
      <c r="F420" s="264" t="inlineStr">
        <is>
          <t>ABONEROS</t>
        </is>
      </c>
      <c r="G420" s="264" t="n">
        <v>11</v>
      </c>
      <c r="H420" s="264" t="inlineStr">
        <is>
          <t>MANUEL QUITIAN</t>
        </is>
      </c>
      <c r="I420" s="264" t="inlineStr">
        <is>
          <t>KUS176</t>
        </is>
      </c>
      <c r="J420" s="265" t="n">
        <v>0.2173611111111111</v>
      </c>
      <c r="K420" s="266" t="n">
        <v>3416</v>
      </c>
      <c r="L420" s="308" t="n"/>
      <c r="M420" s="113" t="n"/>
      <c r="N420" s="113" t="n"/>
      <c r="O420" s="113" t="n"/>
      <c r="P420" s="243" t="n"/>
      <c r="Q420" s="113" t="n"/>
      <c r="R420" s="113" t="n"/>
    </row>
    <row r="421" ht="15.75" customHeight="1">
      <c r="A421" s="113" t="n"/>
      <c r="B421" s="146" t="n">
        <v>8</v>
      </c>
      <c r="C421" s="350" t="n">
        <v>45859</v>
      </c>
      <c r="D421" s="351" t="n">
        <v>7</v>
      </c>
      <c r="E421" s="264" t="inlineStr">
        <is>
          <t xml:space="preserve">GARCERAS </t>
        </is>
      </c>
      <c r="F421" s="264" t="inlineStr">
        <is>
          <t>CARGUEROS</t>
        </is>
      </c>
      <c r="G421" s="264" t="n">
        <v>10</v>
      </c>
      <c r="H421" s="264" t="inlineStr">
        <is>
          <t>ALBERTO LOPEZ</t>
        </is>
      </c>
      <c r="I421" s="264" t="inlineStr">
        <is>
          <t>EQY777</t>
        </is>
      </c>
      <c r="J421" s="265" t="n">
        <v>0.2673611111111111</v>
      </c>
      <c r="K421" s="266" t="n">
        <v>3022</v>
      </c>
      <c r="L421" s="308" t="n"/>
      <c r="M421" s="113" t="n"/>
      <c r="N421" s="113" t="n"/>
      <c r="O421" s="113" t="n"/>
      <c r="P421" s="243" t="n"/>
      <c r="Q421" s="113" t="n"/>
      <c r="R421" s="113" t="n"/>
    </row>
    <row r="422" ht="15.75" customHeight="1">
      <c r="A422" s="113" t="n"/>
      <c r="B422" s="146" t="n">
        <v>8</v>
      </c>
      <c r="C422" s="350" t="n">
        <v>45859</v>
      </c>
      <c r="D422" s="351" t="n">
        <v>8</v>
      </c>
      <c r="E422" s="264" t="inlineStr">
        <is>
          <t xml:space="preserve">GARCERAS </t>
        </is>
      </c>
      <c r="F422" s="264" t="inlineStr">
        <is>
          <t>CARGUEROS</t>
        </is>
      </c>
      <c r="G422" s="264" t="n">
        <v>10</v>
      </c>
      <c r="H422" s="264" t="inlineStr">
        <is>
          <t>YAIR RIVEROS</t>
        </is>
      </c>
      <c r="I422" s="264" t="inlineStr">
        <is>
          <t>TLN181</t>
        </is>
      </c>
      <c r="J422" s="265" t="n">
        <v>0.3055555555555556</v>
      </c>
      <c r="K422" s="266" t="n">
        <v>3022</v>
      </c>
      <c r="L422" s="308" t="n"/>
      <c r="M422" s="113" t="n"/>
      <c r="N422" s="113" t="n"/>
      <c r="O422" s="113" t="n"/>
      <c r="P422" s="243" t="n"/>
      <c r="Q422" s="113" t="n"/>
      <c r="R422" s="113" t="n"/>
    </row>
    <row r="423" ht="15.75" customHeight="1">
      <c r="A423" s="113" t="n"/>
      <c r="B423" s="146" t="n">
        <v>8</v>
      </c>
      <c r="C423" s="350" t="n">
        <v>45859</v>
      </c>
      <c r="D423" s="351" t="n">
        <v>9</v>
      </c>
      <c r="E423" s="264" t="inlineStr">
        <is>
          <t xml:space="preserve">GARCERAS </t>
        </is>
      </c>
      <c r="F423" s="264" t="inlineStr">
        <is>
          <t>ABONEROS</t>
        </is>
      </c>
      <c r="G423" s="264" t="n">
        <v>11</v>
      </c>
      <c r="H423" s="264" t="inlineStr">
        <is>
          <t>JAIME CUBILLOS</t>
        </is>
      </c>
      <c r="I423" s="264" t="inlineStr">
        <is>
          <t>TLO884</t>
        </is>
      </c>
      <c r="J423" s="265" t="n">
        <v>0.3173611111111111</v>
      </c>
      <c r="K423" s="266" t="n">
        <v>3001</v>
      </c>
      <c r="L423" s="308" t="n"/>
      <c r="M423" s="113" t="n"/>
      <c r="N423" s="113" t="n"/>
      <c r="O423" s="113" t="n"/>
      <c r="P423" s="243" t="n"/>
      <c r="Q423" s="113" t="n"/>
      <c r="R423" s="113" t="n"/>
    </row>
    <row r="424" ht="15.75" customHeight="1">
      <c r="A424" s="113" t="n"/>
      <c r="B424" s="146" t="n">
        <v>8</v>
      </c>
      <c r="C424" s="350" t="n">
        <v>45859</v>
      </c>
      <c r="D424" s="351" t="n">
        <v>10</v>
      </c>
      <c r="E424" s="264" t="inlineStr">
        <is>
          <t xml:space="preserve">GARCERAS </t>
        </is>
      </c>
      <c r="F424" s="264" t="inlineStr">
        <is>
          <t>CARGUEROS</t>
        </is>
      </c>
      <c r="G424" s="264" t="n">
        <v>10</v>
      </c>
      <c r="H424" s="264" t="inlineStr">
        <is>
          <t>DIEGO NIÑO</t>
        </is>
      </c>
      <c r="I424" s="264" t="inlineStr">
        <is>
          <t>GZZ673</t>
        </is>
      </c>
      <c r="J424" s="265" t="n">
        <v>0.3368055555555556</v>
      </c>
      <c r="K424" s="266" t="n">
        <v>3001</v>
      </c>
      <c r="L424" s="308" t="n"/>
      <c r="M424" s="113" t="n"/>
      <c r="N424" s="113" t="n"/>
      <c r="O424" s="113" t="n"/>
      <c r="P424" s="243" t="n"/>
      <c r="Q424" s="113" t="n"/>
      <c r="R424" s="113" t="n"/>
    </row>
    <row r="425" ht="15.75" customHeight="1">
      <c r="A425" s="113" t="n"/>
      <c r="B425" s="146" t="n">
        <v>8</v>
      </c>
      <c r="C425" s="350" t="n">
        <v>45859</v>
      </c>
      <c r="D425" s="351" t="n">
        <v>11</v>
      </c>
      <c r="E425" s="264" t="inlineStr">
        <is>
          <t xml:space="preserve">GARCERAS </t>
        </is>
      </c>
      <c r="F425" s="264" t="inlineStr">
        <is>
          <t>ABONEROS</t>
        </is>
      </c>
      <c r="G425" s="264" t="n">
        <v>11</v>
      </c>
      <c r="H425" s="264" t="inlineStr">
        <is>
          <t>JHON AGUIRRE</t>
        </is>
      </c>
      <c r="I425" s="264" t="inlineStr">
        <is>
          <t>EQY780</t>
        </is>
      </c>
      <c r="J425" s="265" t="n">
        <v>0.3541666666666667</v>
      </c>
      <c r="K425" s="266" t="n">
        <v>3001</v>
      </c>
      <c r="L425" s="308" t="n"/>
      <c r="M425" s="113" t="n"/>
      <c r="N425" s="113" t="n"/>
      <c r="O425" s="113" t="n"/>
      <c r="P425" s="243" t="n"/>
      <c r="Q425" s="113" t="n"/>
      <c r="R425" s="113" t="n"/>
    </row>
    <row r="426" ht="15.75" customHeight="1">
      <c r="A426" s="113" t="n"/>
      <c r="B426" s="146" t="n">
        <v>8</v>
      </c>
      <c r="C426" s="350" t="n">
        <v>45859</v>
      </c>
      <c r="D426" s="351" t="n">
        <v>12</v>
      </c>
      <c r="E426" s="264" t="inlineStr">
        <is>
          <t xml:space="preserve">GARCERAS </t>
        </is>
      </c>
      <c r="F426" s="264" t="inlineStr">
        <is>
          <t>CARGUEROS</t>
        </is>
      </c>
      <c r="G426" s="264" t="n">
        <v>10</v>
      </c>
      <c r="H426" s="264" t="inlineStr">
        <is>
          <t>FABIO ALDANA</t>
        </is>
      </c>
      <c r="I426" s="264" t="inlineStr">
        <is>
          <t>TLO882</t>
        </is>
      </c>
      <c r="J426" s="265" t="n">
        <v>0.3819444444444444</v>
      </c>
      <c r="K426" s="266" t="n">
        <v>3002</v>
      </c>
      <c r="L426" s="308" t="n"/>
      <c r="M426" s="113" t="n"/>
      <c r="N426" s="113" t="n"/>
      <c r="O426" s="113" t="n"/>
      <c r="P426" s="243" t="n"/>
      <c r="Q426" s="113" t="n"/>
      <c r="R426" s="113" t="n"/>
    </row>
    <row r="427" ht="15.75" customHeight="1">
      <c r="A427" s="113" t="n"/>
      <c r="B427" s="146" t="n">
        <v>8</v>
      </c>
      <c r="C427" s="350" t="n">
        <v>45859</v>
      </c>
      <c r="D427" s="351" t="n">
        <v>13</v>
      </c>
      <c r="E427" s="264" t="inlineStr">
        <is>
          <t xml:space="preserve">GARCERAS </t>
        </is>
      </c>
      <c r="F427" s="264" t="inlineStr">
        <is>
          <t>ABONEROS</t>
        </is>
      </c>
      <c r="G427" s="264" t="n">
        <v>11</v>
      </c>
      <c r="H427" s="264" t="inlineStr">
        <is>
          <t>ALEX GOMEZ</t>
        </is>
      </c>
      <c r="I427" s="264" t="inlineStr">
        <is>
          <t>TLO881</t>
        </is>
      </c>
      <c r="J427" s="265" t="n">
        <v>0.3895833333333333</v>
      </c>
      <c r="K427" s="266" t="n">
        <v>2826</v>
      </c>
      <c r="L427" s="308" t="n"/>
      <c r="M427" s="113" t="n"/>
      <c r="N427" s="113" t="n"/>
      <c r="O427" s="113" t="n"/>
      <c r="P427" s="243" t="n"/>
      <c r="Q427" s="113" t="n"/>
      <c r="R427" s="113" t="n"/>
    </row>
    <row r="428" ht="15.75" customHeight="1">
      <c r="A428" s="113" t="n"/>
      <c r="B428" s="146" t="n">
        <v>8</v>
      </c>
      <c r="C428" s="350" t="n">
        <v>45859</v>
      </c>
      <c r="D428" s="351" t="n">
        <v>14</v>
      </c>
      <c r="E428" s="264" t="inlineStr">
        <is>
          <t xml:space="preserve">GARCERAS </t>
        </is>
      </c>
      <c r="F428" s="264" t="inlineStr">
        <is>
          <t>CARGUEROS</t>
        </is>
      </c>
      <c r="G428" s="264" t="n">
        <v>10</v>
      </c>
      <c r="H428" s="264" t="inlineStr">
        <is>
          <t>JOSE HERRERA</t>
        </is>
      </c>
      <c r="I428" s="264" t="inlineStr">
        <is>
          <t>EQY776</t>
        </is>
      </c>
      <c r="J428" s="265" t="n">
        <v>0.4236111111111111</v>
      </c>
      <c r="K428" s="266" t="n">
        <v>3113</v>
      </c>
      <c r="L428" s="308" t="n"/>
      <c r="M428" s="113" t="n"/>
      <c r="N428" s="113" t="n"/>
      <c r="O428" s="113" t="n"/>
      <c r="P428" s="243" t="n"/>
      <c r="Q428" s="113" t="n"/>
      <c r="R428" s="113" t="n"/>
    </row>
    <row r="429" ht="15.75" customHeight="1">
      <c r="A429" s="113" t="n"/>
      <c r="B429" s="146" t="n">
        <v>8</v>
      </c>
      <c r="C429" s="350" t="n">
        <v>45859</v>
      </c>
      <c r="D429" s="351" t="n">
        <v>15</v>
      </c>
      <c r="E429" s="264" t="inlineStr">
        <is>
          <t xml:space="preserve">GARCERAS </t>
        </is>
      </c>
      <c r="F429" s="264" t="inlineStr">
        <is>
          <t>ABONEROS</t>
        </is>
      </c>
      <c r="G429" s="264" t="n">
        <v>11</v>
      </c>
      <c r="H429" s="264" t="inlineStr">
        <is>
          <t xml:space="preserve">WALTER PIÑEROS </t>
        </is>
      </c>
      <c r="I429" s="264" t="inlineStr">
        <is>
          <t>KNL076</t>
        </is>
      </c>
      <c r="J429" s="265" t="n">
        <v>0.4263888888888889</v>
      </c>
      <c r="K429" s="266" t="n">
        <v>3113</v>
      </c>
      <c r="L429" s="308" t="n"/>
      <c r="M429" s="113" t="n"/>
      <c r="N429" s="113" t="n"/>
      <c r="O429" s="113" t="n"/>
      <c r="P429" s="243" t="n"/>
      <c r="Q429" s="113" t="n"/>
      <c r="R429" s="113" t="n"/>
    </row>
    <row r="430" ht="15.75" customHeight="1">
      <c r="A430" s="113" t="n"/>
      <c r="B430" s="146" t="n">
        <v>8</v>
      </c>
      <c r="C430" s="350" t="n">
        <v>45859</v>
      </c>
      <c r="D430" s="351" t="n">
        <v>16</v>
      </c>
      <c r="E430" s="264" t="inlineStr">
        <is>
          <t xml:space="preserve">GARCERAS </t>
        </is>
      </c>
      <c r="F430" s="264" t="inlineStr">
        <is>
          <t xml:space="preserve">CARGUEROS  </t>
        </is>
      </c>
      <c r="G430" s="264" t="n">
        <v>10</v>
      </c>
      <c r="H430" s="264" t="inlineStr">
        <is>
          <t>HENRY ROMERO</t>
        </is>
      </c>
      <c r="I430" s="264" t="inlineStr">
        <is>
          <t>EQY781</t>
        </is>
      </c>
      <c r="J430" s="265" t="n">
        <v>0.4861111111111111</v>
      </c>
      <c r="K430" s="266" t="n">
        <v>3385</v>
      </c>
      <c r="L430" s="308" t="n"/>
      <c r="M430" s="113" t="n"/>
      <c r="N430" s="113" t="n"/>
      <c r="O430" s="113" t="n"/>
      <c r="P430" s="243" t="n"/>
      <c r="Q430" s="113" t="n"/>
      <c r="R430" s="113" t="n"/>
    </row>
    <row r="431" ht="15.75" customHeight="1">
      <c r="A431" s="113" t="n"/>
      <c r="B431" s="146" t="n">
        <v>8</v>
      </c>
      <c r="C431" s="350" t="n">
        <v>45859</v>
      </c>
      <c r="D431" s="351" t="n">
        <v>17</v>
      </c>
      <c r="E431" s="264" t="inlineStr">
        <is>
          <t xml:space="preserve">GARCERAS </t>
        </is>
      </c>
      <c r="F431" s="264" t="inlineStr">
        <is>
          <t>ABONEROS</t>
        </is>
      </c>
      <c r="G431" s="264" t="n">
        <v>11</v>
      </c>
      <c r="H431" s="264" t="inlineStr">
        <is>
          <t>JHON ARIAS</t>
        </is>
      </c>
      <c r="I431" s="264" t="inlineStr">
        <is>
          <t>EQY779</t>
        </is>
      </c>
      <c r="J431" s="265" t="n">
        <v>0.4854166666666667</v>
      </c>
      <c r="K431" s="266" t="n">
        <v>3385</v>
      </c>
      <c r="L431" s="309" t="n"/>
      <c r="M431" s="113" t="n"/>
      <c r="N431" s="113" t="n"/>
      <c r="O431" s="113" t="n"/>
      <c r="P431" s="243" t="n"/>
      <c r="Q431" s="113" t="n"/>
      <c r="R431" s="113" t="n"/>
    </row>
    <row r="432" ht="15.75" customHeight="1">
      <c r="A432" s="113" t="n"/>
      <c r="B432" s="146" t="n">
        <v>8</v>
      </c>
      <c r="C432" s="352" t="n">
        <v>45859</v>
      </c>
      <c r="D432" s="347" t="n">
        <v>18</v>
      </c>
      <c r="E432" s="282" t="inlineStr">
        <is>
          <t xml:space="preserve">GARCERAS </t>
        </is>
      </c>
      <c r="F432" s="282" t="inlineStr">
        <is>
          <t xml:space="preserve">ABONEROS </t>
        </is>
      </c>
      <c r="G432" s="282" t="n">
        <v>11</v>
      </c>
      <c r="H432" s="282" t="inlineStr">
        <is>
          <t>EDWIN ROJAS</t>
        </is>
      </c>
      <c r="I432" s="282" t="inlineStr">
        <is>
          <t>TLN248</t>
        </is>
      </c>
      <c r="J432" s="283" t="n">
        <v>0.5166666666666667</v>
      </c>
      <c r="K432" s="284" t="n">
        <v>3385</v>
      </c>
      <c r="L432" s="353">
        <f>SUM(K415:K432)</f>
        <v/>
      </c>
      <c r="M432" s="113" t="n"/>
      <c r="N432" s="113" t="n"/>
      <c r="O432" s="113" t="n"/>
      <c r="P432" s="243" t="n"/>
      <c r="Q432" s="113" t="n"/>
      <c r="R432" s="113" t="n"/>
    </row>
    <row r="433" ht="15.75" customHeight="1">
      <c r="A433" s="113" t="n"/>
      <c r="B433" s="146" t="n">
        <v>8</v>
      </c>
      <c r="C433" s="348" t="n">
        <v>45860</v>
      </c>
      <c r="D433" s="349" t="n">
        <v>1</v>
      </c>
      <c r="E433" s="258" t="inlineStr">
        <is>
          <t xml:space="preserve">GARCERAS </t>
        </is>
      </c>
      <c r="F433" s="258" t="inlineStr">
        <is>
          <t xml:space="preserve">CARGUEROS  </t>
        </is>
      </c>
      <c r="G433" s="258" t="n">
        <v>10</v>
      </c>
      <c r="H433" s="258" t="inlineStr">
        <is>
          <t xml:space="preserve">JOSE SOLER </t>
        </is>
      </c>
      <c r="I433" s="258" t="inlineStr">
        <is>
          <t>EQY776</t>
        </is>
      </c>
      <c r="J433" s="259" t="n">
        <v>0.9930555555555556</v>
      </c>
      <c r="K433" s="260" t="n">
        <v>3061</v>
      </c>
      <c r="L433" s="292" t="n"/>
      <c r="M433" s="113" t="n"/>
      <c r="N433" s="113" t="n"/>
      <c r="O433" s="113" t="n"/>
      <c r="P433" s="243" t="n"/>
      <c r="Q433" s="113" t="n"/>
      <c r="R433" s="113" t="n"/>
    </row>
    <row r="434" ht="15.75" customHeight="1">
      <c r="A434" s="113" t="n"/>
      <c r="B434" s="146" t="n">
        <v>8</v>
      </c>
      <c r="C434" s="350" t="n">
        <v>45860</v>
      </c>
      <c r="D434" s="351" t="n">
        <v>2</v>
      </c>
      <c r="E434" s="264" t="inlineStr">
        <is>
          <t xml:space="preserve">GARCERAS </t>
        </is>
      </c>
      <c r="F434" s="264" t="inlineStr">
        <is>
          <t>CARGUEROS</t>
        </is>
      </c>
      <c r="G434" s="264" t="n">
        <v>11</v>
      </c>
      <c r="H434" s="264" t="inlineStr">
        <is>
          <t xml:space="preserve">EDWIN ROJAS </t>
        </is>
      </c>
      <c r="I434" s="264" t="inlineStr">
        <is>
          <t>TLN2488</t>
        </is>
      </c>
      <c r="J434" s="265" t="n">
        <v>0.03472222222222222</v>
      </c>
      <c r="K434" s="266" t="n">
        <v>3061</v>
      </c>
      <c r="L434" s="308" t="n"/>
      <c r="M434" s="113" t="n"/>
      <c r="N434" s="113" t="n"/>
      <c r="O434" s="113" t="n"/>
      <c r="P434" s="243" t="n"/>
      <c r="Q434" s="113" t="n"/>
      <c r="R434" s="113" t="n"/>
    </row>
    <row r="435" ht="15.75" customHeight="1">
      <c r="A435" s="113" t="n"/>
      <c r="B435" s="146" t="n">
        <v>8</v>
      </c>
      <c r="C435" s="350" t="n">
        <v>45860</v>
      </c>
      <c r="D435" s="351" t="n">
        <v>3</v>
      </c>
      <c r="E435" s="264" t="inlineStr">
        <is>
          <t xml:space="preserve">GARCERAS </t>
        </is>
      </c>
      <c r="F435" s="264" t="inlineStr">
        <is>
          <t xml:space="preserve">CARGUEROS  </t>
        </is>
      </c>
      <c r="G435" s="264" t="n">
        <v>11</v>
      </c>
      <c r="H435" s="264" t="inlineStr">
        <is>
          <t>HENRY ROMERO</t>
        </is>
      </c>
      <c r="I435" s="264" t="inlineStr">
        <is>
          <t>EQY781</t>
        </is>
      </c>
      <c r="J435" s="265" t="n">
        <v>0.06597222222222222</v>
      </c>
      <c r="K435" s="266" t="n">
        <v>3061</v>
      </c>
      <c r="L435" s="308" t="n"/>
      <c r="M435" s="113" t="n"/>
      <c r="N435" s="113" t="n"/>
      <c r="O435" s="113" t="n"/>
      <c r="P435" s="243" t="n"/>
      <c r="Q435" s="113" t="n"/>
      <c r="R435" s="113" t="n"/>
    </row>
    <row r="436" ht="15.75" customHeight="1">
      <c r="A436" s="113" t="n"/>
      <c r="B436" s="146" t="n">
        <v>8</v>
      </c>
      <c r="C436" s="350" t="n">
        <v>45860</v>
      </c>
      <c r="D436" s="351" t="n">
        <v>4</v>
      </c>
      <c r="E436" s="264" t="inlineStr">
        <is>
          <t xml:space="preserve">GARCERAS </t>
        </is>
      </c>
      <c r="F436" s="264" t="inlineStr">
        <is>
          <t xml:space="preserve">CARGUEROS  </t>
        </is>
      </c>
      <c r="G436" s="264" t="n">
        <v>11</v>
      </c>
      <c r="H436" s="264" t="inlineStr">
        <is>
          <t>JHON ARIAS</t>
        </is>
      </c>
      <c r="I436" s="264" t="inlineStr">
        <is>
          <t>EQY779</t>
        </is>
      </c>
      <c r="J436" s="265" t="n">
        <v>0.1076388888888889</v>
      </c>
      <c r="K436" s="266" t="n">
        <v>3380</v>
      </c>
      <c r="L436" s="308" t="n"/>
      <c r="M436" s="113" t="n"/>
      <c r="N436" s="113" t="n"/>
      <c r="O436" s="113" t="n"/>
      <c r="P436" s="243" t="n"/>
      <c r="Q436" s="113" t="n"/>
      <c r="R436" s="113" t="n"/>
    </row>
    <row r="437" ht="15.75" customHeight="1">
      <c r="A437" s="113" t="n"/>
      <c r="B437" s="146" t="n">
        <v>8</v>
      </c>
      <c r="C437" s="350" t="n">
        <v>45860</v>
      </c>
      <c r="D437" s="351" t="n">
        <v>5</v>
      </c>
      <c r="E437" s="264" t="inlineStr">
        <is>
          <t xml:space="preserve">GARCERAS </t>
        </is>
      </c>
      <c r="F437" s="264" t="inlineStr">
        <is>
          <t xml:space="preserve">CARGUEROS  </t>
        </is>
      </c>
      <c r="G437" s="264" t="n">
        <v>11</v>
      </c>
      <c r="H437" s="264" t="inlineStr">
        <is>
          <t xml:space="preserve">WILMER PIÑEROS </t>
        </is>
      </c>
      <c r="I437" s="264" t="inlineStr">
        <is>
          <t>KLN076</t>
        </is>
      </c>
      <c r="J437" s="265" t="n">
        <v>0.1111111111111111</v>
      </c>
      <c r="K437" s="266" t="n">
        <v>2801</v>
      </c>
      <c r="L437" s="308" t="n"/>
      <c r="M437" s="113" t="n"/>
      <c r="N437" s="113" t="n"/>
      <c r="O437" s="113" t="n"/>
      <c r="P437" s="243" t="n"/>
      <c r="Q437" s="113" t="n"/>
      <c r="R437" s="113" t="n"/>
    </row>
    <row r="438" ht="15.75" customHeight="1">
      <c r="A438" s="113" t="n"/>
      <c r="B438" s="146" t="n">
        <v>8</v>
      </c>
      <c r="C438" s="350" t="n">
        <v>45860</v>
      </c>
      <c r="D438" s="351" t="n">
        <v>6</v>
      </c>
      <c r="E438" s="264" t="inlineStr">
        <is>
          <t xml:space="preserve">GARCERAS </t>
        </is>
      </c>
      <c r="F438" s="264" t="inlineStr">
        <is>
          <t xml:space="preserve">CARGUEROS  </t>
        </is>
      </c>
      <c r="G438" s="264" t="n">
        <v>11</v>
      </c>
      <c r="H438" s="264" t="inlineStr">
        <is>
          <t xml:space="preserve">ALEX GOMEZ </t>
        </is>
      </c>
      <c r="I438" s="264" t="inlineStr">
        <is>
          <t>TLN181</t>
        </is>
      </c>
      <c r="J438" s="265" t="n">
        <v>0.1805555555555556</v>
      </c>
      <c r="K438" s="266" t="n">
        <v>2801</v>
      </c>
      <c r="L438" s="308" t="n"/>
      <c r="M438" s="113" t="n"/>
      <c r="N438" s="113" t="n"/>
      <c r="O438" s="113" t="n"/>
      <c r="P438" s="243" t="n"/>
      <c r="Q438" s="113" t="n"/>
      <c r="R438" s="113" t="n"/>
    </row>
    <row r="439" ht="15.75" customHeight="1">
      <c r="A439" s="113" t="n"/>
      <c r="B439" s="146" t="n">
        <v>8</v>
      </c>
      <c r="C439" s="350" t="n">
        <v>45860</v>
      </c>
      <c r="D439" s="351" t="n">
        <v>7</v>
      </c>
      <c r="E439" s="264" t="inlineStr">
        <is>
          <t xml:space="preserve">GARCERAS </t>
        </is>
      </c>
      <c r="F439" s="264" t="inlineStr">
        <is>
          <t xml:space="preserve">CARGUEROS  </t>
        </is>
      </c>
      <c r="G439" s="264" t="n">
        <v>11</v>
      </c>
      <c r="H439" s="264" t="inlineStr">
        <is>
          <t>MANUEL QUITIAN</t>
        </is>
      </c>
      <c r="I439" s="264" t="inlineStr">
        <is>
          <t>KUS176</t>
        </is>
      </c>
      <c r="J439" s="265" t="n">
        <v>0.2152777777777778</v>
      </c>
      <c r="K439" s="266" t="n">
        <v>2801</v>
      </c>
      <c r="L439" s="308" t="n"/>
      <c r="M439" s="113" t="n"/>
      <c r="N439" s="113" t="n"/>
      <c r="O439" s="113" t="n"/>
      <c r="P439" s="243" t="n"/>
      <c r="Q439" s="113" t="n"/>
      <c r="R439" s="113" t="n"/>
    </row>
    <row r="440" ht="15.75" customHeight="1">
      <c r="A440" s="113" t="n"/>
      <c r="B440" s="146" t="n">
        <v>8</v>
      </c>
      <c r="C440" s="356" t="n">
        <v>45860</v>
      </c>
      <c r="D440" s="357" t="n">
        <v>8</v>
      </c>
      <c r="E440" s="271" t="inlineStr">
        <is>
          <t xml:space="preserve">GARCERAS </t>
        </is>
      </c>
      <c r="F440" s="271" t="inlineStr">
        <is>
          <t xml:space="preserve">CARGUEROS  </t>
        </is>
      </c>
      <c r="G440" s="271" t="n">
        <v>11</v>
      </c>
      <c r="H440" s="271" t="inlineStr">
        <is>
          <t xml:space="preserve">JOSE HERRERA </t>
        </is>
      </c>
      <c r="I440" s="271" t="inlineStr">
        <is>
          <t>TLO884</t>
        </is>
      </c>
      <c r="J440" s="272" t="n">
        <v>0.25</v>
      </c>
      <c r="K440" s="286" t="n">
        <v>2801</v>
      </c>
      <c r="L440" s="385">
        <f>SUM(K433:K440)</f>
        <v/>
      </c>
      <c r="M440" s="113" t="n"/>
      <c r="N440" s="113" t="n"/>
      <c r="O440" s="113" t="n"/>
      <c r="P440" s="243" t="n"/>
      <c r="Q440" s="113" t="n"/>
      <c r="R440" s="113" t="n"/>
    </row>
    <row r="441" ht="15.75" customHeight="1">
      <c r="A441" s="113" t="n"/>
      <c r="B441" s="146" t="n">
        <v>8</v>
      </c>
      <c r="C441" s="359" t="n">
        <v>45861</v>
      </c>
      <c r="D441" s="360" t="n">
        <v>1</v>
      </c>
      <c r="E441" s="293" t="inlineStr">
        <is>
          <t xml:space="preserve">GARCERAS </t>
        </is>
      </c>
      <c r="F441" s="293" t="inlineStr">
        <is>
          <t>CARGUEROS</t>
        </is>
      </c>
      <c r="G441" s="293" t="n">
        <v>10</v>
      </c>
      <c r="H441" s="293" t="inlineStr">
        <is>
          <t xml:space="preserve">EDWIN ROJAS </t>
        </is>
      </c>
      <c r="I441" s="293" t="inlineStr">
        <is>
          <t>TLN248</t>
        </is>
      </c>
      <c r="J441" s="294" t="n">
        <v>0.125</v>
      </c>
      <c r="K441" s="295" t="n">
        <v>2785</v>
      </c>
      <c r="L441" s="296" t="n"/>
      <c r="M441" s="113" t="n"/>
      <c r="N441" s="113" t="n"/>
      <c r="O441" s="113" t="n"/>
      <c r="P441" s="243" t="n"/>
      <c r="Q441" s="113" t="n"/>
      <c r="R441" s="113" t="n"/>
    </row>
    <row r="442" ht="15.75" customHeight="1">
      <c r="A442" s="113" t="n"/>
      <c r="B442" s="146" t="n">
        <v>8</v>
      </c>
      <c r="C442" s="350" t="n">
        <v>45861</v>
      </c>
      <c r="D442" s="351" t="n">
        <v>2</v>
      </c>
      <c r="E442" s="264" t="inlineStr">
        <is>
          <t xml:space="preserve">GARCERAS </t>
        </is>
      </c>
      <c r="F442" s="264" t="inlineStr">
        <is>
          <t>CARGUEROS</t>
        </is>
      </c>
      <c r="G442" s="264" t="n">
        <v>10</v>
      </c>
      <c r="H442" s="264" t="inlineStr">
        <is>
          <t>JHON ARIAS</t>
        </is>
      </c>
      <c r="I442" s="264" t="inlineStr">
        <is>
          <t>EQY779</t>
        </is>
      </c>
      <c r="J442" s="265" t="n">
        <v>0.1597222222222222</v>
      </c>
      <c r="K442" s="266" t="n">
        <v>2785</v>
      </c>
      <c r="L442" s="308" t="n"/>
      <c r="M442" s="113" t="n"/>
      <c r="N442" s="113" t="n"/>
      <c r="O442" s="113" t="n"/>
      <c r="P442" s="243" t="n"/>
      <c r="Q442" s="113" t="n"/>
      <c r="R442" s="113" t="n"/>
    </row>
    <row r="443" ht="15.75" customHeight="1">
      <c r="A443" s="113" t="n"/>
      <c r="B443" s="146" t="n">
        <v>8</v>
      </c>
      <c r="C443" s="350" t="n">
        <v>45861</v>
      </c>
      <c r="D443" s="351" t="n">
        <v>3</v>
      </c>
      <c r="E443" s="264" t="inlineStr">
        <is>
          <t xml:space="preserve">GARCERAS </t>
        </is>
      </c>
      <c r="F443" s="264" t="inlineStr">
        <is>
          <t>CARGUEROS</t>
        </is>
      </c>
      <c r="G443" s="264" t="n">
        <v>10</v>
      </c>
      <c r="H443" s="264" t="inlineStr">
        <is>
          <t>JHON AGUIRRE</t>
        </is>
      </c>
      <c r="I443" s="264" t="inlineStr">
        <is>
          <t>EQY780</t>
        </is>
      </c>
      <c r="J443" s="265" t="n">
        <v>0.2083333333333333</v>
      </c>
      <c r="K443" s="266" t="n">
        <v>2895</v>
      </c>
      <c r="L443" s="308" t="n"/>
      <c r="M443" s="113" t="n"/>
      <c r="N443" s="113" t="n"/>
      <c r="O443" s="113" t="n"/>
      <c r="P443" s="243" t="n"/>
      <c r="Q443" s="113" t="n"/>
      <c r="R443" s="113" t="n"/>
    </row>
    <row r="444" ht="15.75" customHeight="1">
      <c r="A444" s="113" t="n"/>
      <c r="B444" s="146" t="n">
        <v>8</v>
      </c>
      <c r="C444" s="350" t="n">
        <v>45861</v>
      </c>
      <c r="D444" s="351" t="n">
        <v>4</v>
      </c>
      <c r="E444" s="264" t="inlineStr">
        <is>
          <t xml:space="preserve">GARCERAS </t>
        </is>
      </c>
      <c r="F444" s="264" t="inlineStr">
        <is>
          <t>CARGUEROS</t>
        </is>
      </c>
      <c r="G444" s="264" t="n">
        <v>10</v>
      </c>
      <c r="H444" s="264" t="inlineStr">
        <is>
          <t>ALEX GOMEZ</t>
        </is>
      </c>
      <c r="I444" s="264" t="inlineStr">
        <is>
          <t>TLN181</t>
        </is>
      </c>
      <c r="J444" s="265" t="n">
        <v>0.2569444444444444</v>
      </c>
      <c r="K444" s="266" t="n">
        <v>3625</v>
      </c>
      <c r="L444" s="308" t="n"/>
      <c r="M444" s="113" t="n"/>
      <c r="N444" s="113" t="n"/>
      <c r="O444" s="113" t="n"/>
      <c r="P444" s="243" t="n"/>
      <c r="Q444" s="113" t="n"/>
      <c r="R444" s="113" t="n"/>
    </row>
    <row r="445" ht="15.75" customHeight="1">
      <c r="A445" s="113" t="n"/>
      <c r="B445" s="146" t="n">
        <v>8</v>
      </c>
      <c r="C445" s="350" t="n">
        <v>45861</v>
      </c>
      <c r="D445" s="351" t="n">
        <v>5</v>
      </c>
      <c r="E445" s="264" t="inlineStr">
        <is>
          <t xml:space="preserve">GARCERAS </t>
        </is>
      </c>
      <c r="F445" s="264" t="inlineStr">
        <is>
          <t>CARGUEROS</t>
        </is>
      </c>
      <c r="G445" s="264" t="n">
        <v>10</v>
      </c>
      <c r="H445" s="264" t="inlineStr">
        <is>
          <t>ALBERTO LOPEZ</t>
        </is>
      </c>
      <c r="I445" s="264" t="inlineStr">
        <is>
          <t>EQY176</t>
        </is>
      </c>
      <c r="J445" s="265" t="n">
        <v>0.2986111111111111</v>
      </c>
      <c r="K445" s="266" t="n">
        <v>3625</v>
      </c>
      <c r="L445" s="308" t="n"/>
      <c r="M445" s="113" t="n"/>
      <c r="N445" s="113" t="n"/>
      <c r="O445" s="113" t="n"/>
      <c r="P445" s="243" t="n"/>
      <c r="Q445" s="113" t="n"/>
      <c r="R445" s="113" t="n"/>
    </row>
    <row r="446" ht="15.75" customHeight="1">
      <c r="A446" s="113" t="n"/>
      <c r="B446" s="146" t="n">
        <v>8</v>
      </c>
      <c r="C446" s="350" t="n">
        <v>45861</v>
      </c>
      <c r="D446" s="351" t="n">
        <v>6</v>
      </c>
      <c r="E446" s="264" t="inlineStr">
        <is>
          <t xml:space="preserve">GARCERAS </t>
        </is>
      </c>
      <c r="F446" s="264" t="inlineStr">
        <is>
          <t>CARGUEROS</t>
        </is>
      </c>
      <c r="G446" s="264" t="n">
        <v>10</v>
      </c>
      <c r="H446" s="264" t="inlineStr">
        <is>
          <t>HENRY ROMERO</t>
        </is>
      </c>
      <c r="I446" s="264" t="inlineStr">
        <is>
          <t>EQY781</t>
        </is>
      </c>
      <c r="J446" s="265" t="n">
        <v>0.3506944444444444</v>
      </c>
      <c r="K446" s="266" t="n">
        <v>3625</v>
      </c>
      <c r="L446" s="309" t="n"/>
      <c r="M446" s="113" t="n"/>
      <c r="N446" s="113" t="n"/>
      <c r="O446" s="113" t="n"/>
      <c r="P446" s="243" t="n"/>
      <c r="Q446" s="113" t="n"/>
      <c r="R446" s="113" t="n"/>
    </row>
    <row r="447" ht="15.75" customHeight="1">
      <c r="A447" s="113" t="n"/>
      <c r="B447" s="146" t="n">
        <v>8</v>
      </c>
      <c r="C447" s="356" t="n">
        <v>45861</v>
      </c>
      <c r="D447" s="357" t="n">
        <v>7</v>
      </c>
      <c r="E447" s="271" t="inlineStr">
        <is>
          <t xml:space="preserve">GARCERAS </t>
        </is>
      </c>
      <c r="F447" s="271" t="inlineStr">
        <is>
          <t>CARGUEROS</t>
        </is>
      </c>
      <c r="G447" s="271" t="n">
        <v>10</v>
      </c>
      <c r="H447" s="271" t="inlineStr">
        <is>
          <t>MANUEL QUITIAN</t>
        </is>
      </c>
      <c r="I447" s="271" t="inlineStr">
        <is>
          <t>KUS176</t>
        </is>
      </c>
      <c r="J447" s="272" t="n">
        <v>0.3993055555555556</v>
      </c>
      <c r="K447" s="273" t="n">
        <v>3625</v>
      </c>
      <c r="L447" s="378">
        <f>SUM(K441:K447)</f>
        <v/>
      </c>
      <c r="M447" s="113" t="n"/>
      <c r="N447" s="113" t="n"/>
      <c r="O447" s="113" t="n"/>
      <c r="P447" s="243" t="n"/>
      <c r="Q447" s="113" t="n"/>
      <c r="R447" s="113" t="n"/>
    </row>
    <row r="448" ht="15.75" customHeight="1">
      <c r="A448" s="113" t="n"/>
      <c r="B448" s="146" t="n">
        <v>8</v>
      </c>
      <c r="C448" s="348" t="n">
        <v>45862</v>
      </c>
      <c r="D448" s="349" t="n">
        <v>1</v>
      </c>
      <c r="E448" s="258" t="inlineStr">
        <is>
          <t xml:space="preserve">GARCERAS </t>
        </is>
      </c>
      <c r="F448" s="258" t="inlineStr">
        <is>
          <t>CARGUEROS</t>
        </is>
      </c>
      <c r="G448" s="258" t="n">
        <v>10</v>
      </c>
      <c r="H448" s="258" t="inlineStr">
        <is>
          <t xml:space="preserve">WILMER PIÑEROS </t>
        </is>
      </c>
      <c r="I448" s="258" t="inlineStr">
        <is>
          <t>KLN076</t>
        </is>
      </c>
      <c r="J448" s="259" t="n">
        <v>0.1944444444444444</v>
      </c>
      <c r="K448" s="260" t="n">
        <v>2836</v>
      </c>
      <c r="L448" s="292" t="n"/>
      <c r="M448" s="113" t="n"/>
      <c r="N448" s="113" t="n"/>
      <c r="O448" s="113" t="n"/>
      <c r="P448" s="243" t="n"/>
      <c r="Q448" s="113" t="n"/>
      <c r="R448" s="113" t="n"/>
    </row>
    <row r="449" ht="15.75" customHeight="1">
      <c r="A449" s="113" t="n"/>
      <c r="B449" s="146" t="n">
        <v>8</v>
      </c>
      <c r="C449" s="350" t="n">
        <v>45862</v>
      </c>
      <c r="D449" s="351" t="n">
        <v>2</v>
      </c>
      <c r="E449" s="264" t="inlineStr">
        <is>
          <t xml:space="preserve">GARCERAS </t>
        </is>
      </c>
      <c r="F449" s="264" t="inlineStr">
        <is>
          <t>CARGUEROS</t>
        </is>
      </c>
      <c r="G449" s="264" t="n">
        <v>10</v>
      </c>
      <c r="H449" s="293" t="inlineStr">
        <is>
          <t xml:space="preserve">JOSE SOLER </t>
        </is>
      </c>
      <c r="I449" s="293" t="inlineStr">
        <is>
          <t>EQY776</t>
        </is>
      </c>
      <c r="J449" s="294" t="n">
        <v>0.2222222222222222</v>
      </c>
      <c r="K449" s="295" t="n">
        <v>2836</v>
      </c>
      <c r="L449" s="308" t="n"/>
      <c r="M449" s="113" t="n"/>
      <c r="N449" s="113" t="n"/>
      <c r="O449" s="113" t="n"/>
      <c r="P449" s="243" t="n"/>
      <c r="Q449" s="113" t="n"/>
      <c r="R449" s="113" t="n"/>
    </row>
    <row r="450" ht="15.75" customHeight="1">
      <c r="A450" s="113" t="n"/>
      <c r="B450" s="146" t="n">
        <v>8</v>
      </c>
      <c r="C450" s="350" t="n">
        <v>45862</v>
      </c>
      <c r="D450" s="351" t="n">
        <v>3</v>
      </c>
      <c r="E450" s="264" t="inlineStr">
        <is>
          <t>MALAGUEÑA</t>
        </is>
      </c>
      <c r="F450" s="264" t="inlineStr">
        <is>
          <t xml:space="preserve">ABONEROS </t>
        </is>
      </c>
      <c r="G450" s="264" t="n">
        <v>9</v>
      </c>
      <c r="H450" s="264" t="inlineStr">
        <is>
          <t xml:space="preserve">HENRY ROMERO </t>
        </is>
      </c>
      <c r="I450" s="264" t="inlineStr">
        <is>
          <t>EQY781</t>
        </is>
      </c>
      <c r="J450" s="265" t="n">
        <v>0.1770833333333333</v>
      </c>
      <c r="K450" s="266" t="n">
        <v>3293</v>
      </c>
      <c r="L450" s="308" t="n"/>
      <c r="M450" s="113" t="n"/>
      <c r="N450" s="113" t="n"/>
      <c r="O450" s="113" t="n"/>
      <c r="P450" s="243" t="n"/>
      <c r="Q450" s="113" t="n"/>
      <c r="R450" s="113" t="n"/>
    </row>
    <row r="451" ht="15.75" customHeight="1">
      <c r="A451" s="113" t="n"/>
      <c r="B451" s="146" t="n">
        <v>8</v>
      </c>
      <c r="C451" s="350" t="n">
        <v>45862</v>
      </c>
      <c r="D451" s="351" t="n">
        <v>4</v>
      </c>
      <c r="E451" s="264" t="inlineStr">
        <is>
          <t>MALAGUEÑA</t>
        </is>
      </c>
      <c r="F451" s="264" t="inlineStr">
        <is>
          <t xml:space="preserve">ABONEROS </t>
        </is>
      </c>
      <c r="G451" s="264" t="n">
        <v>9</v>
      </c>
      <c r="H451" s="264" t="inlineStr">
        <is>
          <t>MANUEL QUITIAN</t>
        </is>
      </c>
      <c r="I451" s="264" t="inlineStr">
        <is>
          <t>KUS176</t>
        </is>
      </c>
      <c r="J451" s="265" t="n">
        <v>0.2152777777777778</v>
      </c>
      <c r="K451" s="266" t="n">
        <v>3293</v>
      </c>
      <c r="L451" s="308" t="n"/>
      <c r="M451" s="113" t="n"/>
      <c r="N451" s="113" t="n"/>
      <c r="O451" s="113" t="n"/>
      <c r="P451" s="243" t="n"/>
      <c r="Q451" s="113" t="n"/>
      <c r="R451" s="113" t="n"/>
    </row>
    <row r="452" ht="15.75" customHeight="1">
      <c r="A452" s="113" t="n"/>
      <c r="B452" s="146" t="n">
        <v>8</v>
      </c>
      <c r="C452" s="350" t="n">
        <v>45862</v>
      </c>
      <c r="D452" s="351" t="n">
        <v>5</v>
      </c>
      <c r="E452" s="264" t="inlineStr">
        <is>
          <t xml:space="preserve">GARCERAS </t>
        </is>
      </c>
      <c r="F452" s="264" t="inlineStr">
        <is>
          <t>CARGUEROS</t>
        </is>
      </c>
      <c r="G452" s="264" t="n">
        <v>10</v>
      </c>
      <c r="H452" s="264" t="inlineStr">
        <is>
          <t>DIEGO NIÑO</t>
        </is>
      </c>
      <c r="I452" s="264" t="inlineStr">
        <is>
          <t>GZZ673</t>
        </is>
      </c>
      <c r="J452" s="265" t="n">
        <v>0.2569444444444444</v>
      </c>
      <c r="K452" s="266" t="n">
        <v>2836</v>
      </c>
      <c r="L452" s="308" t="n"/>
      <c r="M452" s="113" t="n"/>
      <c r="N452" s="113" t="n"/>
      <c r="O452" s="113" t="n"/>
      <c r="P452" s="243" t="n"/>
      <c r="Q452" s="113" t="n"/>
      <c r="R452" s="113" t="n"/>
    </row>
    <row r="453" ht="15.75" customHeight="1">
      <c r="A453" s="113" t="n"/>
      <c r="B453" s="146" t="n">
        <v>8</v>
      </c>
      <c r="C453" s="350" t="n">
        <v>45862</v>
      </c>
      <c r="D453" s="351" t="n">
        <v>6</v>
      </c>
      <c r="E453" s="264" t="inlineStr">
        <is>
          <t>MALAGUEÑA</t>
        </is>
      </c>
      <c r="F453" s="264" t="inlineStr">
        <is>
          <t xml:space="preserve">ABONEROS </t>
        </is>
      </c>
      <c r="G453" s="264" t="n">
        <v>9</v>
      </c>
      <c r="H453" s="264" t="inlineStr">
        <is>
          <t xml:space="preserve">DUMAR ANGARITA </t>
        </is>
      </c>
      <c r="I453" s="264" t="inlineStr">
        <is>
          <t>LQO745</t>
        </is>
      </c>
      <c r="J453" s="265" t="n">
        <v>0.2680555555555555</v>
      </c>
      <c r="K453" s="266" t="n">
        <v>3620</v>
      </c>
      <c r="L453" s="308" t="n"/>
      <c r="M453" s="113" t="n"/>
      <c r="N453" s="113" t="n"/>
      <c r="O453" s="113" t="n"/>
      <c r="P453" s="243" t="n"/>
      <c r="Q453" s="113" t="n"/>
      <c r="R453" s="113" t="n"/>
    </row>
    <row r="454" ht="15.75" customHeight="1">
      <c r="A454" s="113" t="n"/>
      <c r="B454" s="146" t="n">
        <v>8</v>
      </c>
      <c r="C454" s="350" t="n">
        <v>45862</v>
      </c>
      <c r="D454" s="351" t="n">
        <v>7</v>
      </c>
      <c r="E454" s="264" t="inlineStr">
        <is>
          <t xml:space="preserve">GARCERAS </t>
        </is>
      </c>
      <c r="F454" s="264" t="inlineStr">
        <is>
          <t>CARGUEROS</t>
        </is>
      </c>
      <c r="G454" s="264" t="n">
        <v>10</v>
      </c>
      <c r="H454" s="264" t="inlineStr">
        <is>
          <t xml:space="preserve">JAIRO CUBILLOS </t>
        </is>
      </c>
      <c r="I454" s="264" t="inlineStr">
        <is>
          <t>TLO884</t>
        </is>
      </c>
      <c r="J454" s="265" t="n">
        <v>0.2881944444444444</v>
      </c>
      <c r="K454" s="266" t="n">
        <v>2836</v>
      </c>
      <c r="L454" s="308" t="n"/>
      <c r="M454" s="113" t="n"/>
      <c r="N454" s="113" t="n"/>
      <c r="O454" s="113" t="n"/>
      <c r="P454" s="243" t="n"/>
      <c r="Q454" s="113" t="n"/>
      <c r="R454" s="113" t="n"/>
    </row>
    <row r="455" ht="15.75" customHeight="1">
      <c r="A455" s="113" t="n"/>
      <c r="B455" s="146" t="n">
        <v>8</v>
      </c>
      <c r="C455" s="350" t="n">
        <v>45862</v>
      </c>
      <c r="D455" s="351" t="n">
        <v>8</v>
      </c>
      <c r="E455" s="264" t="inlineStr">
        <is>
          <t>MALAGUEÑA</t>
        </is>
      </c>
      <c r="F455" s="264" t="inlineStr">
        <is>
          <t xml:space="preserve">ABONEROS </t>
        </is>
      </c>
      <c r="G455" s="264" t="n">
        <v>9</v>
      </c>
      <c r="H455" s="264" t="inlineStr">
        <is>
          <t xml:space="preserve">FABIO ALDANA  </t>
        </is>
      </c>
      <c r="I455" s="264" t="inlineStr">
        <is>
          <t>TLO882</t>
        </is>
      </c>
      <c r="J455" s="265" t="n">
        <v>0.3194444444444444</v>
      </c>
      <c r="K455" s="266" t="n">
        <v>3620</v>
      </c>
      <c r="L455" s="309" t="n"/>
      <c r="M455" s="113" t="n"/>
      <c r="N455" s="113" t="n"/>
      <c r="O455" s="113" t="n"/>
      <c r="P455" s="243" t="n"/>
      <c r="Q455" s="113" t="n"/>
      <c r="R455" s="113" t="n"/>
    </row>
    <row r="456" ht="15.75" customHeight="1">
      <c r="A456" s="113" t="n"/>
      <c r="B456" s="146" t="n">
        <v>8</v>
      </c>
      <c r="C456" s="356" t="n">
        <v>45862</v>
      </c>
      <c r="D456" s="357" t="n">
        <v>9</v>
      </c>
      <c r="E456" s="271" t="inlineStr">
        <is>
          <t xml:space="preserve">GARCERAS </t>
        </is>
      </c>
      <c r="F456" s="271" t="inlineStr">
        <is>
          <t>CARGUEROS</t>
        </is>
      </c>
      <c r="G456" s="271" t="n">
        <v>10</v>
      </c>
      <c r="H456" s="271" t="inlineStr">
        <is>
          <t xml:space="preserve">JOSE HERRERA </t>
        </is>
      </c>
      <c r="I456" s="271" t="inlineStr">
        <is>
          <t>EQY778</t>
        </is>
      </c>
      <c r="J456" s="272" t="n">
        <v>0.3368055555555556</v>
      </c>
      <c r="K456" s="273" t="n">
        <v>1556</v>
      </c>
      <c r="L456" s="378">
        <f>SUM(K448:K456)</f>
        <v/>
      </c>
      <c r="M456" s="113" t="n"/>
      <c r="N456" s="113" t="n"/>
      <c r="O456" s="113" t="n"/>
      <c r="P456" s="243" t="n"/>
      <c r="Q456" s="113" t="n"/>
      <c r="R456" s="113" t="n"/>
    </row>
    <row r="457" ht="15.75" customHeight="1">
      <c r="A457" s="113" t="n"/>
      <c r="B457" s="146" t="n">
        <v>8</v>
      </c>
      <c r="C457" s="348" t="n">
        <v>45863</v>
      </c>
      <c r="D457" s="349" t="n">
        <v>1</v>
      </c>
      <c r="E457" s="258" t="inlineStr">
        <is>
          <t xml:space="preserve">GARCERAS </t>
        </is>
      </c>
      <c r="F457" s="258" t="inlineStr">
        <is>
          <t>CARGUEROS</t>
        </is>
      </c>
      <c r="G457" s="258" t="n">
        <v>11</v>
      </c>
      <c r="H457" s="258" t="inlineStr">
        <is>
          <t>JHON ARIAS</t>
        </is>
      </c>
      <c r="I457" s="258" t="inlineStr">
        <is>
          <t>EQY779</t>
        </is>
      </c>
      <c r="J457" s="259" t="n">
        <v>0.1597222222222222</v>
      </c>
      <c r="K457" s="260" t="n">
        <v>3295</v>
      </c>
      <c r="L457" s="292" t="n"/>
      <c r="M457" s="113" t="n"/>
      <c r="N457" s="113" t="n"/>
      <c r="O457" s="113" t="n"/>
      <c r="P457" s="243" t="n"/>
      <c r="Q457" s="113" t="n"/>
      <c r="R457" s="113" t="n"/>
    </row>
    <row r="458" ht="15.75" customHeight="1">
      <c r="A458" s="113" t="n"/>
      <c r="B458" s="146" t="n">
        <v>8</v>
      </c>
      <c r="C458" s="350" t="n">
        <v>45863</v>
      </c>
      <c r="D458" s="351" t="n">
        <v>2</v>
      </c>
      <c r="E458" s="264" t="inlineStr">
        <is>
          <t xml:space="preserve">GARCERAS </t>
        </is>
      </c>
      <c r="F458" s="264" t="inlineStr">
        <is>
          <t>CARGUEROS</t>
        </is>
      </c>
      <c r="G458" s="264" t="n">
        <v>11</v>
      </c>
      <c r="H458" s="264" t="inlineStr">
        <is>
          <t>ALBERTO LOPEZ</t>
        </is>
      </c>
      <c r="I458" s="264" t="inlineStr">
        <is>
          <t>EQY777</t>
        </is>
      </c>
      <c r="J458" s="265" t="n">
        <v>0.1875</v>
      </c>
      <c r="K458" s="266" t="n">
        <v>3295</v>
      </c>
      <c r="L458" s="308" t="n"/>
      <c r="M458" s="113" t="n"/>
      <c r="N458" s="113" t="n"/>
      <c r="O458" s="113" t="n"/>
      <c r="P458" s="243" t="n"/>
      <c r="Q458" s="113" t="n"/>
      <c r="R458" s="113" t="n"/>
    </row>
    <row r="459" ht="15.75" customHeight="1">
      <c r="A459" s="113" t="n"/>
      <c r="B459" s="146" t="n">
        <v>8</v>
      </c>
      <c r="C459" s="350" t="n">
        <v>45863</v>
      </c>
      <c r="D459" s="351" t="n">
        <v>3</v>
      </c>
      <c r="E459" s="264" t="inlineStr">
        <is>
          <t xml:space="preserve">GARCERAS </t>
        </is>
      </c>
      <c r="F459" s="264" t="inlineStr">
        <is>
          <t>CARGUEROS</t>
        </is>
      </c>
      <c r="G459" s="264" t="n">
        <v>11</v>
      </c>
      <c r="H459" s="264" t="inlineStr">
        <is>
          <t>YAIR RIVEROS</t>
        </is>
      </c>
      <c r="I459" s="264" t="inlineStr">
        <is>
          <t>TLN181</t>
        </is>
      </c>
      <c r="J459" s="265" t="n">
        <v>0.2291666666666667</v>
      </c>
      <c r="K459" s="266" t="n">
        <v>3295</v>
      </c>
      <c r="L459" s="308" t="n"/>
      <c r="M459" s="113" t="n"/>
      <c r="N459" s="113" t="n"/>
      <c r="O459" s="113" t="n"/>
      <c r="P459" s="243" t="n"/>
      <c r="Q459" s="113" t="n"/>
      <c r="R459" s="113" t="n"/>
    </row>
    <row r="460" ht="15.75" customHeight="1">
      <c r="A460" s="113" t="n"/>
      <c r="B460" s="146" t="n">
        <v>8</v>
      </c>
      <c r="C460" s="350" t="n">
        <v>45863</v>
      </c>
      <c r="D460" s="351" t="n">
        <v>4</v>
      </c>
      <c r="E460" s="264" t="inlineStr">
        <is>
          <t>MALAGUEÑA</t>
        </is>
      </c>
      <c r="F460" s="264" t="inlineStr">
        <is>
          <t>ABONEROS</t>
        </is>
      </c>
      <c r="G460" s="264" t="n">
        <v>10</v>
      </c>
      <c r="H460" s="264" t="inlineStr">
        <is>
          <t xml:space="preserve">HENRY ROMERO </t>
        </is>
      </c>
      <c r="I460" s="264" t="inlineStr">
        <is>
          <t>EQY781</t>
        </is>
      </c>
      <c r="J460" s="265" t="n">
        <v>0.1277777777777778</v>
      </c>
      <c r="K460" s="266" t="n">
        <v>2629</v>
      </c>
      <c r="L460" s="308" t="n"/>
      <c r="M460" s="113" t="n"/>
      <c r="N460" s="113" t="n"/>
      <c r="O460" s="113" t="n"/>
      <c r="P460" s="243" t="n"/>
      <c r="Q460" s="113" t="n"/>
      <c r="R460" s="113" t="n"/>
    </row>
    <row r="461" ht="15.75" customHeight="1">
      <c r="A461" s="113" t="n"/>
      <c r="B461" s="146" t="n">
        <v>8</v>
      </c>
      <c r="C461" s="350" t="n">
        <v>45863</v>
      </c>
      <c r="D461" s="351" t="n">
        <v>5</v>
      </c>
      <c r="E461" s="264" t="inlineStr">
        <is>
          <t>MALAGUEÑA</t>
        </is>
      </c>
      <c r="F461" s="264" t="inlineStr">
        <is>
          <t>ABONEROS</t>
        </is>
      </c>
      <c r="G461" s="264" t="n">
        <v>10</v>
      </c>
      <c r="H461" s="264" t="inlineStr">
        <is>
          <t xml:space="preserve">ALEX GOMEZ </t>
        </is>
      </c>
      <c r="I461" s="264" t="inlineStr">
        <is>
          <t>TLO881</t>
        </is>
      </c>
      <c r="J461" s="265" t="n">
        <v>0.1666666666666667</v>
      </c>
      <c r="K461" s="266" t="n">
        <v>2629</v>
      </c>
      <c r="L461" s="308" t="n"/>
      <c r="M461" s="113" t="n"/>
      <c r="N461" s="113" t="n"/>
      <c r="O461" s="113" t="n"/>
      <c r="P461" s="243" t="n"/>
      <c r="Q461" s="113" t="n"/>
      <c r="R461" s="113" t="n"/>
    </row>
    <row r="462" ht="15.75" customHeight="1">
      <c r="A462" s="113" t="n"/>
      <c r="B462" s="146" t="n">
        <v>8</v>
      </c>
      <c r="C462" s="350" t="n">
        <v>45863</v>
      </c>
      <c r="D462" s="351" t="n">
        <v>6</v>
      </c>
      <c r="E462" s="264" t="inlineStr">
        <is>
          <t>MALAGUEÑA</t>
        </is>
      </c>
      <c r="F462" s="264" t="inlineStr">
        <is>
          <t>ABONEROS</t>
        </is>
      </c>
      <c r="G462" s="264" t="n">
        <v>10</v>
      </c>
      <c r="H462" s="264" t="inlineStr">
        <is>
          <t>JHON AGUIRRE</t>
        </is>
      </c>
      <c r="I462" s="264" t="inlineStr">
        <is>
          <t>EQY780</t>
        </is>
      </c>
      <c r="J462" s="265" t="n">
        <v>0.2361111111111111</v>
      </c>
      <c r="K462" s="266" t="n">
        <v>2629</v>
      </c>
      <c r="L462" s="308" t="n"/>
      <c r="M462" s="113" t="n"/>
      <c r="N462" s="113" t="n"/>
      <c r="O462" s="113" t="n"/>
      <c r="P462" s="243" t="n"/>
      <c r="Q462" s="113" t="n"/>
      <c r="R462" s="113" t="n"/>
    </row>
    <row r="463" ht="15.75" customHeight="1">
      <c r="A463" s="113" t="n"/>
      <c r="B463" s="146" t="n">
        <v>8</v>
      </c>
      <c r="C463" s="350" t="n">
        <v>45863</v>
      </c>
      <c r="D463" s="351" t="n">
        <v>7</v>
      </c>
      <c r="E463" s="264" t="inlineStr">
        <is>
          <t xml:space="preserve">GARCERAS </t>
        </is>
      </c>
      <c r="F463" s="264" t="inlineStr">
        <is>
          <t>CARGUEROS</t>
        </is>
      </c>
      <c r="G463" s="264" t="n">
        <v>11</v>
      </c>
      <c r="H463" s="264" t="inlineStr">
        <is>
          <t xml:space="preserve">EDWIN ROJAS </t>
        </is>
      </c>
      <c r="I463" s="264" t="inlineStr">
        <is>
          <t>TLN248</t>
        </is>
      </c>
      <c r="J463" s="265" t="n">
        <v>0.2881944444444444</v>
      </c>
      <c r="K463" s="266" t="n">
        <v>3295</v>
      </c>
      <c r="L463" s="308" t="n"/>
      <c r="M463" s="113" t="n"/>
      <c r="N463" s="113" t="n"/>
      <c r="O463" s="113" t="n"/>
      <c r="P463" s="243" t="n"/>
      <c r="Q463" s="113" t="n"/>
      <c r="R463" s="113" t="n"/>
    </row>
    <row r="464" ht="15.75" customHeight="1">
      <c r="A464" s="113" t="n"/>
      <c r="B464" s="146" t="n">
        <v>8</v>
      </c>
      <c r="C464" s="350" t="n">
        <v>45863</v>
      </c>
      <c r="D464" s="351" t="n">
        <v>8</v>
      </c>
      <c r="E464" s="264" t="inlineStr">
        <is>
          <t xml:space="preserve">GARCERAS </t>
        </is>
      </c>
      <c r="F464" s="264" t="inlineStr">
        <is>
          <t>CARGUEROS</t>
        </is>
      </c>
      <c r="G464" s="264" t="n">
        <v>11</v>
      </c>
      <c r="H464" s="264" t="inlineStr">
        <is>
          <t>MANUEL QUITIAN</t>
        </is>
      </c>
      <c r="I464" s="264" t="inlineStr">
        <is>
          <t>KUS176</t>
        </is>
      </c>
      <c r="J464" s="265" t="n">
        <v>0.3430555555555556</v>
      </c>
      <c r="K464" s="266" t="n">
        <v>3295</v>
      </c>
      <c r="L464" s="308" t="n"/>
      <c r="M464" s="113" t="n"/>
      <c r="N464" s="113" t="n"/>
      <c r="O464" s="113" t="n"/>
      <c r="P464" s="243" t="n"/>
      <c r="Q464" s="113" t="n"/>
      <c r="R464" s="113" t="n"/>
    </row>
    <row r="465" ht="15.75" customHeight="1">
      <c r="A465" s="113" t="n"/>
      <c r="B465" s="146" t="n">
        <v>8</v>
      </c>
      <c r="C465" s="350" t="n">
        <v>45863</v>
      </c>
      <c r="D465" s="351" t="n">
        <v>9</v>
      </c>
      <c r="E465" s="264" t="inlineStr">
        <is>
          <t xml:space="preserve">GARCERAS </t>
        </is>
      </c>
      <c r="F465" s="264" t="inlineStr">
        <is>
          <t>CARGUEROS</t>
        </is>
      </c>
      <c r="G465" s="264" t="n">
        <v>11</v>
      </c>
      <c r="H465" s="264" t="inlineStr">
        <is>
          <t xml:space="preserve">HENRY ROMERO </t>
        </is>
      </c>
      <c r="I465" s="264" t="inlineStr">
        <is>
          <t>EQY781</t>
        </is>
      </c>
      <c r="J465" s="265" t="n">
        <v>0.3784722222222222</v>
      </c>
      <c r="K465" s="266" t="n">
        <v>3295</v>
      </c>
      <c r="L465" s="309" t="n"/>
      <c r="M465" s="113" t="n"/>
      <c r="N465" s="113" t="n"/>
      <c r="O465" s="113" t="n"/>
      <c r="P465" s="243" t="n"/>
      <c r="Q465" s="113" t="n"/>
      <c r="R465" s="113" t="n"/>
    </row>
    <row r="466" ht="15.75" customHeight="1">
      <c r="A466" s="113" t="n"/>
      <c r="B466" s="146" t="n">
        <v>8</v>
      </c>
      <c r="C466" s="356" t="n">
        <v>45863</v>
      </c>
      <c r="D466" s="357" t="n">
        <v>10</v>
      </c>
      <c r="E466" s="271" t="inlineStr">
        <is>
          <t xml:space="preserve">GARCERAS </t>
        </is>
      </c>
      <c r="F466" s="271" t="inlineStr">
        <is>
          <t>CARGUEROS</t>
        </is>
      </c>
      <c r="G466" s="271" t="n">
        <v>11</v>
      </c>
      <c r="H466" s="271" t="inlineStr">
        <is>
          <t>ALEX GOMEZ</t>
        </is>
      </c>
      <c r="I466" s="271" t="inlineStr">
        <is>
          <t>TLO881</t>
        </is>
      </c>
      <c r="J466" s="272" t="n">
        <v>0.4166666666666667</v>
      </c>
      <c r="K466" s="273" t="n">
        <v>3310</v>
      </c>
      <c r="L466" s="378">
        <f>SUM(K457:K466)</f>
        <v/>
      </c>
      <c r="M466" s="113" t="n"/>
      <c r="N466" s="113" t="n"/>
      <c r="O466" s="113" t="n"/>
      <c r="P466" s="243" t="n"/>
      <c r="Q466" s="113" t="n"/>
      <c r="R466" s="113" t="n"/>
    </row>
    <row r="467" ht="15.75" customHeight="1">
      <c r="A467" s="113" t="n"/>
      <c r="B467" s="146" t="n">
        <v>8</v>
      </c>
      <c r="C467" s="348" t="n">
        <v>45864</v>
      </c>
      <c r="D467" s="349" t="n">
        <v>1</v>
      </c>
      <c r="E467" s="258" t="inlineStr">
        <is>
          <t>MALAGUEÑA</t>
        </is>
      </c>
      <c r="F467" s="258" t="inlineStr">
        <is>
          <t xml:space="preserve">CARGUEROS  </t>
        </is>
      </c>
      <c r="G467" s="258" t="n">
        <v>11</v>
      </c>
      <c r="H467" s="258" t="inlineStr">
        <is>
          <t xml:space="preserve">JAIRO CUBILLOS </t>
        </is>
      </c>
      <c r="I467" s="258" t="inlineStr">
        <is>
          <t>TLO884</t>
        </is>
      </c>
      <c r="J467" s="259" t="n">
        <v>0.03819444444444445</v>
      </c>
      <c r="K467" s="260" t="n">
        <v>2840</v>
      </c>
      <c r="L467" s="292" t="n"/>
      <c r="M467" s="113" t="n"/>
      <c r="N467" s="113" t="n"/>
      <c r="O467" s="113" t="n"/>
      <c r="P467" s="243" t="n"/>
      <c r="Q467" s="113" t="n"/>
      <c r="R467" s="113" t="n"/>
    </row>
    <row r="468" ht="15.75" customHeight="1">
      <c r="A468" s="113" t="n"/>
      <c r="B468" s="146" t="n">
        <v>8</v>
      </c>
      <c r="C468" s="350" t="n">
        <v>45864</v>
      </c>
      <c r="D468" s="351" t="n">
        <v>2</v>
      </c>
      <c r="E468" s="264" t="inlineStr">
        <is>
          <t>MALAGUEÑA</t>
        </is>
      </c>
      <c r="F468" s="264" t="inlineStr">
        <is>
          <t>CARGUEROS</t>
        </is>
      </c>
      <c r="G468" s="264" t="n">
        <v>11</v>
      </c>
      <c r="H468" s="264" t="inlineStr">
        <is>
          <t>EDWIN ROJAS</t>
        </is>
      </c>
      <c r="I468" s="264" t="inlineStr">
        <is>
          <t>TLN284</t>
        </is>
      </c>
      <c r="J468" s="265" t="n">
        <v>0.0763888888888889</v>
      </c>
      <c r="K468" s="266" t="n">
        <v>2840</v>
      </c>
      <c r="L468" s="308" t="n"/>
      <c r="M468" s="113" t="n"/>
      <c r="N468" s="113" t="n"/>
      <c r="O468" s="113" t="n"/>
      <c r="P468" s="243" t="n"/>
      <c r="Q468" s="113" t="n"/>
      <c r="R468" s="113" t="n"/>
    </row>
    <row r="469" ht="15.75" customHeight="1">
      <c r="A469" s="113" t="n"/>
      <c r="B469" s="146" t="n">
        <v>8</v>
      </c>
      <c r="C469" s="350" t="n">
        <v>45864</v>
      </c>
      <c r="D469" s="351" t="n">
        <v>3</v>
      </c>
      <c r="E469" s="264" t="inlineStr">
        <is>
          <t>MALAGUEÑA</t>
        </is>
      </c>
      <c r="F469" s="264" t="inlineStr">
        <is>
          <t>CARGUEROS</t>
        </is>
      </c>
      <c r="G469" s="264" t="n">
        <v>11</v>
      </c>
      <c r="H469" s="264" t="inlineStr">
        <is>
          <t xml:space="preserve">JOSE SOLER </t>
        </is>
      </c>
      <c r="I469" s="264" t="inlineStr">
        <is>
          <t>EQY776</t>
        </is>
      </c>
      <c r="J469" s="265" t="n">
        <v>0.1215277777777778</v>
      </c>
      <c r="K469" s="266" t="n">
        <v>3555</v>
      </c>
      <c r="L469" s="309" t="n"/>
      <c r="M469" s="113" t="n"/>
      <c r="N469" s="113" t="n"/>
      <c r="O469" s="113" t="n"/>
      <c r="P469" s="243" t="n"/>
      <c r="Q469" s="113" t="n"/>
      <c r="R469" s="113" t="n"/>
    </row>
    <row r="470" ht="15.75" customHeight="1">
      <c r="A470" s="113" t="n"/>
      <c r="B470" s="146" t="n">
        <v>8</v>
      </c>
      <c r="C470" s="356" t="n">
        <v>45864</v>
      </c>
      <c r="D470" s="357" t="n">
        <v>4</v>
      </c>
      <c r="E470" s="271" t="inlineStr">
        <is>
          <t>MALAGUEÑA</t>
        </is>
      </c>
      <c r="F470" s="271" t="inlineStr">
        <is>
          <t>CARGUEROS</t>
        </is>
      </c>
      <c r="G470" s="271" t="n">
        <v>11</v>
      </c>
      <c r="H470" s="271" t="inlineStr">
        <is>
          <t>FERNANDO OYUELA</t>
        </is>
      </c>
      <c r="I470" s="271" t="inlineStr">
        <is>
          <t>EQY778</t>
        </is>
      </c>
      <c r="J470" s="272" t="n">
        <v>0.1631944444444444</v>
      </c>
      <c r="K470" s="273" t="n">
        <v>3555</v>
      </c>
      <c r="L470" s="378">
        <f>SUM(K467:K470)</f>
        <v/>
      </c>
      <c r="M470" s="113" t="n"/>
      <c r="N470" s="113" t="n"/>
      <c r="O470" s="113" t="n"/>
      <c r="P470" s="243" t="n"/>
      <c r="Q470" s="113" t="n"/>
      <c r="R470" s="113" t="n"/>
    </row>
    <row r="471" ht="15.75" customHeight="1">
      <c r="A471" s="113" t="n"/>
      <c r="B471" s="146" t="n">
        <v>9</v>
      </c>
      <c r="C471" s="348" t="n">
        <v>45866</v>
      </c>
      <c r="D471" s="349" t="n">
        <v>1</v>
      </c>
      <c r="E471" s="258" t="inlineStr">
        <is>
          <t>MALAGUEÑA</t>
        </is>
      </c>
      <c r="F471" s="258" t="inlineStr">
        <is>
          <t>CARGUEROS</t>
        </is>
      </c>
      <c r="G471" s="258" t="n">
        <v>11</v>
      </c>
      <c r="H471" s="258" t="inlineStr">
        <is>
          <t xml:space="preserve">JAIRO CUBILLOS </t>
        </is>
      </c>
      <c r="I471" s="258" t="inlineStr">
        <is>
          <t>TLO884</t>
        </is>
      </c>
      <c r="J471" s="259" t="n">
        <v>0.04166666666666666</v>
      </c>
      <c r="K471" s="260" t="n">
        <v>2523</v>
      </c>
      <c r="L471" s="292" t="n"/>
      <c r="M471" s="113" t="n"/>
      <c r="N471" s="113" t="n"/>
      <c r="O471" s="113" t="n"/>
      <c r="P471" s="243" t="n"/>
      <c r="Q471" s="113" t="n"/>
      <c r="R471" s="113" t="n"/>
    </row>
    <row r="472" ht="15.75" customHeight="1">
      <c r="A472" s="113" t="n"/>
      <c r="B472" s="146" t="n">
        <v>9</v>
      </c>
      <c r="C472" s="350" t="n">
        <v>45866</v>
      </c>
      <c r="D472" s="351" t="n">
        <v>2</v>
      </c>
      <c r="E472" s="264" t="inlineStr">
        <is>
          <t>MALAGUEÑA</t>
        </is>
      </c>
      <c r="F472" s="264" t="inlineStr">
        <is>
          <t>CARGUEROS</t>
        </is>
      </c>
      <c r="G472" s="264" t="n">
        <v>11</v>
      </c>
      <c r="H472" s="264" t="inlineStr">
        <is>
          <t>EDWIN ROJAS</t>
        </is>
      </c>
      <c r="I472" s="264" t="inlineStr">
        <is>
          <t>TLN248</t>
        </is>
      </c>
      <c r="J472" s="265" t="n">
        <v>0.06944444444444445</v>
      </c>
      <c r="K472" s="266" t="n">
        <v>2523</v>
      </c>
      <c r="L472" s="308" t="n"/>
      <c r="M472" s="113" t="n"/>
      <c r="N472" s="113" t="n"/>
      <c r="O472" s="113" t="n"/>
      <c r="P472" s="243" t="n"/>
      <c r="Q472" s="113" t="n"/>
      <c r="R472" s="113" t="n"/>
    </row>
    <row r="473" ht="15.75" customHeight="1">
      <c r="A473" s="113" t="n"/>
      <c r="B473" s="146" t="n">
        <v>9</v>
      </c>
      <c r="C473" s="350" t="n">
        <v>45866</v>
      </c>
      <c r="D473" s="351" t="n">
        <v>3</v>
      </c>
      <c r="E473" s="264" t="inlineStr">
        <is>
          <t>MALAGUEÑA</t>
        </is>
      </c>
      <c r="F473" s="264" t="inlineStr">
        <is>
          <t xml:space="preserve">CARGUEROS  </t>
        </is>
      </c>
      <c r="G473" s="264" t="n">
        <v>11</v>
      </c>
      <c r="H473" s="264" t="inlineStr">
        <is>
          <t xml:space="preserve">JOSE SOLER </t>
        </is>
      </c>
      <c r="I473" s="264" t="inlineStr">
        <is>
          <t>EQY776</t>
        </is>
      </c>
      <c r="J473" s="265" t="n">
        <v>0.1236111111111111</v>
      </c>
      <c r="K473" s="266" t="n">
        <v>3150</v>
      </c>
      <c r="L473" s="308" t="n"/>
      <c r="M473" s="113" t="n"/>
      <c r="N473" s="113" t="n"/>
      <c r="O473" s="113" t="n"/>
      <c r="P473" s="243" t="n"/>
      <c r="Q473" s="113" t="n"/>
      <c r="R473" s="113" t="n"/>
    </row>
    <row r="474" ht="15.75" customHeight="1">
      <c r="A474" s="113" t="n"/>
      <c r="B474" s="146" t="n">
        <v>9</v>
      </c>
      <c r="C474" s="350" t="n">
        <v>45866</v>
      </c>
      <c r="D474" s="351" t="n">
        <v>4</v>
      </c>
      <c r="E474" s="264" t="inlineStr">
        <is>
          <t xml:space="preserve">SAN JOSE </t>
        </is>
      </c>
      <c r="F474" s="264" t="inlineStr">
        <is>
          <t xml:space="preserve">ABONEROS </t>
        </is>
      </c>
      <c r="G474" s="264" t="n">
        <v>9</v>
      </c>
      <c r="H474" s="264" t="inlineStr">
        <is>
          <t xml:space="preserve">YAIR RIVEROS </t>
        </is>
      </c>
      <c r="I474" s="264" t="inlineStr">
        <is>
          <t>TLN181</t>
        </is>
      </c>
      <c r="J474" s="265" t="n">
        <v>0.3256944444444445</v>
      </c>
      <c r="K474" s="266" t="n">
        <v>2900</v>
      </c>
      <c r="L474" s="308" t="n"/>
      <c r="M474" s="113" t="n"/>
      <c r="N474" s="113" t="n"/>
      <c r="O474" s="113" t="n"/>
      <c r="P474" s="243" t="n"/>
      <c r="Q474" s="113" t="n"/>
      <c r="R474" s="113" t="n"/>
    </row>
    <row r="475" ht="15.75" customHeight="1">
      <c r="A475" s="113" t="n"/>
      <c r="B475" s="146" t="n">
        <v>9</v>
      </c>
      <c r="C475" s="350" t="n">
        <v>45866</v>
      </c>
      <c r="D475" s="351" t="n">
        <v>5</v>
      </c>
      <c r="E475" s="264" t="inlineStr">
        <is>
          <t>MALAGUEÑA</t>
        </is>
      </c>
      <c r="F475" s="264" t="inlineStr">
        <is>
          <t>CARGUEROS</t>
        </is>
      </c>
      <c r="G475" s="264" t="n">
        <v>11</v>
      </c>
      <c r="H475" s="264" t="inlineStr">
        <is>
          <t xml:space="preserve">FERNANDO OYUELA </t>
        </is>
      </c>
      <c r="I475" s="264" t="inlineStr">
        <is>
          <t>EQY778</t>
        </is>
      </c>
      <c r="J475" s="265" t="n">
        <v>0.2881944444444444</v>
      </c>
      <c r="K475" s="266" t="n">
        <v>2803</v>
      </c>
      <c r="L475" s="308" t="n"/>
      <c r="M475" s="113" t="n"/>
      <c r="N475" s="113" t="n"/>
      <c r="O475" s="113" t="n"/>
      <c r="P475" s="243" t="n"/>
      <c r="Q475" s="113" t="n"/>
      <c r="R475" s="113" t="n"/>
    </row>
    <row r="476" ht="15.75" customHeight="1">
      <c r="A476" s="113" t="n"/>
      <c r="B476" s="146" t="n">
        <v>9</v>
      </c>
      <c r="C476" s="350" t="n">
        <v>45866</v>
      </c>
      <c r="D476" s="351" t="n">
        <v>6</v>
      </c>
      <c r="E476" s="264" t="inlineStr">
        <is>
          <t>MALAGUEÑA</t>
        </is>
      </c>
      <c r="F476" s="264" t="inlineStr">
        <is>
          <t xml:space="preserve">CARGUEROS  </t>
        </is>
      </c>
      <c r="G476" s="264" t="n">
        <v>11</v>
      </c>
      <c r="H476" s="264" t="inlineStr">
        <is>
          <t xml:space="preserve">JHON AGUIRRE </t>
        </is>
      </c>
      <c r="I476" s="264" t="inlineStr">
        <is>
          <t>EQY180</t>
        </is>
      </c>
      <c r="J476" s="265" t="n">
        <v>0.3229166666666667</v>
      </c>
      <c r="K476" s="266" t="n">
        <v>2263</v>
      </c>
      <c r="L476" s="308" t="n"/>
      <c r="M476" s="113" t="n"/>
      <c r="N476" s="113" t="n"/>
      <c r="O476" s="113" t="n"/>
      <c r="P476" s="243" t="n"/>
      <c r="Q476" s="113" t="n"/>
      <c r="R476" s="113" t="n"/>
    </row>
    <row r="477" ht="15.75" customHeight="1">
      <c r="A477" s="113" t="n"/>
      <c r="B477" s="146" t="n">
        <v>9</v>
      </c>
      <c r="C477" s="350" t="n">
        <v>45866</v>
      </c>
      <c r="D477" s="351" t="n">
        <v>7</v>
      </c>
      <c r="E477" s="264" t="inlineStr">
        <is>
          <t xml:space="preserve">SAN JOSE </t>
        </is>
      </c>
      <c r="F477" s="264" t="inlineStr">
        <is>
          <t xml:space="preserve">ABONEROS </t>
        </is>
      </c>
      <c r="G477" s="264" t="n">
        <v>9</v>
      </c>
      <c r="H477" s="264" t="inlineStr">
        <is>
          <t xml:space="preserve">WILMER PIÑEROS </t>
        </is>
      </c>
      <c r="I477" s="264" t="inlineStr">
        <is>
          <t>KNL076</t>
        </is>
      </c>
      <c r="J477" s="265" t="n">
        <v>0.3604166666666667</v>
      </c>
      <c r="K477" s="266" t="n">
        <v>2900</v>
      </c>
      <c r="L477" s="308" t="n"/>
      <c r="M477" s="113" t="n"/>
      <c r="N477" s="113" t="n"/>
      <c r="O477" s="113" t="n"/>
      <c r="P477" s="243" t="n"/>
      <c r="Q477" s="113" t="n"/>
      <c r="R477" s="113" t="n"/>
    </row>
    <row r="478" ht="15.75" customHeight="1">
      <c r="A478" s="113" t="n"/>
      <c r="B478" s="146" t="n">
        <v>9</v>
      </c>
      <c r="C478" s="350" t="n">
        <v>45866</v>
      </c>
      <c r="D478" s="351" t="n">
        <v>8</v>
      </c>
      <c r="E478" s="264" t="inlineStr">
        <is>
          <t xml:space="preserve">SAN JOSE </t>
        </is>
      </c>
      <c r="F478" s="264" t="inlineStr">
        <is>
          <t xml:space="preserve">ABONEROS </t>
        </is>
      </c>
      <c r="G478" s="264" t="n">
        <v>9</v>
      </c>
      <c r="H478" s="264" t="inlineStr">
        <is>
          <t xml:space="preserve">ALEX GOMEZ </t>
        </is>
      </c>
      <c r="I478" s="264" t="inlineStr">
        <is>
          <t>TLO881</t>
        </is>
      </c>
      <c r="J478" s="265" t="n">
        <v>0.3902777777777778</v>
      </c>
      <c r="K478" s="266" t="n">
        <v>2900</v>
      </c>
      <c r="L478" s="308" t="n"/>
      <c r="M478" s="113" t="n"/>
      <c r="N478" s="113" t="n"/>
      <c r="O478" s="113" t="n"/>
      <c r="P478" s="243" t="n"/>
      <c r="Q478" s="113" t="n"/>
      <c r="R478" s="113" t="n"/>
    </row>
    <row r="479" ht="15.75" customHeight="1">
      <c r="A479" s="113" t="n"/>
      <c r="B479" s="146" t="n">
        <v>9</v>
      </c>
      <c r="C479" s="350" t="n">
        <v>45866</v>
      </c>
      <c r="D479" s="351" t="n">
        <v>9</v>
      </c>
      <c r="E479" s="264" t="inlineStr">
        <is>
          <t xml:space="preserve">SAN JOSE </t>
        </is>
      </c>
      <c r="F479" s="264" t="inlineStr">
        <is>
          <t xml:space="preserve">CARGUEROS  </t>
        </is>
      </c>
      <c r="G479" s="264" t="n">
        <v>11</v>
      </c>
      <c r="H479" s="264" t="inlineStr">
        <is>
          <t xml:space="preserve">JAIRO CUBILLOS </t>
        </is>
      </c>
      <c r="I479" s="264" t="inlineStr">
        <is>
          <t>TLO881</t>
        </is>
      </c>
      <c r="J479" s="265" t="n">
        <v>0.4201388888888889</v>
      </c>
      <c r="K479" s="266" t="n">
        <v>2900</v>
      </c>
      <c r="L479" s="308" t="n"/>
      <c r="M479" s="113" t="n"/>
      <c r="N479" s="113" t="n"/>
      <c r="O479" s="113" t="n"/>
      <c r="P479" s="243" t="n"/>
      <c r="Q479" s="113" t="n"/>
      <c r="R479" s="113" t="n"/>
    </row>
    <row r="480" ht="15.75" customHeight="1">
      <c r="A480" s="113" t="n"/>
      <c r="B480" s="146" t="n">
        <v>9</v>
      </c>
      <c r="C480" s="356" t="n">
        <v>45866</v>
      </c>
      <c r="D480" s="357" t="n">
        <v>10</v>
      </c>
      <c r="E480" s="271" t="inlineStr">
        <is>
          <t xml:space="preserve">SAN JOSE </t>
        </is>
      </c>
      <c r="F480" s="271" t="inlineStr">
        <is>
          <t xml:space="preserve">CARGUEROS  </t>
        </is>
      </c>
      <c r="G480" s="271" t="n">
        <v>11</v>
      </c>
      <c r="H480" s="271" t="inlineStr">
        <is>
          <t xml:space="preserve">EDWIN ROJAS </t>
        </is>
      </c>
      <c r="I480" s="271" t="inlineStr">
        <is>
          <t>TLN248</t>
        </is>
      </c>
      <c r="J480" s="272" t="n">
        <v>0.4576388888888889</v>
      </c>
      <c r="K480" s="286" t="n">
        <v>2900</v>
      </c>
      <c r="L480" s="385">
        <f>SUM(K471:K480)</f>
        <v/>
      </c>
      <c r="M480" s="113" t="n"/>
      <c r="N480" s="113" t="n"/>
      <c r="O480" s="113" t="n"/>
      <c r="P480" s="243" t="n"/>
      <c r="Q480" s="113" t="n"/>
      <c r="R480" s="113" t="n"/>
    </row>
    <row r="481" ht="15.75" customHeight="1">
      <c r="A481" s="113" t="n"/>
      <c r="B481" s="146" t="n">
        <v>9</v>
      </c>
      <c r="C481" s="348" t="n">
        <v>45867</v>
      </c>
      <c r="D481" s="349" t="n">
        <v>1</v>
      </c>
      <c r="E481" s="258" t="inlineStr">
        <is>
          <t>MALAGUEÑA</t>
        </is>
      </c>
      <c r="F481" s="258" t="inlineStr">
        <is>
          <t>CARGUEROS</t>
        </is>
      </c>
      <c r="G481" s="258" t="n">
        <v>11</v>
      </c>
      <c r="H481" s="258" t="inlineStr">
        <is>
          <t xml:space="preserve">WILMER PIÑEROS </t>
        </is>
      </c>
      <c r="I481" s="258" t="inlineStr">
        <is>
          <t>KLN076</t>
        </is>
      </c>
      <c r="J481" s="259" t="n">
        <v>0.0006944444444444445</v>
      </c>
      <c r="K481" s="260" t="n">
        <v>2700</v>
      </c>
      <c r="L481" s="292" t="n"/>
      <c r="M481" s="113" t="n"/>
      <c r="N481" s="113" t="n"/>
      <c r="O481" s="113" t="n"/>
      <c r="P481" s="243" t="n"/>
      <c r="Q481" s="113" t="n"/>
      <c r="R481" s="113" t="n"/>
    </row>
    <row r="482" ht="15.75" customHeight="1">
      <c r="A482" s="113" t="n"/>
      <c r="B482" s="146" t="n">
        <v>9</v>
      </c>
      <c r="C482" s="350" t="n">
        <v>45867</v>
      </c>
      <c r="D482" s="351" t="n">
        <v>2</v>
      </c>
      <c r="E482" s="264" t="inlineStr">
        <is>
          <t>MALAGUEÑA</t>
        </is>
      </c>
      <c r="F482" s="264" t="inlineStr">
        <is>
          <t>CARGUEROS</t>
        </is>
      </c>
      <c r="G482" s="264" t="n">
        <v>11</v>
      </c>
      <c r="H482" s="264" t="inlineStr">
        <is>
          <t>DIEGO NIÑO</t>
        </is>
      </c>
      <c r="I482" s="264" t="inlineStr">
        <is>
          <t>GZZ673</t>
        </is>
      </c>
      <c r="J482" s="265" t="n">
        <v>0.02777777777777778</v>
      </c>
      <c r="K482" s="266" t="n">
        <v>2700</v>
      </c>
      <c r="L482" s="308" t="n"/>
      <c r="M482" s="113" t="n"/>
      <c r="N482" s="113" t="n"/>
      <c r="O482" s="113" t="n"/>
      <c r="P482" s="243" t="n"/>
      <c r="Q482" s="113" t="n"/>
      <c r="R482" s="113" t="n"/>
    </row>
    <row r="483" ht="15.75" customHeight="1">
      <c r="A483" s="113" t="n"/>
      <c r="B483" s="146" t="n">
        <v>9</v>
      </c>
      <c r="C483" s="350" t="n">
        <v>45867</v>
      </c>
      <c r="D483" s="351" t="n">
        <v>3</v>
      </c>
      <c r="E483" s="264" t="inlineStr">
        <is>
          <t>MALAGUEÑA</t>
        </is>
      </c>
      <c r="F483" s="264" t="inlineStr">
        <is>
          <t>CARGUEROS</t>
        </is>
      </c>
      <c r="G483" s="264" t="n">
        <v>11</v>
      </c>
      <c r="H483" s="264" t="inlineStr">
        <is>
          <t xml:space="preserve">YAIR RIVEROS </t>
        </is>
      </c>
      <c r="I483" s="264" t="inlineStr">
        <is>
          <t>TLN181</t>
        </is>
      </c>
      <c r="J483" s="265" t="n">
        <v>0.05555555555555555</v>
      </c>
      <c r="K483" s="266" t="n">
        <v>2700</v>
      </c>
      <c r="L483" s="308" t="n"/>
      <c r="M483" s="113" t="n"/>
      <c r="N483" s="113" t="n"/>
      <c r="O483" s="113" t="n"/>
      <c r="P483" s="243" t="n"/>
      <c r="Q483" s="113" t="n"/>
      <c r="R483" s="113" t="n"/>
    </row>
    <row r="484" ht="15.75" customHeight="1">
      <c r="A484" s="113" t="n"/>
      <c r="B484" s="146" t="n">
        <v>9</v>
      </c>
      <c r="C484" s="350" t="n">
        <v>45867</v>
      </c>
      <c r="D484" s="351" t="n">
        <v>4</v>
      </c>
      <c r="E484" s="264" t="inlineStr">
        <is>
          <t>MALAGUEÑA</t>
        </is>
      </c>
      <c r="F484" s="264" t="inlineStr">
        <is>
          <t>CARGUEROS</t>
        </is>
      </c>
      <c r="G484" s="264" t="n">
        <v>11</v>
      </c>
      <c r="H484" s="264" t="inlineStr">
        <is>
          <t xml:space="preserve">ALBERTO LOPEZ </t>
        </is>
      </c>
      <c r="I484" s="264" t="inlineStr">
        <is>
          <t>EQY777</t>
        </is>
      </c>
      <c r="J484" s="265" t="n">
        <v>0.09722222222222222</v>
      </c>
      <c r="K484" s="266" t="n">
        <v>2900</v>
      </c>
      <c r="L484" s="308" t="n"/>
      <c r="M484" s="113" t="n"/>
      <c r="N484" s="113" t="n"/>
      <c r="O484" s="113" t="n"/>
      <c r="P484" s="243" t="n"/>
      <c r="Q484" s="113" t="n"/>
      <c r="R484" s="113" t="n"/>
    </row>
    <row r="485" ht="15.75" customHeight="1">
      <c r="A485" s="113" t="n"/>
      <c r="B485" s="146" t="n">
        <v>9</v>
      </c>
      <c r="C485" s="350" t="n">
        <v>45867</v>
      </c>
      <c r="D485" s="351" t="n">
        <v>5</v>
      </c>
      <c r="E485" s="264" t="inlineStr">
        <is>
          <t>MALAGUEÑA</t>
        </is>
      </c>
      <c r="F485" s="264" t="inlineStr">
        <is>
          <t>CARGUEROS</t>
        </is>
      </c>
      <c r="G485" s="264" t="n">
        <v>11</v>
      </c>
      <c r="H485" s="264" t="inlineStr">
        <is>
          <t>ALEX GOMEZ</t>
        </is>
      </c>
      <c r="I485" s="264" t="inlineStr">
        <is>
          <t>TLO881</t>
        </is>
      </c>
      <c r="J485" s="265" t="n">
        <v>0.1388888888888889</v>
      </c>
      <c r="K485" s="266" t="n">
        <v>3350</v>
      </c>
      <c r="L485" s="308" t="n"/>
      <c r="M485" s="113" t="n"/>
      <c r="N485" s="113" t="n"/>
      <c r="O485" s="113" t="n"/>
      <c r="P485" s="243" t="n"/>
      <c r="Q485" s="113" t="n"/>
      <c r="R485" s="113" t="n"/>
    </row>
    <row r="486" ht="15.75" customHeight="1">
      <c r="A486" s="113" t="n"/>
      <c r="B486" s="146" t="n">
        <v>9</v>
      </c>
      <c r="C486" s="350" t="n">
        <v>45867</v>
      </c>
      <c r="D486" s="351" t="n">
        <v>6</v>
      </c>
      <c r="E486" s="264" t="inlineStr">
        <is>
          <t>MALAGUEÑA</t>
        </is>
      </c>
      <c r="F486" s="264" t="inlineStr">
        <is>
          <t>CARGUEROS</t>
        </is>
      </c>
      <c r="G486" s="264" t="n">
        <v>11</v>
      </c>
      <c r="H486" s="264" t="inlineStr">
        <is>
          <t xml:space="preserve">HENRY ROMERO </t>
        </is>
      </c>
      <c r="I486" s="264" t="inlineStr">
        <is>
          <t>EQY781</t>
        </is>
      </c>
      <c r="J486" s="265" t="n">
        <v>0.1909722222222222</v>
      </c>
      <c r="K486" s="266" t="n">
        <v>3350</v>
      </c>
      <c r="L486" s="308" t="n"/>
      <c r="M486" s="113" t="n"/>
      <c r="N486" s="113" t="n"/>
      <c r="O486" s="113" t="n"/>
      <c r="P486" s="243" t="n"/>
      <c r="Q486" s="113" t="n"/>
      <c r="R486" s="113" t="n"/>
    </row>
    <row r="487" ht="15.75" customHeight="1">
      <c r="A487" s="113" t="n"/>
      <c r="B487" s="146" t="n">
        <v>9</v>
      </c>
      <c r="C487" s="350" t="n">
        <v>45867</v>
      </c>
      <c r="D487" s="351" t="n">
        <v>7</v>
      </c>
      <c r="E487" s="264" t="inlineStr">
        <is>
          <t>MALAGUEÑA</t>
        </is>
      </c>
      <c r="F487" s="264" t="inlineStr">
        <is>
          <t>CARGUEROS</t>
        </is>
      </c>
      <c r="G487" s="264" t="n">
        <v>11</v>
      </c>
      <c r="H487" s="264" t="inlineStr">
        <is>
          <t xml:space="preserve">EDWIN ROJAS </t>
        </is>
      </c>
      <c r="I487" s="264" t="inlineStr">
        <is>
          <t>TLN248</t>
        </is>
      </c>
      <c r="J487" s="265" t="n">
        <v>0.2326388888888889</v>
      </c>
      <c r="K487" s="266" t="n">
        <v>3040</v>
      </c>
      <c r="L487" s="308" t="n"/>
      <c r="M487" s="113" t="n"/>
      <c r="N487" s="113" t="n"/>
      <c r="O487" s="113" t="n"/>
      <c r="P487" s="243" t="n"/>
      <c r="Q487" s="113" t="n"/>
      <c r="R487" s="113" t="n"/>
    </row>
    <row r="488" ht="15.75" customHeight="1">
      <c r="A488" s="113" t="n"/>
      <c r="B488" s="146" t="n">
        <v>9</v>
      </c>
      <c r="C488" s="350" t="n">
        <v>45867</v>
      </c>
      <c r="D488" s="351" t="n">
        <v>8</v>
      </c>
      <c r="E488" s="264" t="inlineStr">
        <is>
          <t>MALAGUEÑA</t>
        </is>
      </c>
      <c r="F488" s="264" t="inlineStr">
        <is>
          <t>CARGUEROS</t>
        </is>
      </c>
      <c r="G488" s="264" t="n">
        <v>11</v>
      </c>
      <c r="H488" s="264" t="inlineStr">
        <is>
          <t xml:space="preserve">FABIO ALDANA </t>
        </is>
      </c>
      <c r="I488" s="264" t="inlineStr">
        <is>
          <t>TLO882</t>
        </is>
      </c>
      <c r="J488" s="265" t="n">
        <v>0.2708333333333333</v>
      </c>
      <c r="K488" s="266" t="n">
        <v>3040</v>
      </c>
      <c r="L488" s="308" t="n"/>
      <c r="M488" s="113" t="n"/>
      <c r="N488" s="113" t="n"/>
      <c r="O488" s="113" t="n"/>
      <c r="P488" s="243" t="n"/>
      <c r="Q488" s="113" t="n"/>
      <c r="R488" s="113" t="n"/>
    </row>
    <row r="489" ht="15.75" customHeight="1">
      <c r="A489" s="113" t="n"/>
      <c r="B489" s="146" t="n">
        <v>9</v>
      </c>
      <c r="C489" s="350" t="n">
        <v>45867</v>
      </c>
      <c r="D489" s="351" t="n">
        <v>9</v>
      </c>
      <c r="E489" s="264" t="inlineStr">
        <is>
          <t>MALAGUEÑA</t>
        </is>
      </c>
      <c r="F489" s="264" t="inlineStr">
        <is>
          <t>CARGUEROS</t>
        </is>
      </c>
      <c r="G489" s="264" t="n">
        <v>11</v>
      </c>
      <c r="H489" s="264" t="inlineStr">
        <is>
          <t xml:space="preserve">WILMER PIÑEROS </t>
        </is>
      </c>
      <c r="I489" s="264" t="inlineStr">
        <is>
          <t>KLN076</t>
        </is>
      </c>
      <c r="J489" s="265" t="n">
        <v>0.3263888888888889</v>
      </c>
      <c r="K489" s="266" t="n">
        <v>3100</v>
      </c>
      <c r="L489" s="308" t="n"/>
      <c r="M489" s="113" t="n"/>
      <c r="N489" s="113" t="n"/>
      <c r="O489" s="113" t="n"/>
      <c r="P489" s="243" t="n"/>
      <c r="Q489" s="113" t="n"/>
      <c r="R489" s="113" t="n"/>
    </row>
    <row r="490" ht="15.75" customHeight="1">
      <c r="A490" s="113" t="n"/>
      <c r="B490" s="146" t="n">
        <v>9</v>
      </c>
      <c r="C490" s="350" t="n">
        <v>45867</v>
      </c>
      <c r="D490" s="351" t="n">
        <v>10</v>
      </c>
      <c r="E490" s="264" t="inlineStr">
        <is>
          <t>MALAGUEÑA</t>
        </is>
      </c>
      <c r="F490" s="264" t="inlineStr">
        <is>
          <t xml:space="preserve">CARGUEROS  </t>
        </is>
      </c>
      <c r="G490" s="264" t="n">
        <v>11</v>
      </c>
      <c r="H490" s="264" t="inlineStr">
        <is>
          <t>DIEGO NIÑO</t>
        </is>
      </c>
      <c r="I490" s="264" t="inlineStr">
        <is>
          <t>GZZ673</t>
        </is>
      </c>
      <c r="J490" s="265" t="n">
        <v>0.3645833333333333</v>
      </c>
      <c r="K490" s="266" t="n">
        <v>3100</v>
      </c>
      <c r="L490" s="308" t="n"/>
      <c r="M490" s="113" t="n"/>
      <c r="N490" s="113" t="n"/>
      <c r="O490" s="113" t="n"/>
      <c r="P490" s="243" t="n"/>
      <c r="Q490" s="113" t="n"/>
      <c r="R490" s="113" t="n"/>
    </row>
    <row r="491" ht="15.75" customHeight="1">
      <c r="A491" s="113" t="n"/>
      <c r="B491" s="146" t="n">
        <v>9</v>
      </c>
      <c r="C491" s="350" t="n">
        <v>45867</v>
      </c>
      <c r="D491" s="351" t="n">
        <v>11</v>
      </c>
      <c r="E491" s="264" t="inlineStr">
        <is>
          <t xml:space="preserve">SAN JOSE </t>
        </is>
      </c>
      <c r="F491" s="264" t="inlineStr">
        <is>
          <t>ABONEROS</t>
        </is>
      </c>
      <c r="G491" s="264" t="n">
        <v>10</v>
      </c>
      <c r="H491" s="264" t="inlineStr">
        <is>
          <t>ALEX GOMEZ</t>
        </is>
      </c>
      <c r="I491" s="264" t="inlineStr">
        <is>
          <t>TLO881</t>
        </is>
      </c>
      <c r="J491" s="265" t="n">
        <v>0.40625</v>
      </c>
      <c r="K491" s="266" t="n">
        <v>2800</v>
      </c>
      <c r="L491" s="308" t="n"/>
      <c r="M491" s="113" t="n"/>
      <c r="N491" s="113" t="n"/>
      <c r="O491" s="113" t="n"/>
      <c r="P491" s="243" t="n"/>
      <c r="Q491" s="113" t="n"/>
      <c r="R491" s="113" t="n"/>
    </row>
    <row r="492" ht="15.75" customHeight="1">
      <c r="A492" s="113" t="n"/>
      <c r="B492" s="146" t="n">
        <v>9</v>
      </c>
      <c r="C492" s="350" t="n">
        <v>45867</v>
      </c>
      <c r="D492" s="351" t="n">
        <v>12</v>
      </c>
      <c r="E492" s="264" t="inlineStr">
        <is>
          <t xml:space="preserve">SAN JOSE </t>
        </is>
      </c>
      <c r="F492" s="264" t="inlineStr">
        <is>
          <t>ABONEROS</t>
        </is>
      </c>
      <c r="G492" s="264" t="n">
        <v>10</v>
      </c>
      <c r="H492" s="264" t="inlineStr">
        <is>
          <t>YAIR RIVEROS</t>
        </is>
      </c>
      <c r="I492" s="264" t="inlineStr">
        <is>
          <t>TLN181</t>
        </is>
      </c>
      <c r="J492" s="265" t="n">
        <v>0.4430555555555555</v>
      </c>
      <c r="K492" s="266" t="n">
        <v>2800</v>
      </c>
      <c r="L492" s="309" t="n"/>
      <c r="M492" s="113" t="n"/>
      <c r="N492" s="113" t="n"/>
      <c r="O492" s="113" t="n"/>
      <c r="P492" s="243" t="n"/>
      <c r="Q492" s="113" t="n"/>
      <c r="R492" s="113" t="n"/>
    </row>
    <row r="493" ht="15.75" customHeight="1">
      <c r="A493" s="113" t="n"/>
      <c r="B493" s="146" t="n">
        <v>9</v>
      </c>
      <c r="C493" s="356" t="n">
        <v>45867</v>
      </c>
      <c r="D493" s="357" t="n">
        <v>13</v>
      </c>
      <c r="E493" s="271" t="inlineStr">
        <is>
          <t xml:space="preserve">SAN JOSE </t>
        </is>
      </c>
      <c r="F493" s="271" t="inlineStr">
        <is>
          <t xml:space="preserve">ABONEROS </t>
        </is>
      </c>
      <c r="G493" s="271" t="n">
        <v>10</v>
      </c>
      <c r="H493" s="271" t="inlineStr">
        <is>
          <t>ALBERTO LOPEZ</t>
        </is>
      </c>
      <c r="I493" s="271" t="inlineStr">
        <is>
          <t>EQY777</t>
        </is>
      </c>
      <c r="J493" s="272" t="n">
        <v>0.4770833333333334</v>
      </c>
      <c r="K493" s="273" t="n">
        <v>2800</v>
      </c>
      <c r="L493" s="378">
        <f>SUM(K481:K493)</f>
        <v/>
      </c>
      <c r="M493" s="113" t="n"/>
      <c r="N493" s="113" t="n"/>
      <c r="O493" s="113" t="n"/>
      <c r="P493" s="243" t="n"/>
      <c r="Q493" s="113" t="n"/>
      <c r="R493" s="113" t="n"/>
    </row>
    <row r="494" ht="15.75" customHeight="1">
      <c r="A494" s="113" t="n"/>
      <c r="B494" s="146" t="n">
        <v>9</v>
      </c>
      <c r="C494" s="348" t="n">
        <v>45868</v>
      </c>
      <c r="D494" s="349" t="n">
        <v>1</v>
      </c>
      <c r="E494" s="258" t="inlineStr">
        <is>
          <t>MALAGUEÑA</t>
        </is>
      </c>
      <c r="F494" s="258" t="inlineStr">
        <is>
          <t>CARGUEROS</t>
        </is>
      </c>
      <c r="G494" s="258" t="n">
        <v>11</v>
      </c>
      <c r="H494" s="258" t="inlineStr">
        <is>
          <t>FERNANDO OYUELA</t>
        </is>
      </c>
      <c r="I494" s="258" t="inlineStr">
        <is>
          <t>EQY778</t>
        </is>
      </c>
      <c r="J494" s="259" t="n">
        <v>0.9930555555555556</v>
      </c>
      <c r="K494" s="260" t="n">
        <v>2916</v>
      </c>
      <c r="L494" s="292" t="n"/>
      <c r="M494" s="113" t="n"/>
      <c r="N494" s="113" t="n"/>
      <c r="O494" s="113" t="n"/>
      <c r="P494" s="243" t="n"/>
      <c r="Q494" s="113" t="n"/>
      <c r="R494" s="113" t="n"/>
    </row>
    <row r="495" ht="15.75" customHeight="1">
      <c r="A495" s="113" t="n"/>
      <c r="B495" s="146" t="n">
        <v>9</v>
      </c>
      <c r="C495" s="350" t="n">
        <v>45868</v>
      </c>
      <c r="D495" s="351" t="n">
        <v>2</v>
      </c>
      <c r="E495" s="264" t="inlineStr">
        <is>
          <t>MALAGUEÑA</t>
        </is>
      </c>
      <c r="F495" s="264" t="inlineStr">
        <is>
          <t>CARGUEROS</t>
        </is>
      </c>
      <c r="G495" s="264" t="n">
        <v>11</v>
      </c>
      <c r="H495" s="264" t="inlineStr">
        <is>
          <t>JHON AGUIRRE</t>
        </is>
      </c>
      <c r="I495" s="264" t="inlineStr">
        <is>
          <t>EQY780</t>
        </is>
      </c>
      <c r="J495" s="265" t="n">
        <v>0.02777777777777778</v>
      </c>
      <c r="K495" s="266" t="n">
        <v>2916</v>
      </c>
      <c r="L495" s="308" t="n"/>
      <c r="M495" s="113" t="n"/>
      <c r="N495" s="113" t="n"/>
      <c r="O495" s="113" t="n"/>
      <c r="P495" s="243" t="n"/>
      <c r="Q495" s="113" t="n"/>
      <c r="R495" s="113" t="n"/>
    </row>
    <row r="496" ht="15.75" customHeight="1">
      <c r="A496" s="113" t="n"/>
      <c r="B496" s="146" t="n">
        <v>9</v>
      </c>
      <c r="C496" s="350" t="n">
        <v>45868</v>
      </c>
      <c r="D496" s="351" t="n">
        <v>3</v>
      </c>
      <c r="E496" s="264" t="inlineStr">
        <is>
          <t>MALAGUEÑA</t>
        </is>
      </c>
      <c r="F496" s="264" t="inlineStr">
        <is>
          <t>CARGUEROS</t>
        </is>
      </c>
      <c r="G496" s="264" t="n">
        <v>11</v>
      </c>
      <c r="H496" s="264" t="inlineStr">
        <is>
          <t xml:space="preserve">JAIRO CUBILLOS </t>
        </is>
      </c>
      <c r="I496" s="264" t="inlineStr">
        <is>
          <t>TLO884</t>
        </is>
      </c>
      <c r="J496" s="265" t="n">
        <v>0.05694444444444444</v>
      </c>
      <c r="K496" s="266" t="n">
        <v>2916</v>
      </c>
      <c r="L496" s="308" t="n"/>
      <c r="M496" s="113" t="n"/>
      <c r="N496" s="113" t="n"/>
      <c r="O496" s="113" t="n"/>
      <c r="P496" s="243" t="n"/>
      <c r="Q496" s="113" t="n"/>
      <c r="R496" s="113" t="n"/>
    </row>
    <row r="497" ht="15.75" customHeight="1">
      <c r="A497" s="113" t="n"/>
      <c r="B497" s="146" t="n">
        <v>9</v>
      </c>
      <c r="C497" s="350" t="n">
        <v>45868</v>
      </c>
      <c r="D497" s="351" t="n">
        <v>4</v>
      </c>
      <c r="E497" s="264" t="inlineStr">
        <is>
          <t>MALAGUEÑA</t>
        </is>
      </c>
      <c r="F497" s="264" t="inlineStr">
        <is>
          <t>CARGUEROS</t>
        </is>
      </c>
      <c r="G497" s="264" t="n">
        <v>11</v>
      </c>
      <c r="H497" s="264" t="inlineStr">
        <is>
          <t>DUMAR ANGARITA</t>
        </is>
      </c>
      <c r="I497" s="264" t="inlineStr">
        <is>
          <t>LQO745</t>
        </is>
      </c>
      <c r="J497" s="265" t="n">
        <v>0.1041666666666667</v>
      </c>
      <c r="K497" s="266" t="n">
        <v>3474</v>
      </c>
      <c r="L497" s="308" t="n"/>
      <c r="M497" s="113" t="n"/>
      <c r="N497" s="113" t="n"/>
      <c r="O497" s="113" t="n"/>
      <c r="P497" s="243" t="n"/>
      <c r="Q497" s="113" t="n"/>
      <c r="R497" s="113" t="n"/>
    </row>
    <row r="498" ht="15.75" customHeight="1">
      <c r="A498" s="113" t="n"/>
      <c r="B498" s="146" t="n">
        <v>9</v>
      </c>
      <c r="C498" s="350" t="n">
        <v>45868</v>
      </c>
      <c r="D498" s="351" t="n">
        <v>5</v>
      </c>
      <c r="E498" s="264" t="inlineStr">
        <is>
          <t>MALAGUEÑA</t>
        </is>
      </c>
      <c r="F498" s="264" t="inlineStr">
        <is>
          <t>CARGUEROS</t>
        </is>
      </c>
      <c r="G498" s="264" t="n">
        <v>11</v>
      </c>
      <c r="H498" s="264" t="inlineStr">
        <is>
          <t xml:space="preserve">WILMER PIÑEROS </t>
        </is>
      </c>
      <c r="I498" s="264" t="inlineStr">
        <is>
          <t>KLN076</t>
        </is>
      </c>
      <c r="J498" s="265" t="n">
        <v>0.1458333333333333</v>
      </c>
      <c r="K498" s="266" t="n">
        <v>2676</v>
      </c>
      <c r="L498" s="308" t="n"/>
      <c r="M498" s="113" t="n"/>
      <c r="N498" s="113" t="n"/>
      <c r="O498" s="113" t="n"/>
      <c r="P498" s="243" t="n"/>
      <c r="Q498" s="113" t="n"/>
      <c r="R498" s="113" t="n"/>
    </row>
    <row r="499" ht="15.75" customHeight="1">
      <c r="A499" s="113" t="n"/>
      <c r="B499" s="146" t="n">
        <v>9</v>
      </c>
      <c r="C499" s="350" t="n">
        <v>45868</v>
      </c>
      <c r="D499" s="351" t="n">
        <v>6</v>
      </c>
      <c r="E499" s="264" t="inlineStr">
        <is>
          <t>MALAGUEÑA</t>
        </is>
      </c>
      <c r="F499" s="264" t="inlineStr">
        <is>
          <t>CARGUEROS</t>
        </is>
      </c>
      <c r="G499" s="264" t="n">
        <v>11</v>
      </c>
      <c r="H499" s="264" t="inlineStr">
        <is>
          <t>EDWIN ROJAS</t>
        </is>
      </c>
      <c r="I499" s="264" t="inlineStr">
        <is>
          <t>TLN248</t>
        </is>
      </c>
      <c r="J499" s="265" t="n">
        <v>0.1875</v>
      </c>
      <c r="K499" s="266" t="n">
        <v>3914</v>
      </c>
      <c r="L499" s="308" t="n"/>
      <c r="M499" s="113" t="n"/>
      <c r="N499" s="113" t="n"/>
      <c r="O499" s="113" t="n"/>
      <c r="P499" s="243" t="n"/>
      <c r="Q499" s="113" t="n"/>
      <c r="R499" s="113" t="n"/>
    </row>
    <row r="500" ht="15.75" customHeight="1">
      <c r="A500" s="113" t="n"/>
      <c r="B500" s="146" t="n">
        <v>9</v>
      </c>
      <c r="C500" s="350" t="n">
        <v>45868</v>
      </c>
      <c r="D500" s="351" t="n">
        <v>7</v>
      </c>
      <c r="E500" s="264" t="inlineStr">
        <is>
          <t xml:space="preserve">MALAGUEÑA </t>
        </is>
      </c>
      <c r="F500" s="264" t="inlineStr">
        <is>
          <t xml:space="preserve">ABONEROS </t>
        </is>
      </c>
      <c r="G500" s="264" t="n">
        <v>10</v>
      </c>
      <c r="H500" s="264" t="inlineStr">
        <is>
          <t>JHON ARIAS</t>
        </is>
      </c>
      <c r="I500" s="264" t="inlineStr">
        <is>
          <t>EQY779</t>
        </is>
      </c>
      <c r="J500" s="265" t="n">
        <v>0.2263888888888889</v>
      </c>
      <c r="K500" s="266" t="n">
        <v>2806</v>
      </c>
      <c r="L500" s="308" t="n"/>
      <c r="M500" s="113" t="n"/>
      <c r="N500" s="113" t="n"/>
      <c r="O500" s="113" t="n"/>
      <c r="P500" s="243" t="n"/>
      <c r="Q500" s="113" t="n"/>
      <c r="R500" s="113" t="n"/>
    </row>
    <row r="501" ht="15.75" customHeight="1">
      <c r="A501" s="113" t="n"/>
      <c r="B501" s="146" t="n">
        <v>9</v>
      </c>
      <c r="C501" s="350" t="n">
        <v>45868</v>
      </c>
      <c r="D501" s="351" t="n">
        <v>8</v>
      </c>
      <c r="E501" s="264" t="inlineStr">
        <is>
          <t xml:space="preserve">SAN JOSE </t>
        </is>
      </c>
      <c r="F501" s="264" t="inlineStr">
        <is>
          <t>CARGUEROS</t>
        </is>
      </c>
      <c r="G501" s="264" t="n">
        <v>11</v>
      </c>
      <c r="H501" s="264" t="inlineStr">
        <is>
          <t xml:space="preserve">FERNANDO OYUELA </t>
        </is>
      </c>
      <c r="I501" s="264" t="inlineStr">
        <is>
          <t>EQY778</t>
        </is>
      </c>
      <c r="J501" s="265" t="n">
        <v>0.3263888888888889</v>
      </c>
      <c r="K501" s="266" t="n">
        <v>2870</v>
      </c>
      <c r="L501" s="308" t="n"/>
      <c r="M501" s="113" t="n"/>
      <c r="N501" s="113" t="n"/>
      <c r="O501" s="113" t="n"/>
      <c r="P501" s="243" t="n"/>
      <c r="Q501" s="113" t="n"/>
      <c r="R501" s="113" t="n"/>
    </row>
    <row r="502" ht="15.75" customHeight="1">
      <c r="A502" s="113" t="n"/>
      <c r="B502" s="146" t="n">
        <v>9</v>
      </c>
      <c r="C502" s="350" t="n">
        <v>45868</v>
      </c>
      <c r="D502" s="351" t="n">
        <v>9</v>
      </c>
      <c r="E502" s="264" t="inlineStr">
        <is>
          <t xml:space="preserve">SAN JOSE </t>
        </is>
      </c>
      <c r="F502" s="264" t="inlineStr">
        <is>
          <t xml:space="preserve">CARGUEROS  </t>
        </is>
      </c>
      <c r="G502" s="264" t="n">
        <v>11</v>
      </c>
      <c r="H502" s="264" t="inlineStr">
        <is>
          <t>JHON AGUIRRE</t>
        </is>
      </c>
      <c r="I502" s="264" t="inlineStr">
        <is>
          <t>EQY780</t>
        </is>
      </c>
      <c r="J502" s="265" t="n">
        <v>0.3611111111111111</v>
      </c>
      <c r="K502" s="266" t="n">
        <v>2870</v>
      </c>
      <c r="L502" s="308" t="n"/>
      <c r="M502" s="113" t="n"/>
      <c r="N502" s="113" t="n"/>
      <c r="O502" s="113" t="n"/>
      <c r="P502" s="243" t="n"/>
      <c r="Q502" s="113" t="n"/>
      <c r="R502" s="113" t="n"/>
    </row>
    <row r="503" ht="15.75" customHeight="1">
      <c r="A503" s="113" t="n"/>
      <c r="B503" s="146" t="n">
        <v>9</v>
      </c>
      <c r="C503" s="350" t="n">
        <v>45868</v>
      </c>
      <c r="D503" s="351" t="n">
        <v>10</v>
      </c>
      <c r="E503" s="264" t="inlineStr">
        <is>
          <t xml:space="preserve">SAN JOSE </t>
        </is>
      </c>
      <c r="F503" s="264" t="inlineStr">
        <is>
          <t xml:space="preserve">CARGUEROS  </t>
        </is>
      </c>
      <c r="G503" s="264" t="n">
        <v>11</v>
      </c>
      <c r="H503" s="264" t="inlineStr">
        <is>
          <t>JAIRO CUBILLOS</t>
        </is>
      </c>
      <c r="I503" s="264" t="inlineStr">
        <is>
          <t>TLO884</t>
        </is>
      </c>
      <c r="J503" s="265" t="n">
        <v>0.3923611111111111</v>
      </c>
      <c r="K503" s="266" t="n">
        <v>2870</v>
      </c>
      <c r="L503" s="308" t="n"/>
      <c r="M503" s="113" t="n"/>
      <c r="N503" s="113" t="n"/>
      <c r="O503" s="113" t="n"/>
      <c r="P503" s="243" t="n"/>
      <c r="Q503" s="113" t="n"/>
      <c r="R503" s="113" t="n"/>
    </row>
    <row r="504" ht="15.75" customHeight="1">
      <c r="A504" s="113" t="n"/>
      <c r="B504" s="146" t="n">
        <v>9</v>
      </c>
      <c r="C504" s="350" t="n">
        <v>45868</v>
      </c>
      <c r="D504" s="351" t="n">
        <v>11</v>
      </c>
      <c r="E504" s="264" t="inlineStr">
        <is>
          <t xml:space="preserve">SAN JOSE </t>
        </is>
      </c>
      <c r="F504" s="264" t="inlineStr">
        <is>
          <t xml:space="preserve">CARGUEROS  </t>
        </is>
      </c>
      <c r="G504" s="264" t="n">
        <v>11</v>
      </c>
      <c r="H504" s="264" t="inlineStr">
        <is>
          <t xml:space="preserve">DUMAR ANGARITA </t>
        </is>
      </c>
      <c r="I504" s="264" t="inlineStr">
        <is>
          <t>LQO745</t>
        </is>
      </c>
      <c r="J504" s="265" t="n">
        <v>0.4270833333333333</v>
      </c>
      <c r="K504" s="266" t="n">
        <v>2870</v>
      </c>
      <c r="L504" s="308" t="n"/>
      <c r="M504" s="113" t="n"/>
      <c r="N504" s="113" t="n"/>
      <c r="O504" s="113" t="n"/>
      <c r="P504" s="243" t="n"/>
      <c r="Q504" s="113" t="n"/>
      <c r="R504" s="113" t="n"/>
    </row>
    <row r="505" ht="15.75" customHeight="1">
      <c r="A505" s="113" t="n"/>
      <c r="B505" s="146" t="n">
        <v>9</v>
      </c>
      <c r="C505" s="356" t="n">
        <v>45868</v>
      </c>
      <c r="D505" s="357" t="n">
        <v>12</v>
      </c>
      <c r="E505" s="271" t="inlineStr">
        <is>
          <t xml:space="preserve">SAN JOSE </t>
        </is>
      </c>
      <c r="F505" s="271" t="inlineStr">
        <is>
          <t xml:space="preserve">CARGUEROS  </t>
        </is>
      </c>
      <c r="G505" s="271" t="n">
        <v>11</v>
      </c>
      <c r="H505" s="271" t="inlineStr">
        <is>
          <t xml:space="preserve">WILMER PIÑEROS </t>
        </is>
      </c>
      <c r="I505" s="271" t="inlineStr">
        <is>
          <t>KLN076</t>
        </is>
      </c>
      <c r="J505" s="272" t="n">
        <v>0.4652777777777778</v>
      </c>
      <c r="K505" s="286" t="n">
        <v>2870</v>
      </c>
      <c r="L505" s="385">
        <f>SUM(K494:K505)</f>
        <v/>
      </c>
      <c r="M505" s="113" t="n"/>
      <c r="N505" s="113" t="n"/>
      <c r="O505" s="113" t="n"/>
      <c r="P505" s="243" t="n"/>
      <c r="Q505" s="113" t="n"/>
      <c r="R505" s="113" t="n"/>
    </row>
    <row r="506" ht="15.75" customHeight="1">
      <c r="A506" s="113" t="n"/>
      <c r="B506" s="146" t="n">
        <v>10</v>
      </c>
      <c r="C506" s="348" t="n">
        <v>45869</v>
      </c>
      <c r="D506" s="349" t="n">
        <v>1</v>
      </c>
      <c r="E506" s="258" t="inlineStr">
        <is>
          <t>MALAGUEÑA</t>
        </is>
      </c>
      <c r="F506" s="258" t="inlineStr">
        <is>
          <t>CARGUEROS</t>
        </is>
      </c>
      <c r="G506" s="258" t="n">
        <v>11</v>
      </c>
      <c r="H506" s="258" t="inlineStr">
        <is>
          <t xml:space="preserve">JOSE HERRERA </t>
        </is>
      </c>
      <c r="I506" s="258" t="inlineStr">
        <is>
          <t>EQY779</t>
        </is>
      </c>
      <c r="J506" s="259" t="n">
        <v>11</v>
      </c>
      <c r="K506" s="260" t="n">
        <v>2764</v>
      </c>
      <c r="L506" s="292" t="n"/>
      <c r="M506" s="113" t="n"/>
      <c r="N506" s="113" t="n"/>
      <c r="O506" s="113" t="n"/>
      <c r="P506" s="243" t="n"/>
      <c r="Q506" s="113" t="n"/>
      <c r="R506" s="113" t="n"/>
    </row>
    <row r="507" ht="15.75" customHeight="1">
      <c r="A507" s="113" t="n"/>
      <c r="B507" s="146" t="n">
        <v>10</v>
      </c>
      <c r="C507" s="350" t="n">
        <v>45869</v>
      </c>
      <c r="D507" s="351" t="n">
        <v>2</v>
      </c>
      <c r="E507" s="264" t="inlineStr">
        <is>
          <t>MALAGUEÑA</t>
        </is>
      </c>
      <c r="F507" s="264" t="inlineStr">
        <is>
          <t>CARGUEROS</t>
        </is>
      </c>
      <c r="G507" s="264" t="n">
        <v>11</v>
      </c>
      <c r="H507" s="264" t="inlineStr">
        <is>
          <t>MANUEL QUITIAN</t>
        </is>
      </c>
      <c r="I507" s="264" t="inlineStr">
        <is>
          <t>KUS176</t>
        </is>
      </c>
      <c r="J507" s="265" t="n">
        <v>0.02083333333333333</v>
      </c>
      <c r="K507" s="266" t="n">
        <v>2764</v>
      </c>
      <c r="L507" s="308" t="n"/>
      <c r="M507" s="113" t="n"/>
      <c r="N507" s="113" t="n"/>
      <c r="O507" s="113" t="n"/>
      <c r="P507" s="243" t="n"/>
      <c r="Q507" s="113" t="n"/>
      <c r="R507" s="113" t="n"/>
    </row>
    <row r="508" ht="15.75" customHeight="1">
      <c r="A508" s="113" t="n"/>
      <c r="B508" s="146" t="n">
        <v>10</v>
      </c>
      <c r="C508" s="350" t="n">
        <v>45869</v>
      </c>
      <c r="D508" s="351" t="n">
        <v>3</v>
      </c>
      <c r="E508" s="264" t="inlineStr">
        <is>
          <t>MALAGUEÑA</t>
        </is>
      </c>
      <c r="F508" s="264" t="inlineStr">
        <is>
          <t>CARGUEROS</t>
        </is>
      </c>
      <c r="G508" s="264" t="n">
        <v>11</v>
      </c>
      <c r="H508" s="264" t="inlineStr">
        <is>
          <t>ALEX GOMEZ</t>
        </is>
      </c>
      <c r="I508" s="264" t="inlineStr">
        <is>
          <t>TLN181</t>
        </is>
      </c>
      <c r="J508" s="265" t="n">
        <v>0.05555555555555555</v>
      </c>
      <c r="K508" s="266" t="n">
        <v>2764</v>
      </c>
      <c r="L508" s="308" t="n"/>
      <c r="M508" s="113" t="n"/>
      <c r="N508" s="113" t="n"/>
      <c r="O508" s="113" t="n"/>
      <c r="P508" s="243" t="n"/>
      <c r="Q508" s="113" t="n"/>
      <c r="R508" s="113" t="n"/>
    </row>
    <row r="509" ht="15.75" customHeight="1">
      <c r="A509" s="113" t="n"/>
      <c r="B509" s="146" t="n">
        <v>10</v>
      </c>
      <c r="C509" s="350" t="n">
        <v>45869</v>
      </c>
      <c r="D509" s="351" t="n">
        <v>4</v>
      </c>
      <c r="E509" s="264" t="inlineStr">
        <is>
          <t>MALAGUEÑA</t>
        </is>
      </c>
      <c r="F509" s="264" t="inlineStr">
        <is>
          <t>CARGUEROS</t>
        </is>
      </c>
      <c r="G509" s="264" t="n">
        <v>11</v>
      </c>
      <c r="H509" s="264" t="inlineStr">
        <is>
          <t>FABIO ALDANA</t>
        </is>
      </c>
      <c r="I509" s="264" t="inlineStr">
        <is>
          <t>TLO882</t>
        </is>
      </c>
      <c r="J509" s="265" t="n">
        <v>0.09027777777777778</v>
      </c>
      <c r="K509" s="266" t="n">
        <v>1701</v>
      </c>
      <c r="L509" s="308" t="n"/>
      <c r="M509" s="113" t="n"/>
      <c r="N509" s="113" t="n"/>
      <c r="O509" s="113" t="n"/>
      <c r="P509" s="243" t="n"/>
      <c r="Q509" s="113" t="n"/>
      <c r="R509" s="113" t="n"/>
    </row>
    <row r="510" ht="15.75" customHeight="1">
      <c r="A510" s="113" t="n"/>
      <c r="B510" s="146" t="n">
        <v>10</v>
      </c>
      <c r="C510" s="350" t="n">
        <v>45869</v>
      </c>
      <c r="D510" s="351" t="n">
        <v>5</v>
      </c>
      <c r="E510" s="264" t="inlineStr">
        <is>
          <t>MALAGUEÑA</t>
        </is>
      </c>
      <c r="F510" s="264" t="inlineStr">
        <is>
          <t>CARGUEROS</t>
        </is>
      </c>
      <c r="G510" s="264" t="n">
        <v>11</v>
      </c>
      <c r="H510" s="264" t="inlineStr">
        <is>
          <t>YAIR RIVEROS</t>
        </is>
      </c>
      <c r="I510" s="264" t="inlineStr">
        <is>
          <t>TLO881</t>
        </is>
      </c>
      <c r="J510" s="265" t="n">
        <v>0.1284722222222222</v>
      </c>
      <c r="K510" s="266" t="n">
        <v>3600</v>
      </c>
      <c r="L510" s="308" t="n"/>
      <c r="M510" s="113" t="n"/>
      <c r="N510" s="113" t="n"/>
      <c r="O510" s="113" t="n"/>
      <c r="P510" s="243" t="n"/>
      <c r="Q510" s="113" t="n"/>
      <c r="R510" s="113" t="n"/>
    </row>
    <row r="511" ht="15.75" customHeight="1">
      <c r="A511" s="113" t="n"/>
      <c r="B511" s="146" t="n">
        <v>10</v>
      </c>
      <c r="C511" s="350" t="n">
        <v>45869</v>
      </c>
      <c r="D511" s="351" t="n">
        <v>6</v>
      </c>
      <c r="E511" s="264" t="inlineStr">
        <is>
          <t>MALAGUEÑA</t>
        </is>
      </c>
      <c r="F511" s="264" t="inlineStr">
        <is>
          <t>CARGUEROS</t>
        </is>
      </c>
      <c r="G511" s="264" t="n">
        <v>11</v>
      </c>
      <c r="H511" s="264" t="inlineStr">
        <is>
          <t>EDWIN ROJAS</t>
        </is>
      </c>
      <c r="I511" s="264" t="inlineStr">
        <is>
          <t>EQY781</t>
        </is>
      </c>
      <c r="J511" s="265" t="n">
        <v>0.1701388888888889</v>
      </c>
      <c r="K511" s="266" t="n">
        <v>3534</v>
      </c>
      <c r="L511" s="308" t="n"/>
      <c r="M511" s="113" t="n"/>
      <c r="N511" s="113" t="n"/>
      <c r="O511" s="113" t="n"/>
      <c r="P511" s="243" t="n"/>
      <c r="Q511" s="113" t="n"/>
      <c r="R511" s="113" t="n"/>
    </row>
    <row r="512" ht="15.75" customHeight="1">
      <c r="A512" s="113" t="n"/>
      <c r="B512" s="146" t="n">
        <v>10</v>
      </c>
      <c r="C512" s="350" t="n">
        <v>45869</v>
      </c>
      <c r="D512" s="351" t="n">
        <v>7</v>
      </c>
      <c r="E512" s="264" t="inlineStr">
        <is>
          <t xml:space="preserve">SAN JOSE </t>
        </is>
      </c>
      <c r="F512" s="264" t="inlineStr">
        <is>
          <t>CARGUEROS</t>
        </is>
      </c>
      <c r="G512" s="264" t="n">
        <v>11</v>
      </c>
      <c r="H512" s="264" t="inlineStr">
        <is>
          <t xml:space="preserve">JOSE SOLER </t>
        </is>
      </c>
      <c r="I512" s="264" t="inlineStr">
        <is>
          <t>EQY776</t>
        </is>
      </c>
      <c r="J512" s="265" t="n">
        <v>0.3090277777777778</v>
      </c>
      <c r="K512" s="266" t="n">
        <v>3046</v>
      </c>
      <c r="L512" s="308" t="n"/>
      <c r="M512" s="113" t="n"/>
      <c r="N512" s="113" t="n"/>
      <c r="O512" s="113" t="n"/>
      <c r="P512" s="243" t="n"/>
      <c r="Q512" s="113" t="n"/>
      <c r="R512" s="113" t="n"/>
    </row>
    <row r="513" ht="15.75" customHeight="1">
      <c r="A513" s="113" t="n"/>
      <c r="B513" s="146" t="n">
        <v>10</v>
      </c>
      <c r="C513" s="350" t="n">
        <v>45869</v>
      </c>
      <c r="D513" s="351" t="n">
        <v>8</v>
      </c>
      <c r="E513" s="264" t="inlineStr">
        <is>
          <t xml:space="preserve">SAN JOSE </t>
        </is>
      </c>
      <c r="F513" s="264" t="inlineStr">
        <is>
          <t>CARGUEROS</t>
        </is>
      </c>
      <c r="G513" s="264" t="n">
        <v>11</v>
      </c>
      <c r="H513" s="264" t="inlineStr">
        <is>
          <t>FABIO ALDANA</t>
        </is>
      </c>
      <c r="I513" s="264" t="inlineStr">
        <is>
          <t>TLO882</t>
        </is>
      </c>
      <c r="J513" s="265" t="n">
        <v>0.3472222222222222</v>
      </c>
      <c r="K513" s="266" t="n">
        <v>2662</v>
      </c>
      <c r="L513" s="308" t="n"/>
      <c r="M513" s="113" t="n"/>
      <c r="N513" s="113" t="n"/>
      <c r="O513" s="113" t="n"/>
      <c r="P513" s="113" t="n"/>
      <c r="Q513" s="113" t="n"/>
      <c r="R513" s="113" t="n"/>
    </row>
    <row r="514" ht="15.75" customHeight="1">
      <c r="A514" s="113" t="n"/>
      <c r="B514" s="146" t="n">
        <v>10</v>
      </c>
      <c r="C514" s="350" t="n">
        <v>45869</v>
      </c>
      <c r="D514" s="351" t="n">
        <v>9</v>
      </c>
      <c r="E514" s="264" t="inlineStr">
        <is>
          <t xml:space="preserve">SAN JOSE </t>
        </is>
      </c>
      <c r="F514" s="264" t="inlineStr">
        <is>
          <t>CARGUEROS</t>
        </is>
      </c>
      <c r="G514" s="264" t="n">
        <v>11</v>
      </c>
      <c r="H514" s="264" t="inlineStr">
        <is>
          <t>HENRY ROMERO</t>
        </is>
      </c>
      <c r="I514" s="264" t="inlineStr">
        <is>
          <t>EQY781</t>
        </is>
      </c>
      <c r="J514" s="265" t="n">
        <v>0.3888888888888889</v>
      </c>
      <c r="K514" s="266" t="n">
        <v>2667</v>
      </c>
      <c r="L514" s="309" t="n"/>
      <c r="M514" s="113" t="n"/>
      <c r="N514" s="113" t="n"/>
      <c r="O514" s="113" t="n"/>
      <c r="P514" s="113" t="n"/>
      <c r="Q514" s="113" t="n"/>
      <c r="R514" s="113" t="n"/>
    </row>
    <row r="515" ht="15.75" customHeight="1">
      <c r="A515" s="113" t="n"/>
      <c r="B515" s="146" t="n">
        <v>10</v>
      </c>
      <c r="C515" s="352" t="n">
        <v>45869</v>
      </c>
      <c r="D515" s="347" t="n">
        <v>10</v>
      </c>
      <c r="E515" s="282" t="inlineStr">
        <is>
          <t xml:space="preserve">SAN JOSE </t>
        </is>
      </c>
      <c r="F515" s="282" t="inlineStr">
        <is>
          <t>CARGUEROS</t>
        </is>
      </c>
      <c r="G515" s="282" t="n">
        <v>11</v>
      </c>
      <c r="H515" s="282" t="inlineStr">
        <is>
          <t>EDWIN ROJAS</t>
        </is>
      </c>
      <c r="I515" s="282" t="inlineStr">
        <is>
          <t>TLN248</t>
        </is>
      </c>
      <c r="J515" s="283" t="n">
        <v>0.425</v>
      </c>
      <c r="K515" s="284" t="n">
        <v>2317</v>
      </c>
      <c r="L515" s="353">
        <f>SUM(K506:K515)</f>
        <v/>
      </c>
      <c r="M515" s="113" t="n"/>
      <c r="N515" s="113" t="n"/>
      <c r="O515" s="113" t="n"/>
      <c r="P515" s="113" t="n"/>
      <c r="Q515" s="113" t="n"/>
      <c r="R515" s="113" t="n"/>
    </row>
    <row r="516" ht="15.75" customHeight="1">
      <c r="A516" s="113" t="n"/>
      <c r="B516" s="146" t="n">
        <v>10</v>
      </c>
      <c r="C516" s="348" t="n">
        <v>45870</v>
      </c>
      <c r="D516" s="349" t="n">
        <v>1</v>
      </c>
      <c r="E516" s="258" t="inlineStr">
        <is>
          <t>MALAGUEÑA</t>
        </is>
      </c>
      <c r="F516" s="258" t="inlineStr">
        <is>
          <t>CARGUEROS</t>
        </is>
      </c>
      <c r="G516" s="258" t="n">
        <v>11</v>
      </c>
      <c r="H516" s="258" t="inlineStr">
        <is>
          <t xml:space="preserve">WILMER PIÑEROS </t>
        </is>
      </c>
      <c r="I516" s="258" t="inlineStr">
        <is>
          <t>KLN076</t>
        </is>
      </c>
      <c r="J516" s="259" t="n">
        <v>0.9930555555555556</v>
      </c>
      <c r="K516" s="260" t="n">
        <v>2619</v>
      </c>
      <c r="L516" s="292" t="n"/>
      <c r="M516" s="113" t="n"/>
      <c r="N516" s="113" t="n"/>
      <c r="O516" s="113" t="n"/>
      <c r="P516" s="113" t="n"/>
      <c r="Q516" s="113" t="n"/>
      <c r="R516" s="113" t="n"/>
    </row>
    <row r="517" ht="15.75" customHeight="1">
      <c r="A517" s="113" t="n"/>
      <c r="B517" s="146" t="n">
        <v>10</v>
      </c>
      <c r="C517" s="350" t="n">
        <v>45870</v>
      </c>
      <c r="D517" s="351" t="n">
        <v>2</v>
      </c>
      <c r="E517" s="264" t="inlineStr">
        <is>
          <t>MALAGUEÑA</t>
        </is>
      </c>
      <c r="F517" s="264" t="inlineStr">
        <is>
          <t>CARGUEROS</t>
        </is>
      </c>
      <c r="G517" s="264" t="n">
        <v>11</v>
      </c>
      <c r="H517" s="264" t="inlineStr">
        <is>
          <t>JHON ARIAS</t>
        </is>
      </c>
      <c r="I517" s="264" t="inlineStr">
        <is>
          <t>EQY779</t>
        </is>
      </c>
      <c r="J517" s="265" t="n">
        <v>0.02430555555555556</v>
      </c>
      <c r="K517" s="266" t="n">
        <v>2619</v>
      </c>
      <c r="L517" s="308" t="n"/>
      <c r="M517" s="113" t="n"/>
      <c r="N517" s="113" t="n"/>
      <c r="O517" s="113" t="n"/>
      <c r="P517" s="113" t="n"/>
      <c r="Q517" s="113" t="n"/>
      <c r="R517" s="113" t="n"/>
    </row>
    <row r="518" ht="15.75" customHeight="1">
      <c r="A518" s="113" t="n"/>
      <c r="B518" s="146" t="n">
        <v>10</v>
      </c>
      <c r="C518" s="350" t="n">
        <v>45870</v>
      </c>
      <c r="D518" s="351" t="n">
        <v>3</v>
      </c>
      <c r="E518" s="264" t="inlineStr">
        <is>
          <t>MALAGUEÑA</t>
        </is>
      </c>
      <c r="F518" s="264" t="inlineStr">
        <is>
          <t>CARGUEROS</t>
        </is>
      </c>
      <c r="G518" s="264" t="n">
        <v>11</v>
      </c>
      <c r="H518" s="264" t="inlineStr">
        <is>
          <t xml:space="preserve">EDWIN ROJAS </t>
        </is>
      </c>
      <c r="I518" s="264" t="inlineStr">
        <is>
          <t>TLN248</t>
        </is>
      </c>
      <c r="J518" s="265" t="n">
        <v>0.06597222222222222</v>
      </c>
      <c r="K518" s="266" t="n">
        <v>3240</v>
      </c>
      <c r="L518" s="308" t="n"/>
      <c r="M518" s="113" t="n"/>
      <c r="N518" s="113" t="n"/>
      <c r="O518" s="113" t="n"/>
      <c r="P518" s="113" t="n"/>
      <c r="Q518" s="113" t="n"/>
      <c r="R518" s="113" t="n"/>
    </row>
    <row r="519" ht="15.75" customHeight="1">
      <c r="A519" s="113" t="n"/>
      <c r="B519" s="146" t="n">
        <v>10</v>
      </c>
      <c r="C519" s="350" t="n">
        <v>45870</v>
      </c>
      <c r="D519" s="351" t="n">
        <v>4</v>
      </c>
      <c r="E519" s="264" t="inlineStr">
        <is>
          <t>MALAGUEÑA</t>
        </is>
      </c>
      <c r="F519" s="264" t="inlineStr">
        <is>
          <t>CARGUEROS</t>
        </is>
      </c>
      <c r="G519" s="264" t="n">
        <v>11</v>
      </c>
      <c r="H519" s="264" t="inlineStr">
        <is>
          <t>FERNANDO OYUELA</t>
        </is>
      </c>
      <c r="I519" s="264" t="inlineStr">
        <is>
          <t>EQY778</t>
        </is>
      </c>
      <c r="J519" s="265" t="n">
        <v>0.1041666666666667</v>
      </c>
      <c r="K519" s="266" t="n">
        <v>2916</v>
      </c>
      <c r="L519" s="308" t="n"/>
      <c r="M519" s="113" t="n"/>
      <c r="N519" s="113" t="n"/>
      <c r="O519" s="113" t="n"/>
      <c r="P519" s="113" t="n"/>
      <c r="Q519" s="113" t="n"/>
      <c r="R519" s="113" t="n"/>
    </row>
    <row r="520" ht="15.75" customHeight="1">
      <c r="A520" s="113" t="n"/>
      <c r="B520" s="146" t="n">
        <v>10</v>
      </c>
      <c r="C520" s="350" t="n">
        <v>45870</v>
      </c>
      <c r="D520" s="351" t="n">
        <v>5</v>
      </c>
      <c r="E520" s="264" t="inlineStr">
        <is>
          <t>MALAGUEÑA</t>
        </is>
      </c>
      <c r="F520" s="264" t="inlineStr">
        <is>
          <t>CARGUEROS</t>
        </is>
      </c>
      <c r="G520" s="264" t="n">
        <v>11</v>
      </c>
      <c r="H520" s="264" t="inlineStr">
        <is>
          <t xml:space="preserve">JHON AGUIRRE </t>
        </is>
      </c>
      <c r="I520" s="264" t="inlineStr">
        <is>
          <t>EQY780</t>
        </is>
      </c>
      <c r="J520" s="265" t="n">
        <v>0.1597222222222222</v>
      </c>
      <c r="K520" s="266" t="n">
        <v>2544</v>
      </c>
      <c r="L520" s="308" t="n"/>
      <c r="M520" s="113" t="n"/>
      <c r="N520" s="113" t="n"/>
      <c r="O520" s="113" t="n"/>
      <c r="P520" s="113" t="n"/>
      <c r="Q520" s="113" t="n"/>
      <c r="R520" s="113" t="n"/>
    </row>
    <row r="521" ht="15.75" customHeight="1">
      <c r="A521" s="113" t="n"/>
      <c r="B521" s="146" t="n">
        <v>10</v>
      </c>
      <c r="C521" s="350" t="n">
        <v>45870</v>
      </c>
      <c r="D521" s="351" t="n">
        <v>6</v>
      </c>
      <c r="E521" s="264" t="inlineStr">
        <is>
          <t xml:space="preserve">SAN JOSE </t>
        </is>
      </c>
      <c r="F521" s="264" t="inlineStr">
        <is>
          <t>CARGUEROS</t>
        </is>
      </c>
      <c r="G521" s="264" t="n">
        <v>10</v>
      </c>
      <c r="H521" s="264" t="inlineStr">
        <is>
          <t>ALEX GOMEZ</t>
        </is>
      </c>
      <c r="I521" s="264" t="inlineStr">
        <is>
          <t>TLO881</t>
        </is>
      </c>
      <c r="J521" s="265" t="n">
        <v>0.2881944444444444</v>
      </c>
      <c r="K521" s="266" t="n">
        <v>3100</v>
      </c>
      <c r="L521" s="308" t="n"/>
      <c r="M521" s="113" t="n"/>
      <c r="N521" s="113" t="n"/>
      <c r="O521" s="113" t="n"/>
      <c r="P521" s="113" t="n"/>
      <c r="Q521" s="113" t="n"/>
      <c r="R521" s="113" t="n"/>
    </row>
    <row r="522" ht="15.75" customHeight="1">
      <c r="A522" s="113" t="n"/>
      <c r="B522" s="146" t="n">
        <v>10</v>
      </c>
      <c r="C522" s="350" t="n">
        <v>45870</v>
      </c>
      <c r="D522" s="351" t="n">
        <v>7</v>
      </c>
      <c r="E522" s="264" t="inlineStr">
        <is>
          <t xml:space="preserve">SAN JOSE </t>
        </is>
      </c>
      <c r="F522" s="264" t="inlineStr">
        <is>
          <t>CARGUEROS</t>
        </is>
      </c>
      <c r="G522" s="264" t="n">
        <v>10</v>
      </c>
      <c r="H522" s="264" t="inlineStr">
        <is>
          <t>DIEGO NIÑO</t>
        </is>
      </c>
      <c r="I522" s="264" t="inlineStr">
        <is>
          <t>GZZ673</t>
        </is>
      </c>
      <c r="J522" s="265" t="n">
        <v>0.3194444444444444</v>
      </c>
      <c r="K522" s="266" t="n">
        <v>3010</v>
      </c>
      <c r="L522" s="308" t="n"/>
      <c r="M522" s="113" t="n"/>
      <c r="N522" s="113" t="n"/>
      <c r="O522" s="113" t="n"/>
      <c r="P522" s="113" t="n"/>
      <c r="Q522" s="113" t="n"/>
      <c r="R522" s="113" t="n"/>
    </row>
    <row r="523" ht="15.75" customHeight="1">
      <c r="A523" s="113" t="n"/>
      <c r="B523" s="146" t="n">
        <v>10</v>
      </c>
      <c r="C523" s="350" t="n">
        <v>45870</v>
      </c>
      <c r="D523" s="351" t="n">
        <v>8</v>
      </c>
      <c r="E523" s="264" t="inlineStr">
        <is>
          <t xml:space="preserve">SAN JOSE </t>
        </is>
      </c>
      <c r="F523" s="264" t="inlineStr">
        <is>
          <t>CARGUEROS</t>
        </is>
      </c>
      <c r="G523" s="264" t="n">
        <v>10</v>
      </c>
      <c r="H523" s="264" t="inlineStr">
        <is>
          <t>MANUEL QUITIAN</t>
        </is>
      </c>
      <c r="I523" s="264" t="inlineStr">
        <is>
          <t>KUS176</t>
        </is>
      </c>
      <c r="J523" s="265" t="n">
        <v>0.40625</v>
      </c>
      <c r="K523" s="266" t="n">
        <v>3010</v>
      </c>
      <c r="L523" s="308" t="n"/>
      <c r="M523" s="113" t="n"/>
      <c r="N523" s="113" t="n"/>
      <c r="O523" s="113" t="n"/>
      <c r="P523" s="113" t="n"/>
      <c r="Q523" s="113" t="n"/>
      <c r="R523" s="113" t="n"/>
    </row>
    <row r="524" ht="15.75" customHeight="1">
      <c r="A524" s="113" t="n"/>
      <c r="B524" s="146" t="n">
        <v>10</v>
      </c>
      <c r="C524" s="350" t="n">
        <v>45870</v>
      </c>
      <c r="D524" s="351" t="n">
        <v>9</v>
      </c>
      <c r="E524" s="264" t="inlineStr">
        <is>
          <t xml:space="preserve">SAN JOSE </t>
        </is>
      </c>
      <c r="F524" s="264" t="inlineStr">
        <is>
          <t>CARGUEROS</t>
        </is>
      </c>
      <c r="G524" s="264" t="n">
        <v>10</v>
      </c>
      <c r="H524" s="264" t="inlineStr">
        <is>
          <t xml:space="preserve">WILMER PIÑEROS </t>
        </is>
      </c>
      <c r="I524" s="264" t="inlineStr">
        <is>
          <t>KLN076</t>
        </is>
      </c>
      <c r="J524" s="265" t="n">
        <v>0.4513888888888889</v>
      </c>
      <c r="K524" s="266" t="n">
        <v>3010</v>
      </c>
      <c r="L524" s="309" t="n"/>
      <c r="M524" s="113" t="n"/>
      <c r="N524" s="113" t="n"/>
      <c r="O524" s="113" t="n"/>
      <c r="P524" s="113" t="n"/>
      <c r="Q524" s="113" t="n"/>
      <c r="R524" s="113" t="n"/>
    </row>
    <row r="525" ht="15.75" customHeight="1">
      <c r="A525" s="113" t="n"/>
      <c r="B525" s="146" t="n">
        <v>10</v>
      </c>
      <c r="C525" s="352" t="n">
        <v>45870</v>
      </c>
      <c r="D525" s="347" t="n">
        <v>10</v>
      </c>
      <c r="E525" s="282" t="inlineStr">
        <is>
          <t xml:space="preserve">SAN JOSE </t>
        </is>
      </c>
      <c r="F525" s="282" t="inlineStr">
        <is>
          <t xml:space="preserve">CARGUEROS  </t>
        </is>
      </c>
      <c r="G525" s="282" t="n">
        <v>10</v>
      </c>
      <c r="H525" s="282" t="inlineStr">
        <is>
          <t>JHON ARIAS</t>
        </is>
      </c>
      <c r="I525" s="282" t="inlineStr">
        <is>
          <t>EQY779</t>
        </is>
      </c>
      <c r="J525" s="283" t="n">
        <v>0.4965277777777778</v>
      </c>
      <c r="K525" s="284" t="n">
        <v>3000</v>
      </c>
      <c r="L525" s="378">
        <f>SUM(K516:K525)</f>
        <v/>
      </c>
      <c r="M525" s="113" t="n"/>
      <c r="N525" s="113" t="n"/>
      <c r="O525" s="113" t="n"/>
      <c r="P525" s="113" t="n"/>
      <c r="Q525" s="113" t="n"/>
      <c r="R525" s="113" t="n"/>
    </row>
    <row r="526" ht="15.75" customHeight="1">
      <c r="A526" s="113" t="n"/>
      <c r="B526" s="146" t="n">
        <v>10</v>
      </c>
      <c r="C526" s="348" t="n">
        <v>45871</v>
      </c>
      <c r="D526" s="349" t="n">
        <v>1</v>
      </c>
      <c r="E526" s="258" t="inlineStr">
        <is>
          <t xml:space="preserve">SAN JOSE </t>
        </is>
      </c>
      <c r="F526" s="258" t="inlineStr">
        <is>
          <t>CARGUEROS</t>
        </is>
      </c>
      <c r="G526" s="258" t="n">
        <v>11</v>
      </c>
      <c r="H526" s="258" t="inlineStr">
        <is>
          <t>JHON AGUIRRE</t>
        </is>
      </c>
      <c r="I526" s="258" t="inlineStr">
        <is>
          <t>EQY780</t>
        </is>
      </c>
      <c r="J526" s="259" t="n">
        <v>0.03819444444444445</v>
      </c>
      <c r="K526" s="260" t="n">
        <v>3000</v>
      </c>
      <c r="L526" s="292" t="n"/>
      <c r="M526" s="113" t="n"/>
      <c r="N526" s="113" t="n"/>
      <c r="O526" s="113" t="n"/>
      <c r="P526" s="113" t="n"/>
      <c r="Q526" s="113" t="n"/>
      <c r="R526" s="113" t="n"/>
    </row>
    <row r="527" ht="15.75" customHeight="1">
      <c r="A527" s="113" t="n"/>
      <c r="B527" s="146" t="n">
        <v>10</v>
      </c>
      <c r="C527" s="350" t="n">
        <v>45871</v>
      </c>
      <c r="D527" s="351" t="n">
        <v>2</v>
      </c>
      <c r="E527" s="264" t="inlineStr">
        <is>
          <t xml:space="preserve">SAN JOSE </t>
        </is>
      </c>
      <c r="F527" s="264" t="inlineStr">
        <is>
          <t xml:space="preserve">CARGUEROS  </t>
        </is>
      </c>
      <c r="G527" s="264" t="n">
        <v>11</v>
      </c>
      <c r="H527" s="264" t="inlineStr">
        <is>
          <t>DUMAR ANGARITA</t>
        </is>
      </c>
      <c r="I527" s="264" t="inlineStr">
        <is>
          <t>LQO745</t>
        </is>
      </c>
      <c r="J527" s="265" t="n">
        <v>0.06944444444444445</v>
      </c>
      <c r="K527" s="266" t="n">
        <v>3375</v>
      </c>
      <c r="L527" s="308" t="n"/>
      <c r="M527" s="113" t="n"/>
      <c r="N527" s="113" t="n"/>
      <c r="O527" s="113" t="n"/>
      <c r="P527" s="113" t="n"/>
      <c r="Q527" s="113" t="n"/>
      <c r="R527" s="113" t="n"/>
    </row>
    <row r="528" ht="15.75" customHeight="1">
      <c r="A528" s="113" t="n"/>
      <c r="B528" s="146" t="n">
        <v>10</v>
      </c>
      <c r="C528" s="350" t="n">
        <v>45871</v>
      </c>
      <c r="D528" s="351" t="n">
        <v>3</v>
      </c>
      <c r="E528" s="264" t="inlineStr">
        <is>
          <t xml:space="preserve">SAN JOSE </t>
        </is>
      </c>
      <c r="F528" s="264" t="inlineStr">
        <is>
          <t xml:space="preserve">CARGUEROS  </t>
        </is>
      </c>
      <c r="G528" s="264" t="n">
        <v>11</v>
      </c>
      <c r="H528" s="264" t="inlineStr">
        <is>
          <t>JAIRO CUBILLOS</t>
        </is>
      </c>
      <c r="I528" s="264" t="inlineStr">
        <is>
          <t>TLO884</t>
        </is>
      </c>
      <c r="J528" s="265" t="n">
        <v>0.1041666666666667</v>
      </c>
      <c r="K528" s="266" t="n">
        <v>3375</v>
      </c>
      <c r="L528" s="308" t="n"/>
      <c r="M528" s="113" t="n"/>
      <c r="N528" s="113" t="n"/>
      <c r="O528" s="113" t="n"/>
      <c r="P528" s="113" t="n"/>
      <c r="Q528" s="386" t="inlineStr">
        <is>
          <t>jonathancondia77@hotmail.com</t>
        </is>
      </c>
      <c r="R528" s="113" t="n"/>
    </row>
    <row r="529" ht="15.75" customHeight="1">
      <c r="A529" s="113" t="n"/>
      <c r="B529" s="146" t="n">
        <v>10</v>
      </c>
      <c r="C529" s="350" t="n">
        <v>45871</v>
      </c>
      <c r="D529" s="351" t="n">
        <v>4</v>
      </c>
      <c r="E529" s="264" t="inlineStr">
        <is>
          <t xml:space="preserve">SAN JOSE </t>
        </is>
      </c>
      <c r="F529" s="264" t="inlineStr">
        <is>
          <t xml:space="preserve">CARGUEROS  </t>
        </is>
      </c>
      <c r="G529" s="264" t="n">
        <v>11</v>
      </c>
      <c r="H529" s="264" t="inlineStr">
        <is>
          <t xml:space="preserve">JOSE SOLER </t>
        </is>
      </c>
      <c r="I529" s="264" t="inlineStr">
        <is>
          <t>EQY776</t>
        </is>
      </c>
      <c r="J529" s="265" t="n">
        <v>0.1423611111111111</v>
      </c>
      <c r="K529" s="266" t="n">
        <v>3375</v>
      </c>
      <c r="L529" s="308" t="n"/>
      <c r="M529" s="113" t="n"/>
      <c r="N529" s="113" t="n"/>
      <c r="O529" s="113" t="n"/>
      <c r="P529" s="243" t="n"/>
      <c r="Q529" s="113" t="n"/>
      <c r="R529" s="113" t="n"/>
    </row>
    <row r="530" ht="15.75" customHeight="1">
      <c r="A530" s="113" t="n"/>
      <c r="B530" s="146" t="n">
        <v>10</v>
      </c>
      <c r="C530" s="350" t="n">
        <v>45871</v>
      </c>
      <c r="D530" s="351" t="n">
        <v>5</v>
      </c>
      <c r="E530" s="264" t="inlineStr">
        <is>
          <t xml:space="preserve">SAN JOSE </t>
        </is>
      </c>
      <c r="F530" s="264" t="inlineStr">
        <is>
          <t xml:space="preserve">CARGUEROS  </t>
        </is>
      </c>
      <c r="G530" s="264" t="n">
        <v>11</v>
      </c>
      <c r="H530" s="264" t="inlineStr">
        <is>
          <t>FERNANDO OYUELA</t>
        </is>
      </c>
      <c r="I530" s="264" t="inlineStr">
        <is>
          <t>EQY778</t>
        </is>
      </c>
      <c r="J530" s="265" t="n">
        <v>0.1979166666666667</v>
      </c>
      <c r="K530" s="266" t="n">
        <v>3383</v>
      </c>
      <c r="L530" s="308" t="n"/>
      <c r="M530" s="113" t="n"/>
      <c r="N530" s="113" t="n"/>
      <c r="O530" s="113" t="n"/>
      <c r="P530" s="243" t="n"/>
      <c r="Q530" s="113" t="n"/>
      <c r="R530" s="113" t="n"/>
    </row>
    <row r="531" ht="15.75" customHeight="1">
      <c r="A531" s="113" t="n"/>
      <c r="B531" s="146" t="n">
        <v>10</v>
      </c>
      <c r="C531" s="350" t="n">
        <v>45871</v>
      </c>
      <c r="D531" s="351" t="n">
        <v>6</v>
      </c>
      <c r="E531" s="264" t="inlineStr">
        <is>
          <t xml:space="preserve">SAN JOSE </t>
        </is>
      </c>
      <c r="F531" s="264" t="inlineStr">
        <is>
          <t xml:space="preserve">CARGUEROS  </t>
        </is>
      </c>
      <c r="G531" s="264" t="n">
        <v>11</v>
      </c>
      <c r="H531" s="264" t="inlineStr">
        <is>
          <t xml:space="preserve">WILMER PIÑEROS </t>
        </is>
      </c>
      <c r="I531" s="264" t="inlineStr">
        <is>
          <t>KLN076</t>
        </is>
      </c>
      <c r="J531" s="265" t="n">
        <v>0.2395833333333333</v>
      </c>
      <c r="K531" s="266" t="n">
        <v>3383</v>
      </c>
      <c r="L531" s="308" t="n"/>
      <c r="M531" s="113" t="n"/>
      <c r="N531" s="113" t="n"/>
      <c r="O531" s="113" t="n"/>
      <c r="P531" s="243" t="n"/>
      <c r="Q531" s="113" t="n"/>
      <c r="R531" s="113" t="n"/>
    </row>
    <row r="532" ht="15.75" customHeight="1">
      <c r="A532" s="113" t="n"/>
      <c r="B532" s="146" t="n">
        <v>10</v>
      </c>
      <c r="C532" s="350" t="n">
        <v>45871</v>
      </c>
      <c r="D532" s="351" t="n">
        <v>7</v>
      </c>
      <c r="E532" s="264" t="inlineStr">
        <is>
          <t xml:space="preserve">SAN JOSE </t>
        </is>
      </c>
      <c r="F532" s="264" t="inlineStr">
        <is>
          <t xml:space="preserve">CARGUEROS  </t>
        </is>
      </c>
      <c r="G532" s="264" t="n">
        <v>11</v>
      </c>
      <c r="H532" s="264" t="inlineStr">
        <is>
          <t>JHON AGUIRRE</t>
        </is>
      </c>
      <c r="I532" s="264" t="inlineStr">
        <is>
          <t>EQY780</t>
        </is>
      </c>
      <c r="J532" s="265" t="n">
        <v>0.2777777777777778</v>
      </c>
      <c r="K532" s="266" t="n">
        <v>3383</v>
      </c>
      <c r="L532" s="308" t="n"/>
      <c r="M532" s="113" t="n"/>
      <c r="N532" s="113" t="n"/>
      <c r="O532" s="113" t="n"/>
      <c r="P532" s="243" t="n"/>
      <c r="Q532" s="113" t="n"/>
      <c r="R532" s="113" t="n"/>
    </row>
    <row r="533" ht="15.75" customHeight="1">
      <c r="A533" s="113" t="n"/>
      <c r="B533" s="146" t="n">
        <v>10</v>
      </c>
      <c r="C533" s="350" t="n">
        <v>45871</v>
      </c>
      <c r="D533" s="351" t="n">
        <v>8</v>
      </c>
      <c r="E533" s="264" t="inlineStr">
        <is>
          <t xml:space="preserve">SAN JOSE </t>
        </is>
      </c>
      <c r="F533" s="264" t="inlineStr">
        <is>
          <t xml:space="preserve">CARGUEROS  </t>
        </is>
      </c>
      <c r="G533" s="264" t="n">
        <v>11</v>
      </c>
      <c r="H533" s="264" t="inlineStr">
        <is>
          <t>DUMAR ANGARITA</t>
        </is>
      </c>
      <c r="I533" s="264" t="inlineStr">
        <is>
          <t>LQO745</t>
        </is>
      </c>
      <c r="J533" s="265" t="n">
        <v>0.3159722222222222</v>
      </c>
      <c r="K533" s="266" t="n">
        <v>3383</v>
      </c>
      <c r="L533" s="309" t="n"/>
      <c r="M533" s="113" t="n"/>
      <c r="N533" s="113" t="n"/>
      <c r="O533" s="113" t="n"/>
      <c r="P533" s="243" t="n"/>
      <c r="Q533" s="113" t="n"/>
      <c r="R533" s="113" t="n"/>
    </row>
    <row r="534" ht="15.75" customHeight="1">
      <c r="A534" s="113" t="n"/>
      <c r="B534" s="146" t="n">
        <v>10</v>
      </c>
      <c r="C534" s="356" t="n">
        <v>45871</v>
      </c>
      <c r="D534" s="357" t="n">
        <v>9</v>
      </c>
      <c r="E534" s="271" t="inlineStr">
        <is>
          <t xml:space="preserve">SAN JOSE </t>
        </is>
      </c>
      <c r="F534" s="271" t="inlineStr">
        <is>
          <t>CARGUEROS</t>
        </is>
      </c>
      <c r="G534" s="271" t="n">
        <v>11</v>
      </c>
      <c r="H534" s="271" t="inlineStr">
        <is>
          <t xml:space="preserve">JOSE SOLER </t>
        </is>
      </c>
      <c r="I534" s="271" t="inlineStr">
        <is>
          <t>EQY776</t>
        </is>
      </c>
      <c r="J534" s="272" t="n">
        <v>0.3625</v>
      </c>
      <c r="K534" s="273" t="n">
        <v>3383</v>
      </c>
      <c r="L534" s="378">
        <f>SUM(K526:K534)</f>
        <v/>
      </c>
      <c r="M534" s="113" t="n"/>
      <c r="N534" s="113" t="n"/>
      <c r="O534" s="113" t="n"/>
      <c r="P534" s="243" t="n"/>
      <c r="Q534" s="113" t="n"/>
      <c r="R534" s="113" t="n"/>
    </row>
    <row r="535" ht="15.75" customHeight="1">
      <c r="A535" s="113" t="n"/>
      <c r="B535" s="146" t="n">
        <v>11</v>
      </c>
      <c r="C535" s="348" t="n">
        <v>45873</v>
      </c>
      <c r="D535" s="349" t="n">
        <v>1</v>
      </c>
      <c r="E535" s="258" t="inlineStr">
        <is>
          <t xml:space="preserve">SAN JOSE </t>
        </is>
      </c>
      <c r="F535" s="258" t="inlineStr">
        <is>
          <t>CARGUEROS</t>
        </is>
      </c>
      <c r="G535" s="258" t="n">
        <v>11</v>
      </c>
      <c r="H535" s="258" t="inlineStr">
        <is>
          <t xml:space="preserve">JAIR RIVEROS </t>
        </is>
      </c>
      <c r="I535" s="258" t="inlineStr">
        <is>
          <t>TLN181</t>
        </is>
      </c>
      <c r="J535" s="259" t="n">
        <v>0.125</v>
      </c>
      <c r="K535" s="260" t="n">
        <v>2975</v>
      </c>
      <c r="L535" s="292" t="n"/>
      <c r="M535" s="113" t="n"/>
      <c r="N535" s="113" t="n"/>
      <c r="O535" s="113" t="n"/>
      <c r="P535" s="243" t="n"/>
      <c r="Q535" s="113" t="n"/>
      <c r="R535" s="113" t="n"/>
    </row>
    <row r="536" ht="15.75" customHeight="1">
      <c r="A536" s="113" t="n"/>
      <c r="B536" s="146" t="n">
        <v>11</v>
      </c>
      <c r="C536" s="350" t="n">
        <v>45873</v>
      </c>
      <c r="D536" s="351" t="n">
        <v>2</v>
      </c>
      <c r="E536" s="264" t="inlineStr">
        <is>
          <t xml:space="preserve">SAN JOSE </t>
        </is>
      </c>
      <c r="F536" s="264" t="inlineStr">
        <is>
          <t>CARGUEROS</t>
        </is>
      </c>
      <c r="G536" s="264" t="n">
        <v>11</v>
      </c>
      <c r="H536" s="264" t="inlineStr">
        <is>
          <t>ALBERTO LOPEZ</t>
        </is>
      </c>
      <c r="I536" s="264" t="inlineStr">
        <is>
          <t>EQY777</t>
        </is>
      </c>
      <c r="J536" s="265" t="n">
        <v>0.1597222222222222</v>
      </c>
      <c r="K536" s="266" t="n">
        <v>2975</v>
      </c>
      <c r="L536" s="308" t="n"/>
      <c r="M536" s="113" t="n"/>
      <c r="N536" s="113" t="n"/>
      <c r="O536" s="113" t="n"/>
      <c r="P536" s="243" t="n"/>
      <c r="Q536" s="113" t="n"/>
      <c r="R536" s="113" t="n"/>
    </row>
    <row r="537" ht="15.75" customHeight="1">
      <c r="A537" s="113" t="n"/>
      <c r="B537" s="146" t="n">
        <v>11</v>
      </c>
      <c r="C537" s="350" t="n">
        <v>45873</v>
      </c>
      <c r="D537" s="351" t="n">
        <v>3</v>
      </c>
      <c r="E537" s="264" t="inlineStr">
        <is>
          <t xml:space="preserve">SAN JOSE </t>
        </is>
      </c>
      <c r="F537" s="264" t="inlineStr">
        <is>
          <t>CARGUEROS</t>
        </is>
      </c>
      <c r="G537" s="264" t="n">
        <v>11</v>
      </c>
      <c r="H537" s="264" t="inlineStr">
        <is>
          <t xml:space="preserve">DIEGO NIÑO </t>
        </is>
      </c>
      <c r="I537" s="264" t="inlineStr">
        <is>
          <t>GZZ673</t>
        </is>
      </c>
      <c r="J537" s="265" t="n">
        <v>0.2013888888888889</v>
      </c>
      <c r="K537" s="266" t="n">
        <v>2975</v>
      </c>
      <c r="L537" s="308" t="n"/>
      <c r="M537" s="113" t="n"/>
      <c r="N537" s="113" t="n"/>
      <c r="O537" s="113" t="n"/>
      <c r="P537" s="243" t="n"/>
      <c r="Q537" s="113" t="n"/>
      <c r="R537" s="113" t="n"/>
    </row>
    <row r="538" ht="15.75" customHeight="1">
      <c r="A538" s="113" t="n"/>
      <c r="B538" s="146" t="n">
        <v>11</v>
      </c>
      <c r="C538" s="350" t="n">
        <v>45873</v>
      </c>
      <c r="D538" s="351" t="n">
        <v>4</v>
      </c>
      <c r="E538" s="264" t="inlineStr">
        <is>
          <t xml:space="preserve">SAN JOSE </t>
        </is>
      </c>
      <c r="F538" s="264" t="inlineStr">
        <is>
          <t>CARGUEROS</t>
        </is>
      </c>
      <c r="G538" s="264" t="n">
        <v>11</v>
      </c>
      <c r="H538" s="264" t="inlineStr">
        <is>
          <t>MANUEL QUITIAN</t>
        </is>
      </c>
      <c r="I538" s="264" t="inlineStr">
        <is>
          <t>KUS176</t>
        </is>
      </c>
      <c r="J538" s="265" t="n">
        <v>0.2361111111111111</v>
      </c>
      <c r="K538" s="266" t="n">
        <v>2975</v>
      </c>
      <c r="L538" s="308" t="n"/>
      <c r="M538" s="113" t="n"/>
      <c r="N538" s="113" t="n"/>
      <c r="O538" s="113" t="n"/>
      <c r="P538" s="243" t="n"/>
      <c r="Q538" s="113" t="n"/>
      <c r="R538" s="113" t="n"/>
    </row>
    <row r="539" ht="15.75" customHeight="1">
      <c r="A539" s="113" t="n"/>
      <c r="B539" s="146" t="n">
        <v>11</v>
      </c>
      <c r="C539" s="350" t="n">
        <v>45873</v>
      </c>
      <c r="D539" s="351" t="n">
        <v>5</v>
      </c>
      <c r="E539" s="264" t="inlineStr">
        <is>
          <t xml:space="preserve">SAN JOSE </t>
        </is>
      </c>
      <c r="F539" s="264" t="inlineStr">
        <is>
          <t>CARGUEROS</t>
        </is>
      </c>
      <c r="G539" s="264" t="n">
        <v>11</v>
      </c>
      <c r="H539" s="264" t="inlineStr">
        <is>
          <t>FABIO ALDANA</t>
        </is>
      </c>
      <c r="I539" s="264" t="inlineStr">
        <is>
          <t>TLO882</t>
        </is>
      </c>
      <c r="J539" s="265" t="n">
        <v>0.2708333333333333</v>
      </c>
      <c r="K539" s="266" t="n">
        <v>3300</v>
      </c>
      <c r="L539" s="308" t="n"/>
      <c r="M539" s="113" t="n"/>
      <c r="N539" s="113" t="n"/>
      <c r="O539" s="113" t="n"/>
      <c r="P539" s="243" t="n"/>
      <c r="Q539" s="113" t="n"/>
      <c r="R539" s="113" t="n"/>
    </row>
    <row r="540" ht="15.75" customHeight="1">
      <c r="A540" s="113" t="n"/>
      <c r="B540" s="146" t="n">
        <v>11</v>
      </c>
      <c r="C540" s="350" t="n">
        <v>45873</v>
      </c>
      <c r="D540" s="351" t="n">
        <v>6</v>
      </c>
      <c r="E540" s="264" t="inlineStr">
        <is>
          <t xml:space="preserve">SAN JOSE </t>
        </is>
      </c>
      <c r="F540" s="264" t="inlineStr">
        <is>
          <t>CARGUEROS</t>
        </is>
      </c>
      <c r="G540" s="264" t="n">
        <v>11</v>
      </c>
      <c r="H540" s="264" t="inlineStr">
        <is>
          <t>JAIRO CUBILLOS</t>
        </is>
      </c>
      <c r="I540" s="264" t="inlineStr">
        <is>
          <t>TLO884</t>
        </is>
      </c>
      <c r="J540" s="265" t="n">
        <v>0.3159722222222222</v>
      </c>
      <c r="K540" s="266" t="n">
        <v>3300</v>
      </c>
      <c r="L540" s="308" t="n"/>
      <c r="M540" s="113" t="n"/>
      <c r="N540" s="113" t="n"/>
      <c r="O540" s="113" t="n"/>
      <c r="P540" s="243" t="n"/>
      <c r="Q540" s="113" t="n"/>
      <c r="R540" s="113" t="n"/>
    </row>
    <row r="541" ht="15.75" customHeight="1">
      <c r="A541" s="113" t="n"/>
      <c r="B541" s="146" t="n">
        <v>11</v>
      </c>
      <c r="C541" s="350" t="n">
        <v>45873</v>
      </c>
      <c r="D541" s="351" t="n">
        <v>7</v>
      </c>
      <c r="E541" s="264" t="inlineStr">
        <is>
          <t xml:space="preserve">SAN JOSE </t>
        </is>
      </c>
      <c r="F541" s="264" t="inlineStr">
        <is>
          <t>CARGUEROS</t>
        </is>
      </c>
      <c r="G541" s="264" t="n">
        <v>11</v>
      </c>
      <c r="H541" s="264" t="inlineStr">
        <is>
          <t xml:space="preserve">JAIR RIVEROS </t>
        </is>
      </c>
      <c r="I541" s="264" t="inlineStr">
        <is>
          <t>TLO181</t>
        </is>
      </c>
      <c r="J541" s="265" t="n">
        <v>0.3666666666666666</v>
      </c>
      <c r="K541" s="266" t="n">
        <v>3300</v>
      </c>
      <c r="L541" s="308" t="n"/>
      <c r="M541" s="113" t="n"/>
      <c r="N541" s="113" t="n"/>
      <c r="O541" s="113" t="n"/>
      <c r="P541" s="243" t="n"/>
      <c r="Q541" s="113" t="n"/>
      <c r="R541" s="113" t="n"/>
    </row>
    <row r="542" ht="15.75" customHeight="1">
      <c r="A542" s="113" t="n"/>
      <c r="B542" s="146" t="n">
        <v>11</v>
      </c>
      <c r="C542" s="350" t="n">
        <v>45873</v>
      </c>
      <c r="D542" s="351" t="n">
        <v>8</v>
      </c>
      <c r="E542" s="264" t="inlineStr">
        <is>
          <t xml:space="preserve">SAN JOSE </t>
        </is>
      </c>
      <c r="F542" s="264" t="inlineStr">
        <is>
          <t>CARGUEROS</t>
        </is>
      </c>
      <c r="G542" s="264" t="n">
        <v>11</v>
      </c>
      <c r="H542" s="264" t="inlineStr">
        <is>
          <t xml:space="preserve">DIEGO NIÑO </t>
        </is>
      </c>
      <c r="I542" s="264" t="inlineStr">
        <is>
          <t>GZZ673</t>
        </is>
      </c>
      <c r="J542" s="265" t="n">
        <v>0.4236111111111111</v>
      </c>
      <c r="K542" s="266" t="n">
        <v>3300</v>
      </c>
      <c r="L542" s="308" t="n"/>
      <c r="M542" s="113" t="n"/>
      <c r="N542" s="113" t="n"/>
      <c r="O542" s="113" t="n"/>
      <c r="P542" s="243" t="n"/>
      <c r="Q542" s="113" t="n"/>
      <c r="R542" s="113" t="n"/>
    </row>
    <row r="543" ht="15.75" customHeight="1">
      <c r="A543" s="113" t="n"/>
      <c r="B543" s="146" t="n">
        <v>11</v>
      </c>
      <c r="C543" s="350" t="n">
        <v>45873</v>
      </c>
      <c r="D543" s="351" t="n">
        <v>9</v>
      </c>
      <c r="E543" s="264" t="inlineStr">
        <is>
          <t xml:space="preserve">SAN JOSE </t>
        </is>
      </c>
      <c r="F543" s="264" t="inlineStr">
        <is>
          <t>CARGUEROS</t>
        </is>
      </c>
      <c r="G543" s="264" t="n">
        <v>11</v>
      </c>
      <c r="H543" s="264" t="inlineStr">
        <is>
          <t>FABIO ALDANA</t>
        </is>
      </c>
      <c r="I543" s="264" t="inlineStr">
        <is>
          <t>TLO882</t>
        </is>
      </c>
      <c r="J543" s="265" t="n">
        <v>0.4583333333333333</v>
      </c>
      <c r="K543" s="266" t="n">
        <v>2823</v>
      </c>
      <c r="L543" s="308" t="n"/>
      <c r="M543" s="113" t="n"/>
      <c r="N543" s="113" t="n"/>
      <c r="O543" s="113" t="n"/>
      <c r="P543" s="243" t="n"/>
      <c r="Q543" s="113" t="n"/>
      <c r="R543" s="113" t="n"/>
    </row>
    <row r="544" ht="15.75" customHeight="1">
      <c r="A544" s="113" t="n"/>
      <c r="B544" s="146" t="n">
        <v>11</v>
      </c>
      <c r="C544" s="350" t="n">
        <v>45873</v>
      </c>
      <c r="D544" s="351" t="n">
        <v>10</v>
      </c>
      <c r="E544" s="264" t="inlineStr">
        <is>
          <t xml:space="preserve">SAN JOSE </t>
        </is>
      </c>
      <c r="F544" s="264" t="inlineStr">
        <is>
          <t>CARGUEROS</t>
        </is>
      </c>
      <c r="G544" s="264" t="n">
        <v>11</v>
      </c>
      <c r="H544" s="264" t="inlineStr">
        <is>
          <t>JAIRO CUBILLOS</t>
        </is>
      </c>
      <c r="I544" s="264" t="inlineStr">
        <is>
          <t>TLO884</t>
        </is>
      </c>
      <c r="J544" s="265" t="n">
        <v>0.5381944444444444</v>
      </c>
      <c r="K544" s="266" t="n">
        <v>2823</v>
      </c>
      <c r="L544" s="308" t="n"/>
      <c r="M544" s="113" t="n"/>
      <c r="N544" s="113" t="n"/>
      <c r="O544" s="113" t="n"/>
      <c r="P544" s="243" t="n"/>
      <c r="Q544" s="113" t="n"/>
      <c r="R544" s="113" t="n"/>
    </row>
    <row r="545" ht="15.75" customHeight="1">
      <c r="A545" s="113" t="n"/>
      <c r="B545" s="146" t="n">
        <v>11</v>
      </c>
      <c r="C545" s="352" t="n">
        <v>45873</v>
      </c>
      <c r="D545" s="347" t="n">
        <v>11</v>
      </c>
      <c r="E545" s="282" t="inlineStr">
        <is>
          <t xml:space="preserve">SAN JOSE </t>
        </is>
      </c>
      <c r="F545" s="282" t="inlineStr">
        <is>
          <t xml:space="preserve">CARGUEROS  </t>
        </is>
      </c>
      <c r="G545" s="282" t="n">
        <v>11</v>
      </c>
      <c r="H545" s="282" t="inlineStr">
        <is>
          <t>ALEX GOMEZ</t>
        </is>
      </c>
      <c r="I545" s="282" t="inlineStr">
        <is>
          <t>TLN181</t>
        </is>
      </c>
      <c r="J545" s="283" t="n">
        <v>0.4965277777777778</v>
      </c>
      <c r="K545" s="318" t="n">
        <v>2833</v>
      </c>
      <c r="L545" s="354">
        <f>SUM(K535:K545)</f>
        <v/>
      </c>
      <c r="M545" s="113" t="n"/>
      <c r="N545" s="113" t="n"/>
      <c r="O545" s="113" t="n"/>
      <c r="P545" s="243" t="n"/>
      <c r="Q545" s="113" t="n"/>
      <c r="R545" s="113" t="n"/>
    </row>
    <row r="546" ht="15.75" customHeight="1">
      <c r="A546" s="113" t="n"/>
      <c r="B546" s="146" t="n">
        <v>11</v>
      </c>
      <c r="C546" s="348" t="n">
        <v>45874</v>
      </c>
      <c r="D546" s="349" t="n">
        <v>1</v>
      </c>
      <c r="E546" s="258" t="inlineStr">
        <is>
          <t>MALAGUEÑA</t>
        </is>
      </c>
      <c r="F546" s="258" t="inlineStr">
        <is>
          <t>CARGUEROS</t>
        </is>
      </c>
      <c r="G546" s="258" t="n">
        <v>11</v>
      </c>
      <c r="H546" s="258" t="inlineStr">
        <is>
          <t xml:space="preserve">WILMER PIÑEROS </t>
        </is>
      </c>
      <c r="I546" s="258" t="inlineStr">
        <is>
          <t>KLN076</t>
        </is>
      </c>
      <c r="J546" s="259" t="n">
        <v>0.04861111111111111</v>
      </c>
      <c r="K546" s="260" t="n">
        <v>2671</v>
      </c>
      <c r="L546" s="292" t="n"/>
      <c r="M546" s="113" t="n"/>
      <c r="N546" s="113" t="n"/>
      <c r="O546" s="113" t="n"/>
      <c r="P546" s="243" t="n"/>
      <c r="Q546" s="113" t="n"/>
      <c r="R546" s="113" t="n"/>
    </row>
    <row r="547" ht="15.75" customHeight="1">
      <c r="A547" s="113" t="n"/>
      <c r="B547" s="146" t="n">
        <v>11</v>
      </c>
      <c r="C547" s="350" t="n">
        <v>45874</v>
      </c>
      <c r="D547" s="351" t="n">
        <v>2</v>
      </c>
      <c r="E547" s="264" t="inlineStr">
        <is>
          <t>MALAGUEÑA</t>
        </is>
      </c>
      <c r="F547" s="264" t="inlineStr">
        <is>
          <t>CARGUEROS</t>
        </is>
      </c>
      <c r="G547" s="264" t="n">
        <v>11</v>
      </c>
      <c r="H547" s="264" t="inlineStr">
        <is>
          <t xml:space="preserve">JAIR RIVEROS </t>
        </is>
      </c>
      <c r="I547" s="264" t="inlineStr">
        <is>
          <t>TLN181</t>
        </is>
      </c>
      <c r="J547" s="265" t="n">
        <v>0.0763888888888889</v>
      </c>
      <c r="K547" s="266" t="n">
        <v>2671</v>
      </c>
      <c r="L547" s="308" t="n"/>
      <c r="M547" s="113" t="n"/>
      <c r="N547" s="113" t="n"/>
      <c r="O547" s="113" t="n"/>
      <c r="P547" s="243" t="n"/>
      <c r="Q547" s="113" t="n"/>
      <c r="R547" s="113" t="n"/>
    </row>
    <row r="548" ht="15.75" customHeight="1">
      <c r="A548" s="113" t="n"/>
      <c r="B548" s="146" t="n">
        <v>11</v>
      </c>
      <c r="C548" s="350" t="n">
        <v>45874</v>
      </c>
      <c r="D548" s="351" t="n">
        <v>3</v>
      </c>
      <c r="E548" s="264" t="inlineStr">
        <is>
          <t>MALAGUEÑA</t>
        </is>
      </c>
      <c r="F548" s="264" t="inlineStr">
        <is>
          <t>CARGUEROS</t>
        </is>
      </c>
      <c r="G548" s="264" t="n">
        <v>11</v>
      </c>
      <c r="H548" s="264" t="inlineStr">
        <is>
          <t>ALBERTO LOPEZ</t>
        </is>
      </c>
      <c r="I548" s="264" t="inlineStr">
        <is>
          <t>EQY777</t>
        </is>
      </c>
      <c r="J548" s="265" t="n">
        <v>0.1180555555555556</v>
      </c>
      <c r="K548" s="266" t="n">
        <v>2937</v>
      </c>
      <c r="L548" s="308" t="n"/>
      <c r="M548" s="113" t="n"/>
      <c r="N548" s="113" t="n"/>
      <c r="O548" s="113" t="n"/>
      <c r="P548" s="243" t="n"/>
      <c r="Q548" s="113" t="n"/>
      <c r="R548" s="113" t="n"/>
    </row>
    <row r="549" ht="15.75" customHeight="1">
      <c r="A549" s="113" t="n"/>
      <c r="B549" s="146" t="n">
        <v>11</v>
      </c>
      <c r="C549" s="350" t="n">
        <v>45874</v>
      </c>
      <c r="D549" s="351" t="n">
        <v>4</v>
      </c>
      <c r="E549" s="264" t="inlineStr">
        <is>
          <t>MALAGUEÑA</t>
        </is>
      </c>
      <c r="F549" s="264" t="inlineStr">
        <is>
          <t xml:space="preserve">CARGUEROS  </t>
        </is>
      </c>
      <c r="G549" s="264" t="n">
        <v>11</v>
      </c>
      <c r="H549" s="264" t="inlineStr">
        <is>
          <t xml:space="preserve">FERNANDO OYUELA </t>
        </is>
      </c>
      <c r="I549" s="264" t="inlineStr">
        <is>
          <t>EQY777</t>
        </is>
      </c>
      <c r="J549" s="265" t="n">
        <v>0.1527777777777778</v>
      </c>
      <c r="K549" s="266" t="n">
        <v>2937</v>
      </c>
      <c r="L549" s="308" t="n"/>
      <c r="M549" s="113" t="n"/>
      <c r="N549" s="113" t="n"/>
      <c r="O549" s="113" t="n"/>
      <c r="P549" s="243" t="n"/>
      <c r="Q549" s="113" t="n"/>
      <c r="R549" s="113" t="n"/>
    </row>
    <row r="550" ht="15.75" customHeight="1">
      <c r="A550" s="113" t="n"/>
      <c r="B550" s="146" t="n">
        <v>11</v>
      </c>
      <c r="C550" s="350" t="n">
        <v>45874</v>
      </c>
      <c r="D550" s="351" t="n">
        <v>5</v>
      </c>
      <c r="E550" s="264" t="inlineStr">
        <is>
          <t>MALAGUEÑA</t>
        </is>
      </c>
      <c r="F550" s="264" t="inlineStr">
        <is>
          <t xml:space="preserve">CARGUEROS  </t>
        </is>
      </c>
      <c r="G550" s="264" t="n">
        <v>11</v>
      </c>
      <c r="H550" s="264" t="inlineStr">
        <is>
          <t>DUMAR ANGARITA</t>
        </is>
      </c>
      <c r="I550" s="264" t="inlineStr">
        <is>
          <t>LQO745</t>
        </is>
      </c>
      <c r="J550" s="265" t="n">
        <v>0.2</v>
      </c>
      <c r="K550" s="266" t="n">
        <v>2937</v>
      </c>
      <c r="L550" s="308" t="n"/>
      <c r="M550" s="113" t="n"/>
      <c r="N550" s="113" t="n"/>
      <c r="O550" s="113" t="n"/>
      <c r="P550" s="243" t="n"/>
      <c r="Q550" s="113" t="n"/>
      <c r="R550" s="113" t="n"/>
    </row>
    <row r="551" ht="15.75" customHeight="1">
      <c r="A551" s="113" t="n"/>
      <c r="B551" s="146" t="n">
        <v>11</v>
      </c>
      <c r="C551" s="350" t="n">
        <v>45874</v>
      </c>
      <c r="D551" s="351" t="n">
        <v>6</v>
      </c>
      <c r="E551" s="264" t="inlineStr">
        <is>
          <t>MALAGUEÑA</t>
        </is>
      </c>
      <c r="F551" s="264" t="inlineStr">
        <is>
          <t>ABONEROS</t>
        </is>
      </c>
      <c r="G551" s="264" t="n">
        <v>10</v>
      </c>
      <c r="H551" s="264" t="inlineStr">
        <is>
          <t>ALEX GOMEZ</t>
        </is>
      </c>
      <c r="I551" s="264" t="inlineStr">
        <is>
          <t>TLO881</t>
        </is>
      </c>
      <c r="J551" s="265" t="n">
        <v>0.2430555555555556</v>
      </c>
      <c r="K551" s="266" t="n">
        <v>2937</v>
      </c>
      <c r="L551" s="308" t="n"/>
      <c r="M551" s="113" t="n"/>
      <c r="N551" s="113" t="n"/>
      <c r="O551" s="113" t="n"/>
      <c r="P551" s="243" t="n"/>
      <c r="Q551" s="113" t="n"/>
      <c r="R551" s="113" t="n"/>
    </row>
    <row r="552" ht="15.75" customHeight="1">
      <c r="A552" s="113" t="n"/>
      <c r="B552" s="146" t="n">
        <v>11</v>
      </c>
      <c r="C552" s="350" t="n">
        <v>45874</v>
      </c>
      <c r="D552" s="351" t="n">
        <v>7</v>
      </c>
      <c r="E552" s="264" t="inlineStr">
        <is>
          <t>MALAGUEÑA</t>
        </is>
      </c>
      <c r="F552" s="264" t="inlineStr">
        <is>
          <t>ABONEROS</t>
        </is>
      </c>
      <c r="G552" s="264" t="n">
        <v>10</v>
      </c>
      <c r="H552" s="264" t="inlineStr">
        <is>
          <t>HENRY ROMERO</t>
        </is>
      </c>
      <c r="I552" s="264" t="inlineStr">
        <is>
          <t>EQY781</t>
        </is>
      </c>
      <c r="J552" s="265" t="n">
        <v>0.3263888888888889</v>
      </c>
      <c r="K552" s="266" t="n">
        <v>2937</v>
      </c>
      <c r="L552" s="308" t="n"/>
      <c r="M552" s="113" t="n"/>
      <c r="N552" s="113" t="n"/>
      <c r="O552" s="113" t="n"/>
      <c r="P552" s="243" t="n"/>
      <c r="Q552" s="113" t="n"/>
      <c r="R552" s="113" t="n"/>
    </row>
    <row r="553" ht="15.75" customHeight="1">
      <c r="A553" s="113" t="n"/>
      <c r="B553" s="146" t="n">
        <v>11</v>
      </c>
      <c r="C553" s="350" t="n">
        <v>45874</v>
      </c>
      <c r="D553" s="351" t="n">
        <v>8</v>
      </c>
      <c r="E553" s="264" t="inlineStr">
        <is>
          <t xml:space="preserve">SAN JOSE </t>
        </is>
      </c>
      <c r="F553" s="264" t="inlineStr">
        <is>
          <t xml:space="preserve">CARGUEROS  </t>
        </is>
      </c>
      <c r="G553" s="264" t="n">
        <v>11</v>
      </c>
      <c r="H553" s="264" t="inlineStr">
        <is>
          <t xml:space="preserve">FERNANDO OYUELA </t>
        </is>
      </c>
      <c r="I553" s="264" t="inlineStr">
        <is>
          <t>EQY778</t>
        </is>
      </c>
      <c r="J553" s="265" t="n">
        <v>0.4513888888888889</v>
      </c>
      <c r="K553" s="266" t="n">
        <v>3400</v>
      </c>
      <c r="L553" s="308" t="n"/>
      <c r="M553" s="113" t="n"/>
      <c r="N553" s="113" t="n"/>
      <c r="O553" s="113" t="n"/>
      <c r="P553" s="243" t="n"/>
      <c r="Q553" s="113" t="n"/>
      <c r="R553" s="113" t="n"/>
    </row>
    <row r="554" ht="15.75" customHeight="1">
      <c r="A554" s="113" t="n"/>
      <c r="B554" s="146" t="n">
        <v>11</v>
      </c>
      <c r="C554" s="350" t="n">
        <v>45874</v>
      </c>
      <c r="D554" s="351" t="n">
        <v>9</v>
      </c>
      <c r="E554" s="264" t="inlineStr">
        <is>
          <t xml:space="preserve">SAN JOSE </t>
        </is>
      </c>
      <c r="F554" s="264" t="inlineStr">
        <is>
          <t xml:space="preserve">CARGUEROS  </t>
        </is>
      </c>
      <c r="G554" s="264" t="n">
        <v>11</v>
      </c>
      <c r="H554" s="264" t="inlineStr">
        <is>
          <t>DUMAR ANGARITA</t>
        </is>
      </c>
      <c r="I554" s="264" t="inlineStr">
        <is>
          <t>LQO745</t>
        </is>
      </c>
      <c r="J554" s="265" t="n">
        <v>0.4895833333333333</v>
      </c>
      <c r="K554" s="266" t="n">
        <v>3400</v>
      </c>
      <c r="L554" s="308" t="n"/>
      <c r="M554" s="113" t="n"/>
      <c r="N554" s="113" t="n"/>
      <c r="O554" s="113" t="n"/>
      <c r="P554" s="243" t="n"/>
      <c r="Q554" s="113" t="n"/>
      <c r="R554" s="113" t="n"/>
    </row>
    <row r="555" ht="15.75" customHeight="1">
      <c r="A555" s="113" t="n"/>
      <c r="B555" s="146" t="n">
        <v>11</v>
      </c>
      <c r="C555" s="350" t="n">
        <v>45874</v>
      </c>
      <c r="D555" s="351" t="n">
        <v>10</v>
      </c>
      <c r="E555" s="264" t="inlineStr">
        <is>
          <t xml:space="preserve">SAN JOSE </t>
        </is>
      </c>
      <c r="F555" s="264" t="inlineStr">
        <is>
          <t xml:space="preserve">CARGUEROS  </t>
        </is>
      </c>
      <c r="G555" s="264" t="n">
        <v>11</v>
      </c>
      <c r="H555" s="264" t="inlineStr">
        <is>
          <t>ALEX GOMEZ</t>
        </is>
      </c>
      <c r="I555" s="264" t="inlineStr">
        <is>
          <t>TLN881</t>
        </is>
      </c>
      <c r="J555" s="265" t="n">
        <v>0.5243055555555556</v>
      </c>
      <c r="K555" s="266" t="n">
        <v>2833</v>
      </c>
      <c r="L555" s="308" t="n"/>
      <c r="M555" s="113" t="n"/>
      <c r="N555" s="113" t="n"/>
      <c r="O555" s="113" t="n"/>
      <c r="P555" s="243" t="n"/>
      <c r="Q555" s="113" t="n"/>
      <c r="R555" s="113" t="n"/>
    </row>
    <row r="556" ht="15.75" customHeight="1">
      <c r="A556" s="113" t="n"/>
      <c r="B556" s="146" t="n">
        <v>11</v>
      </c>
      <c r="C556" s="350" t="n">
        <v>45874</v>
      </c>
      <c r="D556" s="351" t="n">
        <v>11</v>
      </c>
      <c r="E556" s="264" t="inlineStr">
        <is>
          <t xml:space="preserve">SAN JOSE </t>
        </is>
      </c>
      <c r="F556" s="264" t="inlineStr">
        <is>
          <t xml:space="preserve">CARGUEROS  </t>
        </is>
      </c>
      <c r="G556" s="264" t="n">
        <v>11</v>
      </c>
      <c r="H556" s="264" t="inlineStr">
        <is>
          <t>FABIO ALDANA</t>
        </is>
      </c>
      <c r="I556" s="264" t="inlineStr">
        <is>
          <t>TLO882</t>
        </is>
      </c>
      <c r="J556" s="265" t="n">
        <v>0.5833333333333334</v>
      </c>
      <c r="K556" s="266" t="n">
        <v>2833</v>
      </c>
      <c r="L556" s="319" t="n"/>
      <c r="M556" s="113" t="n"/>
      <c r="N556" s="113" t="n"/>
      <c r="O556" s="113" t="n"/>
      <c r="P556" s="243" t="n"/>
      <c r="Q556" s="113" t="n"/>
      <c r="R556" s="113" t="n"/>
    </row>
    <row r="557" ht="15.75" customHeight="1">
      <c r="A557" s="113" t="n"/>
      <c r="B557" s="146" t="n">
        <v>11</v>
      </c>
      <c r="C557" s="352" t="n">
        <v>45874</v>
      </c>
      <c r="D557" s="347" t="n">
        <v>12</v>
      </c>
      <c r="E557" s="282" t="inlineStr">
        <is>
          <t xml:space="preserve">SAN JOSE </t>
        </is>
      </c>
      <c r="F557" s="282" t="inlineStr">
        <is>
          <t>CARGUEROS</t>
        </is>
      </c>
      <c r="G557" s="282" t="n">
        <v>11</v>
      </c>
      <c r="H557" s="282" t="inlineStr">
        <is>
          <t xml:space="preserve">JHON AGUIRRE </t>
        </is>
      </c>
      <c r="I557" s="282" t="inlineStr">
        <is>
          <t>EQY780</t>
        </is>
      </c>
      <c r="J557" s="283" t="n">
        <v>0.6145833333333334</v>
      </c>
      <c r="K557" s="318" t="n">
        <v>2833</v>
      </c>
      <c r="L557" s="354">
        <f>SUM(K546:K557)</f>
        <v/>
      </c>
      <c r="M557" s="113" t="n"/>
      <c r="N557" s="113" t="n"/>
      <c r="O557" s="113" t="n"/>
      <c r="P557" s="243" t="n"/>
      <c r="Q557" s="113" t="n"/>
      <c r="R557" s="113" t="n"/>
    </row>
    <row r="558" ht="15.75" customHeight="1">
      <c r="A558" s="113" t="n"/>
      <c r="B558" s="146" t="n">
        <v>11</v>
      </c>
      <c r="C558" s="348" t="n">
        <v>45875</v>
      </c>
      <c r="D558" s="349" t="n">
        <v>1</v>
      </c>
      <c r="E558" s="258" t="inlineStr">
        <is>
          <t>MALAGUEÑA</t>
        </is>
      </c>
      <c r="F558" s="258" t="inlineStr">
        <is>
          <t>CARGUEROS</t>
        </is>
      </c>
      <c r="G558" s="258" t="n">
        <v>11</v>
      </c>
      <c r="H558" s="258" t="inlineStr">
        <is>
          <t xml:space="preserve">JOSE HERRERA </t>
        </is>
      </c>
      <c r="I558" s="258" t="inlineStr">
        <is>
          <t>TLN181</t>
        </is>
      </c>
      <c r="J558" s="259" t="n">
        <v>0.1215277777777778</v>
      </c>
      <c r="K558" s="260" t="n">
        <v>2928</v>
      </c>
      <c r="L558" s="292" t="n"/>
      <c r="M558" s="113" t="n"/>
      <c r="N558" s="113" t="n"/>
      <c r="O558" s="113" t="n"/>
      <c r="P558" s="243" t="n"/>
      <c r="Q558" s="113" t="n"/>
      <c r="R558" s="113" t="n"/>
    </row>
    <row r="559" ht="15.75" customHeight="1">
      <c r="A559" s="113" t="n"/>
      <c r="B559" s="146" t="n">
        <v>11</v>
      </c>
      <c r="C559" s="350" t="n">
        <v>45875</v>
      </c>
      <c r="D559" s="351" t="n">
        <v>2</v>
      </c>
      <c r="E559" s="264" t="inlineStr">
        <is>
          <t xml:space="preserve">MALAGUEÑA </t>
        </is>
      </c>
      <c r="F559" s="264" t="inlineStr">
        <is>
          <t>CARGUEROS</t>
        </is>
      </c>
      <c r="G559" s="264" t="n">
        <v>11</v>
      </c>
      <c r="H559" s="264" t="inlineStr">
        <is>
          <t>JHON ARIAS</t>
        </is>
      </c>
      <c r="I559" s="264" t="inlineStr">
        <is>
          <t>TLN248</t>
        </is>
      </c>
      <c r="J559" s="265" t="n">
        <v>0.15625</v>
      </c>
      <c r="K559" s="266" t="n">
        <v>3448</v>
      </c>
      <c r="L559" s="308" t="n"/>
      <c r="M559" s="113" t="n"/>
      <c r="N559" s="113" t="n"/>
      <c r="O559" s="113" t="n"/>
      <c r="P559" s="243" t="n"/>
      <c r="Q559" s="113" t="n"/>
      <c r="R559" s="113" t="n"/>
    </row>
    <row r="560" ht="15.75" customHeight="1">
      <c r="A560" s="113" t="n"/>
      <c r="B560" s="146" t="n">
        <v>11</v>
      </c>
      <c r="C560" s="350" t="n">
        <v>45875</v>
      </c>
      <c r="D560" s="351" t="n">
        <v>3</v>
      </c>
      <c r="E560" s="264" t="inlineStr">
        <is>
          <t>MALAGUEÑA</t>
        </is>
      </c>
      <c r="F560" s="264" t="inlineStr">
        <is>
          <t>CARGUEROS</t>
        </is>
      </c>
      <c r="G560" s="264" t="n">
        <v>11</v>
      </c>
      <c r="H560" s="264" t="inlineStr">
        <is>
          <t>DIEGO NIÑO</t>
        </is>
      </c>
      <c r="I560" s="264" t="inlineStr">
        <is>
          <t>GZZ673</t>
        </is>
      </c>
      <c r="J560" s="265" t="n">
        <v>0.1875</v>
      </c>
      <c r="K560" s="266" t="n">
        <v>3188</v>
      </c>
      <c r="L560" s="308" t="n"/>
      <c r="M560" s="113" t="n"/>
      <c r="N560" s="113" t="n"/>
      <c r="O560" s="113" t="n"/>
      <c r="P560" s="243" t="n"/>
      <c r="Q560" s="113" t="n"/>
      <c r="R560" s="113" t="n"/>
    </row>
    <row r="561" ht="15.75" customHeight="1">
      <c r="A561" s="113" t="n"/>
      <c r="B561" s="146" t="n">
        <v>11</v>
      </c>
      <c r="C561" s="350" t="n">
        <v>45875</v>
      </c>
      <c r="D561" s="351" t="n">
        <v>4</v>
      </c>
      <c r="E561" s="264" t="inlineStr">
        <is>
          <t>MALAGUEÑA</t>
        </is>
      </c>
      <c r="F561" s="264" t="inlineStr">
        <is>
          <t>CARGUEROS</t>
        </is>
      </c>
      <c r="G561" s="264" t="n">
        <v>11</v>
      </c>
      <c r="H561" s="264" t="inlineStr">
        <is>
          <t xml:space="preserve">FABIO ALDANA </t>
        </is>
      </c>
      <c r="I561" s="264" t="inlineStr">
        <is>
          <t>TLO882</t>
        </is>
      </c>
      <c r="J561" s="265" t="n">
        <v>0.2361111111111111</v>
      </c>
      <c r="K561" s="266" t="n">
        <v>3188</v>
      </c>
      <c r="L561" s="308" t="n"/>
      <c r="M561" s="113" t="n"/>
      <c r="N561" s="113" t="n"/>
      <c r="O561" s="113" t="n"/>
      <c r="P561" s="243" t="n"/>
      <c r="Q561" s="113" t="n"/>
      <c r="R561" s="113" t="n"/>
    </row>
    <row r="562" ht="15.75" customHeight="1">
      <c r="A562" s="113" t="n"/>
      <c r="B562" s="146" t="n">
        <v>11</v>
      </c>
      <c r="C562" s="350" t="n">
        <v>45875</v>
      </c>
      <c r="D562" s="351" t="n">
        <v>5</v>
      </c>
      <c r="E562" s="264" t="inlineStr">
        <is>
          <t>MALAGUEÑA</t>
        </is>
      </c>
      <c r="F562" s="264" t="inlineStr">
        <is>
          <t xml:space="preserve">CARGUEROS  </t>
        </is>
      </c>
      <c r="G562" s="264" t="n">
        <v>11</v>
      </c>
      <c r="H562" s="264" t="inlineStr">
        <is>
          <t xml:space="preserve">JOSE SOLER </t>
        </is>
      </c>
      <c r="I562" s="264" t="inlineStr">
        <is>
          <t>EQY776</t>
        </is>
      </c>
      <c r="J562" s="265" t="n">
        <v>0.2847222222222222</v>
      </c>
      <c r="K562" s="266" t="n">
        <v>2932</v>
      </c>
      <c r="L562" s="308" t="n"/>
      <c r="M562" s="113" t="n"/>
      <c r="N562" s="113" t="n"/>
      <c r="O562" s="113" t="n"/>
      <c r="P562" s="243" t="n"/>
      <c r="Q562" s="113" t="n"/>
      <c r="R562" s="113" t="n"/>
    </row>
    <row r="563" ht="15.75" customHeight="1">
      <c r="A563" s="113" t="n"/>
      <c r="B563" s="146" t="n">
        <v>11</v>
      </c>
      <c r="C563" s="350" t="n">
        <v>45875</v>
      </c>
      <c r="D563" s="351" t="n">
        <v>6</v>
      </c>
      <c r="E563" s="264" t="inlineStr">
        <is>
          <t xml:space="preserve">SAN JOSE </t>
        </is>
      </c>
      <c r="F563" s="264" t="inlineStr">
        <is>
          <t>ABONEROS</t>
        </is>
      </c>
      <c r="G563" s="264" t="n">
        <v>11</v>
      </c>
      <c r="H563" s="264" t="inlineStr">
        <is>
          <t xml:space="preserve">YAIR RIVEROS </t>
        </is>
      </c>
      <c r="I563" s="264" t="inlineStr">
        <is>
          <t>TLN181</t>
        </is>
      </c>
      <c r="J563" s="265" t="n">
        <v>0.3180555555555555</v>
      </c>
      <c r="K563" s="266" t="n">
        <v>3292</v>
      </c>
      <c r="L563" s="308" t="n"/>
      <c r="M563" s="113" t="n"/>
      <c r="N563" s="113" t="n"/>
      <c r="O563" s="113" t="n"/>
      <c r="P563" s="243" t="n"/>
      <c r="Q563" s="113" t="n"/>
      <c r="R563" s="113" t="n"/>
    </row>
    <row r="564" ht="15.75" customHeight="1">
      <c r="A564" s="113" t="n"/>
      <c r="B564" s="146" t="n">
        <v>11</v>
      </c>
      <c r="C564" s="350" t="n">
        <v>45875</v>
      </c>
      <c r="D564" s="351" t="n">
        <v>7</v>
      </c>
      <c r="E564" s="264" t="inlineStr">
        <is>
          <t xml:space="preserve">SAN JOSE </t>
        </is>
      </c>
      <c r="F564" s="264" t="inlineStr">
        <is>
          <t>ABONEROS</t>
        </is>
      </c>
      <c r="G564" s="264" t="n">
        <v>11</v>
      </c>
      <c r="H564" s="264" t="inlineStr">
        <is>
          <t xml:space="preserve">WILMER PIÑEROS </t>
        </is>
      </c>
      <c r="I564" s="264" t="inlineStr">
        <is>
          <t>KNL076</t>
        </is>
      </c>
      <c r="J564" s="265" t="n">
        <v>0.35625</v>
      </c>
      <c r="K564" s="266" t="n">
        <v>3292</v>
      </c>
      <c r="L564" s="308" t="n"/>
      <c r="M564" s="113" t="n"/>
      <c r="N564" s="113" t="n"/>
      <c r="O564" s="113" t="n"/>
      <c r="P564" s="243" t="n"/>
      <c r="Q564" s="113" t="n"/>
      <c r="R564" s="113" t="n"/>
    </row>
    <row r="565" ht="15.75" customHeight="1">
      <c r="A565" s="113" t="n"/>
      <c r="B565" s="146" t="n">
        <v>11</v>
      </c>
      <c r="C565" s="350" t="n">
        <v>45875</v>
      </c>
      <c r="D565" s="351" t="n">
        <v>8</v>
      </c>
      <c r="E565" s="264" t="inlineStr">
        <is>
          <t xml:space="preserve">SAN JOSE </t>
        </is>
      </c>
      <c r="F565" s="264" t="inlineStr">
        <is>
          <t xml:space="preserve">CARGUEROS  </t>
        </is>
      </c>
      <c r="G565" s="264" t="n">
        <v>11</v>
      </c>
      <c r="H565" s="264" t="inlineStr">
        <is>
          <t>DUMAR ANGARITA</t>
        </is>
      </c>
      <c r="I565" s="264" t="inlineStr">
        <is>
          <t>LQO745</t>
        </is>
      </c>
      <c r="J565" s="265" t="n">
        <v>0.3888888888888889</v>
      </c>
      <c r="K565" s="266" t="n">
        <v>3292</v>
      </c>
      <c r="L565" s="308" t="n"/>
      <c r="M565" s="113" t="n"/>
      <c r="N565" s="113" t="n"/>
      <c r="O565" s="113" t="n"/>
      <c r="P565" s="243" t="n"/>
      <c r="Q565" s="113" t="n"/>
      <c r="R565" s="113" t="n"/>
    </row>
    <row r="566" ht="15.75" customHeight="1">
      <c r="A566" s="113" t="n"/>
      <c r="B566" s="146" t="n">
        <v>11</v>
      </c>
      <c r="C566" s="350" t="n">
        <v>45875</v>
      </c>
      <c r="D566" s="351" t="n">
        <v>9</v>
      </c>
      <c r="E566" s="264" t="inlineStr">
        <is>
          <t xml:space="preserve">SAN JOSE </t>
        </is>
      </c>
      <c r="F566" s="264" t="inlineStr">
        <is>
          <t>CARGUEROS</t>
        </is>
      </c>
      <c r="G566" s="264" t="n">
        <v>11</v>
      </c>
      <c r="H566" s="264" t="inlineStr">
        <is>
          <t>HENRY ROMERO</t>
        </is>
      </c>
      <c r="I566" s="264" t="inlineStr">
        <is>
          <t>EQY781</t>
        </is>
      </c>
      <c r="J566" s="265" t="n">
        <v>0.4236111111111111</v>
      </c>
      <c r="K566" s="266" t="n">
        <v>3292</v>
      </c>
      <c r="L566" s="308" t="n"/>
      <c r="M566" s="113" t="n"/>
      <c r="N566" s="113" t="n"/>
      <c r="O566" s="113" t="n"/>
      <c r="P566" s="243" t="n"/>
      <c r="Q566" s="113" t="n"/>
      <c r="R566" s="113" t="n"/>
    </row>
    <row r="567" ht="15.75" customHeight="1">
      <c r="A567" s="113" t="n"/>
      <c r="B567" s="146" t="n">
        <v>11</v>
      </c>
      <c r="C567" s="350" t="n">
        <v>45875</v>
      </c>
      <c r="D567" s="351" t="n">
        <v>10</v>
      </c>
      <c r="E567" s="264" t="inlineStr">
        <is>
          <t xml:space="preserve">SAN JOSE </t>
        </is>
      </c>
      <c r="F567" s="264" t="inlineStr">
        <is>
          <t>CARGUEROS</t>
        </is>
      </c>
      <c r="G567" s="264" t="n">
        <v>11</v>
      </c>
      <c r="H567" s="264" t="inlineStr">
        <is>
          <t>EDUAN CAVIEDEZ</t>
        </is>
      </c>
      <c r="I567" s="264" t="inlineStr">
        <is>
          <t>EQY779</t>
        </is>
      </c>
      <c r="J567" s="265" t="n">
        <v>0.4583333333333333</v>
      </c>
      <c r="K567" s="266" t="n">
        <v>3292</v>
      </c>
      <c r="L567" s="308" t="n"/>
      <c r="M567" s="113" t="n"/>
      <c r="N567" s="113" t="n"/>
      <c r="O567" s="113" t="n"/>
      <c r="P567" s="243" t="n"/>
      <c r="Q567" s="113" t="n"/>
      <c r="R567" s="113" t="n"/>
    </row>
    <row r="568" ht="15.75" customHeight="1">
      <c r="A568" s="113" t="n"/>
      <c r="B568" s="146" t="n">
        <v>11</v>
      </c>
      <c r="C568" s="356" t="n">
        <v>45875</v>
      </c>
      <c r="D568" s="357" t="n">
        <v>11</v>
      </c>
      <c r="E568" s="271" t="inlineStr">
        <is>
          <t xml:space="preserve">SAN JOSE </t>
        </is>
      </c>
      <c r="F568" s="271" t="inlineStr">
        <is>
          <t>CARGUEROS</t>
        </is>
      </c>
      <c r="G568" s="271" t="n">
        <v>11</v>
      </c>
      <c r="H568" s="271" t="inlineStr">
        <is>
          <t>MANUEL QUITIAN</t>
        </is>
      </c>
      <c r="I568" s="271" t="inlineStr">
        <is>
          <t>KUS176</t>
        </is>
      </c>
      <c r="J568" s="272" t="n">
        <v>0.5034722222222222</v>
      </c>
      <c r="K568" s="286" t="n">
        <v>3472</v>
      </c>
      <c r="L568" s="385">
        <f>SUM(K558:K568)</f>
        <v/>
      </c>
      <c r="M568" s="113" t="n"/>
      <c r="N568" s="113" t="n"/>
      <c r="O568" s="113" t="n"/>
      <c r="P568" s="243" t="n"/>
      <c r="Q568" s="113" t="n"/>
      <c r="R568" s="113" t="n"/>
    </row>
    <row r="569" ht="15.75" customHeight="1">
      <c r="A569" s="113" t="n"/>
      <c r="B569" s="146" t="n">
        <v>11</v>
      </c>
      <c r="C569" s="348" t="n">
        <v>45877</v>
      </c>
      <c r="D569" s="349" t="n">
        <v>1</v>
      </c>
      <c r="E569" s="258" t="inlineStr">
        <is>
          <t>MALAGUEÑA</t>
        </is>
      </c>
      <c r="F569" s="258" t="inlineStr">
        <is>
          <t>CARGUEROS</t>
        </is>
      </c>
      <c r="G569" s="258" t="n">
        <v>13</v>
      </c>
      <c r="H569" s="258" t="inlineStr">
        <is>
          <t>EDUAN CAVIEDEZ</t>
        </is>
      </c>
      <c r="I569" s="258" t="inlineStr">
        <is>
          <t>EQY779</t>
        </is>
      </c>
      <c r="J569" s="259" t="n">
        <v>0.9527777777777777</v>
      </c>
      <c r="K569" s="260" t="n">
        <v>3462</v>
      </c>
      <c r="L569" s="292" t="n"/>
      <c r="M569" s="113" t="n"/>
      <c r="N569" s="113" t="n"/>
      <c r="O569" s="113" t="n"/>
      <c r="P569" s="243" t="n"/>
      <c r="Q569" s="113" t="n"/>
      <c r="R569" s="113" t="n"/>
    </row>
    <row r="570" ht="15.75" customHeight="1">
      <c r="A570" s="113" t="n"/>
      <c r="B570" s="146" t="n">
        <v>11</v>
      </c>
      <c r="C570" s="350" t="n">
        <v>45877</v>
      </c>
      <c r="D570" s="351" t="n">
        <v>2</v>
      </c>
      <c r="E570" s="264" t="inlineStr">
        <is>
          <t>MALAGUEÑA</t>
        </is>
      </c>
      <c r="F570" s="264" t="inlineStr">
        <is>
          <t>CARGUEROS</t>
        </is>
      </c>
      <c r="G570" s="264" t="n">
        <v>13</v>
      </c>
      <c r="H570" s="264" t="inlineStr">
        <is>
          <t>DIEGO NIÑO</t>
        </is>
      </c>
      <c r="I570" s="264" t="inlineStr">
        <is>
          <t>GZZ673</t>
        </is>
      </c>
      <c r="J570" s="265" t="n">
        <v>0.9895833333333334</v>
      </c>
      <c r="K570" s="266" t="n">
        <v>3462</v>
      </c>
      <c r="L570" s="308" t="n"/>
      <c r="M570" s="113" t="n"/>
      <c r="N570" s="113" t="n"/>
      <c r="O570" s="113" t="n"/>
      <c r="P570" s="243" t="n"/>
      <c r="Q570" s="113" t="n"/>
      <c r="R570" s="113" t="n"/>
    </row>
    <row r="571" ht="15.75" customHeight="1">
      <c r="A571" s="113" t="n"/>
      <c r="B571" s="146" t="n">
        <v>11</v>
      </c>
      <c r="C571" s="350" t="n">
        <v>45877</v>
      </c>
      <c r="D571" s="351" t="n">
        <v>3</v>
      </c>
      <c r="E571" s="264" t="inlineStr">
        <is>
          <t>MALAGUEÑA</t>
        </is>
      </c>
      <c r="F571" s="264" t="inlineStr">
        <is>
          <t>CARGUEROS</t>
        </is>
      </c>
      <c r="G571" s="264" t="n">
        <v>13</v>
      </c>
      <c r="H571" s="264" t="inlineStr">
        <is>
          <t xml:space="preserve">JOSE SOLER </t>
        </is>
      </c>
      <c r="I571" s="264" t="inlineStr">
        <is>
          <t>EQY776</t>
        </is>
      </c>
      <c r="J571" s="265" t="n">
        <v>0.02083333333333333</v>
      </c>
      <c r="K571" s="266" t="n">
        <v>3462</v>
      </c>
      <c r="L571" s="308" t="n"/>
      <c r="M571" s="113" t="n"/>
      <c r="N571" s="113" t="n"/>
      <c r="O571" s="113" t="n"/>
      <c r="P571" s="243" t="n"/>
      <c r="Q571" s="113" t="n"/>
      <c r="R571" s="113" t="n"/>
    </row>
    <row r="572" ht="15.75" customHeight="1">
      <c r="A572" s="113" t="n"/>
      <c r="B572" s="146" t="n">
        <v>11</v>
      </c>
      <c r="C572" s="350" t="n">
        <v>45877</v>
      </c>
      <c r="D572" s="351" t="n">
        <v>4</v>
      </c>
      <c r="E572" s="264" t="inlineStr">
        <is>
          <t>MALAGUEÑA</t>
        </is>
      </c>
      <c r="F572" s="264" t="inlineStr">
        <is>
          <t>CARGUEROS</t>
        </is>
      </c>
      <c r="G572" s="264" t="n">
        <v>13</v>
      </c>
      <c r="H572" s="264" t="inlineStr">
        <is>
          <t xml:space="preserve">WILMER PIÑEROS </t>
        </is>
      </c>
      <c r="I572" s="264" t="inlineStr">
        <is>
          <t>KNL076</t>
        </is>
      </c>
      <c r="J572" s="265" t="n">
        <v>0.05</v>
      </c>
      <c r="K572" s="266" t="n">
        <v>3462</v>
      </c>
      <c r="L572" s="308" t="n"/>
      <c r="M572" s="113" t="n"/>
      <c r="N572" s="113" t="n"/>
      <c r="O572" s="113" t="n"/>
      <c r="P572" s="243" t="n"/>
      <c r="Q572" s="113" t="n"/>
      <c r="R572" s="113" t="n"/>
    </row>
    <row r="573" ht="15.75" customHeight="1">
      <c r="A573" s="113" t="n"/>
      <c r="B573" s="146" t="n">
        <v>11</v>
      </c>
      <c r="C573" s="350" t="n">
        <v>45877</v>
      </c>
      <c r="D573" s="351" t="n">
        <v>5</v>
      </c>
      <c r="E573" s="264" t="inlineStr">
        <is>
          <t>MALAGUEÑA</t>
        </is>
      </c>
      <c r="F573" s="264" t="inlineStr">
        <is>
          <t>CARGUEROS</t>
        </is>
      </c>
      <c r="G573" s="264" t="n">
        <v>13</v>
      </c>
      <c r="H573" s="264" t="inlineStr">
        <is>
          <t>JHON ARIAS</t>
        </is>
      </c>
      <c r="I573" s="264" t="inlineStr">
        <is>
          <t>TLN248</t>
        </is>
      </c>
      <c r="J573" s="265" t="n">
        <v>0.08333333333333333</v>
      </c>
      <c r="K573" s="266" t="n">
        <v>3462</v>
      </c>
      <c r="L573" s="308" t="n"/>
      <c r="M573" s="113" t="n"/>
      <c r="N573" s="113" t="n"/>
      <c r="O573" s="113" t="n"/>
      <c r="P573" s="243" t="n"/>
      <c r="Q573" s="113" t="n"/>
      <c r="R573" s="113" t="n"/>
    </row>
    <row r="574" ht="15.75" customHeight="1">
      <c r="A574" s="113" t="n"/>
      <c r="B574" s="146" t="n">
        <v>11</v>
      </c>
      <c r="C574" s="350" t="n">
        <v>45877</v>
      </c>
      <c r="D574" s="351" t="n">
        <v>6</v>
      </c>
      <c r="E574" s="264" t="inlineStr">
        <is>
          <t>MALAGUEÑA</t>
        </is>
      </c>
      <c r="F574" s="264" t="inlineStr">
        <is>
          <t>CARGUEROS</t>
        </is>
      </c>
      <c r="G574" s="264" t="n">
        <v>13</v>
      </c>
      <c r="H574" s="264" t="inlineStr">
        <is>
          <t xml:space="preserve">JAIR RIVEROS </t>
        </is>
      </c>
      <c r="I574" s="264" t="inlineStr">
        <is>
          <t>TLN881</t>
        </is>
      </c>
      <c r="J574" s="265" t="n">
        <v>0.1111111111111111</v>
      </c>
      <c r="K574" s="266" t="n">
        <v>3462</v>
      </c>
      <c r="L574" s="308" t="n"/>
      <c r="M574" s="113" t="n"/>
      <c r="N574" s="113" t="n"/>
      <c r="O574" s="113" t="n"/>
      <c r="P574" s="243" t="n"/>
      <c r="Q574" s="113" t="n"/>
      <c r="R574" s="113" t="n"/>
    </row>
    <row r="575" ht="15.75" customHeight="1">
      <c r="A575" s="113" t="n"/>
      <c r="B575" s="146" t="n">
        <v>11</v>
      </c>
      <c r="C575" s="350" t="n">
        <v>45877</v>
      </c>
      <c r="D575" s="351" t="n">
        <v>7</v>
      </c>
      <c r="E575" s="264" t="inlineStr">
        <is>
          <t>MALAGUEÑA</t>
        </is>
      </c>
      <c r="F575" s="264" t="inlineStr">
        <is>
          <t>CARGUEROS</t>
        </is>
      </c>
      <c r="G575" s="264" t="n">
        <v>13</v>
      </c>
      <c r="H575" s="264" t="inlineStr">
        <is>
          <t>FABIO ALDANA</t>
        </is>
      </c>
      <c r="I575" s="264" t="inlineStr">
        <is>
          <t>TLO882</t>
        </is>
      </c>
      <c r="J575" s="265" t="n">
        <v>0.1423611111111111</v>
      </c>
      <c r="K575" s="266" t="n">
        <v>3462</v>
      </c>
      <c r="L575" s="308" t="n"/>
      <c r="M575" s="113" t="n"/>
      <c r="N575" s="113" t="n"/>
      <c r="O575" s="113" t="n"/>
      <c r="P575" s="243" t="n"/>
      <c r="Q575" s="113" t="n"/>
      <c r="R575" s="113" t="n"/>
    </row>
    <row r="576" ht="15.75" customHeight="1">
      <c r="A576" s="113" t="n"/>
      <c r="B576" s="146" t="n">
        <v>11</v>
      </c>
      <c r="C576" s="350" t="n">
        <v>45877</v>
      </c>
      <c r="D576" s="351" t="n">
        <v>8</v>
      </c>
      <c r="E576" s="264" t="inlineStr">
        <is>
          <t>MALAGUEÑA</t>
        </is>
      </c>
      <c r="F576" s="264" t="inlineStr">
        <is>
          <t>CARGUEROS</t>
        </is>
      </c>
      <c r="G576" s="264" t="n">
        <v>13</v>
      </c>
      <c r="H576" s="264" t="inlineStr">
        <is>
          <t>JOSE HERRERA</t>
        </is>
      </c>
      <c r="I576" s="264" t="inlineStr">
        <is>
          <t>EQY780</t>
        </is>
      </c>
      <c r="J576" s="265" t="n">
        <v>0.1770833333333333</v>
      </c>
      <c r="K576" s="266" t="n">
        <v>2916</v>
      </c>
      <c r="L576" s="308" t="n"/>
      <c r="M576" s="113" t="n"/>
      <c r="N576" s="113" t="n"/>
      <c r="O576" s="113" t="n"/>
      <c r="P576" s="243" t="n"/>
      <c r="Q576" s="113" t="n"/>
      <c r="R576" s="113" t="n"/>
    </row>
    <row r="577" ht="15.75" customHeight="1">
      <c r="A577" s="113" t="n"/>
      <c r="B577" s="146" t="n">
        <v>11</v>
      </c>
      <c r="C577" s="350" t="n">
        <v>45877</v>
      </c>
      <c r="D577" s="351" t="n">
        <v>9</v>
      </c>
      <c r="E577" s="264" t="inlineStr">
        <is>
          <t>MALAGUEÑA</t>
        </is>
      </c>
      <c r="F577" s="264" t="inlineStr">
        <is>
          <t>CARGUEROS</t>
        </is>
      </c>
      <c r="G577" s="264" t="n">
        <v>13</v>
      </c>
      <c r="H577" s="264" t="inlineStr">
        <is>
          <t>MANUEL QUITIAN</t>
        </is>
      </c>
      <c r="I577" s="264" t="inlineStr">
        <is>
          <t>KUS176</t>
        </is>
      </c>
      <c r="J577" s="265" t="n">
        <v>0.3958333333333333</v>
      </c>
      <c r="K577" s="266" t="n">
        <v>3398</v>
      </c>
      <c r="L577" s="308" t="n"/>
      <c r="M577" s="113" t="n"/>
      <c r="N577" s="113" t="n"/>
      <c r="O577" s="113" t="n"/>
      <c r="P577" s="243" t="n"/>
      <c r="Q577" s="113" t="n"/>
      <c r="R577" s="113" t="n"/>
    </row>
    <row r="578" ht="15.75" customHeight="1">
      <c r="A578" s="113" t="n"/>
      <c r="B578" s="146" t="n">
        <v>11</v>
      </c>
      <c r="C578" s="350" t="n">
        <v>45877</v>
      </c>
      <c r="D578" s="351" t="n">
        <v>10</v>
      </c>
      <c r="E578" s="264" t="inlineStr">
        <is>
          <t>MALAGUEÑA</t>
        </is>
      </c>
      <c r="F578" s="264" t="inlineStr">
        <is>
          <t>CARGUEROS</t>
        </is>
      </c>
      <c r="G578" s="264" t="n">
        <v>13</v>
      </c>
      <c r="H578" s="264" t="inlineStr">
        <is>
          <t>HENRY ROMERO</t>
        </is>
      </c>
      <c r="I578" s="264" t="inlineStr">
        <is>
          <t>EQY781</t>
        </is>
      </c>
      <c r="J578" s="265" t="n">
        <v>0.3868055555555556</v>
      </c>
      <c r="K578" s="266" t="n">
        <v>3398</v>
      </c>
      <c r="L578" s="308" t="n"/>
      <c r="M578" s="113" t="n"/>
      <c r="N578" s="113" t="n"/>
      <c r="O578" s="113" t="n"/>
      <c r="P578" s="243" t="n"/>
      <c r="Q578" s="113" t="n"/>
      <c r="R578" s="113" t="n"/>
    </row>
    <row r="579" ht="15.75" customHeight="1">
      <c r="A579" s="113" t="n"/>
      <c r="B579" s="146" t="n">
        <v>11</v>
      </c>
      <c r="C579" s="350" t="n">
        <v>45877</v>
      </c>
      <c r="D579" s="351" t="n">
        <v>11</v>
      </c>
      <c r="E579" s="264" t="inlineStr">
        <is>
          <t>MALAGUEÑA</t>
        </is>
      </c>
      <c r="F579" s="264" t="inlineStr">
        <is>
          <t>CARGUEROS</t>
        </is>
      </c>
      <c r="G579" s="264" t="n">
        <v>13</v>
      </c>
      <c r="H579" s="264" t="inlineStr">
        <is>
          <t>FERNANDO OYUELA</t>
        </is>
      </c>
      <c r="I579" s="264" t="inlineStr">
        <is>
          <t>EQY778</t>
        </is>
      </c>
      <c r="J579" s="265" t="n">
        <v>0.4215277777777778</v>
      </c>
      <c r="K579" s="266" t="n">
        <v>3398</v>
      </c>
      <c r="L579" s="308" t="n"/>
      <c r="M579" s="113" t="n"/>
      <c r="N579" s="113" t="n"/>
      <c r="O579" s="113" t="n"/>
      <c r="P579" s="243" t="n"/>
      <c r="Q579" s="113" t="n"/>
      <c r="R579" s="113" t="n"/>
    </row>
    <row r="580" ht="15.75" customHeight="1">
      <c r="A580" s="113" t="n"/>
      <c r="B580" s="146" t="n">
        <v>11</v>
      </c>
      <c r="C580" s="350" t="n">
        <v>45877</v>
      </c>
      <c r="D580" s="351" t="n">
        <v>12</v>
      </c>
      <c r="E580" s="264" t="inlineStr">
        <is>
          <t>MALAGUEÑA</t>
        </is>
      </c>
      <c r="F580" s="264" t="inlineStr">
        <is>
          <t>CARGUEROS</t>
        </is>
      </c>
      <c r="G580" s="264" t="n">
        <v>13</v>
      </c>
      <c r="H580" s="264" t="inlineStr">
        <is>
          <t>DUMAR ANGARITA</t>
        </is>
      </c>
      <c r="I580" s="264" t="inlineStr">
        <is>
          <t>LQO745</t>
        </is>
      </c>
      <c r="J580" s="265" t="n">
        <v>0.4513888888888889</v>
      </c>
      <c r="K580" s="266" t="n">
        <v>3398</v>
      </c>
      <c r="L580" s="308" t="n"/>
      <c r="M580" s="113" t="n"/>
      <c r="N580" s="113" t="n"/>
      <c r="O580" s="113" t="n"/>
      <c r="P580" s="243" t="n"/>
      <c r="Q580" s="113" t="n"/>
      <c r="R580" s="113" t="n"/>
    </row>
    <row r="581" ht="15.75" customHeight="1">
      <c r="A581" s="113" t="n"/>
      <c r="B581" s="146" t="n">
        <v>11</v>
      </c>
      <c r="C581" s="350" t="n">
        <v>45877</v>
      </c>
      <c r="D581" s="351" t="n">
        <v>13</v>
      </c>
      <c r="E581" s="264" t="inlineStr">
        <is>
          <t>MALAGUEÑA</t>
        </is>
      </c>
      <c r="F581" s="264" t="inlineStr">
        <is>
          <t>CARGUEROS</t>
        </is>
      </c>
      <c r="G581" s="264" t="n">
        <v>13</v>
      </c>
      <c r="H581" s="264" t="inlineStr">
        <is>
          <t>ALEX GOMEZ</t>
        </is>
      </c>
      <c r="I581" s="264" t="inlineStr">
        <is>
          <t>TLO181</t>
        </is>
      </c>
      <c r="J581" s="265" t="n">
        <v>0.4861111111111111</v>
      </c>
      <c r="K581" s="266" t="n">
        <v>3398</v>
      </c>
      <c r="L581" s="308" t="n"/>
      <c r="M581" s="113" t="n"/>
      <c r="N581" s="113" t="n"/>
      <c r="O581" s="113" t="n"/>
      <c r="P581" s="243" t="n"/>
      <c r="Q581" s="113" t="n"/>
      <c r="R581" s="113" t="n"/>
    </row>
    <row r="582" ht="15.75" customHeight="1">
      <c r="A582" s="113" t="n"/>
      <c r="B582" s="146" t="n">
        <v>11</v>
      </c>
      <c r="C582" s="350" t="n">
        <v>45877</v>
      </c>
      <c r="D582" s="351" t="n">
        <v>14</v>
      </c>
      <c r="E582" s="264" t="inlineStr">
        <is>
          <t>MALAGUEÑA</t>
        </is>
      </c>
      <c r="F582" s="264" t="inlineStr">
        <is>
          <t>CARGUEROS</t>
        </is>
      </c>
      <c r="G582" s="264" t="n">
        <v>13</v>
      </c>
      <c r="H582" s="264" t="inlineStr">
        <is>
          <t>EDUAN CAVIEDEZ</t>
        </is>
      </c>
      <c r="I582" s="264" t="inlineStr">
        <is>
          <t>EQY769</t>
        </is>
      </c>
      <c r="J582" s="265" t="n">
        <v>0.5173611111111112</v>
      </c>
      <c r="K582" s="266" t="n">
        <v>3398</v>
      </c>
      <c r="L582" s="308" t="n"/>
      <c r="M582" s="113" t="n"/>
      <c r="N582" s="113" t="n"/>
      <c r="O582" s="113" t="n"/>
      <c r="P582" s="243" t="n"/>
      <c r="Q582" s="113" t="n"/>
      <c r="R582" s="113" t="n"/>
    </row>
    <row r="583" ht="15.75" customHeight="1">
      <c r="A583" s="113" t="n"/>
      <c r="B583" s="146" t="n">
        <v>11</v>
      </c>
      <c r="C583" s="356" t="n">
        <v>45877</v>
      </c>
      <c r="D583" s="357" t="n">
        <v>15</v>
      </c>
      <c r="E583" s="271" t="inlineStr">
        <is>
          <t xml:space="preserve">SAN JOSE </t>
        </is>
      </c>
      <c r="F583" s="271" t="inlineStr">
        <is>
          <t>ABONEROS</t>
        </is>
      </c>
      <c r="G583" s="271" t="n">
        <v>13</v>
      </c>
      <c r="H583" s="271" t="inlineStr">
        <is>
          <t xml:space="preserve">DIEGO NIÑO </t>
        </is>
      </c>
      <c r="I583" s="271" t="inlineStr">
        <is>
          <t>GZZ673</t>
        </is>
      </c>
      <c r="J583" s="272" t="n">
        <v>0.5833333333333334</v>
      </c>
      <c r="K583" s="286" t="n">
        <v>4453</v>
      </c>
      <c r="L583" s="385">
        <f>SUM(K569:K583)</f>
        <v/>
      </c>
      <c r="M583" s="113" t="n"/>
      <c r="N583" s="113" t="n"/>
      <c r="O583" s="113" t="n"/>
      <c r="P583" s="243" t="n"/>
      <c r="Q583" s="113" t="n"/>
      <c r="R583" s="113" t="n"/>
    </row>
    <row r="584" ht="15.75" customHeight="1">
      <c r="A584" s="113" t="n"/>
      <c r="B584" s="146" t="n">
        <v>11</v>
      </c>
      <c r="C584" s="348" t="n">
        <v>45878</v>
      </c>
      <c r="D584" s="349" t="n">
        <v>1</v>
      </c>
      <c r="E584" s="258" t="inlineStr">
        <is>
          <t xml:space="preserve">MALAGUEÑA </t>
        </is>
      </c>
      <c r="F584" s="258" t="inlineStr">
        <is>
          <t>CARGUEROS</t>
        </is>
      </c>
      <c r="G584" s="258" t="n">
        <v>11</v>
      </c>
      <c r="H584" s="258" t="inlineStr">
        <is>
          <t xml:space="preserve">JOSE SOLER </t>
        </is>
      </c>
      <c r="I584" s="258" t="inlineStr">
        <is>
          <t>EQY776</t>
        </is>
      </c>
      <c r="J584" s="259" t="n">
        <v>0.04513888888888889</v>
      </c>
      <c r="K584" s="260" t="n">
        <v>2601</v>
      </c>
      <c r="L584" s="292" t="n"/>
      <c r="M584" s="113" t="n"/>
      <c r="N584" s="113" t="n"/>
      <c r="O584" s="113" t="n"/>
      <c r="P584" s="243" t="n"/>
      <c r="Q584" s="113" t="n"/>
      <c r="R584" s="113" t="n"/>
    </row>
    <row r="585" ht="15.75" customHeight="1">
      <c r="A585" s="113" t="n"/>
      <c r="B585" s="146" t="n">
        <v>11</v>
      </c>
      <c r="C585" s="350" t="n">
        <v>45878</v>
      </c>
      <c r="D585" s="351" t="n">
        <v>2</v>
      </c>
      <c r="E585" s="264" t="inlineStr">
        <is>
          <t>MALAGUEÑA</t>
        </is>
      </c>
      <c r="F585" s="264" t="inlineStr">
        <is>
          <t>CARGUEROS</t>
        </is>
      </c>
      <c r="G585" s="264" t="n">
        <v>11</v>
      </c>
      <c r="H585" s="264" t="inlineStr">
        <is>
          <t>JHON ARIAS</t>
        </is>
      </c>
      <c r="I585" s="264" t="inlineStr">
        <is>
          <t>TLN248</t>
        </is>
      </c>
      <c r="J585" s="265" t="n">
        <v>0.07222222222222222</v>
      </c>
      <c r="K585" s="266" t="n">
        <v>2601</v>
      </c>
      <c r="L585" s="308" t="n"/>
      <c r="M585" s="113" t="n"/>
      <c r="N585" s="113" t="n"/>
      <c r="O585" s="113" t="n"/>
      <c r="P585" s="243" t="n"/>
      <c r="Q585" s="113" t="n"/>
      <c r="R585" s="113" t="n"/>
    </row>
    <row r="586" ht="15.75" customHeight="1">
      <c r="A586" s="113" t="n"/>
      <c r="B586" s="146" t="n">
        <v>11</v>
      </c>
      <c r="C586" s="350" t="n">
        <v>45878</v>
      </c>
      <c r="D586" s="351" t="n">
        <v>3</v>
      </c>
      <c r="E586" s="264" t="inlineStr">
        <is>
          <t xml:space="preserve">MALAGUEÑA </t>
        </is>
      </c>
      <c r="F586" s="264" t="inlineStr">
        <is>
          <t>CARGUEROS</t>
        </is>
      </c>
      <c r="G586" s="264" t="n">
        <v>11</v>
      </c>
      <c r="H586" s="264" t="inlineStr">
        <is>
          <t>JAIRO CUBILLOS</t>
        </is>
      </c>
      <c r="I586" s="264" t="inlineStr">
        <is>
          <t>TLO884</t>
        </is>
      </c>
      <c r="J586" s="265" t="n">
        <v>0.1145833333333333</v>
      </c>
      <c r="K586" s="266" t="n">
        <v>2275</v>
      </c>
      <c r="L586" s="308" t="n"/>
      <c r="M586" s="113" t="n"/>
      <c r="N586" s="113" t="n"/>
      <c r="O586" s="113" t="n"/>
      <c r="P586" s="243" t="n"/>
      <c r="Q586" s="113" t="n"/>
      <c r="R586" s="113" t="n"/>
    </row>
    <row r="587" ht="15.75" customHeight="1">
      <c r="A587" s="113" t="n"/>
      <c r="B587" s="146" t="n">
        <v>11</v>
      </c>
      <c r="C587" s="350" t="n">
        <v>45878</v>
      </c>
      <c r="D587" s="351" t="n">
        <v>4</v>
      </c>
      <c r="E587" s="264" t="inlineStr">
        <is>
          <t xml:space="preserve">SAN JOSE </t>
        </is>
      </c>
      <c r="F587" s="264" t="inlineStr">
        <is>
          <t xml:space="preserve">ABONEROS </t>
        </is>
      </c>
      <c r="G587" s="264" t="n">
        <v>11</v>
      </c>
      <c r="H587" s="264" t="inlineStr">
        <is>
          <t xml:space="preserve">JHON AGUIRRE </t>
        </is>
      </c>
      <c r="I587" s="264" t="inlineStr">
        <is>
          <t>EQY780</t>
        </is>
      </c>
      <c r="J587" s="265" t="n">
        <v>0.2458333333333333</v>
      </c>
      <c r="K587" s="266" t="n">
        <v>3230</v>
      </c>
      <c r="L587" s="308" t="n"/>
      <c r="M587" s="113" t="n"/>
      <c r="N587" s="113" t="n"/>
      <c r="O587" s="113" t="n"/>
      <c r="P587" s="243" t="n"/>
      <c r="Q587" s="113" t="n"/>
      <c r="R587" s="113" t="n"/>
    </row>
    <row r="588" ht="15.75" customHeight="1">
      <c r="A588" s="113" t="n"/>
      <c r="B588" s="146" t="n">
        <v>11</v>
      </c>
      <c r="C588" s="350" t="n">
        <v>45878</v>
      </c>
      <c r="D588" s="351" t="n">
        <v>5</v>
      </c>
      <c r="E588" s="264" t="inlineStr">
        <is>
          <t xml:space="preserve">SAN JOSE </t>
        </is>
      </c>
      <c r="F588" s="264" t="inlineStr">
        <is>
          <t xml:space="preserve">CARGUEROS  </t>
        </is>
      </c>
      <c r="G588" s="264" t="n">
        <v>11</v>
      </c>
      <c r="H588" s="264" t="inlineStr">
        <is>
          <t>FABIO ALDANA</t>
        </is>
      </c>
      <c r="I588" s="264" t="inlineStr">
        <is>
          <t>TLO882</t>
        </is>
      </c>
      <c r="J588" s="265" t="n">
        <v>0.2465277777777778</v>
      </c>
      <c r="K588" s="266" t="n">
        <v>3230</v>
      </c>
      <c r="L588" s="308" t="n"/>
      <c r="M588" s="113" t="n"/>
      <c r="N588" s="113" t="n"/>
      <c r="O588" s="113" t="n"/>
      <c r="P588" s="243" t="n"/>
      <c r="Q588" s="113" t="n"/>
      <c r="R588" s="113" t="n"/>
    </row>
    <row r="589" ht="15.75" customHeight="1">
      <c r="A589" s="113" t="n"/>
      <c r="B589" s="146" t="n">
        <v>11</v>
      </c>
      <c r="C589" s="350" t="n">
        <v>45878</v>
      </c>
      <c r="D589" s="351" t="n">
        <v>6</v>
      </c>
      <c r="E589" s="264" t="inlineStr">
        <is>
          <t xml:space="preserve">SAN JOSE </t>
        </is>
      </c>
      <c r="F589" s="264" t="inlineStr">
        <is>
          <t>ABONEROS</t>
        </is>
      </c>
      <c r="G589" s="264" t="n">
        <v>11</v>
      </c>
      <c r="H589" s="264" t="inlineStr">
        <is>
          <t>DIEGO NIÑO</t>
        </is>
      </c>
      <c r="I589" s="264" t="inlineStr">
        <is>
          <t>GZZ673</t>
        </is>
      </c>
      <c r="J589" s="265" t="n">
        <v>0.2868055555555555</v>
      </c>
      <c r="K589" s="266" t="n">
        <v>3230</v>
      </c>
      <c r="L589" s="308" t="n"/>
      <c r="M589" s="113" t="n"/>
      <c r="N589" s="113" t="n"/>
      <c r="O589" s="113" t="n"/>
      <c r="P589" s="243" t="n"/>
      <c r="Q589" s="113" t="n"/>
      <c r="R589" s="113" t="n"/>
    </row>
    <row r="590" ht="15.75" customHeight="1">
      <c r="A590" s="113" t="n"/>
      <c r="B590" s="146" t="n">
        <v>11</v>
      </c>
      <c r="C590" s="350" t="n">
        <v>45878</v>
      </c>
      <c r="D590" s="351" t="n">
        <v>8</v>
      </c>
      <c r="E590" s="264" t="inlineStr">
        <is>
          <t xml:space="preserve">SAN JOSE </t>
        </is>
      </c>
      <c r="F590" s="264" t="inlineStr">
        <is>
          <t>CARGUEROS</t>
        </is>
      </c>
      <c r="G590" s="264" t="n">
        <v>11</v>
      </c>
      <c r="H590" s="264" t="inlineStr">
        <is>
          <t>FERNANDO OYUELA</t>
        </is>
      </c>
      <c r="I590" s="264" t="inlineStr">
        <is>
          <t>EQY778</t>
        </is>
      </c>
      <c r="J590" s="265" t="n">
        <v>0.3194444444444444</v>
      </c>
      <c r="K590" s="266" t="n">
        <v>3230</v>
      </c>
      <c r="L590" s="308" t="n"/>
      <c r="M590" s="113" t="n"/>
      <c r="N590" s="113" t="n"/>
      <c r="O590" s="113" t="n"/>
      <c r="P590" s="243" t="n"/>
      <c r="Q590" s="113" t="n"/>
      <c r="R590" s="113" t="n"/>
    </row>
    <row r="591" ht="15.75" customHeight="1">
      <c r="A591" s="113" t="n"/>
      <c r="B591" s="146" t="n">
        <v>11</v>
      </c>
      <c r="C591" s="350" t="n">
        <v>45878</v>
      </c>
      <c r="D591" s="351" t="n">
        <v>7</v>
      </c>
      <c r="E591" s="264" t="inlineStr">
        <is>
          <t xml:space="preserve">SAN JOSE </t>
        </is>
      </c>
      <c r="F591" s="264" t="inlineStr">
        <is>
          <t>ABONEROS</t>
        </is>
      </c>
      <c r="G591" s="264" t="n">
        <v>11</v>
      </c>
      <c r="H591" s="264" t="inlineStr">
        <is>
          <t xml:space="preserve">MANUEL QUITIAN </t>
        </is>
      </c>
      <c r="I591" s="264" t="inlineStr">
        <is>
          <t>KUS176</t>
        </is>
      </c>
      <c r="J591" s="265" t="n">
        <v>0.3430555555555556</v>
      </c>
      <c r="K591" s="266" t="n">
        <v>3230</v>
      </c>
      <c r="L591" s="308" t="n"/>
      <c r="M591" s="113" t="n"/>
      <c r="N591" s="113" t="n"/>
      <c r="O591" s="113" t="n"/>
      <c r="P591" s="243" t="n"/>
      <c r="Q591" s="113" t="n"/>
      <c r="R591" s="113" t="n"/>
    </row>
    <row r="592" ht="15.75" customHeight="1">
      <c r="A592" s="113" t="n"/>
      <c r="B592" s="146" t="n">
        <v>11</v>
      </c>
      <c r="C592" s="350" t="n">
        <v>45878</v>
      </c>
      <c r="D592" s="351" t="n">
        <v>9</v>
      </c>
      <c r="E592" s="264" t="inlineStr">
        <is>
          <t xml:space="preserve">SAN JOSE </t>
        </is>
      </c>
      <c r="F592" s="264" t="inlineStr">
        <is>
          <t>CARGUEROS</t>
        </is>
      </c>
      <c r="G592" s="264" t="n">
        <v>11</v>
      </c>
      <c r="H592" s="264" t="inlineStr">
        <is>
          <t>DUMAR ANGARITA</t>
        </is>
      </c>
      <c r="I592" s="264" t="inlineStr">
        <is>
          <t>LQO745</t>
        </is>
      </c>
      <c r="J592" s="265" t="n">
        <v>0.3680555555555556</v>
      </c>
      <c r="K592" s="266" t="n">
        <v>3350</v>
      </c>
      <c r="L592" s="308" t="n"/>
      <c r="M592" s="113" t="n"/>
      <c r="N592" s="113" t="n"/>
      <c r="O592" s="113" t="n"/>
      <c r="P592" s="243" t="n"/>
      <c r="Q592" s="113" t="n"/>
      <c r="R592" s="113" t="n"/>
    </row>
    <row r="593" ht="15.75" customHeight="1">
      <c r="A593" s="113" t="n"/>
      <c r="B593" s="146" t="n">
        <v>11</v>
      </c>
      <c r="C593" s="350" t="n">
        <v>45878</v>
      </c>
      <c r="D593" s="351" t="n">
        <v>10</v>
      </c>
      <c r="E593" s="264" t="inlineStr">
        <is>
          <t xml:space="preserve">SAN JOSE </t>
        </is>
      </c>
      <c r="F593" s="264" t="inlineStr">
        <is>
          <t>ABONEROS</t>
        </is>
      </c>
      <c r="G593" s="264" t="n">
        <v>11</v>
      </c>
      <c r="H593" s="264" t="inlineStr">
        <is>
          <t xml:space="preserve">JOSE SOLER </t>
        </is>
      </c>
      <c r="I593" s="264" t="inlineStr">
        <is>
          <t>EQY776</t>
        </is>
      </c>
      <c r="J593" s="265" t="n">
        <v>0.4048611111111111</v>
      </c>
      <c r="K593" s="266" t="n">
        <v>3350</v>
      </c>
      <c r="L593" s="308" t="n"/>
      <c r="M593" s="113" t="n"/>
      <c r="N593" s="113" t="n"/>
      <c r="O593" s="113" t="n"/>
      <c r="P593" s="243" t="n"/>
      <c r="Q593" s="113" t="n"/>
      <c r="R593" s="113" t="n"/>
    </row>
    <row r="594" ht="15.75" customHeight="1">
      <c r="A594" s="113" t="n"/>
      <c r="B594" s="146" t="n">
        <v>11</v>
      </c>
      <c r="C594" s="350" t="n">
        <v>45878</v>
      </c>
      <c r="D594" s="351" t="n">
        <v>11</v>
      </c>
      <c r="E594" s="264" t="inlineStr">
        <is>
          <t xml:space="preserve">SAN JOSE </t>
        </is>
      </c>
      <c r="F594" s="264" t="inlineStr">
        <is>
          <t>ABONEROS</t>
        </is>
      </c>
      <c r="G594" s="264" t="n">
        <v>11</v>
      </c>
      <c r="H594" s="264" t="inlineStr">
        <is>
          <t xml:space="preserve">FABIO ALDANA </t>
        </is>
      </c>
      <c r="I594" s="264" t="inlineStr">
        <is>
          <t>TLO882</t>
        </is>
      </c>
      <c r="J594" s="265" t="n">
        <v>0.4402777777777778</v>
      </c>
      <c r="K594" s="266" t="n">
        <v>3446</v>
      </c>
      <c r="L594" s="308" t="n"/>
      <c r="M594" s="113" t="n"/>
      <c r="N594" s="113" t="n"/>
      <c r="O594" s="113" t="n"/>
      <c r="P594" s="243" t="n"/>
      <c r="Q594" s="113" t="n"/>
      <c r="R594" s="113" t="n"/>
    </row>
    <row r="595" ht="15.75" customHeight="1">
      <c r="A595" s="113" t="n"/>
      <c r="B595" s="146" t="n">
        <v>11</v>
      </c>
      <c r="C595" s="350" t="n">
        <v>45878</v>
      </c>
      <c r="D595" s="351" t="n">
        <v>12</v>
      </c>
      <c r="E595" s="264" t="inlineStr">
        <is>
          <t xml:space="preserve">SAN JOSE </t>
        </is>
      </c>
      <c r="F595" s="264" t="inlineStr">
        <is>
          <t>CARGUEROS</t>
        </is>
      </c>
      <c r="G595" s="264" t="n">
        <v>11</v>
      </c>
      <c r="H595" s="264" t="inlineStr">
        <is>
          <t>JHON ARIAS</t>
        </is>
      </c>
      <c r="I595" s="264" t="inlineStr">
        <is>
          <t>TLN248</t>
        </is>
      </c>
      <c r="J595" s="265" t="n">
        <v>0.4430555555555555</v>
      </c>
      <c r="K595" s="266" t="n">
        <v>3446</v>
      </c>
      <c r="L595" s="308" t="n"/>
      <c r="M595" s="113" t="n"/>
      <c r="N595" s="113" t="n"/>
      <c r="O595" s="113" t="n"/>
      <c r="P595" s="243" t="n"/>
      <c r="Q595" s="113" t="n"/>
      <c r="R595" s="113" t="n"/>
    </row>
    <row r="596" ht="15.75" customHeight="1">
      <c r="A596" s="113" t="n"/>
      <c r="B596" s="146" t="n">
        <v>11</v>
      </c>
      <c r="C596" s="350" t="n">
        <v>45878</v>
      </c>
      <c r="D596" s="351" t="n">
        <v>13</v>
      </c>
      <c r="E596" s="264" t="inlineStr">
        <is>
          <t xml:space="preserve">SAN JOSE </t>
        </is>
      </c>
      <c r="F596" s="264" t="inlineStr">
        <is>
          <t>ABONEROS</t>
        </is>
      </c>
      <c r="G596" s="264" t="n">
        <v>11</v>
      </c>
      <c r="H596" s="264" t="inlineStr">
        <is>
          <t xml:space="preserve">JHON AGUIRRE </t>
        </is>
      </c>
      <c r="I596" s="264" t="inlineStr">
        <is>
          <t>EQY780</t>
        </is>
      </c>
      <c r="J596" s="265" t="n">
        <v>0.4756944444444444</v>
      </c>
      <c r="K596" s="266" t="n">
        <v>3446</v>
      </c>
      <c r="L596" s="308" t="n"/>
      <c r="M596" s="113" t="n"/>
      <c r="N596" s="113" t="n"/>
      <c r="O596" s="113" t="n"/>
      <c r="P596" s="243" t="n"/>
      <c r="Q596" s="113" t="n"/>
      <c r="R596" s="113" t="n"/>
    </row>
    <row r="597" ht="15.75" customHeight="1">
      <c r="A597" s="113" t="n"/>
      <c r="B597" s="146" t="n">
        <v>11</v>
      </c>
      <c r="C597" s="350" t="n">
        <v>45878</v>
      </c>
      <c r="D597" s="351" t="n">
        <v>14</v>
      </c>
      <c r="E597" s="264" t="inlineStr">
        <is>
          <t xml:space="preserve">SAN JOSE </t>
        </is>
      </c>
      <c r="F597" s="264" t="inlineStr">
        <is>
          <t>ABONEROS</t>
        </is>
      </c>
      <c r="G597" s="264" t="n">
        <v>11</v>
      </c>
      <c r="H597" s="264" t="inlineStr">
        <is>
          <t>JOSE HERRERA</t>
        </is>
      </c>
      <c r="I597" s="264" t="inlineStr">
        <is>
          <t>EQY781</t>
        </is>
      </c>
      <c r="J597" s="265" t="n">
        <v>0.5020833333333333</v>
      </c>
      <c r="K597" s="266" t="n">
        <v>3446</v>
      </c>
      <c r="L597" s="308" t="n"/>
      <c r="M597" s="113" t="n"/>
      <c r="N597" s="113" t="n"/>
      <c r="O597" s="113" t="n"/>
      <c r="P597" s="243" t="n"/>
      <c r="Q597" s="113" t="n"/>
      <c r="R597" s="113" t="n"/>
    </row>
    <row r="598" ht="15.75" customHeight="1">
      <c r="A598" s="113" t="n"/>
      <c r="B598" s="146" t="n">
        <v>11</v>
      </c>
      <c r="C598" s="350" t="n">
        <v>45878</v>
      </c>
      <c r="D598" s="351" t="n">
        <v>15</v>
      </c>
      <c r="E598" s="264" t="inlineStr">
        <is>
          <t xml:space="preserve">SAN JOSE </t>
        </is>
      </c>
      <c r="F598" s="264" t="inlineStr">
        <is>
          <t>ABONEROS</t>
        </is>
      </c>
      <c r="G598" s="264" t="n">
        <v>11</v>
      </c>
      <c r="H598" s="264" t="inlineStr">
        <is>
          <t xml:space="preserve">WILMER PIÑEROS </t>
        </is>
      </c>
      <c r="I598" s="264" t="inlineStr">
        <is>
          <t>KLN076</t>
        </is>
      </c>
      <c r="J598" s="265" t="n">
        <v>0.5284722222222222</v>
      </c>
      <c r="K598" s="266" t="n">
        <v>3446</v>
      </c>
      <c r="L598" s="308" t="n"/>
      <c r="M598" s="113" t="n"/>
      <c r="N598" s="113" t="n"/>
      <c r="O598" s="113" t="n"/>
      <c r="P598" s="243" t="n"/>
      <c r="Q598" s="113" t="n"/>
      <c r="R598" s="113" t="n"/>
    </row>
    <row r="599" ht="15.75" customHeight="1">
      <c r="A599" s="113" t="n"/>
      <c r="B599" s="146" t="n">
        <v>11</v>
      </c>
      <c r="C599" s="350" t="n">
        <v>45878</v>
      </c>
      <c r="D599" s="351" t="n">
        <v>16</v>
      </c>
      <c r="E599" s="264" t="inlineStr">
        <is>
          <t xml:space="preserve">SAN JOSE </t>
        </is>
      </c>
      <c r="F599" s="264" t="inlineStr">
        <is>
          <t>CARGUEROS</t>
        </is>
      </c>
      <c r="G599" s="264" t="n">
        <v>11</v>
      </c>
      <c r="H599" s="264" t="inlineStr">
        <is>
          <t>JAIRO CUBILLOS</t>
        </is>
      </c>
      <c r="I599" s="264" t="inlineStr">
        <is>
          <t>TLO884</t>
        </is>
      </c>
      <c r="J599" s="265" t="n">
        <v>0.4722222222222222</v>
      </c>
      <c r="K599" s="266" t="n">
        <v>3446</v>
      </c>
      <c r="L599" s="308" t="n"/>
      <c r="M599" s="113" t="n"/>
      <c r="N599" s="113" t="n"/>
      <c r="O599" s="113" t="n"/>
      <c r="P599" s="243" t="n"/>
      <c r="Q599" s="113" t="n"/>
      <c r="R599" s="113" t="n"/>
    </row>
    <row r="600" ht="15.75" customHeight="1">
      <c r="A600" s="113" t="n"/>
      <c r="B600" s="146" t="n">
        <v>11</v>
      </c>
      <c r="C600" s="356" t="n">
        <v>45878</v>
      </c>
      <c r="D600" s="357" t="n">
        <v>17</v>
      </c>
      <c r="E600" s="271" t="inlineStr">
        <is>
          <t xml:space="preserve">SAN JOSE </t>
        </is>
      </c>
      <c r="F600" s="271" t="inlineStr">
        <is>
          <t>CARGUEROS</t>
        </is>
      </c>
      <c r="G600" s="271" t="n">
        <v>11</v>
      </c>
      <c r="H600" s="271" t="inlineStr">
        <is>
          <t>YAIR RIVEROS</t>
        </is>
      </c>
      <c r="I600" s="271" t="inlineStr">
        <is>
          <t>TLN181</t>
        </is>
      </c>
      <c r="J600" s="272" t="n">
        <v>0.5520833333333334</v>
      </c>
      <c r="K600" s="286" t="n">
        <v>1926</v>
      </c>
      <c r="L600" s="385">
        <f>SUM(K584:K600)</f>
        <v/>
      </c>
      <c r="M600" s="113" t="n"/>
      <c r="N600" s="113" t="n"/>
      <c r="O600" s="113" t="n"/>
      <c r="P600" s="243" t="n"/>
      <c r="Q600" s="113" t="n"/>
      <c r="R600" s="113" t="n"/>
    </row>
    <row r="601" ht="15.75" customHeight="1">
      <c r="A601" s="113" t="n"/>
      <c r="B601" s="146" t="n">
        <v>12</v>
      </c>
      <c r="C601" s="348" t="n">
        <v>45880</v>
      </c>
      <c r="D601" s="349" t="n">
        <v>1</v>
      </c>
      <c r="E601" s="258" t="inlineStr">
        <is>
          <t>MALAGUEÑA</t>
        </is>
      </c>
      <c r="F601" s="258" t="inlineStr">
        <is>
          <t>ABONEROS</t>
        </is>
      </c>
      <c r="G601" s="258" t="n">
        <v>11</v>
      </c>
      <c r="H601" s="258" t="inlineStr">
        <is>
          <t xml:space="preserve">JOSE HERRERA </t>
        </is>
      </c>
      <c r="I601" s="258" t="inlineStr">
        <is>
          <t>KNL076</t>
        </is>
      </c>
      <c r="J601" s="259" t="n">
        <v>0.004861111111111111</v>
      </c>
      <c r="K601" s="260" t="n">
        <v>3167</v>
      </c>
      <c r="L601" s="292" t="n"/>
      <c r="M601" s="113" t="n"/>
      <c r="N601" s="113" t="n"/>
      <c r="O601" s="113" t="n"/>
      <c r="P601" s="243" t="n"/>
      <c r="Q601" s="113" t="n"/>
      <c r="R601" s="113" t="n"/>
    </row>
    <row r="602" ht="15.75" customHeight="1">
      <c r="A602" s="113" t="n"/>
      <c r="B602" s="146" t="n">
        <v>12</v>
      </c>
      <c r="C602" s="350" t="n">
        <v>45880</v>
      </c>
      <c r="D602" s="351" t="n">
        <v>2</v>
      </c>
      <c r="E602" s="264" t="inlineStr">
        <is>
          <t>MALAGUEÑA</t>
        </is>
      </c>
      <c r="F602" s="264" t="inlineStr">
        <is>
          <t>ABONEROS</t>
        </is>
      </c>
      <c r="G602" s="264" t="n">
        <v>11</v>
      </c>
      <c r="H602" s="264" t="inlineStr">
        <is>
          <t xml:space="preserve">HENRY ROMERO </t>
        </is>
      </c>
      <c r="I602" s="264" t="inlineStr">
        <is>
          <t>EQY781</t>
        </is>
      </c>
      <c r="J602" s="265" t="n">
        <v>0.04513888888888889</v>
      </c>
      <c r="K602" s="266" t="n">
        <v>3167</v>
      </c>
      <c r="L602" s="308" t="n"/>
      <c r="M602" s="113" t="n"/>
      <c r="N602" s="113" t="n"/>
      <c r="O602" s="113" t="n"/>
      <c r="P602" s="243" t="n"/>
      <c r="Q602" s="113" t="n"/>
      <c r="R602" s="113" t="n"/>
    </row>
    <row r="603" ht="15.75" customHeight="1">
      <c r="A603" s="113" t="n"/>
      <c r="B603" s="146" t="n">
        <v>12</v>
      </c>
      <c r="C603" s="350" t="n">
        <v>45880</v>
      </c>
      <c r="D603" s="351" t="n">
        <v>3</v>
      </c>
      <c r="E603" s="264" t="inlineStr">
        <is>
          <t>MALAGUEÑA</t>
        </is>
      </c>
      <c r="F603" s="264" t="inlineStr">
        <is>
          <t>ABONEROS</t>
        </is>
      </c>
      <c r="G603" s="264" t="n">
        <v>10</v>
      </c>
      <c r="H603" s="264" t="inlineStr">
        <is>
          <t xml:space="preserve">YAIR RIVEROS </t>
        </is>
      </c>
      <c r="I603" s="264" t="inlineStr">
        <is>
          <t>TLN181</t>
        </is>
      </c>
      <c r="J603" s="265" t="n">
        <v>0.08263888888888889</v>
      </c>
      <c r="K603" s="266" t="n">
        <v>3167</v>
      </c>
      <c r="L603" s="308" t="n"/>
      <c r="M603" s="113" t="n"/>
      <c r="N603" s="113" t="n"/>
      <c r="O603" s="113" t="n"/>
      <c r="P603" s="243" t="n"/>
      <c r="Q603" s="113" t="n"/>
      <c r="R603" s="113" t="n"/>
    </row>
    <row r="604" ht="15.75" customHeight="1">
      <c r="A604" s="113" t="n"/>
      <c r="B604" s="146" t="n">
        <v>12</v>
      </c>
      <c r="C604" s="350" t="n">
        <v>45880</v>
      </c>
      <c r="D604" s="351" t="n">
        <v>4</v>
      </c>
      <c r="E604" s="264" t="inlineStr">
        <is>
          <t>MALAGUEÑA</t>
        </is>
      </c>
      <c r="F604" s="264" t="inlineStr">
        <is>
          <t xml:space="preserve"> ABONEROS </t>
        </is>
      </c>
      <c r="G604" s="264" t="n">
        <v>10</v>
      </c>
      <c r="H604" s="264" t="inlineStr">
        <is>
          <t xml:space="preserve">MANUEL QUITIAN </t>
        </is>
      </c>
      <c r="I604" s="264" t="inlineStr">
        <is>
          <t>KUS176</t>
        </is>
      </c>
      <c r="J604" s="265" t="n">
        <v>0.1277777777777778</v>
      </c>
      <c r="K604" s="266" t="n">
        <v>2449</v>
      </c>
      <c r="L604" s="308" t="n"/>
      <c r="M604" s="113" t="n"/>
      <c r="N604" s="113" t="n"/>
      <c r="O604" s="113" t="n"/>
      <c r="P604" s="243" t="n"/>
      <c r="Q604" s="113" t="n"/>
      <c r="R604" s="113" t="n"/>
    </row>
    <row r="605" ht="15.75" customHeight="1">
      <c r="A605" s="113" t="n"/>
      <c r="B605" s="146" t="n">
        <v>12</v>
      </c>
      <c r="C605" s="350" t="n">
        <v>45880</v>
      </c>
      <c r="D605" s="351" t="n">
        <v>5</v>
      </c>
      <c r="E605" s="264" t="inlineStr">
        <is>
          <t xml:space="preserve">SAN JOSE </t>
        </is>
      </c>
      <c r="F605" s="328" t="inlineStr">
        <is>
          <t>CARGUEROS</t>
        </is>
      </c>
      <c r="G605" s="264" t="n">
        <v>11</v>
      </c>
      <c r="H605" s="264" t="inlineStr">
        <is>
          <t>JHON ARIAS</t>
        </is>
      </c>
      <c r="I605" s="264" t="inlineStr">
        <is>
          <t>TLN248</t>
        </is>
      </c>
      <c r="J605" s="265" t="n">
        <v>0.1215277777777778</v>
      </c>
      <c r="K605" s="266" t="n">
        <v>3225</v>
      </c>
      <c r="L605" s="308" t="n"/>
      <c r="M605" s="113" t="n"/>
      <c r="N605" s="113" t="n"/>
      <c r="O605" s="113" t="n"/>
      <c r="P605" s="243" t="n"/>
      <c r="Q605" s="113" t="n"/>
      <c r="R605" s="113" t="n"/>
    </row>
    <row r="606" ht="15.75" customHeight="1">
      <c r="A606" s="113" t="n"/>
      <c r="B606" s="146" t="n">
        <v>12</v>
      </c>
      <c r="C606" s="350" t="n">
        <v>45880</v>
      </c>
      <c r="D606" s="351" t="n">
        <v>6</v>
      </c>
      <c r="E606" s="264" t="inlineStr">
        <is>
          <t xml:space="preserve">SAN JOSE </t>
        </is>
      </c>
      <c r="F606" s="264" t="inlineStr">
        <is>
          <t>CARGUEROS</t>
        </is>
      </c>
      <c r="G606" s="264" t="n">
        <v>11</v>
      </c>
      <c r="H606" s="264" t="inlineStr">
        <is>
          <t xml:space="preserve">JOSE SOLER </t>
        </is>
      </c>
      <c r="I606" s="264" t="inlineStr">
        <is>
          <t>EQY776</t>
        </is>
      </c>
      <c r="J606" s="265" t="n">
        <v>0.1527777777777778</v>
      </c>
      <c r="K606" s="266" t="n">
        <v>3225</v>
      </c>
      <c r="L606" s="308" t="n"/>
      <c r="M606" s="113" t="n"/>
      <c r="N606" s="113" t="n"/>
      <c r="O606" s="113" t="n"/>
      <c r="P606" s="243" t="n"/>
      <c r="Q606" s="113" t="n"/>
      <c r="R606" s="113" t="n"/>
    </row>
    <row r="607" ht="15.75" customHeight="1">
      <c r="A607" s="113" t="n"/>
      <c r="B607" s="146" t="n">
        <v>12</v>
      </c>
      <c r="C607" s="350" t="n">
        <v>45880</v>
      </c>
      <c r="D607" s="351" t="n">
        <v>7</v>
      </c>
      <c r="E607" s="264" t="inlineStr">
        <is>
          <t xml:space="preserve">MALAGUEÑA </t>
        </is>
      </c>
      <c r="F607" s="264" t="inlineStr">
        <is>
          <t>ABONEROS</t>
        </is>
      </c>
      <c r="G607" s="264" t="n">
        <v>10</v>
      </c>
      <c r="H607" s="264" t="inlineStr">
        <is>
          <t>ALEX GOMEZ</t>
        </is>
      </c>
      <c r="I607" s="264" t="inlineStr">
        <is>
          <t>TLO881</t>
        </is>
      </c>
      <c r="J607" s="265" t="n">
        <v>0.1784722222222222</v>
      </c>
      <c r="K607" s="266" t="n">
        <v>3151</v>
      </c>
      <c r="L607" s="308" t="n"/>
      <c r="M607" s="113" t="n"/>
      <c r="N607" s="113" t="n"/>
      <c r="O607" s="113" t="n"/>
      <c r="P607" s="243" t="n"/>
      <c r="Q607" s="113" t="n"/>
      <c r="R607" s="113" t="n"/>
    </row>
    <row r="608" ht="15.75" customHeight="1">
      <c r="A608" s="113" t="n"/>
      <c r="B608" s="146" t="n">
        <v>12</v>
      </c>
      <c r="C608" s="350" t="n">
        <v>45880</v>
      </c>
      <c r="D608" s="351" t="n">
        <v>8</v>
      </c>
      <c r="E608" s="264" t="inlineStr">
        <is>
          <t xml:space="preserve">SAN JOSE </t>
        </is>
      </c>
      <c r="F608" s="264" t="inlineStr">
        <is>
          <t>CARGUEROS</t>
        </is>
      </c>
      <c r="G608" s="264" t="n">
        <v>11</v>
      </c>
      <c r="H608" s="264" t="inlineStr">
        <is>
          <t>JOSE HERRERA</t>
        </is>
      </c>
      <c r="I608" s="264" t="inlineStr">
        <is>
          <t>KLO076</t>
        </is>
      </c>
      <c r="J608" s="265" t="n">
        <v>0.2166666666666667</v>
      </c>
      <c r="K608" s="266" t="n">
        <v>3150</v>
      </c>
      <c r="L608" s="308" t="n"/>
      <c r="M608" s="113" t="n"/>
      <c r="N608" s="113" t="n"/>
      <c r="O608" s="113" t="n"/>
      <c r="P608" s="243" t="n"/>
      <c r="Q608" s="113" t="n"/>
      <c r="R608" s="113" t="n"/>
    </row>
    <row r="609" ht="15.75" customHeight="1">
      <c r="A609" s="113" t="n"/>
      <c r="B609" s="146" t="n">
        <v>12</v>
      </c>
      <c r="C609" s="350" t="n">
        <v>45880</v>
      </c>
      <c r="D609" s="351" t="n">
        <v>9</v>
      </c>
      <c r="E609" s="264" t="inlineStr">
        <is>
          <t xml:space="preserve">SAN JOSE </t>
        </is>
      </c>
      <c r="F609" s="264" t="inlineStr">
        <is>
          <t>CARGUEROS</t>
        </is>
      </c>
      <c r="G609" s="264" t="n">
        <v>11</v>
      </c>
      <c r="H609" s="264" t="inlineStr">
        <is>
          <t>HENRY ROMERO</t>
        </is>
      </c>
      <c r="I609" s="264" t="inlineStr">
        <is>
          <t>EQY781</t>
        </is>
      </c>
      <c r="J609" s="265" t="n">
        <v>0.2569444444444444</v>
      </c>
      <c r="K609" s="266" t="n">
        <v>3150</v>
      </c>
      <c r="L609" s="308" t="n"/>
      <c r="M609" s="113" t="n"/>
      <c r="N609" s="113" t="n"/>
      <c r="O609" s="113" t="n"/>
      <c r="P609" s="243" t="n"/>
      <c r="Q609" s="113" t="n"/>
      <c r="R609" s="113" t="n"/>
    </row>
    <row r="610" ht="15.75" customHeight="1">
      <c r="A610" s="113" t="n"/>
      <c r="B610" s="146" t="n">
        <v>12</v>
      </c>
      <c r="C610" s="350" t="n">
        <v>45880</v>
      </c>
      <c r="D610" s="351" t="n">
        <v>10</v>
      </c>
      <c r="E610" s="264" t="inlineStr">
        <is>
          <t xml:space="preserve">SAN JOSE </t>
        </is>
      </c>
      <c r="F610" s="264" t="inlineStr">
        <is>
          <t>CARGUEROS</t>
        </is>
      </c>
      <c r="G610" s="264" t="n">
        <v>11</v>
      </c>
      <c r="H610" s="264" t="inlineStr">
        <is>
          <t>YAIR RIVEROS</t>
        </is>
      </c>
      <c r="I610" s="264" t="inlineStr">
        <is>
          <t>TLO881</t>
        </is>
      </c>
      <c r="J610" s="265" t="n">
        <v>0.3020833333333333</v>
      </c>
      <c r="K610" s="266" t="n">
        <v>3150</v>
      </c>
      <c r="L610" s="308" t="n"/>
      <c r="M610" s="113" t="n"/>
      <c r="N610" s="113" t="n"/>
      <c r="O610" s="113" t="n"/>
      <c r="P610" s="243" t="n"/>
      <c r="Q610" s="113" t="n"/>
      <c r="R610" s="113" t="n"/>
    </row>
    <row r="611" ht="15.75" customHeight="1">
      <c r="A611" s="113" t="n"/>
      <c r="B611" s="146" t="n">
        <v>12</v>
      </c>
      <c r="C611" s="350" t="n">
        <v>45880</v>
      </c>
      <c r="D611" s="351" t="n">
        <v>11</v>
      </c>
      <c r="E611" s="264" t="inlineStr">
        <is>
          <t xml:space="preserve">SAN JOSE </t>
        </is>
      </c>
      <c r="F611" s="264" t="inlineStr">
        <is>
          <t>CARGUEROS</t>
        </is>
      </c>
      <c r="G611" s="264" t="n">
        <v>11</v>
      </c>
      <c r="H611" s="264" t="inlineStr">
        <is>
          <t>MANUEL QUITIAN</t>
        </is>
      </c>
      <c r="I611" s="264" t="inlineStr">
        <is>
          <t>KUS176</t>
        </is>
      </c>
      <c r="J611" s="265" t="n">
        <v>0.3319444444444444</v>
      </c>
      <c r="K611" s="266" t="n">
        <v>3150</v>
      </c>
      <c r="L611" s="308" t="n"/>
      <c r="M611" s="113" t="n"/>
      <c r="N611" s="113" t="n"/>
      <c r="O611" s="113" t="n"/>
      <c r="P611" s="243" t="n"/>
      <c r="Q611" s="113" t="n"/>
      <c r="R611" s="113" t="n"/>
    </row>
    <row r="612" ht="15.75" customHeight="1">
      <c r="A612" s="113" t="n"/>
      <c r="B612" s="146" t="n">
        <v>12</v>
      </c>
      <c r="C612" s="350" t="n">
        <v>45880</v>
      </c>
      <c r="D612" s="351" t="n">
        <v>12</v>
      </c>
      <c r="E612" s="264" t="inlineStr">
        <is>
          <t xml:space="preserve">SAN JOSE </t>
        </is>
      </c>
      <c r="F612" s="264" t="inlineStr">
        <is>
          <t>CARGUEROS</t>
        </is>
      </c>
      <c r="G612" s="264" t="n">
        <v>11</v>
      </c>
      <c r="H612" s="264" t="inlineStr">
        <is>
          <t>ALEX GOMEZ</t>
        </is>
      </c>
      <c r="I612" s="264" t="inlineStr">
        <is>
          <t>TLN181</t>
        </is>
      </c>
      <c r="J612" s="265" t="n">
        <v>0.3680555555555556</v>
      </c>
      <c r="K612" s="266" t="n">
        <v>3150</v>
      </c>
      <c r="L612" s="308" t="n"/>
      <c r="M612" s="113" t="n"/>
      <c r="N612" s="113" t="n"/>
      <c r="O612" s="113" t="n"/>
      <c r="P612" s="243" t="n"/>
      <c r="Q612" s="113" t="n"/>
      <c r="R612" s="113" t="n"/>
    </row>
    <row r="613" ht="15.75" customHeight="1">
      <c r="A613" s="113" t="n"/>
      <c r="B613" s="146" t="n">
        <v>12</v>
      </c>
      <c r="C613" s="350" t="n">
        <v>45880</v>
      </c>
      <c r="D613" s="351" t="n">
        <v>13</v>
      </c>
      <c r="E613" s="264" t="inlineStr">
        <is>
          <t xml:space="preserve">SAN JOSE </t>
        </is>
      </c>
      <c r="F613" s="264" t="inlineStr">
        <is>
          <t>CARGUEROS</t>
        </is>
      </c>
      <c r="G613" s="264" t="n">
        <v>11</v>
      </c>
      <c r="H613" s="264" t="inlineStr">
        <is>
          <t>JHON ARIAS</t>
        </is>
      </c>
      <c r="I613" s="264" t="inlineStr">
        <is>
          <t>TLN248</t>
        </is>
      </c>
      <c r="J613" s="265" t="n">
        <v>0.4041666666666667</v>
      </c>
      <c r="K613" s="266" t="n">
        <v>3150</v>
      </c>
      <c r="L613" s="308" t="n"/>
      <c r="M613" s="113" t="n"/>
      <c r="N613" s="113" t="n"/>
      <c r="O613" s="113" t="n"/>
      <c r="P613" s="243" t="n"/>
      <c r="Q613" s="113" t="n"/>
      <c r="R613" s="113" t="n"/>
    </row>
    <row r="614" ht="15.75" customHeight="1">
      <c r="A614" s="113" t="n"/>
      <c r="B614" s="146" t="n">
        <v>12</v>
      </c>
      <c r="C614" s="350" t="n">
        <v>45880</v>
      </c>
      <c r="D614" s="351" t="n">
        <v>14</v>
      </c>
      <c r="E614" s="264" t="inlineStr">
        <is>
          <t xml:space="preserve">SAN JOSE </t>
        </is>
      </c>
      <c r="F614" s="264" t="inlineStr">
        <is>
          <t>CARGUEROS</t>
        </is>
      </c>
      <c r="G614" s="264" t="n">
        <v>11</v>
      </c>
      <c r="H614" s="264" t="inlineStr">
        <is>
          <t>DUMAR ANGARITA</t>
        </is>
      </c>
      <c r="I614" s="264" t="inlineStr">
        <is>
          <t>LQO745</t>
        </is>
      </c>
      <c r="J614" s="265" t="n">
        <v>0.4513888888888889</v>
      </c>
      <c r="K614" s="266" t="n">
        <v>3450</v>
      </c>
      <c r="L614" s="308" t="n"/>
      <c r="M614" s="113" t="n"/>
      <c r="N614" s="113" t="n"/>
      <c r="O614" s="113" t="n"/>
      <c r="P614" s="243" t="n"/>
      <c r="Q614" s="113" t="n"/>
      <c r="R614" s="113" t="n"/>
    </row>
    <row r="615" ht="15.75" customHeight="1">
      <c r="A615" s="113" t="n"/>
      <c r="B615" s="146" t="n">
        <v>12</v>
      </c>
      <c r="C615" s="350" t="n">
        <v>45880</v>
      </c>
      <c r="D615" s="351" t="n">
        <v>15</v>
      </c>
      <c r="E615" s="264" t="inlineStr">
        <is>
          <t xml:space="preserve">SAN JOSE </t>
        </is>
      </c>
      <c r="F615" s="264" t="inlineStr">
        <is>
          <t>CARGUEROS</t>
        </is>
      </c>
      <c r="G615" s="264" t="n">
        <v>11</v>
      </c>
      <c r="H615" s="264" t="inlineStr">
        <is>
          <t>FERNANDO OYUELA</t>
        </is>
      </c>
      <c r="I615" s="264" t="inlineStr">
        <is>
          <t>EQY778</t>
        </is>
      </c>
      <c r="J615" s="265" t="n">
        <v>0.4965277777777778</v>
      </c>
      <c r="K615" s="266" t="n">
        <v>3629</v>
      </c>
      <c r="L615" s="308" t="n"/>
      <c r="M615" s="113" t="n"/>
      <c r="N615" s="113" t="n"/>
      <c r="O615" s="113" t="n"/>
      <c r="P615" s="243" t="n"/>
      <c r="Q615" s="113" t="n"/>
      <c r="R615" s="113" t="n"/>
    </row>
    <row r="616" ht="15.75" customHeight="1">
      <c r="A616" s="113" t="n"/>
      <c r="B616" s="146" t="n">
        <v>12</v>
      </c>
      <c r="C616" s="356" t="n">
        <v>45880</v>
      </c>
      <c r="D616" s="357" t="n">
        <v>16</v>
      </c>
      <c r="E616" s="271" t="inlineStr">
        <is>
          <t xml:space="preserve">SAN JOSE </t>
        </is>
      </c>
      <c r="F616" s="271" t="inlineStr">
        <is>
          <t>CARGUEROS</t>
        </is>
      </c>
      <c r="G616" s="271" t="n">
        <v>11</v>
      </c>
      <c r="H616" s="271" t="inlineStr">
        <is>
          <t>JHON ARIAS</t>
        </is>
      </c>
      <c r="I616" s="271" t="inlineStr">
        <is>
          <t>TLN181</t>
        </is>
      </c>
      <c r="J616" s="272" t="n">
        <v>0.5409722222222222</v>
      </c>
      <c r="K616" s="286" t="n">
        <v>3629</v>
      </c>
      <c r="L616" s="385">
        <f>SUM(K601:K616)</f>
        <v/>
      </c>
      <c r="M616" s="113" t="n"/>
      <c r="N616" s="113" t="n"/>
      <c r="O616" s="113" t="n"/>
      <c r="P616" s="243" t="n"/>
      <c r="Q616" s="113" t="n"/>
      <c r="R616" s="113" t="n"/>
    </row>
    <row r="617" ht="15.75" customHeight="1">
      <c r="A617" s="113" t="n"/>
      <c r="B617" s="146" t="n">
        <v>12</v>
      </c>
      <c r="C617" s="348" t="n">
        <v>45881</v>
      </c>
      <c r="D617" s="349" t="n">
        <v>1</v>
      </c>
      <c r="E617" s="258" t="inlineStr">
        <is>
          <t>MALAGUEÑA</t>
        </is>
      </c>
      <c r="F617" s="258" t="inlineStr">
        <is>
          <t>ABONEROS</t>
        </is>
      </c>
      <c r="G617" s="258" t="n">
        <v>11</v>
      </c>
      <c r="H617" s="258" t="inlineStr">
        <is>
          <t xml:space="preserve">FERNANDO OYUELA </t>
        </is>
      </c>
      <c r="I617" s="258" t="inlineStr">
        <is>
          <t>EQY778</t>
        </is>
      </c>
      <c r="J617" s="259" t="n">
        <v>0.08125</v>
      </c>
      <c r="K617" s="260" t="n">
        <v>2268</v>
      </c>
      <c r="L617" s="292" t="n"/>
      <c r="M617" s="113" t="n"/>
      <c r="N617" s="113" t="n"/>
      <c r="O617" s="113" t="n"/>
      <c r="P617" s="243" t="n"/>
      <c r="Q617" s="113" t="n"/>
      <c r="R617" s="113" t="n"/>
    </row>
    <row r="618" ht="15.75" customHeight="1">
      <c r="A618" s="113" t="n"/>
      <c r="B618" s="146" t="n">
        <v>12</v>
      </c>
      <c r="C618" s="350" t="n">
        <v>45881</v>
      </c>
      <c r="D618" s="351" t="n">
        <v>2</v>
      </c>
      <c r="E618" s="264" t="inlineStr">
        <is>
          <t xml:space="preserve">SAN JOSE </t>
        </is>
      </c>
      <c r="F618" s="264" t="inlineStr">
        <is>
          <t>CARGUEROS</t>
        </is>
      </c>
      <c r="G618" s="264" t="n">
        <v>11</v>
      </c>
      <c r="H618" s="264" t="inlineStr">
        <is>
          <t>DUMAR ANGARITA</t>
        </is>
      </c>
      <c r="I618" s="264" t="inlineStr">
        <is>
          <t>LQO745</t>
        </is>
      </c>
      <c r="J618" s="265" t="n">
        <v>0.0798611111111111</v>
      </c>
      <c r="K618" s="266" t="n">
        <v>3851</v>
      </c>
      <c r="L618" s="308" t="n"/>
      <c r="M618" s="113" t="n"/>
      <c r="N618" s="113" t="n"/>
      <c r="O618" s="113" t="n"/>
      <c r="P618" s="243" t="n"/>
      <c r="Q618" s="113" t="n"/>
      <c r="R618" s="113" t="n"/>
    </row>
    <row r="619" ht="15.75" customHeight="1">
      <c r="A619" s="113" t="n"/>
      <c r="B619" s="146" t="n">
        <v>12</v>
      </c>
      <c r="C619" s="350" t="n">
        <v>45881</v>
      </c>
      <c r="D619" s="351" t="n">
        <v>3</v>
      </c>
      <c r="E619" s="264" t="inlineStr">
        <is>
          <t xml:space="preserve">SAN JOSE </t>
        </is>
      </c>
      <c r="F619" s="264" t="inlineStr">
        <is>
          <t>CARGUEROS</t>
        </is>
      </c>
      <c r="G619" s="264" t="n">
        <v>11</v>
      </c>
      <c r="H619" s="264" t="inlineStr">
        <is>
          <t>YAIR RIVEROS</t>
        </is>
      </c>
      <c r="I619" s="264" t="inlineStr">
        <is>
          <t>TLN181</t>
        </is>
      </c>
      <c r="J619" s="265" t="n">
        <v>0.1215277777777778</v>
      </c>
      <c r="K619" s="266" t="n">
        <v>3000</v>
      </c>
      <c r="L619" s="308" t="n"/>
      <c r="M619" s="113" t="n"/>
      <c r="N619" s="113" t="n"/>
      <c r="O619" s="113" t="n"/>
      <c r="P619" s="243" t="n"/>
      <c r="Q619" s="113" t="n"/>
      <c r="R619" s="113" t="n"/>
    </row>
    <row r="620" ht="15.75" customHeight="1">
      <c r="A620" s="113" t="n"/>
      <c r="B620" s="146" t="n">
        <v>12</v>
      </c>
      <c r="C620" s="350" t="n">
        <v>45881</v>
      </c>
      <c r="D620" s="351" t="n">
        <v>4</v>
      </c>
      <c r="E620" s="264" t="inlineStr">
        <is>
          <t>MALAGUEÑA</t>
        </is>
      </c>
      <c r="F620" s="264" t="inlineStr">
        <is>
          <t>ABONEROS</t>
        </is>
      </c>
      <c r="G620" s="264" t="n">
        <v>11</v>
      </c>
      <c r="H620" s="264" t="inlineStr">
        <is>
          <t>EDUAN CAVIEDEZ</t>
        </is>
      </c>
      <c r="I620" s="264" t="inlineStr">
        <is>
          <t>EQY779</t>
        </is>
      </c>
      <c r="J620" s="265" t="n">
        <v>0.1520833333333333</v>
      </c>
      <c r="K620" s="266" t="n">
        <v>3349</v>
      </c>
      <c r="L620" s="308" t="n"/>
      <c r="M620" s="113" t="n"/>
      <c r="N620" s="113" t="n"/>
      <c r="O620" s="113" t="n"/>
      <c r="P620" s="243" t="n"/>
      <c r="Q620" s="113" t="n"/>
      <c r="R620" s="113" t="n"/>
    </row>
    <row r="621" ht="15.75" customHeight="1">
      <c r="A621" s="113" t="n"/>
      <c r="B621" s="146" t="n">
        <v>12</v>
      </c>
      <c r="C621" s="350" t="n">
        <v>45881</v>
      </c>
      <c r="D621" s="351" t="n">
        <v>5</v>
      </c>
      <c r="E621" s="264" t="inlineStr">
        <is>
          <t xml:space="preserve">SAN JOSE </t>
        </is>
      </c>
      <c r="F621" s="264" t="inlineStr">
        <is>
          <t>CARGUEROS</t>
        </is>
      </c>
      <c r="G621" s="264" t="n">
        <v>11</v>
      </c>
      <c r="H621" s="264" t="inlineStr">
        <is>
          <t xml:space="preserve">ALBERTO HERRERA </t>
        </is>
      </c>
      <c r="I621" s="264" t="inlineStr">
        <is>
          <t>TLO882</t>
        </is>
      </c>
      <c r="J621" s="265" t="n">
        <v>0.15625</v>
      </c>
      <c r="K621" s="266" t="n">
        <v>3000</v>
      </c>
      <c r="L621" s="308" t="n"/>
      <c r="M621" s="113" t="n"/>
      <c r="N621" s="113" t="n"/>
      <c r="O621" s="113" t="n"/>
      <c r="P621" s="243" t="n"/>
      <c r="Q621" s="113" t="n"/>
      <c r="R621" s="113" t="n"/>
    </row>
    <row r="622" ht="15.75" customHeight="1">
      <c r="A622" s="113" t="n"/>
      <c r="B622" s="146" t="n">
        <v>12</v>
      </c>
      <c r="C622" s="350" t="n">
        <v>45881</v>
      </c>
      <c r="D622" s="351" t="n">
        <v>6</v>
      </c>
      <c r="E622" s="264" t="inlineStr">
        <is>
          <t xml:space="preserve">SAN JOSE </t>
        </is>
      </c>
      <c r="F622" s="264" t="inlineStr">
        <is>
          <t>CARGUEROS</t>
        </is>
      </c>
      <c r="G622" s="264" t="n">
        <v>11</v>
      </c>
      <c r="H622" s="264" t="inlineStr">
        <is>
          <t>JHON AGUIRRE</t>
        </is>
      </c>
      <c r="I622" s="264" t="inlineStr">
        <is>
          <t>EQY780</t>
        </is>
      </c>
      <c r="J622" s="265" t="n">
        <v>0.1875</v>
      </c>
      <c r="K622" s="266" t="n">
        <v>3000</v>
      </c>
      <c r="L622" s="308" t="n"/>
      <c r="M622" s="113" t="n"/>
      <c r="N622" s="113" t="n"/>
      <c r="O622" s="113" t="n"/>
      <c r="P622" s="243" t="n"/>
      <c r="Q622" s="113" t="n"/>
      <c r="R622" s="113" t="n"/>
    </row>
    <row r="623" ht="15.75" customHeight="1">
      <c r="A623" s="113" t="n"/>
      <c r="B623" s="146" t="n">
        <v>12</v>
      </c>
      <c r="C623" s="350" t="n">
        <v>45881</v>
      </c>
      <c r="D623" s="351" t="n">
        <v>7</v>
      </c>
      <c r="E623" s="264" t="inlineStr">
        <is>
          <t xml:space="preserve">SAN JOSE </t>
        </is>
      </c>
      <c r="F623" s="264" t="inlineStr">
        <is>
          <t>CARGUEROS</t>
        </is>
      </c>
      <c r="G623" s="264" t="n">
        <v>11</v>
      </c>
      <c r="H623" s="264" t="inlineStr">
        <is>
          <t>JAIRO CUBILLOS</t>
        </is>
      </c>
      <c r="I623" s="264" t="inlineStr">
        <is>
          <t>TLO884</t>
        </is>
      </c>
      <c r="J623" s="265" t="n">
        <v>0.2256944444444444</v>
      </c>
      <c r="K623" s="266" t="n">
        <v>3240</v>
      </c>
      <c r="L623" s="308" t="n"/>
      <c r="M623" s="113" t="n"/>
      <c r="N623" s="113" t="n"/>
      <c r="O623" s="113" t="n"/>
      <c r="P623" s="243" t="n"/>
      <c r="Q623" s="113" t="n"/>
      <c r="R623" s="113" t="n"/>
    </row>
    <row r="624" ht="15.75" customHeight="1">
      <c r="A624" s="113" t="n"/>
      <c r="B624" s="146" t="n">
        <v>12</v>
      </c>
      <c r="C624" s="350" t="n">
        <v>45881</v>
      </c>
      <c r="D624" s="351" t="n">
        <v>8</v>
      </c>
      <c r="E624" s="264" t="inlineStr">
        <is>
          <t xml:space="preserve">SAN JOSE </t>
        </is>
      </c>
      <c r="F624" s="264" t="inlineStr">
        <is>
          <t>CARGUEROS</t>
        </is>
      </c>
      <c r="G624" s="264" t="n">
        <v>11</v>
      </c>
      <c r="H624" s="264" t="inlineStr">
        <is>
          <t>FERNANDO OYUELA</t>
        </is>
      </c>
      <c r="I624" s="264" t="inlineStr">
        <is>
          <t>EQY778</t>
        </is>
      </c>
      <c r="J624" s="265" t="n">
        <v>0.3125</v>
      </c>
      <c r="K624" s="266" t="n">
        <v>3100</v>
      </c>
      <c r="L624" s="308" t="n"/>
      <c r="M624" s="113" t="n"/>
      <c r="N624" s="113" t="n"/>
      <c r="O624" s="113" t="n"/>
      <c r="P624" s="243" t="n"/>
      <c r="Q624" s="113" t="n"/>
      <c r="R624" s="113" t="n"/>
    </row>
    <row r="625" ht="15.75" customHeight="1">
      <c r="A625" s="113" t="n"/>
      <c r="B625" s="146" t="n">
        <v>12</v>
      </c>
      <c r="C625" s="350" t="n">
        <v>45881</v>
      </c>
      <c r="D625" s="351" t="n">
        <v>9</v>
      </c>
      <c r="E625" s="264" t="inlineStr">
        <is>
          <t xml:space="preserve">SAN JOSE </t>
        </is>
      </c>
      <c r="F625" s="264" t="inlineStr">
        <is>
          <t>CARGUEROS</t>
        </is>
      </c>
      <c r="G625" s="264" t="n">
        <v>11</v>
      </c>
      <c r="H625" s="264" t="inlineStr">
        <is>
          <t>DUMAR ANGARITA</t>
        </is>
      </c>
      <c r="I625" s="264" t="inlineStr">
        <is>
          <t>LQO745</t>
        </is>
      </c>
      <c r="J625" s="265" t="n">
        <v>0.3506944444444444</v>
      </c>
      <c r="K625" s="266" t="n">
        <v>3100</v>
      </c>
      <c r="L625" s="308" t="n"/>
      <c r="M625" s="113" t="n"/>
      <c r="N625" s="113" t="n"/>
      <c r="O625" s="113" t="n"/>
      <c r="P625" s="243" t="n"/>
      <c r="Q625" s="113" t="n"/>
      <c r="R625" s="113" t="n"/>
    </row>
    <row r="626" ht="15.75" customHeight="1">
      <c r="A626" s="113" t="n"/>
      <c r="B626" s="146" t="n">
        <v>12</v>
      </c>
      <c r="C626" s="350" t="n">
        <v>45881</v>
      </c>
      <c r="D626" s="351" t="n">
        <v>10</v>
      </c>
      <c r="E626" s="264" t="inlineStr">
        <is>
          <t xml:space="preserve">SAN JOSE </t>
        </is>
      </c>
      <c r="F626" s="264" t="inlineStr">
        <is>
          <t>CARGUEROS</t>
        </is>
      </c>
      <c r="G626" s="264" t="n">
        <v>11</v>
      </c>
      <c r="H626" s="264" t="inlineStr">
        <is>
          <t>JOSE HERRERA</t>
        </is>
      </c>
      <c r="I626" s="264" t="inlineStr">
        <is>
          <t>TLO882</t>
        </is>
      </c>
      <c r="J626" s="265" t="n">
        <v>0.3923611111111111</v>
      </c>
      <c r="K626" s="266" t="n">
        <v>3100</v>
      </c>
      <c r="L626" s="308" t="n"/>
      <c r="M626" s="113" t="n"/>
      <c r="N626" s="113" t="n"/>
      <c r="O626" s="113" t="n"/>
      <c r="P626" s="243" t="n"/>
      <c r="Q626" s="113" t="n"/>
      <c r="R626" s="113" t="n"/>
    </row>
    <row r="627" ht="15.75" customHeight="1">
      <c r="A627" s="113" t="n"/>
      <c r="B627" s="146" t="n">
        <v>12</v>
      </c>
      <c r="C627" s="350" t="n">
        <v>45881</v>
      </c>
      <c r="D627" s="351" t="n">
        <v>11</v>
      </c>
      <c r="E627" s="264" t="inlineStr">
        <is>
          <t xml:space="preserve">SAN JOSE </t>
        </is>
      </c>
      <c r="F627" s="264" t="inlineStr">
        <is>
          <t>CARGUEROS</t>
        </is>
      </c>
      <c r="G627" s="264" t="n">
        <v>11</v>
      </c>
      <c r="H627" s="264" t="inlineStr">
        <is>
          <t>ALBERTO LOPEZ</t>
        </is>
      </c>
      <c r="I627" s="264" t="inlineStr">
        <is>
          <t>EQY777</t>
        </is>
      </c>
      <c r="J627" s="265" t="n">
        <v>0.4444444444444444</v>
      </c>
      <c r="K627" s="266" t="n">
        <v>3250</v>
      </c>
      <c r="L627" s="308" t="n"/>
      <c r="M627" s="113" t="n"/>
      <c r="N627" s="113" t="n"/>
      <c r="O627" s="113" t="n"/>
      <c r="P627" s="243" t="n"/>
      <c r="Q627" s="113" t="n"/>
      <c r="R627" s="113" t="n"/>
    </row>
    <row r="628" ht="15.75" customHeight="1">
      <c r="A628" s="113" t="n"/>
      <c r="B628" s="146" t="n">
        <v>12</v>
      </c>
      <c r="C628" s="350" t="n">
        <v>45881</v>
      </c>
      <c r="D628" s="351" t="n">
        <v>12</v>
      </c>
      <c r="E628" s="264" t="inlineStr">
        <is>
          <t xml:space="preserve">SAN JOSE </t>
        </is>
      </c>
      <c r="F628" s="264" t="inlineStr">
        <is>
          <t>CARGUEROS</t>
        </is>
      </c>
      <c r="G628" s="264" t="n">
        <v>11</v>
      </c>
      <c r="H628" s="264" t="inlineStr">
        <is>
          <t xml:space="preserve">JOSE SOLER </t>
        </is>
      </c>
      <c r="I628" s="264" t="inlineStr">
        <is>
          <t>EQY786</t>
        </is>
      </c>
      <c r="J628" s="265" t="n">
        <v>0.4861111111111111</v>
      </c>
      <c r="K628" s="266" t="n">
        <v>3250</v>
      </c>
      <c r="L628" s="308" t="n"/>
      <c r="M628" s="113" t="n"/>
      <c r="N628" s="113" t="n"/>
      <c r="O628" s="113" t="n"/>
      <c r="P628" s="243" t="n"/>
      <c r="Q628" s="113" t="n"/>
      <c r="R628" s="113" t="n"/>
    </row>
    <row r="629" ht="15.75" customHeight="1">
      <c r="A629" s="113" t="n"/>
      <c r="B629" s="146" t="n">
        <v>12</v>
      </c>
      <c r="C629" s="350" t="n">
        <v>45881</v>
      </c>
      <c r="D629" s="351" t="n">
        <v>13</v>
      </c>
      <c r="E629" s="264" t="inlineStr">
        <is>
          <t xml:space="preserve">SAN JOSE </t>
        </is>
      </c>
      <c r="F629" s="264" t="inlineStr">
        <is>
          <t>CARGUEROS</t>
        </is>
      </c>
      <c r="G629" s="264" t="n">
        <v>11</v>
      </c>
      <c r="H629" s="264" t="inlineStr">
        <is>
          <t>JHON ARIAS</t>
        </is>
      </c>
      <c r="I629" s="264" t="inlineStr">
        <is>
          <t>TLN248</t>
        </is>
      </c>
      <c r="J629" s="265" t="n">
        <v>0.53125</v>
      </c>
      <c r="K629" s="266" t="n">
        <v>3250</v>
      </c>
      <c r="L629" s="308" t="n"/>
      <c r="M629" s="113" t="n"/>
      <c r="N629" s="113" t="n"/>
      <c r="O629" s="113" t="n"/>
      <c r="P629" s="243" t="n"/>
      <c r="Q629" s="113" t="n"/>
      <c r="R629" s="113" t="n"/>
    </row>
    <row r="630" ht="15.75" customHeight="1">
      <c r="A630" s="113" t="n"/>
      <c r="B630" s="146" t="n">
        <v>12</v>
      </c>
      <c r="C630" s="356" t="n">
        <v>45881</v>
      </c>
      <c r="D630" s="357" t="n">
        <v>14</v>
      </c>
      <c r="E630" s="271" t="inlineStr">
        <is>
          <t xml:space="preserve">SAN JOSE </t>
        </is>
      </c>
      <c r="F630" s="271" t="inlineStr">
        <is>
          <t>CARGUEROS</t>
        </is>
      </c>
      <c r="G630" s="271" t="n">
        <v>11</v>
      </c>
      <c r="H630" s="271" t="inlineStr">
        <is>
          <t>MANUEL QUITIAN</t>
        </is>
      </c>
      <c r="I630" s="271" t="inlineStr">
        <is>
          <t>KUS176</t>
        </is>
      </c>
      <c r="J630" s="272" t="n">
        <v>0.5659722222222222</v>
      </c>
      <c r="K630" s="286" t="n">
        <v>3250</v>
      </c>
      <c r="L630" s="385">
        <f>SUM(K617:K630)</f>
        <v/>
      </c>
      <c r="M630" s="113" t="n"/>
      <c r="N630" s="113" t="n"/>
      <c r="O630" s="113" t="n"/>
      <c r="P630" s="243" t="n"/>
      <c r="Q630" s="113" t="n"/>
      <c r="R630" s="113" t="n"/>
    </row>
    <row r="631" ht="15.75" customHeight="1">
      <c r="A631" s="113" t="n"/>
      <c r="B631" s="146" t="n">
        <v>12</v>
      </c>
      <c r="C631" s="381" t="n">
        <v>45883</v>
      </c>
      <c r="D631" s="382" t="n">
        <v>1</v>
      </c>
      <c r="E631" s="334" t="inlineStr">
        <is>
          <t xml:space="preserve">SAN JOSE </t>
        </is>
      </c>
      <c r="F631" s="334" t="inlineStr">
        <is>
          <t>CARGUEROS</t>
        </is>
      </c>
      <c r="G631" s="334" t="n">
        <v>11</v>
      </c>
      <c r="H631" s="334" t="inlineStr">
        <is>
          <t>HENRY ROMERO</t>
        </is>
      </c>
      <c r="I631" s="334" t="inlineStr">
        <is>
          <t>EQY781</t>
        </is>
      </c>
      <c r="J631" s="335" t="n">
        <v>0.1680555555555556</v>
      </c>
      <c r="K631" s="383" t="n">
        <v>3240</v>
      </c>
      <c r="L631" s="387" t="n"/>
      <c r="M631" s="113" t="n"/>
      <c r="N631" s="113" t="n"/>
      <c r="O631" s="113" t="n"/>
      <c r="P631" s="243" t="n"/>
      <c r="Q631" s="113" t="n"/>
      <c r="R631" s="113" t="n"/>
    </row>
    <row r="632" ht="15.75" customHeight="1">
      <c r="A632" s="113" t="n"/>
      <c r="B632" s="146" t="n">
        <v>12</v>
      </c>
      <c r="C632" s="350" t="n">
        <v>45883</v>
      </c>
      <c r="D632" s="351" t="n">
        <v>2</v>
      </c>
      <c r="E632" s="264" t="inlineStr">
        <is>
          <t xml:space="preserve">SAN JOSE </t>
        </is>
      </c>
      <c r="F632" s="264" t="inlineStr">
        <is>
          <t>CARGUEROS</t>
        </is>
      </c>
      <c r="G632" s="264" t="n">
        <v>11</v>
      </c>
      <c r="H632" s="264" t="inlineStr">
        <is>
          <t>FABIO ALDANA</t>
        </is>
      </c>
      <c r="I632" s="264" t="inlineStr">
        <is>
          <t>TLO882</t>
        </is>
      </c>
      <c r="J632" s="265" t="n">
        <v>0.2486111111111111</v>
      </c>
      <c r="K632" s="266" t="n">
        <v>3240</v>
      </c>
      <c r="L632" s="308" t="n"/>
      <c r="M632" s="113" t="n"/>
      <c r="N632" s="113" t="n"/>
      <c r="O632" s="113" t="n"/>
      <c r="P632" s="243" t="n"/>
      <c r="Q632" s="113" t="n"/>
      <c r="R632" s="113" t="n"/>
    </row>
    <row r="633" ht="15.75" customHeight="1">
      <c r="A633" s="113" t="n"/>
      <c r="B633" s="146" t="n">
        <v>12</v>
      </c>
      <c r="C633" s="350" t="n">
        <v>45883</v>
      </c>
      <c r="D633" s="351" t="n">
        <v>3</v>
      </c>
      <c r="E633" s="264" t="inlineStr">
        <is>
          <t xml:space="preserve">SAN JOSE </t>
        </is>
      </c>
      <c r="F633" s="264" t="inlineStr">
        <is>
          <t>CARGUEROS</t>
        </is>
      </c>
      <c r="G633" s="264" t="n">
        <v>11</v>
      </c>
      <c r="H633" s="264" t="inlineStr">
        <is>
          <t xml:space="preserve">ALBERTO HERRERA </t>
        </is>
      </c>
      <c r="I633" s="264" t="inlineStr">
        <is>
          <t>EQY777</t>
        </is>
      </c>
      <c r="J633" s="265" t="n">
        <v>0.2569444444444444</v>
      </c>
      <c r="K633" s="266" t="n">
        <v>3240</v>
      </c>
      <c r="L633" s="308" t="n"/>
      <c r="M633" s="113" t="n"/>
      <c r="N633" s="113" t="n"/>
      <c r="O633" s="113" t="n"/>
      <c r="P633" s="243" t="n"/>
      <c r="Q633" s="113" t="n"/>
      <c r="R633" s="113" t="n"/>
    </row>
    <row r="634" ht="15.75" customHeight="1">
      <c r="A634" s="113" t="n"/>
      <c r="B634" s="146" t="n">
        <v>12</v>
      </c>
      <c r="C634" s="350" t="n">
        <v>45883</v>
      </c>
      <c r="D634" s="351" t="n">
        <v>4</v>
      </c>
      <c r="E634" s="264" t="inlineStr">
        <is>
          <t xml:space="preserve">SAN JOSE </t>
        </is>
      </c>
      <c r="F634" s="264" t="inlineStr">
        <is>
          <t>CARGUEROS</t>
        </is>
      </c>
      <c r="G634" s="264" t="n">
        <v>11</v>
      </c>
      <c r="H634" s="264" t="inlineStr">
        <is>
          <t>DUMAR ANGARITA</t>
        </is>
      </c>
      <c r="I634" s="264" t="inlineStr">
        <is>
          <t>LQO745</t>
        </is>
      </c>
      <c r="J634" s="265" t="n">
        <v>0.2986111111111111</v>
      </c>
      <c r="K634" s="266" t="n">
        <v>3240</v>
      </c>
      <c r="L634" s="308" t="n"/>
      <c r="M634" s="113" t="n"/>
      <c r="N634" s="113" t="n"/>
      <c r="O634" s="113" t="n"/>
      <c r="P634" s="243" t="n"/>
      <c r="Q634" s="113" t="n"/>
      <c r="R634" s="113" t="n"/>
    </row>
    <row r="635" ht="15.75" customHeight="1">
      <c r="A635" s="113" t="n"/>
      <c r="B635" s="146" t="n">
        <v>12</v>
      </c>
      <c r="C635" s="350" t="n">
        <v>45883</v>
      </c>
      <c r="D635" s="351" t="n">
        <v>5</v>
      </c>
      <c r="E635" s="264" t="inlineStr">
        <is>
          <t xml:space="preserve">SAN JOSE </t>
        </is>
      </c>
      <c r="F635" s="264" t="inlineStr">
        <is>
          <t>CARGUEROS</t>
        </is>
      </c>
      <c r="G635" s="264" t="n">
        <v>10</v>
      </c>
      <c r="H635" s="264" t="inlineStr">
        <is>
          <t xml:space="preserve">HENRY ROMERO </t>
        </is>
      </c>
      <c r="I635" s="264" t="inlineStr">
        <is>
          <t>EQY781</t>
        </is>
      </c>
      <c r="J635" s="265" t="n">
        <v>0.3402777777777778</v>
      </c>
      <c r="K635" s="266" t="n">
        <v>3564</v>
      </c>
      <c r="L635" s="308" t="n"/>
      <c r="M635" s="113" t="n"/>
      <c r="N635" s="113" t="n"/>
      <c r="O635" s="113" t="n"/>
      <c r="P635" s="243" t="n"/>
      <c r="Q635" s="113" t="n"/>
      <c r="R635" s="113" t="n"/>
    </row>
    <row r="636" ht="15.75" customHeight="1">
      <c r="A636" s="113" t="n"/>
      <c r="B636" s="146" t="n">
        <v>12</v>
      </c>
      <c r="C636" s="350" t="n">
        <v>45883</v>
      </c>
      <c r="D636" s="351" t="n">
        <v>6</v>
      </c>
      <c r="E636" s="264" t="inlineStr">
        <is>
          <t xml:space="preserve">SAN JOSE </t>
        </is>
      </c>
      <c r="F636" s="264" t="inlineStr">
        <is>
          <t>CARGUEROS</t>
        </is>
      </c>
      <c r="G636" s="264" t="n">
        <v>10</v>
      </c>
      <c r="H636" s="264" t="inlineStr">
        <is>
          <t xml:space="preserve">JOSE SOLER </t>
        </is>
      </c>
      <c r="I636" s="264" t="inlineStr">
        <is>
          <t>EQY776</t>
        </is>
      </c>
      <c r="J636" s="265" t="n">
        <v>0.3784722222222222</v>
      </c>
      <c r="K636" s="266" t="n">
        <v>3564</v>
      </c>
      <c r="L636" s="308" t="n"/>
      <c r="M636" s="113" t="n"/>
      <c r="N636" s="113" t="n"/>
      <c r="O636" s="113" t="n"/>
      <c r="P636" s="243" t="n"/>
      <c r="Q636" s="113" t="n"/>
      <c r="R636" s="113" t="n"/>
    </row>
    <row r="637" ht="15.75" customHeight="1">
      <c r="A637" s="113" t="n"/>
      <c r="B637" s="146" t="n">
        <v>12</v>
      </c>
      <c r="C637" s="350" t="n">
        <v>45883</v>
      </c>
      <c r="D637" s="351" t="n">
        <v>7</v>
      </c>
      <c r="E637" s="264" t="inlineStr">
        <is>
          <t xml:space="preserve">SAN JOSE </t>
        </is>
      </c>
      <c r="F637" s="264" t="inlineStr">
        <is>
          <t>CARGUEROS</t>
        </is>
      </c>
      <c r="G637" s="264" t="n">
        <v>10</v>
      </c>
      <c r="H637" s="264" t="inlineStr">
        <is>
          <t>ALEX GOMEZ</t>
        </is>
      </c>
      <c r="I637" s="264" t="inlineStr">
        <is>
          <t>TLO181</t>
        </is>
      </c>
      <c r="J637" s="265" t="n">
        <v>0.4166666666666667</v>
      </c>
      <c r="K637" s="266" t="n">
        <v>3240</v>
      </c>
      <c r="L637" s="308" t="n"/>
      <c r="M637" s="113" t="n"/>
      <c r="N637" s="113" t="n"/>
      <c r="O637" s="113" t="n"/>
      <c r="P637" s="243" t="n"/>
      <c r="Q637" s="113" t="n"/>
      <c r="R637" s="113" t="n"/>
    </row>
    <row r="638" ht="15.75" customHeight="1">
      <c r="A638" s="113" t="n"/>
      <c r="B638" s="146" t="n">
        <v>12</v>
      </c>
      <c r="C638" s="356" t="n">
        <v>45883</v>
      </c>
      <c r="D638" s="357" t="n">
        <v>8</v>
      </c>
      <c r="E638" s="271" t="inlineStr">
        <is>
          <t xml:space="preserve">SAN JOSE </t>
        </is>
      </c>
      <c r="F638" s="271" t="inlineStr">
        <is>
          <t>CARGUEROS</t>
        </is>
      </c>
      <c r="G638" s="271" t="n">
        <v>10</v>
      </c>
      <c r="H638" s="271" t="inlineStr">
        <is>
          <t>MANUEL QUITIAN</t>
        </is>
      </c>
      <c r="I638" s="271" t="inlineStr">
        <is>
          <t>KUS176</t>
        </is>
      </c>
      <c r="J638" s="272" t="n">
        <v>0.4652777777777778</v>
      </c>
      <c r="K638" s="286" t="n">
        <v>3070</v>
      </c>
      <c r="L638" s="385">
        <f>SUM(K631:K638)</f>
        <v/>
      </c>
      <c r="M638" s="113" t="n"/>
      <c r="N638" s="113" t="n"/>
      <c r="O638" s="113" t="n"/>
      <c r="P638" s="243" t="n"/>
      <c r="Q638" s="113" t="n"/>
      <c r="R638" s="113" t="n"/>
    </row>
    <row r="639" ht="15.75" customHeight="1">
      <c r="A639" s="113" t="n"/>
      <c r="B639" s="146" t="n">
        <v>13</v>
      </c>
      <c r="C639" s="348" t="n">
        <v>45886</v>
      </c>
      <c r="D639" s="349" t="n">
        <v>1</v>
      </c>
      <c r="E639" s="258" t="inlineStr">
        <is>
          <t>HUERTAS</t>
        </is>
      </c>
      <c r="F639" s="258" t="inlineStr">
        <is>
          <t>CARGUEROS</t>
        </is>
      </c>
      <c r="G639" s="258" t="n">
        <v>11</v>
      </c>
      <c r="H639" s="258" t="inlineStr">
        <is>
          <t xml:space="preserve">YAIR RIVEROS </t>
        </is>
      </c>
      <c r="I639" s="258" t="inlineStr">
        <is>
          <t>TLN181</t>
        </is>
      </c>
      <c r="J639" s="259" t="n">
        <v>0.08333333333333333</v>
      </c>
      <c r="K639" s="260" t="n">
        <v>3166</v>
      </c>
      <c r="L639" s="292" t="n"/>
      <c r="M639" s="113" t="n"/>
      <c r="N639" s="113" t="n"/>
      <c r="O639" s="113" t="n"/>
      <c r="P639" s="243" t="n"/>
      <c r="Q639" s="113" t="n"/>
      <c r="R639" s="113" t="n"/>
    </row>
    <row r="640" ht="15.75" customHeight="1">
      <c r="A640" s="113" t="n"/>
      <c r="B640" s="146" t="n">
        <v>13</v>
      </c>
      <c r="C640" s="350" t="n">
        <v>45886</v>
      </c>
      <c r="D640" s="351" t="n">
        <v>2</v>
      </c>
      <c r="E640" s="264" t="inlineStr">
        <is>
          <t>HUERTAS</t>
        </is>
      </c>
      <c r="F640" s="264" t="inlineStr">
        <is>
          <t>CARGUEROS</t>
        </is>
      </c>
      <c r="G640" s="264" t="n">
        <v>11</v>
      </c>
      <c r="H640" s="264" t="inlineStr">
        <is>
          <t>JHON AGUIRRE</t>
        </is>
      </c>
      <c r="I640" s="264" t="inlineStr">
        <is>
          <t>EQY780</t>
        </is>
      </c>
      <c r="J640" s="265" t="n">
        <v>0.1236111111111111</v>
      </c>
      <c r="K640" s="266" t="n">
        <v>3166</v>
      </c>
      <c r="L640" s="308" t="n"/>
      <c r="M640" s="113" t="n"/>
      <c r="N640" s="113" t="n"/>
      <c r="O640" s="113" t="n"/>
      <c r="P640" s="243" t="n"/>
      <c r="Q640" s="113" t="n"/>
      <c r="R640" s="113" t="n"/>
    </row>
    <row r="641" ht="15.75" customHeight="1">
      <c r="A641" s="113" t="n"/>
      <c r="B641" s="146" t="n">
        <v>13</v>
      </c>
      <c r="C641" s="350" t="n">
        <v>45886</v>
      </c>
      <c r="D641" s="351" t="n">
        <v>3</v>
      </c>
      <c r="E641" s="264" t="inlineStr">
        <is>
          <t>HUERTAS</t>
        </is>
      </c>
      <c r="F641" s="264" t="inlineStr">
        <is>
          <t>CARGUEROS</t>
        </is>
      </c>
      <c r="G641" s="264" t="n">
        <v>11</v>
      </c>
      <c r="H641" s="264" t="inlineStr">
        <is>
          <t>JAIRO CUBILLOS</t>
        </is>
      </c>
      <c r="I641" s="264" t="inlineStr">
        <is>
          <t>TLO884</t>
        </is>
      </c>
      <c r="J641" s="265" t="n">
        <v>0.1583333333333333</v>
      </c>
      <c r="K641" s="266" t="n">
        <v>3166</v>
      </c>
      <c r="L641" s="308" t="n"/>
      <c r="M641" s="113" t="n"/>
      <c r="N641" s="113" t="n"/>
      <c r="O641" s="113" t="n"/>
      <c r="P641" s="243" t="n"/>
      <c r="Q641" s="113" t="n"/>
      <c r="R641" s="113" t="n"/>
    </row>
    <row r="642" ht="15.75" customHeight="1">
      <c r="A642" s="113" t="n"/>
      <c r="B642" s="146" t="n">
        <v>13</v>
      </c>
      <c r="C642" s="350" t="n">
        <v>45886</v>
      </c>
      <c r="D642" s="351" t="n">
        <v>4</v>
      </c>
      <c r="E642" s="264" t="inlineStr">
        <is>
          <t>HUERTAS</t>
        </is>
      </c>
      <c r="F642" s="264" t="inlineStr">
        <is>
          <t>CARGUEROS</t>
        </is>
      </c>
      <c r="G642" s="264" t="n">
        <v>11</v>
      </c>
      <c r="H642" s="264" t="inlineStr">
        <is>
          <t xml:space="preserve">JOSE SOLER </t>
        </is>
      </c>
      <c r="I642" s="264" t="inlineStr">
        <is>
          <t>EQY776</t>
        </is>
      </c>
      <c r="J642" s="265" t="n">
        <v>0.1951388888888889</v>
      </c>
      <c r="K642" s="266" t="n">
        <v>3166</v>
      </c>
      <c r="L642" s="308" t="n"/>
      <c r="M642" s="113" t="n"/>
      <c r="N642" s="113" t="n"/>
      <c r="O642" s="113" t="n"/>
      <c r="P642" s="243" t="n"/>
      <c r="Q642" s="113" t="n"/>
      <c r="R642" s="113" t="n"/>
    </row>
    <row r="643" ht="15.75" customHeight="1">
      <c r="A643" s="113" t="n"/>
      <c r="B643" s="146" t="n">
        <v>13</v>
      </c>
      <c r="C643" s="350" t="n">
        <v>45886</v>
      </c>
      <c r="D643" s="351" t="n">
        <v>5</v>
      </c>
      <c r="E643" s="264" t="inlineStr">
        <is>
          <t>HUERTAS</t>
        </is>
      </c>
      <c r="F643" s="264" t="inlineStr">
        <is>
          <t>CARGUEROS</t>
        </is>
      </c>
      <c r="G643" s="264" t="n">
        <v>11</v>
      </c>
      <c r="H643" s="264" t="inlineStr">
        <is>
          <t xml:space="preserve">WILMER PIÑEROS </t>
        </is>
      </c>
      <c r="I643" s="264" t="inlineStr">
        <is>
          <t>KNL076</t>
        </is>
      </c>
      <c r="J643" s="265" t="n">
        <v>0.2423611111111111</v>
      </c>
      <c r="K643" s="266" t="n">
        <v>3240</v>
      </c>
      <c r="L643" s="308" t="n"/>
      <c r="M643" s="113" t="n"/>
      <c r="N643" s="113" t="n"/>
      <c r="O643" s="113" t="n"/>
      <c r="P643" s="243" t="n"/>
      <c r="Q643" s="113" t="n"/>
      <c r="R643" s="113" t="n"/>
    </row>
    <row r="644" ht="15.75" customHeight="1">
      <c r="A644" s="113" t="n"/>
      <c r="B644" s="146" t="n">
        <v>13</v>
      </c>
      <c r="C644" s="350" t="n">
        <v>45886</v>
      </c>
      <c r="D644" s="351" t="n">
        <v>6</v>
      </c>
      <c r="E644" s="264" t="inlineStr">
        <is>
          <t>HUERTAS</t>
        </is>
      </c>
      <c r="F644" s="264" t="inlineStr">
        <is>
          <t xml:space="preserve">CARGUEROS  </t>
        </is>
      </c>
      <c r="G644" s="264" t="n">
        <v>11</v>
      </c>
      <c r="H644" s="264" t="inlineStr">
        <is>
          <t>DUMAR ANGARITA</t>
        </is>
      </c>
      <c r="I644" s="264" t="inlineStr">
        <is>
          <t>LQO745</t>
        </is>
      </c>
      <c r="J644" s="265" t="n">
        <v>0.2847222222222222</v>
      </c>
      <c r="K644" s="266" t="n">
        <v>3240</v>
      </c>
      <c r="L644" s="308" t="n"/>
      <c r="M644" s="113" t="n"/>
      <c r="N644" s="113" t="n"/>
      <c r="O644" s="113" t="n"/>
      <c r="P644" s="243" t="n"/>
      <c r="Q644" s="113" t="n"/>
      <c r="R644" s="113" t="n"/>
    </row>
    <row r="645" ht="15.75" customHeight="1">
      <c r="A645" s="113" t="n"/>
      <c r="B645" s="146" t="n">
        <v>13</v>
      </c>
      <c r="C645" s="350" t="n">
        <v>45886</v>
      </c>
      <c r="D645" s="351" t="n">
        <v>7</v>
      </c>
      <c r="E645" s="264" t="inlineStr">
        <is>
          <t>HUERTAS</t>
        </is>
      </c>
      <c r="F645" s="264" t="inlineStr">
        <is>
          <t>CARGUEROS</t>
        </is>
      </c>
      <c r="G645" s="264" t="n">
        <v>11</v>
      </c>
      <c r="H645" s="264" t="inlineStr">
        <is>
          <t>ALBERTO LOPEZ</t>
        </is>
      </c>
      <c r="I645" s="264" t="inlineStr">
        <is>
          <t>EQY777</t>
        </is>
      </c>
      <c r="J645" s="265" t="n">
        <v>0.3229166666666667</v>
      </c>
      <c r="K645" s="266" t="n">
        <v>3340</v>
      </c>
      <c r="L645" s="308" t="n"/>
      <c r="M645" s="113" t="n"/>
      <c r="N645" s="113" t="n"/>
      <c r="O645" s="113" t="n"/>
      <c r="P645" s="243" t="n"/>
      <c r="Q645" s="113" t="n"/>
      <c r="R645" s="113" t="n"/>
    </row>
    <row r="646" ht="15.75" customHeight="1">
      <c r="A646" s="113" t="n"/>
      <c r="B646" s="146" t="n">
        <v>13</v>
      </c>
      <c r="C646" s="350" t="n">
        <v>45886</v>
      </c>
      <c r="D646" s="351" t="n">
        <v>8</v>
      </c>
      <c r="E646" s="264" t="inlineStr">
        <is>
          <t>HUERTAS</t>
        </is>
      </c>
      <c r="F646" s="264" t="inlineStr">
        <is>
          <t xml:space="preserve">CARGUEROS  </t>
        </is>
      </c>
      <c r="G646" s="264" t="n">
        <v>11</v>
      </c>
      <c r="H646" s="264" t="inlineStr">
        <is>
          <t>FERNANDO OYUELA</t>
        </is>
      </c>
      <c r="I646" s="264" t="inlineStr">
        <is>
          <t>EQY778</t>
        </is>
      </c>
      <c r="J646" s="265" t="n">
        <v>0.3673611111111111</v>
      </c>
      <c r="K646" s="266" t="n">
        <v>3340</v>
      </c>
      <c r="L646" s="309" t="n"/>
      <c r="M646" s="113" t="n"/>
      <c r="N646" s="113" t="n"/>
      <c r="O646" s="113" t="n"/>
      <c r="P646" s="243" t="n"/>
      <c r="Q646" s="113" t="n"/>
      <c r="R646" s="113" t="n"/>
    </row>
    <row r="647" ht="15.75" customHeight="1">
      <c r="A647" s="113" t="n"/>
      <c r="B647" s="146" t="n">
        <v>13</v>
      </c>
      <c r="C647" s="356" t="n">
        <v>45886</v>
      </c>
      <c r="D647" s="357" t="n">
        <v>9</v>
      </c>
      <c r="E647" s="271" t="inlineStr">
        <is>
          <t xml:space="preserve">SAN JOSE </t>
        </is>
      </c>
      <c r="F647" s="271" t="inlineStr">
        <is>
          <t xml:space="preserve">ABONEROS </t>
        </is>
      </c>
      <c r="G647" s="271" t="n">
        <v>9</v>
      </c>
      <c r="H647" s="271" t="inlineStr">
        <is>
          <t>YAIR RIVEROS</t>
        </is>
      </c>
      <c r="I647" s="271" t="inlineStr">
        <is>
          <t>TLN181</t>
        </is>
      </c>
      <c r="J647" s="272" t="n">
        <v>0.5069444444444444</v>
      </c>
      <c r="K647" s="273" t="n">
        <v>2457</v>
      </c>
      <c r="L647" s="378">
        <f>SUM(K639:K647)</f>
        <v/>
      </c>
      <c r="M647" s="113" t="n"/>
      <c r="N647" s="113" t="n"/>
      <c r="O647" s="113" t="n"/>
      <c r="P647" s="243" t="n"/>
      <c r="Q647" s="113" t="n"/>
      <c r="R647" s="113" t="n"/>
    </row>
    <row r="648" ht="15.75" customHeight="1">
      <c r="A648" s="113" t="n"/>
      <c r="B648" s="146" t="n">
        <v>13</v>
      </c>
      <c r="C648" s="348" t="n">
        <v>45888</v>
      </c>
      <c r="D648" s="349" t="n">
        <v>1</v>
      </c>
      <c r="E648" s="258" t="inlineStr">
        <is>
          <t>HUERTAS</t>
        </is>
      </c>
      <c r="F648" s="258" t="inlineStr">
        <is>
          <t>CARGUEROS</t>
        </is>
      </c>
      <c r="G648" s="258" t="n">
        <v>12</v>
      </c>
      <c r="H648" s="258" t="inlineStr">
        <is>
          <t>JHON ARIAS</t>
        </is>
      </c>
      <c r="I648" s="258" t="inlineStr">
        <is>
          <t>TLN248</t>
        </is>
      </c>
      <c r="J648" s="259" t="n">
        <v>0.1180555555555556</v>
      </c>
      <c r="K648" s="260" t="n">
        <v>3450</v>
      </c>
      <c r="L648" s="292" t="n"/>
      <c r="M648" s="113" t="n"/>
      <c r="N648" s="113" t="n"/>
      <c r="O648" s="113" t="n"/>
      <c r="P648" s="243" t="n"/>
      <c r="Q648" s="113" t="n"/>
      <c r="R648" s="113" t="n"/>
    </row>
    <row r="649" ht="15.75" customHeight="1">
      <c r="A649" s="113" t="n"/>
      <c r="B649" s="146" t="n">
        <v>13</v>
      </c>
      <c r="C649" s="350" t="n">
        <v>45888</v>
      </c>
      <c r="D649" s="351" t="n">
        <v>2</v>
      </c>
      <c r="E649" s="264" t="inlineStr">
        <is>
          <t>HUERTAS</t>
        </is>
      </c>
      <c r="F649" s="264" t="inlineStr">
        <is>
          <t>CARGUEROS</t>
        </is>
      </c>
      <c r="G649" s="264" t="n">
        <v>12</v>
      </c>
      <c r="H649" s="264" t="inlineStr">
        <is>
          <t xml:space="preserve">YAIR RIVEROS </t>
        </is>
      </c>
      <c r="I649" s="264" t="inlineStr">
        <is>
          <t>TLN181</t>
        </is>
      </c>
      <c r="J649" s="265" t="n">
        <v>0.1486111111111111</v>
      </c>
      <c r="K649" s="266" t="n">
        <v>3450</v>
      </c>
      <c r="L649" s="308" t="n"/>
      <c r="M649" s="113" t="n"/>
      <c r="N649" s="113" t="n"/>
      <c r="O649" s="113" t="n"/>
      <c r="P649" s="243" t="n"/>
      <c r="Q649" s="113" t="n"/>
      <c r="R649" s="113" t="n"/>
    </row>
    <row r="650" ht="15.75" customHeight="1">
      <c r="A650" s="113" t="n"/>
      <c r="B650" s="146" t="n">
        <v>13</v>
      </c>
      <c r="C650" s="350" t="n">
        <v>45888</v>
      </c>
      <c r="D650" s="351" t="n">
        <v>3</v>
      </c>
      <c r="E650" s="264" t="inlineStr">
        <is>
          <t>HUERTAS</t>
        </is>
      </c>
      <c r="F650" s="264" t="inlineStr">
        <is>
          <t>CARGUEROS</t>
        </is>
      </c>
      <c r="G650" s="264" t="n">
        <v>12</v>
      </c>
      <c r="H650" s="264" t="inlineStr">
        <is>
          <t>DIEGO NIÑO</t>
        </is>
      </c>
      <c r="I650" s="264" t="inlineStr">
        <is>
          <t>GZZ673</t>
        </is>
      </c>
      <c r="J650" s="265" t="n">
        <v>0.1805555555555556</v>
      </c>
      <c r="K650" s="266" t="n">
        <v>3350</v>
      </c>
      <c r="L650" s="308" t="n"/>
      <c r="M650" s="113" t="n"/>
      <c r="N650" s="113" t="n"/>
      <c r="O650" s="113" t="n"/>
      <c r="P650" s="243" t="n"/>
      <c r="Q650" s="113" t="n"/>
      <c r="R650" s="113" t="n"/>
    </row>
    <row r="651" ht="15.75" customHeight="1">
      <c r="A651" s="113" t="n"/>
      <c r="B651" s="146" t="n">
        <v>13</v>
      </c>
      <c r="C651" s="350" t="n">
        <v>45888</v>
      </c>
      <c r="D651" s="351" t="n">
        <v>4</v>
      </c>
      <c r="E651" s="264" t="inlineStr">
        <is>
          <t>HUERTAS</t>
        </is>
      </c>
      <c r="F651" s="264" t="inlineStr">
        <is>
          <t>CARGUEROS</t>
        </is>
      </c>
      <c r="G651" s="264" t="n">
        <v>12</v>
      </c>
      <c r="H651" s="264" t="inlineStr">
        <is>
          <t>HENRY ROMERO</t>
        </is>
      </c>
      <c r="I651" s="264" t="inlineStr">
        <is>
          <t>EQY781</t>
        </is>
      </c>
      <c r="J651" s="265" t="n">
        <v>0.2319444444444445</v>
      </c>
      <c r="K651" s="266" t="n">
        <v>3410</v>
      </c>
      <c r="L651" s="308" t="n"/>
      <c r="M651" s="113" t="n"/>
      <c r="N651" s="113" t="n"/>
      <c r="O651" s="113" t="n"/>
      <c r="P651" s="243" t="n"/>
      <c r="Q651" s="113" t="n"/>
      <c r="R651" s="113" t="n"/>
    </row>
    <row r="652" ht="15.75" customHeight="1">
      <c r="A652" s="113" t="n"/>
      <c r="B652" s="146" t="n">
        <v>13</v>
      </c>
      <c r="C652" s="350" t="n">
        <v>45888</v>
      </c>
      <c r="D652" s="351" t="n">
        <v>5</v>
      </c>
      <c r="E652" s="264" t="inlineStr">
        <is>
          <t>HUERTAS</t>
        </is>
      </c>
      <c r="F652" s="264" t="inlineStr">
        <is>
          <t>CARGUEROS</t>
        </is>
      </c>
      <c r="G652" s="264" t="n">
        <v>12</v>
      </c>
      <c r="H652" s="264" t="inlineStr">
        <is>
          <t xml:space="preserve">FABIO ALDANA </t>
        </is>
      </c>
      <c r="I652" s="264" t="inlineStr">
        <is>
          <t>TLO882</t>
        </is>
      </c>
      <c r="J652" s="265" t="n">
        <v>0.2708333333333333</v>
      </c>
      <c r="K652" s="266" t="n">
        <v>3410</v>
      </c>
      <c r="L652" s="308" t="n"/>
      <c r="M652" s="113" t="n"/>
      <c r="N652" s="113" t="n"/>
      <c r="O652" s="113" t="n"/>
      <c r="P652" s="243" t="n"/>
      <c r="Q652" s="113" t="n"/>
      <c r="R652" s="113" t="n"/>
    </row>
    <row r="653" ht="15.75" customHeight="1">
      <c r="A653" s="113" t="n"/>
      <c r="B653" s="146" t="n">
        <v>13</v>
      </c>
      <c r="C653" s="350" t="n">
        <v>45888</v>
      </c>
      <c r="D653" s="351" t="n">
        <v>6</v>
      </c>
      <c r="E653" s="264" t="inlineStr">
        <is>
          <t>HUERTAS</t>
        </is>
      </c>
      <c r="F653" s="264" t="inlineStr">
        <is>
          <t>CARGUEROS</t>
        </is>
      </c>
      <c r="G653" s="264" t="n">
        <v>12</v>
      </c>
      <c r="H653" s="264" t="inlineStr">
        <is>
          <t>ALBERTO LOPEZ</t>
        </is>
      </c>
      <c r="I653" s="264" t="inlineStr">
        <is>
          <t>EQY777</t>
        </is>
      </c>
      <c r="J653" s="265" t="n">
        <v>0.3125</v>
      </c>
      <c r="K653" s="266" t="n">
        <v>2775</v>
      </c>
      <c r="L653" s="308" t="n"/>
      <c r="M653" s="113" t="n"/>
      <c r="N653" s="113" t="n"/>
      <c r="O653" s="113" t="n"/>
      <c r="P653" s="243" t="n"/>
      <c r="Q653" s="113" t="n"/>
      <c r="R653" s="113" t="n"/>
    </row>
    <row r="654" ht="15.75" customHeight="1">
      <c r="A654" s="113" t="n"/>
      <c r="B654" s="146" t="n">
        <v>13</v>
      </c>
      <c r="C654" s="350" t="n">
        <v>45888</v>
      </c>
      <c r="D654" s="351" t="n">
        <v>7</v>
      </c>
      <c r="E654" s="264" t="inlineStr">
        <is>
          <t xml:space="preserve">SAN JOSE </t>
        </is>
      </c>
      <c r="F654" s="264" t="inlineStr">
        <is>
          <t>ABONEROS</t>
        </is>
      </c>
      <c r="G654" s="264" t="n">
        <v>10</v>
      </c>
      <c r="H654" s="264" t="inlineStr">
        <is>
          <t xml:space="preserve">YAIR RIVEROS </t>
        </is>
      </c>
      <c r="I654" s="264" t="inlineStr">
        <is>
          <t>TLN181</t>
        </is>
      </c>
      <c r="J654" s="265" t="n">
        <v>0.3736111111111111</v>
      </c>
      <c r="K654" s="266" t="n">
        <v>2835</v>
      </c>
      <c r="L654" s="308" t="n"/>
      <c r="M654" s="113" t="n"/>
      <c r="N654" s="113" t="n"/>
      <c r="O654" s="113" t="n"/>
      <c r="P654" s="243" t="n"/>
      <c r="Q654" s="113" t="n"/>
      <c r="R654" s="113" t="n"/>
    </row>
    <row r="655" ht="15.75" customHeight="1">
      <c r="A655" s="113" t="n"/>
      <c r="B655" s="146" t="n">
        <v>13</v>
      </c>
      <c r="C655" s="350" t="n">
        <v>45888</v>
      </c>
      <c r="D655" s="351" t="n">
        <v>8</v>
      </c>
      <c r="E655" s="264" t="inlineStr">
        <is>
          <t>HUERTAS</t>
        </is>
      </c>
      <c r="F655" s="264" t="inlineStr">
        <is>
          <t>CARGUEROS</t>
        </is>
      </c>
      <c r="G655" s="264" t="n">
        <v>12</v>
      </c>
      <c r="H655" s="264" t="inlineStr">
        <is>
          <t xml:space="preserve">WILMER PIÑEROS </t>
        </is>
      </c>
      <c r="I655" s="264" t="inlineStr">
        <is>
          <t>KLN076</t>
        </is>
      </c>
      <c r="J655" s="265" t="n">
        <v>0.3715277777777778</v>
      </c>
      <c r="K655" s="266" t="n">
        <v>2775</v>
      </c>
      <c r="L655" s="308" t="n"/>
      <c r="M655" s="113" t="n"/>
      <c r="N655" s="113" t="n"/>
      <c r="O655" s="113" t="n"/>
      <c r="P655" s="243" t="n"/>
      <c r="Q655" s="113" t="n"/>
      <c r="R655" s="113" t="n"/>
    </row>
    <row r="656" ht="15.75" customHeight="1">
      <c r="A656" s="113" t="n"/>
      <c r="B656" s="146" t="n">
        <v>13</v>
      </c>
      <c r="C656" s="350" t="n">
        <v>45888</v>
      </c>
      <c r="D656" s="351" t="n">
        <v>9</v>
      </c>
      <c r="E656" s="264" t="inlineStr">
        <is>
          <t>HUERTAS</t>
        </is>
      </c>
      <c r="F656" s="264" t="inlineStr">
        <is>
          <t>CARGUEROS</t>
        </is>
      </c>
      <c r="G656" s="264" t="n">
        <v>12</v>
      </c>
      <c r="H656" s="264" t="inlineStr">
        <is>
          <t>DUMAR ANGARITA</t>
        </is>
      </c>
      <c r="I656" s="264" t="inlineStr">
        <is>
          <t>LQO745</t>
        </is>
      </c>
      <c r="J656" s="265" t="n">
        <v>0.3972222222222222</v>
      </c>
      <c r="K656" s="266" t="n">
        <v>2775</v>
      </c>
      <c r="L656" s="308" t="n"/>
      <c r="M656" s="113" t="n"/>
      <c r="N656" s="113" t="n"/>
      <c r="O656" s="113" t="n"/>
      <c r="P656" s="243" t="n"/>
      <c r="Q656" s="113" t="n"/>
      <c r="R656" s="113" t="n"/>
    </row>
    <row r="657" ht="15.75" customHeight="1">
      <c r="A657" s="113" t="n"/>
      <c r="B657" s="146" t="n">
        <v>13</v>
      </c>
      <c r="C657" s="350" t="n">
        <v>45888</v>
      </c>
      <c r="D657" s="351" t="n">
        <v>10</v>
      </c>
      <c r="E657" s="264" t="inlineStr">
        <is>
          <t xml:space="preserve">SAN JOSE </t>
        </is>
      </c>
      <c r="F657" s="264" t="inlineStr">
        <is>
          <t>ABONEROS</t>
        </is>
      </c>
      <c r="G657" s="264" t="n">
        <v>10</v>
      </c>
      <c r="H657" s="264" t="inlineStr">
        <is>
          <t>DIEGO NIÑO</t>
        </is>
      </c>
      <c r="I657" s="264" t="inlineStr">
        <is>
          <t>GZZ673</t>
        </is>
      </c>
      <c r="J657" s="265" t="n">
        <v>0.4152777777777778</v>
      </c>
      <c r="K657" s="266" t="n">
        <v>2941</v>
      </c>
      <c r="L657" s="308" t="n"/>
      <c r="M657" s="113" t="n"/>
      <c r="N657" s="113" t="n"/>
      <c r="O657" s="113" t="n"/>
      <c r="P657" s="243" t="n"/>
      <c r="Q657" s="113" t="n"/>
      <c r="R657" s="113" t="n"/>
    </row>
    <row r="658" ht="15.75" customHeight="1">
      <c r="A658" s="113" t="n"/>
      <c r="B658" s="146" t="n">
        <v>13</v>
      </c>
      <c r="C658" s="350" t="n">
        <v>45888</v>
      </c>
      <c r="D658" s="351" t="n">
        <v>11</v>
      </c>
      <c r="E658" s="264" t="inlineStr">
        <is>
          <t>HUERTAS</t>
        </is>
      </c>
      <c r="F658" s="264" t="inlineStr">
        <is>
          <t>CARGUEROS</t>
        </is>
      </c>
      <c r="G658" s="264" t="n">
        <v>12</v>
      </c>
      <c r="H658" s="264" t="inlineStr">
        <is>
          <t>JAIRO CUBILLOS</t>
        </is>
      </c>
      <c r="I658" s="264" t="inlineStr">
        <is>
          <t>TLO884</t>
        </is>
      </c>
      <c r="J658" s="265" t="n">
        <v>0.4236111111111111</v>
      </c>
      <c r="K658" s="266" t="n">
        <v>2775</v>
      </c>
      <c r="L658" s="308" t="n"/>
      <c r="M658" s="113" t="n"/>
      <c r="N658" s="113" t="n"/>
      <c r="O658" s="113" t="n"/>
      <c r="P658" s="243" t="n"/>
      <c r="Q658" s="113" t="n"/>
      <c r="R658" s="113" t="n"/>
    </row>
    <row r="659" ht="15.75" customHeight="1">
      <c r="A659" s="113" t="n"/>
      <c r="B659" s="146" t="n">
        <v>13</v>
      </c>
      <c r="C659" s="350" t="n">
        <v>45888</v>
      </c>
      <c r="D659" s="351" t="n">
        <v>12</v>
      </c>
      <c r="E659" s="264" t="inlineStr">
        <is>
          <t xml:space="preserve">SAN JOSE </t>
        </is>
      </c>
      <c r="F659" s="264" t="inlineStr">
        <is>
          <t>ABONEROS</t>
        </is>
      </c>
      <c r="G659" s="264" t="n">
        <v>10</v>
      </c>
      <c r="H659" s="264" t="inlineStr">
        <is>
          <t xml:space="preserve">HENRY ROMERO </t>
        </is>
      </c>
      <c r="I659" s="264" t="inlineStr">
        <is>
          <t>EQY781</t>
        </is>
      </c>
      <c r="J659" s="265" t="n">
        <v>0.4513888888888889</v>
      </c>
      <c r="K659" s="266" t="n">
        <v>2941</v>
      </c>
      <c r="L659" s="308" t="n"/>
      <c r="M659" s="113" t="n"/>
      <c r="N659" s="113" t="n"/>
      <c r="O659" s="113" t="n"/>
      <c r="P659" s="243" t="n"/>
      <c r="Q659" s="113" t="n"/>
      <c r="R659" s="113" t="n"/>
    </row>
    <row r="660" ht="15.75" customHeight="1">
      <c r="A660" s="113" t="n"/>
      <c r="B660" s="146" t="n">
        <v>13</v>
      </c>
      <c r="C660" s="350" t="n">
        <v>45888</v>
      </c>
      <c r="D660" s="351" t="n">
        <v>13</v>
      </c>
      <c r="E660" s="264" t="inlineStr">
        <is>
          <t xml:space="preserve">SAN JOSE </t>
        </is>
      </c>
      <c r="F660" s="264" t="inlineStr">
        <is>
          <t>ABONEROS</t>
        </is>
      </c>
      <c r="G660" s="264" t="n">
        <v>10</v>
      </c>
      <c r="H660" s="264" t="inlineStr">
        <is>
          <t>FABIO ALDANA</t>
        </is>
      </c>
      <c r="I660" s="264" t="inlineStr">
        <is>
          <t>TLO882</t>
        </is>
      </c>
      <c r="J660" s="265" t="n">
        <v>0.4909722222222222</v>
      </c>
      <c r="K660" s="266" t="n">
        <v>2941</v>
      </c>
      <c r="L660" s="308" t="n"/>
      <c r="M660" s="113" t="n"/>
      <c r="N660" s="113" t="n"/>
      <c r="O660" s="113" t="n"/>
      <c r="P660" s="243" t="n"/>
      <c r="Q660" s="113" t="n"/>
      <c r="R660" s="113" t="n"/>
    </row>
    <row r="661" ht="15.75" customHeight="1">
      <c r="A661" s="113" t="n"/>
      <c r="B661" s="146" t="n">
        <v>13</v>
      </c>
      <c r="C661" s="350" t="n">
        <v>45888</v>
      </c>
      <c r="D661" s="351" t="n">
        <v>14</v>
      </c>
      <c r="E661" s="264" t="inlineStr">
        <is>
          <t xml:space="preserve">SAN JOSE </t>
        </is>
      </c>
      <c r="F661" s="264" t="inlineStr">
        <is>
          <t>ABONEROS</t>
        </is>
      </c>
      <c r="G661" s="264" t="n">
        <v>10</v>
      </c>
      <c r="H661" s="264" t="inlineStr">
        <is>
          <t>ALBERTO LOPEZ</t>
        </is>
      </c>
      <c r="I661" s="264" t="inlineStr">
        <is>
          <t>EQY777</t>
        </is>
      </c>
      <c r="J661" s="265" t="n">
        <v>0.5243055555555556</v>
      </c>
      <c r="K661" s="266" t="n">
        <v>2810</v>
      </c>
      <c r="L661" s="308" t="n"/>
      <c r="M661" s="113" t="n"/>
      <c r="N661" s="113" t="n"/>
      <c r="O661" s="113" t="n"/>
      <c r="P661" s="243" t="n"/>
      <c r="Q661" s="113" t="n"/>
      <c r="R661" s="113" t="n"/>
    </row>
    <row r="662" ht="15.75" customHeight="1">
      <c r="A662" s="113" t="n"/>
      <c r="B662" s="146" t="n">
        <v>13</v>
      </c>
      <c r="C662" s="350" t="n">
        <v>45888</v>
      </c>
      <c r="D662" s="351" t="n">
        <v>15</v>
      </c>
      <c r="E662" s="264" t="inlineStr">
        <is>
          <t xml:space="preserve">SAN JOSE </t>
        </is>
      </c>
      <c r="F662" s="264" t="inlineStr">
        <is>
          <t>ABONEROS</t>
        </is>
      </c>
      <c r="G662" s="264" t="n">
        <v>10</v>
      </c>
      <c r="H662" s="264" t="inlineStr">
        <is>
          <t xml:space="preserve">WILMER PIÑEROS </t>
        </is>
      </c>
      <c r="I662" s="264" t="inlineStr">
        <is>
          <t>KNL076</t>
        </is>
      </c>
      <c r="J662" s="265" t="n">
        <v>0.5604166666666667</v>
      </c>
      <c r="K662" s="266" t="n">
        <v>2810</v>
      </c>
      <c r="L662" s="309" t="n"/>
      <c r="M662" s="113" t="n"/>
      <c r="N662" s="113" t="n"/>
      <c r="O662" s="113" t="n"/>
      <c r="P662" s="243" t="n"/>
      <c r="Q662" s="113" t="n"/>
      <c r="R662" s="113" t="n"/>
    </row>
    <row r="663" ht="15.75" customHeight="1">
      <c r="A663" s="113" t="n"/>
      <c r="B663" s="146" t="n">
        <v>13</v>
      </c>
      <c r="C663" s="352" t="n">
        <v>45888</v>
      </c>
      <c r="D663" s="347" t="n">
        <v>16</v>
      </c>
      <c r="E663" s="282" t="inlineStr">
        <is>
          <t xml:space="preserve">SAN JOSE </t>
        </is>
      </c>
      <c r="F663" s="282" t="inlineStr">
        <is>
          <t>ABONEROS</t>
        </is>
      </c>
      <c r="G663" s="282" t="n">
        <v>10</v>
      </c>
      <c r="H663" s="264" t="inlineStr">
        <is>
          <t>EDUAN CAVIEDEZ</t>
        </is>
      </c>
      <c r="I663" s="282" t="inlineStr">
        <is>
          <t>EQY779</t>
        </is>
      </c>
      <c r="J663" s="283" t="n">
        <v>0.6020833333333333</v>
      </c>
      <c r="K663" s="284" t="n">
        <v>2376</v>
      </c>
      <c r="L663" s="353">
        <f>SUM(K648:K663)</f>
        <v/>
      </c>
      <c r="M663" s="113" t="n"/>
      <c r="N663" s="113" t="n"/>
      <c r="O663" s="113" t="n"/>
      <c r="P663" s="243" t="n"/>
      <c r="Q663" s="113" t="n"/>
      <c r="R663" s="113" t="n"/>
    </row>
    <row r="664" ht="15.75" customHeight="1">
      <c r="A664" s="113" t="n"/>
      <c r="B664" s="146" t="n">
        <v>13</v>
      </c>
      <c r="C664" s="348" t="n">
        <v>45889</v>
      </c>
      <c r="D664" s="349" t="n">
        <v>1</v>
      </c>
      <c r="E664" s="258" t="inlineStr">
        <is>
          <t>HUERTAS</t>
        </is>
      </c>
      <c r="F664" s="258" t="inlineStr">
        <is>
          <t xml:space="preserve">CARGUEROS  </t>
        </is>
      </c>
      <c r="G664" s="258" t="n">
        <v>13</v>
      </c>
      <c r="H664" s="258" t="inlineStr">
        <is>
          <t>CARLOS PORRAS</t>
        </is>
      </c>
      <c r="I664" s="258" t="inlineStr">
        <is>
          <t>TLN249</t>
        </is>
      </c>
      <c r="J664" s="259" t="n">
        <v>0.84375</v>
      </c>
      <c r="K664" s="260" t="n">
        <v>2510</v>
      </c>
      <c r="L664" s="292" t="n"/>
      <c r="M664" s="113" t="n"/>
      <c r="N664" s="113" t="n"/>
      <c r="O664" s="113" t="n"/>
      <c r="P664" s="243" t="n"/>
      <c r="Q664" s="113" t="n"/>
      <c r="R664" s="113" t="n"/>
    </row>
    <row r="665" ht="15.75" customHeight="1">
      <c r="A665" s="113" t="n"/>
      <c r="B665" s="146" t="n">
        <v>13</v>
      </c>
      <c r="C665" s="350" t="n">
        <v>45889</v>
      </c>
      <c r="D665" s="351" t="n">
        <v>2</v>
      </c>
      <c r="E665" s="264" t="inlineStr">
        <is>
          <t>HUERTAS</t>
        </is>
      </c>
      <c r="F665" s="264" t="inlineStr">
        <is>
          <t xml:space="preserve">CARGUEROS  </t>
        </is>
      </c>
      <c r="G665" s="264" t="n">
        <v>13</v>
      </c>
      <c r="H665" s="264" t="inlineStr">
        <is>
          <t>JUAN DAVID GOMEZ</t>
        </is>
      </c>
      <c r="I665" s="264" t="inlineStr">
        <is>
          <t>SMS205</t>
        </is>
      </c>
      <c r="J665" s="265" t="n">
        <v>0.875</v>
      </c>
      <c r="K665" s="266" t="n">
        <v>2700</v>
      </c>
      <c r="L665" s="308" t="n"/>
      <c r="M665" s="113" t="n"/>
      <c r="N665" s="113" t="n"/>
      <c r="O665" s="113" t="n"/>
      <c r="P665" s="243" t="n"/>
      <c r="Q665" s="113" t="n"/>
      <c r="R665" s="113" t="n"/>
    </row>
    <row r="666" ht="15.75" customHeight="1">
      <c r="A666" s="113" t="n"/>
      <c r="B666" s="146" t="n">
        <v>13</v>
      </c>
      <c r="C666" s="350" t="n">
        <v>45889</v>
      </c>
      <c r="D666" s="351" t="n">
        <v>3</v>
      </c>
      <c r="E666" s="264" t="inlineStr">
        <is>
          <t>HUERTAS</t>
        </is>
      </c>
      <c r="F666" s="264" t="inlineStr">
        <is>
          <t>CARGUEROS</t>
        </is>
      </c>
      <c r="G666" s="264" t="n">
        <v>13</v>
      </c>
      <c r="H666" s="264" t="inlineStr">
        <is>
          <t>JOSE MARTINEZ</t>
        </is>
      </c>
      <c r="I666" s="264" t="inlineStr">
        <is>
          <t>FSU406</t>
        </is>
      </c>
      <c r="J666" s="265" t="n">
        <v>0.9111111111111111</v>
      </c>
      <c r="K666" s="266" t="n">
        <v>2700</v>
      </c>
      <c r="L666" s="308" t="n"/>
      <c r="M666" s="113" t="n"/>
      <c r="N666" s="113" t="n"/>
      <c r="O666" s="113" t="n"/>
      <c r="P666" s="243" t="n"/>
      <c r="Q666" s="113" t="n"/>
      <c r="R666" s="113" t="n"/>
    </row>
    <row r="667" ht="15.75" customHeight="1">
      <c r="A667" s="113" t="n"/>
      <c r="B667" s="146" t="n">
        <v>13</v>
      </c>
      <c r="C667" s="350" t="n">
        <v>45889</v>
      </c>
      <c r="D667" s="351" t="n">
        <v>4</v>
      </c>
      <c r="E667" s="264" t="inlineStr">
        <is>
          <t>HUERTAS</t>
        </is>
      </c>
      <c r="F667" s="264" t="inlineStr">
        <is>
          <t>CARGUEROS</t>
        </is>
      </c>
      <c r="G667" s="264" t="n">
        <v>13</v>
      </c>
      <c r="H667" s="264" t="inlineStr">
        <is>
          <t>PEDRO BARRETO</t>
        </is>
      </c>
      <c r="I667" s="264" t="inlineStr">
        <is>
          <t>SQS140</t>
        </is>
      </c>
      <c r="J667" s="265" t="n">
        <v>0.9583333333333334</v>
      </c>
      <c r="K667" s="266" t="n">
        <v>2615</v>
      </c>
      <c r="L667" s="308" t="n"/>
      <c r="M667" s="113" t="n"/>
      <c r="N667" s="113" t="n"/>
      <c r="O667" s="113" t="n"/>
      <c r="P667" s="243" t="n"/>
      <c r="Q667" s="113" t="n"/>
      <c r="R667" s="113" t="n"/>
    </row>
    <row r="668" ht="15.75" customHeight="1">
      <c r="A668" s="113" t="n"/>
      <c r="B668" s="146" t="n">
        <v>13</v>
      </c>
      <c r="C668" s="350" t="n">
        <v>45889</v>
      </c>
      <c r="D668" s="351" t="n">
        <v>5</v>
      </c>
      <c r="E668" s="264" t="inlineStr">
        <is>
          <t>HUERTAS</t>
        </is>
      </c>
      <c r="F668" s="264" t="inlineStr">
        <is>
          <t>CARGUEROS</t>
        </is>
      </c>
      <c r="G668" s="264" t="n">
        <v>13</v>
      </c>
      <c r="H668" s="264" t="inlineStr">
        <is>
          <t>EDUAN CAVIEDEZ</t>
        </is>
      </c>
      <c r="I668" s="264" t="inlineStr">
        <is>
          <t>EQY779</t>
        </is>
      </c>
      <c r="J668" s="265" t="n">
        <v>0.02083333333333333</v>
      </c>
      <c r="K668" s="266" t="n">
        <v>2692</v>
      </c>
      <c r="L668" s="308" t="n"/>
      <c r="M668" s="113" t="n"/>
      <c r="N668" s="113" t="n"/>
      <c r="O668" s="113" t="n"/>
      <c r="P668" s="243" t="n"/>
      <c r="Q668" s="113" t="n"/>
      <c r="R668" s="113" t="n"/>
    </row>
    <row r="669" ht="15.75" customHeight="1">
      <c r="A669" s="113" t="n"/>
      <c r="B669" s="146" t="n">
        <v>13</v>
      </c>
      <c r="C669" s="350" t="n">
        <v>45889</v>
      </c>
      <c r="D669" s="351" t="n">
        <v>6</v>
      </c>
      <c r="E669" s="264" t="inlineStr">
        <is>
          <t>HUERTAS</t>
        </is>
      </c>
      <c r="F669" s="264" t="inlineStr">
        <is>
          <t>CARGUEROS</t>
        </is>
      </c>
      <c r="G669" s="264" t="n">
        <v>13</v>
      </c>
      <c r="H669" s="264" t="inlineStr">
        <is>
          <t>FERNANDO OYUELA</t>
        </is>
      </c>
      <c r="I669" s="264" t="inlineStr">
        <is>
          <t>EQY778</t>
        </is>
      </c>
      <c r="J669" s="265" t="n">
        <v>0.07083333333333333</v>
      </c>
      <c r="K669" s="266" t="n">
        <v>2720</v>
      </c>
      <c r="L669" s="308" t="n"/>
      <c r="M669" s="113" t="n"/>
      <c r="N669" s="113" t="n"/>
      <c r="O669" s="113" t="n"/>
      <c r="P669" s="243" t="n"/>
      <c r="Q669" s="113" t="n"/>
      <c r="R669" s="113" t="n"/>
    </row>
    <row r="670" ht="15.75" customHeight="1">
      <c r="A670" s="113" t="n"/>
      <c r="B670" s="146" t="n">
        <v>13</v>
      </c>
      <c r="C670" s="350" t="n">
        <v>45889</v>
      </c>
      <c r="D670" s="351" t="n">
        <v>7</v>
      </c>
      <c r="E670" s="264" t="inlineStr">
        <is>
          <t>HUERTAS</t>
        </is>
      </c>
      <c r="F670" s="264" t="inlineStr">
        <is>
          <t>CARGUEROS</t>
        </is>
      </c>
      <c r="G670" s="264" t="n">
        <v>13</v>
      </c>
      <c r="H670" s="264" t="inlineStr">
        <is>
          <t>MANUEL QUITIAN</t>
        </is>
      </c>
      <c r="I670" s="264" t="inlineStr">
        <is>
          <t>KUS176</t>
        </is>
      </c>
      <c r="J670" s="265" t="n">
        <v>0.1145833333333333</v>
      </c>
      <c r="K670" s="266" t="n">
        <v>2720</v>
      </c>
      <c r="L670" s="308" t="n"/>
      <c r="M670" s="113" t="n"/>
      <c r="N670" s="113" t="n"/>
      <c r="O670" s="113" t="n"/>
      <c r="P670" s="243" t="n"/>
      <c r="Q670" s="113" t="n"/>
      <c r="R670" s="113" t="n"/>
    </row>
    <row r="671" ht="15.75" customHeight="1">
      <c r="A671" s="113" t="n"/>
      <c r="B671" s="146" t="n">
        <v>13</v>
      </c>
      <c r="C671" s="350" t="n">
        <v>45889</v>
      </c>
      <c r="D671" s="351" t="n">
        <v>8</v>
      </c>
      <c r="E671" s="264" t="inlineStr">
        <is>
          <t>HUERTAS</t>
        </is>
      </c>
      <c r="F671" s="264" t="inlineStr">
        <is>
          <t>CARGUEROS</t>
        </is>
      </c>
      <c r="G671" s="264" t="n">
        <v>13</v>
      </c>
      <c r="H671" s="264" t="inlineStr">
        <is>
          <t xml:space="preserve">JOSE SOLER </t>
        </is>
      </c>
      <c r="I671" s="264" t="inlineStr">
        <is>
          <t>EQY776</t>
        </is>
      </c>
      <c r="J671" s="265" t="n">
        <v>0.1458333333333333</v>
      </c>
      <c r="K671" s="266" t="n">
        <v>2720</v>
      </c>
      <c r="L671" s="308" t="n"/>
      <c r="M671" s="113" t="n"/>
      <c r="N671" s="113" t="n"/>
      <c r="O671" s="113" t="n"/>
      <c r="P671" s="243" t="n"/>
      <c r="Q671" s="113" t="n"/>
      <c r="R671" s="113" t="n"/>
    </row>
    <row r="672" ht="15.75" customHeight="1">
      <c r="A672" s="113" t="n"/>
      <c r="B672" s="146" t="n">
        <v>13</v>
      </c>
      <c r="C672" s="350" t="n">
        <v>45889</v>
      </c>
      <c r="D672" s="351" t="n">
        <v>9</v>
      </c>
      <c r="E672" s="264" t="inlineStr">
        <is>
          <t>HUERTAS</t>
        </is>
      </c>
      <c r="F672" s="264" t="inlineStr">
        <is>
          <t>CARGUEROS</t>
        </is>
      </c>
      <c r="G672" s="264" t="n">
        <v>13</v>
      </c>
      <c r="H672" s="264" t="inlineStr">
        <is>
          <t>ALEX GOMEZ</t>
        </is>
      </c>
      <c r="I672" s="264" t="inlineStr">
        <is>
          <t>TLO881</t>
        </is>
      </c>
      <c r="J672" s="265" t="n">
        <v>0.1944444444444444</v>
      </c>
      <c r="K672" s="266" t="n">
        <v>2720</v>
      </c>
      <c r="L672" s="308" t="n"/>
      <c r="M672" s="113" t="n"/>
      <c r="N672" s="113" t="n"/>
      <c r="O672" s="113" t="n"/>
      <c r="P672" s="243" t="n"/>
      <c r="Q672" s="113" t="n"/>
      <c r="R672" s="113" t="n"/>
    </row>
    <row r="673" ht="15.75" customHeight="1">
      <c r="A673" s="113" t="n"/>
      <c r="B673" s="146" t="n">
        <v>13</v>
      </c>
      <c r="C673" s="350" t="n">
        <v>45889</v>
      </c>
      <c r="D673" s="351" t="n">
        <v>10</v>
      </c>
      <c r="E673" s="264" t="inlineStr">
        <is>
          <t>HUERTAS</t>
        </is>
      </c>
      <c r="F673" s="264" t="inlineStr">
        <is>
          <t>CARGUEROS</t>
        </is>
      </c>
      <c r="G673" s="264" t="n">
        <v>13</v>
      </c>
      <c r="H673" s="264" t="inlineStr">
        <is>
          <t xml:space="preserve">JOSE HERRERA </t>
        </is>
      </c>
      <c r="I673" s="264" t="inlineStr">
        <is>
          <t>EQY781</t>
        </is>
      </c>
      <c r="J673" s="265" t="n">
        <v>0.2465277777777778</v>
      </c>
      <c r="K673" s="266" t="n">
        <v>2590</v>
      </c>
      <c r="L673" s="308" t="n"/>
      <c r="M673" s="113" t="n"/>
      <c r="N673" s="113" t="n"/>
      <c r="O673" s="113" t="n"/>
      <c r="P673" s="243" t="n"/>
      <c r="Q673" s="113" t="n"/>
      <c r="R673" s="113" t="n"/>
    </row>
    <row r="674" ht="15.75" customHeight="1">
      <c r="A674" s="113" t="n"/>
      <c r="B674" s="146" t="n">
        <v>13</v>
      </c>
      <c r="C674" s="350" t="n">
        <v>45889</v>
      </c>
      <c r="D674" s="351" t="n">
        <v>11</v>
      </c>
      <c r="E674" s="264" t="inlineStr">
        <is>
          <t xml:space="preserve">SAN JOSE </t>
        </is>
      </c>
      <c r="F674" s="264" t="inlineStr">
        <is>
          <t>ABONEROS</t>
        </is>
      </c>
      <c r="G674" s="264" t="n">
        <v>11</v>
      </c>
      <c r="H674" s="264" t="inlineStr">
        <is>
          <t xml:space="preserve">JHON ARIAS </t>
        </is>
      </c>
      <c r="I674" s="264" t="inlineStr">
        <is>
          <t>TLN248</t>
        </is>
      </c>
      <c r="J674" s="265" t="n">
        <v>0.2708333333333333</v>
      </c>
      <c r="K674" s="266" t="n">
        <v>2916</v>
      </c>
      <c r="L674" s="308" t="n"/>
      <c r="M674" s="113" t="n"/>
      <c r="N674" s="113" t="n"/>
      <c r="O674" s="113" t="n"/>
      <c r="P674" s="243" t="n"/>
      <c r="Q674" s="113" t="n"/>
      <c r="R674" s="113" t="n"/>
    </row>
    <row r="675" ht="15.75" customHeight="1">
      <c r="A675" s="113" t="n"/>
      <c r="B675" s="146" t="n">
        <v>13</v>
      </c>
      <c r="C675" s="350" t="n">
        <v>45889</v>
      </c>
      <c r="D675" s="351" t="n">
        <v>12</v>
      </c>
      <c r="E675" s="264" t="inlineStr">
        <is>
          <t xml:space="preserve">SAN JOSE </t>
        </is>
      </c>
      <c r="F675" s="264" t="inlineStr">
        <is>
          <t>ABONEROS</t>
        </is>
      </c>
      <c r="G675" s="264" t="n">
        <v>11</v>
      </c>
      <c r="H675" s="264" t="inlineStr">
        <is>
          <t xml:space="preserve">JHON AGUIRRE </t>
        </is>
      </c>
      <c r="I675" s="264" t="inlineStr">
        <is>
          <t>EQY780</t>
        </is>
      </c>
      <c r="J675" s="265" t="n">
        <v>0.2972222222222222</v>
      </c>
      <c r="K675" s="266" t="n">
        <v>2916</v>
      </c>
      <c r="L675" s="308" t="n"/>
      <c r="M675" s="113" t="n"/>
      <c r="N675" s="113" t="n"/>
      <c r="O675" s="113" t="n"/>
      <c r="P675" s="243" t="n"/>
      <c r="Q675" s="113" t="n"/>
      <c r="R675" s="113" t="n"/>
    </row>
    <row r="676" ht="15.75" customHeight="1">
      <c r="A676" s="113" t="n"/>
      <c r="B676" s="146" t="n">
        <v>13</v>
      </c>
      <c r="C676" s="350" t="n">
        <v>45889</v>
      </c>
      <c r="D676" s="351" t="n">
        <v>13</v>
      </c>
      <c r="E676" s="264" t="inlineStr">
        <is>
          <t xml:space="preserve">SAN JOSE </t>
        </is>
      </c>
      <c r="F676" s="264" t="inlineStr">
        <is>
          <t>ABONEROS</t>
        </is>
      </c>
      <c r="G676" s="264" t="n">
        <v>11</v>
      </c>
      <c r="H676" s="264" t="inlineStr">
        <is>
          <t xml:space="preserve">JAIRO CUBILLOS </t>
        </is>
      </c>
      <c r="I676" s="264" t="inlineStr">
        <is>
          <t>TLO884</t>
        </is>
      </c>
      <c r="J676" s="265" t="n">
        <v>0.3229166666666667</v>
      </c>
      <c r="K676" s="266" t="n">
        <v>2916</v>
      </c>
      <c r="L676" s="308" t="n"/>
      <c r="M676" s="113" t="n"/>
      <c r="N676" s="113" t="n"/>
      <c r="O676" s="113" t="n"/>
      <c r="P676" s="243" t="n"/>
      <c r="Q676" s="113" t="n"/>
      <c r="R676" s="113" t="n"/>
    </row>
    <row r="677" ht="15.75" customHeight="1">
      <c r="A677" s="113" t="n"/>
      <c r="B677" s="146" t="n">
        <v>13</v>
      </c>
      <c r="C677" s="350" t="n">
        <v>45889</v>
      </c>
      <c r="D677" s="351" t="n">
        <v>14</v>
      </c>
      <c r="E677" s="264" t="inlineStr">
        <is>
          <t xml:space="preserve">SAN JOSE </t>
        </is>
      </c>
      <c r="F677" s="264" t="inlineStr">
        <is>
          <t>ABONEROS</t>
        </is>
      </c>
      <c r="G677" s="264" t="n">
        <v>11</v>
      </c>
      <c r="H677" s="264" t="inlineStr">
        <is>
          <t xml:space="preserve">YAIR RIVEROS </t>
        </is>
      </c>
      <c r="I677" s="264" t="inlineStr">
        <is>
          <t>TLN181</t>
        </is>
      </c>
      <c r="J677" s="265" t="n">
        <v>0.3548611111111111</v>
      </c>
      <c r="K677" s="266" t="n">
        <v>2800</v>
      </c>
      <c r="L677" s="308" t="n"/>
      <c r="M677" s="113" t="n"/>
      <c r="N677" s="113" t="n"/>
      <c r="O677" s="113" t="n"/>
      <c r="P677" s="243" t="n"/>
      <c r="Q677" s="113" t="n"/>
      <c r="R677" s="113" t="n"/>
    </row>
    <row r="678" ht="15.75" customHeight="1">
      <c r="A678" s="113" t="n"/>
      <c r="B678" s="146" t="n">
        <v>13</v>
      </c>
      <c r="C678" s="350" t="n">
        <v>45889</v>
      </c>
      <c r="D678" s="351" t="n">
        <v>15</v>
      </c>
      <c r="E678" s="264" t="inlineStr">
        <is>
          <t xml:space="preserve">SAN JOSE </t>
        </is>
      </c>
      <c r="F678" s="264" t="inlineStr">
        <is>
          <t>ABONEROS</t>
        </is>
      </c>
      <c r="G678" s="264" t="n">
        <v>11</v>
      </c>
      <c r="H678" s="264" t="inlineStr">
        <is>
          <t xml:space="preserve">WILMER PIÑEROS </t>
        </is>
      </c>
      <c r="I678" s="264" t="inlineStr">
        <is>
          <t>KNL076</t>
        </is>
      </c>
      <c r="J678" s="265" t="n">
        <v>0.3861111111111111</v>
      </c>
      <c r="K678" s="266" t="n">
        <v>2800</v>
      </c>
      <c r="L678" s="308" t="n"/>
      <c r="M678" s="113" t="n"/>
      <c r="N678" s="113" t="n"/>
      <c r="O678" s="113" t="n"/>
      <c r="P678" s="243" t="n"/>
      <c r="Q678" s="113" t="n"/>
      <c r="R678" s="113" t="n"/>
    </row>
    <row r="679" ht="15.75" customHeight="1">
      <c r="A679" s="113" t="n"/>
      <c r="B679" s="146" t="n">
        <v>13</v>
      </c>
      <c r="C679" s="350" t="n">
        <v>45889</v>
      </c>
      <c r="D679" s="351" t="n">
        <v>16</v>
      </c>
      <c r="E679" s="264" t="inlineStr">
        <is>
          <t xml:space="preserve">SAN JOSE </t>
        </is>
      </c>
      <c r="F679" s="264" t="inlineStr">
        <is>
          <t>ABONEROS</t>
        </is>
      </c>
      <c r="G679" s="264" t="n">
        <v>11</v>
      </c>
      <c r="H679" s="264" t="inlineStr">
        <is>
          <t>FERNANDO OYUELA</t>
        </is>
      </c>
      <c r="I679" s="264" t="inlineStr">
        <is>
          <t>EQY778</t>
        </is>
      </c>
      <c r="J679" s="265" t="n">
        <v>0.4201388888888889</v>
      </c>
      <c r="K679" s="266" t="n">
        <v>2750</v>
      </c>
      <c r="L679" s="308" t="n"/>
      <c r="M679" s="113" t="n"/>
      <c r="N679" s="113" t="n"/>
      <c r="O679" s="113" t="n"/>
      <c r="P679" s="243" t="n"/>
      <c r="Q679" s="113" t="n"/>
      <c r="R679" s="113" t="n"/>
    </row>
    <row r="680" ht="15.75" customHeight="1">
      <c r="A680" s="113" t="n"/>
      <c r="B680" s="146" t="n">
        <v>13</v>
      </c>
      <c r="C680" s="350" t="n">
        <v>45889</v>
      </c>
      <c r="D680" s="351" t="n">
        <v>17</v>
      </c>
      <c r="E680" s="264" t="inlineStr">
        <is>
          <t xml:space="preserve">SAN JOSE </t>
        </is>
      </c>
      <c r="F680" s="264" t="inlineStr">
        <is>
          <t>ABONEROS</t>
        </is>
      </c>
      <c r="G680" s="264" t="n">
        <v>11</v>
      </c>
      <c r="H680" s="264" t="inlineStr">
        <is>
          <t xml:space="preserve">JOSE SOLER </t>
        </is>
      </c>
      <c r="I680" s="264" t="inlineStr">
        <is>
          <t>EQY776</t>
        </is>
      </c>
      <c r="J680" s="265" t="n">
        <v>0.4666666666666667</v>
      </c>
      <c r="K680" s="266" t="n">
        <v>2906</v>
      </c>
      <c r="L680" s="308" t="n"/>
      <c r="M680" s="113" t="n"/>
      <c r="N680" s="113" t="n"/>
      <c r="O680" s="113" t="n"/>
      <c r="P680" s="243" t="n"/>
      <c r="Q680" s="113" t="n"/>
      <c r="R680" s="113" t="n"/>
    </row>
    <row r="681" ht="15.75" customHeight="1">
      <c r="A681" s="113" t="n"/>
      <c r="B681" s="146" t="n">
        <v>13</v>
      </c>
      <c r="C681" s="350" t="n">
        <v>45889</v>
      </c>
      <c r="D681" s="351" t="n">
        <v>18</v>
      </c>
      <c r="E681" s="264" t="inlineStr">
        <is>
          <t xml:space="preserve">SAN JOSE </t>
        </is>
      </c>
      <c r="F681" s="264" t="inlineStr">
        <is>
          <t>ABONEROS</t>
        </is>
      </c>
      <c r="G681" s="264" t="n">
        <v>11</v>
      </c>
      <c r="H681" s="264" t="inlineStr">
        <is>
          <t xml:space="preserve">JOSE HERRERA </t>
        </is>
      </c>
      <c r="I681" s="264" t="inlineStr">
        <is>
          <t>EQY781</t>
        </is>
      </c>
      <c r="J681" s="265" t="n">
        <v>0.5020833333333333</v>
      </c>
      <c r="K681" s="266" t="n">
        <v>2906</v>
      </c>
      <c r="L681" s="308" t="n"/>
      <c r="M681" s="113" t="n"/>
      <c r="N681" s="113" t="n"/>
      <c r="O681" s="113" t="n"/>
      <c r="P681" s="243" t="n"/>
      <c r="Q681" s="113" t="n"/>
      <c r="R681" s="113" t="n"/>
    </row>
    <row r="682" ht="15.75" customHeight="1">
      <c r="A682" s="113" t="n"/>
      <c r="B682" s="146" t="n">
        <v>13</v>
      </c>
      <c r="C682" s="350" t="n">
        <v>45889</v>
      </c>
      <c r="D682" s="351" t="n">
        <v>19</v>
      </c>
      <c r="E682" s="264" t="inlineStr">
        <is>
          <t xml:space="preserve">SAN JOSE </t>
        </is>
      </c>
      <c r="F682" s="264" t="inlineStr">
        <is>
          <t>ABONEROS</t>
        </is>
      </c>
      <c r="G682" s="264" t="n">
        <v>11</v>
      </c>
      <c r="H682" s="282" t="inlineStr">
        <is>
          <t>DIEGO NIÑO</t>
        </is>
      </c>
      <c r="I682" s="282" t="inlineStr">
        <is>
          <t>GZZ673</t>
        </is>
      </c>
      <c r="J682" s="283" t="n">
        <v>0.5361111111111111</v>
      </c>
      <c r="K682" s="318" t="n">
        <v>2906</v>
      </c>
      <c r="L682" s="309" t="n"/>
      <c r="M682" s="113" t="n"/>
      <c r="N682" s="113" t="n"/>
      <c r="O682" s="113" t="n"/>
      <c r="P682" s="243" t="n"/>
      <c r="Q682" s="113" t="n"/>
      <c r="R682" s="113" t="n"/>
    </row>
    <row r="683" ht="15.75" customHeight="1">
      <c r="A683" s="113" t="n"/>
      <c r="B683" s="146" t="n">
        <v>13</v>
      </c>
      <c r="C683" s="356" t="n">
        <v>45889</v>
      </c>
      <c r="D683" s="357" t="n">
        <v>20</v>
      </c>
      <c r="E683" s="271" t="inlineStr">
        <is>
          <t xml:space="preserve">SAN JOSE </t>
        </is>
      </c>
      <c r="F683" s="271" t="inlineStr">
        <is>
          <t xml:space="preserve">ABONEROS </t>
        </is>
      </c>
      <c r="G683" s="271" t="n">
        <v>11</v>
      </c>
      <c r="H683" s="271" t="inlineStr">
        <is>
          <t>JHON AGUIRRE</t>
        </is>
      </c>
      <c r="I683" s="271" t="inlineStr">
        <is>
          <t>EQY780</t>
        </is>
      </c>
      <c r="J683" s="272" t="n">
        <v>0.07847222222222222</v>
      </c>
      <c r="K683" s="273" t="n">
        <v>2954</v>
      </c>
      <c r="L683" s="378">
        <f>SUM(K664:K683)</f>
        <v/>
      </c>
      <c r="M683" s="113" t="n"/>
      <c r="N683" s="113" t="n"/>
      <c r="O683" s="113" t="n"/>
      <c r="P683" s="243" t="n"/>
      <c r="Q683" s="113" t="n"/>
      <c r="R683" s="113" t="n"/>
    </row>
    <row r="684" ht="15.75" customHeight="1">
      <c r="A684" s="113" t="n"/>
      <c r="B684" s="146" t="n">
        <v>13</v>
      </c>
      <c r="C684" s="348" t="n">
        <v>45890</v>
      </c>
      <c r="D684" s="349" t="n">
        <v>1</v>
      </c>
      <c r="E684" s="258" t="inlineStr">
        <is>
          <t>HUERTAS</t>
        </is>
      </c>
      <c r="F684" s="258" t="inlineStr">
        <is>
          <t>CARGUEROS</t>
        </is>
      </c>
      <c r="G684" s="258" t="n">
        <v>12</v>
      </c>
      <c r="H684" s="258" t="inlineStr">
        <is>
          <t>DIEGO NIÑO</t>
        </is>
      </c>
      <c r="I684" s="258" t="inlineStr">
        <is>
          <t>GZZ673</t>
        </is>
      </c>
      <c r="J684" s="259" t="n">
        <v>0.003472222222222222</v>
      </c>
      <c r="K684" s="260" t="n">
        <v>2880</v>
      </c>
      <c r="L684" s="292" t="n"/>
      <c r="M684" s="113" t="n"/>
      <c r="N684" s="113" t="n"/>
      <c r="O684" s="113" t="n"/>
      <c r="P684" s="243" t="n"/>
      <c r="Q684" s="113" t="n"/>
      <c r="R684" s="113" t="n"/>
    </row>
    <row r="685" ht="15.75" customHeight="1">
      <c r="A685" s="113" t="n"/>
      <c r="B685" s="146" t="n">
        <v>13</v>
      </c>
      <c r="C685" s="350" t="n">
        <v>45890</v>
      </c>
      <c r="D685" s="351" t="n">
        <v>2</v>
      </c>
      <c r="E685" s="264" t="inlineStr">
        <is>
          <t>HUERTAS</t>
        </is>
      </c>
      <c r="F685" s="264" t="inlineStr">
        <is>
          <t>CARGUEROS</t>
        </is>
      </c>
      <c r="G685" s="264" t="n">
        <v>12</v>
      </c>
      <c r="H685" s="264" t="inlineStr">
        <is>
          <t xml:space="preserve">WILMER PIÑEROS </t>
        </is>
      </c>
      <c r="I685" s="264" t="inlineStr">
        <is>
          <t>KLN076</t>
        </is>
      </c>
      <c r="J685" s="265" t="n">
        <v>0.02777777777777778</v>
      </c>
      <c r="K685" s="266" t="n">
        <v>2916</v>
      </c>
      <c r="L685" s="308" t="n"/>
      <c r="M685" s="113" t="n"/>
      <c r="N685" s="113" t="n"/>
      <c r="O685" s="113" t="n"/>
      <c r="P685" s="243" t="n"/>
      <c r="Q685" s="113" t="n"/>
      <c r="R685" s="113" t="n"/>
    </row>
    <row r="686" ht="15.75" customHeight="1">
      <c r="A686" s="113" t="n"/>
      <c r="B686" s="146" t="n">
        <v>13</v>
      </c>
      <c r="C686" s="350" t="n">
        <v>45890</v>
      </c>
      <c r="D686" s="351" t="n">
        <v>3</v>
      </c>
      <c r="E686" s="264" t="inlineStr">
        <is>
          <t>HUERTAS</t>
        </is>
      </c>
      <c r="F686" s="264" t="inlineStr">
        <is>
          <t>CARGUEROS</t>
        </is>
      </c>
      <c r="G686" s="264" t="n">
        <v>12</v>
      </c>
      <c r="H686" s="264" t="inlineStr">
        <is>
          <t>ALBERTO LOPEZ</t>
        </is>
      </c>
      <c r="I686" s="264" t="inlineStr">
        <is>
          <t>EQY777</t>
        </is>
      </c>
      <c r="J686" s="265" t="n">
        <v>0.06597222222222222</v>
      </c>
      <c r="K686" s="266" t="n">
        <v>2916</v>
      </c>
      <c r="L686" s="308" t="n"/>
      <c r="M686" s="113" t="n"/>
      <c r="N686" s="113" t="n"/>
      <c r="O686" s="113" t="n"/>
      <c r="P686" s="243" t="n"/>
      <c r="Q686" s="113" t="n"/>
      <c r="R686" s="113" t="n"/>
    </row>
    <row r="687" ht="15.75" customHeight="1">
      <c r="A687" s="113" t="n"/>
      <c r="B687" s="146" t="n">
        <v>13</v>
      </c>
      <c r="C687" s="350" t="n">
        <v>45890</v>
      </c>
      <c r="D687" s="351" t="n">
        <v>4</v>
      </c>
      <c r="E687" s="264" t="inlineStr">
        <is>
          <t>HUERTAS</t>
        </is>
      </c>
      <c r="F687" s="264" t="inlineStr">
        <is>
          <t>CARGUEROS</t>
        </is>
      </c>
      <c r="G687" s="264" t="n">
        <v>12</v>
      </c>
      <c r="H687" s="264" t="inlineStr">
        <is>
          <t>FABIO ALDANA</t>
        </is>
      </c>
      <c r="I687" s="264" t="inlineStr">
        <is>
          <t>TLO882</t>
        </is>
      </c>
      <c r="J687" s="265" t="n">
        <v>0.08333333333333333</v>
      </c>
      <c r="K687" s="266" t="n">
        <v>2916</v>
      </c>
      <c r="L687" s="308" t="n"/>
      <c r="M687" s="113" t="n"/>
      <c r="N687" s="113" t="n"/>
      <c r="O687" s="113" t="n"/>
      <c r="P687" s="243" t="n"/>
      <c r="Q687" s="113" t="n"/>
      <c r="R687" s="113" t="n"/>
    </row>
    <row r="688" ht="15.75" customHeight="1">
      <c r="A688" s="113" t="n"/>
      <c r="B688" s="146" t="n">
        <v>13</v>
      </c>
      <c r="C688" s="350" t="n">
        <v>45890</v>
      </c>
      <c r="D688" s="351" t="n">
        <v>5</v>
      </c>
      <c r="E688" s="264" t="inlineStr">
        <is>
          <t>HUERTAS</t>
        </is>
      </c>
      <c r="F688" s="264" t="inlineStr">
        <is>
          <t>CARGUEROS</t>
        </is>
      </c>
      <c r="G688" s="264" t="n">
        <v>12</v>
      </c>
      <c r="H688" s="264" t="inlineStr">
        <is>
          <t xml:space="preserve">DUMAR ANGARITA </t>
        </is>
      </c>
      <c r="I688" s="264" t="inlineStr">
        <is>
          <t>LQO745</t>
        </is>
      </c>
      <c r="J688" s="265" t="n">
        <v>0.1180555555555556</v>
      </c>
      <c r="K688" s="266" t="n">
        <v>2850</v>
      </c>
      <c r="L688" s="308" t="n"/>
      <c r="M688" s="113" t="n"/>
      <c r="N688" s="113" t="n"/>
      <c r="O688" s="113" t="n"/>
      <c r="P688" s="243" t="n"/>
      <c r="Q688" s="113" t="n"/>
      <c r="R688" s="113" t="n"/>
    </row>
    <row r="689" ht="15.75" customHeight="1">
      <c r="A689" s="113" t="n"/>
      <c r="B689" s="146" t="n">
        <v>13</v>
      </c>
      <c r="C689" s="350" t="n">
        <v>45890</v>
      </c>
      <c r="D689" s="351" t="n">
        <v>6</v>
      </c>
      <c r="E689" s="264" t="inlineStr">
        <is>
          <t>HUERTAS</t>
        </is>
      </c>
      <c r="F689" s="264" t="inlineStr">
        <is>
          <t>CARGUEROS</t>
        </is>
      </c>
      <c r="G689" s="264" t="n">
        <v>12</v>
      </c>
      <c r="H689" s="264" t="inlineStr">
        <is>
          <t>JHON ARIAS</t>
        </is>
      </c>
      <c r="I689" s="264" t="inlineStr">
        <is>
          <t>TLN248</t>
        </is>
      </c>
      <c r="J689" s="265" t="n">
        <v>0.1736111111111111</v>
      </c>
      <c r="K689" s="266" t="n">
        <v>3090</v>
      </c>
      <c r="L689" s="308" t="n"/>
      <c r="M689" s="113" t="n"/>
      <c r="N689" s="113" t="n"/>
      <c r="O689" s="113" t="n"/>
      <c r="P689" s="243" t="n"/>
      <c r="Q689" s="113" t="n"/>
      <c r="R689" s="113" t="n"/>
    </row>
    <row r="690" ht="15.75" customHeight="1">
      <c r="A690" s="113" t="n"/>
      <c r="B690" s="146" t="n">
        <v>13</v>
      </c>
      <c r="C690" s="350" t="n">
        <v>45890</v>
      </c>
      <c r="D690" s="351" t="n">
        <v>7</v>
      </c>
      <c r="E690" s="264" t="inlineStr">
        <is>
          <t>HUERTAS</t>
        </is>
      </c>
      <c r="F690" s="264" t="inlineStr">
        <is>
          <t>CARGUEROS</t>
        </is>
      </c>
      <c r="G690" s="264" t="n">
        <v>12</v>
      </c>
      <c r="H690" s="264" t="inlineStr">
        <is>
          <t xml:space="preserve">JOSE SOLER </t>
        </is>
      </c>
      <c r="I690" s="264" t="inlineStr">
        <is>
          <t>EQY776</t>
        </is>
      </c>
      <c r="J690" s="265" t="n">
        <v>0.2083333333333333</v>
      </c>
      <c r="K690" s="266" t="n">
        <v>3090</v>
      </c>
      <c r="L690" s="308" t="n"/>
      <c r="M690" s="113" t="n"/>
      <c r="N690" s="113" t="n"/>
      <c r="O690" s="113" t="n"/>
      <c r="P690" s="243" t="n"/>
      <c r="Q690" s="113" t="n"/>
      <c r="R690" s="113" t="n"/>
    </row>
    <row r="691" ht="15.75" customHeight="1">
      <c r="A691" s="113" t="n"/>
      <c r="B691" s="146" t="n">
        <v>13</v>
      </c>
      <c r="C691" s="350" t="n">
        <v>45890</v>
      </c>
      <c r="D691" s="351" t="n">
        <v>8</v>
      </c>
      <c r="E691" s="264" t="inlineStr">
        <is>
          <t>HUERTAS</t>
        </is>
      </c>
      <c r="F691" s="264" t="inlineStr">
        <is>
          <t xml:space="preserve">CARGUEROS  </t>
        </is>
      </c>
      <c r="G691" s="264" t="n">
        <v>12</v>
      </c>
      <c r="H691" s="264" t="inlineStr">
        <is>
          <t>FERNANDO OYUELA</t>
        </is>
      </c>
      <c r="I691" s="264" t="inlineStr">
        <is>
          <t>EQY778</t>
        </is>
      </c>
      <c r="J691" s="265" t="n">
        <v>0.2604166666666667</v>
      </c>
      <c r="K691" s="266" t="n">
        <v>3090</v>
      </c>
      <c r="L691" s="308" t="n"/>
      <c r="M691" s="113" t="n"/>
      <c r="N691" s="113" t="n"/>
      <c r="O691" s="113" t="n"/>
      <c r="P691" s="243" t="n"/>
      <c r="Q691" s="113" t="n"/>
      <c r="R691" s="113" t="n"/>
    </row>
    <row r="692" ht="15.75" customHeight="1">
      <c r="A692" s="113" t="n"/>
      <c r="B692" s="146" t="n">
        <v>13</v>
      </c>
      <c r="C692" s="350" t="n">
        <v>45890</v>
      </c>
      <c r="D692" s="351" t="n">
        <v>9</v>
      </c>
      <c r="E692" s="264" t="inlineStr">
        <is>
          <t xml:space="preserve">SAN JOSE </t>
        </is>
      </c>
      <c r="F692" s="264" t="inlineStr">
        <is>
          <t>ABONEROS</t>
        </is>
      </c>
      <c r="G692" s="264" t="n">
        <v>11</v>
      </c>
      <c r="H692" s="264" t="inlineStr">
        <is>
          <t>JHON AGUIRRE</t>
        </is>
      </c>
      <c r="I692" s="264" t="inlineStr">
        <is>
          <t>EQY780</t>
        </is>
      </c>
      <c r="J692" s="265" t="n">
        <v>0.3236111111111111</v>
      </c>
      <c r="K692" s="266" t="n">
        <v>2916</v>
      </c>
      <c r="L692" s="308" t="n"/>
      <c r="M692" s="113" t="n"/>
      <c r="N692" s="113" t="n"/>
      <c r="O692" s="113" t="n"/>
      <c r="P692" s="243" t="n"/>
      <c r="Q692" s="113" t="n"/>
      <c r="R692" s="113" t="n"/>
    </row>
    <row r="693" ht="15.75" customHeight="1">
      <c r="A693" s="113" t="n"/>
      <c r="B693" s="146" t="n">
        <v>13</v>
      </c>
      <c r="C693" s="350" t="n">
        <v>45890</v>
      </c>
      <c r="D693" s="351" t="n">
        <v>10</v>
      </c>
      <c r="E693" s="264" t="inlineStr">
        <is>
          <t xml:space="preserve">SAN JOSE </t>
        </is>
      </c>
      <c r="F693" s="264" t="inlineStr">
        <is>
          <t>ABONEROS</t>
        </is>
      </c>
      <c r="G693" s="264" t="n">
        <v>11</v>
      </c>
      <c r="H693" s="264" t="inlineStr">
        <is>
          <t>DIEGO NIÑO</t>
        </is>
      </c>
      <c r="I693" s="264" t="inlineStr">
        <is>
          <t>GZZ673</t>
        </is>
      </c>
      <c r="J693" s="265" t="n">
        <v>0.3541666666666667</v>
      </c>
      <c r="K693" s="266" t="n">
        <v>3240</v>
      </c>
      <c r="L693" s="308" t="n"/>
      <c r="M693" s="113" t="n"/>
      <c r="N693" s="113" t="n"/>
      <c r="O693" s="113" t="n"/>
      <c r="P693" s="243" t="n"/>
      <c r="Q693" s="113" t="n"/>
      <c r="R693" s="113" t="n"/>
    </row>
    <row r="694" ht="15.75" customHeight="1">
      <c r="A694" s="113" t="n"/>
      <c r="B694" s="146" t="n">
        <v>13</v>
      </c>
      <c r="C694" s="350" t="n">
        <v>45890</v>
      </c>
      <c r="D694" s="351" t="n">
        <v>11</v>
      </c>
      <c r="E694" s="264" t="inlineStr">
        <is>
          <t xml:space="preserve">SAN JOSE </t>
        </is>
      </c>
      <c r="F694" s="264" t="inlineStr">
        <is>
          <t>ABONEROS</t>
        </is>
      </c>
      <c r="G694" s="264" t="n">
        <v>11</v>
      </c>
      <c r="H694" s="264" t="inlineStr">
        <is>
          <t xml:space="preserve">FABIO ALDANA </t>
        </is>
      </c>
      <c r="I694" s="264" t="inlineStr">
        <is>
          <t>TLO882</t>
        </is>
      </c>
      <c r="J694" s="265" t="n">
        <v>0.3888888888888889</v>
      </c>
      <c r="K694" s="266" t="n">
        <v>3100</v>
      </c>
      <c r="L694" s="308" t="n"/>
      <c r="M694" s="113" t="n"/>
      <c r="N694" s="113" t="n"/>
      <c r="O694" s="113" t="n"/>
      <c r="P694" s="243" t="n"/>
      <c r="Q694" s="113" t="n"/>
      <c r="R694" s="113" t="n"/>
    </row>
    <row r="695" ht="15.75" customHeight="1">
      <c r="A695" s="113" t="n"/>
      <c r="B695" s="146" t="n">
        <v>13</v>
      </c>
      <c r="C695" s="350" t="n">
        <v>45890</v>
      </c>
      <c r="D695" s="351" t="n">
        <v>12</v>
      </c>
      <c r="E695" s="264" t="inlineStr">
        <is>
          <t xml:space="preserve">SAN JOSE </t>
        </is>
      </c>
      <c r="F695" s="264" t="inlineStr">
        <is>
          <t>ABONEROS</t>
        </is>
      </c>
      <c r="G695" s="264" t="n">
        <v>11</v>
      </c>
      <c r="H695" s="264" t="inlineStr">
        <is>
          <t>DUMAR ANGARITA</t>
        </is>
      </c>
      <c r="I695" s="264" t="inlineStr">
        <is>
          <t>LQO745</t>
        </is>
      </c>
      <c r="J695" s="265" t="n">
        <v>0.4222222222222222</v>
      </c>
      <c r="K695" s="266" t="n">
        <v>3100</v>
      </c>
      <c r="L695" s="308" t="n"/>
      <c r="M695" s="113" t="n"/>
      <c r="N695" s="113" t="n"/>
      <c r="O695" s="113" t="n"/>
      <c r="P695" s="243" t="n"/>
      <c r="Q695" s="113" t="n"/>
      <c r="R695" s="113" t="n"/>
    </row>
    <row r="696" ht="15.75" customHeight="1">
      <c r="A696" s="113" t="n"/>
      <c r="B696" s="146" t="n">
        <v>13</v>
      </c>
      <c r="C696" s="350" t="n">
        <v>45890</v>
      </c>
      <c r="D696" s="351" t="n">
        <v>13</v>
      </c>
      <c r="E696" s="264" t="inlineStr">
        <is>
          <t xml:space="preserve">SAN JOSE </t>
        </is>
      </c>
      <c r="F696" s="264" t="inlineStr">
        <is>
          <t>ABONEROS</t>
        </is>
      </c>
      <c r="G696" s="264" t="n">
        <v>11</v>
      </c>
      <c r="H696" s="264" t="inlineStr">
        <is>
          <t>JHON ARIAS</t>
        </is>
      </c>
      <c r="I696" s="264" t="inlineStr">
        <is>
          <t>TLN248</t>
        </is>
      </c>
      <c r="J696" s="265" t="n">
        <v>0.4506944444444445</v>
      </c>
      <c r="K696" s="266" t="n">
        <v>3100</v>
      </c>
      <c r="L696" s="308" t="n"/>
      <c r="M696" s="113" t="n"/>
      <c r="N696" s="113" t="n"/>
      <c r="O696" s="113" t="n"/>
      <c r="P696" s="243" t="n"/>
      <c r="Q696" s="113" t="n"/>
      <c r="R696" s="113" t="n"/>
    </row>
    <row r="697" ht="15.75" customHeight="1">
      <c r="A697" s="113" t="n"/>
      <c r="B697" s="146" t="n">
        <v>13</v>
      </c>
      <c r="C697" s="350" t="n">
        <v>45890</v>
      </c>
      <c r="D697" s="351" t="n">
        <v>14</v>
      </c>
      <c r="E697" s="264" t="inlineStr">
        <is>
          <t xml:space="preserve">SAN JOSE </t>
        </is>
      </c>
      <c r="F697" s="264" t="inlineStr">
        <is>
          <t>ABONEROS</t>
        </is>
      </c>
      <c r="G697" s="264" t="n">
        <v>11</v>
      </c>
      <c r="H697" s="264" t="inlineStr">
        <is>
          <t xml:space="preserve">JOSE SOLER </t>
        </is>
      </c>
      <c r="I697" s="264" t="inlineStr">
        <is>
          <t>EQY776</t>
        </is>
      </c>
      <c r="J697" s="265" t="n">
        <v>0.4805555555555556</v>
      </c>
      <c r="K697" s="266" t="n">
        <v>3100</v>
      </c>
      <c r="L697" s="308" t="n"/>
      <c r="M697" s="113" t="n"/>
      <c r="N697" s="113" t="n"/>
      <c r="O697" s="113" t="n"/>
      <c r="P697" s="243" t="n"/>
      <c r="Q697" s="113" t="n"/>
      <c r="R697" s="113" t="n"/>
    </row>
    <row r="698" ht="15.75" customHeight="1">
      <c r="A698" s="113" t="n"/>
      <c r="B698" s="146" t="n">
        <v>13</v>
      </c>
      <c r="C698" s="350" t="n">
        <v>45890</v>
      </c>
      <c r="D698" s="351" t="n">
        <v>15</v>
      </c>
      <c r="E698" s="264" t="inlineStr">
        <is>
          <t xml:space="preserve">SAN JOSE </t>
        </is>
      </c>
      <c r="F698" s="264" t="inlineStr">
        <is>
          <t>ABONEROS</t>
        </is>
      </c>
      <c r="G698" s="264" t="n">
        <v>11</v>
      </c>
      <c r="H698" s="264" t="inlineStr">
        <is>
          <t>FERNANDO OYUELA</t>
        </is>
      </c>
      <c r="I698" s="264" t="inlineStr">
        <is>
          <t>EQY778</t>
        </is>
      </c>
      <c r="J698" s="265" t="n">
        <v>0.01180555555555556</v>
      </c>
      <c r="K698" s="266" t="n">
        <v>3100</v>
      </c>
      <c r="L698" s="309" t="n"/>
      <c r="M698" s="113" t="n"/>
      <c r="N698" s="113" t="n"/>
      <c r="O698" s="113" t="n"/>
      <c r="P698" s="243" t="n"/>
      <c r="Q698" s="113" t="n"/>
      <c r="R698" s="113" t="n"/>
    </row>
    <row r="699" ht="15.75" customHeight="1">
      <c r="A699" s="113" t="n"/>
      <c r="B699" s="146" t="n">
        <v>13</v>
      </c>
      <c r="C699" s="356" t="n">
        <v>45890</v>
      </c>
      <c r="D699" s="357" t="n">
        <v>16</v>
      </c>
      <c r="E699" s="271" t="inlineStr">
        <is>
          <t xml:space="preserve">SAN JOSE </t>
        </is>
      </c>
      <c r="F699" s="271" t="inlineStr">
        <is>
          <t>ABONEROS</t>
        </is>
      </c>
      <c r="G699" s="271" t="n">
        <v>11</v>
      </c>
      <c r="H699" s="271" t="inlineStr">
        <is>
          <t>JOSE HERRERA</t>
        </is>
      </c>
      <c r="I699" s="271" t="inlineStr">
        <is>
          <t>EQY779</t>
        </is>
      </c>
      <c r="J699" s="272" t="n">
        <v>0.5402777777777777</v>
      </c>
      <c r="K699" s="273" t="n">
        <v>2277</v>
      </c>
      <c r="L699" s="378">
        <f>SUM(K684:K699)</f>
        <v/>
      </c>
      <c r="M699" s="113" t="n"/>
      <c r="N699" s="113" t="n"/>
      <c r="O699" s="113" t="n"/>
      <c r="P699" s="243" t="n"/>
      <c r="Q699" s="113" t="n"/>
      <c r="R699" s="113" t="n"/>
    </row>
    <row r="700" ht="15.75" customHeight="1">
      <c r="A700" s="113" t="n"/>
      <c r="B700" s="146" t="n">
        <v>13</v>
      </c>
      <c r="C700" s="348" t="n">
        <v>45891</v>
      </c>
      <c r="D700" s="349" t="n">
        <v>1</v>
      </c>
      <c r="E700" s="258" t="inlineStr">
        <is>
          <t>HUERTAS</t>
        </is>
      </c>
      <c r="F700" s="258" t="inlineStr">
        <is>
          <t>CARGUEROS</t>
        </is>
      </c>
      <c r="G700" s="258" t="n">
        <v>11</v>
      </c>
      <c r="H700" s="258" t="inlineStr">
        <is>
          <t>ALEX GOMEZ</t>
        </is>
      </c>
      <c r="I700" s="258" t="inlineStr">
        <is>
          <t>TLN881</t>
        </is>
      </c>
      <c r="J700" s="259" t="inlineStr">
        <is>
          <t>1:00AM</t>
        </is>
      </c>
      <c r="K700" s="260" t="n">
        <v>2580</v>
      </c>
      <c r="L700" s="292" t="n"/>
      <c r="M700" s="113" t="n"/>
      <c r="N700" s="113" t="n"/>
      <c r="O700" s="113" t="n"/>
      <c r="P700" s="243" t="n"/>
      <c r="Q700" s="113" t="n"/>
      <c r="R700" s="113" t="n"/>
    </row>
    <row r="701" ht="15.75" customHeight="1">
      <c r="A701" s="113" t="n"/>
      <c r="B701" s="146" t="n">
        <v>13</v>
      </c>
      <c r="C701" s="350" t="n">
        <v>45891</v>
      </c>
      <c r="D701" s="351" t="n">
        <v>2</v>
      </c>
      <c r="E701" s="264" t="inlineStr">
        <is>
          <t>HUERTAS</t>
        </is>
      </c>
      <c r="F701" s="264" t="inlineStr">
        <is>
          <t>CARGUEROS</t>
        </is>
      </c>
      <c r="G701" s="264" t="n">
        <v>11</v>
      </c>
      <c r="H701" s="264" t="inlineStr">
        <is>
          <t>HENRY ROMERO</t>
        </is>
      </c>
      <c r="I701" s="264" t="inlineStr">
        <is>
          <t>EQY781</t>
        </is>
      </c>
      <c r="J701" s="265" t="n">
        <v>0.0763888888888889</v>
      </c>
      <c r="K701" s="266" t="n">
        <v>2592</v>
      </c>
      <c r="L701" s="308" t="n"/>
      <c r="M701" s="113" t="n"/>
      <c r="N701" s="113" t="n"/>
      <c r="O701" s="113" t="n"/>
      <c r="P701" s="243" t="n"/>
      <c r="Q701" s="113" t="n"/>
      <c r="R701" s="113" t="n"/>
    </row>
    <row r="702" ht="15.75" customHeight="1">
      <c r="A702" s="113" t="n"/>
      <c r="B702" s="146" t="n">
        <v>13</v>
      </c>
      <c r="C702" s="350" t="n">
        <v>45891</v>
      </c>
      <c r="D702" s="351" t="n">
        <v>3</v>
      </c>
      <c r="E702" s="264" t="inlineStr">
        <is>
          <t>HUERTAS</t>
        </is>
      </c>
      <c r="F702" s="264" t="inlineStr">
        <is>
          <t>CARGUEROS</t>
        </is>
      </c>
      <c r="G702" s="264" t="n">
        <v>11</v>
      </c>
      <c r="H702" s="264" t="inlineStr">
        <is>
          <t>EDUAN CAVIEDEZ</t>
        </is>
      </c>
      <c r="I702" s="264" t="inlineStr">
        <is>
          <t>EQY779</t>
        </is>
      </c>
      <c r="J702" s="265" t="n">
        <v>0.1111111111111111</v>
      </c>
      <c r="K702" s="266" t="n">
        <v>2592</v>
      </c>
      <c r="L702" s="308" t="n"/>
      <c r="M702" s="113" t="n"/>
      <c r="N702" s="113" t="n"/>
      <c r="O702" s="113" t="n"/>
      <c r="P702" s="243" t="n"/>
      <c r="Q702" s="113" t="n"/>
      <c r="R702" s="113" t="n"/>
    </row>
    <row r="703" ht="15.75" customHeight="1">
      <c r="A703" s="113" t="n"/>
      <c r="B703" s="146" t="n">
        <v>13</v>
      </c>
      <c r="C703" s="350" t="n">
        <v>45891</v>
      </c>
      <c r="D703" s="351" t="n">
        <v>4</v>
      </c>
      <c r="E703" s="264" t="inlineStr">
        <is>
          <t>HUERTAS</t>
        </is>
      </c>
      <c r="F703" s="264" t="inlineStr">
        <is>
          <t>CARGUEROS</t>
        </is>
      </c>
      <c r="G703" s="264" t="n">
        <v>11</v>
      </c>
      <c r="H703" s="264" t="inlineStr">
        <is>
          <t>JAIRO CUBILLOS</t>
        </is>
      </c>
      <c r="I703" s="264" t="inlineStr">
        <is>
          <t>TLO884</t>
        </is>
      </c>
      <c r="J703" s="265" t="n">
        <v>0.15625</v>
      </c>
      <c r="K703" s="266" t="n">
        <v>2662</v>
      </c>
      <c r="L703" s="308" t="n"/>
      <c r="M703" s="113" t="n"/>
      <c r="N703" s="113" t="n"/>
      <c r="O703" s="113" t="n"/>
      <c r="P703" s="243" t="n"/>
      <c r="Q703" s="113" t="n"/>
      <c r="R703" s="113" t="n"/>
    </row>
    <row r="704" ht="15.75" customHeight="1">
      <c r="A704" s="113" t="n"/>
      <c r="B704" s="146" t="n">
        <v>13</v>
      </c>
      <c r="C704" s="350" t="n">
        <v>45891</v>
      </c>
      <c r="D704" s="351" t="n">
        <v>5</v>
      </c>
      <c r="E704" s="264" t="inlineStr">
        <is>
          <t>HUERTAS</t>
        </is>
      </c>
      <c r="F704" s="264" t="inlineStr">
        <is>
          <t>CARGUEROS</t>
        </is>
      </c>
      <c r="G704" s="264" t="n">
        <v>11</v>
      </c>
      <c r="H704" s="264" t="inlineStr">
        <is>
          <t>MANUEL QUITIAN</t>
        </is>
      </c>
      <c r="I704" s="264" t="inlineStr">
        <is>
          <t>KUS176</t>
        </is>
      </c>
      <c r="J704" s="265" t="n">
        <v>0.1909722222222222</v>
      </c>
      <c r="K704" s="266" t="n">
        <v>3282</v>
      </c>
      <c r="L704" s="308" t="n"/>
      <c r="M704" s="113" t="n"/>
      <c r="N704" s="113" t="n"/>
      <c r="O704" s="113" t="n"/>
      <c r="P704" s="243" t="n"/>
      <c r="Q704" s="113" t="n"/>
      <c r="R704" s="113" t="n"/>
    </row>
    <row r="705" ht="15.75" customHeight="1">
      <c r="A705" s="113" t="n"/>
      <c r="B705" s="146" t="n">
        <v>13</v>
      </c>
      <c r="C705" s="350" t="n">
        <v>45891</v>
      </c>
      <c r="D705" s="351" t="n">
        <v>6</v>
      </c>
      <c r="E705" s="264" t="inlineStr">
        <is>
          <t>HUERTAS</t>
        </is>
      </c>
      <c r="F705" s="264" t="inlineStr">
        <is>
          <t>CARGUEROS</t>
        </is>
      </c>
      <c r="G705" s="264" t="n">
        <v>11</v>
      </c>
      <c r="H705" s="264" t="inlineStr">
        <is>
          <t>JOSE HERRERA</t>
        </is>
      </c>
      <c r="I705" s="264" t="inlineStr">
        <is>
          <t>EQY776</t>
        </is>
      </c>
      <c r="J705" s="265" t="n">
        <v>0.25</v>
      </c>
      <c r="K705" s="266" t="n">
        <v>2316</v>
      </c>
      <c r="L705" s="308" t="n"/>
      <c r="M705" s="113" t="n"/>
      <c r="N705" s="113" t="n"/>
      <c r="O705" s="113" t="n"/>
      <c r="P705" s="243" t="n"/>
      <c r="Q705" s="113" t="n"/>
      <c r="R705" s="113" t="n"/>
    </row>
    <row r="706" ht="15.75" customHeight="1">
      <c r="A706" s="113" t="n"/>
      <c r="B706" s="146" t="n">
        <v>13</v>
      </c>
      <c r="C706" s="350" t="n">
        <v>45891</v>
      </c>
      <c r="D706" s="351" t="n">
        <v>7</v>
      </c>
      <c r="E706" s="264" t="inlineStr">
        <is>
          <t>HUERTAS</t>
        </is>
      </c>
      <c r="F706" s="264" t="inlineStr">
        <is>
          <t xml:space="preserve">CARGUEROS  </t>
        </is>
      </c>
      <c r="G706" s="264" t="n">
        <v>11</v>
      </c>
      <c r="H706" s="264" t="inlineStr">
        <is>
          <t xml:space="preserve">FABIO ALDANA </t>
        </is>
      </c>
      <c r="I706" s="264" t="inlineStr">
        <is>
          <t>TLO882</t>
        </is>
      </c>
      <c r="J706" s="265" t="n">
        <v>0.2847222222222222</v>
      </c>
      <c r="K706" s="266" t="n">
        <v>2016</v>
      </c>
      <c r="L706" s="308" t="n"/>
      <c r="M706" s="113" t="n"/>
      <c r="N706" s="113" t="n"/>
      <c r="O706" s="113" t="n"/>
      <c r="P706" s="243" t="n"/>
      <c r="Q706" s="113" t="n"/>
      <c r="R706" s="113" t="n"/>
    </row>
    <row r="707" ht="15.75" customHeight="1">
      <c r="A707" s="113" t="n"/>
      <c r="B707" s="146" t="n">
        <v>13</v>
      </c>
      <c r="C707" s="350" t="n">
        <v>45891</v>
      </c>
      <c r="D707" s="351" t="n">
        <v>8</v>
      </c>
      <c r="E707" s="264" t="inlineStr">
        <is>
          <t xml:space="preserve">SAN JOSE </t>
        </is>
      </c>
      <c r="F707" s="264" t="inlineStr">
        <is>
          <t>ABONEROS</t>
        </is>
      </c>
      <c r="G707" s="264" t="n">
        <v>10</v>
      </c>
      <c r="H707" s="264" t="inlineStr">
        <is>
          <t>YAIR RIVEROS</t>
        </is>
      </c>
      <c r="I707" s="264" t="inlineStr">
        <is>
          <t>TLN248</t>
        </is>
      </c>
      <c r="J707" s="265" t="n">
        <v>0.4006944444444445</v>
      </c>
      <c r="K707" s="266" t="n">
        <v>2867</v>
      </c>
      <c r="L707" s="308" t="n"/>
      <c r="M707" s="113" t="n"/>
      <c r="N707" s="113" t="n"/>
      <c r="O707" s="113" t="n"/>
      <c r="P707" s="243" t="n"/>
      <c r="Q707" s="113" t="n"/>
      <c r="R707" s="113" t="n"/>
    </row>
    <row r="708" ht="15.75" customHeight="1">
      <c r="A708" s="113" t="n"/>
      <c r="B708" s="146" t="n">
        <v>13</v>
      </c>
      <c r="C708" s="350" t="n">
        <v>45891</v>
      </c>
      <c r="D708" s="351" t="n">
        <v>9</v>
      </c>
      <c r="E708" s="264" t="inlineStr">
        <is>
          <t xml:space="preserve">SAN JOSE </t>
        </is>
      </c>
      <c r="F708" s="264" t="inlineStr">
        <is>
          <t>ABONEROS</t>
        </is>
      </c>
      <c r="G708" s="264" t="n">
        <v>10</v>
      </c>
      <c r="H708" s="264" t="inlineStr">
        <is>
          <t xml:space="preserve">HENRY ROMERO </t>
        </is>
      </c>
      <c r="I708" s="264" t="inlineStr">
        <is>
          <t>EQY781</t>
        </is>
      </c>
      <c r="J708" s="265" t="n">
        <v>0.43125</v>
      </c>
      <c r="K708" s="266" t="n">
        <v>2867</v>
      </c>
      <c r="L708" s="308" t="n"/>
      <c r="M708" s="113" t="n"/>
      <c r="N708" s="113" t="n"/>
      <c r="O708" s="113" t="n"/>
      <c r="P708" s="243" t="n"/>
      <c r="Q708" s="113" t="n"/>
      <c r="R708" s="113" t="n"/>
    </row>
    <row r="709" ht="15.75" customHeight="1">
      <c r="A709" s="113" t="n"/>
      <c r="B709" s="146" t="n">
        <v>13</v>
      </c>
      <c r="C709" s="350" t="n">
        <v>45891</v>
      </c>
      <c r="D709" s="351" t="n">
        <v>10</v>
      </c>
      <c r="E709" s="264" t="inlineStr">
        <is>
          <t xml:space="preserve">SAN JOSE </t>
        </is>
      </c>
      <c r="F709" s="264" t="inlineStr">
        <is>
          <t>ABONEROS</t>
        </is>
      </c>
      <c r="G709" s="264" t="n">
        <v>10</v>
      </c>
      <c r="H709" s="264" t="inlineStr">
        <is>
          <t>EDUAN CAVIEDEZ</t>
        </is>
      </c>
      <c r="I709" s="264" t="inlineStr">
        <is>
          <t>EQY779</t>
        </is>
      </c>
      <c r="J709" s="265" t="n">
        <v>0.4583333333333333</v>
      </c>
      <c r="K709" s="266" t="n">
        <v>2867</v>
      </c>
      <c r="L709" s="308" t="n"/>
      <c r="M709" s="113" t="n"/>
      <c r="N709" s="113" t="n"/>
      <c r="O709" s="113" t="n"/>
      <c r="P709" s="243" t="n"/>
      <c r="Q709" s="113" t="n"/>
      <c r="R709" s="113" t="n"/>
    </row>
    <row r="710" ht="15.75" customHeight="1">
      <c r="A710" s="113" t="n"/>
      <c r="B710" s="146" t="n">
        <v>13</v>
      </c>
      <c r="C710" s="350" t="n">
        <v>45891</v>
      </c>
      <c r="D710" s="351" t="n">
        <v>11</v>
      </c>
      <c r="E710" s="264" t="inlineStr">
        <is>
          <t xml:space="preserve">SAN JOSE </t>
        </is>
      </c>
      <c r="F710" s="264" t="inlineStr">
        <is>
          <t>ABONEROS</t>
        </is>
      </c>
      <c r="G710" s="264" t="n">
        <v>10</v>
      </c>
      <c r="H710" s="264" t="inlineStr">
        <is>
          <t>JAIRO CUBILLOS</t>
        </is>
      </c>
      <c r="I710" s="264" t="inlineStr">
        <is>
          <t>TLO884</t>
        </is>
      </c>
      <c r="J710" s="265" t="n">
        <v>0.5020833333333333</v>
      </c>
      <c r="K710" s="266" t="n">
        <v>3850</v>
      </c>
      <c r="L710" s="309" t="n"/>
      <c r="M710" s="113" t="n"/>
      <c r="N710" s="113" t="n"/>
      <c r="O710" s="113" t="n"/>
      <c r="P710" s="243" t="n"/>
      <c r="Q710" s="113" t="n"/>
      <c r="R710" s="113" t="n"/>
    </row>
    <row r="711" ht="15.75" customHeight="1">
      <c r="A711" s="113" t="n"/>
      <c r="B711" s="146" t="n">
        <v>13</v>
      </c>
      <c r="C711" s="352" t="n">
        <v>45891</v>
      </c>
      <c r="D711" s="347" t="n">
        <v>12</v>
      </c>
      <c r="E711" s="282" t="inlineStr">
        <is>
          <t xml:space="preserve">SAN JOSE </t>
        </is>
      </c>
      <c r="F711" s="282" t="inlineStr">
        <is>
          <t>ABONEROS</t>
        </is>
      </c>
      <c r="G711" s="282" t="n">
        <v>10</v>
      </c>
      <c r="H711" s="264" t="inlineStr">
        <is>
          <t>MANUEL QUITIAN</t>
        </is>
      </c>
      <c r="I711" s="282" t="inlineStr">
        <is>
          <t>KUS176</t>
        </is>
      </c>
      <c r="J711" s="283" t="n">
        <v>0.04027777777777778</v>
      </c>
      <c r="K711" s="284" t="n">
        <v>3850</v>
      </c>
      <c r="L711" s="378">
        <f>SUM(K700:K711)</f>
        <v/>
      </c>
      <c r="M711" s="113" t="n"/>
      <c r="N711" s="113" t="n"/>
      <c r="O711" s="113" t="n"/>
      <c r="P711" s="243" t="n"/>
      <c r="Q711" s="113" t="n"/>
      <c r="R711" s="113" t="n"/>
    </row>
    <row r="712" ht="15.75" customHeight="1">
      <c r="A712" s="113" t="n"/>
      <c r="B712" s="146" t="n">
        <v>13</v>
      </c>
      <c r="C712" s="348" t="n">
        <v>45892</v>
      </c>
      <c r="D712" s="349" t="n">
        <v>1</v>
      </c>
      <c r="E712" s="258" t="inlineStr">
        <is>
          <t xml:space="preserve">SAN JOSE </t>
        </is>
      </c>
      <c r="F712" s="258" t="inlineStr">
        <is>
          <t>CARGUEROS</t>
        </is>
      </c>
      <c r="G712" s="258" t="n">
        <v>10</v>
      </c>
      <c r="H712" s="258" t="inlineStr">
        <is>
          <t>EDUAN CAVIEDEZ</t>
        </is>
      </c>
      <c r="I712" s="258" t="inlineStr">
        <is>
          <t>EQY779</t>
        </is>
      </c>
      <c r="J712" s="259" t="n">
        <v>0.2048611111111111</v>
      </c>
      <c r="K712" s="338" t="n">
        <v>3850</v>
      </c>
      <c r="L712" s="339" t="n"/>
      <c r="M712" s="113" t="n"/>
      <c r="N712" s="113" t="n"/>
      <c r="O712" s="113" t="n"/>
      <c r="P712" s="243" t="n"/>
      <c r="Q712" s="113" t="n"/>
      <c r="R712" s="113" t="n"/>
    </row>
    <row r="713" ht="15.75" customHeight="1">
      <c r="A713" s="113" t="n"/>
      <c r="B713" s="146" t="n">
        <v>13</v>
      </c>
      <c r="C713" s="350" t="n">
        <v>45892</v>
      </c>
      <c r="D713" s="351" t="n">
        <v>2</v>
      </c>
      <c r="E713" s="264" t="inlineStr">
        <is>
          <t xml:space="preserve">SAN JOSE </t>
        </is>
      </c>
      <c r="F713" s="264" t="inlineStr">
        <is>
          <t>CARGUEROS</t>
        </is>
      </c>
      <c r="G713" s="264" t="n">
        <v>10</v>
      </c>
      <c r="H713" s="264" t="inlineStr">
        <is>
          <t>FABIO ALDANA</t>
        </is>
      </c>
      <c r="I713" s="264" t="inlineStr">
        <is>
          <t>TLO882</t>
        </is>
      </c>
      <c r="J713" s="265" t="n">
        <v>0.2534722222222222</v>
      </c>
      <c r="K713" s="341" t="n">
        <v>3240</v>
      </c>
      <c r="L713" s="342" t="n"/>
      <c r="M713" s="113" t="n"/>
      <c r="N713" s="113" t="n"/>
      <c r="O713" s="113" t="n"/>
      <c r="P713" s="243" t="n"/>
      <c r="Q713" s="113" t="n"/>
      <c r="R713" s="113" t="n"/>
    </row>
    <row r="714" ht="15.75" customHeight="1">
      <c r="A714" s="113" t="n"/>
      <c r="B714" s="146" t="n">
        <v>13</v>
      </c>
      <c r="C714" s="350" t="n">
        <v>45892</v>
      </c>
      <c r="D714" s="351" t="n">
        <v>3</v>
      </c>
      <c r="E714" s="264" t="inlineStr">
        <is>
          <t xml:space="preserve">SAN JOSE </t>
        </is>
      </c>
      <c r="F714" s="264" t="inlineStr">
        <is>
          <t>CARGUEROS</t>
        </is>
      </c>
      <c r="G714" s="264" t="n">
        <v>10</v>
      </c>
      <c r="H714" s="264" t="inlineStr">
        <is>
          <t>DIEGO NIÑO</t>
        </is>
      </c>
      <c r="I714" s="264" t="inlineStr">
        <is>
          <t>GZZ673</t>
        </is>
      </c>
      <c r="J714" s="265" t="n">
        <v>0.2986111111111111</v>
      </c>
      <c r="K714" s="341" t="n">
        <v>2930</v>
      </c>
      <c r="L714" s="342" t="n"/>
      <c r="M714" s="113" t="n"/>
      <c r="N714" s="113" t="n"/>
      <c r="O714" s="113" t="n"/>
      <c r="P714" s="243" t="n"/>
      <c r="Q714" s="113" t="n"/>
      <c r="R714" s="113" t="n"/>
    </row>
    <row r="715" ht="15.75" customHeight="1">
      <c r="A715" s="113" t="n"/>
      <c r="B715" s="146" t="n">
        <v>13</v>
      </c>
      <c r="C715" s="350" t="n">
        <v>45892</v>
      </c>
      <c r="D715" s="351" t="n">
        <v>4</v>
      </c>
      <c r="E715" s="264" t="inlineStr">
        <is>
          <t xml:space="preserve">SAN JOSE </t>
        </is>
      </c>
      <c r="F715" s="264" t="inlineStr">
        <is>
          <t>CARGUEROS</t>
        </is>
      </c>
      <c r="G715" s="264" t="n">
        <v>10</v>
      </c>
      <c r="H715" s="264" t="inlineStr">
        <is>
          <t>FERNANDO OYUELA</t>
        </is>
      </c>
      <c r="I715" s="264" t="inlineStr">
        <is>
          <t>EQY778</t>
        </is>
      </c>
      <c r="J715" s="265" t="n">
        <v>0.3263888888888889</v>
      </c>
      <c r="K715" s="341" t="n">
        <v>2916</v>
      </c>
      <c r="L715" s="342" t="n"/>
      <c r="M715" s="113" t="n"/>
      <c r="N715" s="113" t="n"/>
      <c r="O715" s="113" t="n"/>
      <c r="P715" s="243" t="n"/>
      <c r="Q715" s="113" t="n"/>
      <c r="R715" s="113" t="n"/>
    </row>
    <row r="716" ht="15.75" customHeight="1">
      <c r="A716" s="113" t="n"/>
      <c r="B716" s="146" t="n">
        <v>13</v>
      </c>
      <c r="C716" s="350" t="n">
        <v>45892</v>
      </c>
      <c r="D716" s="351" t="n">
        <v>5</v>
      </c>
      <c r="E716" s="264" t="inlineStr">
        <is>
          <t xml:space="preserve">SAN JOSE </t>
        </is>
      </c>
      <c r="F716" s="264" t="inlineStr">
        <is>
          <t>CARGUEROS</t>
        </is>
      </c>
      <c r="G716" s="264" t="n">
        <v>10</v>
      </c>
      <c r="H716" s="264" t="inlineStr">
        <is>
          <t xml:space="preserve">JHON ARIAS </t>
        </is>
      </c>
      <c r="I716" s="264" t="inlineStr">
        <is>
          <t>TLN248</t>
        </is>
      </c>
      <c r="J716" s="265" t="n">
        <v>0.3576388888888889</v>
      </c>
      <c r="K716" s="341" t="n">
        <v>2916</v>
      </c>
      <c r="L716" s="346" t="n"/>
      <c r="M716" s="113" t="n"/>
      <c r="N716" s="113" t="n"/>
      <c r="O716" s="113" t="n"/>
      <c r="P716" s="243" t="n"/>
      <c r="Q716" s="113" t="n"/>
      <c r="R716" s="113" t="n"/>
    </row>
    <row r="717" ht="15.75" customHeight="1">
      <c r="A717" s="113" t="n"/>
      <c r="B717" s="146" t="n">
        <v>13</v>
      </c>
      <c r="C717" s="356" t="n">
        <v>45892</v>
      </c>
      <c r="D717" s="357" t="n">
        <v>6</v>
      </c>
      <c r="E717" s="271" t="inlineStr">
        <is>
          <t xml:space="preserve">SAN JOSE </t>
        </is>
      </c>
      <c r="F717" s="271" t="inlineStr">
        <is>
          <t>CARGUEROS</t>
        </is>
      </c>
      <c r="G717" s="271" t="n">
        <v>10</v>
      </c>
      <c r="H717" s="271" t="inlineStr">
        <is>
          <t>MANUEL QUITIAN</t>
        </is>
      </c>
      <c r="I717" s="271" t="inlineStr">
        <is>
          <t>KUS176</t>
        </is>
      </c>
      <c r="J717" s="272" t="n">
        <v>0.3958333333333333</v>
      </c>
      <c r="K717" s="375" t="n">
        <v>2916</v>
      </c>
      <c r="L717" s="388">
        <f>SUM(K712:K717)</f>
        <v/>
      </c>
      <c r="M717" s="113" t="n"/>
      <c r="N717" s="113" t="n"/>
      <c r="O717" s="113" t="n"/>
      <c r="P717" s="243" t="n"/>
      <c r="Q717" s="113" t="n"/>
      <c r="R717" s="113" t="n"/>
    </row>
    <row r="718" ht="15.75" customHeight="1">
      <c r="A718" s="113" t="n"/>
      <c r="B718" s="146" t="n">
        <v>14</v>
      </c>
      <c r="C718" s="359" t="n">
        <v>45894</v>
      </c>
      <c r="D718" s="360" t="n">
        <v>1</v>
      </c>
      <c r="E718" s="293" t="inlineStr">
        <is>
          <t>HUERTAS</t>
        </is>
      </c>
      <c r="F718" s="293" t="inlineStr">
        <is>
          <t>CARGUEROS</t>
        </is>
      </c>
      <c r="G718" s="293" t="n">
        <v>11</v>
      </c>
      <c r="H718" s="293" t="inlineStr">
        <is>
          <t xml:space="preserve">MARCOS LOPEZ </t>
        </is>
      </c>
      <c r="I718" s="293" t="inlineStr">
        <is>
          <t>SQW176</t>
        </is>
      </c>
      <c r="J718" s="294" t="n">
        <v>0.2326388888888889</v>
      </c>
      <c r="K718" s="295" t="n">
        <v>1625</v>
      </c>
      <c r="L718" s="296" t="n"/>
      <c r="M718" s="113" t="n"/>
      <c r="N718" s="113" t="n"/>
      <c r="O718" s="113" t="n"/>
      <c r="P718" s="243" t="n"/>
      <c r="Q718" s="113" t="n"/>
      <c r="R718" s="113" t="n"/>
    </row>
    <row r="719" ht="15.75" customHeight="1">
      <c r="A719" s="113" t="n"/>
      <c r="B719" s="146" t="n">
        <v>14</v>
      </c>
      <c r="C719" s="350" t="n">
        <v>45894</v>
      </c>
      <c r="D719" s="351" t="n">
        <v>2</v>
      </c>
      <c r="E719" s="264" t="inlineStr">
        <is>
          <t>HUERTAS</t>
        </is>
      </c>
      <c r="F719" s="264" t="inlineStr">
        <is>
          <t xml:space="preserve">CARGUEROS  </t>
        </is>
      </c>
      <c r="G719" s="264" t="n">
        <v>11</v>
      </c>
      <c r="H719" s="264" t="n"/>
      <c r="I719" s="264" t="inlineStr">
        <is>
          <t>SQW243</t>
        </is>
      </c>
      <c r="J719" s="265" t="n">
        <v>0.7777777777777778</v>
      </c>
      <c r="K719" s="266" t="n">
        <v>1570</v>
      </c>
      <c r="L719" s="308" t="n"/>
      <c r="M719" s="113" t="n"/>
      <c r="N719" s="113" t="n"/>
      <c r="O719" s="113" t="n"/>
      <c r="P719" s="243" t="n"/>
      <c r="Q719" s="113" t="n"/>
      <c r="R719" s="113" t="n"/>
    </row>
    <row r="720" ht="15.75" customHeight="1">
      <c r="A720" s="113" t="n"/>
      <c r="B720" s="146" t="n">
        <v>14</v>
      </c>
      <c r="C720" s="350" t="n">
        <v>45894</v>
      </c>
      <c r="D720" s="351" t="n">
        <v>3</v>
      </c>
      <c r="E720" s="264" t="inlineStr">
        <is>
          <t xml:space="preserve">SAN JOSE </t>
        </is>
      </c>
      <c r="F720" s="264" t="inlineStr">
        <is>
          <t xml:space="preserve">CARGUEROS  </t>
        </is>
      </c>
      <c r="G720" s="264" t="n">
        <v>11</v>
      </c>
      <c r="H720" s="264" t="inlineStr">
        <is>
          <t xml:space="preserve">WILMER PIÑEROS </t>
        </is>
      </c>
      <c r="I720" s="264" t="inlineStr">
        <is>
          <t>QLN076</t>
        </is>
      </c>
      <c r="J720" s="265" t="n">
        <v>0.9895833333333334</v>
      </c>
      <c r="K720" s="266" t="n">
        <v>2750</v>
      </c>
      <c r="L720" s="308" t="n"/>
      <c r="M720" s="113" t="n"/>
      <c r="N720" s="113" t="n"/>
      <c r="O720" s="113" t="n"/>
      <c r="P720" s="243" t="n"/>
      <c r="Q720" s="113" t="n"/>
      <c r="R720" s="113" t="n"/>
    </row>
    <row r="721" ht="15.75" customHeight="1">
      <c r="A721" s="113" t="n"/>
      <c r="B721" s="146" t="n">
        <v>14</v>
      </c>
      <c r="C721" s="350" t="n">
        <v>45894</v>
      </c>
      <c r="D721" s="351" t="n">
        <v>4</v>
      </c>
      <c r="E721" s="264" t="inlineStr">
        <is>
          <t xml:space="preserve">SAN JOSE </t>
        </is>
      </c>
      <c r="F721" s="264" t="inlineStr">
        <is>
          <t xml:space="preserve">CARGUEROS  </t>
        </is>
      </c>
      <c r="G721" s="264" t="n">
        <v>11</v>
      </c>
      <c r="H721" s="264" t="inlineStr">
        <is>
          <t>JAIRO CUBILLOS</t>
        </is>
      </c>
      <c r="I721" s="264" t="inlineStr">
        <is>
          <t>TLO884</t>
        </is>
      </c>
      <c r="J721" s="265" t="n">
        <v>0.02083333333333333</v>
      </c>
      <c r="K721" s="266" t="n">
        <v>2750</v>
      </c>
      <c r="L721" s="308" t="n"/>
      <c r="M721" s="113" t="n"/>
      <c r="N721" s="113" t="n"/>
      <c r="O721" s="113" t="n"/>
      <c r="P721" s="243" t="n"/>
      <c r="Q721" s="113" t="n"/>
      <c r="R721" s="113" t="n"/>
    </row>
    <row r="722" ht="15.75" customHeight="1">
      <c r="A722" s="113" t="n"/>
      <c r="B722" s="146" t="n">
        <v>14</v>
      </c>
      <c r="C722" s="350" t="n">
        <v>45894</v>
      </c>
      <c r="D722" s="351" t="n">
        <v>5</v>
      </c>
      <c r="E722" s="264" t="inlineStr">
        <is>
          <t xml:space="preserve">SAN JOSE </t>
        </is>
      </c>
      <c r="F722" s="264" t="inlineStr">
        <is>
          <t xml:space="preserve">CARGUEROS  </t>
        </is>
      </c>
      <c r="G722" s="264" t="n">
        <v>11</v>
      </c>
      <c r="H722" s="264" t="inlineStr">
        <is>
          <t xml:space="preserve">ALBERTO HERRERA </t>
        </is>
      </c>
      <c r="I722" s="264" t="inlineStr">
        <is>
          <t>GZZ673</t>
        </is>
      </c>
      <c r="J722" s="265" t="n">
        <v>0.05208333333333334</v>
      </c>
      <c r="K722" s="266" t="n">
        <v>2900</v>
      </c>
      <c r="L722" s="308" t="n"/>
      <c r="M722" s="113" t="n"/>
      <c r="N722" s="113" t="n"/>
      <c r="O722" s="113" t="n"/>
      <c r="P722" s="243" t="n"/>
      <c r="Q722" s="113" t="n"/>
      <c r="R722" s="113" t="n"/>
    </row>
    <row r="723" ht="15.75" customHeight="1">
      <c r="A723" s="113" t="n"/>
      <c r="B723" s="146" t="n">
        <v>14</v>
      </c>
      <c r="C723" s="350" t="n">
        <v>45894</v>
      </c>
      <c r="D723" s="351" t="n">
        <v>6</v>
      </c>
      <c r="E723" s="264" t="inlineStr">
        <is>
          <t xml:space="preserve">SAN JOSE </t>
        </is>
      </c>
      <c r="F723" s="264" t="inlineStr">
        <is>
          <t xml:space="preserve">CARGUEROS  </t>
        </is>
      </c>
      <c r="G723" s="264" t="n">
        <v>11</v>
      </c>
      <c r="H723" s="264" t="inlineStr">
        <is>
          <t>ALBERTO LOPEZ</t>
        </is>
      </c>
      <c r="I723" s="264" t="inlineStr">
        <is>
          <t>EQY777</t>
        </is>
      </c>
      <c r="J723" s="265" t="n">
        <v>0.08680555555555555</v>
      </c>
      <c r="K723" s="266" t="n">
        <v>2900</v>
      </c>
      <c r="L723" s="308" t="n"/>
      <c r="M723" s="113" t="n"/>
      <c r="N723" s="113" t="n"/>
      <c r="O723" s="113" t="n"/>
      <c r="P723" s="243" t="n"/>
      <c r="Q723" s="113" t="n"/>
      <c r="R723" s="113" t="n"/>
    </row>
    <row r="724" ht="15.75" customHeight="1">
      <c r="A724" s="113" t="n"/>
      <c r="B724" s="146" t="n">
        <v>14</v>
      </c>
      <c r="C724" s="350" t="n">
        <v>45894</v>
      </c>
      <c r="D724" s="351" t="n">
        <v>7</v>
      </c>
      <c r="E724" s="264" t="inlineStr">
        <is>
          <t xml:space="preserve">SAN JOSE </t>
        </is>
      </c>
      <c r="F724" s="264" t="inlineStr">
        <is>
          <t xml:space="preserve">CARGUEROS  </t>
        </is>
      </c>
      <c r="G724" s="264" t="n">
        <v>11</v>
      </c>
      <c r="H724" s="264" t="inlineStr">
        <is>
          <t>JHON ARIAS</t>
        </is>
      </c>
      <c r="I724" s="264" t="inlineStr">
        <is>
          <t>TLN248</t>
        </is>
      </c>
      <c r="J724" s="265" t="n">
        <v>0.1354166666666667</v>
      </c>
      <c r="K724" s="266" t="n">
        <v>2900</v>
      </c>
      <c r="L724" s="308" t="n"/>
      <c r="M724" s="113" t="n"/>
      <c r="N724" s="113" t="n"/>
      <c r="O724" s="113" t="n"/>
      <c r="P724" s="243" t="n"/>
      <c r="Q724" s="113" t="n"/>
      <c r="R724" s="113" t="n"/>
    </row>
    <row r="725" ht="15.75" customHeight="1">
      <c r="A725" s="113" t="n"/>
      <c r="B725" s="146" t="n">
        <v>14</v>
      </c>
      <c r="C725" s="350" t="n">
        <v>45894</v>
      </c>
      <c r="D725" s="351" t="n">
        <v>8</v>
      </c>
      <c r="E725" s="264" t="inlineStr">
        <is>
          <t xml:space="preserve">SAN JOSE </t>
        </is>
      </c>
      <c r="F725" s="264" t="inlineStr">
        <is>
          <t xml:space="preserve">CARGUEROS  </t>
        </is>
      </c>
      <c r="G725" s="264" t="n">
        <v>11</v>
      </c>
      <c r="H725" s="264" t="inlineStr">
        <is>
          <t>DUMAR ANGARITA</t>
        </is>
      </c>
      <c r="I725" s="264" t="inlineStr">
        <is>
          <t>LQO745</t>
        </is>
      </c>
      <c r="J725" s="265" t="n">
        <v>0.1805555555555556</v>
      </c>
      <c r="K725" s="266" t="n">
        <v>3795</v>
      </c>
      <c r="L725" s="308" t="n"/>
      <c r="M725" s="113" t="n"/>
      <c r="N725" s="113" t="n"/>
      <c r="O725" s="113" t="n"/>
      <c r="P725" s="243" t="n"/>
      <c r="Q725" s="113" t="n"/>
      <c r="R725" s="113" t="n"/>
    </row>
    <row r="726" ht="15.75" customHeight="1">
      <c r="A726" s="113" t="n"/>
      <c r="B726" s="146" t="n">
        <v>14</v>
      </c>
      <c r="C726" s="350" t="n">
        <v>45894</v>
      </c>
      <c r="D726" s="351" t="n">
        <v>9</v>
      </c>
      <c r="E726" s="264" t="inlineStr">
        <is>
          <t xml:space="preserve">SAN JOSE </t>
        </is>
      </c>
      <c r="F726" s="264" t="inlineStr">
        <is>
          <t xml:space="preserve">CARGUEROS  </t>
        </is>
      </c>
      <c r="G726" s="264" t="n">
        <v>11</v>
      </c>
      <c r="H726" s="264" t="inlineStr">
        <is>
          <t>ALEX GOMEZ</t>
        </is>
      </c>
      <c r="I726" s="264" t="inlineStr">
        <is>
          <t>TLN181</t>
        </is>
      </c>
      <c r="J726" s="265" t="n">
        <v>0.2222222222222222</v>
      </c>
      <c r="K726" s="266" t="n">
        <v>3795</v>
      </c>
      <c r="L726" s="308" t="n"/>
      <c r="M726" s="113" t="n"/>
      <c r="N726" s="113" t="n"/>
      <c r="O726" s="113" t="n"/>
      <c r="P726" s="243" t="n"/>
      <c r="Q726" s="113" t="n"/>
      <c r="R726" s="113" t="n"/>
    </row>
    <row r="727" ht="15.75" customHeight="1">
      <c r="A727" s="113" t="n"/>
      <c r="B727" s="146" t="n">
        <v>14</v>
      </c>
      <c r="C727" s="350" t="n">
        <v>45894</v>
      </c>
      <c r="D727" s="351" t="n">
        <v>10</v>
      </c>
      <c r="E727" s="264" t="inlineStr">
        <is>
          <t xml:space="preserve">SAN JOSE </t>
        </is>
      </c>
      <c r="F727" s="264" t="inlineStr">
        <is>
          <t xml:space="preserve">CARGUEROS  </t>
        </is>
      </c>
      <c r="G727" s="264" t="n">
        <v>11</v>
      </c>
      <c r="H727" s="264" t="inlineStr">
        <is>
          <t xml:space="preserve">WILMER PIÑEROS </t>
        </is>
      </c>
      <c r="I727" s="264" t="inlineStr">
        <is>
          <t>KNL076</t>
        </is>
      </c>
      <c r="J727" s="265" t="n">
        <v>0.28125</v>
      </c>
      <c r="K727" s="266" t="n">
        <v>3650</v>
      </c>
      <c r="L727" s="308" t="n"/>
      <c r="M727" s="113" t="n"/>
      <c r="N727" s="113" t="n"/>
      <c r="O727" s="113" t="n"/>
      <c r="P727" s="243" t="n"/>
      <c r="Q727" s="113" t="n"/>
      <c r="R727" s="113" t="n"/>
    </row>
    <row r="728" ht="15.75" customHeight="1">
      <c r="A728" s="113" t="n"/>
      <c r="B728" s="146" t="n">
        <v>14</v>
      </c>
      <c r="C728" s="350" t="n">
        <v>45894</v>
      </c>
      <c r="D728" s="351" t="n">
        <v>11</v>
      </c>
      <c r="E728" s="264" t="inlineStr">
        <is>
          <t xml:space="preserve">SAN JOSE </t>
        </is>
      </c>
      <c r="F728" s="264" t="inlineStr">
        <is>
          <t xml:space="preserve">CARGUEROS  </t>
        </is>
      </c>
      <c r="G728" s="264" t="n">
        <v>11</v>
      </c>
      <c r="H728" s="264" t="inlineStr">
        <is>
          <t>JAIRO CUBILLOS</t>
        </is>
      </c>
      <c r="I728" s="264" t="inlineStr">
        <is>
          <t>TLO884</t>
        </is>
      </c>
      <c r="J728" s="265" t="n">
        <v>0.3194444444444444</v>
      </c>
      <c r="K728" s="266" t="n">
        <v>3650</v>
      </c>
      <c r="L728" s="378">
        <f>SUM(K718:K728)</f>
        <v/>
      </c>
      <c r="M728" s="113" t="n"/>
      <c r="N728" s="113" t="n"/>
      <c r="O728" s="113" t="n"/>
      <c r="P728" s="243" t="n"/>
      <c r="Q728" s="113" t="n"/>
      <c r="R728" s="113" t="n"/>
    </row>
    <row r="729" ht="15.75" customHeight="1">
      <c r="A729" s="113" t="n"/>
      <c r="B729" s="146" t="n">
        <v>14</v>
      </c>
      <c r="C729" s="348" t="n">
        <v>45895</v>
      </c>
      <c r="D729" s="349" t="n">
        <v>1</v>
      </c>
      <c r="E729" s="258" t="inlineStr">
        <is>
          <t xml:space="preserve">SAN JOSE </t>
        </is>
      </c>
      <c r="F729" s="258" t="inlineStr">
        <is>
          <t>CARGUEROS</t>
        </is>
      </c>
      <c r="G729" s="258" t="n">
        <v>11</v>
      </c>
      <c r="H729" s="258" t="inlineStr">
        <is>
          <t>EDUAN CAVIEDEZ</t>
        </is>
      </c>
      <c r="I729" s="258" t="inlineStr">
        <is>
          <t>EQY779</t>
        </is>
      </c>
      <c r="J729" s="259" t="n">
        <v>0.08680555555555555</v>
      </c>
      <c r="K729" s="260" t="n">
        <v>3564</v>
      </c>
      <c r="L729" s="292" t="n"/>
      <c r="M729" s="113" t="n"/>
      <c r="N729" s="113" t="n"/>
      <c r="O729" s="113" t="n"/>
      <c r="P729" s="243" t="n"/>
      <c r="Q729" s="113" t="n"/>
      <c r="R729" s="113" t="n"/>
    </row>
    <row r="730" ht="15.75" customHeight="1">
      <c r="A730" s="113" t="n"/>
      <c r="B730" s="146" t="n">
        <v>14</v>
      </c>
      <c r="C730" s="350" t="n">
        <v>45895</v>
      </c>
      <c r="D730" s="351" t="n">
        <v>2</v>
      </c>
      <c r="E730" s="264" t="inlineStr">
        <is>
          <t xml:space="preserve">SAN JOSE </t>
        </is>
      </c>
      <c r="F730" s="264" t="inlineStr">
        <is>
          <t>CARGUEROS</t>
        </is>
      </c>
      <c r="G730" s="264" t="n">
        <v>11</v>
      </c>
      <c r="H730" s="264" t="inlineStr">
        <is>
          <t>MANUEL QUITIAN</t>
        </is>
      </c>
      <c r="I730" s="264" t="inlineStr">
        <is>
          <t>KUS176</t>
        </is>
      </c>
      <c r="J730" s="265" t="n">
        <v>0.125</v>
      </c>
      <c r="K730" s="266" t="n">
        <v>3616</v>
      </c>
      <c r="L730" s="308" t="n"/>
      <c r="M730" s="113" t="n"/>
      <c r="N730" s="113" t="n"/>
      <c r="O730" s="113" t="n"/>
      <c r="P730" s="243" t="n"/>
      <c r="Q730" s="113" t="n"/>
      <c r="R730" s="113" t="n"/>
    </row>
    <row r="731" ht="15.75" customHeight="1">
      <c r="A731" s="113" t="n"/>
      <c r="B731" s="146" t="n">
        <v>14</v>
      </c>
      <c r="C731" s="350" t="n">
        <v>45895</v>
      </c>
      <c r="D731" s="351" t="n">
        <v>3</v>
      </c>
      <c r="E731" s="264" t="inlineStr">
        <is>
          <t xml:space="preserve">SAN JOSE </t>
        </is>
      </c>
      <c r="F731" s="264" t="inlineStr">
        <is>
          <t>CARGUEROS</t>
        </is>
      </c>
      <c r="G731" s="264" t="n">
        <v>11</v>
      </c>
      <c r="H731" s="264" t="inlineStr">
        <is>
          <t>JHON AGUIRRE</t>
        </is>
      </c>
      <c r="I731" s="264" t="inlineStr">
        <is>
          <t>EQY780</t>
        </is>
      </c>
      <c r="J731" s="265" t="n">
        <v>0.1631944444444444</v>
      </c>
      <c r="K731" s="266" t="n">
        <v>3564</v>
      </c>
      <c r="L731" s="308" t="n"/>
      <c r="M731" s="113" t="n"/>
      <c r="N731" s="113" t="n"/>
      <c r="O731" s="113" t="n"/>
      <c r="P731" s="243" t="n"/>
      <c r="Q731" s="113" t="n"/>
      <c r="R731" s="113" t="n"/>
    </row>
    <row r="732" ht="15.75" customHeight="1">
      <c r="A732" s="113" t="n"/>
      <c r="B732" s="146" t="n">
        <v>14</v>
      </c>
      <c r="C732" s="350" t="n">
        <v>45895</v>
      </c>
      <c r="D732" s="351" t="n">
        <v>4</v>
      </c>
      <c r="E732" s="264" t="inlineStr">
        <is>
          <t xml:space="preserve">SAN JOSE </t>
        </is>
      </c>
      <c r="F732" s="264" t="inlineStr">
        <is>
          <t>CARGUEROS</t>
        </is>
      </c>
      <c r="G732" s="264" t="n">
        <v>11</v>
      </c>
      <c r="H732" s="264" t="inlineStr">
        <is>
          <t xml:space="preserve">JOSE SOLER </t>
        </is>
      </c>
      <c r="I732" s="264" t="inlineStr">
        <is>
          <t>EQY776</t>
        </is>
      </c>
      <c r="J732" s="265" t="n">
        <v>0.2180555555555556</v>
      </c>
      <c r="K732" s="266" t="n">
        <v>3150</v>
      </c>
      <c r="L732" s="309" t="n"/>
      <c r="M732" s="113" t="n"/>
      <c r="N732" s="113" t="n"/>
      <c r="O732" s="113" t="n"/>
      <c r="P732" s="243" t="n"/>
      <c r="Q732" s="113" t="n"/>
      <c r="R732" s="113" t="n"/>
    </row>
    <row r="733" ht="15.75" customHeight="1">
      <c r="A733" s="113" t="n"/>
      <c r="B733" s="146" t="n">
        <v>14</v>
      </c>
      <c r="C733" s="356" t="n">
        <v>45895</v>
      </c>
      <c r="D733" s="357" t="n">
        <v>5</v>
      </c>
      <c r="E733" s="271" t="inlineStr">
        <is>
          <t xml:space="preserve">SAN JOSE </t>
        </is>
      </c>
      <c r="F733" s="271" t="inlineStr">
        <is>
          <t>CARGUEROS</t>
        </is>
      </c>
      <c r="G733" s="271" t="n">
        <v>11</v>
      </c>
      <c r="H733" s="271" t="inlineStr">
        <is>
          <t>DIEGO NIÑO</t>
        </is>
      </c>
      <c r="I733" s="271" t="inlineStr">
        <is>
          <t>GZZ673</t>
        </is>
      </c>
      <c r="J733" s="272" t="n">
        <v>0.25</v>
      </c>
      <c r="K733" s="273" t="n">
        <v>3150</v>
      </c>
      <c r="L733" s="378">
        <f>SUM(K729:K733)</f>
        <v/>
      </c>
      <c r="M733" s="113" t="n"/>
      <c r="N733" s="113" t="n"/>
      <c r="O733" s="113" t="n"/>
      <c r="P733" s="243" t="n"/>
      <c r="Q733" s="113" t="n"/>
      <c r="R733" s="113" t="n"/>
    </row>
    <row r="734" ht="15.75" customHeight="1">
      <c r="A734" s="113" t="n"/>
      <c r="B734" s="146" t="n">
        <v>14</v>
      </c>
      <c r="C734" s="348" t="n">
        <v>45896</v>
      </c>
      <c r="D734" s="349" t="n">
        <v>1</v>
      </c>
      <c r="E734" s="258" t="inlineStr">
        <is>
          <t xml:space="preserve">SAN JOSE </t>
        </is>
      </c>
      <c r="F734" s="258" t="inlineStr">
        <is>
          <t xml:space="preserve">CARGUEROS </t>
        </is>
      </c>
      <c r="G734" s="258" t="n">
        <v>10</v>
      </c>
      <c r="H734" s="258" t="inlineStr">
        <is>
          <t>DUMAR ANGARITA</t>
        </is>
      </c>
      <c r="I734" s="258" t="inlineStr">
        <is>
          <t>LQO745</t>
        </is>
      </c>
      <c r="J734" s="259" t="n">
        <v>0.05138888888888889</v>
      </c>
      <c r="K734" s="260" t="n">
        <v>3773</v>
      </c>
      <c r="L734" s="292" t="n"/>
      <c r="M734" s="113" t="n"/>
      <c r="N734" s="113" t="n"/>
      <c r="O734" s="113" t="n"/>
      <c r="P734" s="243" t="n"/>
      <c r="Q734" s="113" t="n"/>
      <c r="R734" s="113" t="n"/>
    </row>
    <row r="735" ht="15.75" customHeight="1">
      <c r="A735" s="113" t="n"/>
      <c r="B735" s="146" t="n">
        <v>14</v>
      </c>
      <c r="C735" s="350" t="n">
        <v>45896</v>
      </c>
      <c r="D735" s="351" t="n">
        <v>2</v>
      </c>
      <c r="E735" s="264" t="inlineStr">
        <is>
          <t xml:space="preserve">SAN JOSE </t>
        </is>
      </c>
      <c r="F735" s="264" t="inlineStr">
        <is>
          <t>CARGUEROS</t>
        </is>
      </c>
      <c r="G735" s="264" t="n">
        <v>10</v>
      </c>
      <c r="H735" s="264" t="inlineStr">
        <is>
          <t>FABIO ALDANA</t>
        </is>
      </c>
      <c r="I735" s="264" t="inlineStr">
        <is>
          <t>TLO882</t>
        </is>
      </c>
      <c r="J735" s="265" t="n">
        <v>0.2604166666666667</v>
      </c>
      <c r="K735" s="266" t="n">
        <v>3773</v>
      </c>
      <c r="L735" s="308" t="n"/>
      <c r="M735" s="113" t="n"/>
      <c r="N735" s="113" t="n"/>
      <c r="O735" s="113" t="n"/>
      <c r="P735" s="243" t="n"/>
      <c r="Q735" s="113" t="n"/>
      <c r="R735" s="113" t="n"/>
    </row>
    <row r="736" ht="15.75" customHeight="1">
      <c r="A736" s="113" t="n"/>
      <c r="B736" s="146" t="n">
        <v>14</v>
      </c>
      <c r="C736" s="350" t="n">
        <v>45896</v>
      </c>
      <c r="D736" s="351" t="n">
        <v>3</v>
      </c>
      <c r="E736" s="264" t="inlineStr">
        <is>
          <t xml:space="preserve">SAN JOSE </t>
        </is>
      </c>
      <c r="F736" s="264" t="inlineStr">
        <is>
          <t>CARGUEROS</t>
        </is>
      </c>
      <c r="G736" s="264" t="n">
        <v>10</v>
      </c>
      <c r="H736" s="264" t="inlineStr">
        <is>
          <t>ALEX GOMEZ</t>
        </is>
      </c>
      <c r="I736" s="264" t="inlineStr">
        <is>
          <t>TLN181</t>
        </is>
      </c>
      <c r="J736" s="265" t="n">
        <v>0.1493055555555556</v>
      </c>
      <c r="K736" s="266" t="n">
        <v>3400</v>
      </c>
      <c r="L736" s="308" t="n"/>
      <c r="M736" s="113" t="n"/>
      <c r="N736" s="113" t="n"/>
      <c r="O736" s="113" t="n"/>
      <c r="P736" s="243" t="n"/>
      <c r="Q736" s="113" t="n"/>
      <c r="R736" s="113" t="n"/>
    </row>
    <row r="737" ht="15.75" customHeight="1">
      <c r="A737" s="113" t="n"/>
      <c r="B737" s="146" t="n">
        <v>14</v>
      </c>
      <c r="C737" s="350" t="n">
        <v>45896</v>
      </c>
      <c r="D737" s="351" t="n">
        <v>4</v>
      </c>
      <c r="E737" s="264" t="inlineStr">
        <is>
          <t xml:space="preserve">SAN JOSE </t>
        </is>
      </c>
      <c r="F737" s="264" t="inlineStr">
        <is>
          <t>CARGUEROS</t>
        </is>
      </c>
      <c r="G737" s="264" t="n">
        <v>10</v>
      </c>
      <c r="H737" s="264" t="inlineStr">
        <is>
          <t>EDWIN ROJAS</t>
        </is>
      </c>
      <c r="I737" s="264" t="inlineStr">
        <is>
          <t>EQY780</t>
        </is>
      </c>
      <c r="J737" s="265" t="n">
        <v>0.2</v>
      </c>
      <c r="K737" s="266" t="n">
        <v>2550</v>
      </c>
      <c r="L737" s="308" t="n"/>
      <c r="M737" s="113" t="n"/>
      <c r="N737" s="113" t="n"/>
      <c r="O737" s="113" t="n"/>
      <c r="P737" s="243" t="n"/>
      <c r="Q737" s="113" t="n"/>
      <c r="R737" s="113" t="n"/>
    </row>
    <row r="738" ht="15.75" customHeight="1">
      <c r="A738" s="113" t="n"/>
      <c r="B738" s="146" t="n">
        <v>14</v>
      </c>
      <c r="C738" s="350" t="n">
        <v>45896</v>
      </c>
      <c r="D738" s="351" t="n">
        <v>5</v>
      </c>
      <c r="E738" s="264" t="inlineStr">
        <is>
          <t xml:space="preserve">SAN JOSE </t>
        </is>
      </c>
      <c r="F738" s="264" t="inlineStr">
        <is>
          <t>CARGUEROS</t>
        </is>
      </c>
      <c r="G738" s="264" t="n">
        <v>10</v>
      </c>
      <c r="H738" s="264" t="inlineStr">
        <is>
          <t xml:space="preserve">WILMER PIÑEROS </t>
        </is>
      </c>
      <c r="I738" s="264" t="inlineStr">
        <is>
          <t>KLN076</t>
        </is>
      </c>
      <c r="J738" s="265" t="n">
        <v>0.2361111111111111</v>
      </c>
      <c r="K738" s="266" t="n">
        <v>2550</v>
      </c>
      <c r="L738" s="308" t="n"/>
      <c r="M738" s="113" t="n"/>
      <c r="N738" s="113" t="n"/>
      <c r="O738" s="113" t="n"/>
      <c r="P738" s="243" t="n"/>
      <c r="Q738" s="113" t="n"/>
      <c r="R738" s="113" t="n"/>
    </row>
    <row r="739" ht="15.75" customHeight="1">
      <c r="A739" s="113" t="n"/>
      <c r="B739" s="146" t="n">
        <v>14</v>
      </c>
      <c r="C739" s="350" t="n">
        <v>45896</v>
      </c>
      <c r="D739" s="351" t="n">
        <v>6</v>
      </c>
      <c r="E739" s="264" t="inlineStr">
        <is>
          <t xml:space="preserve">SAN JOSE </t>
        </is>
      </c>
      <c r="F739" s="264" t="inlineStr">
        <is>
          <t>CARGUEROS</t>
        </is>
      </c>
      <c r="G739" s="264" t="n">
        <v>10</v>
      </c>
      <c r="H739" s="264" t="inlineStr">
        <is>
          <t>DUMAR ANGARITA</t>
        </is>
      </c>
      <c r="I739" s="264" t="inlineStr">
        <is>
          <t>LQO745</t>
        </is>
      </c>
      <c r="J739" s="265" t="n">
        <v>0.2916666666666667</v>
      </c>
      <c r="K739" s="266" t="n">
        <v>3043</v>
      </c>
      <c r="L739" s="309" t="n"/>
      <c r="M739" s="113" t="n"/>
      <c r="N739" s="113" t="n"/>
      <c r="O739" s="113" t="n"/>
      <c r="P739" s="243" t="n"/>
      <c r="Q739" s="113" t="n"/>
      <c r="R739" s="113" t="n"/>
    </row>
    <row r="740" ht="15.75" customHeight="1">
      <c r="A740" s="113" t="n"/>
      <c r="B740" s="146" t="n">
        <v>14</v>
      </c>
      <c r="C740" s="352" t="n">
        <v>45896</v>
      </c>
      <c r="D740" s="347" t="n">
        <v>7</v>
      </c>
      <c r="E740" s="282" t="inlineStr">
        <is>
          <t xml:space="preserve">SAN JOSE </t>
        </is>
      </c>
      <c r="F740" s="282" t="inlineStr">
        <is>
          <t xml:space="preserve">CARGUEROS </t>
        </is>
      </c>
      <c r="G740" s="282" t="n">
        <v>10</v>
      </c>
      <c r="H740" s="282" t="inlineStr">
        <is>
          <t>FABIO ALDANA</t>
        </is>
      </c>
      <c r="I740" s="282" t="inlineStr">
        <is>
          <t>TLO882</t>
        </is>
      </c>
      <c r="J740" s="283" t="n">
        <v>0.3368055555555556</v>
      </c>
      <c r="K740" s="284" t="n">
        <v>3043</v>
      </c>
      <c r="L740" s="353">
        <f>SUM(K734:K740)</f>
        <v/>
      </c>
      <c r="M740" s="113" t="n"/>
      <c r="N740" s="113" t="n"/>
      <c r="O740" s="113" t="n"/>
      <c r="P740" s="243" t="n"/>
      <c r="Q740" s="113" t="n"/>
      <c r="R740" s="113" t="n"/>
    </row>
    <row r="741" ht="15.75" customHeight="1">
      <c r="A741" s="113" t="n"/>
      <c r="B741" s="146" t="n">
        <v>14</v>
      </c>
      <c r="C741" s="348" t="n">
        <v>45897</v>
      </c>
      <c r="D741" s="349" t="n">
        <v>1</v>
      </c>
      <c r="E741" s="258" t="inlineStr">
        <is>
          <t xml:space="preserve">HUERTAS </t>
        </is>
      </c>
      <c r="F741" s="258" t="inlineStr">
        <is>
          <t>ABONEROS</t>
        </is>
      </c>
      <c r="G741" s="258" t="n">
        <v>10</v>
      </c>
      <c r="H741" s="258" t="inlineStr">
        <is>
          <t>JORGE HERNANDEZ</t>
        </is>
      </c>
      <c r="I741" s="258" t="inlineStr">
        <is>
          <t>SQW243</t>
        </is>
      </c>
      <c r="J741" s="259" t="n">
        <v>0.7659722222222223</v>
      </c>
      <c r="K741" s="260" t="n">
        <v>2925</v>
      </c>
      <c r="L741" s="292" t="n"/>
      <c r="M741" s="113" t="n"/>
      <c r="N741" s="113" t="n"/>
      <c r="O741" s="113" t="n"/>
      <c r="P741" s="243" t="n"/>
      <c r="Q741" s="113" t="n"/>
      <c r="R741" s="113" t="n"/>
    </row>
    <row r="742" ht="15.75" customHeight="1">
      <c r="A742" s="113" t="n"/>
      <c r="B742" s="146" t="n">
        <v>14</v>
      </c>
      <c r="C742" s="350" t="n">
        <v>45897</v>
      </c>
      <c r="D742" s="351" t="n">
        <v>2</v>
      </c>
      <c r="E742" s="264" t="inlineStr">
        <is>
          <t xml:space="preserve">HUERTAS </t>
        </is>
      </c>
      <c r="F742" s="264" t="inlineStr">
        <is>
          <t>ABONEROS</t>
        </is>
      </c>
      <c r="G742" s="264" t="n">
        <v>10</v>
      </c>
      <c r="H742" s="264" t="inlineStr">
        <is>
          <t xml:space="preserve">MARCOS OSPINA </t>
        </is>
      </c>
      <c r="I742" s="264" t="inlineStr">
        <is>
          <t>EQY688</t>
        </is>
      </c>
      <c r="J742" s="265" t="n">
        <v>0.8104166666666667</v>
      </c>
      <c r="K742" s="266" t="n">
        <v>3000</v>
      </c>
      <c r="L742" s="308" t="n"/>
      <c r="M742" s="113" t="n"/>
      <c r="N742" s="113" t="n"/>
      <c r="O742" s="113" t="n"/>
      <c r="P742" s="243" t="n"/>
      <c r="Q742" s="113" t="n"/>
      <c r="R742" s="113" t="n"/>
    </row>
    <row r="743" ht="15.75" customHeight="1">
      <c r="A743" s="113" t="n"/>
      <c r="B743" s="146" t="n">
        <v>14</v>
      </c>
      <c r="C743" s="350" t="n">
        <v>45897</v>
      </c>
      <c r="D743" s="351" t="n">
        <v>3</v>
      </c>
      <c r="E743" s="264" t="inlineStr">
        <is>
          <t xml:space="preserve">SAN JOSE </t>
        </is>
      </c>
      <c r="F743" s="264" t="inlineStr">
        <is>
          <t>CARGUEROS</t>
        </is>
      </c>
      <c r="G743" s="264" t="n">
        <v>11</v>
      </c>
      <c r="H743" s="264" t="inlineStr">
        <is>
          <t>EDWIN ROJAS</t>
        </is>
      </c>
      <c r="I743" s="264" t="inlineStr">
        <is>
          <t>EQY780</t>
        </is>
      </c>
      <c r="J743" s="265" t="n">
        <v>0.9930555555555556</v>
      </c>
      <c r="K743" s="266" t="n">
        <v>3750</v>
      </c>
      <c r="L743" s="308" t="n"/>
      <c r="M743" s="113" t="n"/>
      <c r="N743" s="113" t="n"/>
      <c r="O743" s="113" t="n"/>
      <c r="P743" s="243" t="n"/>
      <c r="Q743" s="113" t="n"/>
      <c r="R743" s="113" t="n"/>
    </row>
    <row r="744" ht="15.75" customHeight="1">
      <c r="A744" s="113" t="n"/>
      <c r="B744" s="146" t="n">
        <v>14</v>
      </c>
      <c r="C744" s="350" t="n">
        <v>45897</v>
      </c>
      <c r="D744" s="351" t="n">
        <v>4</v>
      </c>
      <c r="E744" s="264" t="inlineStr">
        <is>
          <t xml:space="preserve">SAN JOSE </t>
        </is>
      </c>
      <c r="F744" s="264" t="inlineStr">
        <is>
          <t>CARGUEROS</t>
        </is>
      </c>
      <c r="G744" s="264" t="n">
        <v>11</v>
      </c>
      <c r="H744" s="264" t="inlineStr">
        <is>
          <t>FABIO ALDANA</t>
        </is>
      </c>
      <c r="I744" s="264" t="inlineStr">
        <is>
          <t>TLO882</t>
        </is>
      </c>
      <c r="J744" s="265" t="n">
        <v>0.02777777777777778</v>
      </c>
      <c r="K744" s="266" t="n">
        <v>3750</v>
      </c>
      <c r="L744" s="308" t="n"/>
      <c r="M744" s="113" t="n"/>
      <c r="N744" s="113" t="n"/>
      <c r="O744" s="113" t="n"/>
      <c r="P744" s="243" t="n"/>
      <c r="Q744" s="113" t="n"/>
      <c r="R744" s="113" t="n"/>
    </row>
    <row r="745" ht="15.75" customHeight="1">
      <c r="A745" s="113" t="n"/>
      <c r="B745" s="146" t="n">
        <v>14</v>
      </c>
      <c r="C745" s="350" t="n">
        <v>45897</v>
      </c>
      <c r="D745" s="351" t="n">
        <v>5</v>
      </c>
      <c r="E745" s="264" t="inlineStr">
        <is>
          <t xml:space="preserve">SAN JOSE </t>
        </is>
      </c>
      <c r="F745" s="264" t="inlineStr">
        <is>
          <t>CARGUEROS</t>
        </is>
      </c>
      <c r="G745" s="264" t="n">
        <v>11</v>
      </c>
      <c r="H745" s="264" t="inlineStr">
        <is>
          <t>JOSE HERRERA</t>
        </is>
      </c>
      <c r="I745" s="264" t="inlineStr">
        <is>
          <t>EQY7780</t>
        </is>
      </c>
      <c r="J745" s="265" t="n">
        <v>0.0625</v>
      </c>
      <c r="K745" s="266" t="n">
        <v>3650</v>
      </c>
      <c r="L745" s="308" t="n"/>
      <c r="M745" s="113" t="n"/>
      <c r="N745" s="113" t="n"/>
      <c r="O745" s="113" t="n"/>
      <c r="P745" s="243" t="n"/>
      <c r="Q745" s="113" t="n"/>
      <c r="R745" s="113" t="n"/>
    </row>
    <row r="746" ht="15.75" customHeight="1">
      <c r="A746" s="113" t="n"/>
      <c r="B746" s="146" t="n">
        <v>14</v>
      </c>
      <c r="C746" s="350" t="n">
        <v>45897</v>
      </c>
      <c r="D746" s="351" t="n">
        <v>6</v>
      </c>
      <c r="E746" s="264" t="inlineStr">
        <is>
          <t xml:space="preserve">SAN JOSE </t>
        </is>
      </c>
      <c r="F746" s="264" t="inlineStr">
        <is>
          <t>CARGUEROS</t>
        </is>
      </c>
      <c r="G746" s="264" t="n">
        <v>11</v>
      </c>
      <c r="H746" s="264" t="inlineStr">
        <is>
          <t>MANUEL QUITIAN</t>
        </is>
      </c>
      <c r="I746" s="264" t="inlineStr">
        <is>
          <t>KUS176</t>
        </is>
      </c>
      <c r="J746" s="265" t="n">
        <v>0.09861111111111111</v>
      </c>
      <c r="K746" s="266" t="n">
        <v>3650</v>
      </c>
      <c r="L746" s="308" t="n"/>
      <c r="M746" s="113" t="n"/>
      <c r="N746" s="113" t="n"/>
      <c r="O746" s="113" t="n"/>
      <c r="P746" s="243" t="n"/>
      <c r="Q746" s="113" t="n"/>
      <c r="R746" s="113" t="n"/>
    </row>
    <row r="747" ht="15.75" customHeight="1">
      <c r="A747" s="113" t="n"/>
      <c r="B747" s="146" t="n">
        <v>14</v>
      </c>
      <c r="C747" s="350" t="n">
        <v>45897</v>
      </c>
      <c r="D747" s="351" t="n">
        <v>7</v>
      </c>
      <c r="E747" s="264" t="inlineStr">
        <is>
          <t xml:space="preserve">SAN JOSE </t>
        </is>
      </c>
      <c r="F747" s="264" t="inlineStr">
        <is>
          <t>CARGUEROS</t>
        </is>
      </c>
      <c r="G747" s="264" t="n">
        <v>11</v>
      </c>
      <c r="H747" s="264" t="inlineStr">
        <is>
          <t>JAIRO CUBILLOS</t>
        </is>
      </c>
      <c r="I747" s="264" t="inlineStr">
        <is>
          <t>TLO884</t>
        </is>
      </c>
      <c r="J747" s="265" t="n">
        <v>0.1333333333333333</v>
      </c>
      <c r="K747" s="266" t="n">
        <v>3754</v>
      </c>
      <c r="L747" s="308" t="n"/>
      <c r="M747" s="113" t="n"/>
      <c r="N747" s="113" t="n"/>
      <c r="O747" s="113" t="n"/>
      <c r="P747" s="243" t="n"/>
      <c r="Q747" s="113" t="n"/>
      <c r="R747" s="113" t="n"/>
    </row>
    <row r="748" ht="15.75" customHeight="1">
      <c r="A748" s="113" t="n"/>
      <c r="B748" s="146" t="n">
        <v>14</v>
      </c>
      <c r="C748" s="350" t="n">
        <v>45897</v>
      </c>
      <c r="D748" s="351" t="n">
        <v>8</v>
      </c>
      <c r="E748" s="264" t="inlineStr">
        <is>
          <t xml:space="preserve">SAN JOSE </t>
        </is>
      </c>
      <c r="F748" s="264" t="inlineStr">
        <is>
          <t>CARGUEROS</t>
        </is>
      </c>
      <c r="G748" s="264" t="n">
        <v>11</v>
      </c>
      <c r="H748" s="264" t="inlineStr">
        <is>
          <t>ALBERTO LOPEZ</t>
        </is>
      </c>
      <c r="I748" s="264" t="inlineStr">
        <is>
          <t>EQY777</t>
        </is>
      </c>
      <c r="J748" s="265" t="n">
        <v>0.1666666666666667</v>
      </c>
      <c r="K748" s="266" t="n">
        <v>3754</v>
      </c>
      <c r="L748" s="308" t="n"/>
      <c r="M748" s="113" t="n"/>
      <c r="N748" s="113" t="n"/>
      <c r="O748" s="113" t="n"/>
      <c r="P748" s="243" t="n"/>
      <c r="Q748" s="113" t="n"/>
      <c r="R748" s="113" t="n"/>
    </row>
    <row r="749" ht="15.75" customHeight="1">
      <c r="A749" s="113" t="n"/>
      <c r="B749" s="146" t="n">
        <v>14</v>
      </c>
      <c r="C749" s="350" t="n">
        <v>45898</v>
      </c>
      <c r="D749" s="351" t="n">
        <v>9</v>
      </c>
      <c r="E749" s="264" t="inlineStr">
        <is>
          <t xml:space="preserve">SAN JOSE </t>
        </is>
      </c>
      <c r="F749" s="264" t="inlineStr">
        <is>
          <t>CARGUEROS</t>
        </is>
      </c>
      <c r="G749" s="264" t="n">
        <v>11</v>
      </c>
      <c r="H749" s="264" t="inlineStr">
        <is>
          <t>HENRY ROMERO</t>
        </is>
      </c>
      <c r="I749" s="264" t="inlineStr">
        <is>
          <t>EQY781</t>
        </is>
      </c>
      <c r="J749" s="265" t="n">
        <v>0.21875</v>
      </c>
      <c r="K749" s="266" t="n">
        <v>2933</v>
      </c>
      <c r="L749" s="308" t="n"/>
      <c r="M749" s="113" t="n"/>
      <c r="N749" s="113" t="n"/>
      <c r="O749" s="113" t="n"/>
      <c r="P749" s="243" t="n"/>
      <c r="Q749" s="113" t="n"/>
      <c r="R749" s="113" t="n"/>
    </row>
    <row r="750" ht="15.75" customHeight="1">
      <c r="A750" s="113" t="n"/>
      <c r="B750" s="146" t="n">
        <v>14</v>
      </c>
      <c r="C750" s="350" t="n">
        <v>45897</v>
      </c>
      <c r="D750" s="351" t="n">
        <v>10</v>
      </c>
      <c r="E750" s="264" t="inlineStr">
        <is>
          <t xml:space="preserve">SAN JOSE </t>
        </is>
      </c>
      <c r="F750" s="264" t="inlineStr">
        <is>
          <t>CARGUEROS</t>
        </is>
      </c>
      <c r="G750" s="264" t="n">
        <v>11</v>
      </c>
      <c r="H750" s="264" t="inlineStr">
        <is>
          <t>JHON ARIAS</t>
        </is>
      </c>
      <c r="I750" s="264" t="inlineStr">
        <is>
          <t>TLN248</t>
        </is>
      </c>
      <c r="J750" s="265" t="n">
        <v>0.25</v>
      </c>
      <c r="K750" s="266" t="n">
        <v>2933</v>
      </c>
      <c r="L750" s="309" t="n"/>
      <c r="M750" s="113" t="n"/>
      <c r="N750" s="113" t="n"/>
      <c r="O750" s="113" t="n"/>
      <c r="P750" s="243" t="n"/>
      <c r="Q750" s="113" t="n"/>
      <c r="R750" s="113" t="n"/>
    </row>
    <row r="751" ht="15.75" customHeight="1">
      <c r="A751" s="113" t="n"/>
      <c r="B751" s="146" t="n">
        <v>14</v>
      </c>
      <c r="C751" s="356" t="n">
        <v>45897</v>
      </c>
      <c r="D751" s="357" t="n">
        <v>11</v>
      </c>
      <c r="E751" s="271" t="inlineStr">
        <is>
          <t xml:space="preserve">SAN JOSE </t>
        </is>
      </c>
      <c r="F751" s="271" t="inlineStr">
        <is>
          <t xml:space="preserve">CARGUEROS  </t>
        </is>
      </c>
      <c r="G751" s="271" t="n">
        <v>11</v>
      </c>
      <c r="H751" s="271" t="inlineStr">
        <is>
          <t>EDWIN ROJAS</t>
        </is>
      </c>
      <c r="I751" s="271" t="inlineStr">
        <is>
          <t>EQY780</t>
        </is>
      </c>
      <c r="J751" s="272" t="n">
        <v>0.2986111111111111</v>
      </c>
      <c r="K751" s="273" t="n">
        <v>2933</v>
      </c>
      <c r="L751" s="378">
        <f>SUM(K741:K751)</f>
        <v/>
      </c>
      <c r="M751" s="113" t="n"/>
      <c r="N751" s="113" t="n"/>
      <c r="O751" s="113" t="n"/>
      <c r="P751" s="243" t="n"/>
      <c r="Q751" s="113" t="n"/>
      <c r="R751" s="113" t="n"/>
    </row>
    <row r="752" ht="15.75" customHeight="1">
      <c r="A752" s="113" t="n"/>
      <c r="B752" s="146" t="n">
        <v>14</v>
      </c>
      <c r="C752" s="350" t="n">
        <v>45898</v>
      </c>
      <c r="D752" s="351" t="n">
        <v>1</v>
      </c>
      <c r="E752" s="264" t="inlineStr">
        <is>
          <t xml:space="preserve">SAN JOSE </t>
        </is>
      </c>
      <c r="F752" s="264" t="inlineStr">
        <is>
          <t>CARGUEROS</t>
        </is>
      </c>
      <c r="G752" s="264" t="n">
        <v>11</v>
      </c>
      <c r="H752" s="264" t="inlineStr">
        <is>
          <t>JOSE HERRERA</t>
        </is>
      </c>
      <c r="I752" s="264" t="inlineStr">
        <is>
          <t>EQY778</t>
        </is>
      </c>
      <c r="J752" s="265" t="n">
        <v>0.03472222222222222</v>
      </c>
      <c r="K752" s="266" t="n">
        <v>3500</v>
      </c>
      <c r="L752" s="308" t="n"/>
      <c r="M752" s="113" t="n"/>
      <c r="N752" s="113" t="n"/>
      <c r="O752" s="113" t="n"/>
      <c r="P752" s="243" t="n"/>
      <c r="Q752" s="113" t="n"/>
      <c r="R752" s="113" t="n"/>
    </row>
    <row r="753" ht="15.75" customHeight="1">
      <c r="A753" s="113" t="n"/>
      <c r="B753" s="146" t="n">
        <v>14</v>
      </c>
      <c r="C753" s="350" t="n">
        <v>45898</v>
      </c>
      <c r="D753" s="351" t="n">
        <v>2</v>
      </c>
      <c r="E753" s="264" t="inlineStr">
        <is>
          <t xml:space="preserve">SAN JOSE </t>
        </is>
      </c>
      <c r="F753" s="264" t="inlineStr">
        <is>
          <t>CARGUEROS</t>
        </is>
      </c>
      <c r="G753" s="264" t="n">
        <v>11</v>
      </c>
      <c r="H753" s="264" t="inlineStr">
        <is>
          <t>EDUAN CAVIEDEZ</t>
        </is>
      </c>
      <c r="I753" s="264" t="inlineStr">
        <is>
          <t>EQY779</t>
        </is>
      </c>
      <c r="J753" s="265" t="n">
        <v>0.06527777777777778</v>
      </c>
      <c r="K753" s="266" t="n">
        <v>3500</v>
      </c>
      <c r="L753" s="308" t="n"/>
      <c r="M753" s="113" t="n"/>
      <c r="N753" s="113" t="n"/>
      <c r="O753" s="113" t="n"/>
      <c r="P753" s="243" t="n"/>
      <c r="Q753" s="113" t="n"/>
      <c r="R753" s="113" t="n"/>
    </row>
    <row r="754" ht="15.75" customHeight="1">
      <c r="A754" s="113" t="n"/>
      <c r="B754" s="146" t="n">
        <v>14</v>
      </c>
      <c r="C754" s="350" t="n">
        <v>45898</v>
      </c>
      <c r="D754" s="351" t="n">
        <v>3</v>
      </c>
      <c r="E754" s="264" t="inlineStr">
        <is>
          <t xml:space="preserve">SAN JOSE </t>
        </is>
      </c>
      <c r="F754" s="264" t="inlineStr">
        <is>
          <t>CARGUEROS</t>
        </is>
      </c>
      <c r="G754" s="264" t="n">
        <v>11</v>
      </c>
      <c r="H754" s="264" t="inlineStr">
        <is>
          <t>MANUEL QUITIAN</t>
        </is>
      </c>
      <c r="I754" s="264" t="inlineStr">
        <is>
          <t>KUS176</t>
        </is>
      </c>
      <c r="J754" s="265" t="n">
        <v>0.1284722222222222</v>
      </c>
      <c r="K754" s="266" t="n">
        <v>3665</v>
      </c>
      <c r="L754" s="308" t="n"/>
      <c r="M754" s="113" t="n"/>
      <c r="N754" s="113" t="n"/>
      <c r="O754" s="113" t="n"/>
      <c r="P754" s="243" t="n"/>
      <c r="Q754" s="113" t="n"/>
      <c r="R754" s="113" t="n"/>
    </row>
    <row r="755" ht="15.75" customHeight="1">
      <c r="A755" s="113" t="n"/>
      <c r="B755" s="146" t="n">
        <v>14</v>
      </c>
      <c r="C755" s="350" t="n">
        <v>45898</v>
      </c>
      <c r="D755" s="351" t="n">
        <v>4</v>
      </c>
      <c r="E755" s="264" t="inlineStr">
        <is>
          <t xml:space="preserve">SAN JOSE </t>
        </is>
      </c>
      <c r="F755" s="264" t="inlineStr">
        <is>
          <t>CARGUEROS</t>
        </is>
      </c>
      <c r="G755" s="264" t="n">
        <v>11</v>
      </c>
      <c r="H755" s="264" t="inlineStr">
        <is>
          <t>JAIRO CUBILLOS</t>
        </is>
      </c>
      <c r="I755" s="264" t="inlineStr">
        <is>
          <t>TLO884</t>
        </is>
      </c>
      <c r="J755" s="265" t="n">
        <v>0.15625</v>
      </c>
      <c r="K755" s="266" t="n">
        <v>3675</v>
      </c>
      <c r="L755" s="308" t="n"/>
      <c r="M755" s="113" t="n"/>
      <c r="N755" s="113" t="n"/>
      <c r="O755" s="113" t="n"/>
      <c r="P755" s="243" t="n"/>
      <c r="Q755" s="113" t="n"/>
      <c r="R755" s="113" t="n"/>
    </row>
    <row r="756" ht="15.75" customHeight="1">
      <c r="A756" s="113" t="n"/>
      <c r="B756" s="146" t="n">
        <v>14</v>
      </c>
      <c r="C756" s="350" t="n">
        <v>45898</v>
      </c>
      <c r="D756" s="351" t="n">
        <v>5</v>
      </c>
      <c r="E756" s="264" t="inlineStr">
        <is>
          <t xml:space="preserve">SAN JOSE </t>
        </is>
      </c>
      <c r="F756" s="264" t="inlineStr">
        <is>
          <t>CARGUEROS</t>
        </is>
      </c>
      <c r="G756" s="264" t="n">
        <v>11</v>
      </c>
      <c r="H756" s="264" t="inlineStr">
        <is>
          <t>YAIR RIVEROS</t>
        </is>
      </c>
      <c r="I756" s="264" t="inlineStr">
        <is>
          <t>TLN181</t>
        </is>
      </c>
      <c r="J756" s="265" t="n">
        <v>0.1944444444444444</v>
      </c>
      <c r="K756" s="266" t="n">
        <v>2880</v>
      </c>
      <c r="L756" s="308" t="n"/>
      <c r="M756" s="113" t="n"/>
      <c r="N756" s="113" t="n"/>
      <c r="O756" s="113" t="n"/>
      <c r="P756" s="243" t="n"/>
      <c r="Q756" s="113" t="n"/>
      <c r="R756" s="113" t="n"/>
    </row>
    <row r="757" ht="15.75" customHeight="1">
      <c r="A757" s="113" t="n"/>
      <c r="B757" s="146" t="n">
        <v>14</v>
      </c>
      <c r="C757" s="350" t="n">
        <v>45898</v>
      </c>
      <c r="D757" s="351" t="n">
        <v>6</v>
      </c>
      <c r="E757" s="264" t="inlineStr">
        <is>
          <t xml:space="preserve">SAN JOSE </t>
        </is>
      </c>
      <c r="F757" s="264" t="inlineStr">
        <is>
          <t>CARGUEROS</t>
        </is>
      </c>
      <c r="G757" s="264" t="n">
        <v>11</v>
      </c>
      <c r="H757" s="264" t="inlineStr">
        <is>
          <t>EDWIN ROJAS</t>
        </is>
      </c>
      <c r="I757" s="264" t="inlineStr">
        <is>
          <t>EQY780</t>
        </is>
      </c>
      <c r="J757" s="265" t="n">
        <v>0.2256944444444444</v>
      </c>
      <c r="K757" s="266" t="n">
        <v>2592</v>
      </c>
      <c r="L757" s="308" t="n"/>
      <c r="M757" s="113" t="n"/>
      <c r="N757" s="113" t="n"/>
      <c r="O757" s="113" t="n"/>
      <c r="P757" s="243" t="n"/>
      <c r="Q757" s="113" t="n"/>
      <c r="R757" s="113" t="n"/>
    </row>
    <row r="758" ht="15.75" customHeight="1">
      <c r="A758" s="113" t="n"/>
      <c r="B758" s="146" t="n">
        <v>14</v>
      </c>
      <c r="C758" s="350" t="n">
        <v>45898</v>
      </c>
      <c r="D758" s="351" t="n">
        <v>7</v>
      </c>
      <c r="E758" s="264" t="inlineStr">
        <is>
          <t xml:space="preserve">SAN JOSE </t>
        </is>
      </c>
      <c r="F758" s="264" t="inlineStr">
        <is>
          <t>CARGUEROS</t>
        </is>
      </c>
      <c r="G758" s="264" t="n">
        <v>11</v>
      </c>
      <c r="H758" s="264" t="inlineStr">
        <is>
          <t xml:space="preserve">HENRY ROMERO </t>
        </is>
      </c>
      <c r="I758" s="264" t="inlineStr">
        <is>
          <t>EQY782</t>
        </is>
      </c>
      <c r="J758" s="265" t="n">
        <v>0.2604166666666667</v>
      </c>
      <c r="K758" s="266" t="n">
        <v>2592</v>
      </c>
      <c r="L758" s="308" t="n"/>
      <c r="M758" s="113" t="n"/>
      <c r="N758" s="113" t="n"/>
      <c r="O758" s="113" t="n"/>
      <c r="P758" s="243" t="n"/>
      <c r="Q758" s="113" t="n"/>
      <c r="R758" s="113" t="n"/>
    </row>
    <row r="759" ht="15.75" customHeight="1">
      <c r="A759" s="113" t="n"/>
      <c r="B759" s="146" t="n">
        <v>14</v>
      </c>
      <c r="C759" s="350" t="n">
        <v>45898</v>
      </c>
      <c r="D759" s="351" t="n">
        <v>8</v>
      </c>
      <c r="E759" s="264" t="inlineStr">
        <is>
          <t xml:space="preserve">SAN JOSE </t>
        </is>
      </c>
      <c r="F759" s="264" t="inlineStr">
        <is>
          <t>CARGUEROS</t>
        </is>
      </c>
      <c r="G759" s="264" t="n">
        <v>11</v>
      </c>
      <c r="H759" s="264" t="inlineStr">
        <is>
          <t xml:space="preserve">WILMER PIÑEROS </t>
        </is>
      </c>
      <c r="I759" s="264" t="inlineStr">
        <is>
          <t>KLN076</t>
        </is>
      </c>
      <c r="J759" s="265" t="n">
        <v>0.2951388888888889</v>
      </c>
      <c r="K759" s="266" t="n">
        <v>2592</v>
      </c>
      <c r="L759" s="309" t="n"/>
      <c r="M759" s="113" t="n"/>
      <c r="N759" s="113" t="n"/>
      <c r="O759" s="113" t="n"/>
      <c r="P759" s="243" t="n"/>
      <c r="Q759" s="113" t="n"/>
      <c r="R759" s="113" t="n"/>
    </row>
    <row r="760" ht="15.75" customHeight="1">
      <c r="A760" s="113" t="n"/>
      <c r="B760" s="146" t="n">
        <v>14</v>
      </c>
      <c r="C760" s="356" t="n">
        <v>45898</v>
      </c>
      <c r="D760" s="357" t="n">
        <v>9</v>
      </c>
      <c r="E760" s="271" t="inlineStr">
        <is>
          <t xml:space="preserve">SAN JOSE </t>
        </is>
      </c>
      <c r="F760" s="271" t="inlineStr">
        <is>
          <t>CARGUEROS</t>
        </is>
      </c>
      <c r="G760" s="271" t="n">
        <v>11</v>
      </c>
      <c r="H760" s="271" t="inlineStr">
        <is>
          <t>JOSE HERRERA</t>
        </is>
      </c>
      <c r="I760" s="271" t="inlineStr">
        <is>
          <t>EQY778</t>
        </is>
      </c>
      <c r="J760" s="272" t="n">
        <v>0.3368055555555556</v>
      </c>
      <c r="K760" s="273" t="n">
        <v>2880</v>
      </c>
      <c r="L760" s="378">
        <f>SUM(K752:K760)</f>
        <v/>
      </c>
      <c r="M760" s="113" t="n"/>
      <c r="N760" s="113" t="n"/>
      <c r="O760" s="113" t="n"/>
      <c r="P760" s="243" t="n"/>
      <c r="Q760" s="113" t="n"/>
      <c r="R760" s="113" t="n"/>
    </row>
    <row r="761" ht="15.75" customHeight="1">
      <c r="A761" s="113" t="n"/>
      <c r="B761" s="146" t="n">
        <v>15</v>
      </c>
      <c r="C761" s="348" t="n">
        <v>45899</v>
      </c>
      <c r="D761" s="349" t="n">
        <v>1</v>
      </c>
      <c r="E761" s="258" t="inlineStr">
        <is>
          <t>BOGOTA</t>
        </is>
      </c>
      <c r="F761" s="258" t="inlineStr">
        <is>
          <t>CARGUEROS</t>
        </is>
      </c>
      <c r="G761" s="258" t="n">
        <v>11</v>
      </c>
      <c r="H761" s="258" t="inlineStr">
        <is>
          <t>MARCO DAZA</t>
        </is>
      </c>
      <c r="I761" s="258" t="inlineStr">
        <is>
          <t>ERL409</t>
        </is>
      </c>
      <c r="J761" s="259" t="n">
        <v>0.8923611111111112</v>
      </c>
      <c r="K761" s="260" t="n">
        <v>2930</v>
      </c>
      <c r="L761" s="292" t="n"/>
      <c r="M761" s="113" t="n"/>
      <c r="N761" s="113" t="n"/>
      <c r="O761" s="113" t="n"/>
      <c r="P761" s="243" t="n"/>
      <c r="Q761" s="113" t="n"/>
      <c r="R761" s="113" t="n"/>
    </row>
    <row r="762" ht="15.75" customHeight="1">
      <c r="A762" s="113" t="n"/>
      <c r="B762" s="146" t="n">
        <v>15</v>
      </c>
      <c r="C762" s="350" t="n">
        <v>45899</v>
      </c>
      <c r="D762" s="351" t="n">
        <v>2</v>
      </c>
      <c r="E762" s="264" t="inlineStr">
        <is>
          <t>BOGOTA</t>
        </is>
      </c>
      <c r="F762" s="264" t="inlineStr">
        <is>
          <t>CARGUEROS</t>
        </is>
      </c>
      <c r="G762" s="264" t="n">
        <v>11</v>
      </c>
      <c r="H762" s="264" t="inlineStr">
        <is>
          <t>EDISON DUQUE</t>
        </is>
      </c>
      <c r="I762" s="264" t="inlineStr">
        <is>
          <t>SMS209</t>
        </is>
      </c>
      <c r="J762" s="265" t="n">
        <v>0.9270833333333334</v>
      </c>
      <c r="K762" s="266" t="n">
        <v>2930</v>
      </c>
      <c r="L762" s="308" t="n"/>
      <c r="M762" s="113" t="n"/>
      <c r="N762" s="113" t="n"/>
      <c r="O762" s="113" t="n"/>
      <c r="P762" s="243" t="n"/>
      <c r="Q762" s="113" t="n"/>
      <c r="R762" s="113" t="n"/>
    </row>
    <row r="763" ht="15.75" customHeight="1">
      <c r="A763" s="113" t="n"/>
      <c r="B763" s="146" t="n">
        <v>15</v>
      </c>
      <c r="C763" s="350" t="n">
        <v>45899</v>
      </c>
      <c r="D763" s="351" t="n">
        <v>3</v>
      </c>
      <c r="E763" s="264" t="inlineStr">
        <is>
          <t>HUERTAS</t>
        </is>
      </c>
      <c r="F763" s="264" t="inlineStr">
        <is>
          <t>CARGUEROS</t>
        </is>
      </c>
      <c r="G763" s="264" t="n">
        <v>11</v>
      </c>
      <c r="H763" s="264" t="inlineStr">
        <is>
          <t xml:space="preserve">JOSE SOLER </t>
        </is>
      </c>
      <c r="I763" s="264" t="inlineStr">
        <is>
          <t>EQY776</t>
        </is>
      </c>
      <c r="J763" s="265" t="n">
        <v>0.9722222222222222</v>
      </c>
      <c r="K763" s="266" t="n">
        <v>3240</v>
      </c>
      <c r="L763" s="308" t="n"/>
      <c r="M763" s="113" t="n"/>
      <c r="N763" s="113" t="n"/>
      <c r="O763" s="113" t="n"/>
      <c r="P763" s="243" t="n"/>
      <c r="Q763" s="113" t="n"/>
      <c r="R763" s="113" t="n"/>
    </row>
    <row r="764" ht="15.75" customHeight="1">
      <c r="A764" s="113" t="n"/>
      <c r="B764" s="146" t="n">
        <v>15</v>
      </c>
      <c r="C764" s="350" t="n">
        <v>45899</v>
      </c>
      <c r="D764" s="351" t="n">
        <v>4</v>
      </c>
      <c r="E764" s="264" t="inlineStr">
        <is>
          <t>HUERTAS</t>
        </is>
      </c>
      <c r="F764" s="264" t="inlineStr">
        <is>
          <t>CARGUEROS</t>
        </is>
      </c>
      <c r="G764" s="264" t="n">
        <v>11</v>
      </c>
      <c r="H764" s="264" t="inlineStr">
        <is>
          <t xml:space="preserve">WILMER PIÑEROS </t>
        </is>
      </c>
      <c r="I764" s="264" t="inlineStr">
        <is>
          <t>KNL076</t>
        </is>
      </c>
      <c r="J764" s="265" t="n">
        <v>0.01388888888888889</v>
      </c>
      <c r="K764" s="266" t="n">
        <v>3240</v>
      </c>
      <c r="L764" s="308" t="n"/>
      <c r="M764" s="113" t="n"/>
      <c r="N764" s="113" t="n"/>
      <c r="O764" s="113" t="n"/>
      <c r="P764" s="243" t="n"/>
      <c r="Q764" s="113" t="n"/>
      <c r="R764" s="113" t="n"/>
    </row>
    <row r="765" ht="15.75" customHeight="1">
      <c r="A765" s="113" t="n"/>
      <c r="B765" s="146" t="n">
        <v>15</v>
      </c>
      <c r="C765" s="350" t="n">
        <v>45899</v>
      </c>
      <c r="D765" s="351" t="n">
        <v>5</v>
      </c>
      <c r="E765" s="264" t="inlineStr">
        <is>
          <t>HUERTAS</t>
        </is>
      </c>
      <c r="F765" s="264" t="inlineStr">
        <is>
          <t>CARGUEROS</t>
        </is>
      </c>
      <c r="G765" s="264" t="n">
        <v>11</v>
      </c>
      <c r="H765" s="264" t="inlineStr">
        <is>
          <t>JAIRO CUBILLOS</t>
        </is>
      </c>
      <c r="I765" s="264" t="inlineStr">
        <is>
          <t>TLN181</t>
        </is>
      </c>
      <c r="J765" s="265" t="n">
        <v>0.05208333333333334</v>
      </c>
      <c r="K765" s="266" t="n">
        <v>3240</v>
      </c>
      <c r="L765" s="308" t="n"/>
      <c r="M765" s="113" t="n"/>
      <c r="N765" s="113" t="n"/>
      <c r="O765" s="113" t="n"/>
      <c r="P765" s="243" t="n"/>
      <c r="Q765" s="113" t="n"/>
      <c r="R765" s="113" t="n"/>
    </row>
    <row r="766" ht="15.75" customHeight="1">
      <c r="A766" s="113" t="n"/>
      <c r="B766" s="146" t="n">
        <v>15</v>
      </c>
      <c r="C766" s="350" t="n">
        <v>45899</v>
      </c>
      <c r="D766" s="351" t="n">
        <v>6</v>
      </c>
      <c r="E766" s="264" t="inlineStr">
        <is>
          <t>HUERTAS</t>
        </is>
      </c>
      <c r="F766" s="264" t="inlineStr">
        <is>
          <t>CARGUEROS</t>
        </is>
      </c>
      <c r="G766" s="264" t="n">
        <v>11</v>
      </c>
      <c r="H766" s="264" t="inlineStr">
        <is>
          <t>DUMAR ANGARITA</t>
        </is>
      </c>
      <c r="I766" s="264" t="inlineStr">
        <is>
          <t>LQO745</t>
        </is>
      </c>
      <c r="J766" s="265" t="n">
        <v>0.09027777777777778</v>
      </c>
      <c r="K766" s="266" t="n">
        <v>2592</v>
      </c>
      <c r="L766" s="308" t="n"/>
      <c r="M766" s="113" t="n"/>
      <c r="N766" s="113" t="n"/>
      <c r="O766" s="113" t="n"/>
      <c r="P766" s="243" t="n"/>
      <c r="Q766" s="113" t="n"/>
      <c r="R766" s="113" t="n"/>
    </row>
    <row r="767" ht="15.75" customHeight="1">
      <c r="A767" s="113" t="n"/>
      <c r="B767" s="146" t="n">
        <v>15</v>
      </c>
      <c r="C767" s="350" t="n">
        <v>45899</v>
      </c>
      <c r="D767" s="351" t="n">
        <v>7</v>
      </c>
      <c r="E767" s="264" t="inlineStr">
        <is>
          <t>HUERTAS</t>
        </is>
      </c>
      <c r="F767" s="264" t="inlineStr">
        <is>
          <t>CARGUEROS</t>
        </is>
      </c>
      <c r="G767" s="264" t="n">
        <v>11</v>
      </c>
      <c r="H767" s="264" t="inlineStr">
        <is>
          <t>ALBERTO LOPEZ</t>
        </is>
      </c>
      <c r="I767" s="264" t="inlineStr">
        <is>
          <t>EQY777</t>
        </is>
      </c>
      <c r="J767" s="265" t="n">
        <v>0.1354166666666667</v>
      </c>
      <c r="K767" s="266" t="n">
        <v>2916</v>
      </c>
      <c r="L767" s="309" t="n"/>
      <c r="M767" s="113" t="n"/>
      <c r="N767" s="113" t="n"/>
      <c r="O767" s="113" t="n"/>
      <c r="P767" s="243" t="n"/>
      <c r="Q767" s="113" t="n"/>
      <c r="R767" s="113" t="n"/>
    </row>
    <row r="768" ht="15.75" customHeight="1">
      <c r="A768" s="113" t="n"/>
      <c r="B768" s="146" t="n">
        <v>15</v>
      </c>
      <c r="C768" s="356" t="n">
        <v>45899</v>
      </c>
      <c r="D768" s="357" t="n">
        <v>8</v>
      </c>
      <c r="E768" s="271" t="inlineStr">
        <is>
          <t>HUERTAS</t>
        </is>
      </c>
      <c r="F768" s="271" t="inlineStr">
        <is>
          <t xml:space="preserve">CARGUEROS </t>
        </is>
      </c>
      <c r="G768" s="271" t="n">
        <v>11</v>
      </c>
      <c r="H768" s="271" t="inlineStr">
        <is>
          <t>DIEGO NIÑO</t>
        </is>
      </c>
      <c r="I768" s="271" t="inlineStr">
        <is>
          <t>GZZ673</t>
        </is>
      </c>
      <c r="J768" s="272" t="n">
        <v>0.1875</v>
      </c>
      <c r="K768" s="273" t="n">
        <v>2880</v>
      </c>
      <c r="L768" s="378">
        <f>SUM(K761:K768)</f>
        <v/>
      </c>
      <c r="M768" s="113" t="n"/>
      <c r="N768" s="113" t="n"/>
      <c r="O768" s="113" t="n"/>
      <c r="P768" s="243" t="n"/>
      <c r="Q768" s="113" t="n"/>
      <c r="R768" s="113" t="n"/>
    </row>
    <row r="769" ht="15.75" customHeight="1">
      <c r="A769" s="113" t="n"/>
      <c r="B769" s="146" t="n">
        <v>15</v>
      </c>
      <c r="C769" s="348" t="n">
        <v>45900</v>
      </c>
      <c r="D769" s="349" t="n">
        <v>1</v>
      </c>
      <c r="E769" s="258" t="inlineStr">
        <is>
          <t>HUERTAS</t>
        </is>
      </c>
      <c r="F769" s="258" t="inlineStr">
        <is>
          <t>ABONEROS</t>
        </is>
      </c>
      <c r="G769" s="258" t="n">
        <v>11</v>
      </c>
      <c r="H769" s="258" t="inlineStr">
        <is>
          <t>PEDRO BARRETO</t>
        </is>
      </c>
      <c r="I769" s="258" t="inlineStr">
        <is>
          <t>SKG140</t>
        </is>
      </c>
      <c r="J769" s="259" t="n">
        <v>0.7625</v>
      </c>
      <c r="K769" s="260" t="n">
        <v>2700</v>
      </c>
      <c r="L769" s="292" t="n"/>
      <c r="M769" s="113" t="n"/>
      <c r="N769" s="113" t="n"/>
      <c r="O769" s="113" t="n"/>
      <c r="P769" s="243" t="n"/>
      <c r="Q769" s="113" t="n"/>
      <c r="R769" s="113" t="n"/>
    </row>
    <row r="770" ht="15.75" customHeight="1">
      <c r="A770" s="113" t="n"/>
      <c r="B770" s="146" t="n">
        <v>15</v>
      </c>
      <c r="C770" s="350" t="n">
        <v>45900</v>
      </c>
      <c r="D770" s="351" t="n">
        <v>2</v>
      </c>
      <c r="E770" s="264" t="inlineStr">
        <is>
          <t>HUERTAS</t>
        </is>
      </c>
      <c r="F770" s="264" t="inlineStr">
        <is>
          <t>ABONEROS</t>
        </is>
      </c>
      <c r="G770" s="264" t="n">
        <v>11</v>
      </c>
      <c r="H770" s="264" t="inlineStr">
        <is>
          <t>JEISON ECHEVARRIA</t>
        </is>
      </c>
      <c r="I770" s="264" t="inlineStr">
        <is>
          <t>SGG055</t>
        </is>
      </c>
      <c r="J770" s="265" t="n">
        <v>0.8090277777777778</v>
      </c>
      <c r="K770" s="266" t="n">
        <v>2700</v>
      </c>
      <c r="L770" s="308" t="n"/>
      <c r="M770" s="113" t="n"/>
      <c r="N770" s="113" t="n"/>
      <c r="O770" s="113" t="n"/>
      <c r="P770" s="243" t="n"/>
      <c r="Q770" s="113" t="n"/>
      <c r="R770" s="113" t="n"/>
    </row>
    <row r="771" ht="15.75" customHeight="1">
      <c r="A771" s="113" t="n"/>
      <c r="B771" s="146" t="n">
        <v>15</v>
      </c>
      <c r="C771" s="350" t="n">
        <v>45900</v>
      </c>
      <c r="D771" s="351" t="n">
        <v>3</v>
      </c>
      <c r="E771" s="264" t="inlineStr">
        <is>
          <t>HUERTAS</t>
        </is>
      </c>
      <c r="F771" s="264" t="inlineStr">
        <is>
          <t>ABONEROS</t>
        </is>
      </c>
      <c r="G771" s="264" t="n">
        <v>11</v>
      </c>
      <c r="H771" s="264" t="inlineStr">
        <is>
          <t>JHONATAN GOMEZ</t>
        </is>
      </c>
      <c r="I771" s="264" t="inlineStr">
        <is>
          <t>WFT709</t>
        </is>
      </c>
      <c r="J771" s="265" t="n">
        <v>0.8534722222222222</v>
      </c>
      <c r="K771" s="266" t="n">
        <v>2708</v>
      </c>
      <c r="L771" s="308" t="n"/>
      <c r="M771" s="113" t="n"/>
      <c r="N771" s="113" t="n"/>
      <c r="O771" s="113" t="n"/>
      <c r="P771" s="243" t="n"/>
      <c r="Q771" s="113" t="n"/>
      <c r="R771" s="113" t="n"/>
    </row>
    <row r="772" ht="15.75" customHeight="1">
      <c r="A772" s="113" t="n"/>
      <c r="B772" s="146" t="n">
        <v>15</v>
      </c>
      <c r="C772" s="350" t="n">
        <v>45900</v>
      </c>
      <c r="D772" s="351" t="n">
        <v>4</v>
      </c>
      <c r="E772" s="264" t="inlineStr">
        <is>
          <t>HUERTAS</t>
        </is>
      </c>
      <c r="F772" s="264" t="inlineStr">
        <is>
          <t>ABONEROS</t>
        </is>
      </c>
      <c r="G772" s="264" t="n">
        <v>11</v>
      </c>
      <c r="H772" s="264" t="inlineStr">
        <is>
          <t xml:space="preserve">MERVIN CORTEZ </t>
        </is>
      </c>
      <c r="I772" s="264" t="inlineStr">
        <is>
          <t>TLN180</t>
        </is>
      </c>
      <c r="J772" s="265" t="n">
        <v>0.8895833333333333</v>
      </c>
      <c r="K772" s="266" t="n">
        <v>1848</v>
      </c>
      <c r="L772" s="309" t="n"/>
      <c r="M772" s="113" t="n"/>
      <c r="N772" s="113" t="n"/>
      <c r="O772" s="113" t="n"/>
      <c r="P772" s="243" t="n"/>
      <c r="Q772" s="113" t="n"/>
      <c r="R772" s="113" t="n"/>
    </row>
    <row r="773" ht="15.75" customHeight="1">
      <c r="A773" s="113" t="n"/>
      <c r="B773" s="146" t="n">
        <v>15</v>
      </c>
      <c r="C773" s="356" t="n">
        <v>45900</v>
      </c>
      <c r="D773" s="357" t="n">
        <v>5</v>
      </c>
      <c r="E773" s="271" t="inlineStr">
        <is>
          <t>HUERTAS</t>
        </is>
      </c>
      <c r="F773" s="271" t="inlineStr">
        <is>
          <t>ABONEROS</t>
        </is>
      </c>
      <c r="G773" s="271" t="n">
        <v>11</v>
      </c>
      <c r="H773" s="271" t="inlineStr">
        <is>
          <t xml:space="preserve">YAIR RIVEROS </t>
        </is>
      </c>
      <c r="I773" s="271" t="inlineStr">
        <is>
          <t>TLN181</t>
        </is>
      </c>
      <c r="J773" s="272" t="n">
        <v>0.9354166666666667</v>
      </c>
      <c r="K773" s="273" t="n">
        <v>3240</v>
      </c>
      <c r="L773" s="378">
        <f>SUM(K769:K773)</f>
        <v/>
      </c>
      <c r="M773" s="113" t="n"/>
      <c r="N773" s="113" t="n"/>
      <c r="O773" s="113" t="n"/>
      <c r="P773" s="243" t="n"/>
      <c r="Q773" s="113" t="n"/>
      <c r="R773" s="113" t="n"/>
    </row>
    <row r="774" ht="15.75" customHeight="1">
      <c r="A774" s="113" t="n"/>
      <c r="B774" s="146" t="n">
        <v>15</v>
      </c>
      <c r="C774" s="348" t="n">
        <v>45901</v>
      </c>
      <c r="D774" s="349" t="n">
        <v>1</v>
      </c>
      <c r="E774" s="258" t="inlineStr">
        <is>
          <t xml:space="preserve">GARCERAS </t>
        </is>
      </c>
      <c r="F774" s="258" t="inlineStr">
        <is>
          <t>CARGUEROS</t>
        </is>
      </c>
      <c r="G774" s="258" t="n">
        <v>11</v>
      </c>
      <c r="H774" s="258" t="inlineStr">
        <is>
          <t xml:space="preserve">HENRY ROMERO </t>
        </is>
      </c>
      <c r="I774" s="258" t="inlineStr">
        <is>
          <t>EQY781</t>
        </is>
      </c>
      <c r="J774" s="259" t="n">
        <v>0.9722222222222222</v>
      </c>
      <c r="K774" s="260" t="n">
        <v>3088</v>
      </c>
      <c r="L774" s="292" t="n"/>
      <c r="M774" s="113" t="n"/>
      <c r="N774" s="113" t="n"/>
      <c r="O774" s="113" t="n"/>
      <c r="P774" s="243" t="n"/>
      <c r="Q774" s="113" t="n"/>
      <c r="R774" s="113" t="n"/>
    </row>
    <row r="775" ht="15.75" customHeight="1">
      <c r="A775" s="113" t="n"/>
      <c r="B775" s="146" t="n">
        <v>15</v>
      </c>
      <c r="C775" s="350" t="n">
        <v>45901</v>
      </c>
      <c r="D775" s="351" t="n">
        <v>2</v>
      </c>
      <c r="E775" s="264" t="inlineStr">
        <is>
          <t xml:space="preserve">GARCERAS </t>
        </is>
      </c>
      <c r="F775" s="264" t="inlineStr">
        <is>
          <t>CARGUEROS</t>
        </is>
      </c>
      <c r="G775" s="264" t="n">
        <v>11</v>
      </c>
      <c r="H775" s="264" t="inlineStr">
        <is>
          <t xml:space="preserve">WILMER PIÑEROS </t>
        </is>
      </c>
      <c r="I775" s="264" t="inlineStr">
        <is>
          <t>KLN076</t>
        </is>
      </c>
      <c r="J775" s="265" t="n">
        <v>0.003472222222222222</v>
      </c>
      <c r="K775" s="266" t="n">
        <v>3088</v>
      </c>
      <c r="L775" s="308" t="n"/>
      <c r="M775" s="113" t="n"/>
      <c r="N775" s="113" t="n"/>
      <c r="O775" s="113" t="n"/>
      <c r="P775" s="243" t="n"/>
      <c r="Q775" s="113" t="n"/>
      <c r="R775" s="113" t="n"/>
    </row>
    <row r="776" ht="15.75" customHeight="1">
      <c r="A776" s="113" t="n"/>
      <c r="B776" s="146" t="n">
        <v>15</v>
      </c>
      <c r="C776" s="350" t="n">
        <v>45901</v>
      </c>
      <c r="D776" s="351" t="n">
        <v>3</v>
      </c>
      <c r="E776" s="264" t="inlineStr">
        <is>
          <t xml:space="preserve">GARCERAS </t>
        </is>
      </c>
      <c r="F776" s="264" t="inlineStr">
        <is>
          <t>CARGUEROS</t>
        </is>
      </c>
      <c r="G776" s="264" t="n">
        <v>11</v>
      </c>
      <c r="H776" s="264" t="inlineStr">
        <is>
          <t>JAIRO CUBILLOS</t>
        </is>
      </c>
      <c r="I776" s="264" t="inlineStr">
        <is>
          <t>TLO884</t>
        </is>
      </c>
      <c r="J776" s="265" t="n">
        <v>0.03819444444444445</v>
      </c>
      <c r="K776" s="266" t="n">
        <v>3088</v>
      </c>
      <c r="L776" s="308" t="n"/>
      <c r="M776" s="113" t="n"/>
      <c r="N776" s="113" t="n"/>
      <c r="O776" s="113" t="n"/>
      <c r="P776" s="243" t="n"/>
      <c r="Q776" s="113" t="n"/>
      <c r="R776" s="113" t="n"/>
    </row>
    <row r="777" ht="15.75" customHeight="1">
      <c r="A777" s="113" t="n"/>
      <c r="B777" s="146" t="n">
        <v>15</v>
      </c>
      <c r="C777" s="350" t="n">
        <v>45901</v>
      </c>
      <c r="D777" s="351" t="n">
        <v>4</v>
      </c>
      <c r="E777" s="264" t="inlineStr">
        <is>
          <t xml:space="preserve">GARCERAS </t>
        </is>
      </c>
      <c r="F777" s="264" t="inlineStr">
        <is>
          <t>CARGUEROS</t>
        </is>
      </c>
      <c r="G777" s="264" t="n">
        <v>11</v>
      </c>
      <c r="H777" s="264" t="inlineStr">
        <is>
          <t>JOSE HERRERA</t>
        </is>
      </c>
      <c r="I777" s="264" t="inlineStr">
        <is>
          <t>EQY778</t>
        </is>
      </c>
      <c r="J777" s="265" t="n">
        <v>0.07291666666666667</v>
      </c>
      <c r="K777" s="266" t="n">
        <v>3088</v>
      </c>
      <c r="L777" s="308" t="n"/>
      <c r="M777" s="113" t="n"/>
      <c r="N777" s="113" t="n"/>
      <c r="O777" s="113" t="n"/>
      <c r="P777" s="243" t="n"/>
      <c r="Q777" s="113" t="n"/>
      <c r="R777" s="113" t="n"/>
    </row>
    <row r="778" ht="15.75" customHeight="1">
      <c r="A778" s="113" t="n"/>
      <c r="B778" s="146" t="n">
        <v>15</v>
      </c>
      <c r="C778" s="350" t="n">
        <v>45901</v>
      </c>
      <c r="D778" s="351" t="n">
        <v>5</v>
      </c>
      <c r="E778" s="264" t="inlineStr">
        <is>
          <t xml:space="preserve">GARCERAS </t>
        </is>
      </c>
      <c r="F778" s="264" t="inlineStr">
        <is>
          <t>CARGUEROS</t>
        </is>
      </c>
      <c r="G778" s="264" t="n">
        <v>11</v>
      </c>
      <c r="H778" s="264" t="inlineStr">
        <is>
          <t>ALBERTO LOPEZ</t>
        </is>
      </c>
      <c r="I778" s="264" t="inlineStr">
        <is>
          <t>EQY777</t>
        </is>
      </c>
      <c r="J778" s="265" t="n">
        <v>0.1006944444444444</v>
      </c>
      <c r="K778" s="266" t="n">
        <v>3088</v>
      </c>
      <c r="L778" s="308" t="n"/>
      <c r="M778" s="113" t="n"/>
      <c r="N778" s="113" t="n"/>
      <c r="O778" s="113" t="n"/>
      <c r="P778" s="243" t="n"/>
      <c r="Q778" s="113" t="n"/>
      <c r="R778" s="113" t="n"/>
    </row>
    <row r="779" ht="15.75" customHeight="1">
      <c r="A779" s="113" t="n"/>
      <c r="B779" s="146" t="n">
        <v>15</v>
      </c>
      <c r="C779" s="350" t="n">
        <v>45901</v>
      </c>
      <c r="D779" s="351" t="n">
        <v>6</v>
      </c>
      <c r="E779" s="264" t="inlineStr">
        <is>
          <t xml:space="preserve">GARCERAS </t>
        </is>
      </c>
      <c r="F779" s="264" t="inlineStr">
        <is>
          <t>CARGUEROS</t>
        </is>
      </c>
      <c r="G779" s="264" t="n">
        <v>11</v>
      </c>
      <c r="H779" s="264" t="inlineStr">
        <is>
          <t>DUMAR ANGARITA</t>
        </is>
      </c>
      <c r="I779" s="264" t="inlineStr">
        <is>
          <t>LQO745</t>
        </is>
      </c>
      <c r="J779" s="265" t="n">
        <v>0.1423611111111111</v>
      </c>
      <c r="K779" s="266" t="n">
        <v>2950</v>
      </c>
      <c r="L779" s="308" t="n"/>
      <c r="M779" s="113" t="n"/>
      <c r="N779" s="113" t="n"/>
      <c r="O779" s="113" t="n"/>
      <c r="P779" s="243" t="n"/>
      <c r="Q779" s="113" t="n"/>
      <c r="R779" s="113" t="n"/>
    </row>
    <row r="780" ht="15.75" customHeight="1">
      <c r="A780" s="113" t="n"/>
      <c r="B780" s="146" t="n">
        <v>15</v>
      </c>
      <c r="C780" s="350" t="n">
        <v>45901</v>
      </c>
      <c r="D780" s="351" t="n">
        <v>7</v>
      </c>
      <c r="E780" s="264" t="inlineStr">
        <is>
          <t xml:space="preserve">GARCERAS </t>
        </is>
      </c>
      <c r="F780" s="264" t="inlineStr">
        <is>
          <t>CARGUEROS</t>
        </is>
      </c>
      <c r="G780" s="264" t="n">
        <v>11</v>
      </c>
      <c r="H780" s="264" t="inlineStr">
        <is>
          <t>DIEGO NIÑO</t>
        </is>
      </c>
      <c r="I780" s="264" t="inlineStr">
        <is>
          <t>GZZ673</t>
        </is>
      </c>
      <c r="J780" s="265" t="n">
        <v>0.1909722222222222</v>
      </c>
      <c r="K780" s="266" t="n">
        <v>2950</v>
      </c>
      <c r="L780" s="308" t="n"/>
      <c r="M780" s="113" t="n"/>
      <c r="N780" s="113" t="n"/>
      <c r="O780" s="113" t="n"/>
      <c r="P780" s="243" t="n"/>
      <c r="Q780" s="113" t="n"/>
      <c r="R780" s="113" t="n"/>
    </row>
    <row r="781" ht="15.75" customHeight="1">
      <c r="A781" s="113" t="n"/>
      <c r="B781" s="146" t="n">
        <v>15</v>
      </c>
      <c r="C781" s="350" t="n">
        <v>45901</v>
      </c>
      <c r="D781" s="351" t="n">
        <v>8</v>
      </c>
      <c r="E781" s="264" t="inlineStr">
        <is>
          <t xml:space="preserve">GARCERAS </t>
        </is>
      </c>
      <c r="F781" s="264" t="inlineStr">
        <is>
          <t>CARGUEROS</t>
        </is>
      </c>
      <c r="G781" s="264" t="n">
        <v>11</v>
      </c>
      <c r="H781" s="264" t="inlineStr">
        <is>
          <t>ALEX GOMEZ</t>
        </is>
      </c>
      <c r="I781" s="264" t="inlineStr">
        <is>
          <t>TLO881</t>
        </is>
      </c>
      <c r="J781" s="265" t="n">
        <v>0.2236111111111111</v>
      </c>
      <c r="K781" s="266" t="n">
        <v>3950</v>
      </c>
      <c r="L781" s="308" t="n"/>
      <c r="M781" s="113" t="n"/>
      <c r="N781" s="113" t="n"/>
      <c r="O781" s="113" t="n"/>
      <c r="P781" s="243" t="n"/>
      <c r="Q781" s="113" t="n"/>
      <c r="R781" s="113" t="n"/>
    </row>
    <row r="782" ht="15.75" customHeight="1">
      <c r="A782" s="113" t="n"/>
      <c r="B782" s="146" t="n">
        <v>15</v>
      </c>
      <c r="C782" s="350" t="n">
        <v>45901</v>
      </c>
      <c r="D782" s="351" t="n">
        <v>9</v>
      </c>
      <c r="E782" s="264" t="inlineStr">
        <is>
          <t xml:space="preserve">GARCERAS </t>
        </is>
      </c>
      <c r="F782" s="264" t="inlineStr">
        <is>
          <t>CARGUEROS</t>
        </is>
      </c>
      <c r="G782" s="264" t="n">
        <v>11</v>
      </c>
      <c r="H782" s="264" t="inlineStr">
        <is>
          <t xml:space="preserve">JOSE SOLER </t>
        </is>
      </c>
      <c r="I782" s="264" t="inlineStr">
        <is>
          <t>EQY776</t>
        </is>
      </c>
      <c r="J782" s="265" t="n">
        <v>0.2534722222222222</v>
      </c>
      <c r="K782" s="266" t="n">
        <v>2950</v>
      </c>
      <c r="L782" s="308" t="n"/>
      <c r="M782" s="113" t="n"/>
      <c r="N782" s="113" t="n"/>
      <c r="O782" s="113" t="n"/>
      <c r="P782" s="243" t="n"/>
      <c r="Q782" s="113" t="n"/>
      <c r="R782" s="113" t="n"/>
    </row>
    <row r="783" ht="15.75" customHeight="1">
      <c r="A783" s="113" t="n"/>
      <c r="B783" s="146" t="n">
        <v>15</v>
      </c>
      <c r="C783" s="350" t="n">
        <v>45901</v>
      </c>
      <c r="D783" s="351" t="n">
        <v>10</v>
      </c>
      <c r="E783" s="264" t="inlineStr">
        <is>
          <t xml:space="preserve">GARCERAS </t>
        </is>
      </c>
      <c r="F783" s="264" t="inlineStr">
        <is>
          <t>CARGUEROS</t>
        </is>
      </c>
      <c r="G783" s="264" t="n">
        <v>11</v>
      </c>
      <c r="H783" s="264" t="inlineStr">
        <is>
          <t xml:space="preserve">FABIO ALDANA </t>
        </is>
      </c>
      <c r="I783" s="264" t="inlineStr">
        <is>
          <t>TLO882</t>
        </is>
      </c>
      <c r="J783" s="265" t="n">
        <v>0.2986111111111111</v>
      </c>
      <c r="K783" s="266" t="n">
        <v>2842</v>
      </c>
      <c r="L783" s="308" t="n"/>
      <c r="M783" s="113" t="n"/>
      <c r="N783" s="113" t="n"/>
      <c r="O783" s="113" t="n"/>
      <c r="P783" s="243" t="n"/>
      <c r="Q783" s="113" t="n"/>
      <c r="R783" s="113" t="n"/>
    </row>
    <row r="784" ht="15.75" customHeight="1">
      <c r="A784" s="113" t="n"/>
      <c r="B784" s="146" t="n">
        <v>15</v>
      </c>
      <c r="C784" s="350" t="n">
        <v>45901</v>
      </c>
      <c r="D784" s="351" t="n">
        <v>11</v>
      </c>
      <c r="E784" s="264" t="inlineStr">
        <is>
          <t xml:space="preserve">GARCERAS </t>
        </is>
      </c>
      <c r="F784" s="264" t="inlineStr">
        <is>
          <t>CARGUEROS</t>
        </is>
      </c>
      <c r="G784" s="264" t="n">
        <v>11</v>
      </c>
      <c r="H784" s="264" t="inlineStr">
        <is>
          <t xml:space="preserve">JHON ARIAS </t>
        </is>
      </c>
      <c r="I784" s="264" t="inlineStr">
        <is>
          <t>TLN248</t>
        </is>
      </c>
      <c r="J784" s="265" t="n">
        <v>0.3576388888888889</v>
      </c>
      <c r="K784" s="266" t="n">
        <v>3178</v>
      </c>
      <c r="L784" s="309" t="n"/>
      <c r="M784" s="113" t="n"/>
      <c r="N784" s="113" t="n"/>
      <c r="O784" s="113" t="n"/>
      <c r="P784" s="243" t="n"/>
      <c r="Q784" s="113" t="n"/>
      <c r="R784" s="113" t="n"/>
    </row>
    <row r="785" ht="15.75" customHeight="1">
      <c r="A785" s="113" t="n"/>
      <c r="B785" s="146" t="n">
        <v>15</v>
      </c>
      <c r="C785" s="356" t="n">
        <v>45901</v>
      </c>
      <c r="D785" s="357" t="n">
        <v>12</v>
      </c>
      <c r="E785" s="271" t="inlineStr">
        <is>
          <t xml:space="preserve">GARCERAS </t>
        </is>
      </c>
      <c r="F785" s="271" t="inlineStr">
        <is>
          <t>CARGUEROS</t>
        </is>
      </c>
      <c r="G785" s="271" t="n">
        <v>11</v>
      </c>
      <c r="H785" s="271" t="inlineStr">
        <is>
          <t>EDWIN ROJAS</t>
        </is>
      </c>
      <c r="I785" s="271" t="inlineStr">
        <is>
          <t>EQY780</t>
        </is>
      </c>
      <c r="J785" s="272" t="n">
        <v>0.3958333333333333</v>
      </c>
      <c r="K785" s="273" t="n">
        <v>3178</v>
      </c>
      <c r="L785" s="378">
        <f>SUM(K774:K785)</f>
        <v/>
      </c>
      <c r="M785" s="113" t="n"/>
      <c r="N785" s="113" t="n"/>
      <c r="O785" s="113" t="n"/>
      <c r="P785" s="243" t="n"/>
      <c r="Q785" s="113" t="n"/>
      <c r="R785" s="113" t="n"/>
    </row>
    <row r="786" ht="15.75" customHeight="1">
      <c r="A786" s="113" t="n"/>
      <c r="B786" s="146" t="n">
        <v>15</v>
      </c>
      <c r="C786" s="348" t="n">
        <v>45902</v>
      </c>
      <c r="D786" s="349" t="n">
        <v>1</v>
      </c>
      <c r="E786" s="258" t="inlineStr">
        <is>
          <t>BOGOTA</t>
        </is>
      </c>
      <c r="F786" s="258" t="inlineStr">
        <is>
          <t>CARGUEROS</t>
        </is>
      </c>
      <c r="G786" s="258" t="n">
        <v>11</v>
      </c>
      <c r="H786" s="258" t="inlineStr">
        <is>
          <t>JORGE OVIEDO</t>
        </is>
      </c>
      <c r="I786" s="258" t="inlineStr">
        <is>
          <t>SKE142</t>
        </is>
      </c>
      <c r="J786" s="259" t="n">
        <v>0.7291666666666666</v>
      </c>
      <c r="K786" s="260" t="n">
        <v>2851</v>
      </c>
      <c r="L786" s="292" t="n"/>
      <c r="M786" s="113" t="n"/>
      <c r="N786" s="113" t="n"/>
      <c r="O786" s="113" t="n"/>
      <c r="P786" s="243" t="n"/>
      <c r="Q786" s="113" t="n"/>
      <c r="R786" s="113" t="n"/>
    </row>
    <row r="787" ht="15.75" customHeight="1">
      <c r="A787" s="113" t="n"/>
      <c r="B787" s="146" t="n">
        <v>15</v>
      </c>
      <c r="C787" s="350" t="n">
        <v>45902</v>
      </c>
      <c r="D787" s="351" t="n">
        <v>2</v>
      </c>
      <c r="E787" s="264" t="inlineStr">
        <is>
          <t>BOGOTA</t>
        </is>
      </c>
      <c r="F787" s="264" t="inlineStr">
        <is>
          <t>CARGUEROS</t>
        </is>
      </c>
      <c r="G787" s="264" t="n">
        <v>11</v>
      </c>
      <c r="H787" s="264" t="inlineStr">
        <is>
          <t>GERMAN QUITIAN</t>
        </is>
      </c>
      <c r="I787" s="264" t="inlineStr">
        <is>
          <t>OGO033</t>
        </is>
      </c>
      <c r="J787" s="265" t="n">
        <v>0.7701388888888889</v>
      </c>
      <c r="K787" s="266" t="n">
        <v>2830</v>
      </c>
      <c r="L787" s="308" t="n"/>
      <c r="M787" s="113" t="n"/>
      <c r="N787" s="113" t="n"/>
      <c r="O787" s="113" t="n"/>
      <c r="P787" s="243" t="n"/>
      <c r="Q787" s="113" t="n"/>
      <c r="R787" s="113" t="n"/>
    </row>
    <row r="788" ht="15.75" customHeight="1">
      <c r="A788" s="113" t="n"/>
      <c r="B788" s="146" t="n">
        <v>15</v>
      </c>
      <c r="C788" s="350" t="n">
        <v>45902</v>
      </c>
      <c r="D788" s="351" t="n">
        <v>3</v>
      </c>
      <c r="E788" s="264" t="inlineStr">
        <is>
          <t>BOGOTA</t>
        </is>
      </c>
      <c r="F788" s="264" t="inlineStr">
        <is>
          <t>CARGUEROS</t>
        </is>
      </c>
      <c r="G788" s="264" t="n">
        <v>11</v>
      </c>
      <c r="H788" s="264" t="inlineStr">
        <is>
          <t xml:space="preserve">ALBERTO MONROY </t>
        </is>
      </c>
      <c r="I788" s="264" t="inlineStr">
        <is>
          <t>WEQY994</t>
        </is>
      </c>
      <c r="J788" s="265" t="n">
        <v>0.8263888888888888</v>
      </c>
      <c r="K788" s="266" t="n">
        <v>2100</v>
      </c>
      <c r="L788" s="308" t="n"/>
      <c r="M788" s="113" t="n"/>
      <c r="N788" s="113" t="n"/>
      <c r="O788" s="113" t="n"/>
      <c r="P788" s="243" t="n"/>
      <c r="Q788" s="113" t="n"/>
      <c r="R788" s="113" t="n"/>
    </row>
    <row r="789" ht="15.75" customHeight="1">
      <c r="A789" s="113" t="n"/>
      <c r="B789" s="146" t="n">
        <v>15</v>
      </c>
      <c r="C789" s="350" t="n">
        <v>45902</v>
      </c>
      <c r="D789" s="351" t="n">
        <v>4</v>
      </c>
      <c r="E789" s="264" t="inlineStr">
        <is>
          <t>BOGOTA</t>
        </is>
      </c>
      <c r="F789" s="264" t="inlineStr">
        <is>
          <t>CARGUEROS</t>
        </is>
      </c>
      <c r="G789" s="264" t="n">
        <v>11</v>
      </c>
      <c r="H789" s="264" t="inlineStr">
        <is>
          <t>PEDRO BARRETO</t>
        </is>
      </c>
      <c r="I789" s="264" t="inlineStr">
        <is>
          <t>SQE140</t>
        </is>
      </c>
      <c r="J789" s="265" t="n">
        <v>0.875</v>
      </c>
      <c r="K789" s="266" t="n">
        <v>3300</v>
      </c>
      <c r="L789" s="308" t="n"/>
      <c r="M789" s="113" t="n"/>
      <c r="N789" s="113" t="n"/>
      <c r="O789" s="113" t="n"/>
      <c r="P789" s="243" t="n"/>
      <c r="Q789" s="113" t="n"/>
      <c r="R789" s="113" t="n"/>
    </row>
    <row r="790" ht="15.75" customHeight="1">
      <c r="A790" s="113" t="n"/>
      <c r="B790" s="146" t="n">
        <v>15</v>
      </c>
      <c r="C790" s="350" t="n">
        <v>45902</v>
      </c>
      <c r="D790" s="351" t="n">
        <v>5</v>
      </c>
      <c r="E790" s="264" t="inlineStr">
        <is>
          <t>BOGOTA</t>
        </is>
      </c>
      <c r="F790" s="264" t="inlineStr">
        <is>
          <t>CARGUEROS</t>
        </is>
      </c>
      <c r="G790" s="264" t="n">
        <v>11</v>
      </c>
      <c r="H790" s="264" t="inlineStr">
        <is>
          <t xml:space="preserve">MERVIN CORTEZ </t>
        </is>
      </c>
      <c r="I790" s="264" t="inlineStr">
        <is>
          <t>TLN180</t>
        </is>
      </c>
      <c r="J790" s="265" t="n">
        <v>0.9236111111111112</v>
      </c>
      <c r="K790" s="266" t="n">
        <v>2700</v>
      </c>
      <c r="L790" s="308" t="n"/>
      <c r="M790" s="113" t="n"/>
      <c r="N790" s="113" t="n"/>
      <c r="O790" s="113" t="n"/>
      <c r="P790" s="243" t="n"/>
      <c r="Q790" s="113" t="n"/>
      <c r="R790" s="113" t="n"/>
    </row>
    <row r="791" ht="15.75" customHeight="1">
      <c r="A791" s="113" t="n"/>
      <c r="B791" s="146" t="n">
        <v>15</v>
      </c>
      <c r="C791" s="350" t="n">
        <v>45902</v>
      </c>
      <c r="D791" s="351" t="n">
        <v>6</v>
      </c>
      <c r="E791" s="264" t="inlineStr">
        <is>
          <t>BOGOTA</t>
        </is>
      </c>
      <c r="F791" s="264" t="inlineStr">
        <is>
          <t>CARGUEROS</t>
        </is>
      </c>
      <c r="G791" s="264" t="n">
        <v>11</v>
      </c>
      <c r="H791" s="264" t="inlineStr">
        <is>
          <t xml:space="preserve">MARCOS LOPEZ </t>
        </is>
      </c>
      <c r="I791" s="264" t="inlineStr">
        <is>
          <t>SQW176</t>
        </is>
      </c>
      <c r="J791" s="265" t="n">
        <v>0.96875</v>
      </c>
      <c r="K791" s="266" t="n">
        <v>2700</v>
      </c>
      <c r="L791" s="308" t="n"/>
      <c r="M791" s="113" t="n"/>
      <c r="N791" s="113" t="n"/>
      <c r="O791" s="113" t="n"/>
      <c r="P791" s="243" t="n"/>
      <c r="Q791" s="113" t="n"/>
      <c r="R791" s="113" t="n"/>
    </row>
    <row r="792" ht="15.75" customHeight="1">
      <c r="A792" s="113" t="n"/>
      <c r="B792" s="146" t="n">
        <v>15</v>
      </c>
      <c r="C792" s="350" t="n">
        <v>45902</v>
      </c>
      <c r="D792" s="351" t="n">
        <v>7</v>
      </c>
      <c r="E792" s="264" t="inlineStr">
        <is>
          <t>BOGOTA</t>
        </is>
      </c>
      <c r="F792" s="264" t="inlineStr">
        <is>
          <t>CARGUEROS</t>
        </is>
      </c>
      <c r="G792" s="264" t="n">
        <v>11</v>
      </c>
      <c r="H792" s="264" t="inlineStr">
        <is>
          <t>ANDRES PORRAS</t>
        </is>
      </c>
      <c r="I792" s="264" t="inlineStr">
        <is>
          <t>TLN249</t>
        </is>
      </c>
      <c r="J792" s="265" t="n">
        <v>0.01527777777777778</v>
      </c>
      <c r="K792" s="266" t="n">
        <v>2700</v>
      </c>
      <c r="L792" s="308" t="n"/>
      <c r="M792" s="113" t="n"/>
      <c r="N792" s="113" t="n"/>
      <c r="O792" s="113" t="n"/>
      <c r="P792" s="243" t="n"/>
      <c r="Q792" s="113" t="n"/>
      <c r="R792" s="113" t="n"/>
    </row>
    <row r="793" ht="15.75" customHeight="1">
      <c r="A793" s="113" t="n"/>
      <c r="B793" s="146" t="n">
        <v>15</v>
      </c>
      <c r="C793" s="350" t="n">
        <v>45902</v>
      </c>
      <c r="D793" s="351" t="n">
        <v>8</v>
      </c>
      <c r="E793" s="264" t="inlineStr">
        <is>
          <t>BOGOTA</t>
        </is>
      </c>
      <c r="F793" s="264" t="inlineStr">
        <is>
          <t>CARGUEROS</t>
        </is>
      </c>
      <c r="G793" s="264" t="n">
        <v>11</v>
      </c>
      <c r="H793" s="264" t="inlineStr">
        <is>
          <t xml:space="preserve">JOSE SOLER </t>
        </is>
      </c>
      <c r="I793" s="264" t="inlineStr">
        <is>
          <t>EQY776</t>
        </is>
      </c>
      <c r="J793" s="265" t="n">
        <v>0.1</v>
      </c>
      <c r="K793" s="266" t="n">
        <v>3240</v>
      </c>
      <c r="L793" s="308" t="n"/>
      <c r="M793" s="113" t="n"/>
      <c r="N793" s="113" t="n"/>
      <c r="O793" s="113" t="n"/>
      <c r="P793" s="243" t="n"/>
      <c r="Q793" s="113" t="n"/>
      <c r="R793" s="113" t="n"/>
    </row>
    <row r="794" ht="15.75" customHeight="1">
      <c r="A794" s="113" t="n"/>
      <c r="B794" s="146" t="n">
        <v>15</v>
      </c>
      <c r="C794" s="350" t="n">
        <v>45902</v>
      </c>
      <c r="D794" s="351" t="n">
        <v>9</v>
      </c>
      <c r="E794" s="264" t="inlineStr">
        <is>
          <t xml:space="preserve">GARCERAS </t>
        </is>
      </c>
      <c r="F794" s="264" t="inlineStr">
        <is>
          <t>ABONEROS</t>
        </is>
      </c>
      <c r="G794" s="264" t="n">
        <v>10</v>
      </c>
      <c r="H794" s="264" t="inlineStr">
        <is>
          <t>ALEX GOMEZ</t>
        </is>
      </c>
      <c r="I794" s="264" t="inlineStr">
        <is>
          <t>TLO881</t>
        </is>
      </c>
      <c r="J794" s="265" t="n">
        <v>0.1194444444444445</v>
      </c>
      <c r="K794" s="266" t="n">
        <v>3003</v>
      </c>
      <c r="L794" s="308" t="n"/>
      <c r="M794" s="113" t="n"/>
      <c r="N794" s="113" t="n"/>
      <c r="O794" s="113" t="n"/>
      <c r="P794" s="243" t="n"/>
      <c r="Q794" s="113" t="n"/>
      <c r="R794" s="113" t="n"/>
    </row>
    <row r="795" ht="15.75" customHeight="1">
      <c r="A795" s="113" t="n"/>
      <c r="B795" s="146" t="n">
        <v>15</v>
      </c>
      <c r="C795" s="350" t="n">
        <v>45902</v>
      </c>
      <c r="D795" s="351" t="n">
        <v>10</v>
      </c>
      <c r="E795" s="264" t="inlineStr">
        <is>
          <t xml:space="preserve">GARCERAS </t>
        </is>
      </c>
      <c r="F795" s="264" t="inlineStr">
        <is>
          <t>ABONEROS</t>
        </is>
      </c>
      <c r="G795" s="264" t="n">
        <v>10</v>
      </c>
      <c r="H795" s="264" t="inlineStr">
        <is>
          <t>MANUEL QUITIAN</t>
        </is>
      </c>
      <c r="I795" s="264" t="inlineStr">
        <is>
          <t>KUS176</t>
        </is>
      </c>
      <c r="J795" s="265" t="n">
        <v>0.1506944444444444</v>
      </c>
      <c r="K795" s="266" t="n">
        <v>3003</v>
      </c>
      <c r="L795" s="308" t="n"/>
      <c r="M795" s="113" t="n"/>
      <c r="N795" s="113" t="n"/>
      <c r="O795" s="113" t="n"/>
      <c r="P795" s="243" t="n"/>
      <c r="Q795" s="113" t="n"/>
      <c r="R795" s="113" t="n"/>
    </row>
    <row r="796" ht="15.75" customHeight="1">
      <c r="A796" s="113" t="n"/>
      <c r="B796" s="146" t="n">
        <v>15</v>
      </c>
      <c r="C796" s="350" t="n">
        <v>45902</v>
      </c>
      <c r="D796" s="351" t="n">
        <v>11</v>
      </c>
      <c r="E796" s="264" t="inlineStr">
        <is>
          <t>BOGOTA</t>
        </is>
      </c>
      <c r="F796" s="264" t="inlineStr">
        <is>
          <t xml:space="preserve">CARGUEROS </t>
        </is>
      </c>
      <c r="G796" s="264" t="n">
        <v>11</v>
      </c>
      <c r="H796" s="264" t="inlineStr">
        <is>
          <t>DIEGO NIÑO</t>
        </is>
      </c>
      <c r="I796" s="264" t="inlineStr">
        <is>
          <t>GZZ673</t>
        </is>
      </c>
      <c r="J796" s="265" t="n">
        <v>0.1354166666666667</v>
      </c>
      <c r="K796" s="266" t="n">
        <v>3240</v>
      </c>
      <c r="L796" s="308" t="n"/>
      <c r="M796" s="113" t="n"/>
      <c r="N796" s="113" t="n"/>
      <c r="O796" s="113" t="n"/>
      <c r="P796" s="243" t="n"/>
      <c r="Q796" s="113" t="n"/>
      <c r="R796" s="113" t="n"/>
    </row>
    <row r="797" ht="15.75" customHeight="1">
      <c r="A797" s="113" t="n"/>
      <c r="B797" s="146" t="n">
        <v>15</v>
      </c>
      <c r="C797" s="350" t="n">
        <v>45902</v>
      </c>
      <c r="D797" s="351" t="n">
        <v>12</v>
      </c>
      <c r="E797" s="264" t="inlineStr">
        <is>
          <t xml:space="preserve">GARCERAS </t>
        </is>
      </c>
      <c r="F797" s="264" t="inlineStr">
        <is>
          <t>ABONEROS</t>
        </is>
      </c>
      <c r="G797" s="264" t="n">
        <v>10</v>
      </c>
      <c r="H797" s="264" t="inlineStr">
        <is>
          <t>JOSE HERRERA</t>
        </is>
      </c>
      <c r="I797" s="264" t="inlineStr">
        <is>
          <t>EQY778</t>
        </is>
      </c>
      <c r="J797" s="265" t="n">
        <v>0.1847222222222222</v>
      </c>
      <c r="K797" s="266" t="n">
        <v>3003</v>
      </c>
      <c r="L797" s="308" t="n"/>
      <c r="M797" s="113" t="n"/>
      <c r="N797" s="113" t="n"/>
      <c r="O797" s="113" t="n"/>
      <c r="P797" s="243" t="n"/>
      <c r="Q797" s="113" t="n"/>
      <c r="R797" s="113" t="n"/>
    </row>
    <row r="798" ht="15.75" customHeight="1">
      <c r="A798" s="113" t="n"/>
      <c r="B798" s="146" t="n">
        <v>15</v>
      </c>
      <c r="C798" s="350" t="n">
        <v>45902</v>
      </c>
      <c r="D798" s="351" t="n">
        <v>13</v>
      </c>
      <c r="E798" s="264" t="inlineStr">
        <is>
          <t>BOGOTA</t>
        </is>
      </c>
      <c r="F798" s="264" t="inlineStr">
        <is>
          <t>CARGUEROS</t>
        </is>
      </c>
      <c r="G798" s="264" t="n">
        <v>11</v>
      </c>
      <c r="H798" s="264" t="inlineStr">
        <is>
          <t>EDWIN ROJAS</t>
        </is>
      </c>
      <c r="I798" s="264" t="inlineStr">
        <is>
          <t>EQY780</t>
        </is>
      </c>
      <c r="J798" s="265" t="n">
        <v>0.1875</v>
      </c>
      <c r="K798" s="266" t="n">
        <v>2662</v>
      </c>
      <c r="L798" s="308" t="n"/>
      <c r="M798" s="113" t="n"/>
      <c r="N798" s="113" t="n"/>
      <c r="O798" s="113" t="n"/>
      <c r="P798" s="243" t="n"/>
      <c r="Q798" s="113" t="n"/>
      <c r="R798" s="113" t="n"/>
    </row>
    <row r="799" ht="15.75" customHeight="1">
      <c r="A799" s="113" t="n"/>
      <c r="B799" s="146" t="n">
        <v>15</v>
      </c>
      <c r="C799" s="350" t="n">
        <v>45902</v>
      </c>
      <c r="D799" s="351" t="n">
        <v>14</v>
      </c>
      <c r="E799" s="264" t="inlineStr">
        <is>
          <t xml:space="preserve">GARCERAS </t>
        </is>
      </c>
      <c r="F799" s="264" t="inlineStr">
        <is>
          <t xml:space="preserve">ABONEROS </t>
        </is>
      </c>
      <c r="G799" s="264" t="n">
        <v>10</v>
      </c>
      <c r="H799" s="264" t="inlineStr">
        <is>
          <t xml:space="preserve">WILMER PIÑEROS </t>
        </is>
      </c>
      <c r="I799" s="264" t="inlineStr">
        <is>
          <t>KNL076</t>
        </is>
      </c>
      <c r="J799" s="265" t="n">
        <v>0.21875</v>
      </c>
      <c r="K799" s="266" t="n">
        <v>3003</v>
      </c>
      <c r="L799" s="308" t="n"/>
      <c r="M799" s="113" t="n"/>
      <c r="N799" s="113" t="n"/>
      <c r="O799" s="113" t="n"/>
      <c r="P799" s="243" t="n"/>
      <c r="Q799" s="113" t="n"/>
      <c r="R799" s="113" t="n"/>
    </row>
    <row r="800" ht="15.75" customHeight="1">
      <c r="A800" s="113" t="n"/>
      <c r="B800" s="146" t="n">
        <v>15</v>
      </c>
      <c r="C800" s="350" t="n">
        <v>45902</v>
      </c>
      <c r="D800" s="351" t="n">
        <v>15</v>
      </c>
      <c r="E800" s="264" t="inlineStr">
        <is>
          <t>BOGOTA</t>
        </is>
      </c>
      <c r="F800" s="264" t="inlineStr">
        <is>
          <t xml:space="preserve">CARGUEROS </t>
        </is>
      </c>
      <c r="G800" s="264" t="n">
        <v>11</v>
      </c>
      <c r="H800" s="264" t="inlineStr">
        <is>
          <t>FABIO ALDANA</t>
        </is>
      </c>
      <c r="I800" s="264" t="inlineStr">
        <is>
          <t>TLO882</t>
        </is>
      </c>
      <c r="J800" s="265" t="n">
        <v>0.2395833333333333</v>
      </c>
      <c r="K800" s="266" t="n">
        <v>2672</v>
      </c>
      <c r="L800" s="308" t="n"/>
      <c r="M800" s="113" t="n"/>
      <c r="N800" s="113" t="n"/>
      <c r="O800" s="113" t="n"/>
      <c r="P800" s="243" t="n"/>
      <c r="Q800" s="113" t="n"/>
      <c r="R800" s="113" t="n"/>
    </row>
    <row r="801" ht="15.75" customHeight="1">
      <c r="A801" s="113" t="n"/>
      <c r="B801" s="146" t="n">
        <v>15</v>
      </c>
      <c r="C801" s="350" t="n">
        <v>45902</v>
      </c>
      <c r="D801" s="351" t="n">
        <v>16</v>
      </c>
      <c r="E801" s="264" t="inlineStr">
        <is>
          <t xml:space="preserve">GARCERAS </t>
        </is>
      </c>
      <c r="F801" s="264" t="inlineStr">
        <is>
          <t xml:space="preserve">ABONEROS </t>
        </is>
      </c>
      <c r="G801" s="264" t="n">
        <v>10</v>
      </c>
      <c r="H801" s="264" t="inlineStr">
        <is>
          <t xml:space="preserve">ALBERTO LOPEZ </t>
        </is>
      </c>
      <c r="I801" s="264" t="inlineStr">
        <is>
          <t>EQY777</t>
        </is>
      </c>
      <c r="J801" s="265" t="n">
        <v>0.2875</v>
      </c>
      <c r="K801" s="266" t="n">
        <v>3003</v>
      </c>
      <c r="L801" s="308" t="n"/>
      <c r="M801" s="113" t="n"/>
      <c r="N801" s="113" t="n"/>
      <c r="O801" s="113" t="n"/>
      <c r="P801" s="243" t="n"/>
      <c r="Q801" s="113" t="n"/>
      <c r="R801" s="113" t="n"/>
    </row>
    <row r="802" ht="15.75" customHeight="1">
      <c r="A802" s="113" t="n"/>
      <c r="B802" s="146" t="n">
        <v>15</v>
      </c>
      <c r="C802" s="350" t="n">
        <v>45902</v>
      </c>
      <c r="D802" s="351" t="n">
        <v>17</v>
      </c>
      <c r="E802" s="264" t="inlineStr">
        <is>
          <t>BOGOTA</t>
        </is>
      </c>
      <c r="F802" s="264" t="inlineStr">
        <is>
          <t xml:space="preserve">CARGUEROS </t>
        </is>
      </c>
      <c r="G802" s="264" t="n">
        <v>11</v>
      </c>
      <c r="H802" s="264" t="inlineStr">
        <is>
          <t>DUMAR ANGARITA</t>
        </is>
      </c>
      <c r="I802" s="264" t="inlineStr">
        <is>
          <t>LQO745</t>
        </is>
      </c>
      <c r="J802" s="265" t="n">
        <v>0.2916666666666667</v>
      </c>
      <c r="K802" s="266" t="n">
        <v>2700</v>
      </c>
      <c r="L802" s="308" t="n"/>
      <c r="M802" s="113" t="n"/>
      <c r="N802" s="113" t="n"/>
      <c r="O802" s="113" t="n"/>
      <c r="P802" s="243" t="n"/>
      <c r="Q802" s="113" t="n"/>
      <c r="R802" s="113" t="n"/>
    </row>
    <row r="803" ht="15.75" customHeight="1">
      <c r="A803" s="113" t="n"/>
      <c r="B803" s="146" t="n">
        <v>15</v>
      </c>
      <c r="C803" s="350" t="n">
        <v>45902</v>
      </c>
      <c r="D803" s="351" t="n">
        <v>18</v>
      </c>
      <c r="E803" s="264" t="inlineStr">
        <is>
          <t xml:space="preserve">GARCERAS </t>
        </is>
      </c>
      <c r="F803" s="264" t="inlineStr">
        <is>
          <t>ABONEROS</t>
        </is>
      </c>
      <c r="G803" s="264" t="n">
        <v>10</v>
      </c>
      <c r="H803" s="264" t="inlineStr">
        <is>
          <t xml:space="preserve">JHON ARIAS </t>
        </is>
      </c>
      <c r="I803" s="264" t="inlineStr">
        <is>
          <t>TLN248</t>
        </is>
      </c>
      <c r="J803" s="265" t="n">
        <v>0.3645833333333333</v>
      </c>
      <c r="K803" s="266" t="n">
        <v>2807</v>
      </c>
      <c r="L803" s="308" t="n"/>
      <c r="M803" s="113" t="n"/>
      <c r="N803" s="113" t="n"/>
      <c r="O803" s="113" t="n"/>
      <c r="P803" s="243" t="n"/>
      <c r="Q803" s="113" t="n"/>
      <c r="R803" s="113" t="n"/>
    </row>
    <row r="804" ht="15.75" customHeight="1">
      <c r="A804" s="113" t="n"/>
      <c r="B804" s="146" t="n">
        <v>15</v>
      </c>
      <c r="C804" s="350" t="n">
        <v>45902</v>
      </c>
      <c r="D804" s="351" t="n">
        <v>19</v>
      </c>
      <c r="E804" s="264" t="inlineStr">
        <is>
          <t>BOGOTA</t>
        </is>
      </c>
      <c r="F804" s="264" t="inlineStr">
        <is>
          <t xml:space="preserve">CARGUEROS </t>
        </is>
      </c>
      <c r="G804" s="264" t="n">
        <v>11</v>
      </c>
      <c r="H804" s="264" t="inlineStr">
        <is>
          <t>JAIRO CUBILLOS</t>
        </is>
      </c>
      <c r="I804" s="264" t="inlineStr">
        <is>
          <t>TLO884</t>
        </is>
      </c>
      <c r="J804" s="265" t="n">
        <v>0.3347222222222222</v>
      </c>
      <c r="K804" s="266" t="n">
        <v>2248</v>
      </c>
      <c r="L804" s="308" t="n"/>
      <c r="M804" s="113" t="n"/>
      <c r="N804" s="113" t="n"/>
      <c r="O804" s="113" t="n"/>
      <c r="P804" s="243" t="n"/>
      <c r="Q804" s="113" t="n"/>
      <c r="R804" s="113" t="n"/>
    </row>
    <row r="805" ht="15.75" customHeight="1">
      <c r="A805" s="113" t="n"/>
      <c r="B805" s="146" t="n">
        <v>15</v>
      </c>
      <c r="C805" s="350" t="n">
        <v>45902</v>
      </c>
      <c r="D805" s="351" t="n">
        <v>20</v>
      </c>
      <c r="E805" s="264" t="inlineStr">
        <is>
          <t xml:space="preserve">GARCERAS </t>
        </is>
      </c>
      <c r="F805" s="264" t="inlineStr">
        <is>
          <t xml:space="preserve">ABONEROS </t>
        </is>
      </c>
      <c r="G805" s="264" t="n">
        <v>10</v>
      </c>
      <c r="H805" s="264" t="inlineStr">
        <is>
          <t xml:space="preserve">EDUAN CAVIEDEZ </t>
        </is>
      </c>
      <c r="I805" s="264" t="inlineStr">
        <is>
          <t>EQY779</t>
        </is>
      </c>
      <c r="J805" s="265" t="n">
        <v>0.39375</v>
      </c>
      <c r="K805" s="266" t="n">
        <v>2807</v>
      </c>
      <c r="L805" s="309" t="n"/>
      <c r="M805" s="113" t="n"/>
      <c r="N805" s="113" t="n"/>
      <c r="O805" s="113" t="n"/>
      <c r="P805" s="243" t="n"/>
      <c r="Q805" s="113" t="n"/>
      <c r="R805" s="113" t="n"/>
    </row>
    <row r="806" ht="15.75" customHeight="1">
      <c r="A806" s="113" t="n"/>
      <c r="B806" s="146" t="n">
        <v>15</v>
      </c>
      <c r="C806" s="356" t="n">
        <v>45902</v>
      </c>
      <c r="D806" s="357" t="n">
        <v>21</v>
      </c>
      <c r="E806" s="271" t="inlineStr">
        <is>
          <t xml:space="preserve">GARCERAS </t>
        </is>
      </c>
      <c r="F806" s="271" t="inlineStr">
        <is>
          <t xml:space="preserve">ABONEROS </t>
        </is>
      </c>
      <c r="G806" s="271" t="n">
        <v>10</v>
      </c>
      <c r="H806" s="271" t="inlineStr">
        <is>
          <t xml:space="preserve">HENRY ROMERO </t>
        </is>
      </c>
      <c r="I806" s="271" t="inlineStr">
        <is>
          <t>EQY781</t>
        </is>
      </c>
      <c r="J806" s="272" t="n">
        <v>0.4451388888888889</v>
      </c>
      <c r="K806" s="273" t="n">
        <v>3116</v>
      </c>
      <c r="L806" s="378">
        <f>SUM(K786:K806)</f>
        <v/>
      </c>
      <c r="M806" s="113" t="n"/>
      <c r="N806" s="113" t="n"/>
      <c r="O806" s="113" t="n"/>
      <c r="P806" s="243" t="n"/>
      <c r="Q806" s="113" t="n"/>
      <c r="R806" s="113" t="n"/>
    </row>
    <row r="807" ht="15.75" customHeight="1">
      <c r="A807" s="113" t="n"/>
      <c r="B807" s="146" t="n">
        <v>15</v>
      </c>
      <c r="C807" s="348" t="n">
        <v>45903</v>
      </c>
      <c r="D807" s="349" t="n">
        <v>1</v>
      </c>
      <c r="E807" s="258" t="inlineStr">
        <is>
          <t>HUERTAS</t>
        </is>
      </c>
      <c r="F807" s="258" t="inlineStr">
        <is>
          <t>CARGUEROS</t>
        </is>
      </c>
      <c r="G807" s="258" t="n">
        <v>10</v>
      </c>
      <c r="H807" s="258" t="inlineStr">
        <is>
          <t>JORGE HERNANDEZ</t>
        </is>
      </c>
      <c r="I807" s="258" t="inlineStr">
        <is>
          <t>SQW243</t>
        </is>
      </c>
      <c r="J807" s="259" t="n">
        <v>0.7916666666666666</v>
      </c>
      <c r="K807" s="260" t="n">
        <v>2700</v>
      </c>
      <c r="L807" s="292" t="n"/>
      <c r="M807" s="113" t="n"/>
      <c r="N807" s="113" t="n"/>
      <c r="O807" s="113" t="n"/>
      <c r="P807" s="243" t="n"/>
      <c r="Q807" s="113" t="n"/>
      <c r="R807" s="113" t="n"/>
    </row>
    <row r="808" ht="15.75" customHeight="1">
      <c r="A808" s="113" t="n"/>
      <c r="B808" s="146" t="n">
        <v>15</v>
      </c>
      <c r="C808" s="350" t="n">
        <v>45903</v>
      </c>
      <c r="D808" s="351" t="n">
        <v>2</v>
      </c>
      <c r="E808" s="264" t="inlineStr">
        <is>
          <t>HUERTAS</t>
        </is>
      </c>
      <c r="F808" s="264" t="inlineStr">
        <is>
          <t>CARGUEROS</t>
        </is>
      </c>
      <c r="G808" s="264" t="n">
        <v>10</v>
      </c>
      <c r="H808" s="264" t="inlineStr">
        <is>
          <t>JHON APONTE</t>
        </is>
      </c>
      <c r="I808" s="264" t="inlineStr">
        <is>
          <t>EQI688</t>
        </is>
      </c>
      <c r="J808" s="265" t="n">
        <v>0.8298611111111112</v>
      </c>
      <c r="K808" s="266" t="n">
        <v>2700</v>
      </c>
      <c r="L808" s="308" t="n"/>
      <c r="M808" s="113" t="n"/>
      <c r="N808" s="113" t="n"/>
      <c r="O808" s="113" t="n"/>
      <c r="P808" s="243" t="n"/>
      <c r="Q808" s="113" t="n"/>
      <c r="R808" s="113" t="n"/>
    </row>
    <row r="809" ht="15.75" customHeight="1">
      <c r="A809" s="113" t="n"/>
      <c r="B809" s="146" t="n">
        <v>15</v>
      </c>
      <c r="C809" s="350" t="n">
        <v>45903</v>
      </c>
      <c r="D809" s="351" t="n">
        <v>3</v>
      </c>
      <c r="E809" s="264" t="inlineStr">
        <is>
          <t>HUERTAS</t>
        </is>
      </c>
      <c r="F809" s="264" t="inlineStr">
        <is>
          <t>CARGUEROS</t>
        </is>
      </c>
      <c r="G809" s="264" t="n">
        <v>10</v>
      </c>
      <c r="H809" s="264" t="inlineStr">
        <is>
          <t>ALEJANDRO QUKAI</t>
        </is>
      </c>
      <c r="I809" s="264" t="inlineStr">
        <is>
          <t>TLN250</t>
        </is>
      </c>
      <c r="J809" s="265" t="n">
        <v>0.8784722222222222</v>
      </c>
      <c r="K809" s="266" t="n">
        <v>2612</v>
      </c>
      <c r="L809" s="308" t="n"/>
      <c r="M809" s="113" t="n"/>
      <c r="N809" s="113" t="n"/>
      <c r="O809" s="113" t="n"/>
      <c r="P809" s="243" t="n"/>
      <c r="Q809" s="113" t="n"/>
      <c r="R809" s="113" t="n"/>
    </row>
    <row r="810" ht="15.75" customHeight="1">
      <c r="A810" s="113" t="n"/>
      <c r="B810" s="146" t="n">
        <v>15</v>
      </c>
      <c r="C810" s="350" t="n">
        <v>45903</v>
      </c>
      <c r="D810" s="351" t="n">
        <v>4</v>
      </c>
      <c r="E810" s="264" t="inlineStr">
        <is>
          <t>HUERTAS</t>
        </is>
      </c>
      <c r="F810" s="264" t="inlineStr">
        <is>
          <t>CARGUEROS</t>
        </is>
      </c>
      <c r="G810" s="264" t="n">
        <v>10</v>
      </c>
      <c r="H810" s="264" t="inlineStr">
        <is>
          <t>JHON ARIAS</t>
        </is>
      </c>
      <c r="I810" s="264" t="inlineStr">
        <is>
          <t>TLN248</t>
        </is>
      </c>
      <c r="J810" s="265" t="n">
        <v>0.9340277777777778</v>
      </c>
      <c r="K810" s="266" t="n">
        <v>2552</v>
      </c>
      <c r="L810" s="308" t="n"/>
      <c r="M810" s="113" t="n"/>
      <c r="N810" s="113" t="n"/>
      <c r="O810" s="113" t="n"/>
      <c r="P810" s="243" t="n"/>
      <c r="Q810" s="113" t="n"/>
      <c r="R810" s="113" t="n"/>
    </row>
    <row r="811" ht="15.75" customHeight="1">
      <c r="A811" s="113" t="n"/>
      <c r="B811" s="146" t="n">
        <v>15</v>
      </c>
      <c r="C811" s="350" t="n">
        <v>45903</v>
      </c>
      <c r="D811" s="351" t="n">
        <v>5</v>
      </c>
      <c r="E811" s="264" t="inlineStr">
        <is>
          <t>HUERTAS</t>
        </is>
      </c>
      <c r="F811" s="264" t="inlineStr">
        <is>
          <t>CARGUEROS</t>
        </is>
      </c>
      <c r="G811" s="264" t="n">
        <v>10</v>
      </c>
      <c r="H811" s="264" t="inlineStr">
        <is>
          <t xml:space="preserve">MANUEL QUITIAN </t>
        </is>
      </c>
      <c r="I811" s="264" t="inlineStr">
        <is>
          <t>KUS176</t>
        </is>
      </c>
      <c r="J811" s="265" t="n">
        <v>0.9895833333333334</v>
      </c>
      <c r="K811" s="266" t="n">
        <v>3240</v>
      </c>
      <c r="L811" s="308" t="n"/>
      <c r="M811" s="113" t="n"/>
      <c r="N811" s="113" t="n"/>
      <c r="O811" s="113" t="n"/>
      <c r="P811" s="243" t="n"/>
      <c r="Q811" s="113" t="n"/>
      <c r="R811" s="113" t="n"/>
    </row>
    <row r="812" ht="15.75" customHeight="1">
      <c r="A812" s="113" t="n"/>
      <c r="B812" s="146" t="n">
        <v>15</v>
      </c>
      <c r="C812" s="350" t="n">
        <v>45903</v>
      </c>
      <c r="D812" s="351" t="n">
        <v>6</v>
      </c>
      <c r="E812" s="264" t="inlineStr">
        <is>
          <t>HUERTAS</t>
        </is>
      </c>
      <c r="F812" s="264" t="inlineStr">
        <is>
          <t>CARGUEROS</t>
        </is>
      </c>
      <c r="G812" s="264" t="n">
        <v>10</v>
      </c>
      <c r="H812" s="264" t="inlineStr">
        <is>
          <t>EDUAN CAVIEDEZ</t>
        </is>
      </c>
      <c r="I812" s="264" t="inlineStr">
        <is>
          <t>EQY779</t>
        </is>
      </c>
      <c r="J812" s="265" t="n">
        <v>0.03472222222222222</v>
      </c>
      <c r="K812" s="266" t="n">
        <v>3240</v>
      </c>
      <c r="L812" s="308" t="n"/>
      <c r="M812" s="113" t="n"/>
      <c r="N812" s="113" t="n"/>
      <c r="O812" s="113" t="n"/>
      <c r="P812" s="243" t="n"/>
      <c r="Q812" s="113" t="n"/>
      <c r="R812" s="113" t="n"/>
    </row>
    <row r="813" ht="15.75" customHeight="1">
      <c r="A813" s="113" t="n"/>
      <c r="B813" s="146" t="n">
        <v>15</v>
      </c>
      <c r="C813" s="350" t="n">
        <v>45903</v>
      </c>
      <c r="D813" s="351" t="n">
        <v>7</v>
      </c>
      <c r="E813" s="264" t="inlineStr">
        <is>
          <t>HUERTAS</t>
        </is>
      </c>
      <c r="F813" s="264" t="inlineStr">
        <is>
          <t>CARGUEROS</t>
        </is>
      </c>
      <c r="G813" s="264" t="n">
        <v>10</v>
      </c>
      <c r="H813" s="264" t="inlineStr">
        <is>
          <t>JOSE HERRERA</t>
        </is>
      </c>
      <c r="I813" s="264" t="inlineStr">
        <is>
          <t>EQY778</t>
        </is>
      </c>
      <c r="J813" s="265" t="n">
        <v>0.0763888888888889</v>
      </c>
      <c r="K813" s="266" t="n">
        <v>3240</v>
      </c>
      <c r="L813" s="308" t="n"/>
      <c r="M813" s="113" t="n"/>
      <c r="N813" s="113" t="n"/>
      <c r="O813" s="113" t="n"/>
      <c r="P813" s="243" t="n"/>
      <c r="Q813" s="113" t="n"/>
      <c r="R813" s="113" t="n"/>
    </row>
    <row r="814" ht="15.75" customHeight="1">
      <c r="A814" s="113" t="n"/>
      <c r="B814" s="146" t="n">
        <v>15</v>
      </c>
      <c r="C814" s="350" t="n">
        <v>45903</v>
      </c>
      <c r="D814" s="351" t="n">
        <v>8</v>
      </c>
      <c r="E814" s="264" t="inlineStr">
        <is>
          <t>HUERTAS</t>
        </is>
      </c>
      <c r="F814" s="264" t="inlineStr">
        <is>
          <t>CARGUEROS</t>
        </is>
      </c>
      <c r="G814" s="264" t="n">
        <v>10</v>
      </c>
      <c r="H814" s="264" t="inlineStr">
        <is>
          <t>ALEX GOMEZ</t>
        </is>
      </c>
      <c r="I814" s="264" t="inlineStr">
        <is>
          <t>TLN181</t>
        </is>
      </c>
      <c r="J814" s="265" t="n">
        <v>0.1215277777777778</v>
      </c>
      <c r="K814" s="266" t="n">
        <v>3240</v>
      </c>
      <c r="L814" s="308" t="n"/>
      <c r="M814" s="113" t="n"/>
      <c r="N814" s="113" t="n"/>
      <c r="O814" s="113" t="n"/>
      <c r="P814" s="243" t="n"/>
      <c r="Q814" s="113" t="n"/>
      <c r="R814" s="113" t="n"/>
    </row>
    <row r="815" ht="15.75" customHeight="1">
      <c r="A815" s="113" t="n"/>
      <c r="B815" s="146" t="n">
        <v>15</v>
      </c>
      <c r="C815" s="352" t="n">
        <v>45903</v>
      </c>
      <c r="D815" s="347" t="n">
        <v>9</v>
      </c>
      <c r="E815" s="282" t="inlineStr">
        <is>
          <t>HUERTAS</t>
        </is>
      </c>
      <c r="F815" s="282" t="inlineStr">
        <is>
          <t xml:space="preserve">CARGUEROS </t>
        </is>
      </c>
      <c r="G815" s="282" t="n">
        <v>10</v>
      </c>
      <c r="H815" s="282" t="inlineStr">
        <is>
          <t xml:space="preserve">HENRY ROMERO </t>
        </is>
      </c>
      <c r="I815" s="282" t="inlineStr">
        <is>
          <t>EQY781</t>
        </is>
      </c>
      <c r="J815" s="283" t="n">
        <v>0.1701388888888889</v>
      </c>
      <c r="K815" s="318" t="n">
        <v>3240</v>
      </c>
      <c r="L815" s="309" t="n"/>
      <c r="M815" s="113" t="n"/>
      <c r="N815" s="113" t="n"/>
      <c r="O815" s="113" t="n"/>
      <c r="P815" s="243" t="n"/>
      <c r="Q815" s="113" t="n"/>
      <c r="R815" s="113" t="n"/>
    </row>
    <row r="816" ht="15.75" customHeight="1">
      <c r="A816" s="113" t="n"/>
      <c r="B816" s="146" t="n">
        <v>15</v>
      </c>
      <c r="C816" s="350" t="n">
        <v>45903</v>
      </c>
      <c r="D816" s="351" t="n">
        <v>10</v>
      </c>
      <c r="E816" s="264" t="inlineStr">
        <is>
          <t xml:space="preserve">GARCERAS </t>
        </is>
      </c>
      <c r="F816" s="264" t="inlineStr">
        <is>
          <t>ABONEROS</t>
        </is>
      </c>
      <c r="G816" s="264" t="n">
        <v>11</v>
      </c>
      <c r="H816" s="264" t="inlineStr">
        <is>
          <t>DIEGO NIÑO</t>
        </is>
      </c>
      <c r="I816" s="264" t="inlineStr">
        <is>
          <t>GZZ673</t>
        </is>
      </c>
      <c r="J816" s="265" t="n">
        <v>0.3430555555555556</v>
      </c>
      <c r="K816" s="266" t="n">
        <v>2953</v>
      </c>
      <c r="L816" s="308" t="n"/>
      <c r="M816" s="113" t="n"/>
      <c r="N816" s="113" t="n"/>
      <c r="O816" s="113" t="n"/>
      <c r="P816" s="243" t="n"/>
      <c r="Q816" s="113" t="n"/>
      <c r="R816" s="113" t="n"/>
    </row>
    <row r="817" ht="15.75" customHeight="1">
      <c r="A817" s="113" t="n"/>
      <c r="B817" s="146" t="n">
        <v>15</v>
      </c>
      <c r="C817" s="356" t="n">
        <v>45903</v>
      </c>
      <c r="D817" s="357" t="n">
        <v>11</v>
      </c>
      <c r="E817" s="271" t="inlineStr">
        <is>
          <t xml:space="preserve">GARCERAS </t>
        </is>
      </c>
      <c r="F817" s="271" t="inlineStr">
        <is>
          <t xml:space="preserve">ABONEROS </t>
        </is>
      </c>
      <c r="G817" s="271" t="n">
        <v>11</v>
      </c>
      <c r="H817" s="271" t="inlineStr">
        <is>
          <t>JAIRO CUBILLOS</t>
        </is>
      </c>
      <c r="I817" s="271" t="inlineStr">
        <is>
          <t>TLO884</t>
        </is>
      </c>
      <c r="J817" s="272" t="n">
        <v>0.3743055555555556</v>
      </c>
      <c r="K817" s="286" t="n">
        <v>2953</v>
      </c>
      <c r="L817" s="385">
        <f>SUM(K807:K817)</f>
        <v/>
      </c>
      <c r="M817" s="113" t="n"/>
      <c r="N817" s="113" t="n"/>
      <c r="O817" s="113" t="n"/>
      <c r="P817" s="243" t="n"/>
      <c r="Q817" s="113" t="n"/>
      <c r="R817" s="113" t="n"/>
    </row>
    <row r="818" ht="15.75" customHeight="1">
      <c r="A818" s="113" t="n"/>
      <c r="B818" s="146" t="n">
        <v>15</v>
      </c>
      <c r="C818" s="348" t="n">
        <v>45904</v>
      </c>
      <c r="D818" s="349" t="n">
        <v>1</v>
      </c>
      <c r="E818" s="258" t="inlineStr">
        <is>
          <t>HUERTAS</t>
        </is>
      </c>
      <c r="F818" s="258" t="inlineStr">
        <is>
          <t>CARGUEROS</t>
        </is>
      </c>
      <c r="G818" s="258" t="n">
        <v>10</v>
      </c>
      <c r="H818" s="258" t="inlineStr">
        <is>
          <t>ALEJANDRO QUKAI</t>
        </is>
      </c>
      <c r="I818" s="258" t="inlineStr">
        <is>
          <t>TLN250</t>
        </is>
      </c>
      <c r="J818" s="259" t="n">
        <v>0.7916666666666666</v>
      </c>
      <c r="K818" s="260" t="n">
        <v>3160</v>
      </c>
      <c r="L818" s="292" t="n"/>
      <c r="M818" s="113" t="n"/>
      <c r="N818" s="113" t="n"/>
      <c r="O818" s="113" t="n"/>
      <c r="P818" s="243" t="n"/>
      <c r="Q818" s="113" t="n"/>
      <c r="R818" s="113" t="n"/>
    </row>
    <row r="819" ht="15.75" customHeight="1">
      <c r="A819" s="113" t="n"/>
      <c r="B819" s="146" t="n">
        <v>15</v>
      </c>
      <c r="C819" s="350" t="n">
        <v>45904</v>
      </c>
      <c r="D819" s="351" t="n">
        <v>2</v>
      </c>
      <c r="E819" s="264" t="inlineStr">
        <is>
          <t>HUERTAS</t>
        </is>
      </c>
      <c r="F819" s="264" t="inlineStr">
        <is>
          <t>CARGUEROS</t>
        </is>
      </c>
      <c r="G819" s="264" t="n">
        <v>10</v>
      </c>
      <c r="H819" s="264" t="inlineStr">
        <is>
          <t>JHONATAN GOMEZ</t>
        </is>
      </c>
      <c r="I819" s="264" t="inlineStr">
        <is>
          <t>WFT709</t>
        </is>
      </c>
      <c r="J819" s="265" t="n">
        <v>0.7951388888888888</v>
      </c>
      <c r="K819" s="266" t="n">
        <v>3160</v>
      </c>
      <c r="L819" s="308" t="n"/>
      <c r="M819" s="113" t="n"/>
      <c r="N819" s="113" t="n"/>
      <c r="O819" s="113" t="n"/>
      <c r="P819" s="243" t="n"/>
      <c r="Q819" s="113" t="n"/>
      <c r="R819" s="113" t="n"/>
    </row>
    <row r="820" ht="15.75" customHeight="1">
      <c r="A820" s="113" t="n"/>
      <c r="B820" s="146" t="n">
        <v>15</v>
      </c>
      <c r="C820" s="350" t="n">
        <v>45904</v>
      </c>
      <c r="D820" s="351" t="n">
        <v>3</v>
      </c>
      <c r="E820" s="264" t="inlineStr">
        <is>
          <t>HUERTAS</t>
        </is>
      </c>
      <c r="F820" s="264" t="inlineStr">
        <is>
          <t>CARGUEROS</t>
        </is>
      </c>
      <c r="G820" s="264" t="n">
        <v>10</v>
      </c>
      <c r="H820" s="264" t="inlineStr">
        <is>
          <t xml:space="preserve">LEONARDO LUGO </t>
        </is>
      </c>
      <c r="I820" s="264" t="inlineStr">
        <is>
          <t>SXM804</t>
        </is>
      </c>
      <c r="J820" s="265" t="n">
        <v>0.8576388888888888</v>
      </c>
      <c r="K820" s="266" t="n">
        <v>2980</v>
      </c>
      <c r="L820" s="308" t="n"/>
      <c r="M820" s="113" t="n"/>
      <c r="N820" s="113" t="n"/>
      <c r="O820" s="113" t="n"/>
      <c r="P820" s="243" t="n"/>
      <c r="Q820" s="113" t="n"/>
      <c r="R820" s="113" t="n"/>
    </row>
    <row r="821" ht="15.75" customHeight="1">
      <c r="A821" s="113" t="n"/>
      <c r="B821" s="146" t="n">
        <v>15</v>
      </c>
      <c r="C821" s="350" t="n">
        <v>45904</v>
      </c>
      <c r="D821" s="351" t="n">
        <v>4</v>
      </c>
      <c r="E821" s="264" t="inlineStr">
        <is>
          <t xml:space="preserve">GARCERAS </t>
        </is>
      </c>
      <c r="F821" s="264" t="inlineStr">
        <is>
          <t>CARGUEROS</t>
        </is>
      </c>
      <c r="G821" s="264" t="n">
        <v>11</v>
      </c>
      <c r="H821" s="264" t="inlineStr">
        <is>
          <t xml:space="preserve">HENRY ROMERO </t>
        </is>
      </c>
      <c r="I821" s="264" t="inlineStr">
        <is>
          <t>EQY781</t>
        </is>
      </c>
      <c r="J821" s="265" t="n">
        <v>0.05694444444444444</v>
      </c>
      <c r="K821" s="266" t="n">
        <v>3118</v>
      </c>
      <c r="L821" s="308" t="n"/>
      <c r="M821" s="113" t="n"/>
      <c r="N821" s="113" t="n"/>
      <c r="O821" s="113" t="n"/>
      <c r="P821" s="243" t="n"/>
      <c r="Q821" s="113" t="n"/>
      <c r="R821" s="113" t="n"/>
    </row>
    <row r="822" ht="15.75" customHeight="1">
      <c r="A822" s="113" t="n"/>
      <c r="B822" s="146" t="n">
        <v>15</v>
      </c>
      <c r="C822" s="350" t="n">
        <v>45904</v>
      </c>
      <c r="D822" s="351" t="n">
        <v>5</v>
      </c>
      <c r="E822" s="264" t="inlineStr">
        <is>
          <t xml:space="preserve">GARCERAS </t>
        </is>
      </c>
      <c r="F822" s="264" t="inlineStr">
        <is>
          <t>CARGUEROS</t>
        </is>
      </c>
      <c r="G822" s="264" t="n">
        <v>11</v>
      </c>
      <c r="H822" s="264" t="inlineStr">
        <is>
          <t>JAIRO CUBILLOS</t>
        </is>
      </c>
      <c r="I822" s="264" t="inlineStr">
        <is>
          <t>TLO88</t>
        </is>
      </c>
      <c r="J822" s="265" t="n">
        <v>0.09027777777777778</v>
      </c>
      <c r="K822" s="266" t="n">
        <v>3118</v>
      </c>
      <c r="L822" s="308" t="n"/>
      <c r="M822" s="113" t="n"/>
      <c r="N822" s="113" t="n"/>
      <c r="O822" s="113" t="n"/>
      <c r="P822" s="243" t="n"/>
      <c r="Q822" s="113" t="n"/>
      <c r="R822" s="113" t="n"/>
    </row>
    <row r="823" ht="15.75" customHeight="1">
      <c r="A823" s="113" t="n"/>
      <c r="B823" s="146" t="n">
        <v>15</v>
      </c>
      <c r="C823" s="350" t="n">
        <v>45904</v>
      </c>
      <c r="D823" s="351" t="n">
        <v>6</v>
      </c>
      <c r="E823" s="264" t="inlineStr">
        <is>
          <t xml:space="preserve">GARCERAS </t>
        </is>
      </c>
      <c r="F823" s="264" t="inlineStr">
        <is>
          <t>CARGUEROS</t>
        </is>
      </c>
      <c r="G823" s="264" t="n">
        <v>11</v>
      </c>
      <c r="H823" s="264" t="inlineStr">
        <is>
          <t>FABIO ALDANA</t>
        </is>
      </c>
      <c r="I823" s="264" t="inlineStr">
        <is>
          <t>TLO882</t>
        </is>
      </c>
      <c r="J823" s="265" t="n">
        <v>0.1215277777777778</v>
      </c>
      <c r="K823" s="266" t="n">
        <v>3118</v>
      </c>
      <c r="L823" s="308" t="n"/>
      <c r="M823" s="113" t="n"/>
      <c r="N823" s="113" t="n"/>
      <c r="O823" s="113" t="n"/>
      <c r="P823" s="243" t="n"/>
      <c r="Q823" s="113" t="n"/>
      <c r="R823" s="113" t="n"/>
    </row>
    <row r="824" ht="15.75" customHeight="1">
      <c r="A824" s="113" t="n"/>
      <c r="B824" s="146" t="n">
        <v>15</v>
      </c>
      <c r="C824" s="350" t="n">
        <v>45904</v>
      </c>
      <c r="D824" s="351" t="n">
        <v>7</v>
      </c>
      <c r="E824" s="264" t="inlineStr">
        <is>
          <t xml:space="preserve">GARCERAS </t>
        </is>
      </c>
      <c r="F824" s="264" t="inlineStr">
        <is>
          <t>CARGUEROS</t>
        </is>
      </c>
      <c r="G824" s="264" t="n">
        <v>11</v>
      </c>
      <c r="H824" s="264" t="inlineStr">
        <is>
          <t>YAIR RIVEROS</t>
        </is>
      </c>
      <c r="I824" s="264" t="inlineStr">
        <is>
          <t>TLO881</t>
        </is>
      </c>
      <c r="J824" s="265" t="n">
        <v>0.15625</v>
      </c>
      <c r="K824" s="266" t="n">
        <v>3118</v>
      </c>
      <c r="L824" s="308" t="n"/>
      <c r="M824" s="113" t="n"/>
      <c r="N824" s="113" t="n"/>
      <c r="O824" s="113" t="n"/>
      <c r="P824" s="243" t="n"/>
      <c r="Q824" s="113" t="n"/>
      <c r="R824" s="113" t="n"/>
    </row>
    <row r="825" ht="15.75" customHeight="1">
      <c r="A825" s="113" t="n"/>
      <c r="B825" s="146" t="n">
        <v>15</v>
      </c>
      <c r="C825" s="350" t="n">
        <v>45904</v>
      </c>
      <c r="D825" s="351" t="n">
        <v>8</v>
      </c>
      <c r="E825" s="264" t="inlineStr">
        <is>
          <t xml:space="preserve">GARCERAS </t>
        </is>
      </c>
      <c r="F825" s="264" t="inlineStr">
        <is>
          <t>CARGUEROS</t>
        </is>
      </c>
      <c r="G825" s="264" t="n">
        <v>11</v>
      </c>
      <c r="H825" s="264" t="inlineStr">
        <is>
          <t xml:space="preserve">WILMER PIÑEROS </t>
        </is>
      </c>
      <c r="I825" s="264" t="inlineStr">
        <is>
          <t>KLN076</t>
        </is>
      </c>
      <c r="J825" s="265" t="n">
        <v>0.1979166666666667</v>
      </c>
      <c r="K825" s="266" t="n">
        <v>3118</v>
      </c>
      <c r="L825" s="308" t="n"/>
      <c r="M825" s="113" t="n"/>
      <c r="N825" s="113" t="n"/>
      <c r="O825" s="113" t="n"/>
      <c r="P825" s="243" t="n"/>
      <c r="Q825" s="113" t="n"/>
      <c r="R825" s="113" t="n"/>
    </row>
    <row r="826" ht="15.75" customHeight="1">
      <c r="A826" s="113" t="n"/>
      <c r="B826" s="146" t="n">
        <v>15</v>
      </c>
      <c r="C826" s="350" t="n">
        <v>45904</v>
      </c>
      <c r="D826" s="351" t="n">
        <v>9</v>
      </c>
      <c r="E826" s="264" t="inlineStr">
        <is>
          <t xml:space="preserve">GARCERAS </t>
        </is>
      </c>
      <c r="F826" s="264" t="inlineStr">
        <is>
          <t>CARGUEROS</t>
        </is>
      </c>
      <c r="G826" s="264" t="n">
        <v>11</v>
      </c>
      <c r="H826" s="264" t="inlineStr">
        <is>
          <t>EDWIN ROJAS</t>
        </is>
      </c>
      <c r="I826" s="264" t="inlineStr">
        <is>
          <t>EQY780</t>
        </is>
      </c>
      <c r="J826" s="265" t="n">
        <v>0.2326388888888889</v>
      </c>
      <c r="K826" s="266" t="n">
        <v>3018</v>
      </c>
      <c r="L826" s="308" t="n"/>
      <c r="M826" s="113" t="n"/>
      <c r="N826" s="113" t="n"/>
      <c r="O826" s="113" t="n"/>
      <c r="P826" s="243" t="n"/>
      <c r="Q826" s="113" t="n"/>
      <c r="R826" s="113" t="n"/>
    </row>
    <row r="827" ht="15.75" customHeight="1">
      <c r="A827" s="113" t="n"/>
      <c r="B827" s="146" t="n">
        <v>15</v>
      </c>
      <c r="C827" s="350" t="n">
        <v>45904</v>
      </c>
      <c r="D827" s="351" t="n">
        <v>10</v>
      </c>
      <c r="E827" s="264" t="inlineStr">
        <is>
          <t xml:space="preserve">GARCERAS </t>
        </is>
      </c>
      <c r="F827" s="264" t="inlineStr">
        <is>
          <t>CARGUEROS</t>
        </is>
      </c>
      <c r="G827" s="264" t="n">
        <v>11</v>
      </c>
      <c r="H827" s="264" t="inlineStr">
        <is>
          <t>JHON ARIAS</t>
        </is>
      </c>
      <c r="I827" s="264" t="inlineStr">
        <is>
          <t>TLN248</t>
        </is>
      </c>
      <c r="J827" s="265" t="n">
        <v>0.2722222222222222</v>
      </c>
      <c r="K827" s="266" t="n">
        <v>3018</v>
      </c>
      <c r="L827" s="308" t="n"/>
      <c r="M827" s="113" t="n"/>
      <c r="N827" s="113" t="n"/>
      <c r="O827" s="113" t="n"/>
      <c r="P827" s="243" t="n"/>
      <c r="Q827" s="113" t="n"/>
      <c r="R827" s="113" t="n"/>
    </row>
    <row r="828" ht="15.75" customHeight="1">
      <c r="A828" s="113" t="n"/>
      <c r="B828" s="146" t="n">
        <v>15</v>
      </c>
      <c r="C828" s="350" t="n">
        <v>45904</v>
      </c>
      <c r="D828" s="351" t="n">
        <v>11</v>
      </c>
      <c r="E828" s="264" t="inlineStr">
        <is>
          <t xml:space="preserve">GARCERAS </t>
        </is>
      </c>
      <c r="F828" s="264" t="inlineStr">
        <is>
          <t>CARGUEROS</t>
        </is>
      </c>
      <c r="G828" s="264" t="n">
        <v>11</v>
      </c>
      <c r="H828" s="264" t="inlineStr">
        <is>
          <t>ALBERTO LOPEZ</t>
        </is>
      </c>
      <c r="I828" s="264" t="inlineStr">
        <is>
          <t>EQY777</t>
        </is>
      </c>
      <c r="J828" s="265" t="n">
        <v>0.3194444444444444</v>
      </c>
      <c r="K828" s="266" t="n">
        <v>3018</v>
      </c>
      <c r="L828" s="308" t="n"/>
      <c r="M828" s="113" t="n"/>
      <c r="N828" s="113" t="n"/>
      <c r="O828" s="113" t="n"/>
      <c r="P828" s="243" t="n"/>
      <c r="Q828" s="113" t="n"/>
      <c r="R828" s="113" t="n"/>
    </row>
    <row r="829" ht="15.75" customHeight="1">
      <c r="A829" s="113" t="n"/>
      <c r="B829" s="146" t="n">
        <v>15</v>
      </c>
      <c r="C829" s="350" t="n">
        <v>45904</v>
      </c>
      <c r="D829" s="351" t="n">
        <v>12</v>
      </c>
      <c r="E829" s="264" t="inlineStr">
        <is>
          <t xml:space="preserve">GARCERAS </t>
        </is>
      </c>
      <c r="F829" s="264" t="inlineStr">
        <is>
          <t>CARGUEROS</t>
        </is>
      </c>
      <c r="G829" s="264" t="n">
        <v>11</v>
      </c>
      <c r="H829" s="264" t="inlineStr">
        <is>
          <t>ALEX GOMEZ</t>
        </is>
      </c>
      <c r="I829" s="264" t="inlineStr">
        <is>
          <t>TLN181</t>
        </is>
      </c>
      <c r="J829" s="265" t="n">
        <v>0.3680555555555556</v>
      </c>
      <c r="K829" s="266" t="n">
        <v>3018</v>
      </c>
      <c r="L829" s="309" t="n"/>
      <c r="M829" s="113" t="n"/>
      <c r="N829" s="113" t="n"/>
      <c r="O829" s="113" t="n"/>
      <c r="P829" s="243" t="n"/>
      <c r="Q829" s="113" t="n"/>
      <c r="R829" s="113" t="n"/>
    </row>
    <row r="830" ht="15.75" customHeight="1">
      <c r="A830" s="113" t="n"/>
      <c r="B830" s="146" t="n">
        <v>15</v>
      </c>
      <c r="C830" s="356" t="n">
        <v>45904</v>
      </c>
      <c r="D830" s="357" t="n">
        <v>13</v>
      </c>
      <c r="E830" s="271" t="inlineStr">
        <is>
          <t xml:space="preserve">GARCERAS </t>
        </is>
      </c>
      <c r="F830" s="271" t="inlineStr">
        <is>
          <t>CARGUEROS</t>
        </is>
      </c>
      <c r="G830" s="271" t="n">
        <v>11</v>
      </c>
      <c r="H830" s="271" t="inlineStr">
        <is>
          <t>DIEGO NIÑO</t>
        </is>
      </c>
      <c r="I830" s="271" t="inlineStr">
        <is>
          <t>GZZ673</t>
        </is>
      </c>
      <c r="J830" s="272" t="n">
        <v>0.4236111111111111</v>
      </c>
      <c r="K830" s="273" t="n">
        <v>3160</v>
      </c>
      <c r="L830" s="378">
        <f>SUM(K818:K830)</f>
        <v/>
      </c>
      <c r="M830" s="113" t="n"/>
      <c r="N830" s="113" t="n"/>
      <c r="O830" s="113" t="n"/>
      <c r="P830" s="243" t="n"/>
      <c r="Q830" s="113" t="n"/>
      <c r="R830" s="113" t="n"/>
    </row>
    <row r="831" ht="15.75" customHeight="1">
      <c r="A831" s="113" t="n"/>
      <c r="B831" s="146" t="n">
        <v>15</v>
      </c>
      <c r="C831" s="348" t="n">
        <v>45905</v>
      </c>
      <c r="D831" s="349" t="n">
        <v>1</v>
      </c>
      <c r="E831" s="258" t="inlineStr">
        <is>
          <t xml:space="preserve">GARCERAS </t>
        </is>
      </c>
      <c r="F831" s="258" t="inlineStr">
        <is>
          <t>CARGUEROS</t>
        </is>
      </c>
      <c r="G831" s="258" t="n">
        <v>10</v>
      </c>
      <c r="H831" s="258" t="inlineStr">
        <is>
          <t xml:space="preserve">JOSE SOLER </t>
        </is>
      </c>
      <c r="I831" s="258" t="inlineStr">
        <is>
          <t>EQY776</t>
        </is>
      </c>
      <c r="J831" s="259" t="n">
        <v>0.0798611111111111</v>
      </c>
      <c r="K831" s="260" t="n">
        <v>2776</v>
      </c>
      <c r="L831" s="292" t="n"/>
      <c r="M831" s="113" t="n"/>
      <c r="N831" s="113" t="n"/>
      <c r="O831" s="113" t="n"/>
      <c r="P831" s="243" t="n"/>
      <c r="Q831" s="113" t="n"/>
      <c r="R831" s="113" t="n"/>
    </row>
    <row r="832" ht="15.75" customHeight="1">
      <c r="A832" s="113" t="n"/>
      <c r="B832" s="146" t="n">
        <v>15</v>
      </c>
      <c r="C832" s="350" t="n">
        <v>45905</v>
      </c>
      <c r="D832" s="351" t="n">
        <v>2</v>
      </c>
      <c r="E832" s="264" t="inlineStr">
        <is>
          <t xml:space="preserve">GARCERAS </t>
        </is>
      </c>
      <c r="F832" s="264" t="inlineStr">
        <is>
          <t>CARGUEROS</t>
        </is>
      </c>
      <c r="G832" s="264" t="n">
        <v>10</v>
      </c>
      <c r="H832" s="264" t="inlineStr">
        <is>
          <t>ALBERTO LOPEZ</t>
        </is>
      </c>
      <c r="I832" s="264" t="inlineStr">
        <is>
          <t>EQY777</t>
        </is>
      </c>
      <c r="J832" s="265" t="n">
        <v>0.1111111111111111</v>
      </c>
      <c r="K832" s="266" t="n">
        <v>2772</v>
      </c>
      <c r="L832" s="308" t="n"/>
      <c r="M832" s="113" t="n"/>
      <c r="N832" s="113" t="n"/>
      <c r="O832" s="113" t="n"/>
      <c r="P832" s="243" t="n"/>
      <c r="Q832" s="113" t="n"/>
      <c r="R832" s="113" t="n"/>
    </row>
    <row r="833" ht="15.75" customHeight="1">
      <c r="A833" s="113" t="n"/>
      <c r="B833" s="146" t="n">
        <v>15</v>
      </c>
      <c r="C833" s="350" t="n">
        <v>45905</v>
      </c>
      <c r="D833" s="351" t="n">
        <v>3</v>
      </c>
      <c r="E833" s="264" t="inlineStr">
        <is>
          <t xml:space="preserve">GARCERAS </t>
        </is>
      </c>
      <c r="F833" s="264" t="inlineStr">
        <is>
          <t>CARGUEROS</t>
        </is>
      </c>
      <c r="G833" s="264" t="n">
        <v>10</v>
      </c>
      <c r="H833" s="264" t="inlineStr">
        <is>
          <t>ALEX GOMEZ</t>
        </is>
      </c>
      <c r="I833" s="264" t="inlineStr">
        <is>
          <t>TLN181</t>
        </is>
      </c>
      <c r="J833" s="265" t="n">
        <v>0.1423611111111111</v>
      </c>
      <c r="K833" s="266" t="n">
        <v>2762</v>
      </c>
      <c r="L833" s="308" t="n"/>
      <c r="M833" s="113" t="n"/>
      <c r="N833" s="113" t="n"/>
      <c r="O833" s="113" t="n"/>
      <c r="P833" s="243" t="n"/>
      <c r="Q833" s="113" t="n"/>
      <c r="R833" s="113" t="n"/>
    </row>
    <row r="834" ht="15.75" customHeight="1">
      <c r="A834" s="113" t="n"/>
      <c r="B834" s="146" t="n">
        <v>15</v>
      </c>
      <c r="C834" s="350" t="n">
        <v>45905</v>
      </c>
      <c r="D834" s="351" t="n">
        <v>4</v>
      </c>
      <c r="E834" s="264" t="inlineStr">
        <is>
          <t xml:space="preserve">GARCERAS </t>
        </is>
      </c>
      <c r="F834" s="264" t="inlineStr">
        <is>
          <t>CARGUEROS</t>
        </is>
      </c>
      <c r="G834" s="264" t="n">
        <v>10</v>
      </c>
      <c r="H834" s="264" t="inlineStr">
        <is>
          <t>DIEGO NIÑO</t>
        </is>
      </c>
      <c r="I834" s="264" t="inlineStr">
        <is>
          <t>GZZ673</t>
        </is>
      </c>
      <c r="J834" s="265" t="n">
        <v>0.1979166666666667</v>
      </c>
      <c r="K834" s="266" t="n">
        <v>3018</v>
      </c>
      <c r="L834" s="308" t="n"/>
      <c r="M834" s="113" t="n"/>
      <c r="N834" s="113" t="n"/>
      <c r="O834" s="113" t="n"/>
      <c r="P834" s="243" t="n"/>
      <c r="Q834" s="113" t="n"/>
      <c r="R834" s="113" t="n"/>
    </row>
    <row r="835" ht="15.75" customHeight="1">
      <c r="A835" s="113" t="n"/>
      <c r="B835" s="146" t="n">
        <v>15</v>
      </c>
      <c r="C835" s="350" t="n">
        <v>45905</v>
      </c>
      <c r="D835" s="351" t="n">
        <v>5</v>
      </c>
      <c r="E835" s="264" t="inlineStr">
        <is>
          <t xml:space="preserve">GARCERAS </t>
        </is>
      </c>
      <c r="F835" s="264" t="inlineStr">
        <is>
          <t>CARGUEROS</t>
        </is>
      </c>
      <c r="G835" s="264" t="n">
        <v>11</v>
      </c>
      <c r="H835" s="264" t="inlineStr">
        <is>
          <t>FABIO ALDANA</t>
        </is>
      </c>
      <c r="I835" s="264" t="inlineStr">
        <is>
          <t>TLO882</t>
        </is>
      </c>
      <c r="J835" s="265" t="n">
        <v>0.2326388888888889</v>
      </c>
      <c r="K835" s="266" t="n">
        <v>3018</v>
      </c>
      <c r="L835" s="308" t="n"/>
      <c r="M835" s="113" t="n"/>
      <c r="N835" s="113" t="n"/>
      <c r="O835" s="113" t="n"/>
      <c r="P835" s="243" t="n"/>
      <c r="Q835" s="113" t="n"/>
      <c r="R835" s="113" t="n"/>
    </row>
    <row r="836" ht="15.75" customHeight="1">
      <c r="A836" s="113" t="n"/>
      <c r="B836" s="146" t="n">
        <v>15</v>
      </c>
      <c r="C836" s="350" t="n">
        <v>45905</v>
      </c>
      <c r="D836" s="351" t="n">
        <v>6</v>
      </c>
      <c r="E836" s="264" t="inlineStr">
        <is>
          <t xml:space="preserve">GARCERAS </t>
        </is>
      </c>
      <c r="F836" s="264" t="inlineStr">
        <is>
          <t>CARGUEROS</t>
        </is>
      </c>
      <c r="G836" s="264" t="n">
        <v>11</v>
      </c>
      <c r="H836" s="264" t="inlineStr">
        <is>
          <t xml:space="preserve">DUMAR ANGARITA </t>
        </is>
      </c>
      <c r="I836" s="264" t="inlineStr">
        <is>
          <t>LQO745</t>
        </is>
      </c>
      <c r="J836" s="265" t="n">
        <v>0.2708333333333333</v>
      </c>
      <c r="K836" s="266" t="n">
        <v>3018</v>
      </c>
      <c r="L836" s="308" t="n"/>
      <c r="M836" s="113" t="n"/>
      <c r="N836" s="113" t="n"/>
      <c r="O836" s="113" t="n"/>
      <c r="P836" s="243" t="n"/>
      <c r="Q836" s="113" t="n"/>
      <c r="R836" s="113" t="n"/>
    </row>
    <row r="837" ht="15.75" customHeight="1">
      <c r="A837" s="113" t="n"/>
      <c r="B837" s="146" t="n">
        <v>15</v>
      </c>
      <c r="C837" s="350" t="n">
        <v>45905</v>
      </c>
      <c r="D837" s="351" t="n">
        <v>7</v>
      </c>
      <c r="E837" s="264" t="inlineStr">
        <is>
          <t xml:space="preserve">GARCERAS </t>
        </is>
      </c>
      <c r="F837" s="264" t="inlineStr">
        <is>
          <t>CARGUEROS</t>
        </is>
      </c>
      <c r="G837" s="264" t="n">
        <v>11</v>
      </c>
      <c r="H837" s="264" t="inlineStr">
        <is>
          <t>JOSE HERRERA</t>
        </is>
      </c>
      <c r="I837" s="264" t="inlineStr">
        <is>
          <t>EQY778</t>
        </is>
      </c>
      <c r="J837" s="265" t="n">
        <v>0.3055555555555556</v>
      </c>
      <c r="K837" s="266" t="n">
        <v>3018</v>
      </c>
      <c r="L837" s="309" t="n"/>
      <c r="M837" s="113" t="n"/>
      <c r="N837" s="113" t="n"/>
      <c r="O837" s="113" t="n"/>
      <c r="P837" s="243" t="n"/>
      <c r="Q837" s="113" t="n"/>
      <c r="R837" s="113" t="n"/>
    </row>
    <row r="838" ht="15.75" customHeight="1">
      <c r="A838" s="113" t="n"/>
      <c r="B838" s="146" t="n">
        <v>15</v>
      </c>
      <c r="C838" s="356" t="n">
        <v>45905</v>
      </c>
      <c r="D838" s="357" t="n">
        <v>8</v>
      </c>
      <c r="E838" s="271" t="inlineStr">
        <is>
          <t xml:space="preserve">GARCERAS </t>
        </is>
      </c>
      <c r="F838" s="271" t="inlineStr">
        <is>
          <t>CARGUEROS</t>
        </is>
      </c>
      <c r="G838" s="271" t="n">
        <v>11</v>
      </c>
      <c r="H838" s="271" t="inlineStr">
        <is>
          <t xml:space="preserve">JAIR RIVEROS </t>
        </is>
      </c>
      <c r="I838" s="271" t="inlineStr">
        <is>
          <t>TLN181</t>
        </is>
      </c>
      <c r="J838" s="272" t="n">
        <v>0.3333333333333333</v>
      </c>
      <c r="K838" s="273" t="n">
        <v>3018</v>
      </c>
      <c r="L838" s="378">
        <f>SUM(K831:K838)</f>
        <v/>
      </c>
      <c r="M838" s="113" t="n"/>
      <c r="N838" s="113" t="n"/>
      <c r="O838" s="113" t="n"/>
      <c r="P838" s="243" t="n"/>
      <c r="Q838" s="113" t="n"/>
      <c r="R838" s="113" t="n"/>
    </row>
    <row r="839" ht="15.75" customHeight="1">
      <c r="A839" s="113" t="n"/>
      <c r="B839" s="146" t="n">
        <v>15</v>
      </c>
      <c r="C839" s="348" t="n">
        <v>45906</v>
      </c>
      <c r="D839" s="349" t="n">
        <v>1</v>
      </c>
      <c r="E839" s="258" t="inlineStr">
        <is>
          <t xml:space="preserve">GARCERAS </t>
        </is>
      </c>
      <c r="F839" s="258" t="inlineStr">
        <is>
          <t>CARGUEROS</t>
        </is>
      </c>
      <c r="G839" s="258" t="n">
        <v>12</v>
      </c>
      <c r="H839" s="258" t="inlineStr">
        <is>
          <t xml:space="preserve">DUMAR ANGARITA </t>
        </is>
      </c>
      <c r="I839" s="258" t="inlineStr">
        <is>
          <t>LQO745</t>
        </is>
      </c>
      <c r="J839" s="259" t="n">
        <v>0.9083333333333333</v>
      </c>
      <c r="K839" s="260" t="n">
        <v>2836</v>
      </c>
      <c r="L839" s="292" t="n"/>
      <c r="M839" s="113" t="n"/>
      <c r="N839" s="113" t="n"/>
      <c r="O839" s="113" t="n"/>
      <c r="P839" s="243" t="n"/>
      <c r="Q839" s="113" t="n"/>
      <c r="R839" s="113" t="n"/>
    </row>
    <row r="840" ht="15.75" customHeight="1">
      <c r="A840" s="113" t="n"/>
      <c r="B840" s="146" t="n">
        <v>15</v>
      </c>
      <c r="C840" s="350" t="n">
        <v>45906</v>
      </c>
      <c r="D840" s="351" t="n">
        <v>2</v>
      </c>
      <c r="E840" s="264" t="inlineStr">
        <is>
          <t xml:space="preserve">GARCERAS </t>
        </is>
      </c>
      <c r="F840" s="264" t="inlineStr">
        <is>
          <t>CARGUEROS</t>
        </is>
      </c>
      <c r="G840" s="264" t="n">
        <v>12</v>
      </c>
      <c r="H840" s="264" t="inlineStr">
        <is>
          <t xml:space="preserve">FABIO ALDANA </t>
        </is>
      </c>
      <c r="I840" s="264" t="inlineStr">
        <is>
          <t>TLO882</t>
        </is>
      </c>
      <c r="J840" s="265" t="n">
        <v>0.9319444444444445</v>
      </c>
      <c r="K840" s="266" t="n">
        <v>2836</v>
      </c>
      <c r="L840" s="308" t="n"/>
      <c r="M840" s="113" t="n"/>
      <c r="N840" s="113" t="n"/>
      <c r="O840" s="113" t="n"/>
      <c r="P840" s="243" t="n"/>
      <c r="Q840" s="113" t="n"/>
      <c r="R840" s="113" t="n"/>
    </row>
    <row r="841" ht="15.75" customHeight="1">
      <c r="A841" s="113" t="n"/>
      <c r="B841" s="146" t="n">
        <v>15</v>
      </c>
      <c r="C841" s="350" t="n">
        <v>45906</v>
      </c>
      <c r="D841" s="351" t="n">
        <v>3</v>
      </c>
      <c r="E841" s="264" t="inlineStr">
        <is>
          <t xml:space="preserve">GARCERAS </t>
        </is>
      </c>
      <c r="F841" s="264" t="inlineStr">
        <is>
          <t>CARGUEROS</t>
        </is>
      </c>
      <c r="G841" s="264" t="n">
        <v>12</v>
      </c>
      <c r="H841" s="264" t="inlineStr">
        <is>
          <t xml:space="preserve">JOSE SOLER </t>
        </is>
      </c>
      <c r="I841" s="264" t="inlineStr">
        <is>
          <t>EQY776</t>
        </is>
      </c>
      <c r="J841" s="265" t="n">
        <v>0.9576388888888889</v>
      </c>
      <c r="K841" s="266" t="n">
        <v>2836</v>
      </c>
      <c r="L841" s="308" t="n"/>
      <c r="M841" s="113" t="n"/>
      <c r="N841" s="113" t="n"/>
      <c r="O841" s="113" t="n"/>
      <c r="P841" s="243" t="n"/>
      <c r="Q841" s="113" t="n"/>
      <c r="R841" s="113" t="n"/>
    </row>
    <row r="842" ht="15.75" customHeight="1">
      <c r="A842" s="113" t="n"/>
      <c r="B842" s="146" t="n">
        <v>15</v>
      </c>
      <c r="C842" s="350" t="n">
        <v>45906</v>
      </c>
      <c r="D842" s="351" t="n">
        <v>4</v>
      </c>
      <c r="E842" s="264" t="inlineStr">
        <is>
          <t xml:space="preserve">GARCERAS </t>
        </is>
      </c>
      <c r="F842" s="264" t="inlineStr">
        <is>
          <t>CARGUEROS</t>
        </is>
      </c>
      <c r="G842" s="264" t="n">
        <v>12</v>
      </c>
      <c r="H842" s="264" t="inlineStr">
        <is>
          <t>ALEX GOMEZ</t>
        </is>
      </c>
      <c r="I842" s="264" t="inlineStr">
        <is>
          <t>TLO881</t>
        </is>
      </c>
      <c r="J842" s="265" t="n">
        <v>0.9826388888888888</v>
      </c>
      <c r="K842" s="266" t="n">
        <v>2219</v>
      </c>
      <c r="L842" s="308" t="n"/>
      <c r="M842" s="113" t="n"/>
      <c r="N842" s="113" t="n"/>
      <c r="O842" s="113" t="n"/>
      <c r="P842" s="243" t="n"/>
      <c r="Q842" s="113" t="n"/>
      <c r="R842" s="113" t="n"/>
    </row>
    <row r="843" ht="15.75" customHeight="1">
      <c r="A843" s="113" t="n"/>
      <c r="B843" s="146" t="n">
        <v>15</v>
      </c>
      <c r="C843" s="350" t="n">
        <v>45906</v>
      </c>
      <c r="D843" s="351" t="n">
        <v>5</v>
      </c>
      <c r="E843" s="264" t="inlineStr">
        <is>
          <t xml:space="preserve">GARCERAS </t>
        </is>
      </c>
      <c r="F843" s="264" t="inlineStr">
        <is>
          <t>CARGUEROS</t>
        </is>
      </c>
      <c r="G843" s="264" t="n">
        <v>12</v>
      </c>
      <c r="H843" s="264" t="inlineStr">
        <is>
          <t xml:space="preserve">JAIRO CUBILLOS </t>
        </is>
      </c>
      <c r="I843" s="264" t="inlineStr">
        <is>
          <t>TLO884</t>
        </is>
      </c>
      <c r="J843" s="265" t="n">
        <v>0.03472222222222222</v>
      </c>
      <c r="K843" s="266" t="n">
        <v>2942</v>
      </c>
      <c r="L843" s="308" t="n"/>
      <c r="M843" s="113" t="n"/>
      <c r="N843" s="113" t="n"/>
      <c r="O843" s="113" t="n"/>
      <c r="P843" s="243" t="n"/>
      <c r="Q843" s="113" t="n"/>
      <c r="R843" s="113" t="n"/>
    </row>
    <row r="844" ht="15.75" customHeight="1">
      <c r="A844" s="113" t="n"/>
      <c r="B844" s="146" t="n">
        <v>15</v>
      </c>
      <c r="C844" s="350" t="n">
        <v>45906</v>
      </c>
      <c r="D844" s="351" t="n">
        <v>6</v>
      </c>
      <c r="E844" s="264" t="inlineStr">
        <is>
          <t xml:space="preserve">GARCERAS </t>
        </is>
      </c>
      <c r="F844" s="264" t="inlineStr">
        <is>
          <t>CARGUEROS</t>
        </is>
      </c>
      <c r="G844" s="264" t="n">
        <v>12</v>
      </c>
      <c r="H844" s="264" t="inlineStr">
        <is>
          <t>JHON ARIAS</t>
        </is>
      </c>
      <c r="I844" s="264" t="inlineStr">
        <is>
          <t>TLN248</t>
        </is>
      </c>
      <c r="J844" s="265" t="n">
        <v>0.06388888888888888</v>
      </c>
      <c r="K844" s="266" t="n">
        <v>2942</v>
      </c>
      <c r="L844" s="308" t="n"/>
      <c r="M844" s="113" t="n"/>
      <c r="N844" s="113" t="n"/>
      <c r="O844" s="113" t="n"/>
      <c r="P844" s="243" t="n"/>
      <c r="Q844" s="113" t="n"/>
      <c r="R844" s="113" t="n"/>
    </row>
    <row r="845" ht="15.75" customHeight="1">
      <c r="A845" s="113" t="n"/>
      <c r="B845" s="146" t="n">
        <v>15</v>
      </c>
      <c r="C845" s="350" t="n">
        <v>45906</v>
      </c>
      <c r="D845" s="351" t="n">
        <v>7</v>
      </c>
      <c r="E845" s="264" t="inlineStr">
        <is>
          <t xml:space="preserve">GARCERAS </t>
        </is>
      </c>
      <c r="F845" s="264" t="inlineStr">
        <is>
          <t>CARGUEROS</t>
        </is>
      </c>
      <c r="G845" s="264" t="n">
        <v>12</v>
      </c>
      <c r="H845" s="264" t="inlineStr">
        <is>
          <t xml:space="preserve">DIEGO NIÑO </t>
        </is>
      </c>
      <c r="I845" s="264" t="inlineStr">
        <is>
          <t>GZZ673</t>
        </is>
      </c>
      <c r="J845" s="265" t="n">
        <v>0.09444444444444444</v>
      </c>
      <c r="K845" s="266" t="n">
        <v>3240</v>
      </c>
      <c r="L845" s="308" t="n"/>
      <c r="M845" s="113" t="n"/>
      <c r="N845" s="113" t="n"/>
      <c r="O845" s="113" t="n"/>
      <c r="P845" s="243" t="n"/>
      <c r="Q845" s="113" t="n"/>
      <c r="R845" s="113" t="n"/>
    </row>
    <row r="846" ht="15.75" customHeight="1">
      <c r="A846" s="113" t="n"/>
      <c r="B846" s="146" t="n">
        <v>15</v>
      </c>
      <c r="C846" s="350" t="n">
        <v>45906</v>
      </c>
      <c r="D846" s="351" t="n">
        <v>8</v>
      </c>
      <c r="E846" s="264" t="inlineStr">
        <is>
          <t xml:space="preserve">GARCERAS </t>
        </is>
      </c>
      <c r="F846" s="264" t="inlineStr">
        <is>
          <t>CARGUEROS</t>
        </is>
      </c>
      <c r="G846" s="264" t="n">
        <v>12</v>
      </c>
      <c r="H846" s="264" t="inlineStr">
        <is>
          <t xml:space="preserve">ALBERTO LOPEZ </t>
        </is>
      </c>
      <c r="I846" s="264" t="inlineStr">
        <is>
          <t>EQY777</t>
        </is>
      </c>
      <c r="J846" s="265" t="n">
        <v>0.21875</v>
      </c>
      <c r="K846" s="266" t="n">
        <v>2940</v>
      </c>
      <c r="L846" s="308" t="n"/>
      <c r="M846" s="113" t="n"/>
      <c r="N846" s="113" t="n"/>
      <c r="O846" s="113" t="n"/>
      <c r="P846" s="243" t="n"/>
      <c r="Q846" s="113" t="n"/>
      <c r="R846" s="113" t="n"/>
    </row>
    <row r="847" ht="15.75" customHeight="1">
      <c r="A847" s="113" t="n"/>
      <c r="B847" s="146" t="n">
        <v>15</v>
      </c>
      <c r="C847" s="350" t="n">
        <v>45906</v>
      </c>
      <c r="D847" s="351" t="n">
        <v>9</v>
      </c>
      <c r="E847" s="264" t="inlineStr">
        <is>
          <t xml:space="preserve">GARCERAS </t>
        </is>
      </c>
      <c r="F847" s="264" t="inlineStr">
        <is>
          <t>CARGUEROS</t>
        </is>
      </c>
      <c r="G847" s="264" t="n">
        <v>12</v>
      </c>
      <c r="H847" s="264" t="inlineStr">
        <is>
          <t xml:space="preserve">HENRY ROMERO </t>
        </is>
      </c>
      <c r="I847" s="264" t="inlineStr">
        <is>
          <t>EQY781</t>
        </is>
      </c>
      <c r="J847" s="265" t="n">
        <v>0.2729166666666666</v>
      </c>
      <c r="K847" s="266" t="n">
        <v>2830</v>
      </c>
      <c r="L847" s="308" t="inlineStr">
        <is>
          <t>41 HUACAL VACIO</t>
        </is>
      </c>
      <c r="M847" s="113" t="n"/>
      <c r="N847" s="113" t="n"/>
      <c r="O847" s="113" t="n"/>
      <c r="P847" s="243" t="n"/>
      <c r="Q847" s="113" t="n"/>
      <c r="R847" s="113" t="n"/>
    </row>
    <row r="848" ht="15.75" customHeight="1">
      <c r="A848" s="113" t="n"/>
      <c r="B848" s="146" t="n">
        <v>15</v>
      </c>
      <c r="C848" s="350" t="n">
        <v>45906</v>
      </c>
      <c r="D848" s="351" t="n">
        <v>10</v>
      </c>
      <c r="E848" s="264" t="inlineStr">
        <is>
          <t xml:space="preserve">GARCERAS </t>
        </is>
      </c>
      <c r="F848" s="264" t="inlineStr">
        <is>
          <t>CARGUEROS</t>
        </is>
      </c>
      <c r="G848" s="264" t="n">
        <v>12</v>
      </c>
      <c r="H848" s="264" t="inlineStr">
        <is>
          <t xml:space="preserve">FABIO ALDANA </t>
        </is>
      </c>
      <c r="I848" s="264" t="inlineStr">
        <is>
          <t>TLO882</t>
        </is>
      </c>
      <c r="J848" s="265" t="n">
        <v>0.3125</v>
      </c>
      <c r="K848" s="266" t="n">
        <v>3136</v>
      </c>
      <c r="L848" s="309" t="n"/>
      <c r="M848" s="113" t="n"/>
      <c r="N848" s="113" t="n"/>
      <c r="O848" s="113" t="n"/>
      <c r="P848" s="243" t="n"/>
      <c r="Q848" s="113" t="n"/>
      <c r="R848" s="113" t="n"/>
    </row>
    <row r="849" ht="15.75" customHeight="1">
      <c r="A849" s="113" t="n"/>
      <c r="B849" s="146" t="n">
        <v>15</v>
      </c>
      <c r="C849" s="352" t="n">
        <v>45906</v>
      </c>
      <c r="D849" s="347" t="n">
        <v>11</v>
      </c>
      <c r="E849" s="282" t="inlineStr">
        <is>
          <t xml:space="preserve">GARCERAS </t>
        </is>
      </c>
      <c r="F849" s="282" t="inlineStr">
        <is>
          <t xml:space="preserve">CARGUEROS </t>
        </is>
      </c>
      <c r="G849" s="282" t="n">
        <v>12</v>
      </c>
      <c r="H849" s="282" t="inlineStr">
        <is>
          <t xml:space="preserve">JOSE SOLER </t>
        </is>
      </c>
      <c r="I849" s="282" t="inlineStr">
        <is>
          <t>EQY776</t>
        </is>
      </c>
      <c r="J849" s="283" t="n">
        <v>0.3472222222222222</v>
      </c>
      <c r="K849" s="284" t="n">
        <v>3136</v>
      </c>
      <c r="L849" s="353">
        <f>SUM(K839:K849)</f>
        <v/>
      </c>
      <c r="M849" s="113" t="n"/>
      <c r="N849" s="113" t="n"/>
      <c r="O849" s="113" t="n"/>
      <c r="P849" s="243" t="n"/>
      <c r="Q849" s="113" t="n"/>
      <c r="R849" s="113" t="n"/>
    </row>
    <row r="850" ht="15.75" customHeight="1">
      <c r="A850" s="113" t="n"/>
      <c r="B850" s="146" t="n">
        <v>16</v>
      </c>
      <c r="C850" s="348" t="n">
        <v>45908</v>
      </c>
      <c r="D850" s="349" t="n">
        <v>1</v>
      </c>
      <c r="E850" s="258" t="inlineStr">
        <is>
          <t>MALAGUEÑA</t>
        </is>
      </c>
      <c r="F850" s="258" t="inlineStr">
        <is>
          <t>ABONEROS</t>
        </is>
      </c>
      <c r="G850" s="258" t="n">
        <v>10</v>
      </c>
      <c r="H850" s="258" t="inlineStr">
        <is>
          <t>JAIRO CUBILLOS</t>
        </is>
      </c>
      <c r="I850" s="258" t="inlineStr">
        <is>
          <t>TLO884</t>
        </is>
      </c>
      <c r="J850" s="259" t="n">
        <v>0.9791666666666666</v>
      </c>
      <c r="K850" s="260" t="n">
        <v>3431</v>
      </c>
      <c r="L850" s="292" t="n"/>
      <c r="M850" s="113" t="n"/>
      <c r="N850" s="113" t="n"/>
      <c r="O850" s="113" t="n"/>
      <c r="P850" s="243" t="n"/>
      <c r="Q850" s="113" t="n"/>
      <c r="R850" s="113" t="n"/>
    </row>
    <row r="851" ht="15.75" customHeight="1">
      <c r="A851" s="113" t="n"/>
      <c r="B851" s="146" t="n">
        <v>16</v>
      </c>
      <c r="C851" s="350" t="n">
        <v>45908</v>
      </c>
      <c r="D851" s="351" t="n">
        <v>2</v>
      </c>
      <c r="E851" s="264" t="inlineStr">
        <is>
          <t>MALAGUEÑA</t>
        </is>
      </c>
      <c r="F851" s="264" t="inlineStr">
        <is>
          <t>ABONEROS</t>
        </is>
      </c>
      <c r="G851" s="264" t="n">
        <v>10</v>
      </c>
      <c r="H851" s="264" t="inlineStr">
        <is>
          <t>DIEGO NIÑO</t>
        </is>
      </c>
      <c r="I851" s="264" t="inlineStr">
        <is>
          <t>GZZ673</t>
        </is>
      </c>
      <c r="J851" s="265" t="n">
        <v>0.01875</v>
      </c>
      <c r="K851" s="266" t="n">
        <v>3431</v>
      </c>
      <c r="L851" s="308" t="n"/>
      <c r="M851" s="113" t="n"/>
      <c r="N851" s="113" t="n"/>
      <c r="O851" s="113" t="n"/>
      <c r="P851" s="243" t="n"/>
      <c r="Q851" s="113" t="n"/>
      <c r="R851" s="113" t="n"/>
    </row>
    <row r="852" ht="15.75" customHeight="1">
      <c r="A852" s="113" t="n"/>
      <c r="B852" s="146" t="n">
        <v>16</v>
      </c>
      <c r="C852" s="350" t="n">
        <v>45908</v>
      </c>
      <c r="D852" s="351" t="n">
        <v>3</v>
      </c>
      <c r="E852" s="264" t="inlineStr">
        <is>
          <t xml:space="preserve">GARCERAS </t>
        </is>
      </c>
      <c r="F852" s="264" t="inlineStr">
        <is>
          <t>CARGUEROS</t>
        </is>
      </c>
      <c r="G852" s="264" t="n">
        <v>11</v>
      </c>
      <c r="H852" s="264" t="inlineStr">
        <is>
          <t xml:space="preserve">WILMER PIÑEROS </t>
        </is>
      </c>
      <c r="I852" s="264" t="inlineStr">
        <is>
          <t>KLO076</t>
        </is>
      </c>
      <c r="J852" s="265" t="n">
        <v>0.07777777777777778</v>
      </c>
      <c r="K852" s="266" t="n">
        <v>2797</v>
      </c>
      <c r="L852" s="308" t="n"/>
      <c r="M852" s="113" t="n"/>
      <c r="N852" s="113" t="n"/>
      <c r="O852" s="113" t="n"/>
      <c r="P852" s="243" t="n"/>
      <c r="Q852" s="113" t="n"/>
      <c r="R852" s="113" t="n"/>
    </row>
    <row r="853" ht="15.75" customHeight="1">
      <c r="A853" s="113" t="n"/>
      <c r="B853" s="146" t="n">
        <v>16</v>
      </c>
      <c r="C853" s="350" t="n">
        <v>45908</v>
      </c>
      <c r="D853" s="351" t="n">
        <v>4</v>
      </c>
      <c r="E853" s="264" t="inlineStr">
        <is>
          <t xml:space="preserve">GARCERAS </t>
        </is>
      </c>
      <c r="F853" s="264" t="inlineStr">
        <is>
          <t>CARGUEROS</t>
        </is>
      </c>
      <c r="G853" s="264" t="n">
        <v>11</v>
      </c>
      <c r="H853" s="264" t="inlineStr">
        <is>
          <t>JOSE HERRERA</t>
        </is>
      </c>
      <c r="I853" s="264" t="inlineStr">
        <is>
          <t>EQY778</t>
        </is>
      </c>
      <c r="J853" s="265" t="n">
        <v>0.1041666666666667</v>
      </c>
      <c r="K853" s="266" t="n">
        <v>2797</v>
      </c>
      <c r="L853" s="308" t="n"/>
      <c r="M853" s="113" t="n"/>
      <c r="N853" s="113" t="n"/>
      <c r="O853" s="113" t="n"/>
      <c r="P853" s="243" t="n"/>
      <c r="Q853" s="113" t="n"/>
      <c r="R853" s="113" t="n"/>
    </row>
    <row r="854" ht="15.75" customHeight="1">
      <c r="A854" s="113" t="n"/>
      <c r="B854" s="146" t="n">
        <v>16</v>
      </c>
      <c r="C854" s="350" t="n">
        <v>45908</v>
      </c>
      <c r="D854" s="351" t="n">
        <v>5</v>
      </c>
      <c r="E854" s="264" t="inlineStr">
        <is>
          <t xml:space="preserve">GARCERAS </t>
        </is>
      </c>
      <c r="F854" s="264" t="inlineStr">
        <is>
          <t>CARGUEROS</t>
        </is>
      </c>
      <c r="G854" s="264" t="n">
        <v>11</v>
      </c>
      <c r="H854" s="264" t="inlineStr">
        <is>
          <t>MANUEL QUITIAN</t>
        </is>
      </c>
      <c r="I854" s="264" t="inlineStr">
        <is>
          <t>KUS176</t>
        </is>
      </c>
      <c r="J854" s="265" t="n">
        <v>0.1319444444444444</v>
      </c>
      <c r="K854" s="266" t="n">
        <v>2797</v>
      </c>
      <c r="L854" s="309" t="n"/>
      <c r="M854" s="113" t="n"/>
      <c r="N854" s="113" t="n"/>
      <c r="O854" s="113" t="n"/>
      <c r="P854" s="243" t="n"/>
      <c r="Q854" s="113" t="n"/>
      <c r="R854" s="113" t="n"/>
    </row>
    <row r="855" ht="15.75" customHeight="1">
      <c r="A855" s="113" t="n"/>
      <c r="B855" s="146" t="n">
        <v>16</v>
      </c>
      <c r="C855" s="356" t="n">
        <v>45908</v>
      </c>
      <c r="D855" s="357" t="n">
        <v>6</v>
      </c>
      <c r="E855" s="271" t="inlineStr">
        <is>
          <t xml:space="preserve">GARCERAS </t>
        </is>
      </c>
      <c r="F855" s="271" t="inlineStr">
        <is>
          <t>CARGUEROS</t>
        </is>
      </c>
      <c r="G855" s="271" t="n">
        <v>11</v>
      </c>
      <c r="H855" s="271" t="inlineStr">
        <is>
          <t>YAIR RIVEROS</t>
        </is>
      </c>
      <c r="I855" s="271" t="inlineStr">
        <is>
          <t>TLN181</t>
        </is>
      </c>
      <c r="J855" s="272" t="n">
        <v>0.1666666666666667</v>
      </c>
      <c r="K855" s="273" t="n">
        <v>3024</v>
      </c>
      <c r="L855" s="378">
        <f>SUM(K850:K855)</f>
        <v/>
      </c>
      <c r="M855" s="113" t="n"/>
      <c r="N855" s="113" t="n"/>
      <c r="O855" s="113" t="n"/>
      <c r="P855" s="243" t="n"/>
      <c r="Q855" s="113" t="n"/>
      <c r="R855" s="113" t="n"/>
    </row>
    <row r="856" ht="15.75" customHeight="1">
      <c r="A856" s="113" t="n"/>
      <c r="B856" s="146" t="n">
        <v>16</v>
      </c>
      <c r="C856" s="348" t="n">
        <v>45909</v>
      </c>
      <c r="D856" s="349" t="n">
        <v>1</v>
      </c>
      <c r="E856" s="258" t="inlineStr">
        <is>
          <t>HUERTAS</t>
        </is>
      </c>
      <c r="F856" s="258" t="inlineStr">
        <is>
          <t>ABONEROS</t>
        </is>
      </c>
      <c r="G856" s="258" t="n">
        <v>8</v>
      </c>
      <c r="H856" s="258" t="inlineStr">
        <is>
          <t>DIEGO NIÑO</t>
        </is>
      </c>
      <c r="I856" s="258" t="inlineStr">
        <is>
          <t>GZZ673</t>
        </is>
      </c>
      <c r="J856" s="259" t="n">
        <v>0.9298611111111111</v>
      </c>
      <c r="K856" s="260" t="n">
        <v>1944</v>
      </c>
      <c r="L856" s="292" t="n"/>
      <c r="M856" s="113" t="n"/>
      <c r="N856" s="113" t="n"/>
      <c r="O856" s="113" t="n"/>
      <c r="P856" s="243" t="n"/>
      <c r="Q856" s="113" t="n"/>
      <c r="R856" s="113" t="n"/>
    </row>
    <row r="857" ht="15.75" customHeight="1">
      <c r="A857" s="113" t="n"/>
      <c r="B857" s="146" t="n">
        <v>16</v>
      </c>
      <c r="C857" s="350" t="n">
        <v>45909</v>
      </c>
      <c r="D857" s="351" t="n">
        <v>2</v>
      </c>
      <c r="E857" s="264" t="inlineStr">
        <is>
          <t>HUERTAS</t>
        </is>
      </c>
      <c r="F857" s="264" t="inlineStr">
        <is>
          <t>ABONEROS</t>
        </is>
      </c>
      <c r="G857" s="264" t="n">
        <v>8</v>
      </c>
      <c r="H857" s="264" t="inlineStr">
        <is>
          <t xml:space="preserve">YAIR RIVEROS </t>
        </is>
      </c>
      <c r="I857" s="264" t="inlineStr">
        <is>
          <t>TLN181</t>
        </is>
      </c>
      <c r="J857" s="265" t="n">
        <v>0.9791666666666666</v>
      </c>
      <c r="K857" s="266" t="n">
        <v>2241</v>
      </c>
      <c r="L857" s="308" t="n"/>
      <c r="M857" s="113" t="n"/>
      <c r="N857" s="113" t="n"/>
      <c r="O857" s="113" t="n"/>
      <c r="P857" s="243" t="n"/>
      <c r="Q857" s="113" t="n"/>
      <c r="R857" s="113" t="n"/>
    </row>
    <row r="858" ht="15.75" customHeight="1">
      <c r="A858" s="113" t="n"/>
      <c r="B858" s="146" t="n">
        <v>16</v>
      </c>
      <c r="C858" s="350" t="n">
        <v>45909</v>
      </c>
      <c r="D858" s="351" t="n">
        <v>3</v>
      </c>
      <c r="E858" s="264" t="inlineStr">
        <is>
          <t xml:space="preserve">GARCERAS </t>
        </is>
      </c>
      <c r="F858" s="264" t="inlineStr">
        <is>
          <t>CARGUEROS</t>
        </is>
      </c>
      <c r="G858" s="264" t="n">
        <v>11</v>
      </c>
      <c r="H858" s="264" t="inlineStr">
        <is>
          <t xml:space="preserve">JOSE SOLER </t>
        </is>
      </c>
      <c r="I858" s="264" t="inlineStr">
        <is>
          <t>EQY776</t>
        </is>
      </c>
      <c r="J858" s="265" t="n">
        <v>0.9513888888888888</v>
      </c>
      <c r="K858" s="266" t="n">
        <v>3013</v>
      </c>
      <c r="L858" s="308" t="n"/>
      <c r="M858" s="113" t="n"/>
      <c r="N858" s="113" t="n"/>
      <c r="O858" s="113" t="n"/>
      <c r="P858" s="243" t="n"/>
      <c r="Q858" s="113" t="n"/>
      <c r="R858" s="113" t="n"/>
    </row>
    <row r="859" ht="15.75" customHeight="1">
      <c r="A859" s="113" t="n"/>
      <c r="B859" s="146" t="n">
        <v>16</v>
      </c>
      <c r="C859" s="350" t="n">
        <v>45909</v>
      </c>
      <c r="D859" s="351" t="n">
        <v>4</v>
      </c>
      <c r="E859" s="264" t="inlineStr">
        <is>
          <t xml:space="preserve">GARCERAS </t>
        </is>
      </c>
      <c r="F859" s="264" t="inlineStr">
        <is>
          <t>CARGUEROS</t>
        </is>
      </c>
      <c r="G859" s="264" t="n">
        <v>11</v>
      </c>
      <c r="H859" s="264" t="inlineStr">
        <is>
          <t>FABIO ALDANA</t>
        </is>
      </c>
      <c r="I859" s="264" t="inlineStr">
        <is>
          <t>TLO882</t>
        </is>
      </c>
      <c r="J859" s="265" t="n">
        <v>0.9513888888888888</v>
      </c>
      <c r="K859" s="266" t="n">
        <v>2013</v>
      </c>
      <c r="L859" s="308" t="n"/>
      <c r="M859" s="113" t="n"/>
      <c r="N859" s="113" t="n"/>
      <c r="O859" s="113" t="n"/>
      <c r="P859" s="243" t="n"/>
      <c r="Q859" s="113" t="n"/>
      <c r="R859" s="113" t="n"/>
    </row>
    <row r="860" ht="15.75" customHeight="1">
      <c r="A860" s="113" t="n"/>
      <c r="B860" s="146" t="n">
        <v>16</v>
      </c>
      <c r="C860" s="350" t="n">
        <v>45909</v>
      </c>
      <c r="D860" s="351" t="n">
        <v>5</v>
      </c>
      <c r="E860" s="264" t="inlineStr">
        <is>
          <t xml:space="preserve">GARCERAS </t>
        </is>
      </c>
      <c r="F860" s="264" t="inlineStr">
        <is>
          <t>CARGUEROS</t>
        </is>
      </c>
      <c r="G860" s="264" t="n">
        <v>11</v>
      </c>
      <c r="H860" s="264" t="inlineStr">
        <is>
          <t>dumar angarita</t>
        </is>
      </c>
      <c r="I860" s="264" t="inlineStr">
        <is>
          <t>TLO745</t>
        </is>
      </c>
      <c r="J860" s="265" t="n">
        <v>0.008333333333333333</v>
      </c>
      <c r="K860" s="266" t="n">
        <v>3013</v>
      </c>
      <c r="L860" s="308" t="n"/>
      <c r="M860" s="113" t="n"/>
      <c r="N860" s="113" t="n"/>
      <c r="O860" s="113" t="n"/>
      <c r="P860" s="243" t="n"/>
      <c r="Q860" s="113" t="n"/>
      <c r="R860" s="113" t="n"/>
    </row>
    <row r="861" ht="15.75" customHeight="1">
      <c r="A861" s="113" t="n"/>
      <c r="B861" s="146" t="n">
        <v>16</v>
      </c>
      <c r="C861" s="350" t="n">
        <v>45909</v>
      </c>
      <c r="D861" s="351" t="n">
        <v>6</v>
      </c>
      <c r="E861" s="264" t="inlineStr">
        <is>
          <t xml:space="preserve">GARCERAS </t>
        </is>
      </c>
      <c r="F861" s="264" t="inlineStr">
        <is>
          <t>CARGUEROS</t>
        </is>
      </c>
      <c r="G861" s="264" t="n">
        <v>11</v>
      </c>
      <c r="H861" s="264" t="inlineStr">
        <is>
          <t>JAIRO CUBILLOS</t>
        </is>
      </c>
      <c r="I861" s="264" t="inlineStr">
        <is>
          <t>TLO884</t>
        </is>
      </c>
      <c r="J861" s="265" t="n">
        <v>0.04166666666666666</v>
      </c>
      <c r="K861" s="266" t="n">
        <v>3205</v>
      </c>
      <c r="L861" s="308" t="n"/>
      <c r="M861" s="113" t="n"/>
      <c r="N861" s="113" t="n"/>
      <c r="O861" s="113" t="n"/>
      <c r="P861" s="243" t="n"/>
      <c r="Q861" s="113" t="n"/>
      <c r="R861" s="113" t="n"/>
    </row>
    <row r="862" ht="15.75" customHeight="1">
      <c r="A862" s="113" t="n"/>
      <c r="B862" s="146" t="n">
        <v>16</v>
      </c>
      <c r="C862" s="350" t="n">
        <v>45909</v>
      </c>
      <c r="D862" s="351" t="n">
        <v>7</v>
      </c>
      <c r="E862" s="264" t="inlineStr">
        <is>
          <t>MALAGUEÑA</t>
        </is>
      </c>
      <c r="F862" s="264" t="inlineStr">
        <is>
          <t>CARGUEROS</t>
        </is>
      </c>
      <c r="G862" s="264" t="n">
        <v>11</v>
      </c>
      <c r="H862" s="264" t="inlineStr">
        <is>
          <t>JOSE HERRERA</t>
        </is>
      </c>
      <c r="I862" s="264" t="inlineStr">
        <is>
          <t>EQY778</t>
        </is>
      </c>
      <c r="J862" s="265" t="n">
        <v>0.1909722222222222</v>
      </c>
      <c r="K862" s="266" t="n">
        <v>3278</v>
      </c>
      <c r="L862" s="308" t="n"/>
      <c r="M862" s="113" t="n"/>
      <c r="N862" s="113" t="n"/>
      <c r="O862" s="113" t="n"/>
      <c r="P862" s="243" t="n"/>
      <c r="Q862" s="113" t="n"/>
      <c r="R862" s="113" t="n"/>
    </row>
    <row r="863" ht="15.75" customHeight="1">
      <c r="A863" s="113" t="n"/>
      <c r="B863" s="146" t="n">
        <v>16</v>
      </c>
      <c r="C863" s="350" t="n">
        <v>45909</v>
      </c>
      <c r="D863" s="351" t="n">
        <v>8</v>
      </c>
      <c r="E863" s="264" t="inlineStr">
        <is>
          <t>MALAGUEÑA</t>
        </is>
      </c>
      <c r="F863" s="264" t="inlineStr">
        <is>
          <t>CARGUEROS</t>
        </is>
      </c>
      <c r="G863" s="264" t="n">
        <v>11</v>
      </c>
      <c r="H863" s="264" t="inlineStr">
        <is>
          <t xml:space="preserve">EDWIN ROJAS </t>
        </is>
      </c>
      <c r="I863" s="264" t="inlineStr">
        <is>
          <t>EQY780</t>
        </is>
      </c>
      <c r="J863" s="265" t="n">
        <v>0.2222222222222222</v>
      </c>
      <c r="K863" s="266" t="n">
        <v>3278</v>
      </c>
      <c r="L863" s="309" t="n"/>
      <c r="M863" s="113" t="n"/>
      <c r="N863" s="113" t="n"/>
      <c r="O863" s="113" t="n"/>
      <c r="P863" s="243" t="n"/>
      <c r="Q863" s="113" t="n"/>
      <c r="R863" s="113" t="n"/>
    </row>
    <row r="864" ht="15.75" customHeight="1">
      <c r="A864" s="113" t="n"/>
      <c r="B864" s="146" t="n">
        <v>16</v>
      </c>
      <c r="C864" s="356" t="n">
        <v>45909</v>
      </c>
      <c r="D864" s="357" t="n">
        <v>9</v>
      </c>
      <c r="E864" s="271" t="inlineStr">
        <is>
          <t>MALAGUEÑA</t>
        </is>
      </c>
      <c r="F864" s="271" t="inlineStr">
        <is>
          <t xml:space="preserve">CARGUEROS </t>
        </is>
      </c>
      <c r="G864" s="271" t="n">
        <v>11</v>
      </c>
      <c r="H864" s="271" t="inlineStr">
        <is>
          <t>ROBINSON PULIDO</t>
        </is>
      </c>
      <c r="I864" s="271" t="inlineStr">
        <is>
          <t>GZZ673</t>
        </is>
      </c>
      <c r="J864" s="272" t="n">
        <v>0.2604166666666667</v>
      </c>
      <c r="K864" s="273" t="n">
        <v>3278</v>
      </c>
      <c r="L864" s="378">
        <f>SUM(K856:K864)</f>
        <v/>
      </c>
      <c r="M864" s="113" t="n"/>
      <c r="N864" s="113" t="n"/>
      <c r="O864" s="113" t="n"/>
      <c r="P864" s="243" t="n"/>
      <c r="Q864" s="113" t="n"/>
      <c r="R864" s="113" t="n"/>
    </row>
    <row r="865" ht="15.75" customHeight="1">
      <c r="A865" s="113" t="n"/>
      <c r="B865" s="146" t="n">
        <v>16</v>
      </c>
      <c r="C865" s="348" t="n">
        <v>45910</v>
      </c>
      <c r="D865" s="349" t="n">
        <v>1</v>
      </c>
      <c r="E865" s="258" t="inlineStr">
        <is>
          <t>MALAGUEÑA</t>
        </is>
      </c>
      <c r="F865" s="258" t="inlineStr">
        <is>
          <t>CARGUEROS</t>
        </is>
      </c>
      <c r="G865" s="258" t="n">
        <v>11</v>
      </c>
      <c r="H865" s="258" t="inlineStr">
        <is>
          <t xml:space="preserve">WILMER PIÑEROS </t>
        </is>
      </c>
      <c r="I865" s="258" t="inlineStr">
        <is>
          <t>KLO076</t>
        </is>
      </c>
      <c r="J865" s="259" t="n">
        <v>0.9652777777777778</v>
      </c>
      <c r="K865" s="260" t="n">
        <v>3368</v>
      </c>
      <c r="L865" s="292" t="n"/>
      <c r="M865" s="113" t="n"/>
      <c r="N865" s="113" t="n"/>
      <c r="O865" s="113" t="n"/>
      <c r="P865" s="243" t="n"/>
      <c r="Q865" s="113" t="n"/>
      <c r="R865" s="113" t="n"/>
    </row>
    <row r="866" ht="15.75" customHeight="1">
      <c r="A866" s="113" t="n"/>
      <c r="B866" s="146" t="n">
        <v>16</v>
      </c>
      <c r="C866" s="350" t="n">
        <v>45910</v>
      </c>
      <c r="D866" s="351" t="n">
        <v>2</v>
      </c>
      <c r="E866" s="264" t="inlineStr">
        <is>
          <t>MALAGUEÑA</t>
        </is>
      </c>
      <c r="F866" s="264" t="inlineStr">
        <is>
          <t>CARGUEROS</t>
        </is>
      </c>
      <c r="G866" s="264" t="n">
        <v>11</v>
      </c>
      <c r="H866" s="264" t="inlineStr">
        <is>
          <t>ALEX GOMEZ</t>
        </is>
      </c>
      <c r="I866" s="264" t="inlineStr">
        <is>
          <t>TLN881</t>
        </is>
      </c>
      <c r="J866" s="265" t="n">
        <v>0</v>
      </c>
      <c r="K866" s="266" t="n">
        <v>3368</v>
      </c>
      <c r="L866" s="308" t="n"/>
      <c r="M866" s="113" t="n"/>
      <c r="N866" s="113" t="n"/>
      <c r="O866" s="113" t="n"/>
      <c r="P866" s="243" t="n"/>
      <c r="Q866" s="113" t="n"/>
      <c r="R866" s="113" t="n"/>
    </row>
    <row r="867" ht="15.75" customHeight="1">
      <c r="A867" s="113" t="n"/>
      <c r="B867" s="146" t="n">
        <v>16</v>
      </c>
      <c r="C867" s="350" t="n">
        <v>45910</v>
      </c>
      <c r="D867" s="351" t="n">
        <v>3</v>
      </c>
      <c r="E867" s="264" t="inlineStr">
        <is>
          <t>MALAGUEÑA</t>
        </is>
      </c>
      <c r="F867" s="264" t="inlineStr">
        <is>
          <t>CARGUEROS</t>
        </is>
      </c>
      <c r="G867" s="264" t="n">
        <v>11</v>
      </c>
      <c r="H867" s="264" t="inlineStr">
        <is>
          <t>ALEXANDER CHAGUALA</t>
        </is>
      </c>
      <c r="I867" s="264" t="inlineStr">
        <is>
          <t>EQY779</t>
        </is>
      </c>
      <c r="J867" s="265" t="n">
        <v>0.04166666666666666</v>
      </c>
      <c r="K867" s="266" t="n">
        <v>3379</v>
      </c>
      <c r="L867" s="308" t="n"/>
      <c r="M867" s="113" t="n"/>
      <c r="N867" s="113" t="n"/>
      <c r="O867" s="113" t="n"/>
      <c r="P867" s="243" t="n"/>
      <c r="Q867" s="113" t="n"/>
      <c r="R867" s="113" t="n"/>
    </row>
    <row r="868" ht="15.75" customHeight="1">
      <c r="A868" s="113" t="n"/>
      <c r="B868" s="146" t="n">
        <v>16</v>
      </c>
      <c r="C868" s="350" t="n">
        <v>45910</v>
      </c>
      <c r="D868" s="351" t="n">
        <v>4</v>
      </c>
      <c r="E868" s="264" t="inlineStr">
        <is>
          <t>MALAGUEÑA</t>
        </is>
      </c>
      <c r="F868" s="264" t="inlineStr">
        <is>
          <t>CARGUEROS</t>
        </is>
      </c>
      <c r="G868" s="264" t="n">
        <v>11</v>
      </c>
      <c r="H868" s="264" t="inlineStr">
        <is>
          <t>MANUEL QUITIAN</t>
        </is>
      </c>
      <c r="I868" s="264" t="inlineStr">
        <is>
          <t>KUS176</t>
        </is>
      </c>
      <c r="J868" s="265" t="n">
        <v>0.07291666666666667</v>
      </c>
      <c r="K868" s="266" t="n">
        <v>3379</v>
      </c>
      <c r="L868" s="308" t="n"/>
      <c r="M868" s="113" t="n"/>
      <c r="N868" s="113" t="n"/>
      <c r="O868" s="113" t="n"/>
      <c r="P868" s="243" t="n"/>
      <c r="Q868" s="113" t="n"/>
      <c r="R868" s="113" t="n"/>
    </row>
    <row r="869" ht="15.75" customHeight="1">
      <c r="A869" s="113" t="n"/>
      <c r="B869" s="146" t="n">
        <v>16</v>
      </c>
      <c r="C869" s="350" t="n">
        <v>45910</v>
      </c>
      <c r="D869" s="351" t="n">
        <v>5</v>
      </c>
      <c r="E869" s="264" t="inlineStr">
        <is>
          <t>GARCERAS</t>
        </is>
      </c>
      <c r="F869" s="264" t="inlineStr">
        <is>
          <t>CARGUEROS</t>
        </is>
      </c>
      <c r="G869" s="264" t="n">
        <v>11</v>
      </c>
      <c r="H869" s="264" t="inlineStr">
        <is>
          <t>JAIRO CUBILLOS</t>
        </is>
      </c>
      <c r="I869" s="264" t="inlineStr">
        <is>
          <t>TLO884</t>
        </is>
      </c>
      <c r="J869" s="265" t="n">
        <v>0.1527777777777778</v>
      </c>
      <c r="K869" s="266" t="n">
        <v>3306</v>
      </c>
      <c r="L869" s="308" t="n"/>
      <c r="M869" s="113" t="n"/>
      <c r="N869" s="113" t="n"/>
      <c r="O869" s="113" t="n"/>
      <c r="P869" s="243" t="n"/>
      <c r="Q869" s="113" t="n"/>
      <c r="R869" s="113" t="n"/>
    </row>
    <row r="870" ht="15.75" customHeight="1">
      <c r="A870" s="113" t="n"/>
      <c r="B870" s="146" t="n">
        <v>16</v>
      </c>
      <c r="C870" s="350" t="n">
        <v>45910</v>
      </c>
      <c r="D870" s="351" t="n">
        <v>6</v>
      </c>
      <c r="E870" s="264" t="inlineStr">
        <is>
          <t>GARCERAS</t>
        </is>
      </c>
      <c r="F870" s="264" t="inlineStr">
        <is>
          <t>CARGUEROS</t>
        </is>
      </c>
      <c r="G870" s="264" t="n">
        <v>11</v>
      </c>
      <c r="H870" s="264" t="inlineStr">
        <is>
          <t>HENRY ROMERO</t>
        </is>
      </c>
      <c r="I870" s="264" t="inlineStr">
        <is>
          <t>EQY781</t>
        </is>
      </c>
      <c r="J870" s="265" t="n">
        <v>0.1979166666666667</v>
      </c>
      <c r="K870" s="266" t="n">
        <v>3306</v>
      </c>
      <c r="L870" s="309" t="n"/>
      <c r="M870" s="113" t="n"/>
      <c r="N870" s="113" t="n"/>
      <c r="O870" s="113" t="n"/>
      <c r="P870" s="243" t="n"/>
      <c r="Q870" s="113" t="n"/>
      <c r="R870" s="113" t="n"/>
    </row>
    <row r="871" ht="15.75" customHeight="1">
      <c r="A871" s="113" t="n"/>
      <c r="B871" s="146" t="n">
        <v>16</v>
      </c>
      <c r="C871" s="356" t="n">
        <v>45910</v>
      </c>
      <c r="D871" s="357" t="n">
        <v>7</v>
      </c>
      <c r="E871" s="271" t="inlineStr">
        <is>
          <t>GARCERAS</t>
        </is>
      </c>
      <c r="F871" s="271" t="inlineStr">
        <is>
          <t xml:space="preserve">CARGUEROS </t>
        </is>
      </c>
      <c r="G871" s="271" t="n">
        <v>11</v>
      </c>
      <c r="H871" s="271" t="inlineStr">
        <is>
          <t>JOSE HERRERA</t>
        </is>
      </c>
      <c r="I871" s="271" t="inlineStr">
        <is>
          <t>EQY778</t>
        </is>
      </c>
      <c r="J871" s="272" t="n">
        <v>0.2430555555555556</v>
      </c>
      <c r="K871" s="273" t="n">
        <v>3397</v>
      </c>
      <c r="L871" s="378">
        <f>SUM(K865:K871)</f>
        <v/>
      </c>
      <c r="M871" s="113" t="n"/>
      <c r="N871" s="113" t="n"/>
      <c r="O871" s="113" t="n"/>
      <c r="P871" s="243" t="n"/>
      <c r="Q871" s="113" t="n"/>
      <c r="R871" s="113" t="n"/>
    </row>
    <row r="872" ht="15.75" customHeight="1">
      <c r="A872" s="113" t="n"/>
      <c r="B872" s="146" t="n">
        <v>16</v>
      </c>
      <c r="C872" s="348" t="n">
        <v>45911</v>
      </c>
      <c r="D872" s="349" t="n">
        <v>1</v>
      </c>
      <c r="E872" s="258" t="inlineStr">
        <is>
          <t>GARCERAS</t>
        </is>
      </c>
      <c r="F872" s="258" t="inlineStr">
        <is>
          <t>CARGUEROS</t>
        </is>
      </c>
      <c r="G872" s="258" t="n">
        <v>11</v>
      </c>
      <c r="H872" s="258" t="inlineStr">
        <is>
          <t>ROBINSON PULIDO</t>
        </is>
      </c>
      <c r="I872" s="258" t="inlineStr">
        <is>
          <t>EQY777</t>
        </is>
      </c>
      <c r="J872" s="259" t="n">
        <v>0.9409722222222222</v>
      </c>
      <c r="K872" s="260" t="n">
        <v>2592</v>
      </c>
      <c r="L872" s="292" t="n"/>
      <c r="M872" s="113" t="n"/>
      <c r="N872" s="113" t="n"/>
      <c r="O872" s="113" t="n"/>
      <c r="P872" s="243" t="n"/>
      <c r="Q872" s="113" t="n"/>
      <c r="R872" s="113" t="n"/>
    </row>
    <row r="873" ht="15.75" customHeight="1">
      <c r="A873" s="113" t="n"/>
      <c r="B873" s="146" t="n">
        <v>16</v>
      </c>
      <c r="C873" s="350" t="n">
        <v>45911</v>
      </c>
      <c r="D873" s="351" t="n">
        <v>2</v>
      </c>
      <c r="E873" s="264" t="inlineStr">
        <is>
          <t>GARCERAS</t>
        </is>
      </c>
      <c r="F873" s="264" t="inlineStr">
        <is>
          <t>CARGUEROS</t>
        </is>
      </c>
      <c r="G873" s="264" t="n">
        <v>11</v>
      </c>
      <c r="H873" s="264" t="inlineStr">
        <is>
          <t>DUMAR ANGARITA</t>
        </is>
      </c>
      <c r="I873" s="264" t="inlineStr">
        <is>
          <t>LQO745</t>
        </is>
      </c>
      <c r="J873" s="265" t="n">
        <v>0.9618055555555556</v>
      </c>
      <c r="K873" s="266" t="n">
        <v>2592</v>
      </c>
      <c r="L873" s="308" t="n"/>
      <c r="M873" s="113" t="n"/>
      <c r="N873" s="113" t="n"/>
      <c r="O873" s="113" t="n"/>
      <c r="P873" s="243" t="n"/>
      <c r="Q873" s="113" t="n"/>
      <c r="R873" s="113" t="n"/>
    </row>
    <row r="874" ht="15.75" customHeight="1">
      <c r="A874" s="113" t="n"/>
      <c r="B874" s="146" t="n">
        <v>16</v>
      </c>
      <c r="C874" s="350" t="n">
        <v>45911</v>
      </c>
      <c r="D874" s="351" t="n">
        <v>3</v>
      </c>
      <c r="E874" s="264" t="inlineStr">
        <is>
          <t>GARCERAS</t>
        </is>
      </c>
      <c r="F874" s="264" t="inlineStr">
        <is>
          <t>CARGUEROS</t>
        </is>
      </c>
      <c r="G874" s="264" t="n">
        <v>11</v>
      </c>
      <c r="H874" s="264" t="inlineStr">
        <is>
          <t>EDUAN CAVIEDEZ</t>
        </is>
      </c>
      <c r="I874" s="264" t="inlineStr">
        <is>
          <t>EQY779</t>
        </is>
      </c>
      <c r="J874" s="265" t="n">
        <v>0.9861111111111112</v>
      </c>
      <c r="K874" s="266" t="n">
        <v>2592</v>
      </c>
      <c r="L874" s="308" t="n"/>
      <c r="M874" s="113" t="n"/>
      <c r="N874" s="113" t="n"/>
      <c r="O874" s="113" t="n"/>
      <c r="P874" s="243" t="n"/>
      <c r="Q874" s="113" t="n"/>
      <c r="R874" s="113" t="n"/>
    </row>
    <row r="875" ht="15.75" customHeight="1">
      <c r="A875" s="113" t="n"/>
      <c r="B875" s="146" t="n">
        <v>16</v>
      </c>
      <c r="C875" s="350" t="n">
        <v>45911</v>
      </c>
      <c r="D875" s="351" t="n">
        <v>4</v>
      </c>
      <c r="E875" s="264" t="inlineStr">
        <is>
          <t>GARCERAS</t>
        </is>
      </c>
      <c r="F875" s="264" t="inlineStr">
        <is>
          <t>CARGUEROS</t>
        </is>
      </c>
      <c r="G875" s="264" t="n">
        <v>11</v>
      </c>
      <c r="H875" s="264" t="inlineStr">
        <is>
          <t>YAIR RIVEROS</t>
        </is>
      </c>
      <c r="I875" s="264" t="inlineStr">
        <is>
          <t>TLN181</t>
        </is>
      </c>
      <c r="J875" s="265" t="n">
        <v>0.01041666666666667</v>
      </c>
      <c r="K875" s="266" t="n">
        <v>2592</v>
      </c>
      <c r="L875" s="308" t="n"/>
      <c r="M875" s="113" t="n"/>
      <c r="N875" s="113" t="n"/>
      <c r="O875" s="113" t="n"/>
      <c r="P875" s="243" t="n"/>
      <c r="Q875" s="113" t="n"/>
      <c r="R875" s="113" t="n"/>
    </row>
    <row r="876" ht="15.75" customHeight="1">
      <c r="A876" s="113" t="n"/>
      <c r="B876" s="146" t="n">
        <v>16</v>
      </c>
      <c r="C876" s="350" t="n">
        <v>45911</v>
      </c>
      <c r="D876" s="351" t="n">
        <v>5</v>
      </c>
      <c r="E876" s="264" t="inlineStr">
        <is>
          <t>GARCERAS</t>
        </is>
      </c>
      <c r="F876" s="264" t="inlineStr">
        <is>
          <t>CARGUEROS</t>
        </is>
      </c>
      <c r="G876" s="264" t="n">
        <v>11</v>
      </c>
      <c r="H876" s="264" t="inlineStr">
        <is>
          <t>DIEGO NIÑO</t>
        </is>
      </c>
      <c r="I876" s="264" t="inlineStr">
        <is>
          <t>GZZ673</t>
        </is>
      </c>
      <c r="J876" s="265" t="n">
        <v>0.0625</v>
      </c>
      <c r="K876" s="266" t="n">
        <v>2809</v>
      </c>
      <c r="L876" s="308" t="n"/>
      <c r="M876" s="113" t="n"/>
      <c r="N876" s="113" t="n"/>
      <c r="O876" s="113" t="n"/>
      <c r="P876" s="243" t="n"/>
      <c r="Q876" s="113" t="n"/>
      <c r="R876" s="113" t="n"/>
    </row>
    <row r="877" ht="15.75" customHeight="1">
      <c r="A877" s="113" t="n"/>
      <c r="B877" s="146" t="n">
        <v>16</v>
      </c>
      <c r="C877" s="350" t="n">
        <v>45911</v>
      </c>
      <c r="D877" s="351" t="n">
        <v>6</v>
      </c>
      <c r="E877" s="264" t="inlineStr">
        <is>
          <t>GARCERAS</t>
        </is>
      </c>
      <c r="F877" s="264" t="inlineStr">
        <is>
          <t>CARGUEROS</t>
        </is>
      </c>
      <c r="G877" s="264" t="n">
        <v>11</v>
      </c>
      <c r="H877" s="264" t="inlineStr">
        <is>
          <t xml:space="preserve">JOSE SOLER </t>
        </is>
      </c>
      <c r="I877" s="264" t="inlineStr">
        <is>
          <t>EQY776</t>
        </is>
      </c>
      <c r="J877" s="265" t="n">
        <v>0.08680555555555555</v>
      </c>
      <c r="K877" s="266" t="n">
        <v>2809</v>
      </c>
      <c r="L877" s="308" t="n"/>
      <c r="M877" s="113" t="n"/>
      <c r="N877" s="113" t="n"/>
      <c r="O877" s="113" t="n"/>
      <c r="P877" s="243" t="n"/>
      <c r="Q877" s="113" t="n"/>
      <c r="R877" s="113" t="n"/>
    </row>
    <row r="878" ht="15.75" customHeight="1">
      <c r="A878" s="113" t="n"/>
      <c r="B878" s="146" t="n">
        <v>16</v>
      </c>
      <c r="C878" s="350" t="n">
        <v>45911</v>
      </c>
      <c r="D878" s="351" t="n">
        <v>7</v>
      </c>
      <c r="E878" s="264" t="inlineStr">
        <is>
          <t>GARCERAS</t>
        </is>
      </c>
      <c r="F878" s="264" t="inlineStr">
        <is>
          <t>CARGUEROS</t>
        </is>
      </c>
      <c r="G878" s="264" t="n">
        <v>11</v>
      </c>
      <c r="H878" s="264" t="inlineStr">
        <is>
          <t>FABIO ALDANA</t>
        </is>
      </c>
      <c r="I878" s="264" t="inlineStr">
        <is>
          <t>TLO882</t>
        </is>
      </c>
      <c r="J878" s="265" t="n">
        <v>0.1215277777777778</v>
      </c>
      <c r="K878" s="266" t="n">
        <v>2809</v>
      </c>
      <c r="L878" s="308" t="n"/>
      <c r="M878" s="113" t="n"/>
      <c r="N878" s="113" t="n"/>
      <c r="O878" s="113" t="n"/>
      <c r="P878" s="243" t="n"/>
      <c r="Q878" s="113" t="n"/>
      <c r="R878" s="113" t="n"/>
    </row>
    <row r="879" ht="15.75" customHeight="1">
      <c r="A879" s="113" t="n"/>
      <c r="B879" s="146" t="n">
        <v>16</v>
      </c>
      <c r="C879" s="350" t="n">
        <v>45911</v>
      </c>
      <c r="D879" s="351" t="n">
        <v>8</v>
      </c>
      <c r="E879" s="264" t="inlineStr">
        <is>
          <t>GARCERAS</t>
        </is>
      </c>
      <c r="F879" s="264" t="inlineStr">
        <is>
          <t>CARGUEROS</t>
        </is>
      </c>
      <c r="G879" s="264" t="n">
        <v>11</v>
      </c>
      <c r="H879" s="264" t="inlineStr">
        <is>
          <t xml:space="preserve">JAIRO CUBILLOS </t>
        </is>
      </c>
      <c r="I879" s="264" t="inlineStr">
        <is>
          <t>TLO8884</t>
        </is>
      </c>
      <c r="J879" s="265" t="n">
        <v>0.15625</v>
      </c>
      <c r="K879" s="266" t="n">
        <v>2384</v>
      </c>
      <c r="L879" s="308" t="n"/>
      <c r="M879" s="113" t="n"/>
      <c r="N879" s="113" t="n"/>
      <c r="O879" s="113" t="n"/>
      <c r="P879" s="243" t="n"/>
      <c r="Q879" s="113" t="n"/>
      <c r="R879" s="113" t="n"/>
    </row>
    <row r="880" ht="15.75" customHeight="1">
      <c r="A880" s="113" t="n"/>
      <c r="B880" s="146" t="n">
        <v>16</v>
      </c>
      <c r="C880" s="350" t="n">
        <v>45911</v>
      </c>
      <c r="D880" s="351" t="n">
        <v>9</v>
      </c>
      <c r="E880" s="264" t="inlineStr">
        <is>
          <t>MALAGUEÑA</t>
        </is>
      </c>
      <c r="F880" s="264" t="inlineStr">
        <is>
          <t>CARGUEROS</t>
        </is>
      </c>
      <c r="G880" s="264" t="n">
        <v>11</v>
      </c>
      <c r="H880" s="264" t="inlineStr">
        <is>
          <t>ALEX CHAGUALA</t>
        </is>
      </c>
      <c r="I880" s="264" t="inlineStr">
        <is>
          <t>LQO745</t>
        </is>
      </c>
      <c r="J880" s="265" t="n">
        <v>0.3680555555555556</v>
      </c>
      <c r="K880" s="266" t="n">
        <v>3349</v>
      </c>
      <c r="L880" s="308" t="n"/>
      <c r="M880" s="113" t="n"/>
      <c r="N880" s="113" t="n"/>
      <c r="O880" s="113" t="n"/>
      <c r="P880" s="243" t="n"/>
      <c r="Q880" s="113" t="n"/>
      <c r="R880" s="113" t="n"/>
    </row>
    <row r="881" ht="15.75" customHeight="1">
      <c r="A881" s="113" t="n"/>
      <c r="B881" s="146" t="n">
        <v>16</v>
      </c>
      <c r="C881" s="350" t="n">
        <v>45911</v>
      </c>
      <c r="D881" s="351" t="n">
        <v>10</v>
      </c>
      <c r="E881" s="264" t="inlineStr">
        <is>
          <t>MALAGUEÑA</t>
        </is>
      </c>
      <c r="F881" s="264" t="inlineStr">
        <is>
          <t>CARGUEROS</t>
        </is>
      </c>
      <c r="G881" s="264" t="n">
        <v>11</v>
      </c>
      <c r="H881" s="264" t="inlineStr">
        <is>
          <t>YAIR RIVEROS</t>
        </is>
      </c>
      <c r="I881" s="264" t="inlineStr">
        <is>
          <t>TLN181</t>
        </is>
      </c>
      <c r="J881" s="265" t="n">
        <v>0.40625</v>
      </c>
      <c r="K881" s="266" t="n">
        <v>3232</v>
      </c>
      <c r="L881" s="308" t="n"/>
      <c r="M881" s="113" t="n"/>
      <c r="N881" s="113" t="n"/>
      <c r="O881" s="113" t="n"/>
      <c r="P881" s="243" t="n"/>
      <c r="Q881" s="113" t="n"/>
      <c r="R881" s="113" t="n"/>
    </row>
    <row r="882" ht="15.75" customHeight="1">
      <c r="A882" s="113" t="n"/>
      <c r="B882" s="146" t="n">
        <v>16</v>
      </c>
      <c r="C882" s="350" t="n">
        <v>45911</v>
      </c>
      <c r="D882" s="351" t="n">
        <v>11</v>
      </c>
      <c r="E882" s="264" t="inlineStr">
        <is>
          <t>MALAGUEÑA</t>
        </is>
      </c>
      <c r="F882" s="264" t="inlineStr">
        <is>
          <t>CARGUEROS</t>
        </is>
      </c>
      <c r="G882" s="264" t="n">
        <v>11</v>
      </c>
      <c r="H882" s="264" t="inlineStr">
        <is>
          <t xml:space="preserve">JOSE SOLER </t>
        </is>
      </c>
      <c r="I882" s="264" t="inlineStr">
        <is>
          <t>EQY776</t>
        </is>
      </c>
      <c r="J882" s="265" t="n">
        <v>0.4479166666666667</v>
      </c>
      <c r="K882" s="266" t="n">
        <v>3360</v>
      </c>
      <c r="L882" s="309" t="n"/>
      <c r="M882" s="113" t="n"/>
      <c r="N882" s="113" t="n"/>
      <c r="O882" s="113" t="n"/>
      <c r="P882" s="243" t="n"/>
      <c r="Q882" s="113" t="n"/>
      <c r="R882" s="113" t="n"/>
    </row>
    <row r="883" ht="15.75" customHeight="1">
      <c r="A883" s="113" t="n"/>
      <c r="B883" s="146" t="n">
        <v>16</v>
      </c>
      <c r="C883" s="352" t="n">
        <v>45911</v>
      </c>
      <c r="D883" s="347" t="n">
        <v>12</v>
      </c>
      <c r="E883" s="282" t="inlineStr">
        <is>
          <t>MALAGUEÑA</t>
        </is>
      </c>
      <c r="F883" s="282" t="inlineStr">
        <is>
          <t xml:space="preserve">CARGUEROS </t>
        </is>
      </c>
      <c r="G883" s="282" t="n">
        <v>11</v>
      </c>
      <c r="H883" s="282" t="inlineStr">
        <is>
          <t>JAIRO CUBILLOS</t>
        </is>
      </c>
      <c r="I883" s="282" t="inlineStr">
        <is>
          <t>TLO884</t>
        </is>
      </c>
      <c r="J883" s="283" t="n">
        <v>0.4861111111111111</v>
      </c>
      <c r="K883" s="284" t="n">
        <v>3360</v>
      </c>
      <c r="L883" s="353">
        <f>SUM(K872:K883)</f>
        <v/>
      </c>
      <c r="M883" s="113" t="n"/>
      <c r="N883" s="113" t="n"/>
      <c r="O883" s="113" t="n"/>
      <c r="P883" s="243" t="n"/>
      <c r="Q883" s="113" t="n"/>
      <c r="R883" s="113" t="n"/>
    </row>
    <row r="884" ht="15.75" customHeight="1">
      <c r="A884" s="113" t="n"/>
      <c r="B884" s="146" t="n">
        <v>16</v>
      </c>
      <c r="C884" s="348" t="n">
        <v>45912</v>
      </c>
      <c r="D884" s="349" t="n">
        <v>1</v>
      </c>
      <c r="E884" s="258" t="inlineStr">
        <is>
          <t xml:space="preserve">GARCERAS </t>
        </is>
      </c>
      <c r="F884" s="258" t="inlineStr">
        <is>
          <t>CARGUEROS</t>
        </is>
      </c>
      <c r="G884" s="258" t="n">
        <v>11</v>
      </c>
      <c r="H884" s="258" t="inlineStr">
        <is>
          <t xml:space="preserve">HENRY ROMERO </t>
        </is>
      </c>
      <c r="I884" s="258" t="inlineStr">
        <is>
          <t>EQY781</t>
        </is>
      </c>
      <c r="J884" s="259" t="n">
        <v>0</v>
      </c>
      <c r="K884" s="260" t="n">
        <v>2942</v>
      </c>
      <c r="L884" s="292" t="n"/>
      <c r="M884" s="113" t="n"/>
      <c r="N884" s="113" t="n"/>
      <c r="O884" s="113" t="n"/>
      <c r="P884" s="243" t="n"/>
      <c r="Q884" s="113" t="n"/>
      <c r="R884" s="113" t="n"/>
    </row>
    <row r="885" ht="15.75" customHeight="1">
      <c r="A885" s="113" t="n"/>
      <c r="B885" s="146" t="n">
        <v>16</v>
      </c>
      <c r="C885" s="350" t="n">
        <v>45912</v>
      </c>
      <c r="D885" s="351" t="n">
        <v>2</v>
      </c>
      <c r="E885" s="264" t="inlineStr">
        <is>
          <t>GARCERAS</t>
        </is>
      </c>
      <c r="F885" s="264" t="inlineStr">
        <is>
          <t>CARGUEROS</t>
        </is>
      </c>
      <c r="G885" s="264" t="n">
        <v>11</v>
      </c>
      <c r="H885" s="264" t="inlineStr">
        <is>
          <t xml:space="preserve">WILMER PIÑEROS </t>
        </is>
      </c>
      <c r="I885" s="264" t="inlineStr">
        <is>
          <t>KLN076</t>
        </is>
      </c>
      <c r="J885" s="265" t="n">
        <v>0.03472222222222222</v>
      </c>
      <c r="K885" s="266" t="n">
        <v>2978</v>
      </c>
      <c r="L885" s="308" t="n"/>
      <c r="M885" s="113" t="n"/>
      <c r="N885" s="113" t="n"/>
      <c r="O885" s="113" t="n"/>
      <c r="P885" s="243" t="n"/>
      <c r="Q885" s="113" t="n"/>
      <c r="R885" s="113" t="n"/>
    </row>
    <row r="886" ht="15.75" customHeight="1">
      <c r="A886" s="113" t="n"/>
      <c r="B886" s="146" t="n">
        <v>16</v>
      </c>
      <c r="C886" s="350" t="n">
        <v>45912</v>
      </c>
      <c r="D886" s="351" t="n">
        <v>3</v>
      </c>
      <c r="E886" s="264" t="inlineStr">
        <is>
          <t>GARCERAS</t>
        </is>
      </c>
      <c r="F886" s="264" t="inlineStr">
        <is>
          <t>CARGUEROS</t>
        </is>
      </c>
      <c r="G886" s="264" t="n">
        <v>11</v>
      </c>
      <c r="H886" s="264" t="inlineStr">
        <is>
          <t xml:space="preserve">JOSE HERRERA </t>
        </is>
      </c>
      <c r="I886" s="264" t="inlineStr">
        <is>
          <t>EQY778</t>
        </is>
      </c>
      <c r="J886" s="265" t="n">
        <v>0.06597222222222222</v>
      </c>
      <c r="K886" s="266" t="n">
        <v>2978</v>
      </c>
      <c r="L886" s="308" t="n"/>
      <c r="M886" s="113" t="n"/>
      <c r="N886" s="113" t="n"/>
      <c r="O886" s="113" t="n"/>
      <c r="P886" s="243" t="n"/>
      <c r="Q886" s="113" t="n"/>
      <c r="R886" s="113" t="n"/>
    </row>
    <row r="887" ht="15.75" customHeight="1">
      <c r="A887" s="113" t="n"/>
      <c r="B887" s="146" t="n">
        <v>16</v>
      </c>
      <c r="C887" s="350" t="n">
        <v>45912</v>
      </c>
      <c r="D887" s="351" t="n">
        <v>4</v>
      </c>
      <c r="E887" s="264" t="inlineStr">
        <is>
          <t>GARCERAS</t>
        </is>
      </c>
      <c r="F887" s="264" t="inlineStr">
        <is>
          <t xml:space="preserve">CARGUEROS </t>
        </is>
      </c>
      <c r="G887" s="264" t="n">
        <v>11</v>
      </c>
      <c r="H887" s="264" t="inlineStr">
        <is>
          <t>ALEX GOMEZ</t>
        </is>
      </c>
      <c r="I887" s="264" t="inlineStr">
        <is>
          <t>TLN881</t>
        </is>
      </c>
      <c r="J887" s="265" t="n">
        <v>0.09027777777777778</v>
      </c>
      <c r="K887" s="266" t="n">
        <v>2978</v>
      </c>
      <c r="L887" s="308" t="n"/>
      <c r="M887" s="113" t="n"/>
      <c r="N887" s="113" t="n"/>
      <c r="O887" s="113" t="n"/>
      <c r="P887" s="243" t="n"/>
      <c r="Q887" s="113" t="n"/>
      <c r="R887" s="113" t="n"/>
    </row>
    <row r="888" ht="15.75" customHeight="1">
      <c r="A888" s="113" t="n"/>
      <c r="B888" s="146" t="n">
        <v>16</v>
      </c>
      <c r="C888" s="350" t="n">
        <v>45912</v>
      </c>
      <c r="D888" s="351" t="n">
        <v>5</v>
      </c>
      <c r="E888" s="264" t="inlineStr">
        <is>
          <t>GARCERAS</t>
        </is>
      </c>
      <c r="F888" s="264" t="inlineStr">
        <is>
          <t xml:space="preserve">CARGUEROS </t>
        </is>
      </c>
      <c r="G888" s="264" t="n">
        <v>11</v>
      </c>
      <c r="H888" s="264" t="inlineStr">
        <is>
          <t>ROBINSON PULIDO</t>
        </is>
      </c>
      <c r="I888" s="264" t="inlineStr">
        <is>
          <t>EQY780</t>
        </is>
      </c>
      <c r="J888" s="265" t="n">
        <v>0.125</v>
      </c>
      <c r="K888" s="266" t="n">
        <v>2978</v>
      </c>
      <c r="L888" s="308" t="n"/>
      <c r="M888" s="113" t="n"/>
      <c r="N888" s="113" t="n"/>
      <c r="O888" s="113" t="n"/>
      <c r="P888" s="243" t="n"/>
      <c r="Q888" s="113" t="n"/>
      <c r="R888" s="113" t="n"/>
    </row>
    <row r="889" ht="15.75" customHeight="1">
      <c r="A889" s="113" t="n"/>
      <c r="B889" s="146" t="n">
        <v>16</v>
      </c>
      <c r="C889" s="350" t="n">
        <v>45912</v>
      </c>
      <c r="D889" s="351" t="n">
        <v>6</v>
      </c>
      <c r="E889" s="264" t="inlineStr">
        <is>
          <t>GARCERAS</t>
        </is>
      </c>
      <c r="F889" s="264" t="inlineStr">
        <is>
          <t xml:space="preserve">CARGUEROS </t>
        </is>
      </c>
      <c r="G889" s="264" t="n">
        <v>11</v>
      </c>
      <c r="H889" s="264" t="inlineStr">
        <is>
          <t>MANUEL QUITIAN</t>
        </is>
      </c>
      <c r="I889" s="264" t="inlineStr">
        <is>
          <t>KUS176</t>
        </is>
      </c>
      <c r="J889" s="265" t="n">
        <v>0.15625</v>
      </c>
      <c r="K889" s="266" t="n">
        <v>2978</v>
      </c>
      <c r="L889" s="308" t="n"/>
      <c r="M889" s="113" t="n"/>
      <c r="N889" s="113" t="n"/>
      <c r="O889" s="113" t="n"/>
      <c r="P889" s="243" t="n"/>
      <c r="Q889" s="113" t="n"/>
      <c r="R889" s="113" t="n"/>
    </row>
    <row r="890" ht="15.75" customHeight="1">
      <c r="A890" s="113" t="n"/>
      <c r="B890" s="146" t="n">
        <v>16</v>
      </c>
      <c r="C890" s="350" t="n">
        <v>45912</v>
      </c>
      <c r="D890" s="351" t="n">
        <v>7</v>
      </c>
      <c r="E890" s="264" t="inlineStr">
        <is>
          <t>MALAGUEÑA</t>
        </is>
      </c>
      <c r="F890" s="264" t="inlineStr">
        <is>
          <t>ABONEROS</t>
        </is>
      </c>
      <c r="G890" s="264" t="n">
        <v>10</v>
      </c>
      <c r="H890" s="264" t="inlineStr">
        <is>
          <t>JAIRO CUBILLOS</t>
        </is>
      </c>
      <c r="I890" s="264" t="inlineStr">
        <is>
          <t>TLO884</t>
        </is>
      </c>
      <c r="J890" s="265" t="n">
        <v>0.2701388888888889</v>
      </c>
      <c r="K890" s="266" t="n">
        <v>3341</v>
      </c>
      <c r="L890" s="308" t="n"/>
      <c r="M890" s="113" t="n"/>
      <c r="N890" s="113" t="n"/>
      <c r="O890" s="113" t="n"/>
      <c r="P890" s="243" t="n"/>
      <c r="Q890" s="113" t="n"/>
      <c r="R890" s="113" t="n"/>
    </row>
    <row r="891" ht="15.75" customHeight="1">
      <c r="A891" s="113" t="n"/>
      <c r="B891" s="146" t="n">
        <v>16</v>
      </c>
      <c r="C891" s="350" t="n">
        <v>45912</v>
      </c>
      <c r="D891" s="351" t="n">
        <v>8</v>
      </c>
      <c r="E891" s="264" t="inlineStr">
        <is>
          <t>MALAGUEÑA</t>
        </is>
      </c>
      <c r="F891" s="264" t="inlineStr">
        <is>
          <t>ABONEROS</t>
        </is>
      </c>
      <c r="G891" s="264" t="n">
        <v>10</v>
      </c>
      <c r="H891" s="264" t="inlineStr">
        <is>
          <t xml:space="preserve">DIEGO NIÑO </t>
        </is>
      </c>
      <c r="I891" s="264" t="inlineStr">
        <is>
          <t>GZZ673</t>
        </is>
      </c>
      <c r="J891" s="265" t="n">
        <v>0.3055555555555556</v>
      </c>
      <c r="K891" s="266" t="n">
        <v>3527</v>
      </c>
      <c r="L891" s="308" t="n"/>
      <c r="M891" s="113" t="n"/>
      <c r="N891" s="113" t="n"/>
      <c r="O891" s="113" t="n"/>
      <c r="P891" s="243" t="n"/>
      <c r="Q891" s="113" t="n"/>
      <c r="R891" s="113" t="n"/>
    </row>
    <row r="892" ht="15.75" customHeight="1">
      <c r="A892" s="113" t="n"/>
      <c r="B892" s="146" t="n">
        <v>16</v>
      </c>
      <c r="C892" s="350" t="n">
        <v>45912</v>
      </c>
      <c r="D892" s="351" t="n">
        <v>9</v>
      </c>
      <c r="E892" s="264" t="inlineStr">
        <is>
          <t>MALAGUEÑA</t>
        </is>
      </c>
      <c r="F892" s="264" t="inlineStr">
        <is>
          <t>ABONEROS</t>
        </is>
      </c>
      <c r="G892" s="264" t="n">
        <v>10</v>
      </c>
      <c r="H892" s="264" t="inlineStr">
        <is>
          <t xml:space="preserve">HENRY ROMERO </t>
        </is>
      </c>
      <c r="I892" s="264" t="inlineStr">
        <is>
          <t>EQY781</t>
        </is>
      </c>
      <c r="J892" s="265" t="n">
        <v>0.3465277777777778</v>
      </c>
      <c r="K892" s="266" t="n">
        <v>3527</v>
      </c>
      <c r="L892" s="308" t="n"/>
      <c r="M892" s="113" t="n"/>
      <c r="N892" s="113" t="n"/>
      <c r="O892" s="113" t="n"/>
      <c r="P892" s="243" t="n"/>
      <c r="Q892" s="113" t="n"/>
      <c r="R892" s="113" t="n"/>
    </row>
    <row r="893" ht="15.75" customHeight="1">
      <c r="A893" s="113" t="n"/>
      <c r="B893" s="146" t="n">
        <v>16</v>
      </c>
      <c r="C893" s="350" t="n">
        <v>45912</v>
      </c>
      <c r="D893" s="351" t="n">
        <v>10</v>
      </c>
      <c r="E893" s="264" t="inlineStr">
        <is>
          <t>MALAGUEÑA</t>
        </is>
      </c>
      <c r="F893" s="264" t="inlineStr">
        <is>
          <t>ABONEROS</t>
        </is>
      </c>
      <c r="G893" s="264" t="n">
        <v>10</v>
      </c>
      <c r="H893" s="264" t="inlineStr">
        <is>
          <t xml:space="preserve">ALEX GOMEZ </t>
        </is>
      </c>
      <c r="I893" s="264" t="inlineStr">
        <is>
          <t>TLO881</t>
        </is>
      </c>
      <c r="J893" s="265" t="n">
        <v>0.3909722222222222</v>
      </c>
      <c r="K893" s="266" t="n">
        <v>3527</v>
      </c>
      <c r="L893" s="309" t="n"/>
      <c r="M893" s="113" t="n"/>
      <c r="N893" s="113" t="n"/>
      <c r="O893" s="113" t="n"/>
      <c r="P893" s="243" t="n"/>
      <c r="Q893" s="113" t="n"/>
      <c r="R893" s="113" t="n"/>
    </row>
    <row r="894" ht="15.75" customHeight="1">
      <c r="A894" s="113" t="n"/>
      <c r="B894" s="146" t="n">
        <v>16</v>
      </c>
      <c r="C894" s="356" t="n">
        <v>45912</v>
      </c>
      <c r="D894" s="357" t="n">
        <v>11</v>
      </c>
      <c r="E894" s="271" t="inlineStr">
        <is>
          <t>MALAGUEÑA</t>
        </is>
      </c>
      <c r="F894" s="271" t="inlineStr">
        <is>
          <t>ABONEROS</t>
        </is>
      </c>
      <c r="G894" s="271" t="n">
        <v>10</v>
      </c>
      <c r="H894" s="271" t="inlineStr">
        <is>
          <t xml:space="preserve">MANUEL QUITIAN </t>
        </is>
      </c>
      <c r="I894" s="271" t="inlineStr">
        <is>
          <t>KUS176</t>
        </is>
      </c>
      <c r="J894" s="272" t="n">
        <v>0.4305555555555556</v>
      </c>
      <c r="K894" s="273" t="n">
        <v>3428</v>
      </c>
      <c r="L894" s="378">
        <f>SUM(K884:K894)</f>
        <v/>
      </c>
      <c r="M894" s="113" t="n"/>
      <c r="N894" s="113" t="n"/>
      <c r="O894" s="113" t="n"/>
      <c r="P894" s="243" t="n"/>
      <c r="Q894" s="113" t="n"/>
      <c r="R894" s="113" t="n"/>
    </row>
    <row r="895" ht="15.75" customHeight="1">
      <c r="A895" s="113" t="n"/>
      <c r="B895" s="146" t="n">
        <v>16</v>
      </c>
      <c r="C895" s="348" t="n">
        <v>45913</v>
      </c>
      <c r="D895" s="349" t="n">
        <v>1</v>
      </c>
      <c r="E895" s="258" t="inlineStr">
        <is>
          <t>GARCERAS</t>
        </is>
      </c>
      <c r="F895" s="258" t="inlineStr">
        <is>
          <t>CARGUEROS</t>
        </is>
      </c>
      <c r="G895" s="258" t="n">
        <v>10</v>
      </c>
      <c r="H895" s="258" t="inlineStr">
        <is>
          <t xml:space="preserve">JAIRO CUBILLOS </t>
        </is>
      </c>
      <c r="I895" s="258" t="inlineStr">
        <is>
          <t>TLO884</t>
        </is>
      </c>
      <c r="J895" s="259" t="n">
        <v>0.9895833333333334</v>
      </c>
      <c r="K895" s="260" t="n">
        <v>3203</v>
      </c>
      <c r="L895" s="292" t="n"/>
      <c r="M895" s="113" t="n"/>
      <c r="N895" s="113" t="n"/>
      <c r="O895" s="113" t="n"/>
      <c r="P895" s="243" t="n"/>
      <c r="Q895" s="113" t="n"/>
      <c r="R895" s="113" t="n"/>
    </row>
    <row r="896" ht="15.75" customHeight="1">
      <c r="A896" s="113" t="n"/>
      <c r="B896" s="146" t="n">
        <v>16</v>
      </c>
      <c r="C896" s="350" t="n">
        <v>45913</v>
      </c>
      <c r="D896" s="351" t="n">
        <v>2</v>
      </c>
      <c r="E896" s="264" t="inlineStr">
        <is>
          <t>GARCERAS</t>
        </is>
      </c>
      <c r="F896" s="264" t="inlineStr">
        <is>
          <t>CARGUEROS</t>
        </is>
      </c>
      <c r="G896" s="264" t="n">
        <v>11</v>
      </c>
      <c r="H896" s="264" t="inlineStr">
        <is>
          <t>DIEGO NIÑO</t>
        </is>
      </c>
      <c r="I896" s="264" t="inlineStr">
        <is>
          <t>GZZ673</t>
        </is>
      </c>
      <c r="J896" s="265" t="n">
        <v>0.02430555555555556</v>
      </c>
      <c r="K896" s="266" t="n">
        <v>3203</v>
      </c>
      <c r="L896" s="308" t="n"/>
      <c r="M896" s="113" t="n"/>
      <c r="N896" s="113" t="n"/>
      <c r="O896" s="113" t="n"/>
      <c r="P896" s="243" t="n"/>
      <c r="Q896" s="113" t="n"/>
      <c r="R896" s="113" t="n"/>
    </row>
    <row r="897" ht="15.75" customHeight="1">
      <c r="A897" s="113" t="n"/>
      <c r="B897" s="146" t="n">
        <v>16</v>
      </c>
      <c r="C897" s="350" t="n">
        <v>45913</v>
      </c>
      <c r="D897" s="351" t="n">
        <v>3</v>
      </c>
      <c r="E897" s="264" t="inlineStr">
        <is>
          <t>GARCERAS</t>
        </is>
      </c>
      <c r="F897" s="264" t="inlineStr">
        <is>
          <t>CARGUEROS</t>
        </is>
      </c>
      <c r="G897" s="264" t="n">
        <v>11</v>
      </c>
      <c r="H897" s="264" t="inlineStr">
        <is>
          <t xml:space="preserve">DUMAR ANGARITA </t>
        </is>
      </c>
      <c r="I897" s="264" t="inlineStr">
        <is>
          <t>LQO745</t>
        </is>
      </c>
      <c r="J897" s="265" t="n">
        <v>0.05208333333333334</v>
      </c>
      <c r="K897" s="266" t="n">
        <v>3203</v>
      </c>
      <c r="L897" s="308" t="n"/>
      <c r="M897" s="113" t="n"/>
      <c r="N897" s="113" t="n"/>
      <c r="O897" s="113" t="n"/>
      <c r="P897" s="243" t="n"/>
      <c r="Q897" s="113" t="n"/>
      <c r="R897" s="113" t="n"/>
    </row>
    <row r="898" ht="15.75" customHeight="1">
      <c r="A898" s="113" t="n"/>
      <c r="B898" s="146" t="n">
        <v>16</v>
      </c>
      <c r="C898" s="350" t="n">
        <v>45913</v>
      </c>
      <c r="D898" s="351" t="n">
        <v>4</v>
      </c>
      <c r="E898" s="264" t="inlineStr">
        <is>
          <t>GARCERAS</t>
        </is>
      </c>
      <c r="F898" s="264" t="inlineStr">
        <is>
          <t>CARGUEROS</t>
        </is>
      </c>
      <c r="G898" s="264" t="n">
        <v>11</v>
      </c>
      <c r="H898" s="264" t="inlineStr">
        <is>
          <t>ALBERTO LOPEZ</t>
        </is>
      </c>
      <c r="I898" s="264" t="inlineStr">
        <is>
          <t>EQY777</t>
        </is>
      </c>
      <c r="J898" s="265" t="n">
        <v>0.1145833333333333</v>
      </c>
      <c r="K898" s="266" t="n">
        <v>3203</v>
      </c>
      <c r="L898" s="308" t="n"/>
      <c r="M898" s="113" t="n"/>
      <c r="N898" s="113" t="n"/>
      <c r="O898" s="113" t="n"/>
      <c r="P898" s="243" t="n"/>
      <c r="Q898" s="113" t="n"/>
      <c r="R898" s="113" t="n"/>
    </row>
    <row r="899" ht="15.75" customHeight="1">
      <c r="A899" s="113" t="n"/>
      <c r="B899" s="146" t="n">
        <v>16</v>
      </c>
      <c r="C899" s="350" t="n">
        <v>45913</v>
      </c>
      <c r="D899" s="351" t="n">
        <v>5</v>
      </c>
      <c r="E899" s="264" t="inlineStr">
        <is>
          <t>GARCERAS</t>
        </is>
      </c>
      <c r="F899" s="264" t="inlineStr">
        <is>
          <t>CARGUEROS</t>
        </is>
      </c>
      <c r="G899" s="264" t="n">
        <v>11</v>
      </c>
      <c r="H899" s="264" t="inlineStr">
        <is>
          <t>MANUEL QUITIAN</t>
        </is>
      </c>
      <c r="I899" s="264" t="inlineStr">
        <is>
          <t>KUS176</t>
        </is>
      </c>
      <c r="J899" s="265" t="n">
        <v>0.15625</v>
      </c>
      <c r="K899" s="266" t="n">
        <v>3574</v>
      </c>
      <c r="L899" s="308" t="n"/>
      <c r="M899" s="113" t="n"/>
      <c r="N899" s="113" t="n"/>
      <c r="O899" s="113" t="n"/>
      <c r="P899" s="243" t="n"/>
      <c r="Q899" s="113" t="n"/>
      <c r="R899" s="113" t="n"/>
    </row>
    <row r="900" ht="15.75" customHeight="1">
      <c r="A900" s="113" t="n"/>
      <c r="B900" s="146" t="n">
        <v>16</v>
      </c>
      <c r="C900" s="350" t="n">
        <v>45913</v>
      </c>
      <c r="D900" s="351" t="n">
        <v>6</v>
      </c>
      <c r="E900" s="264" t="inlineStr">
        <is>
          <t>GARCERAS</t>
        </is>
      </c>
      <c r="F900" s="264" t="inlineStr">
        <is>
          <t>CARGUEROS</t>
        </is>
      </c>
      <c r="G900" s="264" t="n">
        <v>11</v>
      </c>
      <c r="H900" s="264" t="inlineStr">
        <is>
          <t>EDWIN ROJAS</t>
        </is>
      </c>
      <c r="I900" s="264" t="inlineStr">
        <is>
          <t>EQY780</t>
        </is>
      </c>
      <c r="J900" s="265" t="n">
        <v>0.1909722222222222</v>
      </c>
      <c r="K900" s="266" t="n">
        <v>3574</v>
      </c>
      <c r="L900" s="308" t="n"/>
      <c r="M900" s="113" t="n"/>
      <c r="N900" s="113" t="n"/>
      <c r="O900" s="113" t="n"/>
      <c r="P900" s="243" t="n"/>
      <c r="Q900" s="113" t="n"/>
      <c r="R900" s="113" t="n"/>
    </row>
    <row r="901" ht="15.75" customHeight="1">
      <c r="A901" s="113" t="n"/>
      <c r="B901" s="146" t="n">
        <v>16</v>
      </c>
      <c r="C901" s="350" t="n">
        <v>45913</v>
      </c>
      <c r="D901" s="351" t="n">
        <v>7</v>
      </c>
      <c r="E901" s="264" t="inlineStr">
        <is>
          <t>GARCERAS</t>
        </is>
      </c>
      <c r="F901" s="264" t="inlineStr">
        <is>
          <t>CARGUEROS</t>
        </is>
      </c>
      <c r="G901" s="264" t="n">
        <v>11</v>
      </c>
      <c r="H901" s="264" t="inlineStr">
        <is>
          <t>JOSE HERRERA</t>
        </is>
      </c>
      <c r="I901" s="264" t="inlineStr">
        <is>
          <t>EQY778</t>
        </is>
      </c>
      <c r="J901" s="265" t="n">
        <v>0.2326388888888889</v>
      </c>
      <c r="K901" s="266" t="n">
        <v>3574</v>
      </c>
      <c r="L901" s="309" t="n"/>
      <c r="M901" s="113" t="n"/>
      <c r="N901" s="113" t="n"/>
      <c r="O901" s="113" t="n"/>
      <c r="P901" s="243" t="n"/>
      <c r="Q901" s="113" t="n"/>
      <c r="R901" s="113" t="n"/>
    </row>
    <row r="902" ht="15.75" customHeight="1">
      <c r="A902" s="113" t="n"/>
      <c r="B902" s="146" t="n">
        <v>16</v>
      </c>
      <c r="C902" s="356" t="n">
        <v>45913</v>
      </c>
      <c r="D902" s="357" t="n">
        <v>8</v>
      </c>
      <c r="E902" s="271" t="inlineStr">
        <is>
          <t xml:space="preserve">GARCERAS </t>
        </is>
      </c>
      <c r="F902" s="271" t="inlineStr">
        <is>
          <t>CARGUEROS</t>
        </is>
      </c>
      <c r="G902" s="271" t="n">
        <v>11</v>
      </c>
      <c r="H902" s="271" t="inlineStr">
        <is>
          <t>ALEX GOMEZ</t>
        </is>
      </c>
      <c r="I902" s="271" t="inlineStr">
        <is>
          <t>TLO881</t>
        </is>
      </c>
      <c r="J902" s="272" t="n">
        <v>0.2604166666666667</v>
      </c>
      <c r="K902" s="273" t="n">
        <v>3513</v>
      </c>
      <c r="L902" s="378">
        <f>SUM(K895:K902)</f>
        <v/>
      </c>
      <c r="M902" s="113" t="n"/>
      <c r="N902" s="113" t="n"/>
      <c r="O902" s="113" t="n"/>
      <c r="P902" s="243" t="n"/>
      <c r="Q902" s="113" t="n"/>
      <c r="R902" s="113" t="n"/>
    </row>
    <row r="903" ht="15.75" customHeight="1">
      <c r="A903" s="113" t="n"/>
      <c r="B903" s="146" t="n">
        <v>17</v>
      </c>
      <c r="C903" s="348" t="n">
        <v>45915</v>
      </c>
      <c r="D903" s="349" t="n">
        <v>1</v>
      </c>
      <c r="E903" s="258" t="inlineStr">
        <is>
          <t>GARCERAS</t>
        </is>
      </c>
      <c r="F903" s="258" t="inlineStr">
        <is>
          <t xml:space="preserve">CARGUEROS </t>
        </is>
      </c>
      <c r="G903" s="258" t="n">
        <v>11</v>
      </c>
      <c r="H903" s="258" t="inlineStr">
        <is>
          <t>JAIRO CUBILLOS</t>
        </is>
      </c>
      <c r="I903" s="258" t="inlineStr">
        <is>
          <t>TLO884</t>
        </is>
      </c>
      <c r="J903" s="259" t="n">
        <v>0.1486111111111111</v>
      </c>
      <c r="K903" s="260" t="n">
        <v>3381</v>
      </c>
      <c r="L903" s="292" t="n"/>
      <c r="M903" s="113" t="n"/>
      <c r="N903" s="113" t="n"/>
      <c r="O903" s="113" t="n"/>
      <c r="P903" s="243" t="n"/>
      <c r="Q903" s="113" t="n"/>
      <c r="R903" s="113" t="n"/>
    </row>
    <row r="904" ht="15.75" customHeight="1">
      <c r="A904" s="113" t="n"/>
      <c r="B904" s="146" t="n">
        <v>17</v>
      </c>
      <c r="C904" s="350" t="n">
        <v>45915</v>
      </c>
      <c r="D904" s="351" t="n">
        <v>2</v>
      </c>
      <c r="E904" s="264" t="inlineStr">
        <is>
          <t>GARCERAS</t>
        </is>
      </c>
      <c r="F904" s="264" t="inlineStr">
        <is>
          <t>CARGUEROS</t>
        </is>
      </c>
      <c r="G904" s="264" t="n">
        <v>11</v>
      </c>
      <c r="H904" s="264" t="inlineStr">
        <is>
          <t xml:space="preserve">HENRY ROMERO </t>
        </is>
      </c>
      <c r="I904" s="264" t="inlineStr">
        <is>
          <t>EQY781</t>
        </is>
      </c>
      <c r="J904" s="265" t="n">
        <v>0.1770833333333333</v>
      </c>
      <c r="K904" s="266" t="n">
        <v>3381</v>
      </c>
      <c r="L904" s="308" t="n"/>
      <c r="M904" s="113" t="n"/>
      <c r="N904" s="113" t="n"/>
      <c r="O904" s="113" t="n"/>
      <c r="P904" s="243" t="n"/>
      <c r="Q904" s="113" t="n"/>
      <c r="R904" s="113" t="n"/>
    </row>
    <row r="905" ht="15.75" customHeight="1">
      <c r="A905" s="113" t="n"/>
      <c r="B905" s="146" t="n">
        <v>17</v>
      </c>
      <c r="C905" s="350" t="n">
        <v>45915</v>
      </c>
      <c r="D905" s="351" t="n">
        <v>3</v>
      </c>
      <c r="E905" s="264" t="inlineStr">
        <is>
          <t>GARCERAS</t>
        </is>
      </c>
      <c r="F905" s="264" t="inlineStr">
        <is>
          <t>CARGUEROS</t>
        </is>
      </c>
      <c r="G905" s="264" t="n">
        <v>11</v>
      </c>
      <c r="H905" s="264" t="inlineStr">
        <is>
          <t>DUMAR ANGARITA</t>
        </is>
      </c>
      <c r="I905" s="264" t="inlineStr">
        <is>
          <t>LQO745</t>
        </is>
      </c>
      <c r="J905" s="265" t="n">
        <v>0.2048611111111111</v>
      </c>
      <c r="K905" s="266" t="n">
        <v>3287</v>
      </c>
      <c r="L905" s="308" t="n"/>
      <c r="M905" s="113" t="n"/>
      <c r="N905" s="113" t="n"/>
      <c r="O905" s="113" t="n"/>
      <c r="P905" s="243" t="n"/>
      <c r="Q905" s="113" t="n"/>
      <c r="R905" s="113" t="n"/>
    </row>
    <row r="906" ht="15.75" customHeight="1">
      <c r="A906" s="113" t="n"/>
      <c r="B906" s="146" t="n">
        <v>17</v>
      </c>
      <c r="C906" s="350" t="n">
        <v>45915</v>
      </c>
      <c r="D906" s="351" t="n">
        <v>4</v>
      </c>
      <c r="E906" s="264" t="inlineStr">
        <is>
          <t>GARCERAS</t>
        </is>
      </c>
      <c r="F906" s="264" t="inlineStr">
        <is>
          <t>CARGUEROS</t>
        </is>
      </c>
      <c r="G906" s="264" t="n">
        <v>11</v>
      </c>
      <c r="H906" s="264" t="inlineStr">
        <is>
          <t xml:space="preserve">JOSE SOLER </t>
        </is>
      </c>
      <c r="I906" s="264" t="inlineStr">
        <is>
          <t>EQY776</t>
        </is>
      </c>
      <c r="J906" s="265" t="n">
        <v>0.2604166666666667</v>
      </c>
      <c r="K906" s="266" t="n">
        <v>3287</v>
      </c>
      <c r="L906" s="308" t="n"/>
      <c r="M906" s="113" t="n"/>
      <c r="N906" s="113" t="n"/>
      <c r="O906" s="113" t="n"/>
      <c r="P906" s="243" t="n"/>
      <c r="Q906" s="113" t="n"/>
      <c r="R906" s="113" t="n"/>
    </row>
    <row r="907" ht="15.75" customHeight="1">
      <c r="A907" s="113" t="n"/>
      <c r="B907" s="146" t="n">
        <v>17</v>
      </c>
      <c r="C907" s="350" t="n">
        <v>45915</v>
      </c>
      <c r="D907" s="351" t="n">
        <v>5</v>
      </c>
      <c r="E907" s="264" t="inlineStr">
        <is>
          <t>GARCERAS</t>
        </is>
      </c>
      <c r="F907" s="264" t="inlineStr">
        <is>
          <t>CARGUEROS</t>
        </is>
      </c>
      <c r="G907" s="264" t="n">
        <v>11</v>
      </c>
      <c r="H907" s="264" t="inlineStr">
        <is>
          <t>JHON ARIAS</t>
        </is>
      </c>
      <c r="I907" s="264" t="inlineStr">
        <is>
          <t>TLN248</t>
        </is>
      </c>
      <c r="J907" s="265" t="n">
        <v>0.2916666666666667</v>
      </c>
      <c r="K907" s="266" t="n">
        <v>3287</v>
      </c>
      <c r="L907" s="309" t="n"/>
      <c r="M907" s="113" t="n"/>
      <c r="N907" s="113" t="n"/>
      <c r="O907" s="113" t="n"/>
      <c r="P907" s="243" t="n"/>
      <c r="Q907" s="113" t="n"/>
      <c r="R907" s="113" t="n"/>
    </row>
    <row r="908" ht="15.75" customHeight="1">
      <c r="A908" s="113" t="n"/>
      <c r="B908" s="146" t="n">
        <v>17</v>
      </c>
      <c r="C908" s="356" t="n">
        <v>45915</v>
      </c>
      <c r="D908" s="357" t="n">
        <v>6</v>
      </c>
      <c r="E908" s="271" t="inlineStr">
        <is>
          <t>GARCERAS</t>
        </is>
      </c>
      <c r="F908" s="271" t="inlineStr">
        <is>
          <t xml:space="preserve">CARGUEROS </t>
        </is>
      </c>
      <c r="G908" s="271" t="n">
        <v>11</v>
      </c>
      <c r="H908" s="271" t="inlineStr">
        <is>
          <t xml:space="preserve">JAIR RIVEROS </t>
        </is>
      </c>
      <c r="I908" s="271" t="inlineStr">
        <is>
          <t>TLN181</t>
        </is>
      </c>
      <c r="J908" s="272" t="n">
        <v>0.3368055555555556</v>
      </c>
      <c r="K908" s="273" t="n">
        <v>3287</v>
      </c>
      <c r="L908" s="378">
        <f>SUM(K903:K908)</f>
        <v/>
      </c>
      <c r="M908" s="113" t="n"/>
      <c r="N908" s="113" t="n"/>
      <c r="O908" s="113" t="n"/>
      <c r="P908" s="243" t="n"/>
      <c r="Q908" s="113" t="n"/>
      <c r="R908" s="113" t="n"/>
    </row>
    <row r="909" ht="15.75" customHeight="1">
      <c r="A909" s="113" t="n"/>
      <c r="B909" s="146" t="n">
        <v>17</v>
      </c>
      <c r="C909" s="348" t="n">
        <v>45916</v>
      </c>
      <c r="D909" s="349" t="n">
        <v>1</v>
      </c>
      <c r="E909" s="258" t="inlineStr">
        <is>
          <t xml:space="preserve">GARCERAS </t>
        </is>
      </c>
      <c r="F909" s="258" t="inlineStr">
        <is>
          <t>CARGUEROS</t>
        </is>
      </c>
      <c r="G909" s="258" t="n">
        <v>11</v>
      </c>
      <c r="H909" s="258" t="inlineStr">
        <is>
          <t xml:space="preserve">DUMAR ANGARITA </t>
        </is>
      </c>
      <c r="I909" s="258" t="inlineStr">
        <is>
          <t>LQO745</t>
        </is>
      </c>
      <c r="J909" s="259" t="n">
        <v>0.1236111111111111</v>
      </c>
      <c r="K909" s="260" t="n">
        <v>3048</v>
      </c>
      <c r="L909" s="292" t="n"/>
      <c r="M909" s="113" t="n"/>
      <c r="N909" s="113" t="n"/>
      <c r="O909" s="113" t="n"/>
      <c r="P909" s="243" t="n"/>
      <c r="Q909" s="113" t="n"/>
      <c r="R909" s="113" t="n"/>
    </row>
    <row r="910" ht="15.75" customHeight="1">
      <c r="A910" s="113" t="n"/>
      <c r="B910" s="146" t="n">
        <v>17</v>
      </c>
      <c r="C910" s="350" t="n">
        <v>45916</v>
      </c>
      <c r="D910" s="351" t="n">
        <v>2</v>
      </c>
      <c r="E910" s="264" t="inlineStr">
        <is>
          <t>GARCERAS</t>
        </is>
      </c>
      <c r="F910" s="264" t="inlineStr">
        <is>
          <t>CARGUEROS</t>
        </is>
      </c>
      <c r="G910" s="264" t="n">
        <v>11</v>
      </c>
      <c r="H910" s="264" t="inlineStr">
        <is>
          <t>HENRY ROMERO</t>
        </is>
      </c>
      <c r="I910" s="264" t="inlineStr">
        <is>
          <t>EQY781</t>
        </is>
      </c>
      <c r="J910" s="265" t="n">
        <v>0.1597222222222222</v>
      </c>
      <c r="K910" s="266" t="n">
        <v>3048</v>
      </c>
      <c r="L910" s="308" t="n"/>
      <c r="M910" s="113" t="n"/>
      <c r="N910" s="113" t="n"/>
      <c r="O910" s="113" t="n"/>
      <c r="P910" s="243" t="n"/>
      <c r="Q910" s="113" t="n"/>
      <c r="R910" s="113" t="n"/>
    </row>
    <row r="911" ht="15.75" customHeight="1">
      <c r="A911" s="113" t="n"/>
      <c r="B911" s="146" t="n">
        <v>17</v>
      </c>
      <c r="C911" s="350" t="n">
        <v>45916</v>
      </c>
      <c r="D911" s="351" t="n">
        <v>3</v>
      </c>
      <c r="E911" s="264" t="inlineStr">
        <is>
          <t>GARCERAS</t>
        </is>
      </c>
      <c r="F911" s="264" t="inlineStr">
        <is>
          <t>CARGUEROS</t>
        </is>
      </c>
      <c r="G911" s="264" t="n">
        <v>11</v>
      </c>
      <c r="H911" s="264" t="inlineStr">
        <is>
          <t>MANUEL QUITIAN</t>
        </is>
      </c>
      <c r="I911" s="264" t="inlineStr">
        <is>
          <t>KUS176</t>
        </is>
      </c>
      <c r="J911" s="265" t="n">
        <v>0.1875</v>
      </c>
      <c r="K911" s="266" t="n">
        <v>3048</v>
      </c>
      <c r="L911" s="308" t="n"/>
      <c r="M911" s="113" t="n"/>
      <c r="N911" s="113" t="n"/>
      <c r="O911" s="113" t="n"/>
      <c r="P911" s="243" t="n"/>
      <c r="Q911" s="113" t="n"/>
      <c r="R911" s="113" t="n"/>
    </row>
    <row r="912" ht="15.75" customHeight="1">
      <c r="A912" s="113" t="n"/>
      <c r="B912" s="146" t="n">
        <v>17</v>
      </c>
      <c r="C912" s="350" t="n">
        <v>45916</v>
      </c>
      <c r="D912" s="351" t="n">
        <v>4</v>
      </c>
      <c r="E912" s="264" t="inlineStr">
        <is>
          <t>GARCERAS</t>
        </is>
      </c>
      <c r="F912" s="264" t="inlineStr">
        <is>
          <t>CARGUEROS</t>
        </is>
      </c>
      <c r="G912" s="264" t="n">
        <v>11</v>
      </c>
      <c r="H912" s="264" t="inlineStr">
        <is>
          <t xml:space="preserve">ALEXANDER CHAGUALA </t>
        </is>
      </c>
      <c r="I912" s="264" t="inlineStr">
        <is>
          <t>TLN881</t>
        </is>
      </c>
      <c r="J912" s="265" t="n">
        <v>0.21875</v>
      </c>
      <c r="K912" s="266" t="n">
        <v>3048</v>
      </c>
      <c r="L912" s="308" t="n"/>
      <c r="M912" s="113" t="n"/>
      <c r="N912" s="113" t="n"/>
      <c r="O912" s="113" t="n"/>
      <c r="P912" s="243" t="n"/>
      <c r="Q912" s="113" t="n"/>
      <c r="R912" s="113" t="n"/>
    </row>
    <row r="913" ht="15.75" customHeight="1">
      <c r="A913" s="113" t="n"/>
      <c r="B913" s="146" t="n">
        <v>17</v>
      </c>
      <c r="C913" s="350" t="n">
        <v>45916</v>
      </c>
      <c r="D913" s="351" t="n">
        <v>5</v>
      </c>
      <c r="E913" s="264" t="inlineStr">
        <is>
          <t>GARCERAS</t>
        </is>
      </c>
      <c r="F913" s="264" t="inlineStr">
        <is>
          <t xml:space="preserve">CARGUEROS </t>
        </is>
      </c>
      <c r="G913" s="264" t="n">
        <v>11</v>
      </c>
      <c r="H913" s="264" t="inlineStr">
        <is>
          <t>FERNANDO OYUELA</t>
        </is>
      </c>
      <c r="I913" s="264" t="inlineStr">
        <is>
          <t>EQY778</t>
        </is>
      </c>
      <c r="J913" s="265" t="n">
        <v>0.2604166666666667</v>
      </c>
      <c r="K913" s="266" t="n">
        <v>3048</v>
      </c>
      <c r="L913" s="308" t="n"/>
      <c r="M913" s="113" t="n"/>
      <c r="N913" s="113" t="n"/>
      <c r="O913" s="113" t="n"/>
      <c r="P913" s="243" t="n"/>
      <c r="Q913" s="113" t="n"/>
      <c r="R913" s="113" t="n"/>
    </row>
    <row r="914" ht="15.75" customHeight="1">
      <c r="A914" s="113" t="n"/>
      <c r="B914" s="146" t="n">
        <v>17</v>
      </c>
      <c r="C914" s="350" t="n">
        <v>45916</v>
      </c>
      <c r="D914" s="351" t="n">
        <v>6</v>
      </c>
      <c r="E914" s="264" t="inlineStr">
        <is>
          <t>GARCERAS</t>
        </is>
      </c>
      <c r="F914" s="264" t="inlineStr">
        <is>
          <t>CARGUEROS</t>
        </is>
      </c>
      <c r="G914" s="264" t="n">
        <v>11</v>
      </c>
      <c r="H914" s="264" t="inlineStr">
        <is>
          <t>MANUEL QUITIAN</t>
        </is>
      </c>
      <c r="I914" s="264" t="inlineStr">
        <is>
          <t>KUS176</t>
        </is>
      </c>
      <c r="J914" s="265" t="n">
        <v>0.2951388888888889</v>
      </c>
      <c r="K914" s="266" t="n">
        <v>3048</v>
      </c>
      <c r="L914" s="309" t="n"/>
      <c r="M914" s="113" t="n"/>
      <c r="N914" s="113" t="n"/>
      <c r="O914" s="113" t="n"/>
      <c r="P914" s="243" t="n"/>
      <c r="Q914" s="113" t="n"/>
      <c r="R914" s="113" t="n"/>
    </row>
    <row r="915" ht="15.75" customHeight="1">
      <c r="A915" s="113" t="n"/>
      <c r="B915" s="146" t="n">
        <v>17</v>
      </c>
      <c r="C915" s="356" t="n">
        <v>45916</v>
      </c>
      <c r="D915" s="357" t="n">
        <v>7</v>
      </c>
      <c r="E915" s="271" t="inlineStr">
        <is>
          <t xml:space="preserve">GARCERAS </t>
        </is>
      </c>
      <c r="F915" s="271" t="inlineStr">
        <is>
          <t xml:space="preserve">CARGUEROS </t>
        </is>
      </c>
      <c r="G915" s="271" t="n">
        <v>11</v>
      </c>
      <c r="H915" s="271" t="inlineStr">
        <is>
          <t xml:space="preserve">DIEGO NIÑO </t>
        </is>
      </c>
      <c r="I915" s="271" t="inlineStr">
        <is>
          <t>GZZ673</t>
        </is>
      </c>
      <c r="J915" s="272" t="n">
        <v>0.3333333333333333</v>
      </c>
      <c r="K915" s="273" t="n">
        <v>3028</v>
      </c>
      <c r="L915" s="378">
        <f>SUM(K909:K915)</f>
        <v/>
      </c>
      <c r="M915" s="113" t="n"/>
      <c r="N915" s="113" t="n"/>
      <c r="O915" s="113" t="n"/>
      <c r="P915" s="243" t="n"/>
      <c r="Q915" s="113" t="n"/>
      <c r="R915" s="113" t="n"/>
    </row>
    <row r="916" ht="15.75" customHeight="1">
      <c r="A916" s="113" t="n"/>
      <c r="B916" s="146" t="n">
        <v>17</v>
      </c>
      <c r="C916" s="348" t="n">
        <v>45918</v>
      </c>
      <c r="D916" s="349" t="n">
        <v>1</v>
      </c>
      <c r="E916" s="258" t="inlineStr">
        <is>
          <t>GARCERAS</t>
        </is>
      </c>
      <c r="F916" s="258" t="inlineStr">
        <is>
          <t>CARGUEROS</t>
        </is>
      </c>
      <c r="G916" s="258" t="n">
        <v>11</v>
      </c>
      <c r="H916" s="258" t="inlineStr">
        <is>
          <t>JHON ARIAS</t>
        </is>
      </c>
      <c r="I916" s="258" t="inlineStr">
        <is>
          <t>TLN248</t>
        </is>
      </c>
      <c r="J916" s="259" t="n">
        <v>0.1284722222222222</v>
      </c>
      <c r="K916" s="260" t="n">
        <v>3045</v>
      </c>
      <c r="L916" s="292" t="n"/>
      <c r="M916" s="113" t="n"/>
      <c r="N916" s="113" t="n"/>
      <c r="O916" s="113" t="n"/>
      <c r="P916" s="243" t="n"/>
      <c r="Q916" s="113" t="n"/>
      <c r="R916" s="113" t="n"/>
    </row>
    <row r="917" ht="15.75" customHeight="1">
      <c r="A917" s="113" t="n"/>
      <c r="B917" s="146" t="n">
        <v>17</v>
      </c>
      <c r="C917" s="350" t="n">
        <v>45918</v>
      </c>
      <c r="D917" s="351" t="n">
        <v>2</v>
      </c>
      <c r="E917" s="264" t="inlineStr">
        <is>
          <t>GARCERAS</t>
        </is>
      </c>
      <c r="F917" s="264" t="inlineStr">
        <is>
          <t>CARGUEROS</t>
        </is>
      </c>
      <c r="G917" s="264" t="n">
        <v>11</v>
      </c>
      <c r="H917" s="264" t="inlineStr">
        <is>
          <t xml:space="preserve">JOSE SOLER </t>
        </is>
      </c>
      <c r="I917" s="264" t="inlineStr">
        <is>
          <t>EQY776</t>
        </is>
      </c>
      <c r="J917" s="265" t="n">
        <v>0.1631944444444444</v>
      </c>
      <c r="K917" s="266" t="n">
        <v>3045</v>
      </c>
      <c r="L917" s="308" t="n"/>
      <c r="M917" s="113" t="n"/>
      <c r="N917" s="113" t="n"/>
      <c r="O917" s="113" t="n"/>
      <c r="P917" s="243" t="n"/>
      <c r="Q917" s="113" t="n"/>
      <c r="R917" s="113" t="n"/>
    </row>
    <row r="918" ht="15.75" customHeight="1">
      <c r="A918" s="113" t="n"/>
      <c r="B918" s="146" t="n">
        <v>17</v>
      </c>
      <c r="C918" s="350" t="n">
        <v>45918</v>
      </c>
      <c r="D918" s="351" t="n">
        <v>3</v>
      </c>
      <c r="E918" s="264" t="inlineStr">
        <is>
          <t>GARCERAS</t>
        </is>
      </c>
      <c r="F918" s="264" t="inlineStr">
        <is>
          <t>CARGUEROS</t>
        </is>
      </c>
      <c r="G918" s="264" t="n">
        <v>11</v>
      </c>
      <c r="H918" s="264" t="inlineStr">
        <is>
          <t>YAIR RIVEROS</t>
        </is>
      </c>
      <c r="I918" s="264" t="inlineStr">
        <is>
          <t>TLN181</t>
        </is>
      </c>
      <c r="J918" s="265" t="n">
        <v>0.2083333333333333</v>
      </c>
      <c r="K918" s="266" t="n">
        <v>3220</v>
      </c>
      <c r="L918" s="308" t="n"/>
      <c r="M918" s="113" t="n"/>
      <c r="N918" s="113" t="n"/>
      <c r="O918" s="113" t="n"/>
      <c r="P918" s="243" t="n"/>
      <c r="Q918" s="113" t="n"/>
      <c r="R918" s="113" t="n"/>
    </row>
    <row r="919" ht="15.75" customHeight="1">
      <c r="A919" s="113" t="n"/>
      <c r="B919" s="146" t="n">
        <v>17</v>
      </c>
      <c r="C919" s="350" t="n">
        <v>45918</v>
      </c>
      <c r="D919" s="351" t="n">
        <v>4</v>
      </c>
      <c r="E919" s="264" t="inlineStr">
        <is>
          <t>GARCERAS</t>
        </is>
      </c>
      <c r="F919" s="264" t="inlineStr">
        <is>
          <t>CARGUEROS</t>
        </is>
      </c>
      <c r="G919" s="264" t="n">
        <v>11</v>
      </c>
      <c r="H919" s="264" t="inlineStr">
        <is>
          <t>EDUAN CAVIEDEZ</t>
        </is>
      </c>
      <c r="I919" s="264" t="inlineStr">
        <is>
          <t>EQY779</t>
        </is>
      </c>
      <c r="J919" s="265" t="n">
        <v>0.2430555555555556</v>
      </c>
      <c r="K919" s="266" t="n">
        <v>3220</v>
      </c>
      <c r="L919" s="308" t="n"/>
      <c r="M919" s="113" t="n"/>
      <c r="N919" s="113" t="n"/>
      <c r="O919" s="113" t="n"/>
      <c r="P919" s="243" t="n"/>
      <c r="Q919" s="113" t="n"/>
      <c r="R919" s="113" t="n"/>
    </row>
    <row r="920" ht="15.75" customHeight="1">
      <c r="A920" s="113" t="n"/>
      <c r="B920" s="146" t="n">
        <v>17</v>
      </c>
      <c r="C920" s="350" t="n">
        <v>45918</v>
      </c>
      <c r="D920" s="351" t="n">
        <v>5</v>
      </c>
      <c r="E920" s="264" t="inlineStr">
        <is>
          <t>GARCERAS</t>
        </is>
      </c>
      <c r="F920" s="264" t="inlineStr">
        <is>
          <t>CARGUEROS</t>
        </is>
      </c>
      <c r="G920" s="264" t="n">
        <v>11</v>
      </c>
      <c r="H920" s="264" t="inlineStr">
        <is>
          <t>DIEGO NIÑO</t>
        </is>
      </c>
      <c r="I920" s="264" t="inlineStr">
        <is>
          <t>GZZ673</t>
        </is>
      </c>
      <c r="J920" s="265" t="n">
        <v>0.28125</v>
      </c>
      <c r="K920" s="266" t="n">
        <v>3220</v>
      </c>
      <c r="L920" s="308" t="n"/>
      <c r="M920" s="113" t="n"/>
      <c r="N920" s="113" t="n"/>
      <c r="O920" s="113" t="n"/>
      <c r="P920" s="243" t="n"/>
      <c r="Q920" s="113" t="n"/>
      <c r="R920" s="113" t="n"/>
    </row>
    <row r="921" ht="15.75" customHeight="1">
      <c r="A921" s="113" t="n"/>
      <c r="B921" s="146" t="n">
        <v>17</v>
      </c>
      <c r="C921" s="350" t="n">
        <v>45918</v>
      </c>
      <c r="D921" s="351" t="n">
        <v>6</v>
      </c>
      <c r="E921" s="264" t="inlineStr">
        <is>
          <t>GARCERAS</t>
        </is>
      </c>
      <c r="F921" s="264" t="inlineStr">
        <is>
          <t>CARGUEROS</t>
        </is>
      </c>
      <c r="G921" s="264" t="n">
        <v>11</v>
      </c>
      <c r="H921" s="264" t="inlineStr">
        <is>
          <t>DUMAR ANGARITA</t>
        </is>
      </c>
      <c r="I921" s="264" t="inlineStr">
        <is>
          <t>LQO745</t>
        </is>
      </c>
      <c r="J921" s="265" t="n">
        <v>0.3194444444444444</v>
      </c>
      <c r="K921" s="266" t="n">
        <v>3220</v>
      </c>
      <c r="L921" s="308" t="n"/>
      <c r="M921" s="113" t="n"/>
      <c r="N921" s="113" t="n"/>
      <c r="O921" s="113" t="n"/>
      <c r="P921" s="243" t="n"/>
      <c r="Q921" s="113" t="n"/>
      <c r="R921" s="113" t="n"/>
    </row>
    <row r="922" ht="15.75" customHeight="1">
      <c r="A922" s="113" t="n"/>
      <c r="B922" s="146" t="n">
        <v>17</v>
      </c>
      <c r="C922" s="350" t="n">
        <v>45918</v>
      </c>
      <c r="D922" s="351" t="n">
        <v>7</v>
      </c>
      <c r="E922" s="264" t="inlineStr">
        <is>
          <t>GARCERAS</t>
        </is>
      </c>
      <c r="F922" s="264" t="inlineStr">
        <is>
          <t xml:space="preserve">CARGUEROS </t>
        </is>
      </c>
      <c r="G922" s="264" t="n">
        <v>11</v>
      </c>
      <c r="H922" s="264" t="inlineStr">
        <is>
          <t>HENRY ROMERO</t>
        </is>
      </c>
      <c r="I922" s="264" t="inlineStr">
        <is>
          <t>EQY781</t>
        </is>
      </c>
      <c r="J922" s="265" t="n">
        <v>0.3645833333333333</v>
      </c>
      <c r="K922" s="266" t="n">
        <v>3220</v>
      </c>
      <c r="L922" s="308" t="n"/>
      <c r="M922" s="113" t="n"/>
      <c r="N922" s="113" t="n"/>
      <c r="O922" s="113" t="n"/>
      <c r="P922" s="243" t="n"/>
      <c r="Q922" s="113" t="n"/>
      <c r="R922" s="113" t="n"/>
    </row>
    <row r="923" ht="15.75" customHeight="1">
      <c r="A923" s="113" t="n"/>
      <c r="B923" s="146" t="n">
        <v>17</v>
      </c>
      <c r="C923" s="350" t="n">
        <v>45918</v>
      </c>
      <c r="D923" s="351" t="n">
        <v>8</v>
      </c>
      <c r="E923" s="264" t="inlineStr">
        <is>
          <t xml:space="preserve">SAN JOSE </t>
        </is>
      </c>
      <c r="F923" s="264" t="inlineStr">
        <is>
          <t>ABONEROS</t>
        </is>
      </c>
      <c r="G923" s="264" t="n">
        <v>10</v>
      </c>
      <c r="H923" s="264" t="inlineStr">
        <is>
          <t xml:space="preserve">WILMER PIÑEROS </t>
        </is>
      </c>
      <c r="I923" s="264" t="inlineStr">
        <is>
          <t>KNL076</t>
        </is>
      </c>
      <c r="J923" s="265" t="n">
        <v>0.3125</v>
      </c>
      <c r="K923" s="266" t="n">
        <v>3800</v>
      </c>
      <c r="L923" s="308" t="n"/>
      <c r="M923" s="113" t="n"/>
      <c r="N923" s="113" t="n"/>
      <c r="O923" s="113" t="n"/>
      <c r="P923" s="243" t="n"/>
      <c r="Q923" s="113" t="n"/>
      <c r="R923" s="113" t="n"/>
    </row>
    <row r="924" ht="15.75" customHeight="1">
      <c r="A924" s="113" t="n"/>
      <c r="B924" s="146" t="n">
        <v>17</v>
      </c>
      <c r="C924" s="350" t="n">
        <v>45918</v>
      </c>
      <c r="D924" s="351" t="n">
        <v>9</v>
      </c>
      <c r="E924" s="264" t="inlineStr">
        <is>
          <t xml:space="preserve">SAN JOSE </t>
        </is>
      </c>
      <c r="F924" s="264" t="inlineStr">
        <is>
          <t>ABONEROS</t>
        </is>
      </c>
      <c r="G924" s="264" t="n">
        <v>10</v>
      </c>
      <c r="H924" s="264" t="inlineStr">
        <is>
          <t xml:space="preserve">ALEXANDER CHAGUALA </t>
        </is>
      </c>
      <c r="I924" s="264" t="inlineStr">
        <is>
          <t>TLO881</t>
        </is>
      </c>
      <c r="J924" s="265" t="n">
        <v>0.3430555555555556</v>
      </c>
      <c r="K924" s="266" t="n">
        <v>3800</v>
      </c>
      <c r="L924" s="308" t="n"/>
      <c r="M924" s="113" t="n"/>
      <c r="N924" s="113" t="n"/>
      <c r="O924" s="113" t="n"/>
      <c r="P924" s="243" t="n"/>
      <c r="Q924" s="113" t="n"/>
      <c r="R924" s="113" t="n"/>
    </row>
    <row r="925" ht="15.75" customHeight="1">
      <c r="A925" s="113" t="n"/>
      <c r="B925" s="146" t="n">
        <v>17</v>
      </c>
      <c r="C925" s="350" t="n">
        <v>45918</v>
      </c>
      <c r="D925" s="351" t="n">
        <v>10</v>
      </c>
      <c r="E925" s="264" t="inlineStr">
        <is>
          <t xml:space="preserve">SAN JOSE </t>
        </is>
      </c>
      <c r="F925" s="264" t="inlineStr">
        <is>
          <t>ABONEROS</t>
        </is>
      </c>
      <c r="G925" s="264" t="n">
        <v>10</v>
      </c>
      <c r="H925" s="264" t="inlineStr">
        <is>
          <t xml:space="preserve">JOSE HERRERA </t>
        </is>
      </c>
      <c r="I925" s="264" t="inlineStr">
        <is>
          <t>TLO884</t>
        </is>
      </c>
      <c r="J925" s="265" t="n">
        <v>0.3888888888888889</v>
      </c>
      <c r="K925" s="266" t="n">
        <v>3033</v>
      </c>
      <c r="L925" s="308" t="n"/>
      <c r="M925" s="113" t="n"/>
      <c r="N925" s="113" t="n"/>
      <c r="O925" s="113" t="n"/>
      <c r="P925" s="243" t="n"/>
      <c r="Q925" s="113" t="n"/>
      <c r="R925" s="113" t="n"/>
    </row>
    <row r="926" ht="15.75" customHeight="1">
      <c r="A926" s="113" t="n"/>
      <c r="B926" s="146" t="n">
        <v>17</v>
      </c>
      <c r="C926" s="350" t="n">
        <v>45918</v>
      </c>
      <c r="D926" s="351" t="n">
        <v>11</v>
      </c>
      <c r="E926" s="264" t="inlineStr">
        <is>
          <t xml:space="preserve">SAN JOSE </t>
        </is>
      </c>
      <c r="F926" s="264" t="inlineStr">
        <is>
          <t>ABONEROS</t>
        </is>
      </c>
      <c r="G926" s="264" t="n">
        <v>10</v>
      </c>
      <c r="H926" s="264" t="inlineStr">
        <is>
          <t xml:space="preserve">EDWIN ROJAS </t>
        </is>
      </c>
      <c r="I926" s="264" t="inlineStr">
        <is>
          <t>EQY780</t>
        </is>
      </c>
      <c r="J926" s="265" t="n">
        <v>0.4201388888888889</v>
      </c>
      <c r="K926" s="266" t="n">
        <v>3033</v>
      </c>
      <c r="L926" s="309" t="n"/>
      <c r="M926" s="113" t="n"/>
      <c r="N926" s="113" t="n"/>
      <c r="O926" s="113" t="n"/>
      <c r="P926" s="243" t="n"/>
      <c r="Q926" s="113" t="n"/>
      <c r="R926" s="113" t="n"/>
    </row>
    <row r="927" ht="15.75" customHeight="1">
      <c r="A927" s="113" t="n"/>
      <c r="B927" s="146" t="n">
        <v>17</v>
      </c>
      <c r="C927" s="356" t="n">
        <v>45918</v>
      </c>
      <c r="D927" s="357" t="n">
        <v>12</v>
      </c>
      <c r="E927" s="271" t="inlineStr">
        <is>
          <t xml:space="preserve">SAN JOSE </t>
        </is>
      </c>
      <c r="F927" s="271" t="inlineStr">
        <is>
          <t>ABONEROS</t>
        </is>
      </c>
      <c r="G927" s="271" t="n">
        <v>10</v>
      </c>
      <c r="H927" s="271" t="inlineStr">
        <is>
          <t xml:space="preserve">FERNANDO OYUELA </t>
        </is>
      </c>
      <c r="I927" s="271" t="inlineStr">
        <is>
          <t>EQY778</t>
        </is>
      </c>
      <c r="J927" s="272" t="n">
        <v>0.4576388888888889</v>
      </c>
      <c r="K927" s="273" t="n">
        <v>3033</v>
      </c>
      <c r="L927" s="378">
        <f>SUM(K916:K927)</f>
        <v/>
      </c>
      <c r="M927" s="113" t="n"/>
      <c r="N927" s="113" t="n"/>
      <c r="O927" s="113" t="n"/>
      <c r="P927" s="243" t="n"/>
      <c r="Q927" s="113" t="n"/>
      <c r="R927" s="113" t="n"/>
    </row>
    <row r="928" ht="15.75" customHeight="1">
      <c r="A928" s="113" t="n"/>
      <c r="B928" s="146" t="n">
        <v>17</v>
      </c>
      <c r="C928" s="348" t="n">
        <v>45919</v>
      </c>
      <c r="D928" s="349" t="n">
        <v>1</v>
      </c>
      <c r="E928" s="258" t="inlineStr">
        <is>
          <t>MALAGUEÑA</t>
        </is>
      </c>
      <c r="F928" s="258" t="inlineStr">
        <is>
          <t>ABONEROS</t>
        </is>
      </c>
      <c r="G928" s="258" t="n">
        <v>11</v>
      </c>
      <c r="H928" s="258" t="inlineStr">
        <is>
          <t>ALEXANDER CHAGUALA</t>
        </is>
      </c>
      <c r="I928" s="258" t="inlineStr">
        <is>
          <t>TLO881</t>
        </is>
      </c>
      <c r="J928" s="259" t="n">
        <v>0.08819444444444445</v>
      </c>
      <c r="K928" s="260" t="n">
        <v>3006</v>
      </c>
      <c r="L928" s="292" t="n"/>
      <c r="M928" s="113" t="n"/>
      <c r="N928" s="113" t="n"/>
      <c r="O928" s="113" t="n"/>
      <c r="P928" s="243" t="n"/>
      <c r="Q928" s="113" t="n"/>
      <c r="R928" s="113" t="n"/>
    </row>
    <row r="929" ht="15.75" customHeight="1">
      <c r="A929" s="113" t="n"/>
      <c r="B929" s="146" t="n">
        <v>17</v>
      </c>
      <c r="C929" s="350" t="n">
        <v>45919</v>
      </c>
      <c r="D929" s="351" t="n">
        <v>2</v>
      </c>
      <c r="E929" s="264" t="inlineStr">
        <is>
          <t>MALAGUEÑA</t>
        </is>
      </c>
      <c r="F929" s="264" t="inlineStr">
        <is>
          <t>ABONEROS</t>
        </is>
      </c>
      <c r="G929" s="264" t="n">
        <v>11</v>
      </c>
      <c r="H929" s="264" t="inlineStr">
        <is>
          <t>JHON ARIAS</t>
        </is>
      </c>
      <c r="I929" s="264" t="inlineStr">
        <is>
          <t>TLN248</t>
        </is>
      </c>
      <c r="J929" s="265" t="n">
        <v>0.1368055555555556</v>
      </c>
      <c r="K929" s="266" t="n">
        <v>3006</v>
      </c>
      <c r="L929" s="308" t="n"/>
      <c r="M929" s="113" t="n"/>
      <c r="N929" s="113" t="n"/>
      <c r="O929" s="113" t="n"/>
      <c r="P929" s="243" t="n"/>
      <c r="Q929" s="113" t="n"/>
      <c r="R929" s="113" t="n"/>
    </row>
    <row r="930" ht="15.75" customHeight="1">
      <c r="A930" s="113" t="n"/>
      <c r="B930" s="146" t="n">
        <v>17</v>
      </c>
      <c r="C930" s="350" t="n">
        <v>45919</v>
      </c>
      <c r="D930" s="351" t="n">
        <v>3</v>
      </c>
      <c r="E930" s="264" t="inlineStr">
        <is>
          <t>MALAGUEÑA</t>
        </is>
      </c>
      <c r="F930" s="264" t="inlineStr">
        <is>
          <t>ABONEROS</t>
        </is>
      </c>
      <c r="G930" s="264" t="n">
        <v>11</v>
      </c>
      <c r="H930" s="264" t="inlineStr">
        <is>
          <t xml:space="preserve">EDUAN CAVIEDEZ </t>
        </is>
      </c>
      <c r="I930" s="264" t="inlineStr">
        <is>
          <t>EQY779</t>
        </is>
      </c>
      <c r="J930" s="265" t="n">
        <v>0.1847222222222222</v>
      </c>
      <c r="K930" s="266" t="n">
        <v>3143</v>
      </c>
      <c r="L930" s="308" t="n"/>
      <c r="M930" s="113" t="n"/>
      <c r="N930" s="113" t="n"/>
      <c r="O930" s="113" t="n"/>
      <c r="P930" s="243" t="n"/>
      <c r="Q930" s="113" t="n"/>
      <c r="R930" s="113" t="n"/>
    </row>
    <row r="931" ht="15.75" customHeight="1">
      <c r="A931" s="113" t="n"/>
      <c r="B931" s="146" t="n">
        <v>17</v>
      </c>
      <c r="C931" s="350" t="n">
        <v>45919</v>
      </c>
      <c r="D931" s="351" t="n">
        <v>4</v>
      </c>
      <c r="E931" s="264" t="inlineStr">
        <is>
          <t>MALAGUEÑA</t>
        </is>
      </c>
      <c r="F931" s="264" t="inlineStr">
        <is>
          <t>ABONEROS</t>
        </is>
      </c>
      <c r="G931" s="264" t="n">
        <v>11</v>
      </c>
      <c r="H931" s="264" t="inlineStr">
        <is>
          <t>ROBINSON PULIDO</t>
        </is>
      </c>
      <c r="I931" s="264" t="inlineStr">
        <is>
          <t>EQY777</t>
        </is>
      </c>
      <c r="J931" s="265" t="n">
        <v>0.2256944444444444</v>
      </c>
      <c r="K931" s="266" t="n">
        <v>3143</v>
      </c>
      <c r="L931" s="308" t="n"/>
      <c r="M931" s="113" t="n"/>
      <c r="N931" s="113" t="n"/>
      <c r="O931" s="113" t="n"/>
      <c r="P931" s="243" t="n"/>
      <c r="Q931" s="113" t="n"/>
      <c r="R931" s="113" t="n"/>
    </row>
    <row r="932" ht="15.75" customHeight="1">
      <c r="A932" s="113" t="n"/>
      <c r="B932" s="146" t="n">
        <v>17</v>
      </c>
      <c r="C932" s="350" t="n">
        <v>45919</v>
      </c>
      <c r="D932" s="351" t="n">
        <v>5</v>
      </c>
      <c r="E932" s="264" t="inlineStr">
        <is>
          <t>MALAGUEÑA</t>
        </is>
      </c>
      <c r="F932" s="264" t="inlineStr">
        <is>
          <t>ABONEROS</t>
        </is>
      </c>
      <c r="G932" s="264" t="n">
        <v>10</v>
      </c>
      <c r="H932" s="264" t="inlineStr">
        <is>
          <t xml:space="preserve">DIEGO NIÑO </t>
        </is>
      </c>
      <c r="I932" s="264" t="inlineStr">
        <is>
          <t>GZZ673</t>
        </is>
      </c>
      <c r="J932" s="265" t="n">
        <v>0.2680555555555555</v>
      </c>
      <c r="K932" s="266" t="n">
        <v>2886</v>
      </c>
      <c r="L932" s="308" t="n"/>
      <c r="M932" s="113" t="n"/>
      <c r="N932" s="113" t="n"/>
      <c r="O932" s="113" t="n"/>
      <c r="P932" s="243" t="n"/>
      <c r="Q932" s="113" t="n"/>
      <c r="R932" s="113" t="n"/>
    </row>
    <row r="933" ht="15.75" customHeight="1">
      <c r="A933" s="113" t="n"/>
      <c r="B933" s="146" t="n">
        <v>17</v>
      </c>
      <c r="C933" s="350" t="n">
        <v>45919</v>
      </c>
      <c r="D933" s="351" t="n">
        <v>6</v>
      </c>
      <c r="E933" s="264" t="inlineStr">
        <is>
          <t>MALAGUEÑA</t>
        </is>
      </c>
      <c r="F933" s="264" t="inlineStr">
        <is>
          <t>ABONEROS</t>
        </is>
      </c>
      <c r="G933" s="264" t="n">
        <v>10</v>
      </c>
      <c r="H933" s="264" t="inlineStr">
        <is>
          <t>MANUEL QUITIAN</t>
        </is>
      </c>
      <c r="I933" s="264" t="inlineStr">
        <is>
          <t>KUS176</t>
        </is>
      </c>
      <c r="J933" s="265" t="n">
        <v>0.3173611111111111</v>
      </c>
      <c r="K933" s="266" t="n">
        <v>3000</v>
      </c>
      <c r="L933" s="308" t="n"/>
      <c r="M933" s="113" t="n"/>
      <c r="N933" s="113" t="n"/>
      <c r="O933" s="113" t="n"/>
      <c r="P933" s="243" t="n"/>
      <c r="Q933" s="113" t="n"/>
      <c r="R933" s="113" t="n"/>
    </row>
    <row r="934" ht="15.75" customHeight="1">
      <c r="A934" s="113" t="n"/>
      <c r="B934" s="146" t="n">
        <v>17</v>
      </c>
      <c r="C934" s="350" t="n">
        <v>45919</v>
      </c>
      <c r="D934" s="351" t="n">
        <v>7</v>
      </c>
      <c r="E934" s="264" t="inlineStr">
        <is>
          <t>GARCERAS</t>
        </is>
      </c>
      <c r="F934" s="264" t="inlineStr">
        <is>
          <t>ABONEROS</t>
        </is>
      </c>
      <c r="G934" s="264" t="n">
        <v>10</v>
      </c>
      <c r="H934" s="264" t="inlineStr">
        <is>
          <t xml:space="preserve">FABIO ALDANA </t>
        </is>
      </c>
      <c r="I934" s="264" t="inlineStr">
        <is>
          <t>TLO882</t>
        </is>
      </c>
      <c r="J934" s="265" t="n">
        <v>0.3930555555555555</v>
      </c>
      <c r="K934" s="266" t="n">
        <v>2160</v>
      </c>
      <c r="L934" s="308" t="n"/>
      <c r="M934" s="113" t="n"/>
      <c r="N934" s="113" t="n"/>
      <c r="O934" s="113" t="n"/>
      <c r="P934" s="243" t="n"/>
      <c r="Q934" s="113" t="n"/>
      <c r="R934" s="113" t="n"/>
    </row>
    <row r="935" ht="15.75" customHeight="1">
      <c r="A935" s="113" t="n"/>
      <c r="B935" s="146" t="n">
        <v>17</v>
      </c>
      <c r="C935" s="350" t="n">
        <v>45919</v>
      </c>
      <c r="D935" s="351" t="n">
        <v>8</v>
      </c>
      <c r="E935" s="264" t="inlineStr">
        <is>
          <t xml:space="preserve">SAN JOSE </t>
        </is>
      </c>
      <c r="F935" s="264" t="inlineStr">
        <is>
          <t>CARGUEROS</t>
        </is>
      </c>
      <c r="G935" s="264" t="n">
        <v>11</v>
      </c>
      <c r="H935" s="264" t="inlineStr">
        <is>
          <t>DUMAR ANGARITA</t>
        </is>
      </c>
      <c r="I935" s="264" t="inlineStr">
        <is>
          <t>LQO745</t>
        </is>
      </c>
      <c r="J935" s="265" t="n">
        <v>0.3159722222222222</v>
      </c>
      <c r="K935" s="266" t="n">
        <v>2825</v>
      </c>
      <c r="L935" s="308" t="n"/>
      <c r="M935" s="113" t="n"/>
      <c r="N935" s="113" t="n"/>
      <c r="O935" s="113" t="n"/>
      <c r="P935" s="243" t="n"/>
      <c r="Q935" s="113" t="n"/>
      <c r="R935" s="113" t="n"/>
    </row>
    <row r="936" ht="15.75" customHeight="1">
      <c r="A936" s="113" t="n"/>
      <c r="B936" s="146" t="n">
        <v>17</v>
      </c>
      <c r="C936" s="350" t="n">
        <v>45919</v>
      </c>
      <c r="D936" s="351" t="n">
        <v>9</v>
      </c>
      <c r="E936" s="264" t="inlineStr">
        <is>
          <t xml:space="preserve">SAN JOSE </t>
        </is>
      </c>
      <c r="F936" s="264" t="inlineStr">
        <is>
          <t>CARGUEROS</t>
        </is>
      </c>
      <c r="G936" s="264" t="n">
        <v>11</v>
      </c>
      <c r="H936" s="264" t="inlineStr">
        <is>
          <t xml:space="preserve">JAIR RIVEROS </t>
        </is>
      </c>
      <c r="I936" s="264" t="inlineStr">
        <is>
          <t>TLN181</t>
        </is>
      </c>
      <c r="J936" s="265" t="n">
        <v>0.34375</v>
      </c>
      <c r="K936" s="266" t="n">
        <v>2825</v>
      </c>
      <c r="L936" s="308" t="n"/>
      <c r="M936" s="113" t="n"/>
      <c r="N936" s="113" t="n"/>
      <c r="O936" s="113" t="n"/>
      <c r="P936" s="243" t="n"/>
      <c r="Q936" s="113" t="n"/>
      <c r="R936" s="113" t="n"/>
    </row>
    <row r="937" ht="15.75" customHeight="1">
      <c r="A937" s="113" t="n"/>
      <c r="B937" s="146" t="n">
        <v>17</v>
      </c>
      <c r="C937" s="350" t="n">
        <v>45919</v>
      </c>
      <c r="D937" s="351" t="n">
        <v>10</v>
      </c>
      <c r="E937" s="264" t="inlineStr">
        <is>
          <t xml:space="preserve">SAN JOSE </t>
        </is>
      </c>
      <c r="F937" s="264" t="inlineStr">
        <is>
          <t>CARGUEROS</t>
        </is>
      </c>
      <c r="G937" s="264" t="n">
        <v>11</v>
      </c>
      <c r="H937" s="264" t="inlineStr">
        <is>
          <t xml:space="preserve">JOSE SOLER </t>
        </is>
      </c>
      <c r="I937" s="264" t="inlineStr">
        <is>
          <t>EQY776</t>
        </is>
      </c>
      <c r="J937" s="265" t="n">
        <v>0.375</v>
      </c>
      <c r="K937" s="266" t="n">
        <v>2825</v>
      </c>
      <c r="L937" s="308" t="n"/>
      <c r="M937" s="113" t="n"/>
      <c r="N937" s="113" t="n"/>
      <c r="O937" s="113" t="n"/>
      <c r="P937" s="243" t="n"/>
      <c r="Q937" s="113" t="n"/>
      <c r="R937" s="113" t="n"/>
    </row>
    <row r="938" ht="15.75" customHeight="1">
      <c r="A938" s="113" t="n"/>
      <c r="B938" s="146" t="n">
        <v>17</v>
      </c>
      <c r="C938" s="350" t="n">
        <v>45919</v>
      </c>
      <c r="D938" s="351" t="n">
        <v>11</v>
      </c>
      <c r="E938" s="264" t="inlineStr">
        <is>
          <t xml:space="preserve">SAN JOSE </t>
        </is>
      </c>
      <c r="F938" s="264" t="inlineStr">
        <is>
          <t>CARGUEROS</t>
        </is>
      </c>
      <c r="G938" s="264" t="n">
        <v>11</v>
      </c>
      <c r="H938" s="264" t="inlineStr">
        <is>
          <t>EDWIN ROJAS</t>
        </is>
      </c>
      <c r="I938" s="264" t="inlineStr">
        <is>
          <t>EQY780</t>
        </is>
      </c>
      <c r="J938" s="265" t="n">
        <v>0.4166666666666667</v>
      </c>
      <c r="K938" s="266" t="n">
        <v>2825</v>
      </c>
      <c r="L938" s="308" t="n"/>
      <c r="M938" s="113" t="n"/>
      <c r="N938" s="113" t="n"/>
      <c r="O938" s="113" t="n"/>
      <c r="P938" s="243" t="n"/>
      <c r="Q938" s="113" t="n"/>
      <c r="R938" s="113" t="n"/>
    </row>
    <row r="939" ht="15.75" customHeight="1">
      <c r="A939" s="113" t="n"/>
      <c r="B939" s="146" t="n">
        <v>17</v>
      </c>
      <c r="C939" s="350" t="n">
        <v>45919</v>
      </c>
      <c r="D939" s="351" t="n">
        <v>12</v>
      </c>
      <c r="E939" s="264" t="inlineStr">
        <is>
          <t xml:space="preserve">SAN JOSE </t>
        </is>
      </c>
      <c r="F939" s="264" t="inlineStr">
        <is>
          <t>CARGUEROS</t>
        </is>
      </c>
      <c r="G939" s="264" t="n">
        <v>11</v>
      </c>
      <c r="H939" s="264" t="inlineStr">
        <is>
          <t>FERNANDO OYUELA</t>
        </is>
      </c>
      <c r="I939" s="264" t="inlineStr">
        <is>
          <t>EQY778</t>
        </is>
      </c>
      <c r="J939" s="265" t="n">
        <v>0.4583333333333333</v>
      </c>
      <c r="K939" s="266" t="n">
        <v>2797</v>
      </c>
      <c r="L939" s="308" t="n"/>
      <c r="M939" s="113" t="n"/>
      <c r="N939" s="113" t="n"/>
      <c r="O939" s="113" t="n"/>
      <c r="P939" s="243" t="n"/>
      <c r="Q939" s="113" t="n"/>
      <c r="R939" s="113" t="n"/>
    </row>
    <row r="940" ht="15.75" customHeight="1">
      <c r="A940" s="113" t="n"/>
      <c r="B940" s="146" t="n">
        <v>17</v>
      </c>
      <c r="C940" s="350" t="n">
        <v>45919</v>
      </c>
      <c r="D940" s="351" t="n">
        <v>13</v>
      </c>
      <c r="E940" s="264" t="inlineStr">
        <is>
          <t xml:space="preserve">SAN JOSE </t>
        </is>
      </c>
      <c r="F940" s="264" t="inlineStr">
        <is>
          <t>CARGUEROS</t>
        </is>
      </c>
      <c r="G940" s="264" t="n">
        <v>11</v>
      </c>
      <c r="H940" s="264" t="inlineStr">
        <is>
          <t xml:space="preserve">WILMER PIÑEROS </t>
        </is>
      </c>
      <c r="I940" s="264" t="inlineStr">
        <is>
          <t>KLN076</t>
        </is>
      </c>
      <c r="J940" s="265" t="n">
        <v>0.4930555555555556</v>
      </c>
      <c r="K940" s="266" t="n">
        <v>2797</v>
      </c>
      <c r="L940" s="309" t="n"/>
      <c r="M940" s="113" t="n"/>
      <c r="N940" s="113" t="n"/>
      <c r="O940" s="113" t="n"/>
      <c r="P940" s="243" t="n"/>
      <c r="Q940" s="113" t="n"/>
      <c r="R940" s="113" t="n"/>
    </row>
    <row r="941" ht="15.75" customHeight="1">
      <c r="A941" s="113" t="n"/>
      <c r="B941" s="146" t="n">
        <v>17</v>
      </c>
      <c r="C941" s="352" t="n">
        <v>45919</v>
      </c>
      <c r="D941" s="347" t="n">
        <v>14</v>
      </c>
      <c r="E941" s="282" t="inlineStr">
        <is>
          <t xml:space="preserve">SAN JOSE </t>
        </is>
      </c>
      <c r="F941" s="282" t="inlineStr">
        <is>
          <t>CARGUEROS</t>
        </is>
      </c>
      <c r="G941" s="282" t="n">
        <v>11</v>
      </c>
      <c r="H941" s="282" t="inlineStr">
        <is>
          <t xml:space="preserve">HENRY ROMERO </t>
        </is>
      </c>
      <c r="I941" s="282" t="inlineStr">
        <is>
          <t>EQY781</t>
        </is>
      </c>
      <c r="J941" s="283" t="n">
        <v>0.5243055555555556</v>
      </c>
      <c r="K941" s="284" t="n">
        <v>2797</v>
      </c>
      <c r="L941" s="353">
        <f>SUM(K928:K941)</f>
        <v/>
      </c>
      <c r="M941" s="113" t="n"/>
      <c r="N941" s="113" t="n"/>
      <c r="O941" s="113" t="n"/>
      <c r="P941" s="243" t="n"/>
      <c r="Q941" s="113" t="n"/>
      <c r="R941" s="113" t="n"/>
    </row>
    <row r="942" ht="15.75" customHeight="1">
      <c r="A942" s="113" t="n"/>
      <c r="B942" s="146" t="n">
        <v>17</v>
      </c>
      <c r="C942" s="348" t="n">
        <v>45920</v>
      </c>
      <c r="D942" s="349" t="n">
        <v>1</v>
      </c>
      <c r="E942" s="258" t="inlineStr">
        <is>
          <t>MALAGUEÑA</t>
        </is>
      </c>
      <c r="F942" s="258" t="inlineStr">
        <is>
          <t>CARGUEROS</t>
        </is>
      </c>
      <c r="G942" s="258" t="n">
        <v>11</v>
      </c>
      <c r="H942" s="258" t="inlineStr">
        <is>
          <t>DUMAR ANGARITA</t>
        </is>
      </c>
      <c r="I942" s="258" t="inlineStr">
        <is>
          <t>LQO745</t>
        </is>
      </c>
      <c r="J942" s="259" t="n">
        <v>0.09027777777777778</v>
      </c>
      <c r="K942" s="260" t="n">
        <v>2884</v>
      </c>
      <c r="L942" s="292" t="n"/>
      <c r="M942" s="113" t="n"/>
      <c r="N942" s="113" t="n"/>
      <c r="O942" s="113" t="n"/>
      <c r="P942" s="243" t="n"/>
      <c r="Q942" s="113" t="n"/>
      <c r="R942" s="113" t="n"/>
    </row>
    <row r="943" ht="15.75" customHeight="1">
      <c r="A943" s="113" t="n"/>
      <c r="B943" s="146" t="n">
        <v>17</v>
      </c>
      <c r="C943" s="350" t="n">
        <v>45920</v>
      </c>
      <c r="D943" s="351" t="n">
        <v>2</v>
      </c>
      <c r="E943" s="264" t="inlineStr">
        <is>
          <t>MALAGUEÑA</t>
        </is>
      </c>
      <c r="F943" s="264" t="inlineStr">
        <is>
          <t>CARGUEROS</t>
        </is>
      </c>
      <c r="G943" s="264" t="n">
        <v>11</v>
      </c>
      <c r="H943" s="264" t="inlineStr">
        <is>
          <t>JOSE HERRERA</t>
        </is>
      </c>
      <c r="I943" s="264" t="inlineStr">
        <is>
          <t>TLO884</t>
        </is>
      </c>
      <c r="J943" s="265" t="n">
        <v>0.1284722222222222</v>
      </c>
      <c r="K943" s="266" t="n">
        <v>2884</v>
      </c>
      <c r="L943" s="308" t="n"/>
      <c r="M943" s="113" t="n"/>
      <c r="N943" s="113" t="n"/>
      <c r="O943" s="113" t="n"/>
      <c r="P943" s="243" t="n"/>
      <c r="Q943" s="113" t="n"/>
      <c r="R943" s="113" t="n"/>
    </row>
    <row r="944" ht="15.75" customHeight="1">
      <c r="A944" s="113" t="n"/>
      <c r="B944" s="146" t="n">
        <v>17</v>
      </c>
      <c r="C944" s="350" t="n">
        <v>45920</v>
      </c>
      <c r="D944" s="351" t="n">
        <v>3</v>
      </c>
      <c r="E944" s="264" t="inlineStr">
        <is>
          <t>MALAGUEÑA</t>
        </is>
      </c>
      <c r="F944" s="264" t="inlineStr">
        <is>
          <t>CARGUEROS</t>
        </is>
      </c>
      <c r="G944" s="264" t="n">
        <v>11</v>
      </c>
      <c r="H944" s="264" t="inlineStr">
        <is>
          <t>EDUAN CAVIEDEZ</t>
        </is>
      </c>
      <c r="I944" s="264" t="inlineStr">
        <is>
          <t>EQY779</t>
        </is>
      </c>
      <c r="J944" s="265" t="n">
        <v>0.1611111111111111</v>
      </c>
      <c r="K944" s="266" t="n">
        <v>2884</v>
      </c>
      <c r="L944" s="308" t="n"/>
      <c r="M944" s="113" t="n"/>
      <c r="N944" s="113" t="n"/>
      <c r="O944" s="113" t="n"/>
      <c r="P944" s="243" t="n"/>
      <c r="Q944" s="113" t="n"/>
      <c r="R944" s="113" t="n"/>
    </row>
    <row r="945" ht="15.75" customHeight="1">
      <c r="A945" s="113" t="n"/>
      <c r="B945" s="146" t="n">
        <v>17</v>
      </c>
      <c r="C945" s="350" t="n">
        <v>45920</v>
      </c>
      <c r="D945" s="351" t="n">
        <v>4</v>
      </c>
      <c r="E945" s="264" t="inlineStr">
        <is>
          <t>MALAGUEÑA</t>
        </is>
      </c>
      <c r="F945" s="264" t="inlineStr">
        <is>
          <t>CARGUEROS</t>
        </is>
      </c>
      <c r="G945" s="264" t="n">
        <v>11</v>
      </c>
      <c r="H945" s="264" t="inlineStr">
        <is>
          <t>JHON ARIAS</t>
        </is>
      </c>
      <c r="I945" s="264" t="inlineStr">
        <is>
          <t>TLN248</t>
        </is>
      </c>
      <c r="J945" s="265" t="n">
        <v>0.1979166666666667</v>
      </c>
      <c r="K945" s="266" t="n">
        <v>2884</v>
      </c>
      <c r="L945" s="308" t="n"/>
      <c r="M945" s="113" t="n"/>
      <c r="N945" s="113" t="n"/>
      <c r="O945" s="113" t="n"/>
      <c r="P945" s="243" t="n"/>
      <c r="Q945" s="113" t="n"/>
      <c r="R945" s="113" t="n"/>
    </row>
    <row r="946" ht="15.75" customHeight="1">
      <c r="A946" s="113" t="n"/>
      <c r="B946" s="146" t="n">
        <v>17</v>
      </c>
      <c r="C946" s="350" t="n">
        <v>45920</v>
      </c>
      <c r="D946" s="351" t="n">
        <v>5</v>
      </c>
      <c r="E946" s="264" t="inlineStr">
        <is>
          <t>MALAGUEÑA</t>
        </is>
      </c>
      <c r="F946" s="264" t="inlineStr">
        <is>
          <t>CARGUEROS</t>
        </is>
      </c>
      <c r="G946" s="264" t="n">
        <v>11</v>
      </c>
      <c r="H946" s="264" t="inlineStr">
        <is>
          <t>ALEXANER CHAGUAL</t>
        </is>
      </c>
      <c r="I946" s="264" t="inlineStr">
        <is>
          <t>TLN884</t>
        </is>
      </c>
      <c r="J946" s="265" t="n">
        <v>0.2395833333333333</v>
      </c>
      <c r="K946" s="266" t="n">
        <v>2997</v>
      </c>
      <c r="L946" s="308" t="n"/>
      <c r="M946" s="113" t="n"/>
      <c r="N946" s="113" t="n"/>
      <c r="O946" s="113" t="n"/>
      <c r="P946" s="243" t="n"/>
      <c r="Q946" s="113" t="n"/>
      <c r="R946" s="113" t="n"/>
    </row>
    <row r="947" ht="15.75" customHeight="1">
      <c r="A947" s="113" t="n"/>
      <c r="B947" s="146" t="n">
        <v>17</v>
      </c>
      <c r="C947" s="350" t="n">
        <v>45920</v>
      </c>
      <c r="D947" s="351" t="n">
        <v>6</v>
      </c>
      <c r="E947" s="264" t="inlineStr">
        <is>
          <t>MALAGUEÑA</t>
        </is>
      </c>
      <c r="F947" s="264" t="inlineStr">
        <is>
          <t>CARGUEROS</t>
        </is>
      </c>
      <c r="G947" s="264" t="n">
        <v>11</v>
      </c>
      <c r="H947" s="264" t="inlineStr">
        <is>
          <t xml:space="preserve">WILMER PIÑEROS </t>
        </is>
      </c>
      <c r="I947" s="264" t="inlineStr">
        <is>
          <t>KLN076</t>
        </is>
      </c>
      <c r="J947" s="265" t="n">
        <v>0.2743055555555556</v>
      </c>
      <c r="K947" s="266" t="n">
        <v>2977</v>
      </c>
      <c r="L947" s="308" t="n"/>
      <c r="M947" s="113" t="n"/>
      <c r="N947" s="113" t="n"/>
      <c r="O947" s="113" t="n"/>
      <c r="P947" s="243" t="n"/>
      <c r="Q947" s="113" t="n"/>
      <c r="R947" s="113" t="n"/>
    </row>
    <row r="948" ht="15.75" customHeight="1">
      <c r="A948" s="113" t="n"/>
      <c r="B948" s="146" t="n">
        <v>17</v>
      </c>
      <c r="C948" s="350" t="n">
        <v>45920</v>
      </c>
      <c r="D948" s="351" t="n">
        <v>7</v>
      </c>
      <c r="E948" s="264" t="inlineStr">
        <is>
          <t>MALAGUEÑA</t>
        </is>
      </c>
      <c r="F948" s="264" t="inlineStr">
        <is>
          <t xml:space="preserve">CARGUEROS </t>
        </is>
      </c>
      <c r="G948" s="264" t="n">
        <v>11</v>
      </c>
      <c r="H948" s="264" t="inlineStr">
        <is>
          <t xml:space="preserve">HENRY ROMERO </t>
        </is>
      </c>
      <c r="I948" s="264" t="inlineStr">
        <is>
          <t>EQY781</t>
        </is>
      </c>
      <c r="J948" s="265" t="n">
        <v>0.3090277777777778</v>
      </c>
      <c r="K948" s="266" t="n">
        <v>3574</v>
      </c>
      <c r="L948" s="308" t="n"/>
      <c r="M948" s="113" t="n"/>
      <c r="N948" s="113" t="n"/>
      <c r="O948" s="113" t="n"/>
      <c r="P948" s="243" t="n"/>
      <c r="Q948" s="113" t="n"/>
      <c r="R948" s="113" t="n"/>
    </row>
    <row r="949" ht="15.75" customHeight="1">
      <c r="A949" s="113" t="n"/>
      <c r="B949" s="146" t="n">
        <v>17</v>
      </c>
      <c r="C949" s="350" t="n">
        <v>45920</v>
      </c>
      <c r="D949" s="351" t="n">
        <v>8</v>
      </c>
      <c r="E949" s="264" t="inlineStr">
        <is>
          <t>MALAGUEÑA</t>
        </is>
      </c>
      <c r="F949" s="264" t="inlineStr">
        <is>
          <t xml:space="preserve">CARGUEROS </t>
        </is>
      </c>
      <c r="G949" s="264" t="n">
        <v>11</v>
      </c>
      <c r="H949" s="264" t="inlineStr">
        <is>
          <t>MANUEL QUITIAN</t>
        </is>
      </c>
      <c r="I949" s="264" t="inlineStr">
        <is>
          <t>KUS176</t>
        </is>
      </c>
      <c r="J949" s="265" t="n">
        <v>0.3784722222222222</v>
      </c>
      <c r="K949" s="266" t="n">
        <v>3025</v>
      </c>
      <c r="L949" s="308" t="n"/>
      <c r="M949" s="113" t="n"/>
      <c r="N949" s="113" t="n"/>
      <c r="O949" s="113" t="n"/>
      <c r="P949" s="243" t="n"/>
      <c r="Q949" s="113" t="n"/>
      <c r="R949" s="113" t="n"/>
    </row>
    <row r="950" ht="15.75" customHeight="1">
      <c r="A950" s="113" t="n"/>
      <c r="B950" s="146" t="n">
        <v>17</v>
      </c>
      <c r="C950" s="352" t="n">
        <v>45920</v>
      </c>
      <c r="D950" s="347" t="n">
        <v>9</v>
      </c>
      <c r="E950" s="282" t="inlineStr">
        <is>
          <t>MALAGUEÑA</t>
        </is>
      </c>
      <c r="F950" s="282" t="inlineStr">
        <is>
          <t xml:space="preserve">CARGUEROS </t>
        </is>
      </c>
      <c r="G950" s="282" t="n">
        <v>11</v>
      </c>
      <c r="H950" s="282" t="inlineStr">
        <is>
          <t>FERNANDO OYUELA</t>
        </is>
      </c>
      <c r="I950" s="282" t="inlineStr">
        <is>
          <t>GZZ673</t>
        </is>
      </c>
      <c r="J950" s="283" t="n">
        <v>0.4166666666666667</v>
      </c>
      <c r="K950" s="284" t="n">
        <v>3025</v>
      </c>
      <c r="L950" s="353">
        <f>SUM(K942:K950)</f>
        <v/>
      </c>
      <c r="M950" s="113" t="n"/>
      <c r="N950" s="113" t="n"/>
      <c r="O950" s="113" t="n"/>
      <c r="P950" s="243" t="n"/>
      <c r="Q950" s="113" t="n"/>
      <c r="R950" s="113" t="n"/>
    </row>
    <row r="951" ht="15.75" customHeight="1">
      <c r="A951" s="113" t="n"/>
      <c r="B951" s="146" t="n">
        <v>18</v>
      </c>
      <c r="C951" s="348" t="n">
        <v>45922</v>
      </c>
      <c r="D951" s="349" t="n">
        <v>1</v>
      </c>
      <c r="E951" s="258" t="inlineStr">
        <is>
          <t>MALAGUEÑA</t>
        </is>
      </c>
      <c r="F951" s="258" t="inlineStr">
        <is>
          <t>ABONEROS</t>
        </is>
      </c>
      <c r="G951" s="258" t="n">
        <v>11</v>
      </c>
      <c r="H951" s="258" t="inlineStr">
        <is>
          <t>EDUAN CAVIEDEZ</t>
        </is>
      </c>
      <c r="I951" s="258" t="inlineStr">
        <is>
          <t>EQY779</t>
        </is>
      </c>
      <c r="J951" s="259" t="n">
        <v>0.4555555555555555</v>
      </c>
      <c r="K951" s="260" t="n">
        <v>2916</v>
      </c>
      <c r="L951" s="292" t="n"/>
      <c r="M951" s="113" t="n"/>
      <c r="N951" s="113" t="n"/>
      <c r="O951" s="113" t="n"/>
      <c r="P951" s="243" t="n"/>
      <c r="Q951" s="113" t="n"/>
      <c r="R951" s="113" t="n"/>
    </row>
    <row r="952" ht="15.75" customHeight="1">
      <c r="A952" s="113" t="n"/>
      <c r="B952" s="146" t="n">
        <v>18</v>
      </c>
      <c r="C952" s="350" t="n">
        <v>45922</v>
      </c>
      <c r="D952" s="351" t="n">
        <v>2</v>
      </c>
      <c r="E952" s="264" t="inlineStr">
        <is>
          <t>MALAGUEÑA</t>
        </is>
      </c>
      <c r="F952" s="264" t="inlineStr">
        <is>
          <t>ABONEROS</t>
        </is>
      </c>
      <c r="G952" s="264" t="n">
        <v>11</v>
      </c>
      <c r="H952" s="264" t="inlineStr">
        <is>
          <t>YAIR RIVEROS</t>
        </is>
      </c>
      <c r="I952" s="264" t="inlineStr">
        <is>
          <t>TLN181</t>
        </is>
      </c>
      <c r="J952" s="265" t="n">
        <v>0.01736111111111111</v>
      </c>
      <c r="K952" s="266" t="n">
        <v>3333</v>
      </c>
      <c r="L952" s="308" t="n"/>
      <c r="M952" s="113" t="n"/>
      <c r="N952" s="113" t="n"/>
      <c r="O952" s="113" t="n"/>
      <c r="P952" s="243" t="n"/>
      <c r="Q952" s="113" t="n"/>
      <c r="R952" s="113" t="n"/>
    </row>
    <row r="953" ht="15.75" customHeight="1">
      <c r="A953" s="113" t="n"/>
      <c r="B953" s="146" t="n">
        <v>18</v>
      </c>
      <c r="C953" s="350" t="n">
        <v>45922</v>
      </c>
      <c r="D953" s="351" t="n">
        <v>3</v>
      </c>
      <c r="E953" s="264" t="inlineStr">
        <is>
          <t>MALAGUEÑA</t>
        </is>
      </c>
      <c r="F953" s="264" t="inlineStr">
        <is>
          <t>ABONEROS</t>
        </is>
      </c>
      <c r="G953" s="264" t="n">
        <v>11</v>
      </c>
      <c r="H953" s="264" t="inlineStr">
        <is>
          <t xml:space="preserve">MANUEL QUITIAN </t>
        </is>
      </c>
      <c r="I953" s="264" t="inlineStr">
        <is>
          <t>KUS176</t>
        </is>
      </c>
      <c r="J953" s="265" t="n">
        <v>0.05208333333333334</v>
      </c>
      <c r="K953" s="266" t="n">
        <v>3240</v>
      </c>
      <c r="L953" s="308" t="n"/>
      <c r="M953" s="113" t="n"/>
      <c r="N953" s="113" t="n"/>
      <c r="O953" s="113" t="n"/>
      <c r="P953" s="243" t="n"/>
      <c r="Q953" s="113" t="n"/>
      <c r="R953" s="113" t="n"/>
    </row>
    <row r="954" ht="15.75" customHeight="1">
      <c r="A954" s="113" t="n"/>
      <c r="B954" s="146" t="n">
        <v>18</v>
      </c>
      <c r="C954" s="350" t="n">
        <v>45922</v>
      </c>
      <c r="D954" s="351" t="n">
        <v>4</v>
      </c>
      <c r="E954" s="264" t="inlineStr">
        <is>
          <t>MALAGUEÑA</t>
        </is>
      </c>
      <c r="F954" s="264" t="inlineStr">
        <is>
          <t>ABONEROS</t>
        </is>
      </c>
      <c r="G954" s="264" t="n">
        <v>11</v>
      </c>
      <c r="H954" s="264" t="inlineStr">
        <is>
          <t>JOSE HERRERA</t>
        </is>
      </c>
      <c r="I954" s="264" t="inlineStr">
        <is>
          <t>TLO884</t>
        </is>
      </c>
      <c r="J954" s="265" t="n">
        <v>0.09166666666666666</v>
      </c>
      <c r="K954" s="266" t="n">
        <v>3564</v>
      </c>
      <c r="L954" s="308" t="n"/>
      <c r="M954" s="113" t="n"/>
      <c r="N954" s="113" t="n"/>
      <c r="O954" s="113" t="n"/>
      <c r="P954" s="243" t="n"/>
      <c r="Q954" s="113" t="n"/>
      <c r="R954" s="113" t="n"/>
    </row>
    <row r="955" ht="15.75" customHeight="1">
      <c r="A955" s="113" t="n"/>
      <c r="B955" s="146" t="n">
        <v>18</v>
      </c>
      <c r="C955" s="350" t="n">
        <v>45922</v>
      </c>
      <c r="D955" s="351" t="n">
        <v>5</v>
      </c>
      <c r="E955" s="264" t="inlineStr">
        <is>
          <t>MALAGUEÑA</t>
        </is>
      </c>
      <c r="F955" s="264" t="inlineStr">
        <is>
          <t>ABONEROS</t>
        </is>
      </c>
      <c r="G955" s="264" t="n">
        <v>11</v>
      </c>
      <c r="H955" s="264" t="inlineStr">
        <is>
          <t xml:space="preserve">HENRY ROMERO </t>
        </is>
      </c>
      <c r="I955" s="264" t="inlineStr">
        <is>
          <t>EQY871</t>
        </is>
      </c>
      <c r="J955" s="265" t="n">
        <v>0.1298611111111111</v>
      </c>
      <c r="K955" s="266" t="n">
        <v>3564</v>
      </c>
      <c r="L955" s="308" t="n"/>
      <c r="M955" s="113" t="n"/>
      <c r="N955" s="113" t="n"/>
      <c r="O955" s="113" t="n"/>
      <c r="P955" s="243" t="n"/>
      <c r="Q955" s="113" t="n"/>
      <c r="R955" s="113" t="n"/>
    </row>
    <row r="956" ht="15.75" customHeight="1">
      <c r="A956" s="113" t="n"/>
      <c r="B956" s="146" t="n">
        <v>18</v>
      </c>
      <c r="C956" s="350" t="n">
        <v>45922</v>
      </c>
      <c r="D956" s="351" t="n">
        <v>6</v>
      </c>
      <c r="E956" s="264" t="inlineStr">
        <is>
          <t xml:space="preserve">SAN JOSE </t>
        </is>
      </c>
      <c r="F956" s="264" t="inlineStr">
        <is>
          <t>CARGUEROS</t>
        </is>
      </c>
      <c r="G956" s="264" t="n">
        <v>11</v>
      </c>
      <c r="H956" s="264" t="inlineStr">
        <is>
          <t xml:space="preserve">WILMER PIÑEROS </t>
        </is>
      </c>
      <c r="I956" s="264" t="inlineStr">
        <is>
          <t>KLN076</t>
        </is>
      </c>
      <c r="J956" s="265" t="n">
        <v>0.1138888888888889</v>
      </c>
      <c r="K956" s="266" t="n">
        <v>2800</v>
      </c>
      <c r="L956" s="308" t="n"/>
      <c r="M956" s="113" t="n"/>
      <c r="N956" s="113" t="n"/>
      <c r="O956" s="113" t="n"/>
      <c r="P956" s="243" t="n"/>
      <c r="Q956" s="113" t="n"/>
      <c r="R956" s="113" t="n"/>
    </row>
    <row r="957" ht="15.75" customHeight="1">
      <c r="A957" s="113" t="n"/>
      <c r="B957" s="146" t="n">
        <v>18</v>
      </c>
      <c r="C957" s="350" t="n">
        <v>45922</v>
      </c>
      <c r="D957" s="351" t="n">
        <v>7</v>
      </c>
      <c r="E957" s="264" t="inlineStr">
        <is>
          <t xml:space="preserve">SAN JOSE </t>
        </is>
      </c>
      <c r="F957" s="264" t="inlineStr">
        <is>
          <t>CARGUEROS</t>
        </is>
      </c>
      <c r="G957" s="264" t="n">
        <v>11</v>
      </c>
      <c r="H957" s="264" t="inlineStr">
        <is>
          <t>ROBINSON PULIDO</t>
        </is>
      </c>
      <c r="I957" s="264" t="inlineStr">
        <is>
          <t>EQY780</t>
        </is>
      </c>
      <c r="J957" s="265" t="n">
        <v>0.1458333333333333</v>
      </c>
      <c r="K957" s="266" t="n">
        <v>2800</v>
      </c>
      <c r="L957" s="308" t="n"/>
      <c r="M957" s="113" t="n"/>
      <c r="N957" s="113" t="n"/>
      <c r="O957" s="113" t="n"/>
      <c r="P957" s="243" t="n"/>
      <c r="Q957" s="113" t="n"/>
      <c r="R957" s="113" t="n"/>
    </row>
    <row r="958" ht="15.75" customHeight="1">
      <c r="A958" s="113" t="n"/>
      <c r="B958" s="146" t="n">
        <v>18</v>
      </c>
      <c r="C958" s="350" t="n">
        <v>45922</v>
      </c>
      <c r="D958" s="351" t="n">
        <v>8</v>
      </c>
      <c r="E958" s="264" t="inlineStr">
        <is>
          <t xml:space="preserve">SAN JOSE </t>
        </is>
      </c>
      <c r="F958" s="264" t="inlineStr">
        <is>
          <t>CARGUEROS</t>
        </is>
      </c>
      <c r="G958" s="264" t="n">
        <v>11</v>
      </c>
      <c r="H958" s="264" t="inlineStr">
        <is>
          <t>EDUAN CAVIEDEZ</t>
        </is>
      </c>
      <c r="I958" s="264" t="inlineStr">
        <is>
          <t>EQY779</t>
        </is>
      </c>
      <c r="J958" s="265" t="n">
        <v>0.1756944444444444</v>
      </c>
      <c r="K958" s="266" t="n">
        <v>2800</v>
      </c>
      <c r="L958" s="308" t="n"/>
      <c r="M958" s="113" t="n"/>
      <c r="N958" s="113" t="n"/>
      <c r="O958" s="113" t="n"/>
      <c r="P958" s="243" t="n"/>
      <c r="Q958" s="113" t="n"/>
      <c r="R958" s="113" t="n"/>
    </row>
    <row r="959" ht="15.75" customHeight="1">
      <c r="A959" s="113" t="n"/>
      <c r="B959" s="146" t="n">
        <v>18</v>
      </c>
      <c r="C959" s="350" t="n">
        <v>45922</v>
      </c>
      <c r="D959" s="351" t="n">
        <v>9</v>
      </c>
      <c r="E959" s="264" t="inlineStr">
        <is>
          <t xml:space="preserve">SAN JOSE </t>
        </is>
      </c>
      <c r="F959" s="264" t="inlineStr">
        <is>
          <t>CARGUEROS</t>
        </is>
      </c>
      <c r="G959" s="264" t="n">
        <v>11</v>
      </c>
      <c r="H959" s="264" t="inlineStr">
        <is>
          <t>MANUEL QUITIAN</t>
        </is>
      </c>
      <c r="I959" s="264" t="inlineStr">
        <is>
          <t>KUS176</t>
        </is>
      </c>
      <c r="J959" s="265" t="n">
        <v>0.2590277777777778</v>
      </c>
      <c r="K959" s="266" t="n">
        <v>2800</v>
      </c>
      <c r="L959" s="308" t="n"/>
      <c r="M959" s="113" t="n"/>
      <c r="N959" s="113" t="n"/>
      <c r="O959" s="113" t="n"/>
      <c r="P959" s="243" t="n"/>
      <c r="Q959" s="113" t="n"/>
      <c r="R959" s="113" t="n"/>
    </row>
    <row r="960" ht="15.75" customHeight="1">
      <c r="A960" s="113" t="n"/>
      <c r="B960" s="146" t="n">
        <v>18</v>
      </c>
      <c r="C960" s="350" t="n">
        <v>45922</v>
      </c>
      <c r="D960" s="351" t="n">
        <v>10</v>
      </c>
      <c r="E960" s="264" t="inlineStr">
        <is>
          <t xml:space="preserve">SAN JOSE </t>
        </is>
      </c>
      <c r="F960" s="264" t="inlineStr">
        <is>
          <t>CARGUEROS</t>
        </is>
      </c>
      <c r="G960" s="264" t="n">
        <v>11</v>
      </c>
      <c r="H960" s="264" t="inlineStr">
        <is>
          <t>HENRY ROMERO</t>
        </is>
      </c>
      <c r="I960" s="264" t="inlineStr">
        <is>
          <t>EQY781</t>
        </is>
      </c>
      <c r="J960" s="265" t="n">
        <v>0.3020833333333333</v>
      </c>
      <c r="K960" s="266" t="n">
        <v>2916</v>
      </c>
      <c r="L960" s="308" t="n"/>
      <c r="M960" s="113" t="n"/>
      <c r="N960" s="113" t="n"/>
      <c r="O960" s="113" t="n"/>
      <c r="P960" s="243" t="n"/>
      <c r="Q960" s="113" t="n"/>
      <c r="R960" s="113" t="n"/>
    </row>
    <row r="961" ht="15.75" customHeight="1">
      <c r="A961" s="113" t="n"/>
      <c r="B961" s="146" t="n">
        <v>18</v>
      </c>
      <c r="C961" s="350" t="n">
        <v>45922</v>
      </c>
      <c r="D961" s="351" t="n">
        <v>11</v>
      </c>
      <c r="E961" s="264" t="inlineStr">
        <is>
          <t xml:space="preserve">SAN JOSE </t>
        </is>
      </c>
      <c r="F961" s="264" t="inlineStr">
        <is>
          <t>CARGUEROS</t>
        </is>
      </c>
      <c r="G961" s="264" t="n">
        <v>11</v>
      </c>
      <c r="H961" s="264" t="inlineStr">
        <is>
          <t>ROBINSON PULIDO</t>
        </is>
      </c>
      <c r="I961" s="264" t="inlineStr">
        <is>
          <t>EQY780</t>
        </is>
      </c>
      <c r="J961" s="265" t="n">
        <v>0.35625</v>
      </c>
      <c r="K961" s="266" t="n">
        <v>3600</v>
      </c>
      <c r="L961" s="308" t="n"/>
      <c r="M961" s="113" t="n"/>
      <c r="N961" s="113" t="n"/>
      <c r="O961" s="113" t="n"/>
      <c r="P961" s="243" t="n"/>
      <c r="Q961" s="113" t="n"/>
      <c r="R961" s="113" t="n"/>
    </row>
    <row r="962" ht="15.75" customHeight="1">
      <c r="A962" s="113" t="n"/>
      <c r="B962" s="146" t="n">
        <v>18</v>
      </c>
      <c r="C962" s="350" t="n">
        <v>45922</v>
      </c>
      <c r="D962" s="351" t="n">
        <v>12</v>
      </c>
      <c r="E962" s="264" t="inlineStr">
        <is>
          <t xml:space="preserve">SAN JOSE </t>
        </is>
      </c>
      <c r="F962" s="264" t="inlineStr">
        <is>
          <t>CARGUEROS</t>
        </is>
      </c>
      <c r="G962" s="264" t="n">
        <v>11</v>
      </c>
      <c r="H962" s="264" t="inlineStr">
        <is>
          <t xml:space="preserve">ALEX GOMEZ </t>
        </is>
      </c>
      <c r="I962" s="264" t="inlineStr">
        <is>
          <t>TLO884</t>
        </is>
      </c>
      <c r="J962" s="265" t="n">
        <v>0.3895833333333333</v>
      </c>
      <c r="K962" s="266" t="n">
        <v>3600</v>
      </c>
      <c r="L962" s="308" t="n"/>
      <c r="M962" s="113" t="n"/>
      <c r="N962" s="113" t="n"/>
      <c r="O962" s="113" t="n"/>
      <c r="P962" s="243" t="n"/>
      <c r="Q962" s="113" t="n"/>
      <c r="R962" s="113" t="n"/>
    </row>
    <row r="963" ht="15.75" customHeight="1">
      <c r="A963" s="113" t="n"/>
      <c r="B963" s="146" t="n">
        <v>18</v>
      </c>
      <c r="C963" s="350" t="n">
        <v>45922</v>
      </c>
      <c r="D963" s="351" t="n">
        <v>13</v>
      </c>
      <c r="E963" s="264" t="inlineStr">
        <is>
          <t xml:space="preserve">SAN JOSE </t>
        </is>
      </c>
      <c r="F963" s="264" t="inlineStr">
        <is>
          <t>CARGUEROS</t>
        </is>
      </c>
      <c r="G963" s="264" t="n">
        <v>11</v>
      </c>
      <c r="H963" s="264" t="inlineStr">
        <is>
          <t xml:space="preserve">FABIO ALDANA </t>
        </is>
      </c>
      <c r="I963" s="264" t="inlineStr">
        <is>
          <t>TLO882</t>
        </is>
      </c>
      <c r="J963" s="265" t="n">
        <v>0.4319444444444445</v>
      </c>
      <c r="K963" s="266" t="n">
        <v>3640</v>
      </c>
      <c r="L963" s="309" t="n"/>
      <c r="M963" s="113" t="n"/>
      <c r="N963" s="113" t="n"/>
      <c r="O963" s="113" t="n"/>
      <c r="P963" s="243" t="n"/>
      <c r="Q963" s="113" t="n"/>
      <c r="R963" s="113" t="n"/>
    </row>
    <row r="964" ht="15.75" customHeight="1">
      <c r="A964" s="113" t="n"/>
      <c r="B964" s="146" t="n">
        <v>18</v>
      </c>
      <c r="C964" s="356" t="n">
        <v>45922</v>
      </c>
      <c r="D964" s="357" t="n">
        <v>14</v>
      </c>
      <c r="E964" s="271" t="inlineStr">
        <is>
          <t xml:space="preserve">SAN JOSE </t>
        </is>
      </c>
      <c r="F964" s="271" t="inlineStr">
        <is>
          <t>CARGUEROS</t>
        </is>
      </c>
      <c r="G964" s="271" t="n">
        <v>11</v>
      </c>
      <c r="H964" s="271" t="inlineStr">
        <is>
          <t>JHON ARIAS</t>
        </is>
      </c>
      <c r="I964" s="271" t="inlineStr">
        <is>
          <t>TLN248</t>
        </is>
      </c>
      <c r="J964" s="272" t="n">
        <v>0.4847222222222222</v>
      </c>
      <c r="K964" s="273" t="n">
        <v>3640</v>
      </c>
      <c r="L964" s="378">
        <f>SUM(K951:K964)</f>
        <v/>
      </c>
      <c r="M964" s="113" t="n"/>
      <c r="N964" s="113" t="n"/>
      <c r="O964" s="113" t="n"/>
      <c r="P964" s="243" t="n"/>
      <c r="Q964" s="113" t="n"/>
      <c r="R964" s="113" t="n"/>
    </row>
    <row r="965" ht="15.75" customHeight="1">
      <c r="A965" s="113" t="n"/>
      <c r="B965" s="146" t="n">
        <v>18</v>
      </c>
      <c r="C965" s="348" t="n">
        <v>45923</v>
      </c>
      <c r="D965" s="349" t="n">
        <v>1</v>
      </c>
      <c r="E965" s="258" t="inlineStr">
        <is>
          <t>MALAGUEÑA</t>
        </is>
      </c>
      <c r="F965" s="258" t="inlineStr">
        <is>
          <t xml:space="preserve">CARGUEROS </t>
        </is>
      </c>
      <c r="G965" s="258" t="n">
        <v>11</v>
      </c>
      <c r="H965" s="258" t="inlineStr">
        <is>
          <t xml:space="preserve">HENRY ROMERO </t>
        </is>
      </c>
      <c r="I965" s="258" t="inlineStr">
        <is>
          <t>EQY781</t>
        </is>
      </c>
      <c r="J965" s="259" t="n">
        <v>0.8888888888888888</v>
      </c>
      <c r="K965" s="260" t="n">
        <v>3227</v>
      </c>
      <c r="L965" s="292" t="n"/>
      <c r="M965" s="113" t="n"/>
      <c r="N965" s="113" t="n"/>
      <c r="O965" s="113" t="n"/>
      <c r="P965" s="243" t="n"/>
      <c r="Q965" s="113" t="n"/>
      <c r="R965" s="113" t="n"/>
    </row>
    <row r="966" ht="15.75" customHeight="1">
      <c r="A966" s="113" t="n"/>
      <c r="B966" s="146" t="n">
        <v>18</v>
      </c>
      <c r="C966" s="350" t="n">
        <v>45923</v>
      </c>
      <c r="D966" s="351" t="n">
        <v>2</v>
      </c>
      <c r="E966" s="264" t="inlineStr">
        <is>
          <t>MALAGUEÑA</t>
        </is>
      </c>
      <c r="F966" s="264" t="inlineStr">
        <is>
          <t>CARGUEROS</t>
        </is>
      </c>
      <c r="G966" s="264" t="n">
        <v>11</v>
      </c>
      <c r="H966" s="264" t="inlineStr">
        <is>
          <t xml:space="preserve">JOSE SOLER </t>
        </is>
      </c>
      <c r="I966" s="264" t="inlineStr">
        <is>
          <t>EQY776</t>
        </is>
      </c>
      <c r="J966" s="265" t="n">
        <v>0.9270833333333334</v>
      </c>
      <c r="K966" s="266" t="n">
        <v>3257</v>
      </c>
      <c r="L966" s="308" t="n"/>
      <c r="M966" s="113" t="n"/>
      <c r="N966" s="113" t="n"/>
      <c r="O966" s="113" t="n"/>
      <c r="P966" s="243" t="n"/>
      <c r="Q966" s="113" t="n"/>
      <c r="R966" s="113" t="n"/>
    </row>
    <row r="967" ht="15.75" customHeight="1">
      <c r="A967" s="113" t="n"/>
      <c r="B967" s="146" t="n">
        <v>18</v>
      </c>
      <c r="C967" s="350" t="n">
        <v>45923</v>
      </c>
      <c r="D967" s="351" t="n">
        <v>3</v>
      </c>
      <c r="E967" s="264" t="inlineStr">
        <is>
          <t>MALAGUEÑA</t>
        </is>
      </c>
      <c r="F967" s="264" t="inlineStr">
        <is>
          <t>CARGUEROS</t>
        </is>
      </c>
      <c r="G967" s="264" t="n">
        <v>11</v>
      </c>
      <c r="H967" s="264" t="inlineStr">
        <is>
          <t>ALEX GOMEZ</t>
        </is>
      </c>
      <c r="I967" s="264" t="inlineStr">
        <is>
          <t>TLO881</t>
        </is>
      </c>
      <c r="J967" s="265" t="n">
        <v>0.9722222222222222</v>
      </c>
      <c r="K967" s="266" t="n">
        <v>3182</v>
      </c>
      <c r="L967" s="308" t="n"/>
      <c r="M967" s="113" t="n"/>
      <c r="N967" s="113" t="n"/>
      <c r="O967" s="113" t="n"/>
      <c r="P967" s="243" t="n"/>
      <c r="Q967" s="113" t="n"/>
      <c r="R967" s="113" t="n"/>
    </row>
    <row r="968" ht="15.75" customHeight="1">
      <c r="A968" s="113" t="n"/>
      <c r="B968" s="146" t="n">
        <v>18</v>
      </c>
      <c r="C968" s="350" t="n">
        <v>45923</v>
      </c>
      <c r="D968" s="351" t="n">
        <v>4</v>
      </c>
      <c r="E968" s="264" t="inlineStr">
        <is>
          <t>MALAGUEÑA</t>
        </is>
      </c>
      <c r="F968" s="264" t="inlineStr">
        <is>
          <t>CARGUEROS</t>
        </is>
      </c>
      <c r="G968" s="264" t="n">
        <v>11</v>
      </c>
      <c r="H968" s="264" t="inlineStr">
        <is>
          <t>ALEXANDER CHAGUALA</t>
        </is>
      </c>
      <c r="I968" s="264" t="inlineStr">
        <is>
          <t>TLN248</t>
        </is>
      </c>
      <c r="J968" s="265" t="n">
        <v>0.003472222222222222</v>
      </c>
      <c r="K968" s="266" t="n">
        <v>3182</v>
      </c>
      <c r="L968" s="308" t="n"/>
      <c r="M968" s="113" t="n"/>
      <c r="N968" s="113" t="n"/>
      <c r="O968" s="113" t="n"/>
      <c r="P968" s="243" t="n"/>
      <c r="Q968" s="113" t="n"/>
      <c r="R968" s="113" t="n"/>
    </row>
    <row r="969" ht="15.75" customHeight="1">
      <c r="A969" s="113" t="n"/>
      <c r="B969" s="146" t="n">
        <v>18</v>
      </c>
      <c r="C969" s="350" t="n">
        <v>45923</v>
      </c>
      <c r="D969" s="351" t="n">
        <v>5</v>
      </c>
      <c r="E969" s="264" t="inlineStr">
        <is>
          <t>MALAGUEÑA</t>
        </is>
      </c>
      <c r="F969" s="264" t="inlineStr">
        <is>
          <t>CARGUEROS</t>
        </is>
      </c>
      <c r="G969" s="264" t="n">
        <v>11</v>
      </c>
      <c r="H969" s="264" t="inlineStr">
        <is>
          <t>DUMAR ANGARITA</t>
        </is>
      </c>
      <c r="I969" s="264" t="inlineStr">
        <is>
          <t>LQO745</t>
        </is>
      </c>
      <c r="J969" s="265" t="n">
        <v>0.04166666666666666</v>
      </c>
      <c r="K969" s="266" t="n">
        <v>3183</v>
      </c>
      <c r="L969" s="308" t="n"/>
      <c r="M969" s="113" t="n"/>
      <c r="N969" s="113" t="n"/>
      <c r="O969" s="113" t="n"/>
      <c r="P969" s="243" t="n"/>
      <c r="Q969" s="113" t="n"/>
      <c r="R969" s="113" t="n"/>
    </row>
    <row r="970" ht="15.75" customHeight="1">
      <c r="A970" s="113" t="n"/>
      <c r="B970" s="146" t="n">
        <v>18</v>
      </c>
      <c r="C970" s="350" t="n">
        <v>45923</v>
      </c>
      <c r="D970" s="351" t="n">
        <v>6</v>
      </c>
      <c r="E970" s="264" t="inlineStr">
        <is>
          <t>MALAGUEÑA</t>
        </is>
      </c>
      <c r="F970" s="264" t="inlineStr">
        <is>
          <t>CARGUEROS</t>
        </is>
      </c>
      <c r="G970" s="264" t="n">
        <v>11</v>
      </c>
      <c r="H970" s="264" t="inlineStr">
        <is>
          <t xml:space="preserve">FERNANDO OYUELA </t>
        </is>
      </c>
      <c r="I970" s="264" t="inlineStr">
        <is>
          <t>EQY778</t>
        </is>
      </c>
      <c r="J970" s="265" t="n">
        <v>0.08680555555555555</v>
      </c>
      <c r="K970" s="266" t="n">
        <v>2830</v>
      </c>
      <c r="L970" s="308" t="n"/>
      <c r="M970" s="113" t="n"/>
      <c r="N970" s="113" t="n"/>
      <c r="O970" s="113" t="n"/>
      <c r="P970" s="243" t="n"/>
      <c r="Q970" s="113" t="n"/>
      <c r="R970" s="113" t="n"/>
    </row>
    <row r="971" ht="15.75" customHeight="1">
      <c r="A971" s="113" t="n"/>
      <c r="B971" s="146" t="n">
        <v>18</v>
      </c>
      <c r="C971" s="350" t="n">
        <v>45923</v>
      </c>
      <c r="D971" s="351" t="n">
        <v>7</v>
      </c>
      <c r="E971" s="264" t="inlineStr">
        <is>
          <t>MALAGUEÑA</t>
        </is>
      </c>
      <c r="F971" s="264" t="inlineStr">
        <is>
          <t>CARGUEROS</t>
        </is>
      </c>
      <c r="G971" s="264" t="n">
        <v>11</v>
      </c>
      <c r="H971" s="264" t="inlineStr">
        <is>
          <t>FABIO ALDANA</t>
        </is>
      </c>
      <c r="I971" s="264" t="inlineStr">
        <is>
          <t>TLO882</t>
        </is>
      </c>
      <c r="J971" s="265" t="n">
        <v>0.1319444444444444</v>
      </c>
      <c r="K971" s="266" t="n">
        <v>2830</v>
      </c>
      <c r="L971" s="308" t="n"/>
      <c r="M971" s="113" t="n"/>
      <c r="N971" s="113" t="n"/>
      <c r="O971" s="113" t="n"/>
      <c r="P971" s="243" t="n"/>
      <c r="Q971" s="113" t="n"/>
      <c r="R971" s="113" t="n"/>
    </row>
    <row r="972" ht="15.75" customHeight="1">
      <c r="A972" s="113" t="n"/>
      <c r="B972" s="146" t="n">
        <v>18</v>
      </c>
      <c r="C972" s="350" t="n">
        <v>45923</v>
      </c>
      <c r="D972" s="351" t="n">
        <v>8</v>
      </c>
      <c r="E972" s="264" t="inlineStr">
        <is>
          <t>MALAGUEÑA</t>
        </is>
      </c>
      <c r="F972" s="264" t="inlineStr">
        <is>
          <t>CARGUEROS</t>
        </is>
      </c>
      <c r="G972" s="264" t="n">
        <v>11</v>
      </c>
      <c r="H972" s="264" t="inlineStr">
        <is>
          <t xml:space="preserve">HENRY ROMERO </t>
        </is>
      </c>
      <c r="I972" s="264" t="inlineStr">
        <is>
          <t>EQY781</t>
        </is>
      </c>
      <c r="J972" s="265" t="n">
        <v>0.1909722222222222</v>
      </c>
      <c r="K972" s="266" t="n">
        <v>2830</v>
      </c>
      <c r="L972" s="308" t="n"/>
      <c r="M972" s="113" t="n"/>
      <c r="N972" s="113" t="n"/>
      <c r="O972" s="113" t="n"/>
      <c r="P972" s="243" t="n"/>
      <c r="Q972" s="113" t="n"/>
      <c r="R972" s="113" t="n"/>
    </row>
    <row r="973" ht="15.75" customHeight="1">
      <c r="A973" s="113" t="n"/>
      <c r="B973" s="146" t="n">
        <v>18</v>
      </c>
      <c r="C973" s="350" t="n">
        <v>45923</v>
      </c>
      <c r="D973" s="351" t="n">
        <v>9</v>
      </c>
      <c r="E973" s="264" t="inlineStr">
        <is>
          <t xml:space="preserve">SAN JOSE </t>
        </is>
      </c>
      <c r="F973" s="264" t="inlineStr">
        <is>
          <t>ABONEROS</t>
        </is>
      </c>
      <c r="G973" s="264" t="n">
        <v>9</v>
      </c>
      <c r="H973" s="264" t="inlineStr">
        <is>
          <t>ALEXANDER CHAGUALA</t>
        </is>
      </c>
      <c r="I973" s="264" t="inlineStr">
        <is>
          <t>TLN248</t>
        </is>
      </c>
      <c r="J973" s="265" t="n">
        <v>0.2881944444444444</v>
      </c>
      <c r="K973" s="266" t="n">
        <v>3340</v>
      </c>
      <c r="L973" s="308" t="n"/>
      <c r="M973" s="113" t="n"/>
      <c r="N973" s="113" t="n"/>
      <c r="O973" s="113" t="n"/>
      <c r="P973" s="243" t="n"/>
      <c r="Q973" s="113" t="n"/>
      <c r="R973" s="113" t="n"/>
    </row>
    <row r="974" ht="15.75" customHeight="1">
      <c r="A974" s="113" t="n"/>
      <c r="B974" s="146" t="n">
        <v>18</v>
      </c>
      <c r="C974" s="350" t="n">
        <v>45923</v>
      </c>
      <c r="D974" s="351" t="n">
        <v>10</v>
      </c>
      <c r="E974" s="264" t="inlineStr">
        <is>
          <t xml:space="preserve">SAN JOSE </t>
        </is>
      </c>
      <c r="F974" s="264" t="inlineStr">
        <is>
          <t>ABONEROS</t>
        </is>
      </c>
      <c r="G974" s="264" t="n">
        <v>9</v>
      </c>
      <c r="H974" s="264" t="inlineStr">
        <is>
          <t>FABIO ALDANA</t>
        </is>
      </c>
      <c r="I974" s="264" t="inlineStr">
        <is>
          <t>TLO882</t>
        </is>
      </c>
      <c r="J974" s="265" t="n">
        <v>0.3263888888888889</v>
      </c>
      <c r="K974" s="266" t="n">
        <v>3340</v>
      </c>
      <c r="L974" s="308" t="n"/>
      <c r="M974" s="113" t="n"/>
      <c r="N974" s="113" t="n"/>
      <c r="O974" s="113" t="n"/>
      <c r="P974" s="243" t="n"/>
      <c r="Q974" s="113" t="n"/>
      <c r="R974" s="113" t="n"/>
    </row>
    <row r="975" ht="15.75" customHeight="1">
      <c r="A975" s="113" t="n"/>
      <c r="B975" s="146" t="n">
        <v>18</v>
      </c>
      <c r="C975" s="350" t="n">
        <v>45923</v>
      </c>
      <c r="D975" s="351" t="n">
        <v>11</v>
      </c>
      <c r="E975" s="264" t="inlineStr">
        <is>
          <t xml:space="preserve">SAN JOSE </t>
        </is>
      </c>
      <c r="F975" s="264" t="inlineStr">
        <is>
          <t>ABONEROS</t>
        </is>
      </c>
      <c r="G975" s="264" t="n">
        <v>9</v>
      </c>
      <c r="H975" s="264" t="inlineStr">
        <is>
          <t xml:space="preserve">WILMER PIÑEROS </t>
        </is>
      </c>
      <c r="I975" s="264" t="inlineStr">
        <is>
          <t>KNL076</t>
        </is>
      </c>
      <c r="J975" s="265" t="n">
        <v>0.3673611111111111</v>
      </c>
      <c r="K975" s="266" t="n">
        <v>3340</v>
      </c>
      <c r="L975" s="308" t="n"/>
      <c r="M975" s="113" t="n"/>
      <c r="N975" s="113" t="n"/>
      <c r="O975" s="113" t="n"/>
      <c r="P975" s="243" t="n"/>
      <c r="Q975" s="113" t="n"/>
      <c r="R975" s="113" t="n"/>
    </row>
    <row r="976" ht="15.75" customHeight="1">
      <c r="A976" s="113" t="n"/>
      <c r="B976" s="146" t="n">
        <v>18</v>
      </c>
      <c r="C976" s="350" t="n">
        <v>45923</v>
      </c>
      <c r="D976" s="351" t="n">
        <v>12</v>
      </c>
      <c r="E976" s="264" t="inlineStr">
        <is>
          <t xml:space="preserve">SAN JOSE </t>
        </is>
      </c>
      <c r="F976" s="264" t="inlineStr">
        <is>
          <t>ABONEROS</t>
        </is>
      </c>
      <c r="G976" s="264" t="n">
        <v>9</v>
      </c>
      <c r="H976" s="264" t="inlineStr">
        <is>
          <t xml:space="preserve">MANUEL QUITIAN </t>
        </is>
      </c>
      <c r="I976" s="264" t="inlineStr">
        <is>
          <t>KUS176</t>
        </is>
      </c>
      <c r="J976" s="265" t="n">
        <v>0.43125</v>
      </c>
      <c r="K976" s="266" t="n">
        <v>3564</v>
      </c>
      <c r="L976" s="309" t="n"/>
      <c r="M976" s="113" t="n"/>
      <c r="N976" s="113" t="n"/>
      <c r="O976" s="113" t="n"/>
      <c r="P976" s="243" t="n"/>
      <c r="Q976" s="113" t="n"/>
      <c r="R976" s="113" t="n"/>
    </row>
    <row r="977" ht="15.75" customHeight="1">
      <c r="A977" s="113" t="n"/>
      <c r="B977" s="146" t="n">
        <v>18</v>
      </c>
      <c r="C977" s="356" t="n">
        <v>45923</v>
      </c>
      <c r="D977" s="357" t="n">
        <v>13</v>
      </c>
      <c r="E977" s="271" t="inlineStr">
        <is>
          <t xml:space="preserve">SAN JOSE </t>
        </is>
      </c>
      <c r="F977" s="271" t="inlineStr">
        <is>
          <t>ABONEROS</t>
        </is>
      </c>
      <c r="G977" s="271" t="n">
        <v>9</v>
      </c>
      <c r="H977" s="271" t="inlineStr">
        <is>
          <t>JOSE HERRERA</t>
        </is>
      </c>
      <c r="I977" s="271" t="inlineStr">
        <is>
          <t>TLO884</t>
        </is>
      </c>
      <c r="J977" s="272" t="n">
        <v>0.4722222222222222</v>
      </c>
      <c r="K977" s="273" t="n">
        <v>3422</v>
      </c>
      <c r="L977" s="378">
        <f>SUM(K965:K977)</f>
        <v/>
      </c>
      <c r="M977" s="113" t="n"/>
      <c r="N977" s="113" t="n"/>
      <c r="O977" s="113" t="n"/>
      <c r="P977" s="243" t="n"/>
      <c r="Q977" s="113" t="n"/>
      <c r="R977" s="113" t="n"/>
    </row>
    <row r="978" ht="15.75" customHeight="1">
      <c r="A978" s="113" t="n"/>
      <c r="B978" s="146" t="n">
        <v>18</v>
      </c>
      <c r="C978" s="348" t="n">
        <v>45924</v>
      </c>
      <c r="D978" s="349" t="n">
        <v>1</v>
      </c>
      <c r="E978" s="258" t="inlineStr">
        <is>
          <t>MALAGUEÑA</t>
        </is>
      </c>
      <c r="F978" s="258" t="inlineStr">
        <is>
          <t>CARGUEROS</t>
        </is>
      </c>
      <c r="G978" s="258" t="n">
        <v>11</v>
      </c>
      <c r="H978" s="258" t="inlineStr">
        <is>
          <t>ALEX GOMEZ</t>
        </is>
      </c>
      <c r="I978" s="258" t="inlineStr">
        <is>
          <t>TLO881</t>
        </is>
      </c>
      <c r="J978" s="259" t="n">
        <v>0.9861111111111112</v>
      </c>
      <c r="K978" s="260" t="n">
        <v>2715</v>
      </c>
      <c r="L978" s="292" t="n"/>
      <c r="M978" s="113" t="n"/>
      <c r="N978" s="113" t="n"/>
      <c r="O978" s="113" t="n"/>
      <c r="P978" s="243" t="n"/>
      <c r="Q978" s="113" t="n"/>
      <c r="R978" s="113" t="n"/>
    </row>
    <row r="979" ht="15.75" customHeight="1">
      <c r="A979" s="113" t="n"/>
      <c r="B979" s="146" t="n">
        <v>18</v>
      </c>
      <c r="C979" s="350" t="n">
        <v>45924</v>
      </c>
      <c r="D979" s="351" t="n">
        <v>2</v>
      </c>
      <c r="E979" s="264" t="inlineStr">
        <is>
          <t>MALAGUEÑA</t>
        </is>
      </c>
      <c r="F979" s="264" t="inlineStr">
        <is>
          <t>CARGUEROS</t>
        </is>
      </c>
      <c r="G979" s="264" t="n">
        <v>11</v>
      </c>
      <c r="H979" s="264" t="inlineStr">
        <is>
          <t>ROBINSON PULIDO</t>
        </is>
      </c>
      <c r="I979" s="264" t="inlineStr">
        <is>
          <t>EQY780</t>
        </is>
      </c>
      <c r="J979" s="265" t="n">
        <v>0.03125</v>
      </c>
      <c r="K979" s="266" t="n">
        <v>3174</v>
      </c>
      <c r="L979" s="308" t="n"/>
      <c r="M979" s="113" t="n"/>
      <c r="N979" s="113" t="n"/>
      <c r="O979" s="113" t="n"/>
      <c r="P979" s="243" t="n"/>
      <c r="Q979" s="113" t="n"/>
      <c r="R979" s="113" t="n"/>
    </row>
    <row r="980" ht="15.75" customHeight="1">
      <c r="A980" s="113" t="n"/>
      <c r="B980" s="146" t="n">
        <v>18</v>
      </c>
      <c r="C980" s="350" t="n">
        <v>45924</v>
      </c>
      <c r="D980" s="351" t="n">
        <v>3</v>
      </c>
      <c r="E980" s="264" t="inlineStr">
        <is>
          <t>MALAGUEÑA</t>
        </is>
      </c>
      <c r="F980" s="264" t="inlineStr">
        <is>
          <t>CARGUEROS</t>
        </is>
      </c>
      <c r="G980" s="264" t="n">
        <v>11</v>
      </c>
      <c r="H980" s="264" t="inlineStr">
        <is>
          <t>YAIR RIVEROS</t>
        </is>
      </c>
      <c r="I980" s="264" t="inlineStr">
        <is>
          <t>TLN181</t>
        </is>
      </c>
      <c r="J980" s="265" t="n">
        <v>0.0625</v>
      </c>
      <c r="K980" s="266" t="n">
        <v>3174</v>
      </c>
      <c r="L980" s="308" t="n"/>
      <c r="M980" s="113" t="n"/>
      <c r="N980" s="113" t="n"/>
      <c r="O980" s="113" t="n"/>
      <c r="P980" s="243" t="n"/>
      <c r="Q980" s="113" t="n"/>
      <c r="R980" s="113" t="n"/>
    </row>
    <row r="981" ht="15.75" customHeight="1">
      <c r="A981" s="113" t="n"/>
      <c r="B981" s="146" t="n">
        <v>18</v>
      </c>
      <c r="C981" s="350" t="n">
        <v>45924</v>
      </c>
      <c r="D981" s="351" t="n">
        <v>4</v>
      </c>
      <c r="E981" s="264" t="inlineStr">
        <is>
          <t>MALAGUEÑA</t>
        </is>
      </c>
      <c r="F981" s="264" t="inlineStr">
        <is>
          <t>CARGUEROS</t>
        </is>
      </c>
      <c r="G981" s="264" t="n">
        <v>11</v>
      </c>
      <c r="H981" s="264" t="inlineStr">
        <is>
          <t>DUMAR ANGARITO</t>
        </is>
      </c>
      <c r="I981" s="264" t="inlineStr">
        <is>
          <t>LQO745</t>
        </is>
      </c>
      <c r="J981" s="265" t="n">
        <v>0.09375</v>
      </c>
      <c r="K981" s="266" t="n">
        <v>3174</v>
      </c>
      <c r="L981" s="308" t="n"/>
      <c r="M981" s="113" t="n"/>
      <c r="N981" s="113" t="n"/>
      <c r="O981" s="113" t="n"/>
      <c r="P981" s="243" t="n"/>
      <c r="Q981" s="113" t="n"/>
      <c r="R981" s="113" t="n"/>
    </row>
    <row r="982" ht="15.75" customHeight="1">
      <c r="A982" s="113" t="n"/>
      <c r="B982" s="146" t="n">
        <v>18</v>
      </c>
      <c r="C982" s="350" t="n">
        <v>45924</v>
      </c>
      <c r="D982" s="351" t="n">
        <v>5</v>
      </c>
      <c r="E982" s="264" t="inlineStr">
        <is>
          <t>MALAGUEÑA</t>
        </is>
      </c>
      <c r="F982" s="264" t="inlineStr">
        <is>
          <t>CARGUEROS</t>
        </is>
      </c>
      <c r="G982" s="264" t="n">
        <v>11</v>
      </c>
      <c r="H982" s="264" t="inlineStr">
        <is>
          <t>FERNANDO OYUELA</t>
        </is>
      </c>
      <c r="I982" s="264" t="inlineStr">
        <is>
          <t>EQY778</t>
        </is>
      </c>
      <c r="J982" s="265" t="n">
        <v>0.125</v>
      </c>
      <c r="K982" s="266" t="n">
        <v>3174</v>
      </c>
      <c r="L982" s="308" t="n"/>
      <c r="M982" s="113" t="n"/>
      <c r="N982" s="113" t="n"/>
      <c r="O982" s="113" t="n"/>
      <c r="P982" s="243" t="n"/>
      <c r="Q982" s="113" t="n"/>
      <c r="R982" s="113" t="n"/>
    </row>
    <row r="983" ht="15.75" customHeight="1">
      <c r="A983" s="113" t="n"/>
      <c r="B983" s="146" t="n">
        <v>18</v>
      </c>
      <c r="C983" s="350" t="n">
        <v>45924</v>
      </c>
      <c r="D983" s="351" t="n">
        <v>6</v>
      </c>
      <c r="E983" s="264" t="inlineStr">
        <is>
          <t>MALAGUEÑA</t>
        </is>
      </c>
      <c r="F983" s="264" t="inlineStr">
        <is>
          <t>CARGUEROS</t>
        </is>
      </c>
      <c r="G983" s="264" t="n">
        <v>11</v>
      </c>
      <c r="H983" s="264" t="inlineStr">
        <is>
          <t xml:space="preserve">JOSE SOLER </t>
        </is>
      </c>
      <c r="I983" s="264" t="inlineStr">
        <is>
          <t>EQY776</t>
        </is>
      </c>
      <c r="J983" s="265" t="n">
        <v>0.1597222222222222</v>
      </c>
      <c r="K983" s="266" t="n">
        <v>3174</v>
      </c>
      <c r="L983" s="308" t="n"/>
      <c r="M983" s="113" t="n"/>
      <c r="N983" s="113" t="n"/>
      <c r="O983" s="113" t="n"/>
      <c r="P983" s="243" t="n"/>
      <c r="Q983" s="113" t="n"/>
      <c r="R983" s="113" t="n"/>
    </row>
    <row r="984" ht="15.75" customHeight="1">
      <c r="A984" s="113" t="n"/>
      <c r="B984" s="146" t="n">
        <v>18</v>
      </c>
      <c r="C984" s="350" t="n">
        <v>45924</v>
      </c>
      <c r="D984" s="351" t="n">
        <v>7</v>
      </c>
      <c r="E984" s="264" t="inlineStr">
        <is>
          <t>MALAGUEÑA</t>
        </is>
      </c>
      <c r="F984" s="264" t="inlineStr">
        <is>
          <t>CARGUEROS</t>
        </is>
      </c>
      <c r="G984" s="264" t="n">
        <v>11</v>
      </c>
      <c r="H984" s="264" t="inlineStr">
        <is>
          <t>EDWIN CAVIDEZ</t>
        </is>
      </c>
      <c r="I984" s="264" t="inlineStr">
        <is>
          <t>EQY779</t>
        </is>
      </c>
      <c r="J984" s="265" t="n">
        <v>0.2048611111111111</v>
      </c>
      <c r="K984" s="266" t="n">
        <v>3174</v>
      </c>
      <c r="L984" s="308" t="n"/>
      <c r="M984" s="113" t="n"/>
      <c r="N984" s="113" t="n"/>
      <c r="O984" s="113" t="n"/>
      <c r="P984" s="243" t="n"/>
      <c r="Q984" s="113" t="n"/>
      <c r="R984" s="113" t="n"/>
    </row>
    <row r="985" ht="15.75" customHeight="1">
      <c r="A985" s="113" t="n"/>
      <c r="B985" s="146" t="n">
        <v>18</v>
      </c>
      <c r="C985" s="350" t="n">
        <v>45924</v>
      </c>
      <c r="D985" s="351" t="n">
        <v>8</v>
      </c>
      <c r="E985" s="264" t="inlineStr">
        <is>
          <t>MALAGUEÑA</t>
        </is>
      </c>
      <c r="F985" s="264" t="inlineStr">
        <is>
          <t>CARGUEROS</t>
        </is>
      </c>
      <c r="G985" s="264" t="n">
        <v>11</v>
      </c>
      <c r="H985" s="264" t="inlineStr">
        <is>
          <t>ALEX GOMEZ</t>
        </is>
      </c>
      <c r="I985" s="264" t="inlineStr">
        <is>
          <t>TLO881</t>
        </is>
      </c>
      <c r="J985" s="265" t="n">
        <v>0.2916666666666667</v>
      </c>
      <c r="K985" s="266" t="n">
        <v>3174</v>
      </c>
      <c r="L985" s="308" t="n"/>
      <c r="M985" s="113" t="n"/>
      <c r="N985" s="113" t="n"/>
      <c r="O985" s="113" t="n"/>
      <c r="P985" s="243" t="n"/>
      <c r="Q985" s="113" t="n"/>
      <c r="R985" s="113" t="n"/>
    </row>
    <row r="986" ht="15.75" customHeight="1">
      <c r="A986" s="113" t="n"/>
      <c r="B986" s="146" t="n">
        <v>18</v>
      </c>
      <c r="C986" s="350" t="n">
        <v>45924</v>
      </c>
      <c r="D986" s="351" t="n">
        <v>9</v>
      </c>
      <c r="E986" s="264" t="inlineStr">
        <is>
          <t>MALAGUEÑA</t>
        </is>
      </c>
      <c r="F986" s="264" t="inlineStr">
        <is>
          <t>CARGUEROS</t>
        </is>
      </c>
      <c r="G986" s="264" t="n">
        <v>11</v>
      </c>
      <c r="H986" s="264" t="inlineStr">
        <is>
          <t xml:space="preserve">YAIR RIVEROS </t>
        </is>
      </c>
      <c r="I986" s="264" t="inlineStr">
        <is>
          <t>TLN181</t>
        </is>
      </c>
      <c r="J986" s="265" t="n">
        <v>0.3576388888888889</v>
      </c>
      <c r="K986" s="266" t="n">
        <v>3174</v>
      </c>
      <c r="L986" s="308" t="n"/>
      <c r="M986" s="113" t="n"/>
      <c r="N986" s="113" t="n"/>
      <c r="O986" s="113" t="n"/>
      <c r="P986" s="243" t="n"/>
      <c r="Q986" s="113" t="n"/>
      <c r="R986" s="113" t="n"/>
    </row>
    <row r="987" ht="15.75" customHeight="1">
      <c r="A987" s="113" t="n"/>
      <c r="B987" s="146" t="n">
        <v>18</v>
      </c>
      <c r="C987" s="350" t="n">
        <v>45924</v>
      </c>
      <c r="D987" s="351" t="n">
        <v>10</v>
      </c>
      <c r="E987" s="264" t="inlineStr">
        <is>
          <t>MALAGUEÑA</t>
        </is>
      </c>
      <c r="F987" s="264" t="inlineStr">
        <is>
          <t>CARGUEROS</t>
        </is>
      </c>
      <c r="G987" s="264" t="n">
        <v>11</v>
      </c>
      <c r="H987" s="264" t="inlineStr">
        <is>
          <t>DUMAR ANGARITA</t>
        </is>
      </c>
      <c r="I987" s="264" t="inlineStr">
        <is>
          <t>LQO745</t>
        </is>
      </c>
      <c r="J987" s="265" t="n">
        <v>0.3958333333333333</v>
      </c>
      <c r="K987" s="266" t="n">
        <v>3308</v>
      </c>
      <c r="L987" s="309" t="n"/>
      <c r="M987" s="113" t="n"/>
      <c r="N987" s="113" t="n"/>
      <c r="O987" s="113" t="n"/>
      <c r="P987" s="243" t="n"/>
      <c r="Q987" s="113" t="n"/>
      <c r="R987" s="113" t="n"/>
    </row>
    <row r="988" ht="15.75" customHeight="1">
      <c r="A988" s="113" t="n"/>
      <c r="B988" s="146" t="n">
        <v>18</v>
      </c>
      <c r="C988" s="356" t="n">
        <v>45924</v>
      </c>
      <c r="D988" s="357" t="n">
        <v>11</v>
      </c>
      <c r="E988" s="271" t="inlineStr">
        <is>
          <t>MALAGUEÑA</t>
        </is>
      </c>
      <c r="F988" s="271" t="inlineStr">
        <is>
          <t xml:space="preserve">CARGUEROS </t>
        </is>
      </c>
      <c r="G988" s="271" t="n">
        <v>11</v>
      </c>
      <c r="H988" s="271" t="inlineStr">
        <is>
          <t xml:space="preserve">JOSE SOLER </t>
        </is>
      </c>
      <c r="I988" s="271" t="inlineStr">
        <is>
          <t>EQY776</t>
        </is>
      </c>
      <c r="J988" s="272" t="n">
        <v>0.4305555555555556</v>
      </c>
      <c r="K988" s="273" t="n">
        <v>3308</v>
      </c>
      <c r="L988" s="378">
        <f>SUM(K978:K988)</f>
        <v/>
      </c>
      <c r="M988" s="113" t="n"/>
      <c r="N988" s="113" t="n"/>
      <c r="O988" s="113" t="n"/>
      <c r="P988" s="243" t="n"/>
      <c r="Q988" s="113" t="n"/>
      <c r="R988" s="113" t="n"/>
    </row>
    <row r="989" ht="15.75" customHeight="1">
      <c r="A989" s="113" t="n"/>
      <c r="B989" s="146" t="n">
        <v>18</v>
      </c>
      <c r="C989" s="348" t="n">
        <v>45925</v>
      </c>
      <c r="D989" s="349" t="n">
        <v>1</v>
      </c>
      <c r="E989" s="258" t="inlineStr">
        <is>
          <t>MALAGUEÑA</t>
        </is>
      </c>
      <c r="F989" s="258" t="inlineStr">
        <is>
          <t>CARGUEROS</t>
        </is>
      </c>
      <c r="G989" s="258" t="n">
        <v>11</v>
      </c>
      <c r="H989" s="258" t="inlineStr">
        <is>
          <t>EDUAN CAVIDEZ</t>
        </is>
      </c>
      <c r="I989" s="258" t="inlineStr">
        <is>
          <t>EQY779</t>
        </is>
      </c>
      <c r="J989" s="259" t="n">
        <v>0.03125</v>
      </c>
      <c r="K989" s="260" t="n">
        <v>3204</v>
      </c>
      <c r="L989" s="292" t="n"/>
      <c r="M989" s="113" t="n"/>
      <c r="N989" s="113" t="n"/>
      <c r="O989" s="113" t="n"/>
      <c r="P989" s="243" t="n"/>
      <c r="Q989" s="113" t="n"/>
      <c r="R989" s="113" t="n"/>
    </row>
    <row r="990" ht="15.75" customHeight="1">
      <c r="A990" s="113" t="n"/>
      <c r="B990" s="146" t="n">
        <v>18</v>
      </c>
      <c r="C990" s="350" t="n">
        <v>45925</v>
      </c>
      <c r="D990" s="351" t="n">
        <v>2</v>
      </c>
      <c r="E990" s="264" t="inlineStr">
        <is>
          <t>MALAGUEÑA</t>
        </is>
      </c>
      <c r="F990" s="264" t="inlineStr">
        <is>
          <t>CARGUEROS</t>
        </is>
      </c>
      <c r="G990" s="264" t="n">
        <v>11</v>
      </c>
      <c r="H990" s="264" t="inlineStr">
        <is>
          <t>DUMAR ANGARITA</t>
        </is>
      </c>
      <c r="I990" s="264" t="inlineStr">
        <is>
          <t>LQO745</t>
        </is>
      </c>
      <c r="J990" s="265" t="n">
        <v>0.06597222222222222</v>
      </c>
      <c r="K990" s="266" t="n">
        <v>3204</v>
      </c>
      <c r="L990" s="308" t="n"/>
      <c r="M990" s="113" t="n"/>
      <c r="N990" s="113" t="n"/>
      <c r="O990" s="113" t="n"/>
      <c r="P990" s="243" t="n"/>
      <c r="Q990" s="113" t="n"/>
      <c r="R990" s="113" t="n"/>
    </row>
    <row r="991" ht="15.75" customHeight="1">
      <c r="A991" s="113" t="n"/>
      <c r="B991" s="146" t="n">
        <v>18</v>
      </c>
      <c r="C991" s="350" t="n">
        <v>45925</v>
      </c>
      <c r="D991" s="351" t="n">
        <v>3</v>
      </c>
      <c r="E991" s="264" t="inlineStr">
        <is>
          <t>MALAGUEÑA</t>
        </is>
      </c>
      <c r="F991" s="264" t="inlineStr">
        <is>
          <t>CARGUEROS</t>
        </is>
      </c>
      <c r="G991" s="264" t="n">
        <v>11</v>
      </c>
      <c r="H991" s="264" t="inlineStr">
        <is>
          <t>YAIR RIVEROS</t>
        </is>
      </c>
      <c r="I991" s="264" t="inlineStr">
        <is>
          <t>TLN181</t>
        </is>
      </c>
      <c r="J991" s="265" t="n">
        <v>0.1041666666666667</v>
      </c>
      <c r="K991" s="266" t="n">
        <v>3204</v>
      </c>
      <c r="L991" s="308" t="n"/>
      <c r="M991" s="113" t="n"/>
      <c r="N991" s="113" t="n"/>
      <c r="O991" s="113" t="n"/>
      <c r="P991" s="243" t="n"/>
      <c r="Q991" s="113" t="n"/>
      <c r="R991" s="113" t="n"/>
    </row>
    <row r="992" ht="15.75" customHeight="1">
      <c r="A992" s="113" t="n"/>
      <c r="B992" s="146" t="n">
        <v>18</v>
      </c>
      <c r="C992" s="350" t="n">
        <v>45925</v>
      </c>
      <c r="D992" s="351" t="n">
        <v>4</v>
      </c>
      <c r="E992" s="264" t="inlineStr">
        <is>
          <t>MALAGUEÑA</t>
        </is>
      </c>
      <c r="F992" s="264" t="inlineStr">
        <is>
          <t>CARGUEROS</t>
        </is>
      </c>
      <c r="G992" s="264" t="n">
        <v>11</v>
      </c>
      <c r="H992" s="264" t="inlineStr">
        <is>
          <t>ALBERTO LOPEZ</t>
        </is>
      </c>
      <c r="I992" s="264" t="inlineStr">
        <is>
          <t>EQY777</t>
        </is>
      </c>
      <c r="J992" s="265" t="n">
        <v>0.1423611111111111</v>
      </c>
      <c r="K992" s="266" t="n">
        <v>2858</v>
      </c>
      <c r="L992" s="308" t="n"/>
      <c r="M992" s="113" t="n"/>
      <c r="N992" s="113" t="n"/>
      <c r="O992" s="113" t="n"/>
      <c r="P992" s="243" t="n"/>
      <c r="Q992" s="113" t="n"/>
      <c r="R992" s="113" t="n"/>
    </row>
    <row r="993" ht="15.75" customHeight="1">
      <c r="A993" s="113" t="n"/>
      <c r="B993" s="146" t="n">
        <v>18</v>
      </c>
      <c r="C993" s="350" t="n">
        <v>45925</v>
      </c>
      <c r="D993" s="351" t="n">
        <v>5</v>
      </c>
      <c r="E993" s="264" t="inlineStr">
        <is>
          <t>MALAGUEÑA</t>
        </is>
      </c>
      <c r="F993" s="264" t="inlineStr">
        <is>
          <t>CARGUEROS</t>
        </is>
      </c>
      <c r="G993" s="264" t="n">
        <v>11</v>
      </c>
      <c r="H993" s="264" t="inlineStr">
        <is>
          <t>ALEXANDER CHAGUALA</t>
        </is>
      </c>
      <c r="I993" s="264" t="inlineStr">
        <is>
          <t>TLN248</t>
        </is>
      </c>
      <c r="J993" s="265" t="n">
        <v>0.1770833333333333</v>
      </c>
      <c r="K993" s="266" t="n">
        <v>3478</v>
      </c>
      <c r="L993" s="308" t="n"/>
      <c r="M993" s="113" t="n"/>
      <c r="N993" s="113" t="n"/>
      <c r="O993" s="113" t="n"/>
      <c r="P993" s="243" t="n"/>
      <c r="Q993" s="113" t="n"/>
      <c r="R993" s="113" t="n"/>
    </row>
    <row r="994" ht="15.75" customHeight="1">
      <c r="A994" s="113" t="n"/>
      <c r="B994" s="146" t="n">
        <v>18</v>
      </c>
      <c r="C994" s="350" t="n">
        <v>45925</v>
      </c>
      <c r="D994" s="351" t="n">
        <v>6</v>
      </c>
      <c r="E994" s="264" t="inlineStr">
        <is>
          <t>MALAGUEÑA</t>
        </is>
      </c>
      <c r="F994" s="264" t="inlineStr">
        <is>
          <t>CARGUEROS</t>
        </is>
      </c>
      <c r="G994" s="264" t="n">
        <v>11</v>
      </c>
      <c r="H994" s="264" t="inlineStr">
        <is>
          <t>ALEX GOMEZ</t>
        </is>
      </c>
      <c r="I994" s="264" t="inlineStr">
        <is>
          <t>TLO881</t>
        </is>
      </c>
      <c r="J994" s="265" t="n">
        <v>0.2152777777777778</v>
      </c>
      <c r="K994" s="266" t="n">
        <v>3478</v>
      </c>
      <c r="L994" s="308" t="n"/>
      <c r="M994" s="113" t="n"/>
      <c r="N994" s="113" t="n"/>
      <c r="O994" s="113" t="n"/>
      <c r="P994" s="243" t="n"/>
      <c r="Q994" s="113" t="n"/>
      <c r="R994" s="113" t="n"/>
    </row>
    <row r="995" ht="15.75" customHeight="1">
      <c r="A995" s="113" t="n"/>
      <c r="B995" s="146" t="n">
        <v>18</v>
      </c>
      <c r="C995" s="350" t="n">
        <v>45925</v>
      </c>
      <c r="D995" s="351" t="n">
        <v>7</v>
      </c>
      <c r="E995" s="264" t="inlineStr">
        <is>
          <t xml:space="preserve">SAN JOSE </t>
        </is>
      </c>
      <c r="F995" s="264" t="inlineStr">
        <is>
          <t>CARGUEROS</t>
        </is>
      </c>
      <c r="G995" s="264" t="n">
        <v>11</v>
      </c>
      <c r="H995" s="264" t="inlineStr">
        <is>
          <t>YAIR RIVEROS</t>
        </is>
      </c>
      <c r="I995" s="264" t="inlineStr">
        <is>
          <t>TLN181</t>
        </is>
      </c>
      <c r="J995" s="265" t="n">
        <v>0.4027777777777778</v>
      </c>
      <c r="K995" s="266" t="n">
        <v>3240</v>
      </c>
      <c r="L995" s="308" t="n"/>
      <c r="M995" s="113" t="n"/>
      <c r="N995" s="113" t="n"/>
      <c r="O995" s="113" t="n"/>
      <c r="P995" s="243" t="n"/>
      <c r="Q995" s="113" t="n"/>
      <c r="R995" s="113" t="n"/>
    </row>
    <row r="996" ht="15.75" customHeight="1">
      <c r="A996" s="113" t="n"/>
      <c r="B996" s="146" t="n">
        <v>18</v>
      </c>
      <c r="C996" s="350" t="n">
        <v>45925</v>
      </c>
      <c r="D996" s="351" t="n">
        <v>8</v>
      </c>
      <c r="E996" s="264" t="inlineStr">
        <is>
          <t xml:space="preserve">SAN JOSE </t>
        </is>
      </c>
      <c r="F996" s="264" t="inlineStr">
        <is>
          <t>CARGUEROS</t>
        </is>
      </c>
      <c r="G996" s="264" t="n">
        <v>11</v>
      </c>
      <c r="H996" s="264" t="inlineStr">
        <is>
          <t>ALBERTO LOPEZ</t>
        </is>
      </c>
      <c r="I996" s="264" t="inlineStr">
        <is>
          <t>EQY777</t>
        </is>
      </c>
      <c r="J996" s="265" t="n">
        <v>0.4375</v>
      </c>
      <c r="K996" s="266" t="n">
        <v>3240</v>
      </c>
      <c r="L996" s="308" t="n"/>
      <c r="M996" s="113" t="n"/>
      <c r="N996" s="113" t="n"/>
      <c r="O996" s="113" t="n"/>
      <c r="P996" s="243" t="n"/>
      <c r="Q996" s="113" t="n"/>
      <c r="R996" s="113" t="n"/>
    </row>
    <row r="997" ht="15.75" customHeight="1">
      <c r="A997" s="113" t="n"/>
      <c r="B997" s="146" t="n">
        <v>18</v>
      </c>
      <c r="C997" s="350" t="n">
        <v>45925</v>
      </c>
      <c r="D997" s="351" t="n">
        <v>9</v>
      </c>
      <c r="E997" s="264" t="inlineStr">
        <is>
          <t xml:space="preserve">SAN JOSE </t>
        </is>
      </c>
      <c r="F997" s="264" t="inlineStr">
        <is>
          <t>CARGUEROS</t>
        </is>
      </c>
      <c r="G997" s="264" t="n">
        <v>11</v>
      </c>
      <c r="H997" s="264" t="inlineStr">
        <is>
          <t>ALEX GOMEZ</t>
        </is>
      </c>
      <c r="I997" s="264" t="inlineStr">
        <is>
          <t>TLO881</t>
        </is>
      </c>
      <c r="J997" s="265" t="n">
        <v>0.4722222222222222</v>
      </c>
      <c r="K997" s="266" t="n">
        <v>3240</v>
      </c>
      <c r="L997" s="308" t="n"/>
      <c r="M997" s="113" t="n"/>
      <c r="N997" s="113" t="n"/>
      <c r="O997" s="113" t="n"/>
      <c r="P997" s="243" t="n"/>
      <c r="Q997" s="113" t="n"/>
      <c r="R997" s="113" t="n"/>
    </row>
    <row r="998" ht="15.75" customHeight="1">
      <c r="A998" s="113" t="n"/>
      <c r="B998" s="146" t="n">
        <v>18</v>
      </c>
      <c r="C998" s="350" t="n">
        <v>45925</v>
      </c>
      <c r="D998" s="351" t="n">
        <v>10</v>
      </c>
      <c r="E998" s="264" t="inlineStr">
        <is>
          <t xml:space="preserve">SAN JOSE </t>
        </is>
      </c>
      <c r="F998" s="264" t="inlineStr">
        <is>
          <t>CARGUEROS</t>
        </is>
      </c>
      <c r="G998" s="264" t="n">
        <v>11</v>
      </c>
      <c r="H998" s="264" t="inlineStr">
        <is>
          <t>ALEXANDER CHAGUALA</t>
        </is>
      </c>
      <c r="I998" s="264" t="inlineStr">
        <is>
          <t>TLO884</t>
        </is>
      </c>
      <c r="J998" s="265" t="n">
        <v>0.5104166666666666</v>
      </c>
      <c r="K998" s="266" t="n">
        <v>3240</v>
      </c>
      <c r="L998" s="308" t="n"/>
      <c r="M998" s="113" t="n"/>
      <c r="N998" s="113" t="n"/>
      <c r="O998" s="113" t="n"/>
      <c r="P998" s="243" t="n"/>
      <c r="Q998" s="113" t="n"/>
      <c r="R998" s="113" t="n"/>
    </row>
    <row r="999" ht="15.75" customHeight="1">
      <c r="A999" s="113" t="n"/>
      <c r="B999" s="146" t="n">
        <v>18</v>
      </c>
      <c r="C999" s="356" t="n">
        <v>45925</v>
      </c>
      <c r="D999" s="357" t="n">
        <v>11</v>
      </c>
      <c r="E999" s="271" t="inlineStr">
        <is>
          <t xml:space="preserve">SAN JOSE </t>
        </is>
      </c>
      <c r="F999" s="271" t="inlineStr">
        <is>
          <t xml:space="preserve">CARGUEROS </t>
        </is>
      </c>
      <c r="G999" s="271" t="n">
        <v>11</v>
      </c>
      <c r="H999" s="271" t="inlineStr">
        <is>
          <t xml:space="preserve">HENRY ROMERO </t>
        </is>
      </c>
      <c r="I999" s="271" t="inlineStr">
        <is>
          <t>EQY781</t>
        </is>
      </c>
      <c r="J999" s="272" t="n">
        <v>0.5659722222222222</v>
      </c>
      <c r="K999" s="273" t="n">
        <v>3240</v>
      </c>
      <c r="L999" s="378">
        <f>SUM(K989:K999)</f>
        <v/>
      </c>
      <c r="M999" s="113" t="n"/>
      <c r="N999" s="113" t="n"/>
      <c r="O999" s="113" t="n"/>
      <c r="P999" s="243" t="n"/>
      <c r="Q999" s="113" t="n"/>
      <c r="R999" s="113" t="n"/>
    </row>
    <row r="1000" ht="15.75" customHeight="1">
      <c r="A1000" s="113" t="n"/>
      <c r="B1000" s="146" t="n">
        <v>18</v>
      </c>
      <c r="C1000" s="348" t="n">
        <v>45926</v>
      </c>
      <c r="D1000" s="349" t="n">
        <v>1</v>
      </c>
      <c r="E1000" s="258" t="inlineStr">
        <is>
          <t xml:space="preserve">SAN JOSE </t>
        </is>
      </c>
      <c r="F1000" s="258" t="inlineStr">
        <is>
          <t>CARGUEROS</t>
        </is>
      </c>
      <c r="G1000" s="258" t="n">
        <v>11</v>
      </c>
      <c r="H1000" s="258" t="inlineStr">
        <is>
          <t>MANUEL QUINTIAN</t>
        </is>
      </c>
      <c r="I1000" s="258" t="inlineStr">
        <is>
          <t>KUS176</t>
        </is>
      </c>
      <c r="J1000" s="259" t="n">
        <v>0.15625</v>
      </c>
      <c r="K1000" s="260" t="n">
        <v>3300</v>
      </c>
      <c r="L1000" s="292" t="n"/>
      <c r="M1000" s="113" t="n"/>
      <c r="N1000" s="113" t="n"/>
      <c r="O1000" s="113" t="n"/>
      <c r="P1000" s="243" t="n"/>
      <c r="Q1000" s="113" t="n"/>
      <c r="R1000" s="113" t="n"/>
    </row>
    <row r="1001" ht="15.75" customHeight="1">
      <c r="A1001" s="113" t="n"/>
      <c r="B1001" s="146" t="n">
        <v>18</v>
      </c>
      <c r="C1001" s="350" t="n">
        <v>45926</v>
      </c>
      <c r="D1001" s="351" t="n">
        <v>2</v>
      </c>
      <c r="E1001" s="264" t="inlineStr">
        <is>
          <t xml:space="preserve">SAN JOSE </t>
        </is>
      </c>
      <c r="F1001" s="264" t="inlineStr">
        <is>
          <t>CARGUEROS</t>
        </is>
      </c>
      <c r="G1001" s="264" t="n">
        <v>11</v>
      </c>
      <c r="H1001" s="264" t="inlineStr">
        <is>
          <t xml:space="preserve">JOSE SOLER </t>
        </is>
      </c>
      <c r="I1001" s="264" t="inlineStr">
        <is>
          <t>EQY776</t>
        </is>
      </c>
      <c r="J1001" s="265" t="n">
        <v>0.1875</v>
      </c>
      <c r="K1001" s="266" t="n">
        <v>3300</v>
      </c>
      <c r="L1001" s="308" t="n"/>
      <c r="M1001" s="113" t="n"/>
      <c r="N1001" s="113" t="n"/>
      <c r="O1001" s="113" t="n"/>
      <c r="P1001" s="243" t="n"/>
      <c r="Q1001" s="113" t="n"/>
      <c r="R1001" s="113" t="n"/>
    </row>
    <row r="1002" ht="15.75" customHeight="1">
      <c r="A1002" s="113" t="n"/>
      <c r="B1002" s="146" t="n">
        <v>18</v>
      </c>
      <c r="C1002" s="350" t="n">
        <v>45926</v>
      </c>
      <c r="D1002" s="351" t="n">
        <v>3</v>
      </c>
      <c r="E1002" s="264" t="inlineStr">
        <is>
          <t xml:space="preserve">SAN JOSE </t>
        </is>
      </c>
      <c r="F1002" s="264" t="inlineStr">
        <is>
          <t>CARGUEROS</t>
        </is>
      </c>
      <c r="G1002" s="264" t="n">
        <v>11</v>
      </c>
      <c r="H1002" s="264" t="inlineStr">
        <is>
          <t xml:space="preserve">WILMER PIÑEROS </t>
        </is>
      </c>
      <c r="I1002" s="264" t="inlineStr">
        <is>
          <t>KNL076</t>
        </is>
      </c>
      <c r="J1002" s="265" t="n">
        <v>0.2326388888888889</v>
      </c>
      <c r="K1002" s="266" t="n">
        <v>3300</v>
      </c>
      <c r="L1002" s="309" t="n"/>
      <c r="M1002" s="113" t="n"/>
      <c r="N1002" s="113" t="n"/>
      <c r="O1002" s="113" t="n"/>
      <c r="P1002" s="243" t="n"/>
      <c r="Q1002" s="113" t="n"/>
      <c r="R1002" s="113" t="n"/>
    </row>
    <row r="1003" ht="15.75" customHeight="1">
      <c r="A1003" s="113" t="n"/>
      <c r="B1003" s="146" t="n">
        <v>18</v>
      </c>
      <c r="C1003" s="356" t="n">
        <v>45926</v>
      </c>
      <c r="D1003" s="357" t="n">
        <v>4</v>
      </c>
      <c r="E1003" s="271" t="inlineStr">
        <is>
          <t xml:space="preserve">SAN JOSE </t>
        </is>
      </c>
      <c r="F1003" s="271" t="inlineStr">
        <is>
          <t>CARGUEROS</t>
        </is>
      </c>
      <c r="G1003" s="271" t="n">
        <v>11</v>
      </c>
      <c r="H1003" s="271" t="inlineStr">
        <is>
          <t xml:space="preserve">JOSE HERRERA </t>
        </is>
      </c>
      <c r="I1003" s="271" t="inlineStr">
        <is>
          <t>TLO884</t>
        </is>
      </c>
      <c r="J1003" s="272" t="n">
        <v>0.2569444444444444</v>
      </c>
      <c r="K1003" s="273" t="n">
        <v>3300</v>
      </c>
      <c r="L1003" s="378">
        <f>SUM(K1000:K1003)</f>
        <v/>
      </c>
      <c r="M1003" s="113" t="n"/>
      <c r="N1003" s="113" t="n"/>
      <c r="O1003" s="113" t="n"/>
      <c r="P1003" s="243" t="n"/>
      <c r="Q1003" s="113" t="n"/>
      <c r="R1003" s="113" t="n"/>
    </row>
    <row r="1004" ht="15.75" customHeight="1">
      <c r="A1004" s="113" t="n"/>
      <c r="B1004" s="146" t="n">
        <v>18</v>
      </c>
      <c r="C1004" s="348" t="n">
        <v>45927</v>
      </c>
      <c r="D1004" s="349" t="n">
        <v>1</v>
      </c>
      <c r="E1004" s="258" t="inlineStr">
        <is>
          <t>MALAGUEÑA</t>
        </is>
      </c>
      <c r="F1004" s="258" t="inlineStr">
        <is>
          <t>ABONEROS</t>
        </is>
      </c>
      <c r="G1004" s="258" t="n">
        <v>10</v>
      </c>
      <c r="H1004" s="258" t="inlineStr">
        <is>
          <t>HENRY ROMERO</t>
        </is>
      </c>
      <c r="I1004" s="258" t="inlineStr">
        <is>
          <t>EQY780</t>
        </is>
      </c>
      <c r="J1004" s="259" t="n">
        <v>0.4951388888888889</v>
      </c>
      <c r="K1004" s="260" t="n">
        <v>3050</v>
      </c>
      <c r="L1004" s="292" t="n"/>
      <c r="M1004" s="113" t="n"/>
      <c r="N1004" s="113" t="n"/>
      <c r="O1004" s="113" t="n"/>
      <c r="P1004" s="243" t="n"/>
      <c r="Q1004" s="113" t="n"/>
      <c r="R1004" s="113" t="n"/>
    </row>
    <row r="1005" ht="15.75" customHeight="1">
      <c r="A1005" s="113" t="n"/>
      <c r="B1005" s="146" t="n">
        <v>18</v>
      </c>
      <c r="C1005" s="350" t="n">
        <v>45927</v>
      </c>
      <c r="D1005" s="351" t="n">
        <v>2</v>
      </c>
      <c r="E1005" s="264" t="inlineStr">
        <is>
          <t>MALAGUEÑA</t>
        </is>
      </c>
      <c r="F1005" s="264" t="inlineStr">
        <is>
          <t>ABONEROS</t>
        </is>
      </c>
      <c r="G1005" s="264" t="n">
        <v>10</v>
      </c>
      <c r="H1005" s="264" t="inlineStr">
        <is>
          <t xml:space="preserve">FERNANDO OYUELA </t>
        </is>
      </c>
      <c r="I1005" s="264" t="inlineStr">
        <is>
          <t>EQY778</t>
        </is>
      </c>
      <c r="J1005" s="265" t="n">
        <v>0.02777777777777778</v>
      </c>
      <c r="K1005" s="266" t="n">
        <v>3052</v>
      </c>
      <c r="L1005" s="308" t="n"/>
      <c r="M1005" s="113" t="n"/>
      <c r="N1005" s="113" t="n"/>
      <c r="O1005" s="113" t="n"/>
      <c r="P1005" s="243" t="n"/>
      <c r="Q1005" s="113" t="n"/>
      <c r="R1005" s="113" t="n"/>
    </row>
    <row r="1006" ht="15.75" customHeight="1">
      <c r="A1006" s="113" t="n"/>
      <c r="B1006" s="146" t="n">
        <v>18</v>
      </c>
      <c r="C1006" s="350" t="n">
        <v>45927</v>
      </c>
      <c r="D1006" s="351" t="n">
        <v>3</v>
      </c>
      <c r="E1006" s="264" t="inlineStr">
        <is>
          <t xml:space="preserve">SAN JOSE </t>
        </is>
      </c>
      <c r="F1006" s="264" t="inlineStr">
        <is>
          <t>CARGUEROS</t>
        </is>
      </c>
      <c r="G1006" s="264" t="n">
        <v>10</v>
      </c>
      <c r="H1006" s="264" t="inlineStr">
        <is>
          <t>ROBINSON PULIDO</t>
        </is>
      </c>
      <c r="I1006" s="264" t="inlineStr">
        <is>
          <t>EQY780</t>
        </is>
      </c>
      <c r="J1006" s="265" t="n">
        <v>0.1215277777777778</v>
      </c>
      <c r="K1006" s="266" t="n">
        <v>3333</v>
      </c>
      <c r="L1006" s="308" t="n"/>
      <c r="M1006" s="113" t="n"/>
      <c r="N1006" s="113" t="n"/>
      <c r="O1006" s="113" t="n"/>
      <c r="P1006" s="243" t="n"/>
      <c r="Q1006" s="113" t="n"/>
      <c r="R1006" s="113" t="n"/>
    </row>
    <row r="1007" ht="15.75" customHeight="1">
      <c r="A1007" s="113" t="n"/>
      <c r="B1007" s="146" t="n">
        <v>18</v>
      </c>
      <c r="C1007" s="350" t="n">
        <v>45927</v>
      </c>
      <c r="D1007" s="351" t="n">
        <v>4</v>
      </c>
      <c r="E1007" s="264" t="inlineStr">
        <is>
          <t xml:space="preserve">SAN JOSE </t>
        </is>
      </c>
      <c r="F1007" s="264" t="inlineStr">
        <is>
          <t>CARGUEROS</t>
        </is>
      </c>
      <c r="G1007" s="264" t="n">
        <v>10</v>
      </c>
      <c r="H1007" s="264" t="inlineStr">
        <is>
          <t>ALBERTO LOPEZ</t>
        </is>
      </c>
      <c r="I1007" s="264" t="inlineStr">
        <is>
          <t>EQY777</t>
        </is>
      </c>
      <c r="J1007" s="265" t="n">
        <v>0.1597222222222222</v>
      </c>
      <c r="K1007" s="266" t="n">
        <v>3333</v>
      </c>
      <c r="L1007" s="308" t="n"/>
      <c r="M1007" s="113" t="n"/>
      <c r="N1007" s="113" t="n"/>
      <c r="O1007" s="113" t="n"/>
      <c r="P1007" s="243" t="n"/>
      <c r="Q1007" s="113" t="n"/>
      <c r="R1007" s="113" t="n"/>
    </row>
    <row r="1008" ht="15.75" customHeight="1">
      <c r="A1008" s="113" t="n"/>
      <c r="B1008" s="146" t="n">
        <v>18</v>
      </c>
      <c r="C1008" s="350" t="n">
        <v>45927</v>
      </c>
      <c r="D1008" s="351" t="n">
        <v>5</v>
      </c>
      <c r="E1008" s="264" t="inlineStr">
        <is>
          <t xml:space="preserve">SAN JOSE </t>
        </is>
      </c>
      <c r="F1008" s="264" t="inlineStr">
        <is>
          <t>CARGUEROS</t>
        </is>
      </c>
      <c r="G1008" s="264" t="n">
        <v>10</v>
      </c>
      <c r="H1008" s="264" t="inlineStr">
        <is>
          <t xml:space="preserve">WILMER PIÑEROS </t>
        </is>
      </c>
      <c r="I1008" s="264" t="inlineStr">
        <is>
          <t>KNL076</t>
        </is>
      </c>
      <c r="J1008" s="265" t="n">
        <v>0.1979166666666667</v>
      </c>
      <c r="K1008" s="266" t="n">
        <v>3333</v>
      </c>
      <c r="L1008" s="308" t="n"/>
      <c r="M1008" s="113" t="n"/>
      <c r="N1008" s="113" t="n"/>
      <c r="O1008" s="113" t="n"/>
      <c r="P1008" s="243" t="n"/>
      <c r="Q1008" s="113" t="n"/>
      <c r="R1008" s="113" t="n"/>
    </row>
    <row r="1009" ht="15.75" customHeight="1">
      <c r="A1009" s="113" t="n"/>
      <c r="B1009" s="146" t="n">
        <v>18</v>
      </c>
      <c r="C1009" s="350" t="n">
        <v>45927</v>
      </c>
      <c r="D1009" s="351" t="n">
        <v>6</v>
      </c>
      <c r="E1009" s="264" t="inlineStr">
        <is>
          <t xml:space="preserve">SAN JOSE </t>
        </is>
      </c>
      <c r="F1009" s="264" t="inlineStr">
        <is>
          <t>CARGUEROS</t>
        </is>
      </c>
      <c r="G1009" s="264" t="n">
        <v>10</v>
      </c>
      <c r="H1009" s="264" t="inlineStr">
        <is>
          <t>EDWIN CAVIDEZ</t>
        </is>
      </c>
      <c r="I1009" s="264" t="inlineStr">
        <is>
          <t>EQY779</t>
        </is>
      </c>
      <c r="J1009" s="265" t="n">
        <v>0.25</v>
      </c>
      <c r="K1009" s="266" t="n">
        <v>3333</v>
      </c>
      <c r="L1009" s="308" t="n"/>
      <c r="M1009" s="113" t="n"/>
      <c r="N1009" s="113" t="n"/>
      <c r="O1009" s="113" t="n"/>
      <c r="P1009" s="243" t="n"/>
      <c r="Q1009" s="113" t="n"/>
      <c r="R1009" s="113" t="n"/>
    </row>
    <row r="1010" ht="15.75" customHeight="1">
      <c r="A1010" s="113" t="n"/>
      <c r="B1010" s="146" t="n">
        <v>18</v>
      </c>
      <c r="C1010" s="350" t="n">
        <v>45927</v>
      </c>
      <c r="D1010" s="351" t="n">
        <v>7</v>
      </c>
      <c r="E1010" s="264" t="inlineStr">
        <is>
          <t xml:space="preserve">SAN JOSE </t>
        </is>
      </c>
      <c r="F1010" s="264" t="inlineStr">
        <is>
          <t>CARGUEROS</t>
        </is>
      </c>
      <c r="G1010" s="264" t="n">
        <v>10</v>
      </c>
      <c r="H1010" s="264" t="inlineStr">
        <is>
          <t>DUMAR ANGARITA</t>
        </is>
      </c>
      <c r="I1010" s="264" t="inlineStr">
        <is>
          <t>LQO745</t>
        </is>
      </c>
      <c r="J1010" s="265" t="n">
        <v>0.2986111111111111</v>
      </c>
      <c r="K1010" s="266" t="n">
        <v>3333</v>
      </c>
      <c r="L1010" s="309" t="n"/>
      <c r="M1010" s="113" t="n"/>
      <c r="N1010" s="113" t="n"/>
      <c r="O1010" s="113" t="n"/>
      <c r="P1010" s="243" t="n"/>
      <c r="Q1010" s="113" t="n"/>
      <c r="R1010" s="113" t="n"/>
    </row>
    <row r="1011" ht="15.75" customHeight="1">
      <c r="A1011" s="113" t="n"/>
      <c r="B1011" s="146" t="n">
        <v>18</v>
      </c>
      <c r="C1011" s="356" t="n">
        <v>45927</v>
      </c>
      <c r="D1011" s="357" t="n">
        <v>8</v>
      </c>
      <c r="E1011" s="271" t="inlineStr">
        <is>
          <t xml:space="preserve">SAN JOSE </t>
        </is>
      </c>
      <c r="F1011" s="271" t="inlineStr">
        <is>
          <t>CARGUEROS</t>
        </is>
      </c>
      <c r="G1011" s="271" t="n">
        <v>10</v>
      </c>
      <c r="H1011" s="271" t="inlineStr">
        <is>
          <t xml:space="preserve">JOSE HERRERA </t>
        </is>
      </c>
      <c r="I1011" s="271" t="inlineStr">
        <is>
          <t>TLO884</t>
        </is>
      </c>
      <c r="J1011" s="272" t="n">
        <v>0.3368055555555556</v>
      </c>
      <c r="K1011" s="273" t="n">
        <v>3333</v>
      </c>
      <c r="L1011" s="378">
        <f>SUM(K1004:K1011)</f>
        <v/>
      </c>
      <c r="M1011" s="113" t="n"/>
      <c r="N1011" s="113" t="n"/>
      <c r="O1011" s="113" t="n"/>
      <c r="P1011" s="243" t="n"/>
      <c r="Q1011" s="113" t="n"/>
      <c r="R1011" s="113" t="n"/>
    </row>
    <row r="1012" ht="15.75" customHeight="1">
      <c r="A1012" s="113" t="n"/>
      <c r="B1012" s="146" t="n">
        <v>18</v>
      </c>
      <c r="C1012" s="348" t="n">
        <v>45929</v>
      </c>
      <c r="D1012" s="349" t="n">
        <v>1</v>
      </c>
      <c r="E1012" s="258" t="inlineStr">
        <is>
          <t>MALAGUEÑA</t>
        </is>
      </c>
      <c r="F1012" s="258" t="inlineStr">
        <is>
          <t>ABONEROS</t>
        </is>
      </c>
      <c r="G1012" s="258" t="n">
        <v>9</v>
      </c>
      <c r="H1012" s="258" t="inlineStr">
        <is>
          <t xml:space="preserve">JOSE HERRERA </t>
        </is>
      </c>
      <c r="I1012" s="258" t="inlineStr">
        <is>
          <t>TLO884</t>
        </is>
      </c>
      <c r="J1012" s="259" t="n">
        <v>0.2472222222222222</v>
      </c>
      <c r="K1012" s="260" t="n">
        <v>2993</v>
      </c>
      <c r="L1012" s="292" t="n"/>
      <c r="M1012" s="113" t="n"/>
      <c r="N1012" s="113" t="n"/>
      <c r="O1012" s="113" t="n"/>
      <c r="P1012" s="243" t="n"/>
      <c r="Q1012" s="113" t="n"/>
      <c r="R1012" s="113" t="n"/>
    </row>
    <row r="1013" ht="15.75" customHeight="1">
      <c r="A1013" s="113" t="n"/>
      <c r="B1013" s="146" t="n">
        <v>18</v>
      </c>
      <c r="C1013" s="350" t="n">
        <v>45929</v>
      </c>
      <c r="D1013" s="351" t="n">
        <v>2</v>
      </c>
      <c r="E1013" s="264" t="inlineStr">
        <is>
          <t>MALAGUEÑA</t>
        </is>
      </c>
      <c r="F1013" s="264" t="inlineStr">
        <is>
          <t>ABONEROS</t>
        </is>
      </c>
      <c r="G1013" s="264" t="n">
        <v>9</v>
      </c>
      <c r="H1013" s="264" t="inlineStr">
        <is>
          <t xml:space="preserve">HENRY ROMERO </t>
        </is>
      </c>
      <c r="I1013" s="264" t="inlineStr">
        <is>
          <t>EQY781</t>
        </is>
      </c>
      <c r="J1013" s="265" t="n">
        <v>0.2909722222222222</v>
      </c>
      <c r="K1013" s="266" t="n">
        <v>2993</v>
      </c>
      <c r="L1013" s="308" t="n"/>
      <c r="M1013" s="113" t="n"/>
      <c r="N1013" s="113" t="n"/>
      <c r="O1013" s="113" t="n"/>
      <c r="P1013" s="243" t="n"/>
      <c r="Q1013" s="113" t="n"/>
      <c r="R1013" s="113" t="n"/>
    </row>
    <row r="1014" ht="15.75" customHeight="1">
      <c r="A1014" s="113" t="n"/>
      <c r="B1014" s="146" t="n">
        <v>18</v>
      </c>
      <c r="C1014" s="350" t="n">
        <v>45929</v>
      </c>
      <c r="D1014" s="351" t="n">
        <v>3</v>
      </c>
      <c r="E1014" s="264" t="inlineStr">
        <is>
          <t xml:space="preserve">SAN JOSE </t>
        </is>
      </c>
      <c r="F1014" s="264" t="inlineStr">
        <is>
          <t>CARGUEROS</t>
        </is>
      </c>
      <c r="G1014" s="264" t="n">
        <v>11</v>
      </c>
      <c r="H1014" s="264" t="inlineStr">
        <is>
          <t xml:space="preserve">JOSE SOLER </t>
        </is>
      </c>
      <c r="I1014" s="264" t="inlineStr">
        <is>
          <t>EQY776</t>
        </is>
      </c>
      <c r="J1014" s="265" t="n">
        <v>0.2291666666666667</v>
      </c>
      <c r="K1014" s="266" t="n">
        <v>3350</v>
      </c>
      <c r="L1014" s="308" t="n"/>
      <c r="M1014" s="113" t="n"/>
      <c r="N1014" s="113" t="n"/>
      <c r="O1014" s="113" t="n"/>
      <c r="P1014" s="243" t="n"/>
      <c r="Q1014" s="113" t="n"/>
      <c r="R1014" s="113" t="n"/>
    </row>
    <row r="1015" ht="15.75" customHeight="1">
      <c r="A1015" s="113" t="n"/>
      <c r="B1015" s="146" t="n">
        <v>18</v>
      </c>
      <c r="C1015" s="350" t="n">
        <v>45929</v>
      </c>
      <c r="D1015" s="351" t="n">
        <v>4</v>
      </c>
      <c r="E1015" s="264" t="inlineStr">
        <is>
          <t xml:space="preserve">SAN JOSE </t>
        </is>
      </c>
      <c r="F1015" s="264" t="inlineStr">
        <is>
          <t>CARGUEROS</t>
        </is>
      </c>
      <c r="G1015" s="264" t="n">
        <v>11</v>
      </c>
      <c r="H1015" s="264" t="inlineStr">
        <is>
          <t>ROBINSON PULIDO</t>
        </is>
      </c>
      <c r="I1015" s="264" t="inlineStr">
        <is>
          <t>GZZ673</t>
        </is>
      </c>
      <c r="J1015" s="265" t="n">
        <v>0.2881944444444444</v>
      </c>
      <c r="K1015" s="266" t="n">
        <v>3350</v>
      </c>
      <c r="L1015" s="308" t="n"/>
      <c r="M1015" s="113" t="n"/>
      <c r="N1015" s="113" t="n"/>
      <c r="O1015" s="113" t="n"/>
      <c r="P1015" s="243" t="n"/>
      <c r="Q1015" s="113" t="n"/>
      <c r="R1015" s="113" t="n"/>
    </row>
    <row r="1016" ht="15.75" customHeight="1">
      <c r="A1016" s="113" t="n"/>
      <c r="B1016" s="146" t="n">
        <v>18</v>
      </c>
      <c r="C1016" s="350" t="n">
        <v>45929</v>
      </c>
      <c r="D1016" s="351" t="n">
        <v>5</v>
      </c>
      <c r="E1016" s="264" t="inlineStr">
        <is>
          <t xml:space="preserve">SAN JOSE </t>
        </is>
      </c>
      <c r="F1016" s="264" t="inlineStr">
        <is>
          <t>CARGUEROS</t>
        </is>
      </c>
      <c r="G1016" s="264" t="n">
        <v>11</v>
      </c>
      <c r="H1016" s="264" t="inlineStr">
        <is>
          <t>ALEXANDER CHAGUALA</t>
        </is>
      </c>
      <c r="I1016" s="264" t="inlineStr">
        <is>
          <t>TLN181</t>
        </is>
      </c>
      <c r="J1016" s="265" t="n">
        <v>0.3194444444444444</v>
      </c>
      <c r="K1016" s="266" t="n">
        <v>3350</v>
      </c>
      <c r="L1016" s="308" t="n"/>
      <c r="M1016" s="113" t="n"/>
      <c r="N1016" s="113" t="n"/>
      <c r="O1016" s="113" t="n"/>
      <c r="P1016" s="243" t="n"/>
      <c r="Q1016" s="113" t="n"/>
      <c r="R1016" s="113" t="n"/>
    </row>
    <row r="1017" ht="15.75" customHeight="1">
      <c r="A1017" s="113" t="n"/>
      <c r="B1017" s="146" t="n">
        <v>18</v>
      </c>
      <c r="C1017" s="350" t="n">
        <v>45929</v>
      </c>
      <c r="D1017" s="351" t="n">
        <v>6</v>
      </c>
      <c r="E1017" s="264" t="inlineStr">
        <is>
          <t xml:space="preserve">SAN JOSE </t>
        </is>
      </c>
      <c r="F1017" s="264" t="inlineStr">
        <is>
          <t>CARGUEROS</t>
        </is>
      </c>
      <c r="G1017" s="264" t="n">
        <v>11</v>
      </c>
      <c r="H1017" s="264" t="inlineStr">
        <is>
          <t>EDWIN ROJAS</t>
        </is>
      </c>
      <c r="I1017" s="264" t="inlineStr">
        <is>
          <t>EQY780</t>
        </is>
      </c>
      <c r="J1017" s="265" t="n">
        <v>0.3576388888888889</v>
      </c>
      <c r="K1017" s="266" t="n">
        <v>3350</v>
      </c>
      <c r="L1017" s="308" t="n"/>
      <c r="M1017" s="113" t="n"/>
      <c r="N1017" s="113" t="n"/>
      <c r="O1017" s="113" t="n"/>
      <c r="P1017" s="243" t="n"/>
      <c r="Q1017" s="113" t="n"/>
      <c r="R1017" s="113" t="n"/>
    </row>
    <row r="1018" ht="15.75" customHeight="1">
      <c r="A1018" s="113" t="n"/>
      <c r="B1018" s="146" t="n">
        <v>18</v>
      </c>
      <c r="C1018" s="350" t="n">
        <v>45929</v>
      </c>
      <c r="D1018" s="351" t="n">
        <v>7</v>
      </c>
      <c r="E1018" s="264" t="inlineStr">
        <is>
          <t xml:space="preserve">SAN JOSE </t>
        </is>
      </c>
      <c r="F1018" s="264" t="inlineStr">
        <is>
          <t>CARGUEROS</t>
        </is>
      </c>
      <c r="G1018" s="264" t="n">
        <v>11</v>
      </c>
      <c r="H1018" s="264" t="inlineStr">
        <is>
          <t xml:space="preserve">WILMER PIÑEROS </t>
        </is>
      </c>
      <c r="I1018" s="264" t="inlineStr">
        <is>
          <t>KNL076</t>
        </is>
      </c>
      <c r="J1018" s="265" t="n">
        <v>0.3958333333333333</v>
      </c>
      <c r="K1018" s="266" t="n">
        <v>3350</v>
      </c>
      <c r="L1018" s="308" t="n"/>
      <c r="M1018" s="113" t="n"/>
      <c r="N1018" s="113" t="n"/>
      <c r="O1018" s="113" t="n"/>
      <c r="P1018" s="243" t="n"/>
      <c r="Q1018" s="113" t="n"/>
      <c r="R1018" s="113" t="n"/>
    </row>
    <row r="1019" ht="15.75" customHeight="1">
      <c r="A1019" s="113" t="n"/>
      <c r="B1019" s="146" t="n">
        <v>18</v>
      </c>
      <c r="C1019" s="350" t="n">
        <v>45929</v>
      </c>
      <c r="D1019" s="351" t="n">
        <v>8</v>
      </c>
      <c r="E1019" s="264" t="inlineStr">
        <is>
          <t xml:space="preserve">SAN JOSE </t>
        </is>
      </c>
      <c r="F1019" s="264" t="inlineStr">
        <is>
          <t>CARGUEROS</t>
        </is>
      </c>
      <c r="G1019" s="264" t="n">
        <v>11</v>
      </c>
      <c r="H1019" s="264" t="inlineStr">
        <is>
          <t xml:space="preserve">ALEX GOMEZ </t>
        </is>
      </c>
      <c r="I1019" s="264" t="inlineStr">
        <is>
          <t>TLO881</t>
        </is>
      </c>
      <c r="J1019" s="265" t="n">
        <v>0.4305555555555556</v>
      </c>
      <c r="K1019" s="266" t="n">
        <v>3350</v>
      </c>
      <c r="L1019" s="308" t="n"/>
      <c r="M1019" s="113" t="n"/>
      <c r="N1019" s="113" t="n"/>
      <c r="O1019" s="113" t="n"/>
      <c r="P1019" s="243" t="n"/>
      <c r="Q1019" s="113" t="n"/>
      <c r="R1019" s="113" t="n"/>
    </row>
    <row r="1020" ht="15.75" customHeight="1">
      <c r="A1020" s="113" t="n"/>
      <c r="B1020" s="146" t="n">
        <v>18</v>
      </c>
      <c r="C1020" s="350" t="n">
        <v>45929</v>
      </c>
      <c r="D1020" s="351" t="n">
        <v>9</v>
      </c>
      <c r="E1020" s="264" t="inlineStr">
        <is>
          <t xml:space="preserve">SAN JOSE </t>
        </is>
      </c>
      <c r="F1020" s="264" t="inlineStr">
        <is>
          <t>CARGUEROS</t>
        </is>
      </c>
      <c r="G1020" s="264" t="n">
        <v>11</v>
      </c>
      <c r="H1020" s="264" t="inlineStr">
        <is>
          <t xml:space="preserve">ALBERTO HERRERA </t>
        </is>
      </c>
      <c r="I1020" s="264" t="inlineStr">
        <is>
          <t>TLO884</t>
        </is>
      </c>
      <c r="J1020" s="265" t="n">
        <v>0.4722222222222222</v>
      </c>
      <c r="K1020" s="266" t="n">
        <v>3000</v>
      </c>
      <c r="L1020" s="308" t="n"/>
      <c r="M1020" s="113" t="n"/>
      <c r="N1020" s="113" t="n"/>
      <c r="O1020" s="113" t="n"/>
      <c r="P1020" s="243" t="n"/>
      <c r="Q1020" s="113" t="n"/>
      <c r="R1020" s="113" t="n"/>
    </row>
    <row r="1021" ht="15.75" customHeight="1">
      <c r="A1021" s="113" t="n"/>
      <c r="B1021" s="146" t="n">
        <v>18</v>
      </c>
      <c r="C1021" s="350" t="n">
        <v>45929</v>
      </c>
      <c r="D1021" s="351" t="n">
        <v>10</v>
      </c>
      <c r="E1021" s="264" t="inlineStr">
        <is>
          <t xml:space="preserve">SAN JOSE </t>
        </is>
      </c>
      <c r="F1021" s="264" t="inlineStr">
        <is>
          <t>CARGUEROS</t>
        </is>
      </c>
      <c r="G1021" s="264" t="n">
        <v>11</v>
      </c>
      <c r="H1021" s="264" t="inlineStr">
        <is>
          <t xml:space="preserve">HENRY ROMERO </t>
        </is>
      </c>
      <c r="I1021" s="264" t="inlineStr">
        <is>
          <t>EQY781</t>
        </is>
      </c>
      <c r="J1021" s="265" t="n">
        <v>0.5069444444444444</v>
      </c>
      <c r="K1021" s="266" t="n">
        <v>3000</v>
      </c>
      <c r="L1021" s="308" t="n"/>
      <c r="M1021" s="113" t="n"/>
      <c r="N1021" s="113" t="n"/>
      <c r="O1021" s="113" t="n"/>
      <c r="P1021" s="243" t="n"/>
      <c r="Q1021" s="113" t="n"/>
      <c r="R1021" s="113" t="n"/>
    </row>
    <row r="1022" ht="15.75" customHeight="1">
      <c r="A1022" s="113" t="n"/>
      <c r="B1022" s="146" t="n">
        <v>18</v>
      </c>
      <c r="C1022" s="350" t="n">
        <v>45929</v>
      </c>
      <c r="D1022" s="351" t="n">
        <v>11</v>
      </c>
      <c r="E1022" s="264" t="inlineStr">
        <is>
          <t xml:space="preserve">SAN JOSE </t>
        </is>
      </c>
      <c r="F1022" s="264" t="inlineStr">
        <is>
          <t>CARGUEROS</t>
        </is>
      </c>
      <c r="G1022" s="264" t="n">
        <v>11</v>
      </c>
      <c r="H1022" s="264" t="inlineStr">
        <is>
          <t xml:space="preserve">JOSE SOLER </t>
        </is>
      </c>
      <c r="I1022" s="264" t="inlineStr">
        <is>
          <t>EQY776</t>
        </is>
      </c>
      <c r="J1022" s="265" t="n">
        <v>0.5729166666666666</v>
      </c>
      <c r="K1022" s="266" t="n">
        <v>3383</v>
      </c>
      <c r="L1022" s="308" t="n"/>
      <c r="M1022" s="113" t="n"/>
      <c r="N1022" s="113" t="n"/>
      <c r="O1022" s="113" t="n"/>
      <c r="P1022" s="243" t="n"/>
      <c r="Q1022" s="113" t="n"/>
      <c r="R1022" s="113" t="n"/>
    </row>
    <row r="1023" ht="15.75" customHeight="1">
      <c r="A1023" s="113" t="n"/>
      <c r="B1023" s="146" t="n">
        <v>18</v>
      </c>
      <c r="C1023" s="350" t="n">
        <v>45929</v>
      </c>
      <c r="D1023" s="351" t="n">
        <v>12</v>
      </c>
      <c r="E1023" s="264" t="inlineStr">
        <is>
          <t xml:space="preserve">SAN JOSE </t>
        </is>
      </c>
      <c r="F1023" s="264" t="inlineStr">
        <is>
          <t>CARGUEROS</t>
        </is>
      </c>
      <c r="G1023" s="264" t="n">
        <v>10</v>
      </c>
      <c r="H1023" s="264" t="inlineStr">
        <is>
          <t>DIEGO NIÑO</t>
        </is>
      </c>
      <c r="I1023" s="264" t="inlineStr">
        <is>
          <t>GZZ673</t>
        </is>
      </c>
      <c r="J1023" s="265" t="n">
        <v>0.6111111111111112</v>
      </c>
      <c r="K1023" s="266" t="n">
        <v>3383</v>
      </c>
      <c r="L1023" s="309" t="n"/>
      <c r="M1023" s="113" t="n"/>
      <c r="N1023" s="113" t="n"/>
      <c r="O1023" s="113" t="n"/>
      <c r="P1023" s="243" t="n"/>
      <c r="Q1023" s="113" t="n"/>
      <c r="R1023" s="113" t="n"/>
    </row>
    <row r="1024" ht="15.75" customHeight="1">
      <c r="A1024" s="113" t="n"/>
      <c r="B1024" s="146" t="n">
        <v>18</v>
      </c>
      <c r="C1024" s="356" t="n">
        <v>45929</v>
      </c>
      <c r="D1024" s="357" t="n">
        <v>13</v>
      </c>
      <c r="E1024" s="271" t="inlineStr">
        <is>
          <t xml:space="preserve">SAN JOSE </t>
        </is>
      </c>
      <c r="F1024" s="271" t="inlineStr">
        <is>
          <t xml:space="preserve">CARGUEROS </t>
        </is>
      </c>
      <c r="G1024" s="271" t="n">
        <v>10</v>
      </c>
      <c r="H1024" s="271" t="inlineStr">
        <is>
          <t xml:space="preserve">DUMAR ANGARITA </t>
        </is>
      </c>
      <c r="I1024" s="271" t="inlineStr">
        <is>
          <t>LQO745</t>
        </is>
      </c>
      <c r="J1024" s="272" t="n">
        <v>0.6513888888888889</v>
      </c>
      <c r="K1024" s="273" t="n">
        <v>3383</v>
      </c>
      <c r="L1024" s="378">
        <f>SUM(K1012:K1024)</f>
        <v/>
      </c>
      <c r="M1024" s="113" t="n"/>
      <c r="N1024" s="113" t="n"/>
      <c r="O1024" s="113" t="n"/>
      <c r="P1024" s="243" t="n"/>
      <c r="Q1024" s="113" t="n"/>
      <c r="R1024" s="113" t="n"/>
    </row>
    <row r="1025" ht="15.75" customHeight="1">
      <c r="A1025" s="113" t="n"/>
      <c r="B1025" s="146" t="n">
        <v>19</v>
      </c>
      <c r="C1025" s="348" t="n">
        <v>45930</v>
      </c>
      <c r="D1025" s="349" t="n">
        <v>1</v>
      </c>
      <c r="E1025" s="258" t="inlineStr">
        <is>
          <t xml:space="preserve">SAN JOSE </t>
        </is>
      </c>
      <c r="F1025" s="258" t="inlineStr">
        <is>
          <t>CARGUEROS</t>
        </is>
      </c>
      <c r="G1025" s="258" t="n">
        <v>11</v>
      </c>
      <c r="H1025" s="258" t="inlineStr">
        <is>
          <t xml:space="preserve">FERNANDO OYUELA </t>
        </is>
      </c>
      <c r="I1025" s="258" t="inlineStr">
        <is>
          <t>EQY778</t>
        </is>
      </c>
      <c r="J1025" s="259" t="n">
        <v>0.2465277777777778</v>
      </c>
      <c r="K1025" s="260" t="n">
        <v>3240</v>
      </c>
      <c r="L1025" s="292" t="n"/>
      <c r="M1025" s="113" t="n"/>
      <c r="N1025" s="113" t="n"/>
      <c r="O1025" s="113" t="n"/>
      <c r="P1025" s="243" t="n"/>
      <c r="Q1025" s="113" t="n"/>
      <c r="R1025" s="113" t="n"/>
    </row>
    <row r="1026" ht="15.75" customHeight="1">
      <c r="A1026" s="113" t="n"/>
      <c r="B1026" s="146" t="n">
        <v>19</v>
      </c>
      <c r="C1026" s="350" t="n">
        <v>45930</v>
      </c>
      <c r="D1026" s="351" t="n">
        <v>2</v>
      </c>
      <c r="E1026" s="264" t="inlineStr">
        <is>
          <t xml:space="preserve">SAN JOSE </t>
        </is>
      </c>
      <c r="F1026" s="264" t="inlineStr">
        <is>
          <t xml:space="preserve">CARGUEROS </t>
        </is>
      </c>
      <c r="G1026" s="264" t="n">
        <v>11</v>
      </c>
      <c r="H1026" s="264" t="inlineStr">
        <is>
          <t xml:space="preserve">MANUEL QUINTIAN </t>
        </is>
      </c>
      <c r="I1026" s="264" t="inlineStr">
        <is>
          <t>KUS176</t>
        </is>
      </c>
      <c r="J1026" s="265" t="n">
        <v>0.2916666666666667</v>
      </c>
      <c r="K1026" s="266" t="n">
        <v>3240</v>
      </c>
      <c r="L1026" s="308" t="n"/>
      <c r="M1026" s="113" t="n"/>
      <c r="N1026" s="113" t="n"/>
      <c r="O1026" s="113" t="n"/>
      <c r="P1026" s="243" t="n"/>
      <c r="Q1026" s="113" t="n"/>
      <c r="R1026" s="113" t="n"/>
    </row>
    <row r="1027" ht="15.75" customHeight="1">
      <c r="A1027" s="113" t="n"/>
      <c r="B1027" s="146" t="n">
        <v>19</v>
      </c>
      <c r="C1027" s="350" t="n">
        <v>45930</v>
      </c>
      <c r="D1027" s="351" t="n">
        <v>3</v>
      </c>
      <c r="E1027" s="264" t="inlineStr">
        <is>
          <t xml:space="preserve">SAN JOSE </t>
        </is>
      </c>
      <c r="F1027" s="264" t="inlineStr">
        <is>
          <t xml:space="preserve">CARGUEROS </t>
        </is>
      </c>
      <c r="G1027" s="264" t="n">
        <v>11</v>
      </c>
      <c r="H1027" s="264" t="inlineStr">
        <is>
          <t xml:space="preserve">EDWIN ROJAS </t>
        </is>
      </c>
      <c r="I1027" s="264" t="inlineStr">
        <is>
          <t>EQY780</t>
        </is>
      </c>
      <c r="J1027" s="265" t="n">
        <v>0.3333333333333333</v>
      </c>
      <c r="K1027" s="266" t="n">
        <v>3277</v>
      </c>
      <c r="L1027" s="308" t="n"/>
      <c r="M1027" s="113" t="n"/>
      <c r="N1027" s="113" t="n"/>
      <c r="O1027" s="113" t="n"/>
      <c r="P1027" s="243" t="n"/>
      <c r="Q1027" s="113" t="n"/>
      <c r="R1027" s="113" t="n"/>
    </row>
    <row r="1028" ht="15.75" customHeight="1">
      <c r="A1028" s="113" t="n"/>
      <c r="B1028" s="146" t="n">
        <v>19</v>
      </c>
      <c r="C1028" s="350" t="n">
        <v>45930</v>
      </c>
      <c r="D1028" s="351" t="n">
        <v>4</v>
      </c>
      <c r="E1028" s="264" t="inlineStr">
        <is>
          <t xml:space="preserve">SAN JOSE </t>
        </is>
      </c>
      <c r="F1028" s="264" t="inlineStr">
        <is>
          <t xml:space="preserve">CARGUEROS </t>
        </is>
      </c>
      <c r="G1028" s="264" t="n">
        <v>11</v>
      </c>
      <c r="H1028" s="264" t="inlineStr">
        <is>
          <t xml:space="preserve">JOSE SOLER </t>
        </is>
      </c>
      <c r="I1028" s="264" t="inlineStr">
        <is>
          <t>EQY776</t>
        </is>
      </c>
      <c r="J1028" s="265" t="n">
        <v>0.3645833333333333</v>
      </c>
      <c r="K1028" s="266" t="n">
        <v>3117</v>
      </c>
      <c r="L1028" s="308" t="n"/>
      <c r="M1028" s="113" t="n"/>
      <c r="N1028" s="113" t="n"/>
      <c r="O1028" s="113" t="n"/>
      <c r="P1028" s="243" t="n"/>
      <c r="Q1028" s="113" t="n"/>
      <c r="R1028" s="113" t="n"/>
    </row>
    <row r="1029" ht="15.75" customHeight="1">
      <c r="A1029" s="113" t="n"/>
      <c r="B1029" s="146" t="n">
        <v>19</v>
      </c>
      <c r="C1029" s="350" t="n">
        <v>45930</v>
      </c>
      <c r="D1029" s="351" t="n">
        <v>5</v>
      </c>
      <c r="E1029" s="264" t="inlineStr">
        <is>
          <t xml:space="preserve">SAN JOSE </t>
        </is>
      </c>
      <c r="F1029" s="264" t="inlineStr">
        <is>
          <t xml:space="preserve">CARGUEROS </t>
        </is>
      </c>
      <c r="G1029" s="264" t="n">
        <v>11</v>
      </c>
      <c r="H1029" s="264" t="inlineStr">
        <is>
          <t>EDWIN CAVIDEZ</t>
        </is>
      </c>
      <c r="I1029" s="264" t="inlineStr">
        <is>
          <t>EQY779</t>
        </is>
      </c>
      <c r="J1029" s="265" t="n">
        <v>0.4027777777777778</v>
      </c>
      <c r="K1029" s="266" t="n">
        <v>3117</v>
      </c>
      <c r="L1029" s="308" t="n"/>
      <c r="M1029" s="113" t="n"/>
      <c r="N1029" s="113" t="n"/>
      <c r="O1029" s="113" t="n"/>
      <c r="P1029" s="243" t="n"/>
      <c r="Q1029" s="113" t="n"/>
      <c r="R1029" s="113" t="n"/>
    </row>
    <row r="1030" ht="15.75" customHeight="1">
      <c r="A1030" s="113" t="n"/>
      <c r="B1030" s="146" t="n">
        <v>19</v>
      </c>
      <c r="C1030" s="350" t="n">
        <v>45930</v>
      </c>
      <c r="D1030" s="351" t="n">
        <v>6</v>
      </c>
      <c r="E1030" s="264" t="inlineStr">
        <is>
          <t xml:space="preserve">SAN JOSE </t>
        </is>
      </c>
      <c r="F1030" s="264" t="inlineStr">
        <is>
          <t xml:space="preserve">CARGUEROS </t>
        </is>
      </c>
      <c r="G1030" s="264" t="n">
        <v>11</v>
      </c>
      <c r="H1030" s="264" t="inlineStr">
        <is>
          <t>ALBERTO LOPEZ</t>
        </is>
      </c>
      <c r="I1030" s="264" t="inlineStr">
        <is>
          <t>TLO884</t>
        </is>
      </c>
      <c r="J1030" s="265" t="n">
        <v>0.4548611111111111</v>
      </c>
      <c r="K1030" s="266" t="n">
        <v>3117</v>
      </c>
      <c r="L1030" s="308" t="n"/>
      <c r="M1030" s="113" t="n"/>
      <c r="N1030" s="113" t="n"/>
      <c r="O1030" s="113" t="n"/>
      <c r="P1030" s="243" t="n"/>
      <c r="Q1030" s="113" t="n"/>
      <c r="R1030" s="113" t="n"/>
    </row>
    <row r="1031" ht="15.75" customHeight="1">
      <c r="A1031" s="113" t="n"/>
      <c r="B1031" s="146" t="n">
        <v>19</v>
      </c>
      <c r="C1031" s="350" t="n">
        <v>45930</v>
      </c>
      <c r="D1031" s="351" t="n">
        <v>7</v>
      </c>
      <c r="E1031" s="264" t="inlineStr">
        <is>
          <t xml:space="preserve">SAN JOSE </t>
        </is>
      </c>
      <c r="F1031" s="264" t="inlineStr">
        <is>
          <t xml:space="preserve">CARGUEROS </t>
        </is>
      </c>
      <c r="G1031" s="264" t="n">
        <v>11</v>
      </c>
      <c r="H1031" s="264" t="inlineStr">
        <is>
          <t xml:space="preserve">FABIO ALDANA </t>
        </is>
      </c>
      <c r="I1031" s="264" t="inlineStr">
        <is>
          <t>TLO882</t>
        </is>
      </c>
      <c r="J1031" s="265" t="n">
        <v>0.4756944444444444</v>
      </c>
      <c r="K1031" s="266" t="n">
        <v>2883</v>
      </c>
      <c r="L1031" s="308" t="n"/>
      <c r="M1031" s="113" t="n"/>
      <c r="N1031" s="113" t="n"/>
      <c r="O1031" s="113" t="n"/>
      <c r="P1031" s="243" t="n"/>
      <c r="Q1031" s="113" t="n"/>
      <c r="R1031" s="113" t="n"/>
    </row>
    <row r="1032" ht="15.75" customHeight="1">
      <c r="A1032" s="113" t="n"/>
      <c r="B1032" s="146" t="n">
        <v>19</v>
      </c>
      <c r="C1032" s="350" t="n">
        <v>45930</v>
      </c>
      <c r="D1032" s="351" t="n">
        <v>8</v>
      </c>
      <c r="E1032" s="264" t="inlineStr">
        <is>
          <t xml:space="preserve">SAN JOSE </t>
        </is>
      </c>
      <c r="F1032" s="264" t="inlineStr">
        <is>
          <t xml:space="preserve">CARGUEROS </t>
        </is>
      </c>
      <c r="G1032" s="264" t="n">
        <v>11</v>
      </c>
      <c r="H1032" s="264" t="inlineStr">
        <is>
          <t>EDWIN ROJAS</t>
        </is>
      </c>
      <c r="I1032" s="264" t="inlineStr">
        <is>
          <t>EQY780</t>
        </is>
      </c>
      <c r="J1032" s="265" t="n">
        <v>0.5902777777777778</v>
      </c>
      <c r="K1032" s="266" t="n">
        <v>2883</v>
      </c>
      <c r="L1032" s="309" t="n"/>
      <c r="M1032" s="113" t="n"/>
      <c r="N1032" s="113" t="n"/>
      <c r="O1032" s="113" t="n"/>
      <c r="P1032" s="243" t="n"/>
      <c r="Q1032" s="113" t="n"/>
      <c r="R1032" s="113" t="n"/>
    </row>
    <row r="1033" ht="15.75" customHeight="1">
      <c r="A1033" s="113" t="n"/>
      <c r="B1033" s="146" t="n">
        <v>19</v>
      </c>
      <c r="C1033" s="356" t="n">
        <v>45930</v>
      </c>
      <c r="D1033" s="357" t="n">
        <v>9</v>
      </c>
      <c r="E1033" s="271" t="inlineStr">
        <is>
          <t xml:space="preserve">SAN JOSE </t>
        </is>
      </c>
      <c r="F1033" s="271" t="inlineStr">
        <is>
          <t>CARGUEROS</t>
        </is>
      </c>
      <c r="G1033" s="271" t="n">
        <v>11</v>
      </c>
      <c r="H1033" s="271" t="inlineStr">
        <is>
          <t>MANUEL QUITIAN</t>
        </is>
      </c>
      <c r="I1033" s="271" t="inlineStr">
        <is>
          <t>KUS176</t>
        </is>
      </c>
      <c r="J1033" s="272" t="n">
        <v>0.5243055555555556</v>
      </c>
      <c r="K1033" s="273" t="n">
        <v>2883</v>
      </c>
      <c r="L1033" s="378">
        <f>SUM(K1025:K1033)</f>
        <v/>
      </c>
      <c r="M1033" s="113" t="n"/>
      <c r="N1033" s="113" t="n"/>
      <c r="O1033" s="113" t="n"/>
      <c r="P1033" s="243" t="n"/>
      <c r="Q1033" s="113" t="n"/>
      <c r="R1033" s="113" t="n"/>
    </row>
    <row r="1034" ht="15.75" customHeight="1">
      <c r="A1034" s="113" t="n"/>
      <c r="B1034" s="146" t="n">
        <v>19</v>
      </c>
      <c r="C1034" s="348" t="n">
        <v>45931</v>
      </c>
      <c r="D1034" s="349" t="n">
        <v>1</v>
      </c>
      <c r="E1034" s="258" t="inlineStr">
        <is>
          <t>MALAGUEÑA</t>
        </is>
      </c>
      <c r="F1034" s="258" t="inlineStr">
        <is>
          <t>ABONEROS</t>
        </is>
      </c>
      <c r="G1034" s="258" t="n">
        <v>10</v>
      </c>
      <c r="H1034" s="258" t="inlineStr">
        <is>
          <t xml:space="preserve">MANUEL QUINTIAN </t>
        </is>
      </c>
      <c r="I1034" s="258" t="inlineStr">
        <is>
          <t>KUS176</t>
        </is>
      </c>
      <c r="J1034" s="259" t="n">
        <v>0.125</v>
      </c>
      <c r="K1034" s="260" t="n">
        <v>3200</v>
      </c>
      <c r="L1034" s="292" t="n"/>
      <c r="M1034" s="113" t="n"/>
      <c r="N1034" s="113" t="n"/>
      <c r="O1034" s="113" t="n"/>
      <c r="P1034" s="243" t="n"/>
      <c r="Q1034" s="113" t="n"/>
      <c r="R1034" s="113" t="n"/>
    </row>
    <row r="1035" ht="15.75" customHeight="1">
      <c r="A1035" s="113" t="n"/>
      <c r="B1035" s="146" t="n">
        <v>19</v>
      </c>
      <c r="C1035" s="350" t="n">
        <v>45931</v>
      </c>
      <c r="D1035" s="351" t="n">
        <v>2</v>
      </c>
      <c r="E1035" s="264" t="inlineStr">
        <is>
          <t>MALAGUEÑA</t>
        </is>
      </c>
      <c r="F1035" s="264" t="inlineStr">
        <is>
          <t>ABONEROS</t>
        </is>
      </c>
      <c r="G1035" s="264" t="n">
        <v>10</v>
      </c>
      <c r="H1035" s="264" t="inlineStr">
        <is>
          <t xml:space="preserve">EDUAN CAVIEDEZ </t>
        </is>
      </c>
      <c r="I1035" s="264" t="inlineStr">
        <is>
          <t>EQY779</t>
        </is>
      </c>
      <c r="J1035" s="265" t="n">
        <v>0.2034722222222222</v>
      </c>
      <c r="K1035" s="266" t="n">
        <v>2448</v>
      </c>
      <c r="L1035" s="308" t="n"/>
      <c r="M1035" s="113" t="n"/>
      <c r="N1035" s="113" t="n"/>
      <c r="O1035" s="113" t="n"/>
      <c r="P1035" s="243" t="n"/>
      <c r="Q1035" s="113" t="n"/>
      <c r="R1035" s="113" t="n"/>
    </row>
    <row r="1036" ht="15.75" customHeight="1">
      <c r="A1036" s="113" t="n"/>
      <c r="B1036" s="146" t="n">
        <v>19</v>
      </c>
      <c r="C1036" s="350" t="n">
        <v>45931</v>
      </c>
      <c r="D1036" s="351" t="n">
        <v>3</v>
      </c>
      <c r="E1036" s="264" t="inlineStr">
        <is>
          <t xml:space="preserve">SAN JOSE </t>
        </is>
      </c>
      <c r="F1036" s="264" t="inlineStr">
        <is>
          <t>CARGUEROS</t>
        </is>
      </c>
      <c r="G1036" s="264" t="n">
        <v>10</v>
      </c>
      <c r="H1036" s="264" t="inlineStr">
        <is>
          <t>JOSE HERRERA</t>
        </is>
      </c>
      <c r="I1036" s="264" t="inlineStr">
        <is>
          <t>TLO884</t>
        </is>
      </c>
      <c r="J1036" s="265" t="n">
        <v>0.2465277777777778</v>
      </c>
      <c r="K1036" s="266" t="n">
        <v>3333</v>
      </c>
      <c r="L1036" s="308" t="n"/>
      <c r="M1036" s="113" t="n"/>
      <c r="N1036" s="113" t="n"/>
      <c r="O1036" s="113" t="n"/>
      <c r="P1036" s="243" t="n"/>
      <c r="Q1036" s="113" t="n"/>
      <c r="R1036" s="113" t="n"/>
    </row>
    <row r="1037" ht="15.75" customHeight="1">
      <c r="A1037" s="113" t="n"/>
      <c r="B1037" s="146" t="n">
        <v>19</v>
      </c>
      <c r="C1037" s="350" t="n">
        <v>45931</v>
      </c>
      <c r="D1037" s="351" t="n">
        <v>4</v>
      </c>
      <c r="E1037" s="264" t="inlineStr">
        <is>
          <t xml:space="preserve">SAN JOSE </t>
        </is>
      </c>
      <c r="F1037" s="264" t="inlineStr">
        <is>
          <t>CARGUEROS</t>
        </is>
      </c>
      <c r="G1037" s="264" t="n">
        <v>10</v>
      </c>
      <c r="H1037" s="264" t="inlineStr">
        <is>
          <t>JHON ARIAS</t>
        </is>
      </c>
      <c r="I1037" s="264" t="inlineStr">
        <is>
          <t>TLN248</t>
        </is>
      </c>
      <c r="J1037" s="265" t="n">
        <v>0.2847222222222222</v>
      </c>
      <c r="K1037" s="266" t="n">
        <v>3333</v>
      </c>
      <c r="L1037" s="308" t="n"/>
      <c r="M1037" s="113" t="n"/>
      <c r="N1037" s="113" t="n"/>
      <c r="O1037" s="113" t="n"/>
      <c r="P1037" s="243" t="n"/>
      <c r="Q1037" s="113" t="n"/>
      <c r="R1037" s="113" t="n"/>
    </row>
    <row r="1038" ht="15.75" customHeight="1">
      <c r="A1038" s="113" t="n"/>
      <c r="B1038" s="146" t="n">
        <v>19</v>
      </c>
      <c r="C1038" s="350" t="n">
        <v>45931</v>
      </c>
      <c r="D1038" s="351" t="n">
        <v>5</v>
      </c>
      <c r="E1038" s="264" t="inlineStr">
        <is>
          <t xml:space="preserve">SAN JOSE </t>
        </is>
      </c>
      <c r="F1038" s="264" t="inlineStr">
        <is>
          <t>CARGUEROS</t>
        </is>
      </c>
      <c r="G1038" s="264" t="n">
        <v>10</v>
      </c>
      <c r="H1038" s="264" t="inlineStr">
        <is>
          <t xml:space="preserve">JOSE SOLER </t>
        </is>
      </c>
      <c r="I1038" s="264" t="inlineStr">
        <is>
          <t>TLO882</t>
        </is>
      </c>
      <c r="J1038" s="265" t="n">
        <v>0.3159722222222222</v>
      </c>
      <c r="K1038" s="266" t="n">
        <v>3333</v>
      </c>
      <c r="L1038" s="308" t="n"/>
      <c r="M1038" s="113" t="n"/>
      <c r="N1038" s="113" t="n"/>
      <c r="O1038" s="113" t="n"/>
      <c r="P1038" s="243" t="n"/>
      <c r="Q1038" s="113" t="n"/>
      <c r="R1038" s="113" t="n"/>
    </row>
    <row r="1039" ht="15.75" customHeight="1">
      <c r="A1039" s="113" t="n"/>
      <c r="B1039" s="146" t="n">
        <v>19</v>
      </c>
      <c r="C1039" s="350" t="n">
        <v>45931</v>
      </c>
      <c r="D1039" s="351" t="n">
        <v>6</v>
      </c>
      <c r="E1039" s="264" t="inlineStr">
        <is>
          <t xml:space="preserve">SAN JOSE </t>
        </is>
      </c>
      <c r="F1039" s="264" t="inlineStr">
        <is>
          <t>CARGUEROS</t>
        </is>
      </c>
      <c r="G1039" s="264" t="n">
        <v>10</v>
      </c>
      <c r="H1039" s="264" t="inlineStr">
        <is>
          <t xml:space="preserve">WILMER PIÑEROS </t>
        </is>
      </c>
      <c r="I1039" s="264" t="inlineStr">
        <is>
          <t>KLN076</t>
        </is>
      </c>
      <c r="J1039" s="265" t="n">
        <v>0.375</v>
      </c>
      <c r="K1039" s="266" t="n">
        <v>3000</v>
      </c>
      <c r="L1039" s="308" t="n"/>
      <c r="M1039" s="113" t="n"/>
      <c r="N1039" s="113" t="n"/>
      <c r="O1039" s="113" t="n"/>
      <c r="P1039" s="243" t="n"/>
      <c r="Q1039" s="113" t="n"/>
      <c r="R1039" s="113" t="n"/>
    </row>
    <row r="1040" ht="15.75" customHeight="1">
      <c r="A1040" s="113" t="n"/>
      <c r="B1040" s="146" t="n">
        <v>19</v>
      </c>
      <c r="C1040" s="350" t="n">
        <v>45931</v>
      </c>
      <c r="D1040" s="351" t="n">
        <v>7</v>
      </c>
      <c r="E1040" s="264" t="inlineStr">
        <is>
          <t xml:space="preserve">SAN JOSE </t>
        </is>
      </c>
      <c r="F1040" s="264" t="inlineStr">
        <is>
          <t>CARGUEROS</t>
        </is>
      </c>
      <c r="G1040" s="264" t="n">
        <v>10</v>
      </c>
      <c r="H1040" s="264" t="inlineStr">
        <is>
          <t>FABIO ALDANA</t>
        </is>
      </c>
      <c r="I1040" s="264" t="inlineStr">
        <is>
          <t>TLO8822</t>
        </is>
      </c>
      <c r="J1040" s="265" t="n">
        <v>0.4131944444444444</v>
      </c>
      <c r="K1040" s="266" t="n">
        <v>3000</v>
      </c>
      <c r="L1040" s="308" t="n"/>
      <c r="M1040" s="113" t="n"/>
      <c r="N1040" s="113" t="n"/>
      <c r="O1040" s="113" t="n"/>
      <c r="P1040" s="243" t="n"/>
      <c r="Q1040" s="113" t="n"/>
      <c r="R1040" s="113" t="n"/>
    </row>
    <row r="1041" ht="15.75" customHeight="1">
      <c r="A1041" s="113" t="n"/>
      <c r="B1041" s="146" t="n">
        <v>19</v>
      </c>
      <c r="C1041" s="350" t="n">
        <v>45931</v>
      </c>
      <c r="D1041" s="351" t="n">
        <v>8</v>
      </c>
      <c r="E1041" s="264" t="inlineStr">
        <is>
          <t xml:space="preserve">SAN JOSE </t>
        </is>
      </c>
      <c r="F1041" s="264" t="inlineStr">
        <is>
          <t>CARGUEROS</t>
        </is>
      </c>
      <c r="G1041" s="264" t="n">
        <v>10</v>
      </c>
      <c r="H1041" s="264" t="inlineStr">
        <is>
          <t xml:space="preserve">MANUEL QUITIAN </t>
        </is>
      </c>
      <c r="I1041" s="264" t="inlineStr">
        <is>
          <t>KUS176</t>
        </is>
      </c>
      <c r="J1041" s="265" t="n">
        <v>0.4513888888888889</v>
      </c>
      <c r="K1041" s="266" t="n">
        <v>3000</v>
      </c>
      <c r="L1041" s="308" t="n"/>
      <c r="M1041" s="113" t="n"/>
      <c r="N1041" s="113" t="n"/>
      <c r="O1041" s="113" t="n"/>
      <c r="P1041" s="243" t="n"/>
      <c r="Q1041" s="113" t="n"/>
      <c r="R1041" s="113" t="n"/>
    </row>
    <row r="1042" ht="15.75" customHeight="1">
      <c r="A1042" s="113" t="n"/>
      <c r="B1042" s="146" t="n">
        <v>19</v>
      </c>
      <c r="C1042" s="350" t="n">
        <v>45931</v>
      </c>
      <c r="D1042" s="351" t="n">
        <v>9</v>
      </c>
      <c r="E1042" s="264" t="inlineStr">
        <is>
          <t xml:space="preserve">SAN JOSE </t>
        </is>
      </c>
      <c r="F1042" s="264" t="inlineStr">
        <is>
          <t>CARGUEROS</t>
        </is>
      </c>
      <c r="G1042" s="264" t="n">
        <v>10</v>
      </c>
      <c r="H1042" s="264" t="inlineStr">
        <is>
          <t xml:space="preserve">WILMER PIÑEROS </t>
        </is>
      </c>
      <c r="I1042" s="264" t="inlineStr">
        <is>
          <t>KNL076</t>
        </is>
      </c>
      <c r="J1042" s="265" t="n">
        <v>0.4861111111111111</v>
      </c>
      <c r="K1042" s="266" t="n">
        <v>3160</v>
      </c>
      <c r="L1042" s="308" t="n"/>
      <c r="M1042" s="113" t="n"/>
      <c r="N1042" s="113" t="n"/>
      <c r="O1042" s="113" t="n"/>
      <c r="P1042" s="243" t="n"/>
      <c r="Q1042" s="113" t="n"/>
      <c r="R1042" s="113" t="n"/>
    </row>
    <row r="1043" ht="15.75" customHeight="1">
      <c r="A1043" s="113" t="n"/>
      <c r="B1043" s="146" t="n">
        <v>19</v>
      </c>
      <c r="C1043" s="350" t="n">
        <v>45931</v>
      </c>
      <c r="D1043" s="351" t="n">
        <v>10</v>
      </c>
      <c r="E1043" s="264" t="inlineStr">
        <is>
          <t xml:space="preserve">SAN JOSE </t>
        </is>
      </c>
      <c r="F1043" s="264" t="inlineStr">
        <is>
          <t>CARGUEROS</t>
        </is>
      </c>
      <c r="G1043" s="264" t="n">
        <v>10</v>
      </c>
      <c r="H1043" s="264" t="inlineStr">
        <is>
          <t>ROBINSON PULIDO</t>
        </is>
      </c>
      <c r="I1043" s="264" t="inlineStr">
        <is>
          <t>GZZ673</t>
        </is>
      </c>
      <c r="J1043" s="265" t="n">
        <v>0.5243055555555556</v>
      </c>
      <c r="K1043" s="266" t="n">
        <v>3240</v>
      </c>
      <c r="L1043" s="309" t="n"/>
      <c r="M1043" s="113" t="n"/>
      <c r="N1043" s="113" t="n"/>
      <c r="O1043" s="113" t="n"/>
      <c r="P1043" s="243" t="n"/>
      <c r="Q1043" s="113" t="n"/>
      <c r="R1043" s="113" t="n"/>
    </row>
    <row r="1044" ht="15.75" customHeight="1">
      <c r="A1044" s="113" t="n"/>
      <c r="B1044" s="146" t="n">
        <v>19</v>
      </c>
      <c r="C1044" s="356" t="n">
        <v>45931</v>
      </c>
      <c r="D1044" s="357" t="n">
        <v>11</v>
      </c>
      <c r="E1044" s="271" t="inlineStr">
        <is>
          <t xml:space="preserve">SAN JOSE </t>
        </is>
      </c>
      <c r="F1044" s="271" t="inlineStr">
        <is>
          <t>CARGUEROS</t>
        </is>
      </c>
      <c r="G1044" s="271" t="n">
        <v>10</v>
      </c>
      <c r="H1044" s="271" t="inlineStr">
        <is>
          <t>HENRY ROMERO</t>
        </is>
      </c>
      <c r="I1044" s="271" t="inlineStr">
        <is>
          <t>EQY781</t>
        </is>
      </c>
      <c r="J1044" s="272" t="n">
        <v>0.5611111111111111</v>
      </c>
      <c r="K1044" s="273" t="n">
        <v>3170</v>
      </c>
      <c r="L1044" s="378">
        <f>SUM(K1034:K1044)</f>
        <v/>
      </c>
      <c r="M1044" s="113" t="n"/>
      <c r="N1044" s="113" t="n"/>
      <c r="O1044" s="113" t="n"/>
      <c r="P1044" s="243" t="n"/>
      <c r="Q1044" s="113" t="n"/>
      <c r="R1044" s="113" t="n"/>
    </row>
    <row r="1045" ht="15.75" customHeight="1">
      <c r="A1045" s="113" t="n"/>
      <c r="B1045" s="146" t="n">
        <v>19</v>
      </c>
      <c r="C1045" s="348" t="n">
        <v>45932</v>
      </c>
      <c r="D1045" s="349" t="n">
        <v>1</v>
      </c>
      <c r="E1045" s="258" t="inlineStr">
        <is>
          <t xml:space="preserve">SAN JOSE </t>
        </is>
      </c>
      <c r="F1045" s="258" t="inlineStr">
        <is>
          <t>CARGUEROS</t>
        </is>
      </c>
      <c r="G1045" s="258" t="n">
        <v>10</v>
      </c>
      <c r="H1045" s="258" t="inlineStr">
        <is>
          <t>DUMAR ANGARITA</t>
        </is>
      </c>
      <c r="I1045" s="258" t="inlineStr">
        <is>
          <t>LQO745</t>
        </is>
      </c>
      <c r="J1045" s="259" t="n">
        <v>0.1666666666666667</v>
      </c>
      <c r="K1045" s="260" t="n">
        <v>2925</v>
      </c>
      <c r="L1045" s="292" t="n"/>
      <c r="M1045" s="113" t="n"/>
      <c r="N1045" s="113" t="n"/>
      <c r="O1045" s="113" t="n"/>
      <c r="P1045" s="243" t="n"/>
      <c r="Q1045" s="113" t="n"/>
      <c r="R1045" s="113" t="n"/>
    </row>
    <row r="1046" ht="15.75" customHeight="1">
      <c r="A1046" s="113" t="n"/>
      <c r="B1046" s="146" t="n">
        <v>19</v>
      </c>
      <c r="C1046" s="350" t="n">
        <v>45932</v>
      </c>
      <c r="D1046" s="351" t="n">
        <v>2</v>
      </c>
      <c r="E1046" s="264" t="inlineStr">
        <is>
          <t xml:space="preserve">SAN JOSE </t>
        </is>
      </c>
      <c r="F1046" s="264" t="inlineStr">
        <is>
          <t>CARGUEROS</t>
        </is>
      </c>
      <c r="G1046" s="264" t="n">
        <v>10</v>
      </c>
      <c r="H1046" s="264" t="inlineStr">
        <is>
          <t>EDWIN ROJAS</t>
        </is>
      </c>
      <c r="I1046" s="264" t="inlineStr">
        <is>
          <t>EQY780</t>
        </is>
      </c>
      <c r="J1046" s="265" t="n">
        <v>0.1979166666666667</v>
      </c>
      <c r="K1046" s="266" t="n">
        <v>2925</v>
      </c>
      <c r="L1046" s="308" t="n"/>
      <c r="M1046" s="113" t="n"/>
      <c r="N1046" s="113" t="n"/>
      <c r="O1046" s="113" t="n"/>
      <c r="P1046" s="243" t="n"/>
      <c r="Q1046" s="113" t="n"/>
      <c r="R1046" s="113" t="n"/>
    </row>
    <row r="1047" ht="15.75" customHeight="1">
      <c r="A1047" s="113" t="n"/>
      <c r="B1047" s="146" t="n">
        <v>19</v>
      </c>
      <c r="C1047" s="350" t="n">
        <v>45932</v>
      </c>
      <c r="D1047" s="351" t="n">
        <v>3</v>
      </c>
      <c r="E1047" s="264" t="inlineStr">
        <is>
          <t xml:space="preserve">SAN JOSE </t>
        </is>
      </c>
      <c r="F1047" s="264" t="inlineStr">
        <is>
          <t>CARGUEROS</t>
        </is>
      </c>
      <c r="G1047" s="264" t="n">
        <v>10</v>
      </c>
      <c r="H1047" s="264" t="inlineStr">
        <is>
          <t xml:space="preserve">FERNANDO OYEULA </t>
        </is>
      </c>
      <c r="I1047" s="264" t="inlineStr">
        <is>
          <t>EQY778</t>
        </is>
      </c>
      <c r="J1047" s="265" t="n">
        <v>0.2326388888888889</v>
      </c>
      <c r="K1047" s="266" t="n">
        <v>2667</v>
      </c>
      <c r="L1047" s="308" t="n"/>
      <c r="M1047" s="113" t="n"/>
      <c r="N1047" s="113" t="n"/>
      <c r="O1047" s="113" t="n"/>
      <c r="P1047" s="243" t="n"/>
      <c r="Q1047" s="113" t="n"/>
      <c r="R1047" s="113" t="n"/>
    </row>
    <row r="1048" ht="15.75" customHeight="1">
      <c r="A1048" s="113" t="n"/>
      <c r="B1048" s="146" t="n">
        <v>19</v>
      </c>
      <c r="C1048" s="350" t="n">
        <v>45932</v>
      </c>
      <c r="D1048" s="351" t="n">
        <v>4</v>
      </c>
      <c r="E1048" s="264" t="inlineStr">
        <is>
          <t xml:space="preserve">SAN JOSE </t>
        </is>
      </c>
      <c r="F1048" s="264" t="inlineStr">
        <is>
          <t>CARGUEROS</t>
        </is>
      </c>
      <c r="G1048" s="264" t="n">
        <v>10</v>
      </c>
      <c r="H1048" s="264" t="inlineStr">
        <is>
          <t xml:space="preserve">JOSE SOLER </t>
        </is>
      </c>
      <c r="I1048" s="264" t="inlineStr">
        <is>
          <t>EQY776</t>
        </is>
      </c>
      <c r="J1048" s="265" t="n">
        <v>0.2743055555555556</v>
      </c>
      <c r="K1048" s="266" t="n">
        <v>2667</v>
      </c>
      <c r="L1048" s="308" t="n"/>
      <c r="M1048" s="113" t="n"/>
      <c r="N1048" s="113" t="n"/>
      <c r="O1048" s="113" t="n"/>
      <c r="P1048" s="243" t="n"/>
      <c r="Q1048" s="113" t="n"/>
      <c r="R1048" s="113" t="n"/>
    </row>
    <row r="1049" ht="15.75" customHeight="1">
      <c r="A1049" s="113" t="n"/>
      <c r="B1049" s="146" t="n">
        <v>19</v>
      </c>
      <c r="C1049" s="350" t="n">
        <v>45932</v>
      </c>
      <c r="D1049" s="351" t="n">
        <v>5</v>
      </c>
      <c r="E1049" s="264" t="inlineStr">
        <is>
          <t xml:space="preserve">SAN JOSE </t>
        </is>
      </c>
      <c r="F1049" s="264" t="inlineStr">
        <is>
          <t>CARGUEROS</t>
        </is>
      </c>
      <c r="G1049" s="264" t="n">
        <v>10</v>
      </c>
      <c r="H1049" s="264" t="inlineStr">
        <is>
          <t>MANUEL QUINTIAN</t>
        </is>
      </c>
      <c r="I1049" s="264" t="inlineStr">
        <is>
          <t>KUS176</t>
        </is>
      </c>
      <c r="J1049" s="265" t="n">
        <v>0.3090277777777778</v>
      </c>
      <c r="K1049" s="266" t="n">
        <v>2667</v>
      </c>
      <c r="L1049" s="309" t="n"/>
      <c r="M1049" s="113" t="n"/>
      <c r="N1049" s="113" t="n"/>
      <c r="O1049" s="113" t="n"/>
      <c r="P1049" s="243" t="n"/>
      <c r="Q1049" s="113" t="n"/>
      <c r="R1049" s="113" t="n"/>
    </row>
    <row r="1050" ht="15.75" customHeight="1">
      <c r="A1050" s="113" t="n"/>
      <c r="B1050" s="146" t="n">
        <v>19</v>
      </c>
      <c r="C1050" s="356" t="n">
        <v>45932</v>
      </c>
      <c r="D1050" s="357" t="n">
        <v>6</v>
      </c>
      <c r="E1050" s="271" t="inlineStr">
        <is>
          <t xml:space="preserve">SAN JOSE </t>
        </is>
      </c>
      <c r="F1050" s="271" t="inlineStr">
        <is>
          <t xml:space="preserve">CARGUEROS </t>
        </is>
      </c>
      <c r="G1050" s="271" t="n">
        <v>10</v>
      </c>
      <c r="H1050" s="271" t="inlineStr">
        <is>
          <t xml:space="preserve">ALBERTO LOPEZ </t>
        </is>
      </c>
      <c r="I1050" s="271" t="inlineStr">
        <is>
          <t>TLO884</t>
        </is>
      </c>
      <c r="J1050" s="272" t="n">
        <v>0.3333333333333333</v>
      </c>
      <c r="K1050" s="273" t="n">
        <v>3000</v>
      </c>
      <c r="L1050" s="378">
        <f>SUM(K1045:K1050)</f>
        <v/>
      </c>
      <c r="M1050" s="113" t="n"/>
      <c r="N1050" s="113" t="n"/>
      <c r="O1050" s="113" t="n"/>
      <c r="P1050" s="243" t="n"/>
      <c r="Q1050" s="113" t="n"/>
      <c r="R1050" s="113" t="n"/>
    </row>
    <row r="1051" ht="15.75" customHeight="1">
      <c r="A1051" s="113" t="n"/>
      <c r="B1051" s="146" t="n">
        <v>19</v>
      </c>
      <c r="C1051" s="348" t="n">
        <v>45933</v>
      </c>
      <c r="D1051" s="349" t="n">
        <v>1</v>
      </c>
      <c r="E1051" s="258" t="inlineStr">
        <is>
          <t xml:space="preserve">SAN JOSE </t>
        </is>
      </c>
      <c r="F1051" s="258" t="inlineStr">
        <is>
          <t>CARGUEROS</t>
        </is>
      </c>
      <c r="G1051" s="258" t="n">
        <v>11</v>
      </c>
      <c r="H1051" s="258" t="inlineStr">
        <is>
          <t>EDUAN CAVIEDEZ</t>
        </is>
      </c>
      <c r="I1051" s="258" t="inlineStr">
        <is>
          <t>EQY779</t>
        </is>
      </c>
      <c r="J1051" s="259" t="n">
        <v>0.3020833333333333</v>
      </c>
      <c r="K1051" s="260" t="n">
        <v>2625</v>
      </c>
      <c r="L1051" s="292" t="n"/>
      <c r="M1051" s="113" t="n"/>
      <c r="N1051" s="113" t="n"/>
      <c r="O1051" s="113" t="n"/>
      <c r="P1051" s="243" t="n"/>
      <c r="Q1051" s="113" t="n"/>
      <c r="R1051" s="113" t="n"/>
    </row>
    <row r="1052" ht="15.75" customHeight="1">
      <c r="A1052" s="113" t="n"/>
      <c r="B1052" s="146" t="n">
        <v>19</v>
      </c>
      <c r="C1052" s="350" t="n">
        <v>45933</v>
      </c>
      <c r="D1052" s="351" t="n">
        <v>2</v>
      </c>
      <c r="E1052" s="264" t="inlineStr">
        <is>
          <t xml:space="preserve">SAN JOSE </t>
        </is>
      </c>
      <c r="F1052" s="264" t="inlineStr">
        <is>
          <t>CARGUEROS</t>
        </is>
      </c>
      <c r="G1052" s="264" t="n">
        <v>11</v>
      </c>
      <c r="H1052" s="264" t="inlineStr">
        <is>
          <t>ALBERTO LOPEZ</t>
        </is>
      </c>
      <c r="I1052" s="264" t="inlineStr">
        <is>
          <t>EQY777</t>
        </is>
      </c>
      <c r="J1052" s="265" t="n">
        <v>0.3229166666666667</v>
      </c>
      <c r="K1052" s="266" t="n">
        <v>2625</v>
      </c>
      <c r="L1052" s="308" t="n"/>
      <c r="M1052" s="113" t="n"/>
      <c r="N1052" s="113" t="n"/>
      <c r="O1052" s="113" t="n"/>
      <c r="P1052" s="243" t="n"/>
      <c r="Q1052" s="113" t="n"/>
      <c r="R1052" s="113" t="n"/>
    </row>
    <row r="1053" ht="15.75" customHeight="1">
      <c r="A1053" s="113" t="n"/>
      <c r="B1053" s="146" t="n">
        <v>19</v>
      </c>
      <c r="C1053" s="350" t="n">
        <v>45933</v>
      </c>
      <c r="D1053" s="351" t="n">
        <v>3</v>
      </c>
      <c r="E1053" s="264" t="inlineStr">
        <is>
          <t xml:space="preserve">SAN JOSE </t>
        </is>
      </c>
      <c r="F1053" s="264" t="inlineStr">
        <is>
          <t xml:space="preserve">CARGUEROS </t>
        </is>
      </c>
      <c r="G1053" s="264" t="n">
        <v>11</v>
      </c>
      <c r="H1053" s="264" t="inlineStr">
        <is>
          <t>FABIO ALDANA</t>
        </is>
      </c>
      <c r="I1053" s="264" t="inlineStr">
        <is>
          <t>TLO882</t>
        </is>
      </c>
      <c r="J1053" s="265" t="n">
        <v>0.3784722222222222</v>
      </c>
      <c r="K1053" s="266" t="n">
        <v>2625</v>
      </c>
      <c r="L1053" s="308" t="n"/>
      <c r="M1053" s="113" t="n"/>
      <c r="N1053" s="113" t="n"/>
      <c r="O1053" s="113" t="n"/>
      <c r="P1053" s="243" t="n"/>
      <c r="Q1053" s="113" t="n"/>
      <c r="R1053" s="113" t="n"/>
    </row>
    <row r="1054" ht="15.75" customHeight="1">
      <c r="A1054" s="113" t="n"/>
      <c r="B1054" s="146" t="n">
        <v>19</v>
      </c>
      <c r="C1054" s="350" t="n">
        <v>45933</v>
      </c>
      <c r="D1054" s="351" t="n">
        <v>4</v>
      </c>
      <c r="E1054" s="264" t="inlineStr">
        <is>
          <t xml:space="preserve">SAN JOSE </t>
        </is>
      </c>
      <c r="F1054" s="264" t="inlineStr">
        <is>
          <t xml:space="preserve">CARGUEROS </t>
        </is>
      </c>
      <c r="G1054" s="264" t="n">
        <v>11</v>
      </c>
      <c r="H1054" s="264" t="inlineStr">
        <is>
          <t>JHON ARIAS</t>
        </is>
      </c>
      <c r="I1054" s="264" t="inlineStr">
        <is>
          <t>TLN248</t>
        </is>
      </c>
      <c r="J1054" s="265" t="n">
        <v>0.40625</v>
      </c>
      <c r="K1054" s="266" t="n">
        <v>2625</v>
      </c>
      <c r="L1054" s="308" t="n"/>
      <c r="M1054" s="113" t="n"/>
      <c r="N1054" s="113" t="n"/>
      <c r="O1054" s="113" t="n"/>
      <c r="P1054" s="243" t="n"/>
      <c r="Q1054" s="113" t="n"/>
      <c r="R1054" s="113" t="n"/>
    </row>
    <row r="1055" ht="15.75" customHeight="1">
      <c r="A1055" s="113" t="n"/>
      <c r="B1055" s="146" t="n">
        <v>19</v>
      </c>
      <c r="C1055" s="350" t="n">
        <v>45933</v>
      </c>
      <c r="D1055" s="351" t="n">
        <v>5</v>
      </c>
      <c r="E1055" s="264" t="inlineStr">
        <is>
          <t xml:space="preserve">SAN JOSE </t>
        </is>
      </c>
      <c r="F1055" s="264" t="inlineStr">
        <is>
          <t xml:space="preserve">CARGUEROS </t>
        </is>
      </c>
      <c r="G1055" s="264" t="n">
        <v>11</v>
      </c>
      <c r="H1055" s="264" t="inlineStr">
        <is>
          <t xml:space="preserve">WILMER PIÑEROS </t>
        </is>
      </c>
      <c r="I1055" s="264" t="inlineStr">
        <is>
          <t>KNL076</t>
        </is>
      </c>
      <c r="J1055" s="265" t="n">
        <v>0.4444444444444444</v>
      </c>
      <c r="K1055" s="266" t="n">
        <v>2333</v>
      </c>
      <c r="L1055" s="308" t="n"/>
      <c r="M1055" s="113" t="n"/>
      <c r="N1055" s="113" t="n"/>
      <c r="O1055" s="113" t="n"/>
      <c r="P1055" s="243" t="n"/>
      <c r="Q1055" s="113" t="n"/>
      <c r="R1055" s="113" t="n"/>
    </row>
    <row r="1056" ht="15.75" customHeight="1">
      <c r="A1056" s="113" t="n"/>
      <c r="B1056" s="146" t="n">
        <v>19</v>
      </c>
      <c r="C1056" s="350" t="n">
        <v>45933</v>
      </c>
      <c r="D1056" s="351" t="n">
        <v>6</v>
      </c>
      <c r="E1056" s="264" t="inlineStr">
        <is>
          <t xml:space="preserve">SAN JOSE </t>
        </is>
      </c>
      <c r="F1056" s="264" t="inlineStr">
        <is>
          <t xml:space="preserve">CARGUEROS </t>
        </is>
      </c>
      <c r="G1056" s="264" t="n">
        <v>11</v>
      </c>
      <c r="H1056" s="264" t="inlineStr">
        <is>
          <t xml:space="preserve">JOSE SOLER </t>
        </is>
      </c>
      <c r="I1056" s="264" t="inlineStr">
        <is>
          <t>TLO882</t>
        </is>
      </c>
      <c r="J1056" s="265" t="n">
        <v>0.4965277777777778</v>
      </c>
      <c r="K1056" s="266" t="n">
        <v>2333</v>
      </c>
      <c r="L1056" s="309" t="n"/>
      <c r="M1056" s="113" t="n"/>
      <c r="N1056" s="113" t="n"/>
      <c r="O1056" s="113" t="n"/>
      <c r="P1056" s="243" t="n"/>
      <c r="Q1056" s="113" t="n"/>
      <c r="R1056" s="113" t="n"/>
    </row>
    <row r="1057" ht="15.75" customHeight="1">
      <c r="A1057" s="113" t="n"/>
      <c r="B1057" s="146" t="n">
        <v>19</v>
      </c>
      <c r="C1057" s="356" t="n">
        <v>45933</v>
      </c>
      <c r="D1057" s="357" t="n">
        <v>7</v>
      </c>
      <c r="E1057" s="271" t="inlineStr">
        <is>
          <t xml:space="preserve">SAN JOSE </t>
        </is>
      </c>
      <c r="F1057" s="271" t="inlineStr">
        <is>
          <t xml:space="preserve">CARGUEROS </t>
        </is>
      </c>
      <c r="G1057" s="271" t="n">
        <v>11</v>
      </c>
      <c r="H1057" s="271" t="inlineStr">
        <is>
          <t>DUMAR ANGARITA</t>
        </is>
      </c>
      <c r="I1057" s="271" t="inlineStr">
        <is>
          <t>LQO745</t>
        </is>
      </c>
      <c r="J1057" s="272" t="n">
        <v>0.53125</v>
      </c>
      <c r="K1057" s="273" t="n">
        <v>2333</v>
      </c>
      <c r="L1057" s="378">
        <f>SUM(K1051:K1057)</f>
        <v/>
      </c>
      <c r="M1057" s="113" t="n"/>
      <c r="N1057" s="113" t="n"/>
      <c r="O1057" s="113" t="n"/>
      <c r="P1057" s="113" t="n"/>
      <c r="Q1057" s="113" t="n"/>
      <c r="R1057" s="113" t="n"/>
    </row>
    <row r="1058" ht="15.75" customHeight="1">
      <c r="A1058" s="113" t="n"/>
      <c r="B1058" s="146" t="n">
        <v>19</v>
      </c>
      <c r="C1058" s="348" t="n">
        <v>45934</v>
      </c>
      <c r="D1058" s="349" t="n">
        <v>1</v>
      </c>
      <c r="E1058" s="258" t="inlineStr">
        <is>
          <t xml:space="preserve">SAN JOSE </t>
        </is>
      </c>
      <c r="F1058" s="258" t="inlineStr">
        <is>
          <t>CARGUEROS</t>
        </is>
      </c>
      <c r="G1058" s="258" t="n">
        <v>10</v>
      </c>
      <c r="H1058" s="258" t="inlineStr">
        <is>
          <t>ALEX GOMEZ</t>
        </is>
      </c>
      <c r="I1058" s="258" t="inlineStr">
        <is>
          <t>TLO881</t>
        </is>
      </c>
      <c r="J1058" s="259" t="n">
        <v>0.95</v>
      </c>
      <c r="K1058" s="338" t="n">
        <v>3500</v>
      </c>
      <c r="L1058" s="339" t="n"/>
      <c r="M1058" s="113" t="n"/>
      <c r="N1058" s="113" t="n"/>
      <c r="O1058" s="113" t="n"/>
      <c r="P1058" s="113" t="n"/>
      <c r="Q1058" s="113" t="n"/>
      <c r="R1058" s="113" t="n"/>
    </row>
    <row r="1059" ht="15.75" customHeight="1">
      <c r="A1059" s="113" t="n"/>
      <c r="B1059" s="146" t="n">
        <v>19</v>
      </c>
      <c r="C1059" s="350" t="n">
        <v>45934</v>
      </c>
      <c r="D1059" s="351" t="n">
        <v>2</v>
      </c>
      <c r="E1059" s="264" t="inlineStr">
        <is>
          <t xml:space="preserve">SAN JOSE </t>
        </is>
      </c>
      <c r="F1059" s="264" t="inlineStr">
        <is>
          <t>CARGUEROS</t>
        </is>
      </c>
      <c r="G1059" s="264" t="n">
        <v>10</v>
      </c>
      <c r="H1059" s="264" t="inlineStr">
        <is>
          <t xml:space="preserve">FABIO ALDANA </t>
        </is>
      </c>
      <c r="I1059" s="264" t="inlineStr">
        <is>
          <t>TLO7882</t>
        </is>
      </c>
      <c r="J1059" s="265" t="n">
        <v>0.4861111111111111</v>
      </c>
      <c r="K1059" s="341" t="n">
        <v>3500</v>
      </c>
      <c r="L1059" s="342" t="n"/>
      <c r="M1059" s="113" t="n"/>
      <c r="N1059" s="113" t="n"/>
      <c r="O1059" s="239" t="n"/>
      <c r="P1059" s="239" t="n"/>
      <c r="Q1059" s="240" t="n"/>
      <c r="R1059" s="241" t="n"/>
    </row>
    <row r="1060" ht="15.75" customHeight="1">
      <c r="A1060" s="113" t="n"/>
      <c r="B1060" s="146" t="n">
        <v>19</v>
      </c>
      <c r="C1060" s="350" t="n">
        <v>45934</v>
      </c>
      <c r="D1060" s="351" t="n">
        <v>3</v>
      </c>
      <c r="E1060" s="264" t="inlineStr">
        <is>
          <t xml:space="preserve">SAN JOSE </t>
        </is>
      </c>
      <c r="F1060" s="264" t="inlineStr">
        <is>
          <t>CARGUEROS</t>
        </is>
      </c>
      <c r="G1060" s="264" t="n">
        <v>10</v>
      </c>
      <c r="H1060" s="264" t="inlineStr">
        <is>
          <t>JHON ARIAS</t>
        </is>
      </c>
      <c r="I1060" s="264" t="inlineStr">
        <is>
          <t>TLN248</t>
        </is>
      </c>
      <c r="J1060" s="265" t="n">
        <v>0.02152777777777778</v>
      </c>
      <c r="K1060" s="341" t="n">
        <v>3500</v>
      </c>
      <c r="L1060" s="342" t="n"/>
      <c r="M1060" s="113" t="n"/>
      <c r="N1060" s="113" t="n"/>
      <c r="O1060" s="239" t="n"/>
      <c r="P1060" s="239" t="n"/>
      <c r="Q1060" s="240" t="n"/>
      <c r="R1060" s="241" t="n"/>
    </row>
    <row r="1061" ht="15.75" customHeight="1">
      <c r="A1061" s="113" t="n"/>
      <c r="B1061" s="146" t="n">
        <v>19</v>
      </c>
      <c r="C1061" s="350" t="n">
        <v>45934</v>
      </c>
      <c r="D1061" s="351" t="n">
        <v>4</v>
      </c>
      <c r="E1061" s="264" t="inlineStr">
        <is>
          <t xml:space="preserve">SAN JOSE </t>
        </is>
      </c>
      <c r="F1061" s="264" t="inlineStr">
        <is>
          <t>CARGUEROS</t>
        </is>
      </c>
      <c r="G1061" s="264" t="n">
        <v>10</v>
      </c>
      <c r="H1061" s="264" t="inlineStr">
        <is>
          <t xml:space="preserve">MANUEL QUINTIAN </t>
        </is>
      </c>
      <c r="I1061" s="264" t="inlineStr">
        <is>
          <t>KUS176</t>
        </is>
      </c>
      <c r="J1061" s="265" t="n">
        <v>0.06527777777777778</v>
      </c>
      <c r="K1061" s="341" t="n">
        <v>2567</v>
      </c>
      <c r="L1061" s="342" t="n"/>
      <c r="M1061" s="113" t="n"/>
      <c r="N1061" s="113" t="n"/>
      <c r="O1061" s="239" t="n"/>
      <c r="P1061" s="239" t="n"/>
      <c r="Q1061" s="240" t="n"/>
      <c r="R1061" s="241" t="n"/>
    </row>
    <row r="1062" ht="15.75" customHeight="1">
      <c r="A1062" s="113" t="n"/>
      <c r="B1062" s="146" t="n">
        <v>19</v>
      </c>
      <c r="C1062" s="350" t="n">
        <v>45934</v>
      </c>
      <c r="D1062" s="351" t="n">
        <v>5</v>
      </c>
      <c r="E1062" s="264" t="inlineStr">
        <is>
          <t xml:space="preserve">SAN JOSE </t>
        </is>
      </c>
      <c r="F1062" s="264" t="inlineStr">
        <is>
          <t>CARGUEROS</t>
        </is>
      </c>
      <c r="G1062" s="264" t="n">
        <v>10</v>
      </c>
      <c r="H1062" s="264" t="inlineStr">
        <is>
          <t>ROBINSON PULIDO</t>
        </is>
      </c>
      <c r="I1062" s="264" t="inlineStr">
        <is>
          <t>GZZ673</t>
        </is>
      </c>
      <c r="J1062" s="265" t="n">
        <v>0.09375</v>
      </c>
      <c r="K1062" s="341" t="n">
        <v>2567</v>
      </c>
      <c r="L1062" s="346" t="n"/>
      <c r="M1062" s="113" t="n"/>
      <c r="N1062" s="113" t="n"/>
      <c r="O1062" s="239" t="n"/>
      <c r="P1062" s="239" t="n"/>
      <c r="Q1062" s="240" t="n"/>
      <c r="R1062" s="241" t="n"/>
    </row>
    <row r="1063" ht="15.75" customHeight="1">
      <c r="A1063" s="113" t="n"/>
      <c r="B1063" s="146" t="n">
        <v>19</v>
      </c>
      <c r="C1063" s="356" t="n">
        <v>45934</v>
      </c>
      <c r="D1063" s="357" t="n">
        <v>6</v>
      </c>
      <c r="E1063" s="271" t="inlineStr">
        <is>
          <t xml:space="preserve">SAN JOSE </t>
        </is>
      </c>
      <c r="F1063" s="271" t="inlineStr">
        <is>
          <t>CARGUEROS</t>
        </is>
      </c>
      <c r="G1063" s="271" t="n">
        <v>10</v>
      </c>
      <c r="H1063" s="271" t="inlineStr">
        <is>
          <t>ALEXANDER CHAGUALA</t>
        </is>
      </c>
      <c r="I1063" s="271" t="inlineStr">
        <is>
          <t>TLO884</t>
        </is>
      </c>
      <c r="J1063" s="272" t="n">
        <v>0.1319444444444444</v>
      </c>
      <c r="K1063" s="375" t="n">
        <v>2567</v>
      </c>
      <c r="L1063" s="388">
        <f>SUM(K1058:K1063)</f>
        <v/>
      </c>
      <c r="M1063" s="113" t="n"/>
      <c r="N1063" s="113" t="n"/>
      <c r="O1063" s="113" t="n"/>
      <c r="P1063" s="113" t="n"/>
      <c r="Q1063" s="113" t="n"/>
      <c r="R1063" s="113" t="n"/>
    </row>
    <row r="1064" ht="15.75" customHeight="1">
      <c r="A1064" s="113" t="n"/>
      <c r="B1064" s="146" t="n">
        <v>20</v>
      </c>
      <c r="C1064" s="348" t="n">
        <v>45936</v>
      </c>
      <c r="D1064" s="349" t="n">
        <v>1</v>
      </c>
      <c r="E1064" s="258" t="inlineStr">
        <is>
          <t>HUERTAS</t>
        </is>
      </c>
      <c r="F1064" s="258" t="inlineStr">
        <is>
          <t>CARGUEROS</t>
        </is>
      </c>
      <c r="G1064" s="258" t="n">
        <v>9</v>
      </c>
      <c r="H1064" s="258" t="inlineStr">
        <is>
          <t>JAIRO CUBILLOS</t>
        </is>
      </c>
      <c r="I1064" s="258" t="inlineStr">
        <is>
          <t>TLO884</t>
        </is>
      </c>
      <c r="J1064" s="259" t="n">
        <v>0.01180555555555556</v>
      </c>
      <c r="K1064" s="260" t="n">
        <v>3000</v>
      </c>
      <c r="L1064" s="292" t="n"/>
      <c r="M1064" s="113" t="n"/>
      <c r="N1064" s="113" t="n"/>
      <c r="O1064" s="113" t="n"/>
      <c r="P1064" s="113" t="n"/>
      <c r="Q1064" s="113" t="n"/>
      <c r="R1064" s="113" t="n"/>
    </row>
    <row r="1065" ht="15.75" customHeight="1">
      <c r="A1065" s="113" t="n"/>
      <c r="B1065" s="146" t="n">
        <v>20</v>
      </c>
      <c r="C1065" s="350" t="n">
        <v>45936</v>
      </c>
      <c r="D1065" s="351" t="n">
        <v>2</v>
      </c>
      <c r="E1065" s="264" t="inlineStr">
        <is>
          <t>HUERTAS</t>
        </is>
      </c>
      <c r="F1065" s="264" t="inlineStr">
        <is>
          <t>CARGUEROS</t>
        </is>
      </c>
      <c r="G1065" s="264" t="n">
        <v>9</v>
      </c>
      <c r="H1065" s="264" t="inlineStr">
        <is>
          <t xml:space="preserve">WILMER PIÑEROS </t>
        </is>
      </c>
      <c r="I1065" s="264" t="inlineStr">
        <is>
          <t>KLN076</t>
        </is>
      </c>
      <c r="J1065" s="265" t="n">
        <v>0.04513888888888889</v>
      </c>
      <c r="K1065" s="266" t="n">
        <v>3000</v>
      </c>
      <c r="L1065" s="308" t="n"/>
      <c r="M1065" s="113" t="n"/>
      <c r="N1065" s="113" t="n"/>
      <c r="O1065" s="113" t="n"/>
      <c r="P1065" s="113" t="n"/>
      <c r="Q1065" s="113" t="n"/>
      <c r="R1065" s="113" t="n"/>
    </row>
    <row r="1066" ht="15.75" customHeight="1">
      <c r="A1066" s="113" t="n"/>
      <c r="B1066" s="146" t="n">
        <v>20</v>
      </c>
      <c r="C1066" s="350" t="n">
        <v>45936</v>
      </c>
      <c r="D1066" s="351" t="n">
        <v>3</v>
      </c>
      <c r="E1066" s="264" t="inlineStr">
        <is>
          <t>HUERTAS</t>
        </is>
      </c>
      <c r="F1066" s="264" t="inlineStr">
        <is>
          <t>CARGUEROS</t>
        </is>
      </c>
      <c r="G1066" s="264" t="n">
        <v>9</v>
      </c>
      <c r="H1066" s="264" t="inlineStr">
        <is>
          <t xml:space="preserve">EDUAN CAVIDEZ </t>
        </is>
      </c>
      <c r="I1066" s="264" t="inlineStr">
        <is>
          <t>EQY739</t>
        </is>
      </c>
      <c r="J1066" s="265" t="n">
        <v>0.0763888888888889</v>
      </c>
      <c r="K1066" s="266" t="n">
        <v>3000</v>
      </c>
      <c r="L1066" s="308" t="n"/>
      <c r="M1066" s="113" t="n"/>
      <c r="N1066" s="113" t="n"/>
      <c r="O1066" s="113" t="n"/>
      <c r="P1066" s="113" t="n"/>
      <c r="Q1066" s="113" t="n"/>
      <c r="R1066" s="113" t="n"/>
    </row>
    <row r="1067" ht="15.75" customHeight="1">
      <c r="A1067" s="113" t="n"/>
      <c r="B1067" s="146" t="n">
        <v>20</v>
      </c>
      <c r="C1067" s="350" t="n">
        <v>45936</v>
      </c>
      <c r="D1067" s="351" t="n">
        <v>4</v>
      </c>
      <c r="E1067" s="264" t="inlineStr">
        <is>
          <t>HUERTAS</t>
        </is>
      </c>
      <c r="F1067" s="264" t="inlineStr">
        <is>
          <t>CARGUEROS</t>
        </is>
      </c>
      <c r="G1067" s="264" t="n">
        <v>9</v>
      </c>
      <c r="H1067" s="264" t="inlineStr">
        <is>
          <t>DUMAR ANGARITA</t>
        </is>
      </c>
      <c r="I1067" s="264" t="inlineStr">
        <is>
          <t>LQO745</t>
        </is>
      </c>
      <c r="J1067" s="265" t="n">
        <v>0.1111111111111111</v>
      </c>
      <c r="K1067" s="266" t="n">
        <v>3000</v>
      </c>
      <c r="L1067" s="308" t="n"/>
      <c r="M1067" s="113" t="n"/>
      <c r="N1067" s="113" t="n"/>
      <c r="O1067" s="113" t="n"/>
      <c r="P1067" s="113" t="n"/>
      <c r="Q1067" s="113" t="n"/>
      <c r="R1067" s="113" t="n"/>
    </row>
    <row r="1068" ht="15.75" customHeight="1">
      <c r="A1068" s="113" t="n"/>
      <c r="B1068" s="146" t="n">
        <v>20</v>
      </c>
      <c r="C1068" s="350" t="n">
        <v>45936</v>
      </c>
      <c r="D1068" s="351" t="n">
        <v>5</v>
      </c>
      <c r="E1068" s="264" t="inlineStr">
        <is>
          <t xml:space="preserve">SAN JOSE </t>
        </is>
      </c>
      <c r="F1068" s="264" t="inlineStr">
        <is>
          <t>CARGUEROS</t>
        </is>
      </c>
      <c r="G1068" s="264" t="n">
        <v>9</v>
      </c>
      <c r="H1068" s="264" t="inlineStr">
        <is>
          <t>JAIRO CUBILLOS</t>
        </is>
      </c>
      <c r="I1068" s="264" t="inlineStr">
        <is>
          <t>TLO884</t>
        </is>
      </c>
      <c r="J1068" s="265" t="n">
        <v>0.4409722222222222</v>
      </c>
      <c r="K1068" s="266" t="n">
        <v>3305</v>
      </c>
      <c r="L1068" s="308" t="n"/>
      <c r="M1068" s="113" t="n"/>
      <c r="N1068" s="113" t="n"/>
      <c r="O1068" s="113" t="n"/>
      <c r="P1068" s="113" t="n"/>
      <c r="Q1068" s="113" t="n"/>
      <c r="R1068" s="113" t="n"/>
    </row>
    <row r="1069" ht="15.75" customHeight="1">
      <c r="A1069" s="113" t="n"/>
      <c r="B1069" s="146" t="n">
        <v>20</v>
      </c>
      <c r="C1069" s="350" t="n">
        <v>45936</v>
      </c>
      <c r="D1069" s="351" t="n">
        <v>6</v>
      </c>
      <c r="E1069" s="264" t="inlineStr">
        <is>
          <t xml:space="preserve">SAN JOSE </t>
        </is>
      </c>
      <c r="F1069" s="264" t="inlineStr">
        <is>
          <t>CARGUEROS</t>
        </is>
      </c>
      <c r="G1069" s="264" t="n">
        <v>9</v>
      </c>
      <c r="H1069" s="264" t="inlineStr">
        <is>
          <t xml:space="preserve">WILMER PIÑEROS </t>
        </is>
      </c>
      <c r="I1069" s="264" t="inlineStr">
        <is>
          <t>KNL076</t>
        </is>
      </c>
      <c r="J1069" s="265" t="n">
        <v>0.4722222222222222</v>
      </c>
      <c r="K1069" s="266" t="n">
        <v>3305</v>
      </c>
      <c r="L1069" s="309" t="n"/>
      <c r="M1069" s="113" t="n"/>
      <c r="N1069" s="113" t="n"/>
      <c r="O1069" s="113" t="n"/>
      <c r="P1069" s="113" t="n"/>
      <c r="Q1069" s="113" t="n"/>
      <c r="R1069" s="113" t="n"/>
    </row>
    <row r="1070" ht="15.75" customHeight="1">
      <c r="A1070" s="113" t="n"/>
      <c r="B1070" s="146" t="n">
        <v>20</v>
      </c>
      <c r="C1070" s="356" t="n">
        <v>45936</v>
      </c>
      <c r="D1070" s="357" t="n">
        <v>7</v>
      </c>
      <c r="E1070" s="271" t="inlineStr">
        <is>
          <t xml:space="preserve">SAN JOSE </t>
        </is>
      </c>
      <c r="F1070" s="271" t="inlineStr">
        <is>
          <t>CARGUEROS</t>
        </is>
      </c>
      <c r="G1070" s="271" t="n">
        <v>9</v>
      </c>
      <c r="H1070" s="271" t="inlineStr">
        <is>
          <t>EDUAN CAVIDEZ</t>
        </is>
      </c>
      <c r="I1070" s="271" t="inlineStr">
        <is>
          <t>EQY779</t>
        </is>
      </c>
      <c r="J1070" s="272" t="n">
        <v>0.5138888888888888</v>
      </c>
      <c r="K1070" s="273" t="n">
        <v>3240</v>
      </c>
      <c r="L1070" s="378">
        <f>SUM(K1064:K1070)</f>
        <v/>
      </c>
      <c r="M1070" s="113" t="n"/>
      <c r="N1070" s="113" t="n"/>
      <c r="O1070" s="113" t="n"/>
      <c r="P1070" s="113" t="n"/>
      <c r="Q1070" s="113" t="n"/>
      <c r="R1070" s="113" t="n"/>
    </row>
    <row r="1071" ht="15.75" customHeight="1">
      <c r="A1071" s="113" t="n"/>
      <c r="B1071" s="146" t="n">
        <v>20</v>
      </c>
      <c r="C1071" s="348" t="n">
        <v>45937</v>
      </c>
      <c r="D1071" s="349" t="n">
        <v>1</v>
      </c>
      <c r="E1071" s="258" t="inlineStr">
        <is>
          <t>HUERTAS</t>
        </is>
      </c>
      <c r="F1071" s="258" t="inlineStr">
        <is>
          <t>CARGUEROS</t>
        </is>
      </c>
      <c r="G1071" s="258" t="n">
        <v>11</v>
      </c>
      <c r="H1071" s="258" t="inlineStr">
        <is>
          <t>ALEXANDER CHAGUALA</t>
        </is>
      </c>
      <c r="I1071" s="258" t="inlineStr">
        <is>
          <t>EQY778</t>
        </is>
      </c>
      <c r="J1071" s="259" t="n">
        <v>0.9680555555555556</v>
      </c>
      <c r="K1071" s="260" t="n">
        <v>3240</v>
      </c>
      <c r="L1071" s="292" t="n"/>
      <c r="M1071" s="113" t="n"/>
      <c r="N1071" s="113" t="n"/>
      <c r="O1071" s="113" t="n"/>
      <c r="P1071" s="113" t="n"/>
      <c r="Q1071" s="113" t="n"/>
      <c r="R1071" s="113" t="n"/>
    </row>
    <row r="1072" ht="15.75" customHeight="1">
      <c r="A1072" s="113" t="n"/>
      <c r="B1072" s="146" t="n">
        <v>20</v>
      </c>
      <c r="C1072" s="350" t="n">
        <v>45937</v>
      </c>
      <c r="D1072" s="351" t="n">
        <v>2</v>
      </c>
      <c r="E1072" s="264" t="inlineStr">
        <is>
          <t>HUERTAS</t>
        </is>
      </c>
      <c r="F1072" s="264" t="inlineStr">
        <is>
          <t>CARGUEROS</t>
        </is>
      </c>
      <c r="G1072" s="264" t="n">
        <v>11</v>
      </c>
      <c r="H1072" s="264" t="inlineStr">
        <is>
          <t>FABIO ALDANA</t>
        </is>
      </c>
      <c r="I1072" s="264" t="inlineStr">
        <is>
          <t>TLO882</t>
        </is>
      </c>
      <c r="J1072" s="265" t="n">
        <v>0.9965277777777778</v>
      </c>
      <c r="K1072" s="266" t="n">
        <v>3240</v>
      </c>
      <c r="L1072" s="308" t="n"/>
      <c r="M1072" s="113" t="n"/>
      <c r="N1072" s="113" t="n"/>
      <c r="O1072" s="113" t="n"/>
      <c r="P1072" s="113" t="n"/>
      <c r="Q1072" s="113" t="n"/>
      <c r="R1072" s="113" t="n"/>
    </row>
    <row r="1073" ht="15.75" customHeight="1">
      <c r="A1073" s="113" t="n"/>
      <c r="B1073" s="146" t="n">
        <v>20</v>
      </c>
      <c r="C1073" s="350" t="n">
        <v>45937</v>
      </c>
      <c r="D1073" s="351" t="n">
        <v>3</v>
      </c>
      <c r="E1073" s="264" t="inlineStr">
        <is>
          <t>HUERTAS</t>
        </is>
      </c>
      <c r="F1073" s="264" t="inlineStr">
        <is>
          <t>CARGUEROS</t>
        </is>
      </c>
      <c r="G1073" s="264" t="n">
        <v>11</v>
      </c>
      <c r="H1073" s="264" t="inlineStr">
        <is>
          <t>ALEX GOMEZ</t>
        </is>
      </c>
      <c r="I1073" s="264" t="inlineStr">
        <is>
          <t>TLO881</t>
        </is>
      </c>
      <c r="J1073" s="265" t="n">
        <v>0.03819444444444445</v>
      </c>
      <c r="K1073" s="266" t="n">
        <v>3240</v>
      </c>
      <c r="L1073" s="308" t="n"/>
      <c r="M1073" s="113" t="n"/>
      <c r="N1073" s="113" t="n"/>
      <c r="O1073" s="113" t="n"/>
      <c r="P1073" s="243" t="n"/>
      <c r="Q1073" s="113" t="n"/>
      <c r="R1073" s="113" t="n"/>
    </row>
    <row r="1074" ht="15.75" customHeight="1">
      <c r="A1074" s="113" t="n"/>
      <c r="B1074" s="146" t="n">
        <v>20</v>
      </c>
      <c r="C1074" s="350" t="n">
        <v>45937</v>
      </c>
      <c r="D1074" s="351" t="n">
        <v>4</v>
      </c>
      <c r="E1074" s="264" t="inlineStr">
        <is>
          <t>HUERTAS</t>
        </is>
      </c>
      <c r="F1074" s="264" t="inlineStr">
        <is>
          <t>CARGUEROS</t>
        </is>
      </c>
      <c r="G1074" s="264" t="n">
        <v>11</v>
      </c>
      <c r="H1074" s="264" t="inlineStr">
        <is>
          <t xml:space="preserve">JAIR RIVEROS </t>
        </is>
      </c>
      <c r="I1074" s="264" t="inlineStr">
        <is>
          <t>TLN181</t>
        </is>
      </c>
      <c r="J1074" s="265" t="n">
        <v>0.0763888888888889</v>
      </c>
      <c r="K1074" s="266" t="n">
        <v>2880</v>
      </c>
      <c r="L1074" s="308" t="n"/>
      <c r="M1074" s="113" t="n"/>
      <c r="N1074" s="113" t="n"/>
      <c r="O1074" s="113" t="n"/>
      <c r="P1074" s="243" t="n"/>
      <c r="Q1074" s="113" t="n"/>
      <c r="R1074" s="113" t="n"/>
    </row>
    <row r="1075" ht="15.75" customHeight="1">
      <c r="A1075" s="113" t="n"/>
      <c r="B1075" s="146" t="n">
        <v>20</v>
      </c>
      <c r="C1075" s="350" t="n">
        <v>45937</v>
      </c>
      <c r="D1075" s="351" t="n">
        <v>5</v>
      </c>
      <c r="E1075" s="264" t="inlineStr">
        <is>
          <t>HUERTAS</t>
        </is>
      </c>
      <c r="F1075" s="264" t="inlineStr">
        <is>
          <t>CARGUEROS</t>
        </is>
      </c>
      <c r="G1075" s="264" t="n">
        <v>11</v>
      </c>
      <c r="H1075" s="264" t="inlineStr">
        <is>
          <t>JOSE HERRERA</t>
        </is>
      </c>
      <c r="I1075" s="264" t="inlineStr">
        <is>
          <t>KUS176</t>
        </is>
      </c>
      <c r="J1075" s="265" t="n">
        <v>0.1145833333333333</v>
      </c>
      <c r="K1075" s="266" t="n">
        <v>2916</v>
      </c>
      <c r="L1075" s="308" t="n"/>
      <c r="M1075" s="113" t="n"/>
      <c r="N1075" s="113" t="n"/>
      <c r="O1075" s="113" t="n"/>
      <c r="P1075" s="243" t="n"/>
      <c r="Q1075" s="113" t="n"/>
      <c r="R1075" s="113" t="n"/>
    </row>
    <row r="1076" ht="15.75" customHeight="1">
      <c r="A1076" s="113" t="n"/>
      <c r="B1076" s="146" t="n">
        <v>20</v>
      </c>
      <c r="C1076" s="350" t="n">
        <v>45937</v>
      </c>
      <c r="D1076" s="351" t="n">
        <v>6</v>
      </c>
      <c r="E1076" s="264" t="inlineStr">
        <is>
          <t>HUERTAS</t>
        </is>
      </c>
      <c r="F1076" s="264" t="inlineStr">
        <is>
          <t>CARGUEROS</t>
        </is>
      </c>
      <c r="G1076" s="264" t="n">
        <v>11</v>
      </c>
      <c r="H1076" s="264" t="inlineStr">
        <is>
          <t>ROBINSON PULIDO</t>
        </is>
      </c>
      <c r="I1076" s="264" t="inlineStr">
        <is>
          <t>GZZ673</t>
        </is>
      </c>
      <c r="J1076" s="265" t="n">
        <v>0.1597222222222222</v>
      </c>
      <c r="K1076" s="266" t="n">
        <v>3240</v>
      </c>
      <c r="L1076" s="308" t="n"/>
      <c r="M1076" s="113" t="n"/>
      <c r="N1076" s="113" t="n"/>
      <c r="O1076" s="113" t="n"/>
      <c r="P1076" s="243" t="n"/>
      <c r="Q1076" s="113" t="n"/>
      <c r="R1076" s="113" t="n"/>
    </row>
    <row r="1077" ht="15.75" customHeight="1">
      <c r="A1077" s="113" t="n"/>
      <c r="B1077" s="146" t="n">
        <v>20</v>
      </c>
      <c r="C1077" s="350" t="n">
        <v>45937</v>
      </c>
      <c r="D1077" s="351" t="n">
        <v>7</v>
      </c>
      <c r="E1077" s="264" t="inlineStr">
        <is>
          <t>HUERTAS</t>
        </is>
      </c>
      <c r="F1077" s="264" t="inlineStr">
        <is>
          <t>CARGUEROS</t>
        </is>
      </c>
      <c r="G1077" s="264" t="n">
        <v>11</v>
      </c>
      <c r="H1077" s="264" t="inlineStr">
        <is>
          <t>HENRY ROMERO</t>
        </is>
      </c>
      <c r="I1077" s="264" t="inlineStr">
        <is>
          <t>EQY781</t>
        </is>
      </c>
      <c r="J1077" s="265" t="n">
        <v>0.1979166666666667</v>
      </c>
      <c r="K1077" s="266" t="n">
        <v>3240</v>
      </c>
      <c r="L1077" s="308" t="n"/>
      <c r="M1077" s="113" t="n"/>
      <c r="N1077" s="113" t="n"/>
      <c r="O1077" s="113" t="n"/>
      <c r="P1077" s="243" t="n"/>
      <c r="Q1077" s="113" t="n"/>
      <c r="R1077" s="113" t="n"/>
    </row>
    <row r="1078" ht="15.75" customHeight="1">
      <c r="A1078" s="113" t="n"/>
      <c r="B1078" s="146" t="n">
        <v>20</v>
      </c>
      <c r="C1078" s="350" t="n">
        <v>45937</v>
      </c>
      <c r="D1078" s="351" t="n">
        <v>8</v>
      </c>
      <c r="E1078" s="264" t="inlineStr">
        <is>
          <t xml:space="preserve">SAN JOSE </t>
        </is>
      </c>
      <c r="F1078" s="264" t="inlineStr">
        <is>
          <t>ABONEROS</t>
        </is>
      </c>
      <c r="G1078" s="264" t="n">
        <v>10</v>
      </c>
      <c r="H1078" s="264" t="inlineStr">
        <is>
          <t>FABIO ALDANA</t>
        </is>
      </c>
      <c r="I1078" s="264" t="inlineStr">
        <is>
          <t>TLO882</t>
        </is>
      </c>
      <c r="J1078" s="265" t="n">
        <v>0.2493055555555556</v>
      </c>
      <c r="K1078" s="266" t="n">
        <v>3100</v>
      </c>
      <c r="L1078" s="308" t="n"/>
      <c r="M1078" s="113" t="n"/>
      <c r="N1078" s="113" t="n"/>
      <c r="O1078" s="113" t="n"/>
      <c r="P1078" s="243" t="n"/>
      <c r="Q1078" s="113" t="n"/>
      <c r="R1078" s="113" t="n"/>
    </row>
    <row r="1079" ht="15.75" customHeight="1">
      <c r="A1079" s="113" t="n"/>
      <c r="B1079" s="146" t="n">
        <v>20</v>
      </c>
      <c r="C1079" s="350" t="n">
        <v>45937</v>
      </c>
      <c r="D1079" s="351" t="n">
        <v>9</v>
      </c>
      <c r="E1079" s="264" t="inlineStr">
        <is>
          <t xml:space="preserve">SAN JOSE </t>
        </is>
      </c>
      <c r="F1079" s="264" t="inlineStr">
        <is>
          <t>ABONEROS</t>
        </is>
      </c>
      <c r="G1079" s="264" t="n">
        <v>10</v>
      </c>
      <c r="H1079" s="264" t="inlineStr">
        <is>
          <t>ALEX GOMEZ</t>
        </is>
      </c>
      <c r="I1079" s="264" t="inlineStr">
        <is>
          <t>TLO881</t>
        </is>
      </c>
      <c r="J1079" s="265" t="n">
        <v>0.3118055555555556</v>
      </c>
      <c r="K1079" s="266" t="n">
        <v>3250</v>
      </c>
      <c r="L1079" s="308" t="n"/>
      <c r="M1079" s="113" t="n"/>
      <c r="N1079" s="113" t="n"/>
      <c r="O1079" s="113" t="n"/>
      <c r="P1079" s="243" t="n"/>
      <c r="Q1079" s="113" t="n"/>
      <c r="R1079" s="113" t="n"/>
    </row>
    <row r="1080" ht="15.75" customHeight="1">
      <c r="A1080" s="113" t="n"/>
      <c r="B1080" s="146" t="n">
        <v>20</v>
      </c>
      <c r="C1080" s="350" t="n">
        <v>45937</v>
      </c>
      <c r="D1080" s="351" t="n">
        <v>10</v>
      </c>
      <c r="E1080" s="264" t="inlineStr">
        <is>
          <t xml:space="preserve">SAN JOSE </t>
        </is>
      </c>
      <c r="F1080" s="264" t="inlineStr">
        <is>
          <t>ABONEROS</t>
        </is>
      </c>
      <c r="G1080" s="264" t="n">
        <v>10</v>
      </c>
      <c r="H1080" s="264" t="inlineStr">
        <is>
          <t>YAIR RIVEROS</t>
        </is>
      </c>
      <c r="I1080" s="264" t="inlineStr">
        <is>
          <t>TLN181</t>
        </is>
      </c>
      <c r="J1080" s="265" t="n">
        <v>0.3493055555555555</v>
      </c>
      <c r="K1080" s="266" t="n">
        <v>3250</v>
      </c>
      <c r="L1080" s="308" t="n"/>
      <c r="M1080" s="113" t="n"/>
      <c r="N1080" s="113" t="n"/>
      <c r="O1080" s="113" t="n"/>
      <c r="P1080" s="243" t="n"/>
      <c r="Q1080" s="113" t="n"/>
      <c r="R1080" s="113" t="n"/>
    </row>
    <row r="1081" ht="15.75" customHeight="1">
      <c r="A1081" s="113" t="n"/>
      <c r="B1081" s="146" t="n">
        <v>20</v>
      </c>
      <c r="C1081" s="350" t="n">
        <v>45937</v>
      </c>
      <c r="D1081" s="351" t="n">
        <v>11</v>
      </c>
      <c r="E1081" s="264" t="inlineStr">
        <is>
          <t xml:space="preserve">SAN JOSE </t>
        </is>
      </c>
      <c r="F1081" s="264" t="inlineStr">
        <is>
          <t>ABONEROS</t>
        </is>
      </c>
      <c r="G1081" s="264" t="n">
        <v>10</v>
      </c>
      <c r="H1081" s="264" t="inlineStr">
        <is>
          <t xml:space="preserve">JOSE HERRERA </t>
        </is>
      </c>
      <c r="I1081" s="264" t="inlineStr">
        <is>
          <t>KUS176</t>
        </is>
      </c>
      <c r="J1081" s="265" t="n">
        <v>0.3854166666666667</v>
      </c>
      <c r="K1081" s="266" t="n">
        <v>2875</v>
      </c>
      <c r="L1081" s="308" t="n"/>
      <c r="M1081" s="113" t="n"/>
      <c r="N1081" s="113" t="n"/>
      <c r="O1081" s="113" t="n"/>
      <c r="P1081" s="243" t="n"/>
      <c r="Q1081" s="113" t="n"/>
      <c r="R1081" s="113" t="n"/>
    </row>
    <row r="1082" ht="15.75" customHeight="1">
      <c r="A1082" s="113" t="n"/>
      <c r="B1082" s="146" t="n">
        <v>20</v>
      </c>
      <c r="C1082" s="350" t="n">
        <v>45937</v>
      </c>
      <c r="D1082" s="351" t="n">
        <v>12</v>
      </c>
      <c r="E1082" s="264" t="inlineStr">
        <is>
          <t xml:space="preserve">SAN JOSE </t>
        </is>
      </c>
      <c r="F1082" s="264" t="inlineStr">
        <is>
          <t>ABONEROS</t>
        </is>
      </c>
      <c r="G1082" s="264" t="n">
        <v>10</v>
      </c>
      <c r="H1082" s="264" t="inlineStr">
        <is>
          <t>ROBINSON PULIDO</t>
        </is>
      </c>
      <c r="I1082" s="264" t="inlineStr">
        <is>
          <t>GZZ673</t>
        </is>
      </c>
      <c r="J1082" s="265" t="n">
        <v>0.4159722222222222</v>
      </c>
      <c r="K1082" s="266" t="n">
        <v>2520</v>
      </c>
      <c r="L1082" s="308" t="n"/>
      <c r="M1082" s="113" t="n"/>
      <c r="N1082" s="113" t="n"/>
      <c r="O1082" s="113" t="n"/>
      <c r="P1082" s="243" t="n"/>
      <c r="Q1082" s="113" t="n"/>
      <c r="R1082" s="113" t="n"/>
    </row>
    <row r="1083" ht="15.75" customHeight="1">
      <c r="A1083" s="113" t="n"/>
      <c r="B1083" s="146" t="n">
        <v>20</v>
      </c>
      <c r="C1083" s="350" t="n">
        <v>45937</v>
      </c>
      <c r="D1083" s="351" t="n">
        <v>13</v>
      </c>
      <c r="E1083" s="264" t="inlineStr">
        <is>
          <t xml:space="preserve">SAN JOSE </t>
        </is>
      </c>
      <c r="F1083" s="264" t="inlineStr">
        <is>
          <t>ABONEROS</t>
        </is>
      </c>
      <c r="G1083" s="264" t="n">
        <v>10</v>
      </c>
      <c r="H1083" s="264" t="inlineStr">
        <is>
          <t>JAIRO CUBILLOS</t>
        </is>
      </c>
      <c r="I1083" s="264" t="inlineStr">
        <is>
          <t>TLO884</t>
        </is>
      </c>
      <c r="J1083" s="265" t="n">
        <v>0.4520833333333333</v>
      </c>
      <c r="K1083" s="266" t="n">
        <v>2500</v>
      </c>
      <c r="L1083" s="309" t="n"/>
      <c r="M1083" s="113" t="n"/>
      <c r="N1083" s="113" t="n"/>
      <c r="O1083" s="113" t="n"/>
      <c r="P1083" s="243" t="n"/>
      <c r="Q1083" s="113" t="n"/>
      <c r="R1083" s="113" t="n"/>
    </row>
    <row r="1084" ht="15.75" customHeight="1">
      <c r="A1084" s="113" t="n"/>
      <c r="B1084" s="146" t="n">
        <v>20</v>
      </c>
      <c r="C1084" s="356" t="n">
        <v>45937</v>
      </c>
      <c r="D1084" s="357" t="n">
        <v>14</v>
      </c>
      <c r="E1084" s="271" t="inlineStr">
        <is>
          <t xml:space="preserve">SAN JOSE </t>
        </is>
      </c>
      <c r="F1084" s="271" t="inlineStr">
        <is>
          <t>ABONEROS</t>
        </is>
      </c>
      <c r="G1084" s="271" t="n">
        <v>10</v>
      </c>
      <c r="H1084" s="271" t="inlineStr">
        <is>
          <t xml:space="preserve">HENRY ROMERO </t>
        </is>
      </c>
      <c r="I1084" s="271" t="inlineStr">
        <is>
          <t>EQY781</t>
        </is>
      </c>
      <c r="J1084" s="272" t="n">
        <v>0.5256944444444445</v>
      </c>
      <c r="K1084" s="273" t="n">
        <v>2748</v>
      </c>
      <c r="L1084" s="378">
        <f>SUM(K1071:K1084)</f>
        <v/>
      </c>
      <c r="M1084" s="113" t="n"/>
      <c r="N1084" s="113" t="n"/>
      <c r="O1084" s="113" t="n"/>
      <c r="P1084" s="243" t="n"/>
      <c r="Q1084" s="113" t="n"/>
      <c r="R1084" s="113" t="n"/>
    </row>
    <row r="1085" ht="15.75" customHeight="1">
      <c r="A1085" s="113" t="n"/>
      <c r="B1085" s="146" t="n">
        <v>20</v>
      </c>
      <c r="C1085" s="348" t="n">
        <v>45938</v>
      </c>
      <c r="D1085" s="349" t="n">
        <v>1</v>
      </c>
      <c r="E1085" s="258" t="inlineStr">
        <is>
          <t>HUERTAS</t>
        </is>
      </c>
      <c r="F1085" s="258" t="inlineStr">
        <is>
          <t>CARGUEROS</t>
        </is>
      </c>
      <c r="G1085" s="258" t="n">
        <v>11</v>
      </c>
      <c r="H1085" s="258" t="inlineStr">
        <is>
          <t xml:space="preserve">EDUAN CAVIDEZ </t>
        </is>
      </c>
      <c r="I1085" s="258" t="inlineStr">
        <is>
          <t>EQY779</t>
        </is>
      </c>
      <c r="J1085" s="259" t="n">
        <v>0.90625</v>
      </c>
      <c r="K1085" s="260" t="n">
        <v>3300</v>
      </c>
      <c r="L1085" s="292" t="n"/>
      <c r="M1085" s="113" t="n"/>
      <c r="N1085" s="113" t="n"/>
      <c r="O1085" s="113" t="n"/>
      <c r="P1085" s="243" t="n"/>
      <c r="Q1085" s="113" t="n"/>
      <c r="R1085" s="113" t="n"/>
    </row>
    <row r="1086" ht="15.75" customHeight="1">
      <c r="A1086" s="113" t="n"/>
      <c r="B1086" s="146" t="n">
        <v>20</v>
      </c>
      <c r="C1086" s="350" t="n">
        <v>45938</v>
      </c>
      <c r="D1086" s="351" t="n">
        <v>2</v>
      </c>
      <c r="E1086" s="264" t="inlineStr">
        <is>
          <t>HUERTAS</t>
        </is>
      </c>
      <c r="F1086" s="264" t="inlineStr">
        <is>
          <t>CARGUEROS</t>
        </is>
      </c>
      <c r="G1086" s="264" t="n">
        <v>11</v>
      </c>
      <c r="H1086" s="264" t="inlineStr">
        <is>
          <t>ALBERTO LOPEZ</t>
        </is>
      </c>
      <c r="I1086" s="264" t="inlineStr">
        <is>
          <t>EQY777</t>
        </is>
      </c>
      <c r="J1086" s="265" t="n">
        <v>0.9375</v>
      </c>
      <c r="K1086" s="266" t="n">
        <v>3300</v>
      </c>
      <c r="L1086" s="308" t="n"/>
      <c r="M1086" s="113" t="n"/>
      <c r="N1086" s="113" t="n"/>
      <c r="O1086" s="113" t="n"/>
      <c r="P1086" s="243" t="n"/>
      <c r="Q1086" s="113" t="n"/>
      <c r="R1086" s="113" t="n"/>
    </row>
    <row r="1087" ht="15.75" customHeight="1">
      <c r="A1087" s="113" t="n"/>
      <c r="B1087" s="146" t="n">
        <v>20</v>
      </c>
      <c r="C1087" s="350" t="n">
        <v>45938</v>
      </c>
      <c r="D1087" s="351" t="n">
        <v>3</v>
      </c>
      <c r="E1087" s="264" t="inlineStr">
        <is>
          <t>HUERTAS</t>
        </is>
      </c>
      <c r="F1087" s="264" t="inlineStr">
        <is>
          <t>CARGUEROS</t>
        </is>
      </c>
      <c r="G1087" s="264" t="n">
        <v>11</v>
      </c>
      <c r="H1087" s="264" t="inlineStr">
        <is>
          <t xml:space="preserve">WILMER PIÑEROS </t>
        </is>
      </c>
      <c r="I1087" s="264" t="inlineStr">
        <is>
          <t>KLN076</t>
        </is>
      </c>
      <c r="J1087" s="265" t="n">
        <v>0.9680555555555556</v>
      </c>
      <c r="K1087" s="266" t="n">
        <v>2836</v>
      </c>
      <c r="L1087" s="308" t="n"/>
      <c r="M1087" s="113" t="n"/>
      <c r="N1087" s="113" t="n"/>
      <c r="O1087" s="113" t="n"/>
      <c r="P1087" s="243" t="n"/>
      <c r="Q1087" s="113" t="n"/>
      <c r="R1087" s="113" t="n"/>
    </row>
    <row r="1088" ht="15.75" customHeight="1">
      <c r="A1088" s="113" t="n"/>
      <c r="B1088" s="146" t="n">
        <v>20</v>
      </c>
      <c r="C1088" s="350" t="n">
        <v>45938</v>
      </c>
      <c r="D1088" s="351" t="n">
        <v>4</v>
      </c>
      <c r="E1088" s="264" t="inlineStr">
        <is>
          <t>HUERTAS</t>
        </is>
      </c>
      <c r="F1088" s="264" t="inlineStr">
        <is>
          <t>CARGUEROS</t>
        </is>
      </c>
      <c r="G1088" s="264" t="n">
        <v>11</v>
      </c>
      <c r="H1088" s="264" t="inlineStr">
        <is>
          <t>JAIRO CUBILLOS</t>
        </is>
      </c>
      <c r="I1088" s="264" t="inlineStr">
        <is>
          <t>TLO884</t>
        </is>
      </c>
      <c r="J1088" s="265" t="n">
        <v>0.9965277777777778</v>
      </c>
      <c r="K1088" s="266" t="n">
        <v>2826</v>
      </c>
      <c r="L1088" s="308" t="n"/>
      <c r="M1088" s="113" t="n"/>
      <c r="N1088" s="113" t="n"/>
      <c r="O1088" s="113" t="n"/>
      <c r="P1088" s="243" t="n"/>
      <c r="Q1088" s="113" t="n"/>
      <c r="R1088" s="113" t="n"/>
    </row>
    <row r="1089" ht="15.75" customHeight="1">
      <c r="A1089" s="113" t="n"/>
      <c r="B1089" s="146" t="n">
        <v>20</v>
      </c>
      <c r="C1089" s="350" t="n">
        <v>45938</v>
      </c>
      <c r="D1089" s="351" t="n">
        <v>5</v>
      </c>
      <c r="E1089" s="264" t="inlineStr">
        <is>
          <t>HUERTAS</t>
        </is>
      </c>
      <c r="F1089" s="264" t="inlineStr">
        <is>
          <t>CARGUEROS</t>
        </is>
      </c>
      <c r="G1089" s="264" t="n">
        <v>11</v>
      </c>
      <c r="H1089" s="264" t="inlineStr">
        <is>
          <t xml:space="preserve">EDWIN ROJAS </t>
        </is>
      </c>
      <c r="I1089" s="264" t="inlineStr">
        <is>
          <t>EQY780</t>
        </is>
      </c>
      <c r="J1089" s="265" t="n">
        <v>0.5208333333333334</v>
      </c>
      <c r="K1089" s="266" t="n">
        <v>2826</v>
      </c>
      <c r="L1089" s="308" t="n"/>
      <c r="M1089" s="113" t="n"/>
      <c r="N1089" s="113" t="n"/>
      <c r="O1089" s="113" t="n"/>
      <c r="P1089" s="243" t="n"/>
      <c r="Q1089" s="113" t="n"/>
      <c r="R1089" s="113" t="n"/>
    </row>
    <row r="1090" ht="15.75" customHeight="1">
      <c r="A1090" s="113" t="n"/>
      <c r="B1090" s="146" t="n">
        <v>20</v>
      </c>
      <c r="C1090" s="350" t="n">
        <v>45938</v>
      </c>
      <c r="D1090" s="351" t="n">
        <v>6</v>
      </c>
      <c r="E1090" s="264" t="inlineStr">
        <is>
          <t>HUERTAS</t>
        </is>
      </c>
      <c r="F1090" s="264" t="inlineStr">
        <is>
          <t>CARGUEROS</t>
        </is>
      </c>
      <c r="G1090" s="264" t="n">
        <v>11</v>
      </c>
      <c r="H1090" s="264" t="inlineStr">
        <is>
          <t xml:space="preserve">DUMAR ANGARITA </t>
        </is>
      </c>
      <c r="I1090" s="264" t="inlineStr">
        <is>
          <t>LQO745</t>
        </is>
      </c>
      <c r="J1090" s="265" t="n">
        <v>0.05208333333333334</v>
      </c>
      <c r="K1090" s="266" t="n">
        <v>2628</v>
      </c>
      <c r="L1090" s="308" t="n"/>
      <c r="M1090" s="113" t="n"/>
      <c r="N1090" s="113" t="n"/>
      <c r="O1090" s="113" t="n"/>
      <c r="P1090" s="243" t="n"/>
      <c r="Q1090" s="113" t="n"/>
      <c r="R1090" s="113" t="n"/>
    </row>
    <row r="1091" ht="15.75" customHeight="1">
      <c r="A1091" s="113" t="n"/>
      <c r="B1091" s="146" t="n">
        <v>20</v>
      </c>
      <c r="C1091" s="350" t="n">
        <v>45938</v>
      </c>
      <c r="D1091" s="351" t="n">
        <v>7</v>
      </c>
      <c r="E1091" s="264" t="inlineStr">
        <is>
          <t>HUERTAS</t>
        </is>
      </c>
      <c r="F1091" s="264" t="inlineStr">
        <is>
          <t>CARGUEROS</t>
        </is>
      </c>
      <c r="G1091" s="264" t="n">
        <v>11</v>
      </c>
      <c r="H1091" s="264" t="inlineStr">
        <is>
          <t xml:space="preserve">JOSE SOLER </t>
        </is>
      </c>
      <c r="I1091" s="264" t="inlineStr">
        <is>
          <t>EQY776</t>
        </is>
      </c>
      <c r="J1091" s="265" t="n">
        <v>0.09027777777777778</v>
      </c>
      <c r="K1091" s="266" t="n">
        <v>3240</v>
      </c>
      <c r="L1091" s="308" t="n"/>
      <c r="M1091" s="113" t="n"/>
      <c r="N1091" s="113" t="n"/>
      <c r="O1091" s="113" t="n"/>
      <c r="P1091" s="243" t="n"/>
      <c r="Q1091" s="113" t="n"/>
      <c r="R1091" s="113" t="n"/>
    </row>
    <row r="1092" ht="15.75" customHeight="1">
      <c r="A1092" s="113" t="n"/>
      <c r="B1092" s="146" t="n">
        <v>20</v>
      </c>
      <c r="C1092" s="350" t="n">
        <v>45938</v>
      </c>
      <c r="D1092" s="351" t="n">
        <v>8</v>
      </c>
      <c r="E1092" s="264" t="inlineStr">
        <is>
          <t>HUERTAS</t>
        </is>
      </c>
      <c r="F1092" s="264" t="inlineStr">
        <is>
          <t>CARGUEROS</t>
        </is>
      </c>
      <c r="G1092" s="264" t="n">
        <v>11</v>
      </c>
      <c r="H1092" s="264" t="inlineStr">
        <is>
          <t xml:space="preserve">FABIO ALDANA </t>
        </is>
      </c>
      <c r="I1092" s="264" t="inlineStr">
        <is>
          <t>TLO882</t>
        </is>
      </c>
      <c r="J1092" s="265" t="n">
        <v>0.125</v>
      </c>
      <c r="K1092" s="266" t="n">
        <v>3240</v>
      </c>
      <c r="L1092" s="308" t="n"/>
      <c r="M1092" s="113" t="n"/>
      <c r="N1092" s="113" t="n"/>
      <c r="O1092" s="113" t="n"/>
      <c r="P1092" s="243" t="n"/>
      <c r="Q1092" s="113" t="n"/>
      <c r="R1092" s="113" t="n"/>
    </row>
    <row r="1093" ht="15.75" customHeight="1">
      <c r="A1093" s="113" t="n"/>
      <c r="B1093" s="146" t="n">
        <v>20</v>
      </c>
      <c r="C1093" s="350" t="n">
        <v>45938</v>
      </c>
      <c r="D1093" s="351" t="n">
        <v>9</v>
      </c>
      <c r="E1093" s="264" t="inlineStr">
        <is>
          <t>HUERTAS</t>
        </is>
      </c>
      <c r="F1093" s="264" t="inlineStr">
        <is>
          <t>CARGUEROS</t>
        </is>
      </c>
      <c r="G1093" s="264" t="n">
        <v>11</v>
      </c>
      <c r="H1093" s="264" t="inlineStr">
        <is>
          <t>JOSE HERRERA</t>
        </is>
      </c>
      <c r="I1093" s="264" t="inlineStr">
        <is>
          <t>KUS176</t>
        </is>
      </c>
      <c r="J1093" s="265" t="n">
        <v>0.1597222222222222</v>
      </c>
      <c r="K1093" s="266" t="n">
        <v>2916</v>
      </c>
      <c r="L1093" s="308" t="n"/>
      <c r="M1093" s="113" t="n"/>
      <c r="N1093" s="113" t="n"/>
      <c r="O1093" s="113" t="n"/>
      <c r="P1093" s="243" t="n"/>
      <c r="Q1093" s="113" t="n"/>
      <c r="R1093" s="113" t="n"/>
    </row>
    <row r="1094" ht="15.75" customHeight="1">
      <c r="A1094" s="113" t="n"/>
      <c r="B1094" s="146" t="n">
        <v>20</v>
      </c>
      <c r="C1094" s="350" t="n">
        <v>45938</v>
      </c>
      <c r="D1094" s="351" t="n">
        <v>10</v>
      </c>
      <c r="E1094" s="264" t="inlineStr">
        <is>
          <t xml:space="preserve">SAN JOSE </t>
        </is>
      </c>
      <c r="F1094" s="264" t="inlineStr">
        <is>
          <t>ABONEROS</t>
        </is>
      </c>
      <c r="G1094" s="264" t="n">
        <v>10</v>
      </c>
      <c r="H1094" s="264" t="inlineStr">
        <is>
          <t>ALBERTO LOPEZ</t>
        </is>
      </c>
      <c r="I1094" s="264" t="inlineStr">
        <is>
          <t>EQY777</t>
        </is>
      </c>
      <c r="J1094" s="265" t="n">
        <v>0.25</v>
      </c>
      <c r="K1094" s="266" t="n">
        <v>3006</v>
      </c>
      <c r="L1094" s="308" t="n"/>
      <c r="M1094" s="113" t="n"/>
      <c r="N1094" s="113" t="n"/>
      <c r="O1094" s="113" t="n"/>
      <c r="P1094" s="243" t="n"/>
      <c r="Q1094" s="113" t="n"/>
      <c r="R1094" s="113" t="n"/>
    </row>
    <row r="1095" ht="15.75" customHeight="1">
      <c r="A1095" s="113" t="n"/>
      <c r="B1095" s="146" t="n">
        <v>20</v>
      </c>
      <c r="C1095" s="350" t="n">
        <v>45938</v>
      </c>
      <c r="D1095" s="351" t="n">
        <v>11</v>
      </c>
      <c r="E1095" s="264" t="inlineStr">
        <is>
          <t xml:space="preserve">SAN JOSE </t>
        </is>
      </c>
      <c r="F1095" s="264" t="inlineStr">
        <is>
          <t>ABONEROS</t>
        </is>
      </c>
      <c r="G1095" s="264" t="n">
        <v>10</v>
      </c>
      <c r="H1095" s="264" t="inlineStr">
        <is>
          <t>JAIRO CUBILLOS</t>
        </is>
      </c>
      <c r="I1095" s="264" t="inlineStr">
        <is>
          <t>TLO884</t>
        </is>
      </c>
      <c r="J1095" s="265" t="n">
        <v>0.2840277777777778</v>
      </c>
      <c r="K1095" s="266" t="n">
        <v>3006</v>
      </c>
      <c r="L1095" s="308" t="n"/>
      <c r="M1095" s="113" t="n"/>
      <c r="N1095" s="113" t="n"/>
      <c r="O1095" s="113" t="n"/>
      <c r="P1095" s="243" t="n"/>
      <c r="Q1095" s="113" t="n"/>
      <c r="R1095" s="113" t="n"/>
    </row>
    <row r="1096" ht="15.75" customHeight="1">
      <c r="A1096" s="113" t="n"/>
      <c r="B1096" s="146" t="n">
        <v>20</v>
      </c>
      <c r="C1096" s="350" t="n">
        <v>45938</v>
      </c>
      <c r="D1096" s="351" t="n">
        <v>12</v>
      </c>
      <c r="E1096" s="264" t="inlineStr">
        <is>
          <t xml:space="preserve">SAN JOSE </t>
        </is>
      </c>
      <c r="F1096" s="264" t="inlineStr">
        <is>
          <t>ABONEROS</t>
        </is>
      </c>
      <c r="G1096" s="264" t="n">
        <v>10</v>
      </c>
      <c r="H1096" s="264" t="inlineStr">
        <is>
          <t xml:space="preserve">DUMAR ANGARITA </t>
        </is>
      </c>
      <c r="I1096" s="264" t="inlineStr">
        <is>
          <t>LQO745</t>
        </is>
      </c>
      <c r="J1096" s="265" t="n">
        <v>0.3166666666666667</v>
      </c>
      <c r="K1096" s="266" t="n">
        <v>3006</v>
      </c>
      <c r="L1096" s="308" t="n"/>
      <c r="M1096" s="113" t="n"/>
      <c r="N1096" s="113" t="n"/>
      <c r="O1096" s="113" t="n"/>
      <c r="P1096" s="243" t="n"/>
      <c r="Q1096" s="113" t="n"/>
      <c r="R1096" s="113" t="n"/>
    </row>
    <row r="1097" ht="15.75" customHeight="1">
      <c r="A1097" s="113" t="n"/>
      <c r="B1097" s="146" t="n">
        <v>20</v>
      </c>
      <c r="C1097" s="350" t="n">
        <v>45938</v>
      </c>
      <c r="D1097" s="351" t="n">
        <v>13</v>
      </c>
      <c r="E1097" s="264" t="inlineStr">
        <is>
          <t xml:space="preserve">SAN JOSE </t>
        </is>
      </c>
      <c r="F1097" s="264" t="inlineStr">
        <is>
          <t>ABONEROS</t>
        </is>
      </c>
      <c r="G1097" s="264" t="n">
        <v>10</v>
      </c>
      <c r="H1097" s="264" t="inlineStr">
        <is>
          <t xml:space="preserve">JHON ARIAS </t>
        </is>
      </c>
      <c r="I1097" s="264" t="inlineStr">
        <is>
          <t>TLN248</t>
        </is>
      </c>
      <c r="J1097" s="265" t="n">
        <v>0.3576388888888889</v>
      </c>
      <c r="K1097" s="266" t="n">
        <v>3093</v>
      </c>
      <c r="L1097" s="308" t="n"/>
      <c r="M1097" s="113" t="n"/>
      <c r="N1097" s="113" t="n"/>
      <c r="O1097" s="113" t="n"/>
      <c r="P1097" s="243" t="n"/>
      <c r="Q1097" s="113" t="n"/>
      <c r="R1097" s="113" t="n"/>
    </row>
    <row r="1098" ht="15.75" customHeight="1">
      <c r="A1098" s="113" t="n"/>
      <c r="B1098" s="146" t="n">
        <v>20</v>
      </c>
      <c r="C1098" s="350" t="n">
        <v>45938</v>
      </c>
      <c r="D1098" s="351" t="n">
        <v>14</v>
      </c>
      <c r="E1098" s="264" t="inlineStr">
        <is>
          <t xml:space="preserve">SAN JOSE </t>
        </is>
      </c>
      <c r="F1098" s="264" t="inlineStr">
        <is>
          <t>ABONEROS</t>
        </is>
      </c>
      <c r="G1098" s="264" t="n">
        <v>10</v>
      </c>
      <c r="H1098" s="264" t="inlineStr">
        <is>
          <t>ALEX CHAGUALA</t>
        </is>
      </c>
      <c r="I1098" s="264" t="inlineStr">
        <is>
          <t>EQY778</t>
        </is>
      </c>
      <c r="J1098" s="265" t="n">
        <v>0.3916666666666667</v>
      </c>
      <c r="K1098" s="266" t="n">
        <v>3093</v>
      </c>
      <c r="L1098" s="309" t="n"/>
      <c r="M1098" s="113" t="n"/>
      <c r="N1098" s="113" t="n"/>
      <c r="O1098" s="113" t="n"/>
      <c r="P1098" s="243" t="n"/>
      <c r="Q1098" s="113" t="n"/>
      <c r="R1098" s="113" t="n"/>
    </row>
    <row r="1099" ht="15.75" customHeight="1">
      <c r="A1099" s="113" t="n"/>
      <c r="B1099" s="146" t="n">
        <v>20</v>
      </c>
      <c r="C1099" s="356" t="n">
        <v>45938</v>
      </c>
      <c r="D1099" s="357" t="n">
        <v>15</v>
      </c>
      <c r="E1099" s="271" t="inlineStr">
        <is>
          <t xml:space="preserve">SAN JOSE </t>
        </is>
      </c>
      <c r="F1099" s="271" t="inlineStr">
        <is>
          <t>ABONEROS</t>
        </is>
      </c>
      <c r="G1099" s="271" t="n">
        <v>10</v>
      </c>
      <c r="H1099" s="271" t="inlineStr">
        <is>
          <t xml:space="preserve">HENRY ROMERO </t>
        </is>
      </c>
      <c r="I1099" s="271" t="inlineStr">
        <is>
          <t>EQY781</t>
        </is>
      </c>
      <c r="J1099" s="272" t="n">
        <v>0.4548611111111111</v>
      </c>
      <c r="K1099" s="273" t="n">
        <v>3093</v>
      </c>
      <c r="L1099" s="378">
        <f>SUM(K1085:K1099)</f>
        <v/>
      </c>
      <c r="M1099" s="113" t="n"/>
      <c r="N1099" s="113" t="n"/>
      <c r="O1099" s="113" t="n"/>
      <c r="P1099" s="243" t="n"/>
      <c r="Q1099" s="113" t="n"/>
      <c r="R1099" s="113" t="n"/>
    </row>
    <row r="1100" ht="15.75" customHeight="1">
      <c r="A1100" s="113" t="n"/>
      <c r="B1100" s="146" t="n">
        <v>20</v>
      </c>
      <c r="C1100" s="348" t="n">
        <v>45939</v>
      </c>
      <c r="D1100" s="349" t="n">
        <v>1</v>
      </c>
      <c r="E1100" s="258" t="inlineStr">
        <is>
          <t>HUERTAS</t>
        </is>
      </c>
      <c r="F1100" s="258" t="inlineStr">
        <is>
          <t>ABONEROS</t>
        </is>
      </c>
      <c r="G1100" s="258" t="n">
        <v>10</v>
      </c>
      <c r="H1100" s="258" t="inlineStr">
        <is>
          <t xml:space="preserve">HENRY ROMERO </t>
        </is>
      </c>
      <c r="I1100" s="258" t="inlineStr">
        <is>
          <t>EQY781</t>
        </is>
      </c>
      <c r="J1100" s="259" t="n">
        <v>0.9368055555555556</v>
      </c>
      <c r="K1100" s="260" t="n">
        <v>3240</v>
      </c>
      <c r="L1100" s="292" t="n"/>
      <c r="M1100" s="113" t="n"/>
      <c r="N1100" s="113" t="n"/>
      <c r="O1100" s="113" t="n"/>
      <c r="P1100" s="243" t="n"/>
      <c r="Q1100" s="113" t="n"/>
      <c r="R1100" s="113" t="n"/>
    </row>
    <row r="1101" ht="15.75" customHeight="1">
      <c r="A1101" s="113" t="n"/>
      <c r="B1101" s="146" t="n">
        <v>20</v>
      </c>
      <c r="C1101" s="350" t="n">
        <v>37538</v>
      </c>
      <c r="D1101" s="351" t="n">
        <v>2</v>
      </c>
      <c r="E1101" s="264" t="inlineStr">
        <is>
          <t>HUERTAS</t>
        </is>
      </c>
      <c r="F1101" s="264" t="inlineStr">
        <is>
          <t>ABONEROS</t>
        </is>
      </c>
      <c r="G1101" s="264" t="n">
        <v>10</v>
      </c>
      <c r="H1101" s="264" t="inlineStr">
        <is>
          <t>ROBINSON PULIDO</t>
        </is>
      </c>
      <c r="I1101" s="264" t="inlineStr">
        <is>
          <t>GZZ673</t>
        </is>
      </c>
      <c r="J1101" s="265" t="n">
        <v>0.9722222222222222</v>
      </c>
      <c r="K1101" s="266" t="n">
        <v>3240</v>
      </c>
      <c r="L1101" s="308" t="n"/>
      <c r="M1101" s="113" t="n"/>
      <c r="N1101" s="113" t="n"/>
      <c r="O1101" s="113" t="n"/>
      <c r="P1101" s="243" t="n"/>
      <c r="Q1101" s="113" t="n"/>
      <c r="R1101" s="113" t="n"/>
    </row>
    <row r="1102" ht="15.75" customHeight="1">
      <c r="A1102" s="113" t="n"/>
      <c r="B1102" s="146" t="n">
        <v>20</v>
      </c>
      <c r="C1102" s="350" t="n">
        <v>45939</v>
      </c>
      <c r="D1102" s="351" t="n">
        <v>3</v>
      </c>
      <c r="E1102" s="264" t="inlineStr">
        <is>
          <t>HUERTAS</t>
        </is>
      </c>
      <c r="F1102" s="264" t="inlineStr">
        <is>
          <t>ABONEROS</t>
        </is>
      </c>
      <c r="G1102" s="264" t="n">
        <v>10</v>
      </c>
      <c r="H1102" s="264" t="inlineStr">
        <is>
          <t>JAIRO CUBILLOS</t>
        </is>
      </c>
      <c r="I1102" s="264" t="inlineStr">
        <is>
          <t>TLO884</t>
        </is>
      </c>
      <c r="J1102" s="265" t="n">
        <v>0.009722222222222222</v>
      </c>
      <c r="K1102" s="266" t="n">
        <v>3240</v>
      </c>
      <c r="L1102" s="308" t="n"/>
      <c r="M1102" s="113" t="n"/>
      <c r="N1102" s="113" t="n"/>
      <c r="O1102" s="113" t="n"/>
      <c r="P1102" s="243" t="n"/>
      <c r="Q1102" s="113" t="n"/>
      <c r="R1102" s="113" t="n"/>
    </row>
    <row r="1103" ht="15.75" customHeight="1">
      <c r="A1103" s="113" t="n"/>
      <c r="B1103" s="146" t="n">
        <v>20</v>
      </c>
      <c r="C1103" s="350" t="n">
        <v>45939</v>
      </c>
      <c r="D1103" s="351" t="n">
        <v>4</v>
      </c>
      <c r="E1103" s="264" t="inlineStr">
        <is>
          <t>HUERTAS</t>
        </is>
      </c>
      <c r="F1103" s="264" t="inlineStr">
        <is>
          <t>ABONEROS</t>
        </is>
      </c>
      <c r="G1103" s="264" t="n">
        <v>10</v>
      </c>
      <c r="H1103" s="264" t="inlineStr">
        <is>
          <t>ALEX CHAGUALA</t>
        </is>
      </c>
      <c r="I1103" s="264" t="inlineStr">
        <is>
          <t>EQY778</t>
        </is>
      </c>
      <c r="J1103" s="265" t="n">
        <v>0.04305555555555556</v>
      </c>
      <c r="K1103" s="266" t="n">
        <v>3240</v>
      </c>
      <c r="L1103" s="308" t="n"/>
      <c r="M1103" s="113" t="n"/>
      <c r="N1103" s="113" t="n"/>
      <c r="O1103" s="113" t="n"/>
      <c r="P1103" s="243" t="n"/>
      <c r="Q1103" s="113" t="n"/>
      <c r="R1103" s="113" t="n"/>
    </row>
    <row r="1104" ht="15.75" customHeight="1">
      <c r="A1104" s="113" t="n"/>
      <c r="B1104" s="146" t="n">
        <v>20</v>
      </c>
      <c r="C1104" s="350" t="n">
        <v>45939</v>
      </c>
      <c r="D1104" s="351" t="n">
        <v>5</v>
      </c>
      <c r="E1104" s="264" t="inlineStr">
        <is>
          <t>HUERTAS</t>
        </is>
      </c>
      <c r="F1104" s="264" t="inlineStr">
        <is>
          <t>ABONEROS</t>
        </is>
      </c>
      <c r="G1104" s="264" t="n">
        <v>10</v>
      </c>
      <c r="H1104" s="264" t="inlineStr">
        <is>
          <t>ALEX GOMEZ</t>
        </is>
      </c>
      <c r="I1104" s="264" t="inlineStr">
        <is>
          <t>TLO881</t>
        </is>
      </c>
      <c r="J1104" s="265" t="n">
        <v>0.07847222222222222</v>
      </c>
      <c r="K1104" s="266" t="n">
        <v>2979</v>
      </c>
      <c r="L1104" s="308" t="n"/>
      <c r="M1104" s="113" t="n"/>
      <c r="N1104" s="113" t="n"/>
      <c r="O1104" s="113" t="n"/>
      <c r="P1104" s="243" t="n"/>
      <c r="Q1104" s="113" t="n"/>
      <c r="R1104" s="113" t="n"/>
    </row>
    <row r="1105" ht="15.75" customHeight="1">
      <c r="A1105" s="113" t="n"/>
      <c r="B1105" s="146" t="n">
        <v>20</v>
      </c>
      <c r="C1105" s="350" t="n">
        <v>45939</v>
      </c>
      <c r="D1105" s="351" t="n">
        <v>6</v>
      </c>
      <c r="E1105" s="264" t="inlineStr">
        <is>
          <t>HUERTAS</t>
        </is>
      </c>
      <c r="F1105" s="264" t="inlineStr">
        <is>
          <t>ABONEROS</t>
        </is>
      </c>
      <c r="G1105" s="264" t="n">
        <v>10</v>
      </c>
      <c r="H1105" s="264" t="inlineStr">
        <is>
          <t xml:space="preserve">YAIR RIVEROS </t>
        </is>
      </c>
      <c r="I1105" s="264" t="inlineStr">
        <is>
          <t>TLN181</t>
        </is>
      </c>
      <c r="J1105" s="265" t="n">
        <v>0.1222222222222222</v>
      </c>
      <c r="K1105" s="266" t="n">
        <v>2880</v>
      </c>
      <c r="L1105" s="308" t="n"/>
      <c r="M1105" s="113" t="n"/>
      <c r="N1105" s="113" t="n"/>
      <c r="O1105" s="113" t="n"/>
      <c r="P1105" s="243" t="n"/>
      <c r="Q1105" s="113" t="n"/>
      <c r="R1105" s="113" t="n"/>
    </row>
    <row r="1106" ht="15.75" customHeight="1">
      <c r="A1106" s="113" t="n"/>
      <c r="B1106" s="146" t="n">
        <v>20</v>
      </c>
      <c r="C1106" s="350" t="n">
        <v>45939</v>
      </c>
      <c r="D1106" s="351" t="n">
        <v>7</v>
      </c>
      <c r="E1106" s="264" t="inlineStr">
        <is>
          <t xml:space="preserve">SAN JOSE </t>
        </is>
      </c>
      <c r="F1106" s="264" t="inlineStr">
        <is>
          <t>CARGUEROS</t>
        </is>
      </c>
      <c r="G1106" s="264" t="n">
        <v>11</v>
      </c>
      <c r="H1106" s="264" t="inlineStr">
        <is>
          <t xml:space="preserve">HENRY ROMERO </t>
        </is>
      </c>
      <c r="I1106" s="264" t="inlineStr">
        <is>
          <t>EQY781</t>
        </is>
      </c>
      <c r="J1106" s="265" t="n">
        <v>0.1458333333333333</v>
      </c>
      <c r="K1106" s="266" t="n">
        <v>2664</v>
      </c>
      <c r="L1106" s="308" t="n"/>
      <c r="M1106" s="113" t="n"/>
      <c r="N1106" s="113" t="n"/>
      <c r="O1106" s="113" t="n"/>
      <c r="P1106" s="243" t="n"/>
      <c r="Q1106" s="113" t="n"/>
      <c r="R1106" s="113" t="n"/>
    </row>
    <row r="1107" ht="15.75" customHeight="1">
      <c r="A1107" s="113" t="n"/>
      <c r="B1107" s="146" t="n">
        <v>20</v>
      </c>
      <c r="C1107" s="350" t="n">
        <v>45939</v>
      </c>
      <c r="D1107" s="351" t="n">
        <v>8</v>
      </c>
      <c r="E1107" s="264" t="inlineStr">
        <is>
          <t xml:space="preserve">SAN JOSE </t>
        </is>
      </c>
      <c r="F1107" s="264" t="inlineStr">
        <is>
          <t>CARGUEROS</t>
        </is>
      </c>
      <c r="G1107" s="264" t="n">
        <v>11</v>
      </c>
      <c r="H1107" s="264" t="inlineStr">
        <is>
          <t xml:space="preserve">JOSE HERRERA </t>
        </is>
      </c>
      <c r="I1107" s="264" t="inlineStr">
        <is>
          <t>KUS176</t>
        </is>
      </c>
      <c r="J1107" s="265" t="n">
        <v>0.1215277777777778</v>
      </c>
      <c r="K1107" s="266" t="n">
        <v>2664</v>
      </c>
      <c r="L1107" s="308" t="n"/>
      <c r="M1107" s="113" t="n"/>
      <c r="N1107" s="113" t="n"/>
      <c r="O1107" s="113" t="n"/>
      <c r="P1107" s="243" t="n"/>
      <c r="Q1107" s="113" t="n"/>
      <c r="R1107" s="113" t="n"/>
    </row>
    <row r="1108" ht="15.75" customHeight="1">
      <c r="A1108" s="113" t="n"/>
      <c r="B1108" s="146" t="n">
        <v>20</v>
      </c>
      <c r="C1108" s="350" t="n">
        <v>45939</v>
      </c>
      <c r="D1108" s="351" t="n">
        <v>9</v>
      </c>
      <c r="E1108" s="264" t="inlineStr">
        <is>
          <t xml:space="preserve">SAN JOSE </t>
        </is>
      </c>
      <c r="F1108" s="264" t="inlineStr">
        <is>
          <t>CARGUEROS</t>
        </is>
      </c>
      <c r="G1108" s="264" t="n">
        <v>11</v>
      </c>
      <c r="H1108" s="264" t="inlineStr">
        <is>
          <t xml:space="preserve">JAIR RIVEROS </t>
        </is>
      </c>
      <c r="I1108" s="264" t="inlineStr">
        <is>
          <t>TLN181</t>
        </is>
      </c>
      <c r="J1108" s="265" t="n">
        <v>0.3125</v>
      </c>
      <c r="K1108" s="266" t="n">
        <v>2763</v>
      </c>
      <c r="L1108" s="308" t="n"/>
      <c r="M1108" s="113" t="n"/>
      <c r="N1108" s="113" t="n"/>
      <c r="O1108" s="113" t="n"/>
      <c r="P1108" s="243" t="n"/>
      <c r="Q1108" s="113" t="n"/>
      <c r="R1108" s="113" t="n"/>
    </row>
    <row r="1109" ht="15.75" customHeight="1">
      <c r="A1109" s="113" t="n"/>
      <c r="B1109" s="146" t="n">
        <v>20</v>
      </c>
      <c r="C1109" s="350" t="n">
        <v>45939</v>
      </c>
      <c r="D1109" s="351" t="n">
        <v>10</v>
      </c>
      <c r="E1109" s="264" t="inlineStr">
        <is>
          <t xml:space="preserve">SAN JOSE </t>
        </is>
      </c>
      <c r="F1109" s="264" t="inlineStr">
        <is>
          <t>CARGUEROS</t>
        </is>
      </c>
      <c r="G1109" s="264" t="n">
        <v>11</v>
      </c>
      <c r="H1109" s="264" t="inlineStr">
        <is>
          <t>ROBINSON PULIDO</t>
        </is>
      </c>
      <c r="I1109" s="264" t="inlineStr">
        <is>
          <t>GZZ673</t>
        </is>
      </c>
      <c r="J1109" s="265" t="n">
        <v>0.25</v>
      </c>
      <c r="K1109" s="266" t="n">
        <v>2664</v>
      </c>
      <c r="L1109" s="308" t="n"/>
      <c r="M1109" s="113" t="n"/>
      <c r="N1109" s="113" t="n"/>
      <c r="O1109" s="113" t="n"/>
      <c r="P1109" s="243" t="n"/>
      <c r="Q1109" s="113" t="n"/>
      <c r="R1109" s="113" t="n"/>
    </row>
    <row r="1110" ht="15.75" customHeight="1">
      <c r="A1110" s="113" t="n"/>
      <c r="B1110" s="146" t="n">
        <v>20</v>
      </c>
      <c r="C1110" s="350" t="n">
        <v>45939</v>
      </c>
      <c r="D1110" s="351" t="n">
        <v>11</v>
      </c>
      <c r="E1110" s="264" t="inlineStr">
        <is>
          <t xml:space="preserve">SAN JOSE </t>
        </is>
      </c>
      <c r="F1110" s="264" t="inlineStr">
        <is>
          <t>CARGUEROS</t>
        </is>
      </c>
      <c r="G1110" s="264" t="n">
        <v>11</v>
      </c>
      <c r="H1110" s="264" t="inlineStr">
        <is>
          <t>ALBERTO LOPEZ</t>
        </is>
      </c>
      <c r="I1110" s="264" t="inlineStr">
        <is>
          <t>KUS176</t>
        </is>
      </c>
      <c r="J1110" s="265" t="n">
        <v>0.3680555555555556</v>
      </c>
      <c r="K1110" s="266" t="n">
        <v>2763</v>
      </c>
      <c r="L1110" s="308" t="n"/>
      <c r="M1110" s="113" t="n"/>
      <c r="N1110" s="113" t="n"/>
      <c r="O1110" s="113" t="n"/>
      <c r="P1110" s="243" t="n"/>
      <c r="Q1110" s="113" t="n"/>
      <c r="R1110" s="113" t="n"/>
    </row>
    <row r="1111" ht="15.75" customHeight="1">
      <c r="A1111" s="113" t="n"/>
      <c r="B1111" s="146" t="n">
        <v>20</v>
      </c>
      <c r="C1111" s="350" t="n">
        <v>45939</v>
      </c>
      <c r="D1111" s="351" t="n">
        <v>12</v>
      </c>
      <c r="E1111" s="264" t="inlineStr">
        <is>
          <t xml:space="preserve">SAN JOSE </t>
        </is>
      </c>
      <c r="F1111" s="264" t="inlineStr">
        <is>
          <t>CARGUEROS</t>
        </is>
      </c>
      <c r="G1111" s="264" t="n">
        <v>11</v>
      </c>
      <c r="H1111" s="264" t="inlineStr">
        <is>
          <t>JAIRO CUBILLOS</t>
        </is>
      </c>
      <c r="I1111" s="264" t="inlineStr">
        <is>
          <t>TLO884</t>
        </is>
      </c>
      <c r="J1111" s="265" t="n">
        <v>0.2847222222222222</v>
      </c>
      <c r="K1111" s="266" t="n">
        <v>2763</v>
      </c>
      <c r="L1111" s="308" t="n"/>
      <c r="M1111" s="113" t="n"/>
      <c r="N1111" s="113" t="n"/>
      <c r="O1111" s="113" t="n"/>
      <c r="P1111" s="243" t="n"/>
      <c r="Q1111" s="113" t="n"/>
      <c r="R1111" s="113" t="n"/>
    </row>
    <row r="1112" ht="15.75" customHeight="1">
      <c r="A1112" s="113" t="n"/>
      <c r="B1112" s="146" t="n">
        <v>20</v>
      </c>
      <c r="C1112" s="350" t="n">
        <v>45939</v>
      </c>
      <c r="D1112" s="351" t="n">
        <v>13</v>
      </c>
      <c r="E1112" s="264" t="inlineStr">
        <is>
          <t xml:space="preserve">SAN JOSE </t>
        </is>
      </c>
      <c r="F1112" s="264" t="inlineStr">
        <is>
          <t>CARGUEROS</t>
        </is>
      </c>
      <c r="G1112" s="264" t="n">
        <v>11</v>
      </c>
      <c r="H1112" s="264" t="inlineStr">
        <is>
          <t>EDUAN CAVIDEZ</t>
        </is>
      </c>
      <c r="I1112" s="264" t="inlineStr">
        <is>
          <t>EQY781</t>
        </is>
      </c>
      <c r="J1112" s="265" t="n">
        <v>0.4097222222222222</v>
      </c>
      <c r="K1112" s="266" t="n">
        <v>3617</v>
      </c>
      <c r="L1112" s="308" t="n"/>
      <c r="M1112" s="113" t="n"/>
      <c r="N1112" s="113" t="n"/>
      <c r="O1112" s="113" t="n"/>
      <c r="P1112" s="243" t="n"/>
      <c r="Q1112" s="113" t="n"/>
      <c r="R1112" s="113" t="n"/>
    </row>
    <row r="1113" ht="15.75" customHeight="1">
      <c r="A1113" s="113" t="n"/>
      <c r="B1113" s="146" t="n">
        <v>20</v>
      </c>
      <c r="C1113" s="350" t="n">
        <v>45939</v>
      </c>
      <c r="D1113" s="351" t="n">
        <v>14</v>
      </c>
      <c r="E1113" s="264" t="inlineStr">
        <is>
          <t xml:space="preserve">SAN JOSE </t>
        </is>
      </c>
      <c r="F1113" s="264" t="inlineStr">
        <is>
          <t>CARGUEROS</t>
        </is>
      </c>
      <c r="G1113" s="264" t="n">
        <v>11</v>
      </c>
      <c r="H1113" s="264" t="inlineStr">
        <is>
          <t xml:space="preserve">JOSE SOLER </t>
        </is>
      </c>
      <c r="I1113" s="264" t="inlineStr">
        <is>
          <t>GZZ673</t>
        </is>
      </c>
      <c r="J1113" s="265" t="n">
        <v>0.4444444444444444</v>
      </c>
      <c r="K1113" s="266" t="n">
        <v>2663</v>
      </c>
      <c r="L1113" s="308" t="n"/>
      <c r="M1113" s="113" t="n"/>
      <c r="N1113" s="113" t="n"/>
      <c r="O1113" s="113" t="n"/>
      <c r="P1113" s="243" t="n"/>
      <c r="Q1113" s="113" t="n"/>
      <c r="R1113" s="113" t="n"/>
    </row>
    <row r="1114" ht="15.75" customHeight="1">
      <c r="A1114" s="113" t="n"/>
      <c r="B1114" s="146" t="n">
        <v>20</v>
      </c>
      <c r="C1114" s="350" t="n">
        <v>45939</v>
      </c>
      <c r="D1114" s="351" t="n">
        <v>15</v>
      </c>
      <c r="E1114" s="264" t="inlineStr">
        <is>
          <t xml:space="preserve">SAN JOSE </t>
        </is>
      </c>
      <c r="F1114" s="264" t="inlineStr">
        <is>
          <t>CARGUEROS</t>
        </is>
      </c>
      <c r="G1114" s="264" t="n">
        <v>11</v>
      </c>
      <c r="H1114" s="264" t="inlineStr">
        <is>
          <t xml:space="preserve">EDWIN ROJAS </t>
        </is>
      </c>
      <c r="I1114" s="264" t="inlineStr">
        <is>
          <t>EQY780</t>
        </is>
      </c>
      <c r="J1114" s="265" t="n">
        <v>0.4861111111111111</v>
      </c>
      <c r="K1114" s="266" t="n">
        <v>2916</v>
      </c>
      <c r="L1114" s="309" t="n"/>
      <c r="M1114" s="113" t="n"/>
      <c r="N1114" s="113" t="n"/>
      <c r="O1114" s="113" t="n"/>
      <c r="P1114" s="243" t="n"/>
      <c r="Q1114" s="113" t="n"/>
      <c r="R1114" s="113" t="n"/>
    </row>
    <row r="1115" ht="15.75" customHeight="1">
      <c r="A1115" s="113" t="n"/>
      <c r="B1115" s="146" t="n">
        <v>20</v>
      </c>
      <c r="C1115" s="356" t="n">
        <v>45939</v>
      </c>
      <c r="D1115" s="357" t="n">
        <v>16</v>
      </c>
      <c r="E1115" s="271" t="inlineStr">
        <is>
          <t xml:space="preserve">SAN JOSE </t>
        </is>
      </c>
      <c r="F1115" s="271" t="inlineStr">
        <is>
          <t>CARGUEROS</t>
        </is>
      </c>
      <c r="G1115" s="271" t="n">
        <v>11</v>
      </c>
      <c r="H1115" s="271" t="inlineStr">
        <is>
          <t>DUMAR ANGARITA</t>
        </is>
      </c>
      <c r="I1115" s="271" t="inlineStr">
        <is>
          <t>LQO745</t>
        </is>
      </c>
      <c r="J1115" s="272" t="n">
        <v>0.5138888888888888</v>
      </c>
      <c r="K1115" s="273" t="n">
        <v>2916</v>
      </c>
      <c r="L1115" s="378">
        <f>SUM(K1100:K1115)</f>
        <v/>
      </c>
      <c r="M1115" s="113" t="n"/>
      <c r="N1115" s="113" t="n"/>
      <c r="O1115" s="113" t="n"/>
      <c r="P1115" s="243" t="n"/>
      <c r="Q1115" s="113" t="n"/>
      <c r="R1115" s="113" t="n"/>
    </row>
    <row r="1116" ht="15.75" customHeight="1">
      <c r="A1116" s="113" t="n"/>
      <c r="B1116" s="146" t="n">
        <v>20</v>
      </c>
      <c r="C1116" s="348" t="n">
        <v>45940</v>
      </c>
      <c r="D1116" s="349" t="n">
        <v>1</v>
      </c>
      <c r="E1116" s="258" t="inlineStr">
        <is>
          <t>HUERTAS</t>
        </is>
      </c>
      <c r="F1116" s="258" t="inlineStr">
        <is>
          <t xml:space="preserve">CARGUEROS </t>
        </is>
      </c>
      <c r="G1116" s="258" t="n">
        <v>11</v>
      </c>
      <c r="H1116" s="258" t="inlineStr">
        <is>
          <t xml:space="preserve">JOSE SOLER </t>
        </is>
      </c>
      <c r="I1116" s="258" t="inlineStr">
        <is>
          <t>EQY776</t>
        </is>
      </c>
      <c r="J1116" s="259" t="n">
        <v>0.008333333333333333</v>
      </c>
      <c r="K1116" s="260" t="n">
        <v>3400</v>
      </c>
      <c r="L1116" s="292" t="n"/>
      <c r="M1116" s="113" t="n"/>
      <c r="N1116" s="113" t="n"/>
      <c r="O1116" s="113" t="n"/>
      <c r="P1116" s="243" t="n"/>
      <c r="Q1116" s="113" t="n"/>
      <c r="R1116" s="113" t="n"/>
    </row>
    <row r="1117" ht="15.75" customHeight="1">
      <c r="A1117" s="113" t="n"/>
      <c r="B1117" s="146" t="n">
        <v>20</v>
      </c>
      <c r="C1117" s="350" t="n">
        <v>45940</v>
      </c>
      <c r="D1117" s="351" t="n">
        <v>2</v>
      </c>
      <c r="E1117" s="264" t="inlineStr">
        <is>
          <t>HUERTAS</t>
        </is>
      </c>
      <c r="F1117" s="264" t="inlineStr">
        <is>
          <t>CARGUEROS</t>
        </is>
      </c>
      <c r="G1117" s="264" t="n">
        <v>11</v>
      </c>
      <c r="H1117" s="264" t="inlineStr">
        <is>
          <t>ALBERTO LOPEZ</t>
        </is>
      </c>
      <c r="I1117" s="264" t="inlineStr">
        <is>
          <t>EQY777</t>
        </is>
      </c>
      <c r="J1117" s="265" t="n">
        <v>0.05208333333333334</v>
      </c>
      <c r="K1117" s="266" t="n">
        <v>3400</v>
      </c>
      <c r="L1117" s="308" t="n"/>
      <c r="M1117" s="113" t="n"/>
      <c r="N1117" s="113" t="n"/>
      <c r="O1117" s="113" t="n"/>
      <c r="P1117" s="243" t="n"/>
      <c r="Q1117" s="113" t="n"/>
      <c r="R1117" s="113" t="n"/>
    </row>
    <row r="1118" ht="15.75" customHeight="1">
      <c r="A1118" s="113" t="n"/>
      <c r="B1118" s="146" t="n">
        <v>20</v>
      </c>
      <c r="C1118" s="350" t="n">
        <v>45940</v>
      </c>
      <c r="D1118" s="351" t="n">
        <v>3</v>
      </c>
      <c r="E1118" s="264" t="inlineStr">
        <is>
          <t>HUERTAS</t>
        </is>
      </c>
      <c r="F1118" s="264" t="inlineStr">
        <is>
          <t>CARGUEROS</t>
        </is>
      </c>
      <c r="G1118" s="264" t="n">
        <v>11</v>
      </c>
      <c r="H1118" s="264" t="inlineStr">
        <is>
          <t>DUMAR ANGARITA</t>
        </is>
      </c>
      <c r="I1118" s="264" t="inlineStr">
        <is>
          <t>LQO745</t>
        </is>
      </c>
      <c r="J1118" s="265" t="n">
        <v>0.08680555555555555</v>
      </c>
      <c r="K1118" s="266" t="n">
        <v>3240</v>
      </c>
      <c r="L1118" s="308" t="n"/>
      <c r="M1118" s="113" t="n"/>
      <c r="N1118" s="113" t="n"/>
      <c r="O1118" s="113" t="n"/>
      <c r="P1118" s="243" t="n"/>
      <c r="Q1118" s="113" t="n"/>
      <c r="R1118" s="113" t="n"/>
    </row>
    <row r="1119" ht="15.75" customHeight="1">
      <c r="A1119" s="113" t="n"/>
      <c r="B1119" s="146" t="n">
        <v>20</v>
      </c>
      <c r="C1119" s="350" t="n">
        <v>45940</v>
      </c>
      <c r="D1119" s="351" t="n">
        <v>4</v>
      </c>
      <c r="E1119" s="264" t="inlineStr">
        <is>
          <t>HUERTAS</t>
        </is>
      </c>
      <c r="F1119" s="264" t="inlineStr">
        <is>
          <t>CARGUEROS</t>
        </is>
      </c>
      <c r="G1119" s="264" t="n">
        <v>11</v>
      </c>
      <c r="H1119" s="264" t="inlineStr">
        <is>
          <t xml:space="preserve">WILMER PIÑEROS </t>
        </is>
      </c>
      <c r="I1119" s="264" t="inlineStr">
        <is>
          <t>KLN076</t>
        </is>
      </c>
      <c r="J1119" s="265" t="n">
        <v>0.125</v>
      </c>
      <c r="K1119" s="266" t="n">
        <v>3400</v>
      </c>
      <c r="L1119" s="308" t="n"/>
      <c r="M1119" s="113" t="n"/>
      <c r="N1119" s="113" t="n"/>
      <c r="O1119" s="113" t="n"/>
      <c r="P1119" s="243" t="n"/>
      <c r="Q1119" s="113" t="n"/>
      <c r="R1119" s="113" t="n"/>
    </row>
    <row r="1120" ht="15.75" customHeight="1">
      <c r="A1120" s="113" t="n"/>
      <c r="B1120" s="146" t="n">
        <v>20</v>
      </c>
      <c r="C1120" s="350" t="n">
        <v>45940</v>
      </c>
      <c r="D1120" s="351" t="n">
        <v>5</v>
      </c>
      <c r="E1120" s="264" t="inlineStr">
        <is>
          <t>HUERTAS</t>
        </is>
      </c>
      <c r="F1120" s="264" t="inlineStr">
        <is>
          <t>CARGUEROS</t>
        </is>
      </c>
      <c r="G1120" s="264" t="n">
        <v>11</v>
      </c>
      <c r="H1120" s="264" t="inlineStr">
        <is>
          <t>EDWIN ROJAS</t>
        </is>
      </c>
      <c r="I1120" s="264" t="inlineStr">
        <is>
          <t>EQY780</t>
        </is>
      </c>
      <c r="J1120" s="265" t="n">
        <v>0.1666666666666667</v>
      </c>
      <c r="K1120" s="266" t="n">
        <v>3400</v>
      </c>
      <c r="L1120" s="308" t="n"/>
      <c r="M1120" s="113" t="n"/>
      <c r="N1120" s="113" t="n"/>
      <c r="O1120" s="113" t="n"/>
      <c r="P1120" s="243" t="n"/>
      <c r="Q1120" s="113" t="n"/>
      <c r="R1120" s="113" t="n"/>
    </row>
    <row r="1121" ht="15.75" customHeight="1">
      <c r="A1121" s="113" t="n"/>
      <c r="B1121" s="146" t="n">
        <v>20</v>
      </c>
      <c r="C1121" s="350" t="n">
        <v>45940</v>
      </c>
      <c r="D1121" s="351" t="n">
        <v>6</v>
      </c>
      <c r="E1121" s="264" t="inlineStr">
        <is>
          <t>HUERTAS</t>
        </is>
      </c>
      <c r="F1121" s="264" t="inlineStr">
        <is>
          <t>CARGUEROS</t>
        </is>
      </c>
      <c r="G1121" s="264" t="n">
        <v>11</v>
      </c>
      <c r="H1121" s="264" t="inlineStr">
        <is>
          <t>JAIRO CUBILLOS</t>
        </is>
      </c>
      <c r="I1121" s="264" t="inlineStr">
        <is>
          <t>TLO884</t>
        </is>
      </c>
      <c r="J1121" s="265" t="n">
        <v>0.1958333333333333</v>
      </c>
      <c r="K1121" s="266" t="n">
        <v>3432</v>
      </c>
      <c r="L1121" s="308" t="n"/>
      <c r="M1121" s="113" t="n"/>
      <c r="N1121" s="113" t="n"/>
      <c r="O1121" s="113" t="n"/>
      <c r="P1121" s="243" t="n"/>
      <c r="Q1121" s="113" t="n"/>
      <c r="R1121" s="113" t="n"/>
    </row>
    <row r="1122" ht="15.75" customHeight="1">
      <c r="A1122" s="113" t="n"/>
      <c r="B1122" s="146" t="n">
        <v>20</v>
      </c>
      <c r="C1122" s="350" t="n">
        <v>45940</v>
      </c>
      <c r="D1122" s="351" t="n">
        <v>7</v>
      </c>
      <c r="E1122" s="264" t="inlineStr">
        <is>
          <t>HUERTAS</t>
        </is>
      </c>
      <c r="F1122" s="264" t="inlineStr">
        <is>
          <t>CARGUEROS</t>
        </is>
      </c>
      <c r="G1122" s="264" t="n">
        <v>11</v>
      </c>
      <c r="H1122" s="264" t="inlineStr">
        <is>
          <t>ALEXANDER CHAGUALA</t>
        </is>
      </c>
      <c r="I1122" s="264" t="inlineStr">
        <is>
          <t>EQU778</t>
        </is>
      </c>
      <c r="J1122" s="265" t="n">
        <v>0.2513888888888889</v>
      </c>
      <c r="K1122" s="266" t="n">
        <v>3090</v>
      </c>
      <c r="L1122" s="308" t="n"/>
      <c r="M1122" s="113" t="n"/>
      <c r="N1122" s="113" t="n"/>
      <c r="O1122" s="113" t="n"/>
      <c r="P1122" s="243" t="n"/>
      <c r="Q1122" s="113" t="n"/>
      <c r="R1122" s="113" t="n"/>
    </row>
    <row r="1123" ht="15.75" customHeight="1">
      <c r="A1123" s="113" t="n"/>
      <c r="B1123" s="146" t="n">
        <v>20</v>
      </c>
      <c r="C1123" s="350" t="n">
        <v>45940</v>
      </c>
      <c r="D1123" s="351" t="n">
        <v>8</v>
      </c>
      <c r="E1123" s="264" t="inlineStr">
        <is>
          <t>HUERTAS</t>
        </is>
      </c>
      <c r="F1123" s="264" t="inlineStr">
        <is>
          <t>CARGUEROS</t>
        </is>
      </c>
      <c r="G1123" s="264" t="n">
        <v>11</v>
      </c>
      <c r="H1123" s="264" t="inlineStr">
        <is>
          <t>EDUAN CAVIEDEZ</t>
        </is>
      </c>
      <c r="I1123" s="264" t="inlineStr">
        <is>
          <t>EQY779</t>
        </is>
      </c>
      <c r="J1123" s="265" t="n">
        <v>0.2986111111111111</v>
      </c>
      <c r="K1123" s="266" t="n">
        <v>3090</v>
      </c>
      <c r="L1123" s="308" t="n"/>
      <c r="M1123" s="113" t="n"/>
      <c r="N1123" s="113" t="n"/>
      <c r="O1123" s="113" t="n"/>
      <c r="P1123" s="243" t="n"/>
      <c r="Q1123" s="113" t="n"/>
      <c r="R1123" s="113" t="n"/>
    </row>
    <row r="1124" ht="15.75" customHeight="1">
      <c r="A1124" s="113" t="n"/>
      <c r="B1124" s="146" t="n">
        <v>20</v>
      </c>
      <c r="C1124" s="350" t="n">
        <v>45940</v>
      </c>
      <c r="D1124" s="351" t="n">
        <v>9</v>
      </c>
      <c r="E1124" s="264" t="inlineStr">
        <is>
          <t>HUERTAS</t>
        </is>
      </c>
      <c r="F1124" s="264" t="inlineStr">
        <is>
          <t>CARGUEROS</t>
        </is>
      </c>
      <c r="G1124" s="264" t="n">
        <v>11</v>
      </c>
      <c r="H1124" s="264" t="inlineStr">
        <is>
          <t>JOSE HERRERA</t>
        </is>
      </c>
      <c r="I1124" s="264" t="inlineStr">
        <is>
          <t>KUS176</t>
        </is>
      </c>
      <c r="J1124" s="265" t="n">
        <v>0.3298611111111111</v>
      </c>
      <c r="K1124" s="266" t="n">
        <v>3090</v>
      </c>
      <c r="L1124" s="308" t="n"/>
      <c r="M1124" s="113" t="n"/>
      <c r="N1124" s="113" t="n"/>
      <c r="O1124" s="113" t="n"/>
      <c r="P1124" s="243" t="n"/>
      <c r="Q1124" s="113" t="n"/>
      <c r="R1124" s="113" t="n"/>
    </row>
    <row r="1125" ht="15.75" customHeight="1">
      <c r="A1125" s="113" t="n"/>
      <c r="B1125" s="146" t="n">
        <v>20</v>
      </c>
      <c r="C1125" s="350" t="n">
        <v>45940</v>
      </c>
      <c r="D1125" s="351" t="n">
        <v>10</v>
      </c>
      <c r="E1125" s="264" t="inlineStr">
        <is>
          <t>HUERTAS</t>
        </is>
      </c>
      <c r="F1125" s="264" t="inlineStr">
        <is>
          <t>CARGUEROS</t>
        </is>
      </c>
      <c r="G1125" s="264" t="n">
        <v>11</v>
      </c>
      <c r="H1125" s="264" t="inlineStr">
        <is>
          <t>FABIO ALDANA</t>
        </is>
      </c>
      <c r="I1125" s="264" t="inlineStr">
        <is>
          <t>TLO882</t>
        </is>
      </c>
      <c r="J1125" s="265" t="n">
        <v>0.3923611111111111</v>
      </c>
      <c r="K1125" s="266" t="n">
        <v>3110</v>
      </c>
      <c r="L1125" s="308" t="n"/>
      <c r="M1125" s="113" t="n"/>
      <c r="N1125" s="113" t="n"/>
      <c r="O1125" s="113" t="n"/>
      <c r="P1125" s="243" t="n"/>
      <c r="Q1125" s="113" t="n"/>
      <c r="R1125" s="113" t="n"/>
    </row>
    <row r="1126" ht="15.75" customHeight="1">
      <c r="A1126" s="113" t="n"/>
      <c r="B1126" s="146" t="n">
        <v>20</v>
      </c>
      <c r="C1126" s="350" t="n">
        <v>45940</v>
      </c>
      <c r="D1126" s="351" t="n">
        <v>11</v>
      </c>
      <c r="E1126" s="264" t="inlineStr">
        <is>
          <t xml:space="preserve">SAN JOSE </t>
        </is>
      </c>
      <c r="F1126" s="264" t="inlineStr">
        <is>
          <t>ABONEROS</t>
        </is>
      </c>
      <c r="G1126" s="264" t="n">
        <v>10</v>
      </c>
      <c r="H1126" s="264" t="inlineStr">
        <is>
          <t xml:space="preserve">WILMER PIÑEROS </t>
        </is>
      </c>
      <c r="I1126" s="264" t="inlineStr">
        <is>
          <t>KNL076</t>
        </is>
      </c>
      <c r="J1126" s="265" t="n">
        <v>0.4069444444444444</v>
      </c>
      <c r="K1126" s="266" t="n">
        <v>2916</v>
      </c>
      <c r="L1126" s="308" t="n"/>
      <c r="M1126" s="113" t="n"/>
      <c r="N1126" s="113" t="n"/>
      <c r="O1126" s="113" t="n"/>
      <c r="P1126" s="243" t="n"/>
      <c r="Q1126" s="113" t="n"/>
      <c r="R1126" s="113" t="n"/>
    </row>
    <row r="1127" ht="15.75" customHeight="1">
      <c r="A1127" s="113" t="n"/>
      <c r="B1127" s="146" t="n">
        <v>20</v>
      </c>
      <c r="C1127" s="350" t="n">
        <v>45940</v>
      </c>
      <c r="D1127" s="351" t="n">
        <v>12</v>
      </c>
      <c r="E1127" s="264" t="inlineStr">
        <is>
          <t xml:space="preserve">SAN JOSE </t>
        </is>
      </c>
      <c r="F1127" s="264" t="inlineStr">
        <is>
          <t>ABONEROS</t>
        </is>
      </c>
      <c r="G1127" s="264" t="n">
        <v>10</v>
      </c>
      <c r="H1127" s="264" t="inlineStr">
        <is>
          <t xml:space="preserve">EDWIN ROJAS </t>
        </is>
      </c>
      <c r="I1127" s="264" t="inlineStr">
        <is>
          <t>EQY780</t>
        </is>
      </c>
      <c r="J1127" s="265" t="n">
        <v>0.4583333333333333</v>
      </c>
      <c r="K1127" s="266" t="n">
        <v>3564</v>
      </c>
      <c r="L1127" s="308" t="n"/>
      <c r="M1127" s="113" t="n"/>
      <c r="N1127" s="113" t="n"/>
      <c r="O1127" s="113" t="n"/>
      <c r="P1127" s="243" t="n"/>
      <c r="Q1127" s="113" t="n"/>
      <c r="R1127" s="113" t="n"/>
    </row>
    <row r="1128" ht="15.75" customHeight="1">
      <c r="A1128" s="113" t="n"/>
      <c r="B1128" s="146" t="n">
        <v>20</v>
      </c>
      <c r="C1128" s="350" t="n">
        <v>45940</v>
      </c>
      <c r="D1128" s="351" t="n">
        <v>13</v>
      </c>
      <c r="E1128" s="264" t="inlineStr">
        <is>
          <t xml:space="preserve">SAN JOSE </t>
        </is>
      </c>
      <c r="F1128" s="264" t="inlineStr">
        <is>
          <t>ABONEROS</t>
        </is>
      </c>
      <c r="G1128" s="264" t="n">
        <v>9</v>
      </c>
      <c r="H1128" s="264" t="inlineStr">
        <is>
          <t xml:space="preserve">JAIRO CUBILLOS </t>
        </is>
      </c>
      <c r="I1128" s="264" t="inlineStr">
        <is>
          <t>TLO884</t>
        </is>
      </c>
      <c r="J1128" s="265" t="n">
        <v>0.5</v>
      </c>
      <c r="K1128" s="266" t="n">
        <v>3564</v>
      </c>
      <c r="L1128" s="309" t="n"/>
      <c r="M1128" s="113" t="n"/>
      <c r="N1128" s="113" t="n"/>
      <c r="O1128" s="113" t="n"/>
      <c r="P1128" s="243" t="n"/>
      <c r="Q1128" s="113" t="n"/>
      <c r="R1128" s="113" t="n"/>
    </row>
    <row r="1129" ht="15.75" customHeight="1">
      <c r="A1129" s="113" t="n"/>
      <c r="B1129" s="146" t="n">
        <v>20</v>
      </c>
      <c r="C1129" s="356" t="n">
        <v>45940</v>
      </c>
      <c r="D1129" s="357" t="n">
        <v>14</v>
      </c>
      <c r="E1129" s="271" t="inlineStr">
        <is>
          <t xml:space="preserve">SAN JOSE </t>
        </is>
      </c>
      <c r="F1129" s="271" t="inlineStr">
        <is>
          <t>ABONEROS</t>
        </is>
      </c>
      <c r="G1129" s="271" t="n">
        <v>9</v>
      </c>
      <c r="H1129" s="271" t="inlineStr">
        <is>
          <t xml:space="preserve">ALEX CHAGUALA </t>
        </is>
      </c>
      <c r="I1129" s="271" t="inlineStr">
        <is>
          <t>EQY778</t>
        </is>
      </c>
      <c r="J1129" s="272" t="n">
        <v>0.5722222222222222</v>
      </c>
      <c r="K1129" s="273" t="n">
        <v>3564</v>
      </c>
      <c r="L1129" s="378">
        <f>SUM(K1116:K1129)</f>
        <v/>
      </c>
      <c r="M1129" s="113" t="n"/>
      <c r="N1129" s="113" t="n"/>
      <c r="O1129" s="113" t="n"/>
      <c r="P1129" s="243" t="n"/>
      <c r="Q1129" s="113" t="n"/>
      <c r="R1129" s="113" t="n"/>
    </row>
    <row r="1130" ht="15.75" customHeight="1">
      <c r="A1130" s="113" t="n"/>
      <c r="B1130" s="146" t="n">
        <v>20</v>
      </c>
      <c r="C1130" s="348" t="n">
        <v>45941</v>
      </c>
      <c r="D1130" s="349" t="n">
        <v>1</v>
      </c>
      <c r="E1130" s="258" t="inlineStr">
        <is>
          <t>HUERTAS</t>
        </is>
      </c>
      <c r="F1130" s="258" t="inlineStr">
        <is>
          <t>ABONEROS</t>
        </is>
      </c>
      <c r="G1130" s="258" t="n">
        <v>11</v>
      </c>
      <c r="H1130" s="258" t="inlineStr">
        <is>
          <t xml:space="preserve">JOSE SOLER </t>
        </is>
      </c>
      <c r="I1130" s="258" t="inlineStr">
        <is>
          <t>EQY776</t>
        </is>
      </c>
      <c r="J1130" s="259" t="n">
        <v>0.9229166666666667</v>
      </c>
      <c r="K1130" s="260" t="n">
        <v>2700</v>
      </c>
      <c r="L1130" s="292" t="n"/>
      <c r="M1130" s="113" t="n"/>
      <c r="N1130" s="113" t="n"/>
      <c r="O1130" s="113" t="n"/>
      <c r="P1130" s="243" t="n"/>
      <c r="Q1130" s="113" t="n"/>
      <c r="R1130" s="113" t="n"/>
    </row>
    <row r="1131" ht="15.75" customHeight="1">
      <c r="A1131" s="113" t="n"/>
      <c r="B1131" s="146" t="n">
        <v>20</v>
      </c>
      <c r="C1131" s="350" t="n">
        <v>45941</v>
      </c>
      <c r="D1131" s="351" t="n">
        <v>2</v>
      </c>
      <c r="E1131" s="264" t="inlineStr">
        <is>
          <t>HUERTAS</t>
        </is>
      </c>
      <c r="F1131" s="264" t="inlineStr">
        <is>
          <t>ABONEROS</t>
        </is>
      </c>
      <c r="G1131" s="264" t="n">
        <v>11</v>
      </c>
      <c r="H1131" s="264" t="inlineStr">
        <is>
          <t>ALEX GOMEZ</t>
        </is>
      </c>
      <c r="I1131" s="264" t="inlineStr">
        <is>
          <t>TLO881</t>
        </is>
      </c>
      <c r="J1131" s="265" t="n">
        <v>0.9548611111111112</v>
      </c>
      <c r="K1131" s="266" t="n">
        <v>2700</v>
      </c>
      <c r="L1131" s="308" t="n"/>
      <c r="M1131" s="113" t="n"/>
      <c r="N1131" s="113" t="n"/>
      <c r="O1131" s="113" t="n"/>
      <c r="P1131" s="243" t="n"/>
      <c r="Q1131" s="113" t="n"/>
      <c r="R1131" s="113" t="n"/>
    </row>
    <row r="1132" ht="15.75" customHeight="1">
      <c r="A1132" s="113" t="n"/>
      <c r="B1132" s="146" t="n">
        <v>20</v>
      </c>
      <c r="C1132" s="350" t="n">
        <v>45941</v>
      </c>
      <c r="D1132" s="351" t="n">
        <v>3</v>
      </c>
      <c r="E1132" s="264" t="inlineStr">
        <is>
          <t>HUERTAS</t>
        </is>
      </c>
      <c r="F1132" s="264" t="inlineStr">
        <is>
          <t>ABONEROS</t>
        </is>
      </c>
      <c r="G1132" s="264" t="n">
        <v>11</v>
      </c>
      <c r="H1132" s="264" t="inlineStr">
        <is>
          <t xml:space="preserve">FABIO ALDANA </t>
        </is>
      </c>
      <c r="I1132" s="264" t="inlineStr">
        <is>
          <t>TLO882</t>
        </is>
      </c>
      <c r="J1132" s="265" t="n">
        <v>0.002083333333333333</v>
      </c>
      <c r="K1132" s="266" t="n">
        <v>2916</v>
      </c>
      <c r="L1132" s="308" t="n"/>
      <c r="M1132" s="113" t="n"/>
      <c r="N1132" s="113" t="n"/>
      <c r="O1132" s="113" t="n"/>
      <c r="P1132" s="243" t="n"/>
      <c r="Q1132" s="113" t="n"/>
      <c r="R1132" s="113" t="n"/>
    </row>
    <row r="1133" ht="15.75" customHeight="1">
      <c r="A1133" s="113" t="n"/>
      <c r="B1133" s="146" t="n">
        <v>20</v>
      </c>
      <c r="C1133" s="350" t="n">
        <v>45941</v>
      </c>
      <c r="D1133" s="351" t="n">
        <v>4</v>
      </c>
      <c r="E1133" s="264" t="inlineStr">
        <is>
          <t>HUERTAS</t>
        </is>
      </c>
      <c r="F1133" s="264" t="inlineStr">
        <is>
          <t>ABONEROS</t>
        </is>
      </c>
      <c r="G1133" s="264" t="n">
        <v>11</v>
      </c>
      <c r="H1133" s="264" t="inlineStr">
        <is>
          <t>ROBINSON PULIDO</t>
        </is>
      </c>
      <c r="I1133" s="264" t="inlineStr">
        <is>
          <t>GZZ673</t>
        </is>
      </c>
      <c r="J1133" s="265" t="n">
        <v>0.04027777777777778</v>
      </c>
      <c r="K1133" s="266" t="n">
        <v>2436</v>
      </c>
      <c r="L1133" s="308" t="n"/>
      <c r="M1133" s="113" t="n"/>
      <c r="N1133" s="113" t="n"/>
      <c r="O1133" s="113" t="n"/>
      <c r="P1133" s="243" t="n"/>
      <c r="Q1133" s="113" t="n"/>
      <c r="R1133" s="113" t="n"/>
    </row>
    <row r="1134" ht="15.75" customHeight="1">
      <c r="A1134" s="113" t="n"/>
      <c r="B1134" s="146" t="n">
        <v>20</v>
      </c>
      <c r="C1134" s="350" t="n">
        <v>45941</v>
      </c>
      <c r="D1134" s="351" t="n">
        <v>5</v>
      </c>
      <c r="E1134" s="264" t="inlineStr">
        <is>
          <t>HUERTAS</t>
        </is>
      </c>
      <c r="F1134" s="264" t="inlineStr">
        <is>
          <t>ABONEROS</t>
        </is>
      </c>
      <c r="G1134" s="264" t="n">
        <v>11</v>
      </c>
      <c r="H1134" s="264" t="inlineStr">
        <is>
          <t xml:space="preserve">HENRY ROMERO </t>
        </is>
      </c>
      <c r="I1134" s="264" t="inlineStr">
        <is>
          <t>EQY781</t>
        </is>
      </c>
      <c r="J1134" s="265" t="n">
        <v>0.07361111111111111</v>
      </c>
      <c r="K1134" s="266" t="n">
        <v>2592</v>
      </c>
      <c r="L1134" s="308" t="n"/>
      <c r="M1134" s="113" t="n"/>
      <c r="N1134" s="113" t="n"/>
      <c r="O1134" s="113" t="n"/>
      <c r="P1134" s="243" t="n"/>
      <c r="Q1134" s="113" t="n"/>
      <c r="R1134" s="113" t="n"/>
    </row>
    <row r="1135" ht="15.75" customHeight="1">
      <c r="A1135" s="113" t="n"/>
      <c r="B1135" s="146" t="n">
        <v>20</v>
      </c>
      <c r="C1135" s="350" t="n">
        <v>45941</v>
      </c>
      <c r="D1135" s="351" t="n">
        <v>6</v>
      </c>
      <c r="E1135" s="264" t="inlineStr">
        <is>
          <t>HUERTAS</t>
        </is>
      </c>
      <c r="F1135" s="264" t="inlineStr">
        <is>
          <t>ABONEROS</t>
        </is>
      </c>
      <c r="G1135" s="264" t="n">
        <v>11</v>
      </c>
      <c r="H1135" s="264" t="inlineStr">
        <is>
          <t xml:space="preserve">YAIR RIVEROS </t>
        </is>
      </c>
      <c r="I1135" s="264" t="inlineStr">
        <is>
          <t>TLN181</t>
        </is>
      </c>
      <c r="J1135" s="265" t="n">
        <v>0.1006944444444444</v>
      </c>
      <c r="K1135" s="266" t="n">
        <v>2616</v>
      </c>
      <c r="L1135" s="308" t="n"/>
      <c r="M1135" s="113" t="n"/>
      <c r="N1135" s="113" t="n"/>
      <c r="O1135" s="113" t="n"/>
      <c r="P1135" s="243" t="n"/>
      <c r="Q1135" s="113" t="n"/>
      <c r="R1135" s="113" t="n"/>
    </row>
    <row r="1136" ht="15.75" customHeight="1">
      <c r="A1136" s="113" t="n"/>
      <c r="B1136" s="146" t="n">
        <v>20</v>
      </c>
      <c r="C1136" s="350" t="n">
        <v>45941</v>
      </c>
      <c r="D1136" s="351" t="n">
        <v>7</v>
      </c>
      <c r="E1136" s="264" t="inlineStr">
        <is>
          <t xml:space="preserve">SAN JOSE </t>
        </is>
      </c>
      <c r="F1136" s="264" t="inlineStr">
        <is>
          <t>CARGUEROS</t>
        </is>
      </c>
      <c r="G1136" s="264" t="n">
        <v>11</v>
      </c>
      <c r="H1136" s="264" t="inlineStr">
        <is>
          <t xml:space="preserve">JOSE SOLER </t>
        </is>
      </c>
      <c r="I1136" s="264" t="inlineStr">
        <is>
          <t>EQY779</t>
        </is>
      </c>
      <c r="J1136" s="265" t="n">
        <v>0.2083333333333333</v>
      </c>
      <c r="K1136" s="266" t="n">
        <v>2781</v>
      </c>
      <c r="L1136" s="308" t="n"/>
      <c r="M1136" s="113" t="n"/>
      <c r="N1136" s="113" t="n"/>
      <c r="O1136" s="113" t="n"/>
      <c r="P1136" s="243" t="n"/>
      <c r="Q1136" s="113" t="n"/>
      <c r="R1136" s="113" t="n"/>
    </row>
    <row r="1137" ht="15.75" customHeight="1">
      <c r="A1137" s="113" t="n"/>
      <c r="B1137" s="146" t="n">
        <v>20</v>
      </c>
      <c r="C1137" s="350" t="n">
        <v>45941</v>
      </c>
      <c r="D1137" s="351" t="n">
        <v>8</v>
      </c>
      <c r="E1137" s="264" t="inlineStr">
        <is>
          <t xml:space="preserve">SAN JOSE </t>
        </is>
      </c>
      <c r="F1137" s="264" t="inlineStr">
        <is>
          <t>CARGUEROS</t>
        </is>
      </c>
      <c r="G1137" s="264" t="n">
        <v>11</v>
      </c>
      <c r="H1137" s="264" t="inlineStr">
        <is>
          <t>FABIO ALDANA</t>
        </is>
      </c>
      <c r="I1137" s="264" t="inlineStr">
        <is>
          <t>TLO882</t>
        </is>
      </c>
      <c r="J1137" s="265" t="n">
        <v>0.25</v>
      </c>
      <c r="K1137" s="266" t="n">
        <v>2835</v>
      </c>
      <c r="L1137" s="308" t="n"/>
      <c r="M1137" s="113" t="n"/>
      <c r="N1137" s="113" t="n"/>
      <c r="O1137" s="113" t="n"/>
      <c r="P1137" s="243" t="n"/>
      <c r="Q1137" s="113" t="n"/>
      <c r="R1137" s="113" t="n"/>
    </row>
    <row r="1138" ht="15.75" customHeight="1">
      <c r="A1138" s="113" t="n"/>
      <c r="B1138" s="146" t="n">
        <v>20</v>
      </c>
      <c r="C1138" s="350" t="n">
        <v>45941</v>
      </c>
      <c r="D1138" s="351" t="n">
        <v>9</v>
      </c>
      <c r="E1138" s="264" t="inlineStr">
        <is>
          <t xml:space="preserve">SAN JOSE </t>
        </is>
      </c>
      <c r="F1138" s="264" t="inlineStr">
        <is>
          <t>CARGUEROS</t>
        </is>
      </c>
      <c r="G1138" s="264" t="n">
        <v>11</v>
      </c>
      <c r="H1138" s="264" t="inlineStr">
        <is>
          <t>HENRY ROMERO</t>
        </is>
      </c>
      <c r="I1138" s="264" t="inlineStr">
        <is>
          <t>EQY781</t>
        </is>
      </c>
      <c r="J1138" s="265" t="n">
        <v>0.2916666666666667</v>
      </c>
      <c r="K1138" s="266" t="n">
        <v>2835</v>
      </c>
      <c r="L1138" s="308" t="n"/>
      <c r="M1138" s="113" t="n"/>
      <c r="N1138" s="113" t="n"/>
      <c r="O1138" s="113" t="n"/>
      <c r="P1138" s="243" t="n"/>
      <c r="Q1138" s="113" t="n"/>
      <c r="R1138" s="113" t="n"/>
    </row>
    <row r="1139" ht="15.75" customHeight="1">
      <c r="A1139" s="113" t="n"/>
      <c r="B1139" s="146" t="n">
        <v>20</v>
      </c>
      <c r="C1139" s="350" t="n">
        <v>45941</v>
      </c>
      <c r="D1139" s="351" t="n">
        <v>10</v>
      </c>
      <c r="E1139" s="264" t="inlineStr">
        <is>
          <t xml:space="preserve">SAN JOSE </t>
        </is>
      </c>
      <c r="F1139" s="264" t="inlineStr">
        <is>
          <t>CARGUEROS</t>
        </is>
      </c>
      <c r="G1139" s="264" t="n">
        <v>11</v>
      </c>
      <c r="H1139" s="264" t="inlineStr">
        <is>
          <t>ALBERTO LOPEZ</t>
        </is>
      </c>
      <c r="I1139" s="264" t="inlineStr">
        <is>
          <t>EQY777</t>
        </is>
      </c>
      <c r="J1139" s="265" t="n">
        <v>0.3263888888888889</v>
      </c>
      <c r="K1139" s="266" t="n">
        <v>2700</v>
      </c>
      <c r="L1139" s="308" t="n"/>
      <c r="M1139" s="113" t="n"/>
      <c r="N1139" s="113" t="n"/>
      <c r="O1139" s="113" t="n"/>
      <c r="P1139" s="243" t="n"/>
      <c r="Q1139" s="113" t="n"/>
      <c r="R1139" s="113" t="n"/>
    </row>
    <row r="1140" ht="15.75" customHeight="1">
      <c r="A1140" s="113" t="n"/>
      <c r="B1140" s="146" t="n">
        <v>20</v>
      </c>
      <c r="C1140" s="350" t="n">
        <v>45941</v>
      </c>
      <c r="D1140" s="351" t="n">
        <v>11</v>
      </c>
      <c r="E1140" s="264" t="inlineStr">
        <is>
          <t xml:space="preserve">SAN JOSE </t>
        </is>
      </c>
      <c r="F1140" s="264" t="inlineStr">
        <is>
          <t>CARGUEROS</t>
        </is>
      </c>
      <c r="G1140" s="264" t="n">
        <v>11</v>
      </c>
      <c r="H1140" s="264" t="inlineStr">
        <is>
          <t xml:space="preserve">WILMER PIÑEROS </t>
        </is>
      </c>
      <c r="I1140" s="264" t="inlineStr">
        <is>
          <t>KLN076</t>
        </is>
      </c>
      <c r="J1140" s="265" t="n">
        <v>0.3576388888888889</v>
      </c>
      <c r="K1140" s="266" t="n">
        <v>2799</v>
      </c>
      <c r="L1140" s="308" t="n"/>
      <c r="M1140" s="113" t="n"/>
      <c r="N1140" s="113" t="n"/>
      <c r="O1140" s="113" t="n"/>
      <c r="P1140" s="243" t="n"/>
      <c r="Q1140" s="113" t="n"/>
      <c r="R1140" s="113" t="n"/>
    </row>
    <row r="1141" ht="15.75" customHeight="1">
      <c r="A1141" s="113" t="n"/>
      <c r="B1141" s="146" t="n">
        <v>20</v>
      </c>
      <c r="C1141" s="350" t="n">
        <v>45941</v>
      </c>
      <c r="D1141" s="351" t="n">
        <v>12</v>
      </c>
      <c r="E1141" s="264" t="inlineStr">
        <is>
          <t xml:space="preserve">SAN JOSE </t>
        </is>
      </c>
      <c r="F1141" s="264" t="inlineStr">
        <is>
          <t>CARGUEROS</t>
        </is>
      </c>
      <c r="G1141" s="264" t="n">
        <v>11</v>
      </c>
      <c r="H1141" s="264" t="inlineStr">
        <is>
          <t>EDWIN ROJAS</t>
        </is>
      </c>
      <c r="I1141" s="264" t="inlineStr">
        <is>
          <t>EQY780</t>
        </is>
      </c>
      <c r="J1141" s="265" t="n">
        <v>0.3993055555555556</v>
      </c>
      <c r="K1141" s="266" t="n">
        <v>2799</v>
      </c>
      <c r="L1141" s="309" t="n"/>
      <c r="M1141" s="113" t="n"/>
      <c r="N1141" s="113" t="n"/>
      <c r="O1141" s="113" t="n"/>
      <c r="P1141" s="243" t="n"/>
      <c r="Q1141" s="113" t="n"/>
      <c r="R1141" s="113" t="n"/>
    </row>
    <row r="1142" ht="15.75" customHeight="1">
      <c r="A1142" s="113" t="n"/>
      <c r="B1142" s="146" t="n">
        <v>20</v>
      </c>
      <c r="C1142" s="356" t="n">
        <v>45941</v>
      </c>
      <c r="D1142" s="357" t="n">
        <v>13</v>
      </c>
      <c r="E1142" s="271" t="inlineStr">
        <is>
          <t xml:space="preserve">SAN JOSE </t>
        </is>
      </c>
      <c r="F1142" s="271" t="inlineStr">
        <is>
          <t>CARGUEROS</t>
        </is>
      </c>
      <c r="G1142" s="271" t="n">
        <v>11</v>
      </c>
      <c r="H1142" s="271" t="inlineStr">
        <is>
          <t xml:space="preserve">DUMAR ANGARITA </t>
        </is>
      </c>
      <c r="I1142" s="271" t="inlineStr">
        <is>
          <t>LQO745</t>
        </is>
      </c>
      <c r="J1142" s="272" t="n">
        <v>0.4340277777777778</v>
      </c>
      <c r="K1142" s="273" t="n">
        <v>2799</v>
      </c>
      <c r="L1142" s="378">
        <f>SUM(K1130:K1142)</f>
        <v/>
      </c>
      <c r="M1142" s="113" t="n"/>
      <c r="N1142" s="113" t="n"/>
      <c r="O1142" s="113" t="n"/>
      <c r="P1142" s="243" t="n"/>
      <c r="Q1142" s="113" t="n"/>
      <c r="R1142" s="113" t="n"/>
    </row>
    <row r="1143" ht="15.75" customHeight="1">
      <c r="A1143" s="113" t="n"/>
      <c r="B1143" s="146" t="n">
        <v>20</v>
      </c>
      <c r="C1143" s="348" t="n">
        <v>45942</v>
      </c>
      <c r="D1143" s="349" t="n">
        <v>1</v>
      </c>
      <c r="E1143" s="258" t="inlineStr">
        <is>
          <t xml:space="preserve">SAN JOSE </t>
        </is>
      </c>
      <c r="F1143" s="258" t="inlineStr">
        <is>
          <t>CARGUEROS</t>
        </is>
      </c>
      <c r="G1143" s="258" t="n">
        <v>11</v>
      </c>
      <c r="H1143" s="258" t="inlineStr">
        <is>
          <t>HENRY ROMERO</t>
        </is>
      </c>
      <c r="I1143" s="258" t="inlineStr">
        <is>
          <t>EQY781</t>
        </is>
      </c>
      <c r="J1143" s="259" t="n">
        <v>0.1979166666666667</v>
      </c>
      <c r="K1143" s="260" t="n">
        <v>2763</v>
      </c>
      <c r="L1143" s="292" t="n"/>
      <c r="M1143" s="113" t="n"/>
      <c r="N1143" s="113" t="n"/>
      <c r="O1143" s="113" t="n"/>
      <c r="P1143" s="243" t="n"/>
      <c r="Q1143" s="113" t="n"/>
      <c r="R1143" s="113" t="n"/>
    </row>
    <row r="1144" ht="15.75" customHeight="1">
      <c r="A1144" s="113" t="n"/>
      <c r="B1144" s="146" t="n">
        <v>20</v>
      </c>
      <c r="C1144" s="350" t="n">
        <v>45942</v>
      </c>
      <c r="D1144" s="351" t="n">
        <v>2</v>
      </c>
      <c r="E1144" s="264" t="inlineStr">
        <is>
          <t xml:space="preserve">SAN JOSE </t>
        </is>
      </c>
      <c r="F1144" s="264" t="inlineStr">
        <is>
          <t>ABONEROS</t>
        </is>
      </c>
      <c r="G1144" s="264" t="n">
        <v>10</v>
      </c>
      <c r="H1144" s="264" t="inlineStr">
        <is>
          <t xml:space="preserve">JOSE SOLER </t>
        </is>
      </c>
      <c r="I1144" s="264" t="inlineStr">
        <is>
          <t>EQY776</t>
        </is>
      </c>
      <c r="J1144" s="265" t="n">
        <v>0.1986111111111111</v>
      </c>
      <c r="K1144" s="266" t="n">
        <v>2700</v>
      </c>
      <c r="L1144" s="308" t="n"/>
      <c r="M1144" s="113" t="n"/>
      <c r="N1144" s="113" t="n"/>
      <c r="O1144" s="113" t="n"/>
      <c r="P1144" s="243" t="n"/>
      <c r="Q1144" s="113" t="n"/>
      <c r="R1144" s="113" t="n"/>
    </row>
    <row r="1145" ht="15.75" customHeight="1">
      <c r="A1145" s="113" t="n"/>
      <c r="B1145" s="146" t="n">
        <v>20</v>
      </c>
      <c r="C1145" s="350" t="n">
        <v>45942</v>
      </c>
      <c r="D1145" s="351" t="n">
        <v>3</v>
      </c>
      <c r="E1145" s="264" t="inlineStr">
        <is>
          <t xml:space="preserve">SAN JOSE </t>
        </is>
      </c>
      <c r="F1145" s="264" t="inlineStr">
        <is>
          <t>CARGUEROS</t>
        </is>
      </c>
      <c r="G1145" s="264" t="n">
        <v>11</v>
      </c>
      <c r="H1145" s="264" t="inlineStr">
        <is>
          <t>ROBINSON PULIDO</t>
        </is>
      </c>
      <c r="I1145" s="264" t="inlineStr">
        <is>
          <t>GZZ673</t>
        </is>
      </c>
      <c r="J1145" s="265" t="n">
        <v>0.2256944444444444</v>
      </c>
      <c r="K1145" s="266" t="n">
        <v>2763</v>
      </c>
      <c r="L1145" s="308" t="n"/>
      <c r="M1145" s="113" t="n"/>
      <c r="N1145" s="113" t="n"/>
      <c r="O1145" s="113" t="n"/>
      <c r="P1145" s="243" t="n"/>
      <c r="Q1145" s="113" t="n"/>
      <c r="R1145" s="113" t="n"/>
    </row>
    <row r="1146" ht="15.75" customHeight="1">
      <c r="A1146" s="113" t="n"/>
      <c r="B1146" s="146" t="n">
        <v>20</v>
      </c>
      <c r="C1146" s="350" t="n">
        <v>45942</v>
      </c>
      <c r="D1146" s="351" t="n">
        <v>4</v>
      </c>
      <c r="E1146" s="264" t="inlineStr">
        <is>
          <t xml:space="preserve">SAN JOSE </t>
        </is>
      </c>
      <c r="F1146" s="264" t="inlineStr">
        <is>
          <t>ABONEROS</t>
        </is>
      </c>
      <c r="G1146" s="264" t="n">
        <v>10</v>
      </c>
      <c r="H1146" s="264" t="inlineStr">
        <is>
          <t>ALEX GOMEZ</t>
        </is>
      </c>
      <c r="I1146" s="264" t="inlineStr">
        <is>
          <t>TLO881</t>
        </is>
      </c>
      <c r="J1146" s="265" t="n">
        <v>0.2298611111111111</v>
      </c>
      <c r="K1146" s="266" t="n">
        <v>2817</v>
      </c>
      <c r="L1146" s="308" t="n"/>
      <c r="M1146" s="113" t="n"/>
      <c r="N1146" s="113" t="n"/>
      <c r="O1146" s="113" t="n"/>
      <c r="P1146" s="243" t="n"/>
      <c r="Q1146" s="113" t="n"/>
      <c r="R1146" s="113" t="n"/>
    </row>
    <row r="1147" ht="15.75" customHeight="1">
      <c r="A1147" s="113" t="n"/>
      <c r="B1147" s="146" t="n">
        <v>20</v>
      </c>
      <c r="C1147" s="350" t="n">
        <v>45942</v>
      </c>
      <c r="D1147" s="351" t="n">
        <v>5</v>
      </c>
      <c r="E1147" s="264" t="inlineStr">
        <is>
          <t xml:space="preserve">SAN JOSE </t>
        </is>
      </c>
      <c r="F1147" s="264" t="inlineStr">
        <is>
          <t>CARGUEROS</t>
        </is>
      </c>
      <c r="G1147" s="264" t="n">
        <v>11</v>
      </c>
      <c r="H1147" s="264" t="inlineStr">
        <is>
          <t>ALEXANDER CHAGUALA</t>
        </is>
      </c>
      <c r="I1147" s="264" t="inlineStr">
        <is>
          <t>TLN248</t>
        </is>
      </c>
      <c r="J1147" s="265" t="n">
        <v>0.25</v>
      </c>
      <c r="K1147" s="266" t="n">
        <v>2763</v>
      </c>
      <c r="L1147" s="308" t="n"/>
      <c r="M1147" s="113" t="n"/>
      <c r="N1147" s="113" t="n"/>
      <c r="O1147" s="113" t="n"/>
      <c r="P1147" s="243" t="n"/>
      <c r="Q1147" s="113" t="n"/>
      <c r="R1147" s="113" t="n"/>
    </row>
    <row r="1148" ht="15.75" customHeight="1">
      <c r="A1148" s="113" t="n"/>
      <c r="B1148" s="146" t="n">
        <v>20</v>
      </c>
      <c r="C1148" s="350" t="n">
        <v>45942</v>
      </c>
      <c r="D1148" s="351" t="n">
        <v>6</v>
      </c>
      <c r="E1148" s="264" t="inlineStr">
        <is>
          <t xml:space="preserve">SAN JOSE </t>
        </is>
      </c>
      <c r="F1148" s="264" t="inlineStr">
        <is>
          <t>ABONEROS</t>
        </is>
      </c>
      <c r="G1148" s="264" t="n">
        <v>10</v>
      </c>
      <c r="H1148" s="264" t="inlineStr">
        <is>
          <t>FABIO ALDANA</t>
        </is>
      </c>
      <c r="I1148" s="264" t="inlineStr">
        <is>
          <t>TLO882</t>
        </is>
      </c>
      <c r="J1148" s="265" t="n">
        <v>0.2708333333333333</v>
      </c>
      <c r="K1148" s="266" t="n">
        <v>2916</v>
      </c>
      <c r="L1148" s="308" t="n"/>
      <c r="M1148" s="113" t="n"/>
      <c r="N1148" s="113" t="n"/>
      <c r="O1148" s="113" t="n"/>
      <c r="P1148" s="243" t="n"/>
      <c r="Q1148" s="113" t="n"/>
      <c r="R1148" s="113" t="n"/>
    </row>
    <row r="1149" ht="15.75" customHeight="1">
      <c r="A1149" s="113" t="n"/>
      <c r="B1149" s="146" t="n">
        <v>20</v>
      </c>
      <c r="C1149" s="350" t="n">
        <v>45942</v>
      </c>
      <c r="D1149" s="351" t="n">
        <v>7</v>
      </c>
      <c r="E1149" s="264" t="inlineStr">
        <is>
          <t xml:space="preserve">SAN JOSE </t>
        </is>
      </c>
      <c r="F1149" s="264" t="inlineStr">
        <is>
          <t>CARGUEROS</t>
        </is>
      </c>
      <c r="G1149" s="264" t="n">
        <v>11</v>
      </c>
      <c r="H1149" s="264" t="inlineStr">
        <is>
          <t xml:space="preserve">YAIR RIVEROS </t>
        </is>
      </c>
      <c r="I1149" s="264" t="inlineStr">
        <is>
          <t>TLN181</t>
        </is>
      </c>
      <c r="J1149" s="265" t="n">
        <v>0.2881944444444444</v>
      </c>
      <c r="K1149" s="266" t="n">
        <v>3200</v>
      </c>
      <c r="L1149" s="308" t="n"/>
      <c r="M1149" s="113" t="n"/>
      <c r="N1149" s="113" t="n"/>
      <c r="O1149" s="113" t="n"/>
      <c r="P1149" s="243" t="n"/>
      <c r="Q1149" s="113" t="n"/>
      <c r="R1149" s="113" t="n"/>
    </row>
    <row r="1150" ht="15.75" customHeight="1">
      <c r="A1150" s="113" t="n"/>
      <c r="B1150" s="146" t="n">
        <v>20</v>
      </c>
      <c r="C1150" s="350" t="n">
        <v>45942</v>
      </c>
      <c r="D1150" s="351" t="n">
        <v>8</v>
      </c>
      <c r="E1150" s="264" t="inlineStr">
        <is>
          <t xml:space="preserve">SAN JOSE </t>
        </is>
      </c>
      <c r="F1150" s="264" t="inlineStr">
        <is>
          <t>ABONEROS</t>
        </is>
      </c>
      <c r="G1150" s="264" t="n">
        <v>10</v>
      </c>
      <c r="H1150" s="264" t="inlineStr">
        <is>
          <t xml:space="preserve">DUMAR ANGARITA </t>
        </is>
      </c>
      <c r="I1150" s="264" t="inlineStr">
        <is>
          <t>LQO745</t>
        </is>
      </c>
      <c r="J1150" s="265" t="n">
        <v>0.3013888888888889</v>
      </c>
      <c r="K1150" s="266" t="n">
        <v>3484</v>
      </c>
      <c r="L1150" s="308" t="n"/>
      <c r="M1150" s="113" t="n"/>
      <c r="N1150" s="113" t="n"/>
      <c r="O1150" s="113" t="n"/>
      <c r="P1150" s="243" t="n"/>
      <c r="Q1150" s="113" t="n"/>
      <c r="R1150" s="113" t="n"/>
    </row>
    <row r="1151" ht="15.75" customHeight="1">
      <c r="A1151" s="113" t="n"/>
      <c r="B1151" s="146" t="n">
        <v>20</v>
      </c>
      <c r="C1151" s="350" t="n">
        <v>45942</v>
      </c>
      <c r="D1151" s="351" t="n">
        <v>9</v>
      </c>
      <c r="E1151" s="264" t="inlineStr">
        <is>
          <t xml:space="preserve">SAN JOSE </t>
        </is>
      </c>
      <c r="F1151" s="264" t="inlineStr">
        <is>
          <t>CARGUEROS</t>
        </is>
      </c>
      <c r="G1151" s="264" t="n">
        <v>11</v>
      </c>
      <c r="H1151" s="264" t="inlineStr">
        <is>
          <t>MANUEL QUINTIAN</t>
        </is>
      </c>
      <c r="I1151" s="264" t="inlineStr">
        <is>
          <t>KUS176</t>
        </is>
      </c>
      <c r="J1151" s="265" t="n">
        <v>0.3138888888888889</v>
      </c>
      <c r="K1151" s="266" t="n">
        <v>3200</v>
      </c>
      <c r="L1151" s="308" t="n"/>
      <c r="M1151" s="113" t="n"/>
      <c r="N1151" s="113" t="n"/>
      <c r="O1151" s="113" t="n"/>
      <c r="P1151" s="243" t="n"/>
      <c r="Q1151" s="113" t="n"/>
      <c r="R1151" s="113" t="n"/>
    </row>
    <row r="1152" ht="15.75" customHeight="1">
      <c r="A1152" s="113" t="n"/>
      <c r="B1152" s="146" t="n">
        <v>20</v>
      </c>
      <c r="C1152" s="350" t="n">
        <v>45942</v>
      </c>
      <c r="D1152" s="351" t="n">
        <v>10</v>
      </c>
      <c r="E1152" s="264" t="inlineStr">
        <is>
          <t xml:space="preserve">SAN JOSE </t>
        </is>
      </c>
      <c r="F1152" s="264" t="inlineStr">
        <is>
          <t>ABONEROS</t>
        </is>
      </c>
      <c r="G1152" s="264" t="n">
        <v>10</v>
      </c>
      <c r="H1152" s="264" t="inlineStr">
        <is>
          <t xml:space="preserve">EDWIN ROJAS </t>
        </is>
      </c>
      <c r="I1152" s="264" t="inlineStr">
        <is>
          <t>EQY780</t>
        </is>
      </c>
      <c r="J1152" s="265" t="n">
        <v>0.3368055555555556</v>
      </c>
      <c r="K1152" s="266" t="n">
        <v>3200</v>
      </c>
      <c r="L1152" s="308" t="n"/>
      <c r="M1152" s="113" t="n"/>
      <c r="N1152" s="113" t="n"/>
      <c r="O1152" s="113" t="n"/>
      <c r="P1152" s="243" t="n"/>
      <c r="Q1152" s="113" t="n"/>
      <c r="R1152" s="113" t="n"/>
    </row>
    <row r="1153" ht="15.75" customHeight="1">
      <c r="A1153" s="113" t="n"/>
      <c r="B1153" s="146" t="n">
        <v>20</v>
      </c>
      <c r="C1153" s="350" t="n">
        <v>45942</v>
      </c>
      <c r="D1153" s="351" t="n">
        <v>11</v>
      </c>
      <c r="E1153" s="264" t="inlineStr">
        <is>
          <t xml:space="preserve">SAN JOSE </t>
        </is>
      </c>
      <c r="F1153" s="264" t="inlineStr">
        <is>
          <t>CARGUEROS</t>
        </is>
      </c>
      <c r="G1153" s="264" t="n">
        <v>11</v>
      </c>
      <c r="H1153" s="264" t="inlineStr">
        <is>
          <t>FERNANDO OYUELA</t>
        </is>
      </c>
      <c r="I1153" s="264" t="inlineStr">
        <is>
          <t>EQY778</t>
        </is>
      </c>
      <c r="J1153" s="265" t="n">
        <v>0.3472222222222222</v>
      </c>
      <c r="K1153" s="266" t="n">
        <v>3200</v>
      </c>
      <c r="L1153" s="308" t="n"/>
      <c r="M1153" s="113" t="n"/>
      <c r="N1153" s="113" t="n"/>
      <c r="O1153" s="113" t="n"/>
      <c r="P1153" s="113" t="n"/>
      <c r="Q1153" s="113" t="n"/>
      <c r="R1153" s="113" t="n"/>
    </row>
    <row r="1154" ht="15.75" customHeight="1">
      <c r="A1154" s="113" t="n"/>
      <c r="B1154" s="146" t="n">
        <v>20</v>
      </c>
      <c r="C1154" s="350" t="n">
        <v>45942</v>
      </c>
      <c r="D1154" s="351" t="n">
        <v>12</v>
      </c>
      <c r="E1154" s="264" t="inlineStr">
        <is>
          <t xml:space="preserve">SAN JOSE </t>
        </is>
      </c>
      <c r="F1154" s="264" t="inlineStr">
        <is>
          <t>ABONEROS</t>
        </is>
      </c>
      <c r="G1154" s="264" t="n">
        <v>10</v>
      </c>
      <c r="H1154" s="264" t="inlineStr">
        <is>
          <t xml:space="preserve">WILMER PIÑEROS </t>
        </is>
      </c>
      <c r="I1154" s="264" t="inlineStr">
        <is>
          <t>KNL076</t>
        </is>
      </c>
      <c r="J1154" s="265" t="n">
        <v>0.3694444444444445</v>
      </c>
      <c r="K1154" s="266" t="n">
        <v>3200</v>
      </c>
      <c r="L1154" s="308" t="n"/>
      <c r="M1154" s="113" t="n"/>
      <c r="N1154" s="113" t="n"/>
      <c r="O1154" s="113" t="n"/>
      <c r="P1154" s="113" t="n"/>
      <c r="Q1154" s="113" t="n"/>
      <c r="R1154" s="113" t="n"/>
    </row>
    <row r="1155" ht="15.75" customHeight="1">
      <c r="A1155" s="113" t="n"/>
      <c r="B1155" s="146" t="n">
        <v>20</v>
      </c>
      <c r="C1155" s="350" t="n">
        <v>45942</v>
      </c>
      <c r="D1155" s="351" t="n">
        <v>13</v>
      </c>
      <c r="E1155" s="264" t="inlineStr">
        <is>
          <t xml:space="preserve">SAN JOSE </t>
        </is>
      </c>
      <c r="F1155" s="264" t="inlineStr">
        <is>
          <t>CARGUEROS</t>
        </is>
      </c>
      <c r="G1155" s="264" t="n">
        <v>11</v>
      </c>
      <c r="H1155" s="264" t="inlineStr">
        <is>
          <t>EDUAN CAVIDEZ</t>
        </is>
      </c>
      <c r="I1155" s="264" t="inlineStr">
        <is>
          <t>EQY779</t>
        </is>
      </c>
      <c r="J1155" s="265" t="n">
        <v>0.3784722222222222</v>
      </c>
      <c r="K1155" s="266" t="n">
        <v>3200</v>
      </c>
      <c r="L1155" s="308" t="n"/>
      <c r="M1155" s="113" t="n"/>
      <c r="N1155" s="113" t="n"/>
      <c r="O1155" s="113" t="n"/>
      <c r="P1155" s="113" t="n"/>
      <c r="Q1155" s="113" t="n"/>
      <c r="R1155" s="113" t="n"/>
    </row>
    <row r="1156" ht="15.75" customHeight="1">
      <c r="A1156" s="113" t="n"/>
      <c r="B1156" s="146" t="n">
        <v>20</v>
      </c>
      <c r="C1156" s="350" t="n">
        <v>45942</v>
      </c>
      <c r="D1156" s="351" t="n">
        <v>14</v>
      </c>
      <c r="E1156" s="264" t="inlineStr">
        <is>
          <t xml:space="preserve">SAN JOSE </t>
        </is>
      </c>
      <c r="F1156" s="264" t="inlineStr">
        <is>
          <t>ABONEROS</t>
        </is>
      </c>
      <c r="G1156" s="264" t="n">
        <v>10</v>
      </c>
      <c r="H1156" s="264" t="inlineStr">
        <is>
          <t>ALBERTO LOPEZ</t>
        </is>
      </c>
      <c r="I1156" s="264" t="inlineStr">
        <is>
          <t>EQY777</t>
        </is>
      </c>
      <c r="J1156" s="265" t="n">
        <v>0.4069444444444444</v>
      </c>
      <c r="K1156" s="266" t="n">
        <v>3200</v>
      </c>
      <c r="L1156" s="309" t="n"/>
      <c r="M1156" s="113" t="n"/>
      <c r="N1156" s="113" t="n"/>
      <c r="O1156" s="113" t="n"/>
      <c r="P1156" s="113" t="n"/>
      <c r="Q1156" s="113" t="n"/>
      <c r="R1156" s="113" t="n"/>
    </row>
    <row r="1157" ht="15.75" customHeight="1">
      <c r="A1157" s="113" t="n"/>
      <c r="B1157" s="146" t="n">
        <v>20</v>
      </c>
      <c r="C1157" s="356" t="n">
        <v>45942</v>
      </c>
      <c r="D1157" s="357" t="n">
        <v>15</v>
      </c>
      <c r="E1157" s="271" t="inlineStr">
        <is>
          <t xml:space="preserve">SAN JOSE </t>
        </is>
      </c>
      <c r="F1157" s="271" t="inlineStr">
        <is>
          <t>CARGUEROS</t>
        </is>
      </c>
      <c r="G1157" s="271" t="n">
        <v>11</v>
      </c>
      <c r="H1157" s="271" t="inlineStr">
        <is>
          <t>JAIRO CUBILLOS</t>
        </is>
      </c>
      <c r="I1157" s="271" t="inlineStr">
        <is>
          <t>TLO884</t>
        </is>
      </c>
      <c r="J1157" s="272" t="n">
        <v>0.4166666666666667</v>
      </c>
      <c r="K1157" s="273" t="n">
        <v>3200</v>
      </c>
      <c r="L1157" s="378">
        <f>SUM(K1143:K1157)</f>
        <v/>
      </c>
      <c r="M1157" s="113" t="n"/>
      <c r="N1157" s="113" t="n"/>
      <c r="O1157" s="113" t="n"/>
      <c r="P1157" s="113" t="n"/>
      <c r="Q1157" s="113" t="n"/>
      <c r="R1157" s="113" t="n"/>
    </row>
    <row r="1158" ht="15.75" customHeight="1">
      <c r="A1158" s="113" t="n"/>
      <c r="B1158" s="146" t="n">
        <v>21</v>
      </c>
      <c r="C1158" s="348" t="n">
        <v>45944</v>
      </c>
      <c r="D1158" s="349" t="n">
        <v>1</v>
      </c>
      <c r="E1158" s="258" t="inlineStr">
        <is>
          <t>HUERTAS</t>
        </is>
      </c>
      <c r="F1158" s="258" t="inlineStr">
        <is>
          <t>CARGUEROS</t>
        </is>
      </c>
      <c r="G1158" s="258" t="n">
        <v>11</v>
      </c>
      <c r="H1158" s="258" t="inlineStr">
        <is>
          <t>JAIRO CUBILLOS</t>
        </is>
      </c>
      <c r="I1158" s="258" t="inlineStr">
        <is>
          <t>TLO884</t>
        </is>
      </c>
      <c r="J1158" s="259" t="n">
        <v>0.15625</v>
      </c>
      <c r="K1158" s="260" t="n">
        <v>3090</v>
      </c>
      <c r="L1158" s="292" t="n"/>
      <c r="M1158" s="113" t="n"/>
      <c r="N1158" s="113" t="n"/>
      <c r="O1158" s="113" t="n"/>
      <c r="P1158" s="243" t="n"/>
      <c r="Q1158" s="113" t="n"/>
      <c r="R1158" s="113" t="n"/>
    </row>
    <row r="1159" ht="15.75" customHeight="1">
      <c r="A1159" s="113" t="n"/>
      <c r="B1159" s="146" t="n">
        <v>21</v>
      </c>
      <c r="C1159" s="350" t="n">
        <v>45944</v>
      </c>
      <c r="D1159" s="351" t="n">
        <v>2</v>
      </c>
      <c r="E1159" s="264" t="inlineStr">
        <is>
          <t>HUERTAS</t>
        </is>
      </c>
      <c r="F1159" s="264" t="inlineStr">
        <is>
          <t>CARGUEROS</t>
        </is>
      </c>
      <c r="G1159" s="264" t="n">
        <v>11</v>
      </c>
      <c r="H1159" s="264" t="inlineStr">
        <is>
          <t xml:space="preserve">JAIR RIVEROS </t>
        </is>
      </c>
      <c r="I1159" s="264" t="inlineStr">
        <is>
          <t>TLN181</t>
        </is>
      </c>
      <c r="J1159" s="265" t="n">
        <v>0.2013888888888889</v>
      </c>
      <c r="K1159" s="266" t="n">
        <v>3114</v>
      </c>
      <c r="L1159" s="308" t="n"/>
      <c r="M1159" s="113" t="n"/>
      <c r="N1159" s="113" t="n"/>
      <c r="O1159" s="113" t="n"/>
      <c r="P1159" s="243" t="n"/>
      <c r="Q1159" s="113" t="n"/>
      <c r="R1159" s="113" t="n"/>
    </row>
    <row r="1160" ht="15.75" customHeight="1">
      <c r="A1160" s="113" t="n"/>
      <c r="B1160" s="146" t="n">
        <v>21</v>
      </c>
      <c r="C1160" s="350" t="n">
        <v>45944</v>
      </c>
      <c r="D1160" s="351" t="n">
        <v>4</v>
      </c>
      <c r="E1160" s="264" t="inlineStr">
        <is>
          <t xml:space="preserve">SAN JOSE </t>
        </is>
      </c>
      <c r="F1160" s="264" t="inlineStr">
        <is>
          <t>ABONEROS</t>
        </is>
      </c>
      <c r="G1160" s="264" t="n">
        <v>10</v>
      </c>
      <c r="H1160" s="264" t="inlineStr">
        <is>
          <t>ROBINSON PULIDO</t>
        </is>
      </c>
      <c r="I1160" s="264" t="inlineStr">
        <is>
          <t>GZZ673</t>
        </is>
      </c>
      <c r="J1160" s="265" t="n">
        <v>0.2673611111111111</v>
      </c>
      <c r="K1160" s="266" t="n">
        <v>2826</v>
      </c>
      <c r="L1160" s="308" t="n"/>
      <c r="M1160" s="113" t="n"/>
      <c r="N1160" s="113" t="n"/>
      <c r="O1160" s="113" t="n"/>
      <c r="P1160" s="243" t="n"/>
      <c r="Q1160" s="113" t="n"/>
      <c r="R1160" s="113" t="n"/>
    </row>
    <row r="1161" ht="15.75" customHeight="1">
      <c r="A1161" s="113" t="n"/>
      <c r="B1161" s="146" t="n">
        <v>21</v>
      </c>
      <c r="C1161" s="350" t="n">
        <v>45944</v>
      </c>
      <c r="D1161" s="351" t="n">
        <v>5</v>
      </c>
      <c r="E1161" s="264" t="inlineStr">
        <is>
          <t xml:space="preserve">SAN JOSE </t>
        </is>
      </c>
      <c r="F1161" s="264" t="inlineStr">
        <is>
          <t>ABONEROS</t>
        </is>
      </c>
      <c r="G1161" s="264" t="n">
        <v>10</v>
      </c>
      <c r="H1161" s="264" t="inlineStr">
        <is>
          <t>JOSE HERRERA</t>
        </is>
      </c>
      <c r="I1161" s="264" t="inlineStr">
        <is>
          <t>EQY779</t>
        </is>
      </c>
      <c r="J1161" s="265" t="n">
        <v>0.3027777777777778</v>
      </c>
      <c r="K1161" s="266" t="n">
        <v>2916</v>
      </c>
      <c r="L1161" s="309" t="n"/>
      <c r="M1161" s="113" t="n"/>
      <c r="N1161" s="113" t="n"/>
      <c r="O1161" s="113" t="n"/>
      <c r="P1161" s="243" t="n"/>
      <c r="Q1161" s="113" t="n"/>
      <c r="R1161" s="113" t="n"/>
    </row>
    <row r="1162" ht="15.75" customHeight="1">
      <c r="A1162" s="113" t="n"/>
      <c r="B1162" s="146" t="n">
        <v>21</v>
      </c>
      <c r="C1162" s="356" t="n">
        <v>45944</v>
      </c>
      <c r="D1162" s="357" t="n">
        <v>6</v>
      </c>
      <c r="E1162" s="271" t="inlineStr">
        <is>
          <t xml:space="preserve">SAN JOSE </t>
        </is>
      </c>
      <c r="F1162" s="271" t="inlineStr">
        <is>
          <t>ABONEROS</t>
        </is>
      </c>
      <c r="G1162" s="271" t="n">
        <v>10</v>
      </c>
      <c r="H1162" s="271" t="inlineStr">
        <is>
          <t>ALEX CHAGUALA</t>
        </is>
      </c>
      <c r="I1162" s="271" t="inlineStr">
        <is>
          <t>EQY780</t>
        </is>
      </c>
      <c r="J1162" s="272" t="n">
        <v>0.3388888888888889</v>
      </c>
      <c r="K1162" s="273" t="n">
        <v>2853</v>
      </c>
      <c r="L1162" s="378">
        <f>SUM(K1158:K1162)</f>
        <v/>
      </c>
      <c r="M1162" s="113" t="n"/>
      <c r="N1162" s="113" t="n"/>
      <c r="O1162" s="113" t="n"/>
      <c r="P1162" s="243" t="n"/>
      <c r="Q1162" s="113" t="n"/>
      <c r="R1162" s="113" t="n"/>
    </row>
    <row r="1163" ht="15.75" customHeight="1">
      <c r="A1163" s="113" t="n"/>
      <c r="B1163" s="146" t="n">
        <v>21</v>
      </c>
      <c r="C1163" s="348" t="n">
        <v>45946</v>
      </c>
      <c r="D1163" s="349" t="n">
        <v>1</v>
      </c>
      <c r="E1163" s="258" t="inlineStr">
        <is>
          <t xml:space="preserve">SAN JOSE </t>
        </is>
      </c>
      <c r="F1163" s="258" t="inlineStr">
        <is>
          <t>CARGUEROS</t>
        </is>
      </c>
      <c r="G1163" s="258" t="n">
        <v>10</v>
      </c>
      <c r="H1163" s="258" t="inlineStr">
        <is>
          <t>JAIRO CUBILLOS</t>
        </is>
      </c>
      <c r="I1163" s="258" t="inlineStr">
        <is>
          <t>TLO884</t>
        </is>
      </c>
      <c r="J1163" s="259" t="n">
        <v>0.1944444444444444</v>
      </c>
      <c r="K1163" s="260" t="n">
        <v>2916</v>
      </c>
      <c r="L1163" s="292" t="n"/>
      <c r="M1163" s="113" t="n"/>
      <c r="N1163" s="113" t="n"/>
      <c r="O1163" s="113" t="n"/>
      <c r="P1163" s="243" t="n"/>
      <c r="Q1163" s="113" t="n"/>
      <c r="R1163" s="113" t="n"/>
    </row>
    <row r="1164" ht="15.75" customHeight="1">
      <c r="A1164" s="113" t="n"/>
      <c r="B1164" s="146" t="n">
        <v>21</v>
      </c>
      <c r="C1164" s="350" t="n">
        <v>45946</v>
      </c>
      <c r="D1164" s="351" t="n">
        <v>2</v>
      </c>
      <c r="E1164" s="264" t="inlineStr">
        <is>
          <t xml:space="preserve">SAN JOSE </t>
        </is>
      </c>
      <c r="F1164" s="264" t="inlineStr">
        <is>
          <t>CARGUEROS</t>
        </is>
      </c>
      <c r="G1164" s="264" t="n">
        <v>11</v>
      </c>
      <c r="H1164" s="264" t="inlineStr">
        <is>
          <t>EDWIN ROJAS</t>
        </is>
      </c>
      <c r="I1164" s="264" t="inlineStr">
        <is>
          <t>EQY780</t>
        </is>
      </c>
      <c r="J1164" s="265" t="n">
        <v>0.2361111111111111</v>
      </c>
      <c r="K1164" s="266" t="n">
        <v>3050</v>
      </c>
      <c r="L1164" s="308" t="n"/>
      <c r="M1164" s="113" t="n"/>
      <c r="N1164" s="113" t="n"/>
      <c r="O1164" s="113" t="n"/>
      <c r="P1164" s="243" t="n"/>
      <c r="Q1164" s="113" t="n"/>
      <c r="R1164" s="113" t="n"/>
    </row>
    <row r="1165" ht="15.75" customHeight="1">
      <c r="A1165" s="113" t="n"/>
      <c r="B1165" s="146" t="n">
        <v>21</v>
      </c>
      <c r="C1165" s="350" t="n">
        <v>45946</v>
      </c>
      <c r="D1165" s="351" t="n">
        <v>3</v>
      </c>
      <c r="E1165" s="264" t="inlineStr">
        <is>
          <t xml:space="preserve">SAN JOSE </t>
        </is>
      </c>
      <c r="F1165" s="264" t="inlineStr">
        <is>
          <t>CARGUEROS</t>
        </is>
      </c>
      <c r="G1165" s="264" t="n">
        <v>11</v>
      </c>
      <c r="H1165" s="264" t="inlineStr">
        <is>
          <t xml:space="preserve">DUMAR ANGARITA </t>
        </is>
      </c>
      <c r="I1165" s="264" t="inlineStr">
        <is>
          <t>LQO745</t>
        </is>
      </c>
      <c r="J1165" s="265" t="n">
        <v>0.2777777777777778</v>
      </c>
      <c r="K1165" s="266" t="n">
        <v>3050</v>
      </c>
      <c r="L1165" s="308" t="n"/>
      <c r="M1165" s="113" t="n"/>
      <c r="N1165" s="113" t="n"/>
      <c r="O1165" s="113" t="n"/>
      <c r="P1165" s="243" t="n"/>
      <c r="Q1165" s="113" t="n"/>
      <c r="R1165" s="113" t="n"/>
    </row>
    <row r="1166" ht="15.75" customHeight="1">
      <c r="A1166" s="113" t="n"/>
      <c r="B1166" s="146" t="n">
        <v>21</v>
      </c>
      <c r="C1166" s="350" t="n">
        <v>45946</v>
      </c>
      <c r="D1166" s="351" t="n">
        <v>4</v>
      </c>
      <c r="E1166" s="264" t="inlineStr">
        <is>
          <t xml:space="preserve">SAN JOSE </t>
        </is>
      </c>
      <c r="F1166" s="264" t="inlineStr">
        <is>
          <t>CARGUEROS</t>
        </is>
      </c>
      <c r="G1166" s="264" t="n">
        <v>11</v>
      </c>
      <c r="H1166" s="264" t="inlineStr">
        <is>
          <t xml:space="preserve">JOSE SOLER </t>
        </is>
      </c>
      <c r="I1166" s="264" t="inlineStr">
        <is>
          <t>EQY776</t>
        </is>
      </c>
      <c r="J1166" s="265" t="n">
        <v>0.3194444444444444</v>
      </c>
      <c r="K1166" s="266" t="n">
        <v>3142</v>
      </c>
      <c r="L1166" s="308" t="n"/>
      <c r="M1166" s="113" t="n"/>
      <c r="N1166" s="113" t="n"/>
      <c r="O1166" s="113" t="n"/>
      <c r="P1166" s="243" t="n"/>
      <c r="Q1166" s="113" t="n"/>
      <c r="R1166" s="113" t="n"/>
    </row>
    <row r="1167" ht="15.75" customHeight="1">
      <c r="A1167" s="113" t="n"/>
      <c r="B1167" s="146" t="n">
        <v>21</v>
      </c>
      <c r="C1167" s="350" t="n">
        <v>45946</v>
      </c>
      <c r="D1167" s="351" t="n">
        <v>5</v>
      </c>
      <c r="E1167" s="264" t="inlineStr">
        <is>
          <t xml:space="preserve">SAN JOSE </t>
        </is>
      </c>
      <c r="F1167" s="264" t="inlineStr">
        <is>
          <t>CARGUEROS</t>
        </is>
      </c>
      <c r="G1167" s="264" t="n">
        <v>11</v>
      </c>
      <c r="H1167" s="264" t="inlineStr">
        <is>
          <t>FERNANDO OYUELA</t>
        </is>
      </c>
      <c r="I1167" s="264" t="inlineStr">
        <is>
          <t>EQY778</t>
        </is>
      </c>
      <c r="J1167" s="265" t="n">
        <v>0.3541666666666667</v>
      </c>
      <c r="K1167" s="266" t="n">
        <v>3142</v>
      </c>
      <c r="L1167" s="308" t="n"/>
      <c r="M1167" s="113" t="n"/>
      <c r="N1167" s="113" t="n"/>
      <c r="O1167" s="113" t="n"/>
      <c r="P1167" s="243" t="n"/>
      <c r="Q1167" s="113" t="n"/>
      <c r="R1167" s="113" t="n"/>
    </row>
    <row r="1168" ht="15.75" customHeight="1">
      <c r="A1168" s="113" t="n"/>
      <c r="B1168" s="146" t="n">
        <v>21</v>
      </c>
      <c r="C1168" s="350" t="n">
        <v>45946</v>
      </c>
      <c r="D1168" s="351" t="n">
        <v>6</v>
      </c>
      <c r="E1168" s="264" t="inlineStr">
        <is>
          <t xml:space="preserve">SAN JOSE </t>
        </is>
      </c>
      <c r="F1168" s="264" t="inlineStr">
        <is>
          <t>CARGUEROS</t>
        </is>
      </c>
      <c r="G1168" s="264" t="n">
        <v>11</v>
      </c>
      <c r="H1168" s="264" t="inlineStr">
        <is>
          <t>HENRY ROMERO</t>
        </is>
      </c>
      <c r="I1168" s="264" t="inlineStr">
        <is>
          <t>EQY781</t>
        </is>
      </c>
      <c r="J1168" s="265" t="n">
        <v>0.3854166666666667</v>
      </c>
      <c r="K1168" s="266" t="n">
        <v>3142</v>
      </c>
      <c r="L1168" s="308" t="n"/>
      <c r="M1168" s="113" t="n"/>
      <c r="N1168" s="113" t="n"/>
      <c r="O1168" s="113" t="n"/>
      <c r="P1168" s="243" t="n"/>
      <c r="Q1168" s="113" t="n"/>
      <c r="R1168" s="113" t="n"/>
    </row>
    <row r="1169" ht="15.75" customHeight="1">
      <c r="A1169" s="113" t="n"/>
      <c r="B1169" s="146" t="n">
        <v>21</v>
      </c>
      <c r="C1169" s="350" t="n">
        <v>45946</v>
      </c>
      <c r="D1169" s="351" t="n">
        <v>7</v>
      </c>
      <c r="E1169" s="264" t="inlineStr">
        <is>
          <t xml:space="preserve">SAN JOSE </t>
        </is>
      </c>
      <c r="F1169" s="264" t="inlineStr">
        <is>
          <t>CARGUEROS</t>
        </is>
      </c>
      <c r="G1169" s="264" t="n">
        <v>11</v>
      </c>
      <c r="H1169" s="264" t="inlineStr">
        <is>
          <t>JHON ARIAS</t>
        </is>
      </c>
      <c r="I1169" s="264" t="inlineStr">
        <is>
          <t>TLN248</t>
        </is>
      </c>
      <c r="J1169" s="265" t="n">
        <v>0.4444444444444444</v>
      </c>
      <c r="K1169" s="266" t="n">
        <v>3142</v>
      </c>
      <c r="L1169" s="309" t="n"/>
      <c r="M1169" s="113" t="n"/>
      <c r="N1169" s="113" t="n"/>
      <c r="O1169" s="113" t="n"/>
      <c r="P1169" s="243" t="n"/>
      <c r="Q1169" s="113" t="n"/>
      <c r="R1169" s="113" t="n"/>
    </row>
    <row r="1170" ht="15.75" customHeight="1">
      <c r="A1170" s="113" t="n"/>
      <c r="B1170" s="146" t="n">
        <v>21</v>
      </c>
      <c r="C1170" s="356" t="n">
        <v>45946</v>
      </c>
      <c r="D1170" s="357" t="n">
        <v>8</v>
      </c>
      <c r="E1170" s="271" t="inlineStr">
        <is>
          <t xml:space="preserve">SAN JOSE </t>
        </is>
      </c>
      <c r="F1170" s="271" t="inlineStr">
        <is>
          <t>CARGUEROS</t>
        </is>
      </c>
      <c r="G1170" s="271" t="n">
        <v>11</v>
      </c>
      <c r="H1170" s="271" t="inlineStr">
        <is>
          <t>ALEXANDER CHAGUALA</t>
        </is>
      </c>
      <c r="I1170" s="271" t="inlineStr">
        <is>
          <t>KLN076</t>
        </is>
      </c>
      <c r="J1170" s="272" t="n">
        <v>0.46875</v>
      </c>
      <c r="K1170" s="273" t="n">
        <v>3142</v>
      </c>
      <c r="L1170" s="378">
        <f>SUM(K1163:K1170)</f>
        <v/>
      </c>
      <c r="M1170" s="113" t="n"/>
      <c r="N1170" s="113" t="n"/>
      <c r="O1170" s="113" t="n"/>
      <c r="P1170" s="243" t="n"/>
      <c r="Q1170" s="113" t="n"/>
      <c r="R1170" s="113" t="n"/>
    </row>
    <row r="1171" ht="15.75" customHeight="1">
      <c r="A1171" s="113" t="n"/>
      <c r="B1171" s="146" t="n">
        <v>21</v>
      </c>
      <c r="C1171" s="348" t="n">
        <v>45947</v>
      </c>
      <c r="D1171" s="349" t="n">
        <v>1</v>
      </c>
      <c r="E1171" s="258" t="inlineStr">
        <is>
          <t xml:space="preserve">SAN JOSE </t>
        </is>
      </c>
      <c r="F1171" s="258" t="inlineStr">
        <is>
          <t>CARGUEROS</t>
        </is>
      </c>
      <c r="G1171" s="258" t="n">
        <v>11</v>
      </c>
      <c r="H1171" s="258" t="inlineStr">
        <is>
          <t xml:space="preserve">JAIR RIVEROS </t>
        </is>
      </c>
      <c r="I1171" s="258" t="inlineStr">
        <is>
          <t>TLN181</t>
        </is>
      </c>
      <c r="J1171" s="259" t="n">
        <v>0.1423611111111111</v>
      </c>
      <c r="K1171" s="260" t="n">
        <v>3240</v>
      </c>
      <c r="L1171" s="292" t="n"/>
      <c r="M1171" s="113" t="n"/>
      <c r="N1171" s="113" t="n"/>
      <c r="O1171" s="113" t="n"/>
      <c r="P1171" s="243" t="n"/>
      <c r="Q1171" s="113" t="n"/>
      <c r="R1171" s="113" t="n"/>
    </row>
    <row r="1172" ht="15.75" customHeight="1">
      <c r="A1172" s="113" t="n"/>
      <c r="B1172" s="146" t="n">
        <v>21</v>
      </c>
      <c r="C1172" s="359" t="n">
        <v>45947</v>
      </c>
      <c r="D1172" s="360" t="n">
        <v>2</v>
      </c>
      <c r="E1172" s="293" t="inlineStr">
        <is>
          <t xml:space="preserve">SAN JOSE </t>
        </is>
      </c>
      <c r="F1172" s="389" t="inlineStr">
        <is>
          <t>ABONEROS</t>
        </is>
      </c>
      <c r="G1172" s="389" t="n">
        <v>10</v>
      </c>
      <c r="H1172" s="293" t="inlineStr">
        <is>
          <t>EDUAN CAVIEDEZ</t>
        </is>
      </c>
      <c r="I1172" s="293" t="inlineStr">
        <is>
          <t>EQY779</t>
        </is>
      </c>
      <c r="J1172" s="294" t="n">
        <v>0.1701388888888889</v>
      </c>
      <c r="K1172" s="295" t="n">
        <v>3050</v>
      </c>
      <c r="L1172" s="296" t="n"/>
      <c r="M1172" s="113" t="n"/>
      <c r="N1172" s="113" t="n"/>
      <c r="O1172" s="113" t="n"/>
      <c r="P1172" s="243" t="n"/>
      <c r="Q1172" s="113" t="n"/>
      <c r="R1172" s="113" t="n"/>
    </row>
    <row r="1173" ht="15.75" customHeight="1">
      <c r="A1173" s="113" t="n"/>
      <c r="B1173" s="146" t="n">
        <v>21</v>
      </c>
      <c r="C1173" s="350" t="n">
        <v>45947</v>
      </c>
      <c r="D1173" s="351" t="n">
        <v>3</v>
      </c>
      <c r="E1173" s="264" t="inlineStr">
        <is>
          <t xml:space="preserve">SAN JOSE </t>
        </is>
      </c>
      <c r="F1173" s="293" t="inlineStr">
        <is>
          <t>CARGUEROS</t>
        </is>
      </c>
      <c r="G1173" s="264" t="n">
        <v>11</v>
      </c>
      <c r="H1173" s="264" t="inlineStr">
        <is>
          <t>JHON ARIAS</t>
        </is>
      </c>
      <c r="I1173" s="264" t="inlineStr">
        <is>
          <t>TLN248</t>
        </is>
      </c>
      <c r="J1173" s="265" t="n">
        <v>0.1736111111111111</v>
      </c>
      <c r="K1173" s="266" t="n">
        <v>3050</v>
      </c>
      <c r="L1173" s="308" t="n"/>
      <c r="M1173" s="113" t="n"/>
      <c r="N1173" s="113" t="n"/>
      <c r="O1173" s="113" t="n"/>
      <c r="P1173" s="243" t="n"/>
      <c r="Q1173" s="113" t="n"/>
      <c r="R1173" s="113" t="n"/>
    </row>
    <row r="1174" ht="15.75" customHeight="1">
      <c r="A1174" s="113" t="n"/>
      <c r="B1174" s="146" t="n">
        <v>21</v>
      </c>
      <c r="C1174" s="350" t="n">
        <v>45947</v>
      </c>
      <c r="D1174" s="351" t="n">
        <v>4</v>
      </c>
      <c r="E1174" s="264" t="inlineStr">
        <is>
          <t xml:space="preserve">SAN JOSE </t>
        </is>
      </c>
      <c r="F1174" s="389" t="inlineStr">
        <is>
          <t>ABONEROS</t>
        </is>
      </c>
      <c r="G1174" s="314" t="n">
        <v>10</v>
      </c>
      <c r="H1174" s="264" t="inlineStr">
        <is>
          <t xml:space="preserve">FABIO ALDANA </t>
        </is>
      </c>
      <c r="I1174" s="264" t="inlineStr">
        <is>
          <t>TLO882</t>
        </is>
      </c>
      <c r="J1174" s="265" t="n">
        <v>0.2027777777777778</v>
      </c>
      <c r="K1174" s="266" t="n">
        <v>3240</v>
      </c>
      <c r="L1174" s="308" t="n"/>
      <c r="M1174" s="113" t="n"/>
      <c r="N1174" s="113" t="n"/>
      <c r="O1174" s="113" t="n"/>
      <c r="P1174" s="243" t="n"/>
      <c r="Q1174" s="113" t="n"/>
      <c r="R1174" s="113" t="n"/>
    </row>
    <row r="1175" ht="15.75" customHeight="1">
      <c r="A1175" s="113" t="n"/>
      <c r="B1175" s="146" t="n">
        <v>21</v>
      </c>
      <c r="C1175" s="350" t="n">
        <v>45947</v>
      </c>
      <c r="D1175" s="351" t="n">
        <v>5</v>
      </c>
      <c r="E1175" s="264" t="inlineStr">
        <is>
          <t xml:space="preserve">SAN JOSE </t>
        </is>
      </c>
      <c r="F1175" s="293" t="inlineStr">
        <is>
          <t>CARGUEROS</t>
        </is>
      </c>
      <c r="G1175" s="264" t="n">
        <v>11</v>
      </c>
      <c r="H1175" s="264" t="inlineStr">
        <is>
          <t>ROBINSON PULIDO</t>
        </is>
      </c>
      <c r="I1175" s="264" t="inlineStr">
        <is>
          <t>GZZ673</t>
        </is>
      </c>
      <c r="J1175" s="265" t="n">
        <v>0.2083333333333333</v>
      </c>
      <c r="K1175" s="266" t="n">
        <v>3240</v>
      </c>
      <c r="L1175" s="308" t="n"/>
      <c r="M1175" s="113" t="n"/>
      <c r="N1175" s="113" t="n"/>
      <c r="O1175" s="113" t="n"/>
      <c r="P1175" s="243" t="n"/>
      <c r="Q1175" s="113" t="n"/>
      <c r="R1175" s="113" t="n"/>
    </row>
    <row r="1176" ht="15.75" customHeight="1">
      <c r="A1176" s="113" t="n"/>
      <c r="B1176" s="146" t="n">
        <v>21</v>
      </c>
      <c r="C1176" s="350" t="n">
        <v>45947</v>
      </c>
      <c r="D1176" s="351" t="n">
        <v>6</v>
      </c>
      <c r="E1176" s="264" t="inlineStr">
        <is>
          <t xml:space="preserve">SAN JOSE </t>
        </is>
      </c>
      <c r="F1176" s="389" t="inlineStr">
        <is>
          <t>ABONEROS</t>
        </is>
      </c>
      <c r="G1176" s="314" t="n">
        <v>10</v>
      </c>
      <c r="H1176" s="264" t="inlineStr">
        <is>
          <t>MANUEL QUITIAN</t>
        </is>
      </c>
      <c r="I1176" s="264" t="inlineStr">
        <is>
          <t>KUS176</t>
        </is>
      </c>
      <c r="J1176" s="265" t="n">
        <v>0.2361111111111111</v>
      </c>
      <c r="K1176" s="266" t="n">
        <v>3240</v>
      </c>
      <c r="L1176" s="308" t="n"/>
      <c r="M1176" s="113" t="n"/>
      <c r="N1176" s="113" t="n"/>
      <c r="O1176" s="113" t="n"/>
      <c r="P1176" s="243" t="n"/>
      <c r="Q1176" s="113" t="n"/>
      <c r="R1176" s="113" t="n"/>
    </row>
    <row r="1177" ht="15.75" customHeight="1">
      <c r="A1177" s="113" t="n"/>
      <c r="B1177" s="146" t="n">
        <v>21</v>
      </c>
      <c r="C1177" s="350" t="n">
        <v>45947</v>
      </c>
      <c r="D1177" s="351" t="n">
        <v>7</v>
      </c>
      <c r="E1177" s="264" t="inlineStr">
        <is>
          <t xml:space="preserve">SAN JOSE </t>
        </is>
      </c>
      <c r="F1177" s="293" t="inlineStr">
        <is>
          <t>CARGUEROS</t>
        </is>
      </c>
      <c r="G1177" s="264" t="n">
        <v>10</v>
      </c>
      <c r="H1177" s="264" t="inlineStr">
        <is>
          <t>ALEXANDER CHAGUALA</t>
        </is>
      </c>
      <c r="I1177" s="264" t="inlineStr">
        <is>
          <t>KLN076</t>
        </is>
      </c>
      <c r="J1177" s="265" t="n">
        <v>0.25</v>
      </c>
      <c r="K1177" s="266" t="n">
        <v>3400</v>
      </c>
      <c r="L1177" s="308" t="n"/>
      <c r="M1177" s="113" t="n"/>
      <c r="N1177" s="113" t="n"/>
      <c r="O1177" s="113" t="n"/>
      <c r="P1177" s="243" t="n"/>
      <c r="Q1177" s="113" t="n"/>
      <c r="R1177" s="113" t="n"/>
    </row>
    <row r="1178" ht="15.75" customHeight="1">
      <c r="A1178" s="113" t="n"/>
      <c r="B1178" s="146" t="n">
        <v>21</v>
      </c>
      <c r="C1178" s="350" t="n">
        <v>45947</v>
      </c>
      <c r="D1178" s="351" t="n">
        <v>8</v>
      </c>
      <c r="E1178" s="264" t="inlineStr">
        <is>
          <t xml:space="preserve">SAN JOSE </t>
        </is>
      </c>
      <c r="F1178" s="293" t="inlineStr">
        <is>
          <t>CARGUEROS</t>
        </is>
      </c>
      <c r="G1178" s="264" t="n">
        <v>11</v>
      </c>
      <c r="H1178" s="264" t="inlineStr">
        <is>
          <t>ALBERTO LOPEZ</t>
        </is>
      </c>
      <c r="I1178" s="264" t="inlineStr">
        <is>
          <t>EQY777</t>
        </is>
      </c>
      <c r="J1178" s="265" t="n">
        <v>0.2916666666666667</v>
      </c>
      <c r="K1178" s="266" t="n">
        <v>3400</v>
      </c>
      <c r="L1178" s="308" t="n"/>
      <c r="M1178" s="113" t="n"/>
      <c r="N1178" s="113" t="n"/>
      <c r="O1178" s="113" t="n"/>
      <c r="P1178" s="243" t="n"/>
      <c r="Q1178" s="113" t="n"/>
      <c r="R1178" s="113" t="n"/>
    </row>
    <row r="1179" ht="15.75" customHeight="1">
      <c r="A1179" s="113" t="n"/>
      <c r="B1179" s="146" t="n">
        <v>21</v>
      </c>
      <c r="C1179" s="350" t="n">
        <v>45947</v>
      </c>
      <c r="D1179" s="351" t="n">
        <v>9</v>
      </c>
      <c r="E1179" s="264" t="inlineStr">
        <is>
          <t xml:space="preserve">SAN JOSE </t>
        </is>
      </c>
      <c r="F1179" s="389" t="inlineStr">
        <is>
          <t>ABONEROS</t>
        </is>
      </c>
      <c r="G1179" s="314" t="n">
        <v>10</v>
      </c>
      <c r="H1179" s="264" t="inlineStr">
        <is>
          <t xml:space="preserve">JOSE SOLER </t>
        </is>
      </c>
      <c r="I1179" s="264" t="inlineStr">
        <is>
          <t>EQY776</t>
        </is>
      </c>
      <c r="J1179" s="265" t="n">
        <v>0.2694444444444444</v>
      </c>
      <c r="K1179" s="266" t="n">
        <v>3400</v>
      </c>
      <c r="L1179" s="308" t="n"/>
      <c r="M1179" s="113" t="n"/>
      <c r="N1179" s="113" t="n"/>
      <c r="O1179" s="113" t="n"/>
      <c r="P1179" s="243" t="n"/>
      <c r="Q1179" s="113" t="n"/>
      <c r="R1179" s="113" t="n"/>
    </row>
    <row r="1180" ht="15.75" customHeight="1">
      <c r="A1180" s="113" t="n"/>
      <c r="B1180" s="146" t="n">
        <v>21</v>
      </c>
      <c r="C1180" s="350" t="n">
        <v>45947</v>
      </c>
      <c r="D1180" s="351" t="n">
        <v>10</v>
      </c>
      <c r="E1180" s="264" t="inlineStr">
        <is>
          <t xml:space="preserve">SAN JOSE </t>
        </is>
      </c>
      <c r="F1180" s="389" t="inlineStr">
        <is>
          <t>ABONEROS</t>
        </is>
      </c>
      <c r="G1180" s="314" t="n">
        <v>10</v>
      </c>
      <c r="H1180" s="264" t="inlineStr">
        <is>
          <t xml:space="preserve">YAIR RIVEROS </t>
        </is>
      </c>
      <c r="I1180" s="264" t="inlineStr">
        <is>
          <t>TLN181</t>
        </is>
      </c>
      <c r="J1180" s="265" t="n">
        <v>0.3097222222222222</v>
      </c>
      <c r="K1180" s="266" t="n">
        <v>3000</v>
      </c>
      <c r="L1180" s="308" t="n"/>
      <c r="M1180" s="113" t="n"/>
      <c r="N1180" s="113" t="n"/>
      <c r="O1180" s="113" t="n"/>
      <c r="P1180" s="243" t="n"/>
      <c r="Q1180" s="113" t="n"/>
      <c r="R1180" s="113" t="n"/>
    </row>
    <row r="1181" ht="15.75" customHeight="1">
      <c r="A1181" s="113" t="n"/>
      <c r="B1181" s="146" t="n">
        <v>21</v>
      </c>
      <c r="C1181" s="350" t="n">
        <v>45947</v>
      </c>
      <c r="D1181" s="351" t="n">
        <v>11</v>
      </c>
      <c r="E1181" s="264" t="inlineStr">
        <is>
          <t xml:space="preserve">SAN JOSE </t>
        </is>
      </c>
      <c r="F1181" s="293" t="inlineStr">
        <is>
          <t>CARGUEROS</t>
        </is>
      </c>
      <c r="G1181" s="264" t="n">
        <v>11</v>
      </c>
      <c r="H1181" s="264" t="inlineStr">
        <is>
          <t>JHON ARIAS</t>
        </is>
      </c>
      <c r="I1181" s="264" t="inlineStr">
        <is>
          <t>TLN248</t>
        </is>
      </c>
      <c r="J1181" s="265" t="n">
        <v>0.3263888888888889</v>
      </c>
      <c r="K1181" s="266" t="n">
        <v>2950</v>
      </c>
      <c r="L1181" s="308" t="n"/>
      <c r="M1181" s="113" t="n"/>
      <c r="N1181" s="113" t="n"/>
      <c r="O1181" s="113" t="n"/>
      <c r="P1181" s="243" t="n"/>
      <c r="Q1181" s="113" t="n"/>
      <c r="R1181" s="113" t="n"/>
    </row>
    <row r="1182" ht="15.75" customHeight="1">
      <c r="A1182" s="113" t="n"/>
      <c r="B1182" s="146" t="n">
        <v>21</v>
      </c>
      <c r="C1182" s="350" t="n">
        <v>45947</v>
      </c>
      <c r="D1182" s="351" t="n">
        <v>12</v>
      </c>
      <c r="E1182" s="264" t="inlineStr">
        <is>
          <t xml:space="preserve">SAN JOSE </t>
        </is>
      </c>
      <c r="F1182" s="293" t="inlineStr">
        <is>
          <t>CARGUEROS</t>
        </is>
      </c>
      <c r="G1182" s="264" t="n">
        <v>11</v>
      </c>
      <c r="H1182" s="264" t="inlineStr">
        <is>
          <t xml:space="preserve">MANUEL QUINTIAN </t>
        </is>
      </c>
      <c r="I1182" s="264" t="inlineStr">
        <is>
          <t>KUS176</t>
        </is>
      </c>
      <c r="J1182" s="265" t="n">
        <v>0.3472222222222222</v>
      </c>
      <c r="K1182" s="266" t="n">
        <v>2950</v>
      </c>
      <c r="L1182" s="308" t="n"/>
      <c r="M1182" s="113" t="n"/>
      <c r="N1182" s="113" t="n"/>
      <c r="O1182" s="113" t="n"/>
      <c r="P1182" s="243" t="n"/>
      <c r="Q1182" s="113" t="n"/>
      <c r="R1182" s="113" t="n"/>
    </row>
    <row r="1183" ht="15.75" customHeight="1">
      <c r="A1183" s="113" t="n"/>
      <c r="B1183" s="146" t="n">
        <v>21</v>
      </c>
      <c r="C1183" s="350" t="n">
        <v>45947</v>
      </c>
      <c r="D1183" s="351" t="n">
        <v>13</v>
      </c>
      <c r="E1183" s="264" t="inlineStr">
        <is>
          <t xml:space="preserve">SAN JOSE </t>
        </is>
      </c>
      <c r="F1183" s="293" t="inlineStr">
        <is>
          <t>CARGUEROS</t>
        </is>
      </c>
      <c r="G1183" s="264" t="n">
        <v>11</v>
      </c>
      <c r="H1183" s="264" t="inlineStr">
        <is>
          <t>EDUAN CAVIDEZ</t>
        </is>
      </c>
      <c r="I1183" s="264" t="inlineStr">
        <is>
          <t>EQY779</t>
        </is>
      </c>
      <c r="J1183" s="265" t="n">
        <v>0.3645833333333333</v>
      </c>
      <c r="K1183" s="266" t="n">
        <v>2950</v>
      </c>
      <c r="L1183" s="309" t="n"/>
      <c r="M1183" s="113" t="n"/>
      <c r="N1183" s="113" t="n"/>
      <c r="O1183" s="113" t="n"/>
      <c r="P1183" s="243" t="n"/>
      <c r="Q1183" s="113" t="n"/>
      <c r="R1183" s="113" t="n"/>
    </row>
    <row r="1184" ht="15.75" customHeight="1">
      <c r="A1184" s="113" t="n"/>
      <c r="B1184" s="146" t="n">
        <v>21</v>
      </c>
      <c r="C1184" s="352" t="n">
        <v>45947</v>
      </c>
      <c r="D1184" s="347" t="n">
        <v>14</v>
      </c>
      <c r="E1184" s="282" t="inlineStr">
        <is>
          <t xml:space="preserve">SAN JOSE </t>
        </is>
      </c>
      <c r="F1184" s="282" t="inlineStr">
        <is>
          <t xml:space="preserve">CARGUEROS </t>
        </is>
      </c>
      <c r="G1184" s="282" t="n">
        <v>11</v>
      </c>
      <c r="H1184" s="282" t="inlineStr">
        <is>
          <t xml:space="preserve">FABIO ALDANA </t>
        </is>
      </c>
      <c r="I1184" s="282" t="inlineStr">
        <is>
          <t>TLO882</t>
        </is>
      </c>
      <c r="J1184" s="283" t="n">
        <v>0.4027777777777778</v>
      </c>
      <c r="K1184" s="284" t="n">
        <v>2916</v>
      </c>
      <c r="L1184" s="353">
        <f>SUM(K1171:K1184)</f>
        <v/>
      </c>
      <c r="M1184" s="113" t="n"/>
      <c r="N1184" s="113" t="n"/>
      <c r="O1184" s="113" t="n"/>
      <c r="P1184" s="243" t="n"/>
      <c r="Q1184" s="113" t="n"/>
      <c r="R1184" s="113" t="n"/>
    </row>
    <row r="1185" ht="15.75" customHeight="1">
      <c r="A1185" s="113" t="n"/>
      <c r="B1185" s="146" t="n">
        <v>21</v>
      </c>
      <c r="C1185" s="348" t="n">
        <v>45948</v>
      </c>
      <c r="D1185" s="349" t="n">
        <v>1</v>
      </c>
      <c r="E1185" s="258" t="inlineStr">
        <is>
          <t>HUERTAS</t>
        </is>
      </c>
      <c r="F1185" s="258" t="inlineStr">
        <is>
          <t>CARGUEROS</t>
        </is>
      </c>
      <c r="G1185" s="258" t="n">
        <v>11</v>
      </c>
      <c r="H1185" s="258" t="inlineStr">
        <is>
          <t>HENRY ROMERO</t>
        </is>
      </c>
      <c r="I1185" s="258" t="inlineStr">
        <is>
          <t>EQY781</t>
        </is>
      </c>
      <c r="J1185" s="259" t="n">
        <v>0.1145833333333333</v>
      </c>
      <c r="K1185" s="260" t="n">
        <v>2360</v>
      </c>
      <c r="L1185" s="292" t="n"/>
      <c r="M1185" s="113" t="n"/>
      <c r="N1185" s="113" t="n"/>
      <c r="O1185" s="113" t="n"/>
      <c r="P1185" s="243" t="n"/>
      <c r="Q1185" s="113" t="n"/>
      <c r="R1185" s="113" t="n"/>
    </row>
    <row r="1186" ht="15.75" customHeight="1">
      <c r="A1186" s="113" t="n"/>
      <c r="B1186" s="146" t="n">
        <v>21</v>
      </c>
      <c r="C1186" s="350" t="n">
        <v>45948</v>
      </c>
      <c r="D1186" s="351" t="n">
        <v>2</v>
      </c>
      <c r="E1186" s="264" t="inlineStr">
        <is>
          <t>HUERTAS</t>
        </is>
      </c>
      <c r="F1186" s="264" t="inlineStr">
        <is>
          <t>CARGUEROS</t>
        </is>
      </c>
      <c r="G1186" s="264" t="n">
        <v>11</v>
      </c>
      <c r="H1186" s="264" t="inlineStr">
        <is>
          <t>JAIRO CUBILLOS</t>
        </is>
      </c>
      <c r="I1186" s="264" t="inlineStr">
        <is>
          <t>TLO884</t>
        </is>
      </c>
      <c r="J1186" s="265" t="n">
        <v>0.1597222222222222</v>
      </c>
      <c r="K1186" s="266" t="n">
        <v>2360</v>
      </c>
      <c r="L1186" s="308" t="n"/>
      <c r="M1186" s="113" t="n"/>
      <c r="N1186" s="113" t="n"/>
      <c r="O1186" s="113" t="n"/>
      <c r="P1186" s="243" t="n"/>
      <c r="Q1186" s="113" t="n"/>
      <c r="R1186" s="113" t="n"/>
    </row>
    <row r="1187" ht="15.75" customHeight="1">
      <c r="A1187" s="113" t="n"/>
      <c r="B1187" s="146" t="n">
        <v>21</v>
      </c>
      <c r="C1187" s="350" t="n">
        <v>45948</v>
      </c>
      <c r="D1187" s="351" t="n">
        <v>3</v>
      </c>
      <c r="E1187" s="264" t="inlineStr">
        <is>
          <t xml:space="preserve">SAN JOSE </t>
        </is>
      </c>
      <c r="F1187" s="264" t="inlineStr">
        <is>
          <t>CARGUEROS</t>
        </is>
      </c>
      <c r="G1187" s="264" t="n">
        <v>11</v>
      </c>
      <c r="H1187" s="264" t="inlineStr">
        <is>
          <t>EDUAN CAVIEDEZ</t>
        </is>
      </c>
      <c r="I1187" s="264" t="inlineStr">
        <is>
          <t>EQY779</t>
        </is>
      </c>
      <c r="J1187" s="265" t="n">
        <v>0.3020833333333333</v>
      </c>
      <c r="K1187" s="266" t="n">
        <v>2916</v>
      </c>
      <c r="L1187" s="308" t="n"/>
      <c r="M1187" s="113" t="n"/>
      <c r="N1187" s="113" t="n"/>
      <c r="O1187" s="113" t="n"/>
      <c r="P1187" s="243" t="n"/>
      <c r="Q1187" s="113" t="n"/>
      <c r="R1187" s="113" t="n"/>
    </row>
    <row r="1188" ht="15.75" customHeight="1">
      <c r="A1188" s="113" t="n"/>
      <c r="B1188" s="146" t="n">
        <v>21</v>
      </c>
      <c r="C1188" s="350" t="n">
        <v>45948</v>
      </c>
      <c r="D1188" s="351" t="n">
        <v>4</v>
      </c>
      <c r="E1188" s="264" t="inlineStr">
        <is>
          <t xml:space="preserve">SAN JOSE </t>
        </is>
      </c>
      <c r="F1188" s="264" t="inlineStr">
        <is>
          <t>CARGUEROS</t>
        </is>
      </c>
      <c r="G1188" s="264" t="n">
        <v>11</v>
      </c>
      <c r="H1188" s="264" t="inlineStr">
        <is>
          <t xml:space="preserve">JOSE SOLER </t>
        </is>
      </c>
      <c r="I1188" s="264" t="inlineStr">
        <is>
          <t>EQY776</t>
        </is>
      </c>
      <c r="J1188" s="265" t="n">
        <v>0.3298611111111111</v>
      </c>
      <c r="K1188" s="266" t="n">
        <v>1730</v>
      </c>
      <c r="L1188" s="309" t="n"/>
      <c r="M1188" s="113" t="n"/>
      <c r="N1188" s="113" t="n"/>
      <c r="O1188" s="113" t="n"/>
      <c r="P1188" s="243" t="n"/>
      <c r="Q1188" s="113" t="n"/>
      <c r="R1188" s="113" t="n"/>
    </row>
    <row r="1189" ht="15.75" customHeight="1">
      <c r="A1189" s="113" t="n"/>
      <c r="B1189" s="146" t="n">
        <v>21</v>
      </c>
      <c r="C1189" s="352" t="n">
        <v>45948</v>
      </c>
      <c r="D1189" s="347" t="n">
        <v>5</v>
      </c>
      <c r="E1189" s="282" t="inlineStr">
        <is>
          <t xml:space="preserve">SAN JOSE </t>
        </is>
      </c>
      <c r="F1189" s="282" t="inlineStr">
        <is>
          <t>CARGUEROS</t>
        </is>
      </c>
      <c r="G1189" s="282" t="n">
        <v>11</v>
      </c>
      <c r="H1189" s="282" t="inlineStr">
        <is>
          <t xml:space="preserve">YAIR RIVEROS </t>
        </is>
      </c>
      <c r="I1189" s="282" t="inlineStr">
        <is>
          <t>TLN181</t>
        </is>
      </c>
      <c r="J1189" s="283" t="n">
        <v>0.3611111111111111</v>
      </c>
      <c r="K1189" s="284" t="n">
        <v>3600</v>
      </c>
      <c r="L1189" s="353">
        <f>SUM(K1185:K1187)</f>
        <v/>
      </c>
      <c r="M1189" s="113" t="n"/>
      <c r="N1189" s="113" t="n"/>
      <c r="O1189" s="113" t="n"/>
      <c r="P1189" s="243" t="n"/>
      <c r="Q1189" s="113" t="n"/>
      <c r="R1189" s="113" t="n"/>
    </row>
    <row r="1190" ht="15.75" customHeight="1">
      <c r="A1190" s="113" t="n"/>
      <c r="B1190" s="146" t="n">
        <v>22</v>
      </c>
      <c r="C1190" s="348" t="n">
        <v>45950</v>
      </c>
      <c r="D1190" s="349" t="n">
        <v>1</v>
      </c>
      <c r="E1190" s="258" t="inlineStr">
        <is>
          <t xml:space="preserve">SAN JOSE </t>
        </is>
      </c>
      <c r="F1190" s="258" t="inlineStr">
        <is>
          <t>CARGUEROS</t>
        </is>
      </c>
      <c r="G1190" s="258" t="n">
        <v>11</v>
      </c>
      <c r="H1190" s="258" t="inlineStr">
        <is>
          <t>ROBINSON PULIDO</t>
        </is>
      </c>
      <c r="I1190" s="258" t="inlineStr">
        <is>
          <t>GZZ673</t>
        </is>
      </c>
      <c r="J1190" s="259" t="n">
        <v>0.02777777777777778</v>
      </c>
      <c r="K1190" s="260" t="n">
        <v>3420</v>
      </c>
      <c r="L1190" s="292" t="n"/>
      <c r="M1190" s="113" t="n"/>
      <c r="N1190" s="113" t="n"/>
      <c r="O1190" s="113" t="n"/>
      <c r="P1190" s="243" t="n"/>
      <c r="Q1190" s="113" t="n"/>
      <c r="R1190" s="113" t="n"/>
    </row>
    <row r="1191" ht="15.75" customHeight="1">
      <c r="A1191" s="113" t="n"/>
      <c r="B1191" s="146" t="n">
        <v>22</v>
      </c>
      <c r="C1191" s="350" t="n">
        <v>45950</v>
      </c>
      <c r="D1191" s="351" t="n">
        <v>2</v>
      </c>
      <c r="E1191" s="264" t="inlineStr">
        <is>
          <t xml:space="preserve">SAN JOSE </t>
        </is>
      </c>
      <c r="F1191" s="264" t="inlineStr">
        <is>
          <t>CARGUEROS</t>
        </is>
      </c>
      <c r="G1191" s="264" t="n">
        <v>11</v>
      </c>
      <c r="H1191" s="264" t="inlineStr">
        <is>
          <t>JHON ARIAS</t>
        </is>
      </c>
      <c r="I1191" s="264" t="inlineStr">
        <is>
          <t>TLN248</t>
        </is>
      </c>
      <c r="J1191" s="265" t="n">
        <v>0.05902777777777778</v>
      </c>
      <c r="K1191" s="266" t="n">
        <v>3420</v>
      </c>
      <c r="L1191" s="308" t="n"/>
      <c r="M1191" s="113" t="n"/>
      <c r="N1191" s="113" t="n"/>
      <c r="O1191" s="113" t="n"/>
      <c r="P1191" s="243" t="n"/>
      <c r="Q1191" s="113" t="n"/>
      <c r="R1191" s="113" t="n"/>
    </row>
    <row r="1192" ht="15.75" customHeight="1">
      <c r="A1192" s="113" t="n"/>
      <c r="B1192" s="146" t="n">
        <v>22</v>
      </c>
      <c r="C1192" s="350" t="n">
        <v>45950</v>
      </c>
      <c r="D1192" s="351" t="n">
        <v>3</v>
      </c>
      <c r="E1192" s="264" t="inlineStr">
        <is>
          <t xml:space="preserve">SAN JOSE </t>
        </is>
      </c>
      <c r="F1192" s="264" t="inlineStr">
        <is>
          <t>CARGUEROS</t>
        </is>
      </c>
      <c r="G1192" s="264" t="n">
        <v>11</v>
      </c>
      <c r="H1192" s="264" t="inlineStr">
        <is>
          <t>MANUEL QUINTIAN</t>
        </is>
      </c>
      <c r="I1192" s="264" t="inlineStr">
        <is>
          <t>KUS176</t>
        </is>
      </c>
      <c r="J1192" s="265" t="n">
        <v>0.09722222222222222</v>
      </c>
      <c r="K1192" s="266" t="n">
        <v>2840</v>
      </c>
      <c r="L1192" s="308" t="n"/>
      <c r="M1192" s="113" t="n"/>
      <c r="N1192" s="113" t="n"/>
      <c r="O1192" s="113" t="n"/>
      <c r="P1192" s="243" t="n"/>
      <c r="Q1192" s="113" t="n"/>
      <c r="R1192" s="113" t="n"/>
    </row>
    <row r="1193" ht="15.75" customHeight="1">
      <c r="A1193" s="113" t="n"/>
      <c r="B1193" s="146" t="n">
        <v>22</v>
      </c>
      <c r="C1193" s="350" t="n">
        <v>45950</v>
      </c>
      <c r="D1193" s="351" t="n">
        <v>4</v>
      </c>
      <c r="E1193" s="264" t="inlineStr">
        <is>
          <t xml:space="preserve">SAN JOSE </t>
        </is>
      </c>
      <c r="F1193" s="264" t="inlineStr">
        <is>
          <t>CARGUEROS</t>
        </is>
      </c>
      <c r="G1193" s="264" t="n">
        <v>11</v>
      </c>
      <c r="H1193" s="264" t="inlineStr">
        <is>
          <t>ALBERTO LOPEZ</t>
        </is>
      </c>
      <c r="I1193" s="264" t="inlineStr">
        <is>
          <t>EQY777</t>
        </is>
      </c>
      <c r="J1193" s="265" t="n">
        <v>0.1423611111111111</v>
      </c>
      <c r="K1193" s="266" t="n">
        <v>3000</v>
      </c>
      <c r="L1193" s="308" t="n"/>
      <c r="M1193" s="113" t="n"/>
      <c r="N1193" s="113" t="n"/>
      <c r="O1193" s="113" t="n"/>
      <c r="P1193" s="243" t="n"/>
      <c r="Q1193" s="113" t="n"/>
      <c r="R1193" s="113" t="n"/>
    </row>
    <row r="1194" ht="15.75" customHeight="1">
      <c r="A1194" s="113" t="n"/>
      <c r="B1194" s="146" t="n">
        <v>22</v>
      </c>
      <c r="C1194" s="350" t="n">
        <v>45950</v>
      </c>
      <c r="D1194" s="351" t="n">
        <v>5</v>
      </c>
      <c r="E1194" s="264" t="inlineStr">
        <is>
          <t xml:space="preserve">SAN JOSE </t>
        </is>
      </c>
      <c r="F1194" s="264" t="inlineStr">
        <is>
          <t>CARGUEROS</t>
        </is>
      </c>
      <c r="G1194" s="264" t="n">
        <v>11</v>
      </c>
      <c r="H1194" s="264" t="inlineStr">
        <is>
          <t>EDUAN CAVIDEZ</t>
        </is>
      </c>
      <c r="I1194" s="264" t="inlineStr">
        <is>
          <t>EQY779</t>
        </is>
      </c>
      <c r="J1194" s="265" t="n">
        <v>0.1715277777777778</v>
      </c>
      <c r="K1194" s="266" t="n">
        <v>3000</v>
      </c>
      <c r="L1194" s="308" t="n"/>
      <c r="M1194" s="113" t="n"/>
      <c r="N1194" s="113" t="n"/>
      <c r="O1194" s="113" t="n"/>
      <c r="P1194" s="243" t="n"/>
      <c r="Q1194" s="113" t="n"/>
      <c r="R1194" s="113" t="n"/>
    </row>
    <row r="1195" ht="15.75" customHeight="1">
      <c r="A1195" s="113" t="n"/>
      <c r="B1195" s="146" t="n">
        <v>22</v>
      </c>
      <c r="C1195" s="350" t="n">
        <v>45950</v>
      </c>
      <c r="D1195" s="351" t="n">
        <v>6</v>
      </c>
      <c r="E1195" s="264" t="inlineStr">
        <is>
          <t xml:space="preserve">SAN JOSE </t>
        </is>
      </c>
      <c r="F1195" s="264" t="inlineStr">
        <is>
          <t>CARGUEROS</t>
        </is>
      </c>
      <c r="G1195" s="264" t="n">
        <v>11</v>
      </c>
      <c r="H1195" s="264" t="inlineStr">
        <is>
          <t>ALEXANDER CHAGUALA</t>
        </is>
      </c>
      <c r="I1195" s="264" t="inlineStr">
        <is>
          <t>EQY776</t>
        </is>
      </c>
      <c r="J1195" s="265" t="n">
        <v>0.2118055555555556</v>
      </c>
      <c r="K1195" s="266" t="n">
        <v>3240</v>
      </c>
      <c r="L1195" s="309" t="n"/>
      <c r="M1195" s="113" t="n"/>
      <c r="N1195" s="113" t="n"/>
      <c r="O1195" s="113" t="n"/>
      <c r="P1195" s="243" t="n"/>
      <c r="Q1195" s="113" t="n"/>
      <c r="R1195" s="113" t="n"/>
    </row>
    <row r="1196" ht="15.75" customHeight="1">
      <c r="A1196" s="113" t="n"/>
      <c r="B1196" s="146" t="n">
        <v>22</v>
      </c>
      <c r="C1196" s="352" t="n">
        <v>45950</v>
      </c>
      <c r="D1196" s="347" t="n">
        <v>7</v>
      </c>
      <c r="E1196" s="282" t="inlineStr">
        <is>
          <t xml:space="preserve">SAN JOSE </t>
        </is>
      </c>
      <c r="F1196" s="282" t="inlineStr">
        <is>
          <t>CARGUEROS</t>
        </is>
      </c>
      <c r="G1196" s="282" t="n">
        <v>11</v>
      </c>
      <c r="H1196" s="282" t="inlineStr">
        <is>
          <t>JAIRO CUBILLOS</t>
        </is>
      </c>
      <c r="I1196" s="282" t="inlineStr">
        <is>
          <t>TLO884</t>
        </is>
      </c>
      <c r="J1196" s="283" t="n">
        <v>0.25</v>
      </c>
      <c r="K1196" s="284" t="n">
        <v>2510</v>
      </c>
      <c r="L1196" s="378">
        <f>SUM(K1190:K1196)</f>
        <v/>
      </c>
      <c r="M1196" s="113" t="n"/>
      <c r="N1196" s="113" t="n"/>
      <c r="O1196" s="113" t="n"/>
      <c r="P1196" s="243" t="n"/>
      <c r="Q1196" s="113" t="n"/>
      <c r="R1196" s="113" t="n"/>
    </row>
    <row r="1197" ht="15.75" customHeight="1">
      <c r="A1197" s="113" t="n"/>
      <c r="B1197" s="146" t="n">
        <v>22</v>
      </c>
      <c r="C1197" s="348" t="n">
        <v>45950</v>
      </c>
      <c r="D1197" s="349" t="n">
        <v>1</v>
      </c>
      <c r="E1197" s="258" t="inlineStr">
        <is>
          <t>HUERTAS</t>
        </is>
      </c>
      <c r="F1197" s="258" t="inlineStr">
        <is>
          <t>CARGUEROS</t>
        </is>
      </c>
      <c r="G1197" s="258" t="n">
        <v>11</v>
      </c>
      <c r="H1197" s="258" t="inlineStr">
        <is>
          <t>MANUEL QUINTIAN</t>
        </is>
      </c>
      <c r="I1197" s="258" t="inlineStr">
        <is>
          <t>KUS176</t>
        </is>
      </c>
      <c r="J1197" s="259" t="n">
        <v>0.9930555555555556</v>
      </c>
      <c r="K1197" s="260" t="n">
        <v>3240</v>
      </c>
      <c r="L1197" s="292" t="n"/>
      <c r="M1197" s="113" t="n"/>
      <c r="N1197" s="113" t="n"/>
      <c r="O1197" s="113" t="n"/>
      <c r="P1197" s="243" t="n"/>
      <c r="Q1197" s="113" t="n"/>
      <c r="R1197" s="113" t="n"/>
    </row>
    <row r="1198" ht="15.75" customHeight="1">
      <c r="A1198" s="113" t="n"/>
      <c r="B1198" s="146" t="n">
        <v>22</v>
      </c>
      <c r="C1198" s="350" t="n">
        <v>45951</v>
      </c>
      <c r="D1198" s="351" t="n">
        <v>2</v>
      </c>
      <c r="E1198" s="264" t="inlineStr">
        <is>
          <t>HUERTAS</t>
        </is>
      </c>
      <c r="F1198" s="264" t="inlineStr">
        <is>
          <t>CARGUEROS</t>
        </is>
      </c>
      <c r="G1198" s="264" t="n">
        <v>11</v>
      </c>
      <c r="H1198" s="264" t="inlineStr">
        <is>
          <t>ALEX GOMEZ</t>
        </is>
      </c>
      <c r="I1198" s="264" t="inlineStr">
        <is>
          <t>TLO881</t>
        </is>
      </c>
      <c r="J1198" s="265" t="n">
        <v>0.02430555555555556</v>
      </c>
      <c r="K1198" s="266" t="n">
        <v>3240</v>
      </c>
      <c r="L1198" s="308" t="n"/>
      <c r="M1198" s="113" t="n"/>
      <c r="N1198" s="113" t="n"/>
      <c r="O1198" s="113" t="n"/>
      <c r="P1198" s="243" t="n"/>
      <c r="Q1198" s="113" t="n"/>
      <c r="R1198" s="113" t="n"/>
    </row>
    <row r="1199" ht="15.75" customHeight="1">
      <c r="A1199" s="113" t="n"/>
      <c r="B1199" s="146" t="n">
        <v>22</v>
      </c>
      <c r="C1199" s="350" t="n">
        <v>45951</v>
      </c>
      <c r="D1199" s="351" t="n">
        <v>3</v>
      </c>
      <c r="E1199" s="264" t="inlineStr">
        <is>
          <t>HUERTAS</t>
        </is>
      </c>
      <c r="F1199" s="264" t="inlineStr">
        <is>
          <t>CARGUEROS</t>
        </is>
      </c>
      <c r="G1199" s="264" t="n">
        <v>11</v>
      </c>
      <c r="H1199" s="264" t="inlineStr">
        <is>
          <t xml:space="preserve">JOSE HERRERA </t>
        </is>
      </c>
      <c r="I1199" s="264" t="inlineStr">
        <is>
          <t>EQY779</t>
        </is>
      </c>
      <c r="J1199" s="265" t="n">
        <v>0.06944444444444445</v>
      </c>
      <c r="K1199" s="266" t="n">
        <v>3240</v>
      </c>
      <c r="L1199" s="308" t="n"/>
      <c r="M1199" s="113" t="n"/>
      <c r="N1199" s="113" t="n"/>
      <c r="O1199" s="113" t="n"/>
      <c r="P1199" s="243" t="n"/>
      <c r="Q1199" s="113" t="n"/>
      <c r="R1199" s="113" t="n"/>
    </row>
    <row r="1200" ht="15.75" customHeight="1">
      <c r="A1200" s="113" t="n"/>
      <c r="B1200" s="146" t="n">
        <v>22</v>
      </c>
      <c r="C1200" s="350" t="n">
        <v>45951</v>
      </c>
      <c r="D1200" s="351" t="n">
        <v>4</v>
      </c>
      <c r="E1200" s="264" t="inlineStr">
        <is>
          <t>HUERTAS</t>
        </is>
      </c>
      <c r="F1200" s="264" t="inlineStr">
        <is>
          <t>CARGUEROS</t>
        </is>
      </c>
      <c r="G1200" s="264" t="n">
        <v>11</v>
      </c>
      <c r="H1200" s="264" t="inlineStr">
        <is>
          <t>ALBERTO LOPEZ</t>
        </is>
      </c>
      <c r="I1200" s="264" t="inlineStr">
        <is>
          <t>EQY777</t>
        </is>
      </c>
      <c r="J1200" s="265" t="n">
        <v>0.1111111111111111</v>
      </c>
      <c r="K1200" s="266" t="n">
        <v>2800</v>
      </c>
      <c r="L1200" s="308" t="n"/>
      <c r="M1200" s="113" t="n"/>
      <c r="N1200" s="113" t="n"/>
      <c r="O1200" s="113" t="n"/>
      <c r="P1200" s="243" t="n"/>
      <c r="Q1200" s="113" t="n"/>
      <c r="R1200" s="113" t="n"/>
    </row>
    <row r="1201" ht="15.75" customHeight="1">
      <c r="A1201" s="113" t="n"/>
      <c r="B1201" s="146" t="n">
        <v>22</v>
      </c>
      <c r="C1201" s="350" t="n">
        <v>45951</v>
      </c>
      <c r="D1201" s="351" t="n">
        <v>5</v>
      </c>
      <c r="E1201" s="264" t="inlineStr">
        <is>
          <t>HUERTAS</t>
        </is>
      </c>
      <c r="F1201" s="264" t="inlineStr">
        <is>
          <t>CARGUEROS</t>
        </is>
      </c>
      <c r="G1201" s="264" t="n">
        <v>11</v>
      </c>
      <c r="H1201" s="264" t="inlineStr">
        <is>
          <t>ALEXANDER CHAGUALA</t>
        </is>
      </c>
      <c r="I1201" s="264" t="inlineStr">
        <is>
          <t>EQY776</t>
        </is>
      </c>
      <c r="J1201" s="265" t="n">
        <v>0.1527777777777778</v>
      </c>
      <c r="K1201" s="266" t="n">
        <v>2760</v>
      </c>
      <c r="L1201" s="309" t="n"/>
      <c r="M1201" s="113" t="n"/>
      <c r="N1201" s="113" t="n"/>
      <c r="O1201" s="113" t="n"/>
      <c r="P1201" s="243" t="n"/>
      <c r="Q1201" s="113" t="n"/>
      <c r="R1201" s="113" t="n"/>
    </row>
    <row r="1202" ht="15.75" customHeight="1">
      <c r="A1202" s="113" t="n"/>
      <c r="B1202" s="146" t="n">
        <v>22</v>
      </c>
      <c r="C1202" s="356" t="n">
        <v>45951</v>
      </c>
      <c r="D1202" s="357" t="n">
        <v>6</v>
      </c>
      <c r="E1202" s="271" t="inlineStr">
        <is>
          <t xml:space="preserve">SAN JOSE </t>
        </is>
      </c>
      <c r="F1202" s="271" t="inlineStr">
        <is>
          <t>ABONEROS</t>
        </is>
      </c>
      <c r="G1202" s="271" t="n">
        <v>10</v>
      </c>
      <c r="H1202" s="271" t="inlineStr">
        <is>
          <t xml:space="preserve">JAIRO CUBILLOS </t>
        </is>
      </c>
      <c r="I1202" s="271" t="inlineStr">
        <is>
          <t>TLO884</t>
        </is>
      </c>
      <c r="J1202" s="272" t="n">
        <v>0.2791666666666667</v>
      </c>
      <c r="K1202" s="273" t="n">
        <v>3000</v>
      </c>
      <c r="L1202" s="378">
        <f>SUM(K1197:K1202)</f>
        <v/>
      </c>
      <c r="M1202" s="113" t="n"/>
      <c r="N1202" s="113" t="n"/>
      <c r="O1202" s="113" t="n"/>
      <c r="P1202" s="243" t="n"/>
      <c r="Q1202" s="113" t="n"/>
      <c r="R1202" s="113" t="n"/>
    </row>
    <row r="1203" ht="15.75" customHeight="1">
      <c r="A1203" s="113" t="n"/>
      <c r="B1203" s="146" t="n">
        <v>22</v>
      </c>
      <c r="C1203" s="348" t="n">
        <v>45952</v>
      </c>
      <c r="D1203" s="349" t="n">
        <v>1</v>
      </c>
      <c r="E1203" s="258" t="inlineStr">
        <is>
          <t>HUERTAS</t>
        </is>
      </c>
      <c r="F1203" s="258" t="inlineStr">
        <is>
          <t>CARGUEROS</t>
        </is>
      </c>
      <c r="G1203" s="258" t="n">
        <v>11</v>
      </c>
      <c r="H1203" s="258" t="inlineStr">
        <is>
          <t xml:space="preserve">ALEXANDER CHAGUALA </t>
        </is>
      </c>
      <c r="I1203" s="258" t="inlineStr">
        <is>
          <t>EQY776</t>
        </is>
      </c>
      <c r="J1203" s="259" t="n">
        <v>0.9409722222222222</v>
      </c>
      <c r="K1203" s="260" t="n">
        <v>3240</v>
      </c>
      <c r="L1203" s="292" t="n"/>
      <c r="M1203" s="113" t="n"/>
      <c r="N1203" s="113" t="n"/>
      <c r="O1203" s="113" t="n"/>
      <c r="P1203" s="243" t="n"/>
      <c r="Q1203" s="113" t="n"/>
      <c r="R1203" s="113" t="n"/>
    </row>
    <row r="1204" ht="15.75" customHeight="1">
      <c r="A1204" s="113" t="n"/>
      <c r="B1204" s="146" t="n">
        <v>22</v>
      </c>
      <c r="C1204" s="350" t="n">
        <v>45952</v>
      </c>
      <c r="D1204" s="351" t="n">
        <v>2</v>
      </c>
      <c r="E1204" s="264" t="inlineStr">
        <is>
          <t>HUERTAS</t>
        </is>
      </c>
      <c r="F1204" s="264" t="inlineStr">
        <is>
          <t>CARGUEROS</t>
        </is>
      </c>
      <c r="G1204" s="264" t="n">
        <v>11</v>
      </c>
      <c r="H1204" s="264" t="inlineStr">
        <is>
          <t>HENRY ROMERO</t>
        </is>
      </c>
      <c r="I1204" s="264" t="inlineStr">
        <is>
          <t>EQY781</t>
        </is>
      </c>
      <c r="J1204" s="265" t="n">
        <v>0.9791666666666666</v>
      </c>
      <c r="K1204" s="266" t="n">
        <v>3240</v>
      </c>
      <c r="L1204" s="308" t="n"/>
      <c r="M1204" s="113" t="n"/>
      <c r="N1204" s="113" t="n"/>
      <c r="O1204" s="113" t="n"/>
      <c r="P1204" s="243" t="n"/>
      <c r="Q1204" s="113" t="n"/>
      <c r="R1204" s="113" t="n"/>
    </row>
    <row r="1205" ht="15.75" customHeight="1">
      <c r="A1205" s="113" t="n"/>
      <c r="B1205" s="146" t="n">
        <v>22</v>
      </c>
      <c r="C1205" s="350" t="n">
        <v>45952</v>
      </c>
      <c r="D1205" s="351" t="n">
        <v>3</v>
      </c>
      <c r="E1205" s="264" t="inlineStr">
        <is>
          <t>HUERTAS</t>
        </is>
      </c>
      <c r="F1205" s="264" t="inlineStr">
        <is>
          <t>CARGUEROS</t>
        </is>
      </c>
      <c r="G1205" s="264" t="n">
        <v>11</v>
      </c>
      <c r="H1205" s="264" t="inlineStr">
        <is>
          <t>FERNANDO OYUELA</t>
        </is>
      </c>
      <c r="I1205" s="264" t="inlineStr">
        <is>
          <t>EQY778</t>
        </is>
      </c>
      <c r="J1205" s="265" t="n">
        <v>0.5208333333333334</v>
      </c>
      <c r="K1205" s="266" t="n">
        <v>3240</v>
      </c>
      <c r="L1205" s="308" t="n"/>
      <c r="M1205" s="113" t="n"/>
      <c r="N1205" s="113" t="n"/>
      <c r="O1205" s="113" t="n"/>
      <c r="P1205" s="243" t="n"/>
      <c r="Q1205" s="113" t="n"/>
      <c r="R1205" s="113" t="n"/>
    </row>
    <row r="1206" ht="15.75" customHeight="1">
      <c r="A1206" s="113" t="n"/>
      <c r="B1206" s="146" t="n">
        <v>22</v>
      </c>
      <c r="C1206" s="350" t="n">
        <v>45952</v>
      </c>
      <c r="D1206" s="351" t="n">
        <v>4</v>
      </c>
      <c r="E1206" s="264" t="inlineStr">
        <is>
          <t>HUERTAS</t>
        </is>
      </c>
      <c r="F1206" s="264" t="inlineStr">
        <is>
          <t>CARGUEROS</t>
        </is>
      </c>
      <c r="G1206" s="264" t="n">
        <v>11</v>
      </c>
      <c r="H1206" s="264" t="inlineStr">
        <is>
          <t>EDUAN CAVIDEZ</t>
        </is>
      </c>
      <c r="I1206" s="264" t="inlineStr">
        <is>
          <t>EQY8779</t>
        </is>
      </c>
      <c r="J1206" s="265" t="n">
        <v>0.06597222222222222</v>
      </c>
      <c r="K1206" s="266" t="n">
        <v>3564</v>
      </c>
      <c r="L1206" s="308" t="n"/>
      <c r="M1206" s="113" t="n"/>
      <c r="N1206" s="113" t="n"/>
      <c r="O1206" s="113" t="n"/>
      <c r="P1206" s="243" t="n"/>
      <c r="Q1206" s="113" t="n"/>
      <c r="R1206" s="113" t="n"/>
    </row>
    <row r="1207" ht="15.75" customHeight="1">
      <c r="A1207" s="113" t="n"/>
      <c r="B1207" s="146" t="n">
        <v>22</v>
      </c>
      <c r="C1207" s="350" t="n">
        <v>45952</v>
      </c>
      <c r="D1207" s="351" t="n">
        <v>5</v>
      </c>
      <c r="E1207" s="264" t="inlineStr">
        <is>
          <t>HUERTAS</t>
        </is>
      </c>
      <c r="F1207" s="264" t="inlineStr">
        <is>
          <t>CARGUEROS</t>
        </is>
      </c>
      <c r="G1207" s="264" t="n">
        <v>11</v>
      </c>
      <c r="H1207" s="264" t="inlineStr">
        <is>
          <t>ALBERTO LOPEZ</t>
        </is>
      </c>
      <c r="I1207" s="264" t="inlineStr">
        <is>
          <t>EQY777</t>
        </is>
      </c>
      <c r="J1207" s="265" t="n">
        <v>0.1111111111111111</v>
      </c>
      <c r="K1207" s="266" t="n">
        <v>3240</v>
      </c>
      <c r="L1207" s="308" t="n"/>
      <c r="M1207" s="113" t="n"/>
      <c r="N1207" s="113" t="n"/>
      <c r="O1207" s="113" t="n"/>
      <c r="P1207" s="243" t="n"/>
      <c r="Q1207" s="113" t="n"/>
      <c r="R1207" s="113" t="n"/>
    </row>
    <row r="1208" ht="15.75" customHeight="1">
      <c r="A1208" s="113" t="n"/>
      <c r="B1208" s="146" t="n">
        <v>22</v>
      </c>
      <c r="C1208" s="350" t="n">
        <v>45952</v>
      </c>
      <c r="D1208" s="351" t="n">
        <v>6</v>
      </c>
      <c r="E1208" s="264" t="inlineStr">
        <is>
          <t>HUERTAS</t>
        </is>
      </c>
      <c r="F1208" s="264" t="inlineStr">
        <is>
          <t>CARGUEROS</t>
        </is>
      </c>
      <c r="G1208" s="264" t="n">
        <v>11</v>
      </c>
      <c r="H1208" s="264" t="inlineStr">
        <is>
          <t>ROBINSON PULIDO</t>
        </is>
      </c>
      <c r="I1208" s="264" t="inlineStr">
        <is>
          <t>GZZ673</t>
        </is>
      </c>
      <c r="J1208" s="265" t="n">
        <v>0.1458333333333333</v>
      </c>
      <c r="K1208" s="266" t="n">
        <v>2670</v>
      </c>
      <c r="L1208" s="308" t="n"/>
      <c r="M1208" s="113" t="n"/>
      <c r="N1208" s="113" t="n"/>
      <c r="O1208" s="113" t="n"/>
      <c r="P1208" s="243" t="n"/>
      <c r="Q1208" s="113" t="n"/>
      <c r="R1208" s="113" t="n"/>
    </row>
    <row r="1209" ht="15.75" customHeight="1">
      <c r="A1209" s="113" t="n"/>
      <c r="B1209" s="146" t="n">
        <v>22</v>
      </c>
      <c r="C1209" s="350" t="n">
        <v>45952</v>
      </c>
      <c r="D1209" s="351" t="n">
        <v>7</v>
      </c>
      <c r="E1209" s="264" t="inlineStr">
        <is>
          <t>GARCERAS</t>
        </is>
      </c>
      <c r="F1209" s="264" t="inlineStr">
        <is>
          <t>ABONEROS</t>
        </is>
      </c>
      <c r="G1209" s="264" t="n">
        <v>10</v>
      </c>
      <c r="H1209" s="264" t="inlineStr">
        <is>
          <t>JAIRO CUBILLOS</t>
        </is>
      </c>
      <c r="I1209" s="264" t="inlineStr">
        <is>
          <t>TLO884</t>
        </is>
      </c>
      <c r="J1209" s="265" t="n">
        <v>0.1909722222222222</v>
      </c>
      <c r="K1209" s="266" t="n">
        <v>2673</v>
      </c>
      <c r="L1209" s="309" t="n"/>
      <c r="M1209" s="113" t="n"/>
      <c r="N1209" s="113" t="n"/>
      <c r="O1209" s="113" t="n"/>
      <c r="P1209" s="243" t="n"/>
      <c r="Q1209" s="113" t="n"/>
      <c r="R1209" s="113" t="n"/>
    </row>
    <row r="1210" ht="15.75" customHeight="1">
      <c r="A1210" s="113" t="n"/>
      <c r="B1210" s="146" t="n">
        <v>22</v>
      </c>
      <c r="C1210" s="356" t="n">
        <v>45952</v>
      </c>
      <c r="D1210" s="357" t="n">
        <v>8</v>
      </c>
      <c r="E1210" s="271" t="inlineStr">
        <is>
          <t>GARCERAS</t>
        </is>
      </c>
      <c r="F1210" s="271" t="inlineStr">
        <is>
          <t>ABONEROS</t>
        </is>
      </c>
      <c r="G1210" s="271" t="n">
        <v>10</v>
      </c>
      <c r="H1210" s="271" t="inlineStr">
        <is>
          <t>MANUEL QUINTIAN</t>
        </is>
      </c>
      <c r="I1210" s="271" t="inlineStr">
        <is>
          <t>KUS176</t>
        </is>
      </c>
      <c r="J1210" s="272" t="n">
        <v>0.2201388888888889</v>
      </c>
      <c r="K1210" s="273" t="n">
        <v>2673</v>
      </c>
      <c r="L1210" s="378">
        <f>SUM(K1203:K1210)</f>
        <v/>
      </c>
      <c r="M1210" s="113" t="n"/>
      <c r="N1210" s="113" t="n"/>
      <c r="O1210" s="113" t="n"/>
      <c r="P1210" s="243" t="n"/>
      <c r="Q1210" s="113" t="n"/>
      <c r="R1210" s="113" t="n"/>
    </row>
    <row r="1211" ht="15.75" customHeight="1">
      <c r="A1211" s="113" t="n"/>
      <c r="B1211" s="146" t="n">
        <v>22</v>
      </c>
      <c r="C1211" s="348" t="n">
        <v>45953</v>
      </c>
      <c r="D1211" s="349" t="n">
        <v>1</v>
      </c>
      <c r="E1211" s="258" t="inlineStr">
        <is>
          <t>HUERTAS</t>
        </is>
      </c>
      <c r="F1211" s="258" t="inlineStr">
        <is>
          <t>CARGUEROS</t>
        </is>
      </c>
      <c r="G1211" s="258" t="n">
        <v>11</v>
      </c>
      <c r="H1211" s="258" t="inlineStr">
        <is>
          <t>JHON ARIAS</t>
        </is>
      </c>
      <c r="I1211" s="258" t="inlineStr">
        <is>
          <t>TLN248</t>
        </is>
      </c>
      <c r="J1211" s="259" t="n">
        <v>0.8944444444444445</v>
      </c>
      <c r="K1211" s="260" t="n">
        <v>2916</v>
      </c>
      <c r="L1211" s="292" t="n"/>
      <c r="M1211" s="113" t="n"/>
      <c r="N1211" s="113" t="n"/>
      <c r="O1211" s="113" t="n"/>
      <c r="P1211" s="243" t="n"/>
      <c r="Q1211" s="113" t="n"/>
      <c r="R1211" s="113" t="n"/>
    </row>
    <row r="1212" ht="15.75" customHeight="1">
      <c r="A1212" s="113" t="n"/>
      <c r="B1212" s="146" t="n">
        <v>22</v>
      </c>
      <c r="C1212" s="350" t="n">
        <v>45953</v>
      </c>
      <c r="D1212" s="351" t="n">
        <v>2</v>
      </c>
      <c r="E1212" s="264" t="inlineStr">
        <is>
          <t>HUERTAS</t>
        </is>
      </c>
      <c r="F1212" s="264" t="inlineStr">
        <is>
          <t>CARGUEROS</t>
        </is>
      </c>
      <c r="G1212" s="264" t="n">
        <v>11</v>
      </c>
      <c r="H1212" s="264" t="inlineStr">
        <is>
          <t>EDWIN ROJAS</t>
        </is>
      </c>
      <c r="I1212" s="264" t="inlineStr">
        <is>
          <t>EQY780</t>
        </is>
      </c>
      <c r="J1212" s="265" t="n">
        <v>0.9305555555555556</v>
      </c>
      <c r="K1212" s="266" t="n">
        <v>2916</v>
      </c>
      <c r="L1212" s="308" t="n"/>
      <c r="M1212" s="113" t="n"/>
      <c r="N1212" s="113" t="n"/>
      <c r="O1212" s="113" t="n"/>
      <c r="P1212" s="243" t="n"/>
      <c r="Q1212" s="113" t="n"/>
      <c r="R1212" s="113" t="n"/>
    </row>
    <row r="1213" ht="15.75" customHeight="1">
      <c r="A1213" s="113" t="n"/>
      <c r="B1213" s="146" t="n">
        <v>22</v>
      </c>
      <c r="C1213" s="350" t="n">
        <v>45953</v>
      </c>
      <c r="D1213" s="351" t="n">
        <v>3</v>
      </c>
      <c r="E1213" s="264" t="inlineStr">
        <is>
          <t>HUERTAS</t>
        </is>
      </c>
      <c r="F1213" s="264" t="inlineStr">
        <is>
          <t>CARGUEROS</t>
        </is>
      </c>
      <c r="G1213" s="264" t="n">
        <v>11</v>
      </c>
      <c r="H1213" s="264" t="inlineStr">
        <is>
          <t>YAIR RVEROS</t>
        </is>
      </c>
      <c r="I1213" s="264" t="inlineStr">
        <is>
          <t>TLN181</t>
        </is>
      </c>
      <c r="J1213" s="265" t="n">
        <v>0.9604166666666667</v>
      </c>
      <c r="K1213" s="266" t="n">
        <v>2520</v>
      </c>
      <c r="L1213" s="308" t="n"/>
      <c r="M1213" s="113" t="n"/>
      <c r="N1213" s="113" t="n"/>
      <c r="O1213" s="113" t="n"/>
      <c r="P1213" s="243" t="n"/>
      <c r="Q1213" s="113" t="n"/>
      <c r="R1213" s="113" t="n"/>
    </row>
    <row r="1214" ht="15.75" customHeight="1">
      <c r="A1214" s="113" t="n"/>
      <c r="B1214" s="146" t="n">
        <v>22</v>
      </c>
      <c r="C1214" s="350" t="n">
        <v>45953</v>
      </c>
      <c r="D1214" s="351" t="n">
        <v>4</v>
      </c>
      <c r="E1214" s="264" t="inlineStr">
        <is>
          <t>HUERTAS</t>
        </is>
      </c>
      <c r="F1214" s="264" t="inlineStr">
        <is>
          <t>CARGUEROS</t>
        </is>
      </c>
      <c r="G1214" s="264" t="n">
        <v>11</v>
      </c>
      <c r="H1214" s="264" t="inlineStr">
        <is>
          <t>JOSE HERRERA</t>
        </is>
      </c>
      <c r="I1214" s="264" t="inlineStr">
        <is>
          <t>LQO745</t>
        </is>
      </c>
      <c r="J1214" s="265" t="n">
        <v>0.02430555555555556</v>
      </c>
      <c r="K1214" s="266" t="n">
        <v>2916</v>
      </c>
      <c r="L1214" s="308" t="n"/>
      <c r="M1214" s="113" t="n"/>
      <c r="N1214" s="113" t="n"/>
      <c r="O1214" s="113" t="n"/>
      <c r="P1214" s="243" t="n"/>
      <c r="Q1214" s="113" t="n"/>
      <c r="R1214" s="113" t="n"/>
    </row>
    <row r="1215" ht="15.75" customHeight="1">
      <c r="A1215" s="113" t="n"/>
      <c r="B1215" s="146" t="n">
        <v>22</v>
      </c>
      <c r="C1215" s="350" t="n">
        <v>45953</v>
      </c>
      <c r="D1215" s="351" t="n">
        <v>5</v>
      </c>
      <c r="E1215" s="264" t="inlineStr">
        <is>
          <t>HUERTAS</t>
        </is>
      </c>
      <c r="F1215" s="264" t="inlineStr">
        <is>
          <t>CARGUEROS</t>
        </is>
      </c>
      <c r="G1215" s="264" t="n">
        <v>11</v>
      </c>
      <c r="H1215" s="264" t="inlineStr">
        <is>
          <t>ROBINSON PULIDO</t>
        </is>
      </c>
      <c r="I1215" s="264" t="inlineStr">
        <is>
          <t>GZZ673</t>
        </is>
      </c>
      <c r="J1215" s="265" t="n">
        <v>0.06944444444444445</v>
      </c>
      <c r="K1215" s="266" t="n">
        <v>2880</v>
      </c>
      <c r="L1215" s="308" t="n"/>
      <c r="M1215" s="113" t="n"/>
      <c r="N1215" s="113" t="n"/>
      <c r="O1215" s="113" t="n"/>
      <c r="P1215" s="243" t="n"/>
      <c r="Q1215" s="113" t="n"/>
      <c r="R1215" s="113" t="n"/>
    </row>
    <row r="1216" ht="15.75" customHeight="1">
      <c r="A1216" s="113" t="n"/>
      <c r="B1216" s="146" t="n">
        <v>22</v>
      </c>
      <c r="C1216" s="350" t="n">
        <v>45953</v>
      </c>
      <c r="D1216" s="351" t="n">
        <v>6</v>
      </c>
      <c r="E1216" s="264" t="inlineStr">
        <is>
          <t>HUERTAS</t>
        </is>
      </c>
      <c r="F1216" s="264" t="inlineStr">
        <is>
          <t>CARGUEROS</t>
        </is>
      </c>
      <c r="G1216" s="264" t="n">
        <v>11</v>
      </c>
      <c r="H1216" s="264" t="inlineStr">
        <is>
          <t>JHON ARIAS</t>
        </is>
      </c>
      <c r="I1216" s="264" t="inlineStr">
        <is>
          <t>TLN248</t>
        </is>
      </c>
      <c r="J1216" s="265" t="n">
        <v>0.1111111111111111</v>
      </c>
      <c r="K1216" s="266" t="n">
        <v>2916</v>
      </c>
      <c r="L1216" s="308" t="n"/>
      <c r="M1216" s="113" t="n"/>
      <c r="N1216" s="113" t="n"/>
      <c r="O1216" s="113" t="n"/>
      <c r="P1216" s="243" t="n"/>
      <c r="Q1216" s="113" t="n"/>
      <c r="R1216" s="113" t="n"/>
    </row>
    <row r="1217" ht="15.75" customHeight="1">
      <c r="A1217" s="113" t="n"/>
      <c r="B1217" s="146" t="n">
        <v>22</v>
      </c>
      <c r="C1217" s="350" t="n">
        <v>45953</v>
      </c>
      <c r="D1217" s="351" t="n">
        <v>7</v>
      </c>
      <c r="E1217" s="264" t="inlineStr">
        <is>
          <t>HUERTAS</t>
        </is>
      </c>
      <c r="F1217" s="264" t="inlineStr">
        <is>
          <t>CARGUEROS</t>
        </is>
      </c>
      <c r="G1217" s="264" t="n">
        <v>11</v>
      </c>
      <c r="H1217" s="264" t="inlineStr">
        <is>
          <t xml:space="preserve">WILMER PIÑEROS </t>
        </is>
      </c>
      <c r="I1217" s="264" t="inlineStr">
        <is>
          <t>KLN076</t>
        </is>
      </c>
      <c r="J1217" s="265" t="n">
        <v>0.15625</v>
      </c>
      <c r="K1217" s="266" t="n">
        <v>2718</v>
      </c>
      <c r="L1217" s="308" t="n"/>
      <c r="M1217" s="113" t="n"/>
      <c r="N1217" s="113" t="n"/>
      <c r="O1217" s="113" t="n"/>
      <c r="P1217" s="243" t="n"/>
      <c r="Q1217" s="113" t="n"/>
      <c r="R1217" s="113" t="n"/>
    </row>
    <row r="1218" ht="15.75" customHeight="1">
      <c r="A1218" s="113" t="n"/>
      <c r="B1218" s="146" t="n">
        <v>22</v>
      </c>
      <c r="C1218" s="350" t="n">
        <v>45953</v>
      </c>
      <c r="D1218" s="351" t="n">
        <v>8</v>
      </c>
      <c r="E1218" s="264" t="inlineStr">
        <is>
          <t>HUERTAS</t>
        </is>
      </c>
      <c r="F1218" s="264" t="inlineStr">
        <is>
          <t>CARGUEROS</t>
        </is>
      </c>
      <c r="G1218" s="264" t="n">
        <v>11</v>
      </c>
      <c r="H1218" s="264" t="inlineStr">
        <is>
          <t>FERNANDO OYUELA</t>
        </is>
      </c>
      <c r="I1218" s="264" t="inlineStr">
        <is>
          <t>EQY778</t>
        </is>
      </c>
      <c r="J1218" s="265" t="n">
        <v>0.1979166666666667</v>
      </c>
      <c r="K1218" s="266" t="n">
        <v>3100</v>
      </c>
      <c r="L1218" s="308" t="n"/>
      <c r="M1218" s="113" t="n"/>
      <c r="N1218" s="113" t="n"/>
      <c r="O1218" s="113" t="n"/>
      <c r="P1218" s="243" t="n"/>
      <c r="Q1218" s="113" t="n"/>
      <c r="R1218" s="113" t="n"/>
    </row>
    <row r="1219" ht="15.75" customHeight="1">
      <c r="A1219" s="113" t="n"/>
      <c r="B1219" s="146" t="n">
        <v>22</v>
      </c>
      <c r="C1219" s="350" t="n">
        <v>45953</v>
      </c>
      <c r="D1219" s="351" t="n">
        <v>9</v>
      </c>
      <c r="E1219" s="264" t="inlineStr">
        <is>
          <t>HUERTAS</t>
        </is>
      </c>
      <c r="F1219" s="264" t="inlineStr">
        <is>
          <t>CARGUEROS</t>
        </is>
      </c>
      <c r="G1219" s="264" t="n">
        <v>11</v>
      </c>
      <c r="H1219" s="264" t="inlineStr">
        <is>
          <t>ALEX GOMEZ</t>
        </is>
      </c>
      <c r="I1219" s="264" t="inlineStr">
        <is>
          <t>TLO881</t>
        </is>
      </c>
      <c r="J1219" s="265" t="n">
        <v>0.2256944444444444</v>
      </c>
      <c r="K1219" s="266" t="n">
        <v>3100</v>
      </c>
      <c r="L1219" s="308" t="n"/>
      <c r="M1219" s="113" t="n"/>
      <c r="N1219" s="113" t="n"/>
      <c r="O1219" s="113" t="n"/>
      <c r="P1219" s="243" t="n"/>
      <c r="Q1219" s="113" t="n"/>
      <c r="R1219" s="113" t="n"/>
    </row>
    <row r="1220" ht="15.75" customHeight="1">
      <c r="A1220" s="113" t="n"/>
      <c r="B1220" s="146" t="n">
        <v>22</v>
      </c>
      <c r="C1220" s="350" t="n">
        <v>45953</v>
      </c>
      <c r="D1220" s="351" t="n">
        <v>10</v>
      </c>
      <c r="E1220" s="264" t="inlineStr">
        <is>
          <t>HUERTAS</t>
        </is>
      </c>
      <c r="F1220" s="264" t="inlineStr">
        <is>
          <t>CARGUEROS</t>
        </is>
      </c>
      <c r="G1220" s="264" t="n">
        <v>11</v>
      </c>
      <c r="H1220" s="264" t="inlineStr">
        <is>
          <t>MANUEL QUINTIAN</t>
        </is>
      </c>
      <c r="I1220" s="264" t="inlineStr">
        <is>
          <t>KUS176</t>
        </is>
      </c>
      <c r="J1220" s="265" t="n">
        <v>0.2534722222222222</v>
      </c>
      <c r="K1220" s="266" t="n">
        <v>2916</v>
      </c>
      <c r="L1220" s="308" t="n"/>
      <c r="M1220" s="113" t="n"/>
      <c r="N1220" s="113" t="n"/>
      <c r="O1220" s="113" t="n"/>
      <c r="P1220" s="243" t="n"/>
      <c r="Q1220" s="113" t="n"/>
      <c r="R1220" s="113" t="n"/>
    </row>
    <row r="1221" ht="15.75" customHeight="1">
      <c r="A1221" s="113" t="n"/>
      <c r="B1221" s="146" t="n">
        <v>22</v>
      </c>
      <c r="C1221" s="350" t="n">
        <v>45953</v>
      </c>
      <c r="D1221" s="351" t="n">
        <v>11</v>
      </c>
      <c r="E1221" s="264" t="inlineStr">
        <is>
          <t>GARCERAS</t>
        </is>
      </c>
      <c r="F1221" s="264" t="inlineStr">
        <is>
          <t>ABONEROS</t>
        </is>
      </c>
      <c r="G1221" s="264" t="n">
        <v>10</v>
      </c>
      <c r="H1221" s="264" t="inlineStr">
        <is>
          <t>JOSE HERRERA</t>
        </is>
      </c>
      <c r="I1221" s="264" t="inlineStr">
        <is>
          <t>LQO745</t>
        </is>
      </c>
      <c r="J1221" s="265" t="n">
        <v>0.2770833333333333</v>
      </c>
      <c r="K1221" s="266" t="n">
        <v>3011</v>
      </c>
      <c r="L1221" s="308" t="n"/>
      <c r="M1221" s="113" t="n"/>
      <c r="N1221" s="113" t="n"/>
      <c r="O1221" s="113" t="n"/>
      <c r="P1221" s="243" t="n"/>
      <c r="Q1221" s="113" t="n"/>
      <c r="R1221" s="113" t="n"/>
    </row>
    <row r="1222" ht="15.75" customHeight="1">
      <c r="A1222" s="113" t="n"/>
      <c r="B1222" s="146" t="n">
        <v>22</v>
      </c>
      <c r="C1222" s="350" t="n">
        <v>45953</v>
      </c>
      <c r="D1222" s="351" t="n">
        <v>12</v>
      </c>
      <c r="E1222" s="264" t="inlineStr">
        <is>
          <t>GARCERAS</t>
        </is>
      </c>
      <c r="F1222" s="264" t="inlineStr">
        <is>
          <t>ABONEROS</t>
        </is>
      </c>
      <c r="G1222" s="264" t="n">
        <v>10</v>
      </c>
      <c r="H1222" s="264" t="inlineStr">
        <is>
          <t xml:space="preserve">YAIR RIVEROS </t>
        </is>
      </c>
      <c r="I1222" s="264" t="inlineStr">
        <is>
          <t>TLN181</t>
        </is>
      </c>
      <c r="J1222" s="265" t="n">
        <v>0.3159722222222222</v>
      </c>
      <c r="K1222" s="266" t="n">
        <v>3096</v>
      </c>
      <c r="L1222" s="308" t="n"/>
      <c r="M1222" s="113" t="n"/>
      <c r="N1222" s="113" t="n"/>
      <c r="O1222" s="113" t="n"/>
      <c r="P1222" s="243" t="n"/>
      <c r="Q1222" s="113" t="n"/>
      <c r="R1222" s="113" t="n"/>
    </row>
    <row r="1223" ht="15.75" customHeight="1">
      <c r="A1223" s="113" t="n"/>
      <c r="B1223" s="146" t="n">
        <v>22</v>
      </c>
      <c r="C1223" s="350" t="n">
        <v>45953</v>
      </c>
      <c r="D1223" s="351" t="n">
        <v>13</v>
      </c>
      <c r="E1223" s="264" t="inlineStr">
        <is>
          <t>GARCERAS</t>
        </is>
      </c>
      <c r="F1223" s="264" t="inlineStr">
        <is>
          <t>ABONEROS</t>
        </is>
      </c>
      <c r="G1223" s="264" t="n">
        <v>10</v>
      </c>
      <c r="H1223" s="264" t="inlineStr">
        <is>
          <t>JAIRO CUBILLOS</t>
        </is>
      </c>
      <c r="I1223" s="264" t="inlineStr">
        <is>
          <t>TLO884</t>
        </is>
      </c>
      <c r="J1223" s="265" t="n">
        <v>0.3722222222222222</v>
      </c>
      <c r="K1223" s="266" t="n">
        <v>3100</v>
      </c>
      <c r="L1223" s="308" t="n"/>
      <c r="M1223" s="113" t="n"/>
      <c r="N1223" s="113" t="n"/>
      <c r="O1223" s="113" t="n"/>
      <c r="P1223" s="243" t="n"/>
      <c r="Q1223" s="113" t="n"/>
      <c r="R1223" s="113" t="n"/>
    </row>
    <row r="1224" ht="15.75" customHeight="1">
      <c r="A1224" s="113" t="n"/>
      <c r="B1224" s="146" t="n">
        <v>22</v>
      </c>
      <c r="C1224" s="350" t="n">
        <v>45953</v>
      </c>
      <c r="D1224" s="351" t="n">
        <v>14</v>
      </c>
      <c r="E1224" s="264" t="inlineStr">
        <is>
          <t>GARCERAS</t>
        </is>
      </c>
      <c r="F1224" s="264" t="inlineStr">
        <is>
          <t>ABONEROS</t>
        </is>
      </c>
      <c r="G1224" s="264" t="n">
        <v>10</v>
      </c>
      <c r="H1224" s="264" t="inlineStr">
        <is>
          <t xml:space="preserve">EDUAN CAVIDEZ </t>
        </is>
      </c>
      <c r="I1224" s="264" t="inlineStr">
        <is>
          <t>TLN248</t>
        </is>
      </c>
      <c r="J1224" s="265" t="n">
        <v>0.4020833333333333</v>
      </c>
      <c r="K1224" s="266" t="n">
        <v>3100</v>
      </c>
      <c r="L1224" s="308" t="n"/>
      <c r="M1224" s="113" t="n"/>
      <c r="N1224" s="113" t="n"/>
      <c r="O1224" s="113" t="n"/>
      <c r="P1224" s="243" t="n"/>
      <c r="Q1224" s="113" t="n"/>
      <c r="R1224" s="113" t="n"/>
    </row>
    <row r="1225" ht="15.75" customHeight="1">
      <c r="A1225" s="113" t="n"/>
      <c r="B1225" s="146" t="n">
        <v>22</v>
      </c>
      <c r="C1225" s="350" t="n">
        <v>45953</v>
      </c>
      <c r="D1225" s="351" t="n">
        <v>15</v>
      </c>
      <c r="E1225" s="264" t="inlineStr">
        <is>
          <t>GARCERAS</t>
        </is>
      </c>
      <c r="F1225" s="264" t="inlineStr">
        <is>
          <t>ABONEROS</t>
        </is>
      </c>
      <c r="G1225" s="264" t="n">
        <v>10</v>
      </c>
      <c r="H1225" s="264" t="inlineStr">
        <is>
          <t xml:space="preserve">ALEX GOMEZ </t>
        </is>
      </c>
      <c r="I1225" s="264" t="inlineStr">
        <is>
          <t>EQY779</t>
        </is>
      </c>
      <c r="J1225" s="265" t="n">
        <v>0.4444444444444444</v>
      </c>
      <c r="K1225" s="266" t="n">
        <v>3100</v>
      </c>
      <c r="L1225" s="308" t="n"/>
      <c r="M1225" s="113" t="n"/>
      <c r="N1225" s="113" t="n"/>
      <c r="O1225" s="113" t="n"/>
      <c r="P1225" s="243" t="n"/>
      <c r="Q1225" s="113" t="n"/>
      <c r="R1225" s="113" t="n"/>
    </row>
    <row r="1226" ht="15.75" customHeight="1">
      <c r="A1226" s="113" t="n"/>
      <c r="B1226" s="146" t="n">
        <v>22</v>
      </c>
      <c r="C1226" s="350" t="n">
        <v>45953</v>
      </c>
      <c r="D1226" s="351" t="n">
        <v>16</v>
      </c>
      <c r="E1226" s="264" t="inlineStr">
        <is>
          <t>GARCERAS</t>
        </is>
      </c>
      <c r="F1226" s="264" t="inlineStr">
        <is>
          <t>ABONEROS</t>
        </is>
      </c>
      <c r="G1226" s="264" t="n">
        <v>10</v>
      </c>
      <c r="H1226" s="264" t="inlineStr">
        <is>
          <t xml:space="preserve">MANUEL QUITIAN </t>
        </is>
      </c>
      <c r="I1226" s="264" t="inlineStr">
        <is>
          <t>KNL076</t>
        </is>
      </c>
      <c r="J1226" s="265" t="n">
        <v>0.4756944444444444</v>
      </c>
      <c r="K1226" s="266" t="n">
        <v>3100</v>
      </c>
      <c r="L1226" s="309" t="n"/>
      <c r="M1226" s="113" t="n"/>
      <c r="N1226" s="113" t="n"/>
      <c r="O1226" s="113" t="n"/>
      <c r="P1226" s="243" t="n"/>
      <c r="Q1226" s="113" t="n"/>
      <c r="R1226" s="113" t="n"/>
    </row>
    <row r="1227" ht="15.75" customHeight="1">
      <c r="A1227" s="113" t="n"/>
      <c r="B1227" s="146" t="n">
        <v>22</v>
      </c>
      <c r="C1227" s="356" t="n">
        <v>45953</v>
      </c>
      <c r="D1227" s="357" t="n">
        <v>17</v>
      </c>
      <c r="E1227" s="271" t="inlineStr">
        <is>
          <t xml:space="preserve">SAN JOSE </t>
        </is>
      </c>
      <c r="F1227" s="271" t="inlineStr">
        <is>
          <t>ABONEROS</t>
        </is>
      </c>
      <c r="G1227" s="271" t="n">
        <v>10</v>
      </c>
      <c r="H1227" s="271" t="inlineStr">
        <is>
          <t xml:space="preserve">JOSE SOLER </t>
        </is>
      </c>
      <c r="I1227" s="271" t="inlineStr">
        <is>
          <t>KUS176</t>
        </is>
      </c>
      <c r="J1227" s="272" t="n">
        <v>0.5729166666666666</v>
      </c>
      <c r="K1227" s="273" t="n">
        <v>1744</v>
      </c>
      <c r="L1227" s="378">
        <f>SUM(K1211:K1227)</f>
        <v/>
      </c>
      <c r="M1227" s="113" t="n"/>
      <c r="N1227" s="113" t="n"/>
      <c r="O1227" s="113" t="n"/>
      <c r="P1227" s="243" t="n"/>
      <c r="Q1227" s="113" t="n"/>
      <c r="R1227" s="113" t="n"/>
    </row>
    <row r="1228" ht="15.75" customHeight="1">
      <c r="A1228" s="113" t="n"/>
      <c r="B1228" s="146" t="n">
        <v>22</v>
      </c>
      <c r="C1228" s="348" t="n">
        <v>45954</v>
      </c>
      <c r="D1228" s="349" t="n">
        <v>1</v>
      </c>
      <c r="E1228" s="258" t="inlineStr">
        <is>
          <t>HUERTAS</t>
        </is>
      </c>
      <c r="F1228" s="258" t="inlineStr">
        <is>
          <t>ABONEROS</t>
        </is>
      </c>
      <c r="G1228" s="258" t="n">
        <v>8</v>
      </c>
      <c r="H1228" s="258" t="inlineStr">
        <is>
          <t xml:space="preserve">EDUAN CAVIDEZ </t>
        </is>
      </c>
      <c r="I1228" s="258" t="inlineStr">
        <is>
          <t>EQY779</t>
        </is>
      </c>
      <c r="J1228" s="259" t="n">
        <v>0.9027777777777778</v>
      </c>
      <c r="K1228" s="260" t="n">
        <v>2800</v>
      </c>
      <c r="L1228" s="292" t="n"/>
      <c r="M1228" s="113" t="n"/>
      <c r="N1228" s="113" t="n"/>
      <c r="O1228" s="113" t="n"/>
      <c r="P1228" s="243" t="n"/>
      <c r="Q1228" s="113" t="n"/>
      <c r="R1228" s="113" t="n"/>
    </row>
    <row r="1229" ht="15.75" customHeight="1">
      <c r="A1229" s="113" t="n"/>
      <c r="B1229" s="146" t="n">
        <v>22</v>
      </c>
      <c r="C1229" s="350" t="n">
        <v>45954</v>
      </c>
      <c r="D1229" s="351" t="n">
        <v>2</v>
      </c>
      <c r="E1229" s="264" t="inlineStr">
        <is>
          <t>HUERTAS</t>
        </is>
      </c>
      <c r="F1229" s="264" t="inlineStr">
        <is>
          <t>ABONEROS</t>
        </is>
      </c>
      <c r="G1229" s="264" t="n">
        <v>8</v>
      </c>
      <c r="H1229" s="264" t="inlineStr">
        <is>
          <t xml:space="preserve">DIEGO NIÑO </t>
        </is>
      </c>
      <c r="I1229" s="264" t="inlineStr">
        <is>
          <t>GZZ673</t>
        </is>
      </c>
      <c r="J1229" s="265" t="n">
        <v>0.9472222222222222</v>
      </c>
      <c r="K1229" s="266" t="n">
        <v>3300</v>
      </c>
      <c r="L1229" s="308" t="n"/>
      <c r="M1229" s="113" t="n"/>
      <c r="N1229" s="113" t="n"/>
      <c r="O1229" s="113" t="n"/>
      <c r="P1229" s="243" t="n"/>
      <c r="Q1229" s="113" t="n"/>
      <c r="R1229" s="113" t="n"/>
    </row>
    <row r="1230" ht="15.75" customHeight="1">
      <c r="A1230" s="113" t="n"/>
      <c r="B1230" s="146" t="n">
        <v>22</v>
      </c>
      <c r="C1230" s="350" t="n">
        <v>45954</v>
      </c>
      <c r="D1230" s="351" t="n">
        <v>3</v>
      </c>
      <c r="E1230" s="264" t="inlineStr">
        <is>
          <t>HUERTAS</t>
        </is>
      </c>
      <c r="F1230" s="264" t="inlineStr">
        <is>
          <t>ABONEROS</t>
        </is>
      </c>
      <c r="G1230" s="264" t="n">
        <v>8</v>
      </c>
      <c r="H1230" s="264" t="inlineStr">
        <is>
          <t>JAIRO CUBILLOS</t>
        </is>
      </c>
      <c r="I1230" s="264" t="inlineStr">
        <is>
          <t>TLO884</t>
        </is>
      </c>
      <c r="J1230" s="265" t="n">
        <v>0.9895833333333334</v>
      </c>
      <c r="K1230" s="266" t="n">
        <v>3300</v>
      </c>
      <c r="L1230" s="308" t="n"/>
      <c r="M1230" s="113" t="n"/>
      <c r="N1230" s="113" t="n"/>
      <c r="O1230" s="113" t="n"/>
      <c r="P1230" s="243" t="n"/>
      <c r="Q1230" s="113" t="n"/>
      <c r="R1230" s="113" t="n"/>
    </row>
    <row r="1231" ht="15.75" customHeight="1">
      <c r="A1231" s="113" t="n"/>
      <c r="B1231" s="146" t="n">
        <v>22</v>
      </c>
      <c r="C1231" s="350" t="n">
        <v>45954</v>
      </c>
      <c r="D1231" s="351" t="n">
        <v>4</v>
      </c>
      <c r="E1231" s="264" t="inlineStr">
        <is>
          <t>HUERTAS</t>
        </is>
      </c>
      <c r="F1231" s="264" t="inlineStr">
        <is>
          <t>ABONEROS</t>
        </is>
      </c>
      <c r="G1231" s="264" t="n">
        <v>8</v>
      </c>
      <c r="H1231" s="264" t="inlineStr">
        <is>
          <t xml:space="preserve">ALBERTO LOPEZ </t>
        </is>
      </c>
      <c r="I1231" s="264" t="inlineStr">
        <is>
          <t>EQY777</t>
        </is>
      </c>
      <c r="J1231" s="265" t="n">
        <v>0.03125</v>
      </c>
      <c r="K1231" s="266" t="n">
        <v>3300</v>
      </c>
      <c r="L1231" s="308" t="n"/>
      <c r="M1231" s="113" t="n"/>
      <c r="N1231" s="113" t="n"/>
      <c r="O1231" s="113" t="n"/>
      <c r="P1231" s="243" t="n"/>
      <c r="Q1231" s="113" t="n"/>
      <c r="R1231" s="113" t="n"/>
    </row>
    <row r="1232" ht="15.75" customHeight="1">
      <c r="A1232" s="113" t="n"/>
      <c r="B1232" s="146" t="n">
        <v>22</v>
      </c>
      <c r="C1232" s="350" t="n">
        <v>45954</v>
      </c>
      <c r="D1232" s="351" t="n">
        <v>5</v>
      </c>
      <c r="E1232" s="264" t="inlineStr">
        <is>
          <t>HUERTAS</t>
        </is>
      </c>
      <c r="F1232" s="264" t="inlineStr">
        <is>
          <t>ABONEROS</t>
        </is>
      </c>
      <c r="G1232" s="264" t="n">
        <v>8</v>
      </c>
      <c r="H1232" s="264" t="inlineStr">
        <is>
          <t>ALEX GOMEZ</t>
        </is>
      </c>
      <c r="I1232" s="264" t="inlineStr">
        <is>
          <t>TLO881</t>
        </is>
      </c>
      <c r="J1232" s="265" t="n">
        <v>0.07777777777777778</v>
      </c>
      <c r="K1232" s="266" t="n">
        <v>3440</v>
      </c>
      <c r="L1232" s="308" t="n"/>
      <c r="M1232" s="113" t="n"/>
      <c r="N1232" s="113" t="n"/>
      <c r="O1232" s="113" t="n"/>
      <c r="P1232" s="243" t="n"/>
      <c r="Q1232" s="113" t="n"/>
      <c r="R1232" s="113" t="n"/>
    </row>
    <row r="1233" ht="15.75" customHeight="1">
      <c r="A1233" s="113" t="n"/>
      <c r="B1233" s="146" t="n">
        <v>22</v>
      </c>
      <c r="C1233" s="350" t="n">
        <v>45954</v>
      </c>
      <c r="D1233" s="351" t="n">
        <v>6</v>
      </c>
      <c r="E1233" s="264" t="inlineStr">
        <is>
          <t>GARCERAS</t>
        </is>
      </c>
      <c r="F1233" s="264" t="inlineStr">
        <is>
          <t>CARGUEROS</t>
        </is>
      </c>
      <c r="G1233" s="264" t="n">
        <v>12</v>
      </c>
      <c r="H1233" s="264" t="inlineStr">
        <is>
          <t xml:space="preserve">FERNANDO OYUELA </t>
        </is>
      </c>
      <c r="I1233" s="264" t="inlineStr">
        <is>
          <t>EQY778</t>
        </is>
      </c>
      <c r="J1233" s="265" t="n">
        <v>0.1319444444444444</v>
      </c>
      <c r="K1233" s="266" t="n">
        <v>2998</v>
      </c>
      <c r="L1233" s="308" t="n"/>
      <c r="M1233" s="113" t="n"/>
      <c r="N1233" s="113" t="n"/>
      <c r="O1233" s="113" t="n"/>
      <c r="P1233" s="243" t="n"/>
      <c r="Q1233" s="113" t="n"/>
      <c r="R1233" s="113" t="n"/>
    </row>
    <row r="1234" ht="15.75" customHeight="1">
      <c r="A1234" s="113" t="n"/>
      <c r="B1234" s="146" t="n">
        <v>22</v>
      </c>
      <c r="C1234" s="350" t="n">
        <v>45954</v>
      </c>
      <c r="D1234" s="351" t="n">
        <v>7</v>
      </c>
      <c r="E1234" s="264" t="inlineStr">
        <is>
          <t>GARCERAS</t>
        </is>
      </c>
      <c r="F1234" s="264" t="inlineStr">
        <is>
          <t>CARGUEROS</t>
        </is>
      </c>
      <c r="G1234" s="264" t="n">
        <v>12</v>
      </c>
      <c r="H1234" s="264" t="inlineStr">
        <is>
          <t>HENRY ROMERO</t>
        </is>
      </c>
      <c r="I1234" s="264" t="inlineStr">
        <is>
          <t>EQY781</t>
        </is>
      </c>
      <c r="J1234" s="265" t="n">
        <v>0.1631944444444444</v>
      </c>
      <c r="K1234" s="266" t="n">
        <v>3000</v>
      </c>
      <c r="L1234" s="308" t="n"/>
      <c r="M1234" s="113" t="n"/>
      <c r="N1234" s="113" t="n"/>
      <c r="O1234" s="113" t="n"/>
      <c r="P1234" s="243" t="n"/>
      <c r="Q1234" s="113" t="n"/>
      <c r="R1234" s="113" t="n"/>
    </row>
    <row r="1235" ht="15.75" customHeight="1">
      <c r="A1235" s="113" t="n"/>
      <c r="B1235" s="146" t="n">
        <v>22</v>
      </c>
      <c r="C1235" s="350" t="n">
        <v>45954</v>
      </c>
      <c r="D1235" s="351" t="n">
        <v>8</v>
      </c>
      <c r="E1235" s="264" t="inlineStr">
        <is>
          <t>GARCERAS</t>
        </is>
      </c>
      <c r="F1235" s="264" t="inlineStr">
        <is>
          <t>CARGUEROS</t>
        </is>
      </c>
      <c r="G1235" s="264" t="n">
        <v>12</v>
      </c>
      <c r="H1235" s="264" t="inlineStr">
        <is>
          <t>DIEGO NIÑO</t>
        </is>
      </c>
      <c r="I1235" s="264" t="inlineStr">
        <is>
          <t>GZZ673</t>
        </is>
      </c>
      <c r="J1235" s="265" t="n">
        <v>0.1909722222222222</v>
      </c>
      <c r="K1235" s="266" t="n">
        <v>3000</v>
      </c>
      <c r="L1235" s="308" t="n"/>
      <c r="M1235" s="113" t="n"/>
      <c r="N1235" s="113" t="n"/>
      <c r="O1235" s="113" t="n"/>
      <c r="P1235" s="243" t="n"/>
      <c r="Q1235" s="113" t="n"/>
      <c r="R1235" s="113" t="n"/>
    </row>
    <row r="1236" ht="15.75" customHeight="1">
      <c r="A1236" s="113" t="n"/>
      <c r="B1236" s="146" t="n">
        <v>22</v>
      </c>
      <c r="C1236" s="350" t="n">
        <v>45954</v>
      </c>
      <c r="D1236" s="351" t="n">
        <v>9</v>
      </c>
      <c r="E1236" s="264" t="inlineStr">
        <is>
          <t>GARCERAS</t>
        </is>
      </c>
      <c r="F1236" s="264" t="inlineStr">
        <is>
          <t>CARGUEROS</t>
        </is>
      </c>
      <c r="G1236" s="264" t="n">
        <v>12</v>
      </c>
      <c r="H1236" s="264" t="inlineStr">
        <is>
          <t>JAIRO CUBILLOS</t>
        </is>
      </c>
      <c r="I1236" s="264" t="inlineStr">
        <is>
          <t>TLO884</t>
        </is>
      </c>
      <c r="J1236" s="265" t="n">
        <v>0.2777777777777778</v>
      </c>
      <c r="K1236" s="266" t="n">
        <v>3230</v>
      </c>
      <c r="L1236" s="308" t="n"/>
      <c r="M1236" s="113" t="n"/>
      <c r="N1236" s="113" t="n"/>
      <c r="O1236" s="113" t="n"/>
      <c r="P1236" s="243" t="n"/>
      <c r="Q1236" s="113" t="n"/>
      <c r="R1236" s="113" t="n"/>
    </row>
    <row r="1237" ht="15.75" customHeight="1">
      <c r="A1237" s="113" t="n"/>
      <c r="B1237" s="146" t="n">
        <v>22</v>
      </c>
      <c r="C1237" s="350" t="n">
        <v>45954</v>
      </c>
      <c r="D1237" s="351" t="n">
        <v>10</v>
      </c>
      <c r="E1237" s="264" t="inlineStr">
        <is>
          <t>GARCERAS</t>
        </is>
      </c>
      <c r="F1237" s="264" t="inlineStr">
        <is>
          <t>CARGUEROS</t>
        </is>
      </c>
      <c r="G1237" s="264" t="n">
        <v>12</v>
      </c>
      <c r="H1237" s="264" t="inlineStr">
        <is>
          <t>ALBERTO LOPEZ</t>
        </is>
      </c>
      <c r="I1237" s="264" t="inlineStr">
        <is>
          <t>EQY777</t>
        </is>
      </c>
      <c r="J1237" s="265" t="n">
        <v>0.3090277777777778</v>
      </c>
      <c r="K1237" s="266" t="n">
        <v>3272</v>
      </c>
      <c r="L1237" s="308" t="n"/>
      <c r="M1237" s="113" t="n"/>
      <c r="N1237" s="113" t="n"/>
      <c r="O1237" s="113" t="n"/>
      <c r="P1237" s="243" t="n"/>
      <c r="Q1237" s="113" t="n"/>
      <c r="R1237" s="113" t="n"/>
    </row>
    <row r="1238" ht="15.75" customHeight="1">
      <c r="A1238" s="113" t="n"/>
      <c r="B1238" s="146" t="n">
        <v>22</v>
      </c>
      <c r="C1238" s="350" t="n">
        <v>45954</v>
      </c>
      <c r="D1238" s="351" t="n">
        <v>11</v>
      </c>
      <c r="E1238" s="264" t="inlineStr">
        <is>
          <t>GARCERAS</t>
        </is>
      </c>
      <c r="F1238" s="264" t="inlineStr">
        <is>
          <t>CARGUEROS</t>
        </is>
      </c>
      <c r="G1238" s="264" t="n">
        <v>12</v>
      </c>
      <c r="H1238" s="264" t="inlineStr">
        <is>
          <t>ALEX GOMEZ</t>
        </is>
      </c>
      <c r="I1238" s="264" t="inlineStr">
        <is>
          <t>TLO881</t>
        </is>
      </c>
      <c r="J1238" s="265" t="n">
        <v>0.3368055555555556</v>
      </c>
      <c r="K1238" s="266" t="n">
        <v>3272</v>
      </c>
      <c r="L1238" s="308" t="n"/>
      <c r="M1238" s="113" t="n"/>
      <c r="N1238" s="113" t="n"/>
      <c r="O1238" s="113" t="n"/>
      <c r="P1238" s="243" t="n"/>
      <c r="Q1238" s="113" t="n"/>
      <c r="R1238" s="113" t="n"/>
    </row>
    <row r="1239" ht="15.75" customHeight="1">
      <c r="A1239" s="113" t="n"/>
      <c r="B1239" s="146" t="n">
        <v>22</v>
      </c>
      <c r="C1239" s="350" t="n">
        <v>45954</v>
      </c>
      <c r="D1239" s="351" t="n">
        <v>12</v>
      </c>
      <c r="E1239" s="264" t="inlineStr">
        <is>
          <t>GARCERAS</t>
        </is>
      </c>
      <c r="F1239" s="264" t="inlineStr">
        <is>
          <t>CARGUEROS</t>
        </is>
      </c>
      <c r="G1239" s="264" t="n">
        <v>12</v>
      </c>
      <c r="H1239" s="264" t="inlineStr">
        <is>
          <t>FERNANDO OYUELA</t>
        </is>
      </c>
      <c r="I1239" s="264" t="inlineStr">
        <is>
          <t>EQY778</t>
        </is>
      </c>
      <c r="J1239" s="265" t="n">
        <v>0.3645833333333333</v>
      </c>
      <c r="K1239" s="266" t="n">
        <v>3272</v>
      </c>
      <c r="L1239" s="308" t="n"/>
      <c r="M1239" s="113" t="n"/>
      <c r="N1239" s="113" t="n"/>
      <c r="O1239" s="113" t="n"/>
      <c r="P1239" s="243" t="n"/>
      <c r="Q1239" s="113" t="n"/>
      <c r="R1239" s="113" t="n"/>
    </row>
    <row r="1240" ht="15.75" customHeight="1">
      <c r="A1240" s="113" t="n"/>
      <c r="B1240" s="146" t="n">
        <v>22</v>
      </c>
      <c r="C1240" s="350" t="n">
        <v>45954</v>
      </c>
      <c r="D1240" s="351" t="n">
        <v>13</v>
      </c>
      <c r="E1240" s="264" t="inlineStr">
        <is>
          <t>GARCERAS</t>
        </is>
      </c>
      <c r="F1240" s="264" t="inlineStr">
        <is>
          <t>CARGUEROS</t>
        </is>
      </c>
      <c r="G1240" s="264" t="n">
        <v>12</v>
      </c>
      <c r="H1240" s="264" t="inlineStr">
        <is>
          <t>YAIR RIVEROS</t>
        </is>
      </c>
      <c r="I1240" s="264" t="inlineStr">
        <is>
          <t>TLN181</t>
        </is>
      </c>
      <c r="J1240" s="265" t="n">
        <v>0.4027777777777778</v>
      </c>
      <c r="K1240" s="266" t="n">
        <v>2840</v>
      </c>
      <c r="L1240" s="308" t="n"/>
      <c r="M1240" s="113" t="n"/>
      <c r="N1240" s="113" t="n"/>
      <c r="O1240" s="113" t="n"/>
      <c r="P1240" s="243" t="n"/>
      <c r="Q1240" s="113" t="n"/>
      <c r="R1240" s="113" t="n"/>
    </row>
    <row r="1241" ht="15.75" customHeight="1">
      <c r="A1241" s="113" t="n"/>
      <c r="B1241" s="146" t="n">
        <v>22</v>
      </c>
      <c r="C1241" s="350" t="n">
        <v>45954</v>
      </c>
      <c r="D1241" s="351" t="n">
        <v>14</v>
      </c>
      <c r="E1241" s="264" t="inlineStr">
        <is>
          <t>GARCERAS</t>
        </is>
      </c>
      <c r="F1241" s="264" t="inlineStr">
        <is>
          <t>CARGUEROS</t>
        </is>
      </c>
      <c r="G1241" s="264" t="n">
        <v>12</v>
      </c>
      <c r="H1241" s="264" t="inlineStr">
        <is>
          <t>HENRY ROMERO</t>
        </is>
      </c>
      <c r="I1241" s="264" t="inlineStr">
        <is>
          <t>EQY781</t>
        </is>
      </c>
      <c r="J1241" s="265" t="n">
        <v>0.4340277777777778</v>
      </c>
      <c r="K1241" s="266" t="n">
        <v>2840</v>
      </c>
      <c r="L1241" s="308" t="n"/>
      <c r="M1241" s="113" t="n"/>
      <c r="N1241" s="113" t="n"/>
      <c r="O1241" s="113" t="n"/>
      <c r="P1241" s="243" t="n"/>
      <c r="Q1241" s="113" t="n"/>
      <c r="R1241" s="113" t="n"/>
    </row>
    <row r="1242" ht="15.75" customHeight="1">
      <c r="A1242" s="113" t="n"/>
      <c r="B1242" s="146" t="n">
        <v>22</v>
      </c>
      <c r="C1242" s="350" t="n">
        <v>45954</v>
      </c>
      <c r="D1242" s="351" t="n">
        <v>15</v>
      </c>
      <c r="E1242" s="264" t="inlineStr">
        <is>
          <t>GARCERAS</t>
        </is>
      </c>
      <c r="F1242" s="264" t="inlineStr">
        <is>
          <t>CARGUEROS</t>
        </is>
      </c>
      <c r="G1242" s="264" t="n">
        <v>12</v>
      </c>
      <c r="H1242" s="264" t="inlineStr">
        <is>
          <t xml:space="preserve">WILMER PIÑEROS </t>
        </is>
      </c>
      <c r="I1242" s="264" t="inlineStr">
        <is>
          <t>KLN076</t>
        </is>
      </c>
      <c r="J1242" s="265" t="n">
        <v>0.4513888888888889</v>
      </c>
      <c r="K1242" s="266" t="n">
        <v>2840</v>
      </c>
      <c r="L1242" s="308" t="n"/>
      <c r="M1242" s="113" t="n"/>
      <c r="N1242" s="113" t="n"/>
      <c r="O1242" s="113" t="n"/>
      <c r="P1242" s="243" t="n"/>
      <c r="Q1242" s="113" t="n"/>
      <c r="R1242" s="113" t="n"/>
    </row>
    <row r="1243" ht="15.75" customHeight="1">
      <c r="A1243" s="113" t="n"/>
      <c r="B1243" s="146" t="n">
        <v>22</v>
      </c>
      <c r="C1243" s="350" t="n">
        <v>45954</v>
      </c>
      <c r="D1243" s="351" t="n">
        <v>16</v>
      </c>
      <c r="E1243" s="264" t="inlineStr">
        <is>
          <t>GARCERAS</t>
        </is>
      </c>
      <c r="F1243" s="264" t="inlineStr">
        <is>
          <t>CARGUEROS</t>
        </is>
      </c>
      <c r="G1243" s="264" t="n">
        <v>12</v>
      </c>
      <c r="H1243" s="264" t="inlineStr">
        <is>
          <t>ALBERTO LOPEZ</t>
        </is>
      </c>
      <c r="I1243" s="264" t="inlineStr">
        <is>
          <t>LQO745</t>
        </is>
      </c>
      <c r="J1243" s="265" t="n">
        <v>0.4826388888888889</v>
      </c>
      <c r="K1243" s="266" t="n">
        <v>2840</v>
      </c>
      <c r="L1243" s="309" t="n"/>
      <c r="M1243" s="113" t="n"/>
      <c r="N1243" s="113" t="n"/>
      <c r="O1243" s="113" t="n"/>
      <c r="P1243" s="243" t="n"/>
      <c r="Q1243" s="113" t="n"/>
      <c r="R1243" s="113" t="n"/>
    </row>
    <row r="1244" ht="15.75" customHeight="1">
      <c r="A1244" s="113" t="n"/>
      <c r="B1244" s="146" t="n">
        <v>22</v>
      </c>
      <c r="C1244" s="356" t="n">
        <v>45954</v>
      </c>
      <c r="D1244" s="357" t="n">
        <v>17</v>
      </c>
      <c r="E1244" s="271" t="inlineStr">
        <is>
          <t>GARCERAS</t>
        </is>
      </c>
      <c r="F1244" s="271" t="inlineStr">
        <is>
          <t>CARGUEROS</t>
        </is>
      </c>
      <c r="G1244" s="271" t="n">
        <v>12</v>
      </c>
      <c r="H1244" s="271" t="inlineStr">
        <is>
          <t xml:space="preserve">EDWIN ROJAS </t>
        </is>
      </c>
      <c r="I1244" s="271" t="inlineStr">
        <is>
          <t>EQY780</t>
        </is>
      </c>
      <c r="J1244" s="272" t="n">
        <v>0.5208333333333334</v>
      </c>
      <c r="K1244" s="273" t="n">
        <v>2890</v>
      </c>
      <c r="L1244" s="378">
        <f>SUM(K1228:K1244)</f>
        <v/>
      </c>
      <c r="M1244" s="113" t="n"/>
      <c r="N1244" s="113" t="n"/>
      <c r="O1244" s="113" t="n"/>
      <c r="P1244" s="243" t="n"/>
      <c r="Q1244" s="113" t="n"/>
      <c r="R1244" s="113" t="n"/>
    </row>
    <row r="1245" ht="15.75" customHeight="1">
      <c r="A1245" s="113" t="n"/>
      <c r="B1245" s="146" t="n">
        <v>22</v>
      </c>
      <c r="C1245" s="348" t="n">
        <v>45955</v>
      </c>
      <c r="D1245" s="349" t="n">
        <v>1</v>
      </c>
      <c r="E1245" s="258" t="inlineStr">
        <is>
          <t>HUERTAS</t>
        </is>
      </c>
      <c r="F1245" s="258" t="inlineStr">
        <is>
          <t>CARGUEROS</t>
        </is>
      </c>
      <c r="G1245" s="258" t="n">
        <v>11</v>
      </c>
      <c r="H1245" s="258" t="inlineStr">
        <is>
          <t xml:space="preserve">WILMER PIÑEROS </t>
        </is>
      </c>
      <c r="I1245" s="258" t="inlineStr">
        <is>
          <t>KNL076</t>
        </is>
      </c>
      <c r="J1245" s="259" t="n">
        <v>0.84375</v>
      </c>
      <c r="K1245" s="260" t="n">
        <v>3240</v>
      </c>
      <c r="L1245" s="292" t="n"/>
      <c r="M1245" s="113" t="n"/>
      <c r="N1245" s="113" t="n"/>
      <c r="O1245" s="113" t="n"/>
      <c r="P1245" s="243" t="n"/>
      <c r="Q1245" s="113" t="n"/>
      <c r="R1245" s="113" t="n"/>
    </row>
    <row r="1246" ht="15.75" customHeight="1">
      <c r="A1246" s="113" t="n"/>
      <c r="B1246" s="146" t="n">
        <v>22</v>
      </c>
      <c r="C1246" s="350" t="n">
        <v>45955</v>
      </c>
      <c r="D1246" s="351" t="n">
        <v>2</v>
      </c>
      <c r="E1246" s="264" t="inlineStr">
        <is>
          <t>HUERTAS</t>
        </is>
      </c>
      <c r="F1246" s="264" t="inlineStr">
        <is>
          <t>CARGUEROS</t>
        </is>
      </c>
      <c r="G1246" s="264" t="n">
        <v>11</v>
      </c>
      <c r="H1246" s="264" t="inlineStr">
        <is>
          <t>HENRY ROMERO</t>
        </is>
      </c>
      <c r="I1246" s="264" t="inlineStr">
        <is>
          <t>EQY781</t>
        </is>
      </c>
      <c r="J1246" s="265" t="n">
        <v>0.8819444444444444</v>
      </c>
      <c r="K1246" s="266" t="n">
        <v>3240</v>
      </c>
      <c r="L1246" s="308" t="n"/>
      <c r="M1246" s="113" t="n"/>
      <c r="N1246" s="113" t="n"/>
      <c r="O1246" s="113" t="n"/>
      <c r="P1246" s="243" t="n"/>
      <c r="Q1246" s="113" t="n"/>
      <c r="R1246" s="113" t="n"/>
    </row>
    <row r="1247" ht="15.75" customHeight="1">
      <c r="A1247" s="113" t="n"/>
      <c r="B1247" s="146" t="n">
        <v>22</v>
      </c>
      <c r="C1247" s="350" t="n">
        <v>45955</v>
      </c>
      <c r="D1247" s="351" t="n">
        <v>3</v>
      </c>
      <c r="E1247" s="264" t="inlineStr">
        <is>
          <t>HUERTAS</t>
        </is>
      </c>
      <c r="F1247" s="264" t="inlineStr">
        <is>
          <t>CARGUEROS</t>
        </is>
      </c>
      <c r="G1247" s="264" t="n">
        <v>11</v>
      </c>
      <c r="H1247" s="264" t="inlineStr">
        <is>
          <t>EDWIN ROJAS</t>
        </is>
      </c>
      <c r="I1247" s="264" t="inlineStr">
        <is>
          <t>EQY780</t>
        </is>
      </c>
      <c r="J1247" s="265" t="n">
        <v>0.9201388888888888</v>
      </c>
      <c r="K1247" s="266" t="n">
        <v>3240</v>
      </c>
      <c r="L1247" s="308" t="n"/>
      <c r="M1247" s="113" t="n"/>
      <c r="N1247" s="113" t="n"/>
      <c r="O1247" s="113" t="n"/>
      <c r="P1247" s="243" t="n"/>
      <c r="Q1247" s="113" t="n"/>
      <c r="R1247" s="113" t="n"/>
    </row>
    <row r="1248" ht="15.75" customHeight="1">
      <c r="A1248" s="113" t="n"/>
      <c r="B1248" s="146" t="n">
        <v>22</v>
      </c>
      <c r="C1248" s="350" t="n">
        <v>45955</v>
      </c>
      <c r="D1248" s="351" t="n">
        <v>4</v>
      </c>
      <c r="E1248" s="264" t="inlineStr">
        <is>
          <t>HUERTAS</t>
        </is>
      </c>
      <c r="F1248" s="264" t="inlineStr">
        <is>
          <t>CARGUEROS</t>
        </is>
      </c>
      <c r="G1248" s="264" t="n">
        <v>11</v>
      </c>
      <c r="H1248" s="264" t="inlineStr">
        <is>
          <t>ROBINSON PULIDO</t>
        </is>
      </c>
      <c r="I1248" s="264" t="inlineStr">
        <is>
          <t>EQY778</t>
        </is>
      </c>
      <c r="J1248" s="265" t="n">
        <v>0.9618055555555556</v>
      </c>
      <c r="K1248" s="266" t="n">
        <v>3509</v>
      </c>
      <c r="L1248" s="308" t="n"/>
      <c r="M1248" s="113" t="n"/>
      <c r="N1248" s="113" t="n"/>
      <c r="O1248" s="113" t="n"/>
      <c r="P1248" s="243" t="n"/>
      <c r="Q1248" s="113" t="n"/>
      <c r="R1248" s="113" t="n"/>
    </row>
    <row r="1249" ht="15.75" customHeight="1">
      <c r="A1249" s="113" t="n"/>
      <c r="B1249" s="146" t="n">
        <v>22</v>
      </c>
      <c r="C1249" s="350" t="n">
        <v>45955</v>
      </c>
      <c r="D1249" s="351" t="n">
        <v>5</v>
      </c>
      <c r="E1249" s="264" t="inlineStr">
        <is>
          <t>HUERTAS</t>
        </is>
      </c>
      <c r="F1249" s="264" t="inlineStr">
        <is>
          <t>CARGUEROS</t>
        </is>
      </c>
      <c r="G1249" s="264" t="n">
        <v>11</v>
      </c>
      <c r="H1249" s="264" t="inlineStr">
        <is>
          <t>YAIR RIVEROS</t>
        </is>
      </c>
      <c r="I1249" s="264" t="inlineStr">
        <is>
          <t>TLN181</t>
        </is>
      </c>
      <c r="J1249" s="265" t="n">
        <v>0.006944444444444444</v>
      </c>
      <c r="K1249" s="266" t="n">
        <v>3600</v>
      </c>
      <c r="L1249" s="308" t="n"/>
      <c r="M1249" s="113" t="n"/>
      <c r="N1249" s="113" t="n"/>
      <c r="O1249" s="113" t="n"/>
      <c r="P1249" s="243" t="n"/>
      <c r="Q1249" s="113" t="n"/>
      <c r="R1249" s="113" t="n"/>
    </row>
    <row r="1250" ht="15.75" customHeight="1">
      <c r="A1250" s="113" t="n"/>
      <c r="B1250" s="146" t="n">
        <v>22</v>
      </c>
      <c r="C1250" s="350" t="n">
        <v>45955</v>
      </c>
      <c r="D1250" s="351" t="n">
        <v>6</v>
      </c>
      <c r="E1250" s="264" t="inlineStr">
        <is>
          <t>HUERTAS</t>
        </is>
      </c>
      <c r="F1250" s="264" t="inlineStr">
        <is>
          <t>CARGUEROS</t>
        </is>
      </c>
      <c r="G1250" s="264" t="n">
        <v>11</v>
      </c>
      <c r="H1250" s="264" t="inlineStr">
        <is>
          <t>DIEGO NIÑO</t>
        </is>
      </c>
      <c r="I1250" s="264" t="inlineStr">
        <is>
          <t>GZZ673</t>
        </is>
      </c>
      <c r="J1250" s="265" t="n">
        <v>0.04166666666666666</v>
      </c>
      <c r="K1250" s="266" t="n">
        <v>3490</v>
      </c>
      <c r="L1250" s="308" t="n"/>
      <c r="M1250" s="113" t="n"/>
      <c r="N1250" s="113" t="n"/>
      <c r="O1250" s="113" t="n"/>
      <c r="P1250" s="243" t="n"/>
      <c r="Q1250" s="113" t="n"/>
      <c r="R1250" s="113" t="n"/>
    </row>
    <row r="1251" ht="15.75" customHeight="1">
      <c r="A1251" s="113" t="n"/>
      <c r="B1251" s="146" t="n">
        <v>22</v>
      </c>
      <c r="C1251" s="350" t="n">
        <v>45955</v>
      </c>
      <c r="D1251" s="351" t="n">
        <v>7</v>
      </c>
      <c r="E1251" s="264" t="inlineStr">
        <is>
          <t>HUERTAS</t>
        </is>
      </c>
      <c r="F1251" s="264" t="inlineStr">
        <is>
          <t>CARGUEROS</t>
        </is>
      </c>
      <c r="G1251" s="264" t="n">
        <v>11</v>
      </c>
      <c r="H1251" s="264" t="inlineStr">
        <is>
          <t xml:space="preserve">ALBERTO HERRERA </t>
        </is>
      </c>
      <c r="I1251" s="264" t="inlineStr">
        <is>
          <t>LQO745</t>
        </is>
      </c>
      <c r="J1251" s="265" t="n">
        <v>0.08333333333333333</v>
      </c>
      <c r="K1251" s="266" t="n">
        <v>3240</v>
      </c>
      <c r="L1251" s="308" t="n"/>
      <c r="M1251" s="113" t="n"/>
      <c r="N1251" s="113" t="n"/>
      <c r="O1251" s="113" t="n"/>
      <c r="P1251" s="243" t="n"/>
      <c r="Q1251" s="113" t="n"/>
      <c r="R1251" s="113" t="n"/>
    </row>
    <row r="1252" ht="15.75" customHeight="1">
      <c r="A1252" s="113" t="n"/>
      <c r="B1252" s="146" t="n">
        <v>22</v>
      </c>
      <c r="C1252" s="350" t="n">
        <v>45955</v>
      </c>
      <c r="D1252" s="351" t="n">
        <v>8</v>
      </c>
      <c r="E1252" s="264" t="inlineStr">
        <is>
          <t>HUERTAS</t>
        </is>
      </c>
      <c r="F1252" s="264" t="inlineStr">
        <is>
          <t>CARGUEROS</t>
        </is>
      </c>
      <c r="G1252" s="264" t="n">
        <v>11</v>
      </c>
      <c r="H1252" s="264" t="inlineStr">
        <is>
          <t>ALBERTO LOPEZ</t>
        </is>
      </c>
      <c r="I1252" s="264" t="inlineStr">
        <is>
          <t>EQY777</t>
        </is>
      </c>
      <c r="J1252" s="265" t="n">
        <v>0.1215277777777778</v>
      </c>
      <c r="K1252" s="266" t="n">
        <v>3240</v>
      </c>
      <c r="L1252" s="308" t="n"/>
      <c r="M1252" s="113" t="n"/>
      <c r="N1252" s="113" t="n"/>
      <c r="O1252" s="113" t="n"/>
      <c r="P1252" s="243" t="n"/>
      <c r="Q1252" s="113" t="n"/>
      <c r="R1252" s="113" t="n"/>
    </row>
    <row r="1253" ht="15.75" customHeight="1">
      <c r="A1253" s="113" t="n"/>
      <c r="B1253" s="146" t="n">
        <v>22</v>
      </c>
      <c r="C1253" s="350" t="n">
        <v>45955</v>
      </c>
      <c r="D1253" s="351" t="n">
        <v>9</v>
      </c>
      <c r="E1253" s="264" t="inlineStr">
        <is>
          <t>GARCERAS</t>
        </is>
      </c>
      <c r="F1253" s="264" t="inlineStr">
        <is>
          <t>ABONEROS</t>
        </is>
      </c>
      <c r="G1253" s="264" t="n">
        <v>10</v>
      </c>
      <c r="H1253" s="264" t="inlineStr">
        <is>
          <t>EDWIN ROJAS</t>
        </is>
      </c>
      <c r="I1253" s="264" t="inlineStr">
        <is>
          <t>EQY780</t>
        </is>
      </c>
      <c r="J1253" s="265" t="n">
        <v>0.1930555555555556</v>
      </c>
      <c r="K1253" s="266" t="n">
        <v>3075</v>
      </c>
      <c r="L1253" s="308" t="n"/>
      <c r="M1253" s="113" t="n"/>
      <c r="N1253" s="113" t="n"/>
      <c r="O1253" s="113" t="n"/>
      <c r="P1253" s="243" t="n"/>
      <c r="Q1253" s="113" t="n"/>
      <c r="R1253" s="113" t="n"/>
    </row>
    <row r="1254" ht="15.75" customHeight="1">
      <c r="A1254" s="113" t="n"/>
      <c r="B1254" s="146" t="n">
        <v>22</v>
      </c>
      <c r="C1254" s="350" t="n">
        <v>45955</v>
      </c>
      <c r="D1254" s="351" t="n">
        <v>10</v>
      </c>
      <c r="E1254" s="264" t="inlineStr">
        <is>
          <t>GARCERAS</t>
        </is>
      </c>
      <c r="F1254" s="264" t="inlineStr">
        <is>
          <t>ABONEROS</t>
        </is>
      </c>
      <c r="G1254" s="264" t="n">
        <v>10</v>
      </c>
      <c r="H1254" s="264" t="inlineStr">
        <is>
          <t>FERNANDO OYUELA</t>
        </is>
      </c>
      <c r="I1254" s="264" t="inlineStr">
        <is>
          <t>EQY778</t>
        </is>
      </c>
      <c r="J1254" s="265" t="n">
        <v>0.225</v>
      </c>
      <c r="K1254" s="266" t="n">
        <v>3077</v>
      </c>
      <c r="L1254" s="308" t="n"/>
      <c r="M1254" s="113" t="n"/>
      <c r="N1254" s="113" t="n"/>
      <c r="O1254" s="113" t="n"/>
      <c r="P1254" s="243" t="n"/>
      <c r="Q1254" s="113" t="n"/>
      <c r="R1254" s="113" t="n"/>
    </row>
    <row r="1255" ht="15.75" customHeight="1">
      <c r="A1255" s="113" t="n"/>
      <c r="B1255" s="146" t="n">
        <v>22</v>
      </c>
      <c r="C1255" s="350" t="n">
        <v>45955</v>
      </c>
      <c r="D1255" s="351" t="n">
        <v>11</v>
      </c>
      <c r="E1255" s="264" t="inlineStr">
        <is>
          <t>GARCERAS</t>
        </is>
      </c>
      <c r="F1255" s="264" t="inlineStr">
        <is>
          <t>ABONEROS</t>
        </is>
      </c>
      <c r="G1255" s="264" t="n">
        <v>10</v>
      </c>
      <c r="H1255" s="264" t="inlineStr">
        <is>
          <t xml:space="preserve">YAIR RIVEROS </t>
        </is>
      </c>
      <c r="I1255" s="264" t="inlineStr">
        <is>
          <t>TLN181</t>
        </is>
      </c>
      <c r="J1255" s="265" t="n">
        <v>0.2534722222222222</v>
      </c>
      <c r="K1255" s="266" t="n">
        <v>3080</v>
      </c>
      <c r="L1255" s="308" t="n"/>
      <c r="M1255" s="113" t="n"/>
      <c r="N1255" s="113" t="n"/>
      <c r="O1255" s="113" t="n"/>
      <c r="P1255" s="243" t="n"/>
      <c r="Q1255" s="113" t="n"/>
      <c r="R1255" s="113" t="n"/>
    </row>
    <row r="1256" ht="15.75" customHeight="1">
      <c r="A1256" s="113" t="n"/>
      <c r="B1256" s="146" t="n">
        <v>22</v>
      </c>
      <c r="C1256" s="350" t="n">
        <v>45955</v>
      </c>
      <c r="D1256" s="351" t="n">
        <v>12</v>
      </c>
      <c r="E1256" s="264" t="inlineStr">
        <is>
          <t>GARCERAS</t>
        </is>
      </c>
      <c r="F1256" s="264" t="inlineStr">
        <is>
          <t>ABONEROS</t>
        </is>
      </c>
      <c r="G1256" s="264" t="n">
        <v>10</v>
      </c>
      <c r="H1256" s="264" t="inlineStr">
        <is>
          <t>DIEGO NIÑO</t>
        </is>
      </c>
      <c r="I1256" s="264" t="inlineStr">
        <is>
          <t>GZZ673</t>
        </is>
      </c>
      <c r="J1256" s="265" t="n">
        <v>0.2881944444444444</v>
      </c>
      <c r="K1256" s="266" t="n">
        <v>2830</v>
      </c>
      <c r="L1256" s="309" t="n"/>
      <c r="M1256" s="113" t="n"/>
      <c r="N1256" s="113" t="n"/>
      <c r="O1256" s="113" t="n"/>
      <c r="P1256" s="243" t="n"/>
      <c r="Q1256" s="113" t="n"/>
      <c r="R1256" s="113" t="n"/>
    </row>
    <row r="1257" ht="15.75" customHeight="1">
      <c r="A1257" s="113" t="n"/>
      <c r="B1257" s="146" t="n">
        <v>22</v>
      </c>
      <c r="C1257" s="356" t="n">
        <v>45955</v>
      </c>
      <c r="D1257" s="357" t="n">
        <v>13</v>
      </c>
      <c r="E1257" s="271" t="inlineStr">
        <is>
          <t>GARCERAS</t>
        </is>
      </c>
      <c r="F1257" s="271" t="inlineStr">
        <is>
          <t>ABONEROS</t>
        </is>
      </c>
      <c r="G1257" s="271" t="n">
        <v>10</v>
      </c>
      <c r="H1257" s="271" t="inlineStr">
        <is>
          <t xml:space="preserve">JOSE HERRERA </t>
        </is>
      </c>
      <c r="I1257" s="271" t="inlineStr">
        <is>
          <t>LQO745</t>
        </is>
      </c>
      <c r="J1257" s="272" t="n">
        <v>0.3222222222222222</v>
      </c>
      <c r="K1257" s="273" t="n">
        <v>2830</v>
      </c>
      <c r="L1257" s="378">
        <f>SUM(K1245:K1257)</f>
        <v/>
      </c>
      <c r="M1257" s="113" t="n"/>
      <c r="N1257" s="113" t="n"/>
      <c r="O1257" s="113" t="n"/>
      <c r="P1257" s="243" t="n"/>
      <c r="Q1257" s="113" t="n"/>
      <c r="R1257" s="113" t="n"/>
    </row>
    <row r="1258" ht="15.75" customHeight="1">
      <c r="A1258" s="113" t="n"/>
      <c r="B1258" s="146" t="n">
        <v>23</v>
      </c>
      <c r="C1258" s="348" t="n">
        <v>45957</v>
      </c>
      <c r="D1258" s="349" t="n">
        <v>1</v>
      </c>
      <c r="E1258" s="258" t="inlineStr">
        <is>
          <t>GARCERAS</t>
        </is>
      </c>
      <c r="F1258" s="258" t="inlineStr">
        <is>
          <t>CARGUEROS</t>
        </is>
      </c>
      <c r="G1258" s="258" t="n">
        <v>11</v>
      </c>
      <c r="H1258" s="258" t="inlineStr">
        <is>
          <t xml:space="preserve">JOSE SOLER </t>
        </is>
      </c>
      <c r="I1258" s="258" t="inlineStr">
        <is>
          <t>EQY776</t>
        </is>
      </c>
      <c r="J1258" s="259" t="n">
        <v>0.06597222222222222</v>
      </c>
      <c r="K1258" s="260" t="n">
        <v>2980</v>
      </c>
      <c r="L1258" s="292" t="n"/>
      <c r="M1258" s="113" t="n"/>
      <c r="N1258" s="113" t="n"/>
      <c r="O1258" s="113" t="n"/>
      <c r="P1258" s="243" t="n"/>
      <c r="Q1258" s="113" t="n"/>
      <c r="R1258" s="113" t="n"/>
    </row>
    <row r="1259" ht="15.75" customHeight="1">
      <c r="A1259" s="113" t="n"/>
      <c r="B1259" s="146" t="n">
        <v>23</v>
      </c>
      <c r="C1259" s="350" t="n">
        <v>45957</v>
      </c>
      <c r="D1259" s="351" t="n">
        <v>2</v>
      </c>
      <c r="E1259" s="264" t="inlineStr">
        <is>
          <t>GARCERAS</t>
        </is>
      </c>
      <c r="F1259" s="264" t="inlineStr">
        <is>
          <t>CARGUEROS</t>
        </is>
      </c>
      <c r="G1259" s="264" t="n">
        <v>11</v>
      </c>
      <c r="H1259" s="264" t="inlineStr">
        <is>
          <t>YAIR RIVEROS</t>
        </is>
      </c>
      <c r="I1259" s="264" t="inlineStr">
        <is>
          <t>TLN181</t>
        </is>
      </c>
      <c r="J1259" s="265" t="n">
        <v>0.1041666666666667</v>
      </c>
      <c r="K1259" s="266" t="n">
        <v>2980</v>
      </c>
      <c r="L1259" s="308" t="n"/>
      <c r="M1259" s="113" t="n"/>
      <c r="N1259" s="113" t="n"/>
      <c r="O1259" s="113" t="n"/>
      <c r="P1259" s="243" t="n"/>
      <c r="Q1259" s="113" t="n"/>
      <c r="R1259" s="113" t="n"/>
    </row>
    <row r="1260" ht="15.75" customHeight="1">
      <c r="A1260" s="113" t="n"/>
      <c r="B1260" s="146" t="n">
        <v>23</v>
      </c>
      <c r="C1260" s="350" t="n">
        <v>45957</v>
      </c>
      <c r="D1260" s="351" t="n">
        <v>3</v>
      </c>
      <c r="E1260" s="264" t="inlineStr">
        <is>
          <t>GARCERAS</t>
        </is>
      </c>
      <c r="F1260" s="264" t="inlineStr">
        <is>
          <t>CARGUEROS</t>
        </is>
      </c>
      <c r="G1260" s="264" t="n">
        <v>11</v>
      </c>
      <c r="H1260" s="264" t="inlineStr">
        <is>
          <t xml:space="preserve">ALBERTO HERRERA </t>
        </is>
      </c>
      <c r="I1260" s="264" t="inlineStr">
        <is>
          <t>EQY777</t>
        </is>
      </c>
      <c r="J1260" s="265" t="n">
        <v>0.1354166666666667</v>
      </c>
      <c r="K1260" s="266" t="n">
        <v>2980</v>
      </c>
      <c r="L1260" s="308" t="n"/>
      <c r="M1260" s="113" t="n"/>
      <c r="N1260" s="113" t="n"/>
      <c r="O1260" s="113" t="n"/>
      <c r="P1260" s="243" t="n"/>
      <c r="Q1260" s="113" t="n"/>
      <c r="R1260" s="113" t="n"/>
    </row>
    <row r="1261" ht="15.75" customHeight="1">
      <c r="A1261" s="113" t="n"/>
      <c r="B1261" s="146" t="n">
        <v>23</v>
      </c>
      <c r="C1261" s="350" t="n">
        <v>45957</v>
      </c>
      <c r="D1261" s="351" t="n">
        <v>4</v>
      </c>
      <c r="E1261" s="264" t="inlineStr">
        <is>
          <t>HUERTAS</t>
        </is>
      </c>
      <c r="F1261" s="264" t="inlineStr">
        <is>
          <t>ABONEROS</t>
        </is>
      </c>
      <c r="G1261" s="264" t="n">
        <v>10</v>
      </c>
      <c r="H1261" s="264" t="inlineStr">
        <is>
          <t xml:space="preserve">MANUEL QUITIAN </t>
        </is>
      </c>
      <c r="I1261" s="264" t="inlineStr">
        <is>
          <t>KUS176</t>
        </is>
      </c>
      <c r="J1261" s="265" t="n">
        <v>0.1576388888888889</v>
      </c>
      <c r="K1261" s="266" t="n">
        <v>2860</v>
      </c>
      <c r="L1261" s="308" t="n"/>
      <c r="M1261" s="113" t="n"/>
      <c r="N1261" s="113" t="n"/>
      <c r="O1261" s="113" t="n"/>
      <c r="P1261" s="243" t="n"/>
      <c r="Q1261" s="113" t="n"/>
      <c r="R1261" s="113" t="n"/>
    </row>
    <row r="1262" ht="15.75" customHeight="1">
      <c r="A1262" s="113" t="n"/>
      <c r="B1262" s="146" t="n">
        <v>23</v>
      </c>
      <c r="C1262" s="350" t="n">
        <v>45957</v>
      </c>
      <c r="D1262" s="351" t="n">
        <v>5</v>
      </c>
      <c r="E1262" s="264" t="inlineStr">
        <is>
          <t>GARCERAS</t>
        </is>
      </c>
      <c r="F1262" s="264" t="inlineStr">
        <is>
          <t>CARGUEROS</t>
        </is>
      </c>
      <c r="G1262" s="264" t="n">
        <v>11</v>
      </c>
      <c r="H1262" s="264" t="inlineStr">
        <is>
          <t xml:space="preserve">WILMER PIÑEROS </t>
        </is>
      </c>
      <c r="I1262" s="264" t="inlineStr">
        <is>
          <t>KNL076</t>
        </is>
      </c>
      <c r="J1262" s="265" t="n">
        <v>0.1631944444444444</v>
      </c>
      <c r="K1262" s="266" t="n">
        <v>2980</v>
      </c>
      <c r="L1262" s="308" t="n"/>
      <c r="M1262" s="113" t="n"/>
      <c r="N1262" s="113" t="n"/>
      <c r="O1262" s="113" t="n"/>
      <c r="P1262" s="243" t="n"/>
      <c r="Q1262" s="113" t="n"/>
      <c r="R1262" s="113" t="n"/>
    </row>
    <row r="1263" ht="15.75" customHeight="1">
      <c r="A1263" s="113" t="n"/>
      <c r="B1263" s="146" t="n">
        <v>23</v>
      </c>
      <c r="C1263" s="350" t="n">
        <v>45957</v>
      </c>
      <c r="D1263" s="351" t="n">
        <v>6</v>
      </c>
      <c r="E1263" s="264" t="inlineStr">
        <is>
          <t>GARCERAS</t>
        </is>
      </c>
      <c r="F1263" s="264" t="inlineStr">
        <is>
          <t>CARGUEROS</t>
        </is>
      </c>
      <c r="G1263" s="264" t="n">
        <v>11</v>
      </c>
      <c r="H1263" s="264" t="inlineStr">
        <is>
          <t>EDWIN ROJAS</t>
        </is>
      </c>
      <c r="I1263" s="264" t="inlineStr">
        <is>
          <t>EQY780</t>
        </is>
      </c>
      <c r="J1263" s="265" t="n">
        <v>0.2013888888888889</v>
      </c>
      <c r="K1263" s="266" t="n">
        <v>2980</v>
      </c>
      <c r="L1263" s="308" t="n"/>
      <c r="M1263" s="113" t="n"/>
      <c r="N1263" s="113" t="n"/>
      <c r="O1263" s="113" t="n"/>
      <c r="P1263" s="243" t="n"/>
      <c r="Q1263" s="113" t="n"/>
      <c r="R1263" s="113" t="n"/>
    </row>
    <row r="1264" ht="15.75" customHeight="1">
      <c r="A1264" s="113" t="n"/>
      <c r="B1264" s="146" t="n">
        <v>23</v>
      </c>
      <c r="C1264" s="350" t="n">
        <v>45957</v>
      </c>
      <c r="D1264" s="351" t="n">
        <v>7</v>
      </c>
      <c r="E1264" s="264" t="inlineStr">
        <is>
          <t>GARCERAS</t>
        </is>
      </c>
      <c r="F1264" s="264" t="inlineStr">
        <is>
          <t>CARGUEROS</t>
        </is>
      </c>
      <c r="G1264" s="264" t="n">
        <v>11</v>
      </c>
      <c r="H1264" s="264" t="inlineStr">
        <is>
          <t>DUMAR ANGARITA</t>
        </is>
      </c>
      <c r="I1264" s="264" t="inlineStr">
        <is>
          <t>LQO745</t>
        </is>
      </c>
      <c r="J1264" s="265" t="n">
        <v>0.2291666666666667</v>
      </c>
      <c r="K1264" s="266" t="n">
        <v>2950</v>
      </c>
      <c r="L1264" s="308" t="n"/>
      <c r="M1264" s="113" t="n"/>
      <c r="N1264" s="113" t="n"/>
      <c r="O1264" s="113" t="n"/>
      <c r="P1264" s="243" t="n"/>
      <c r="Q1264" s="113" t="n"/>
      <c r="R1264" s="113" t="n"/>
    </row>
    <row r="1265" ht="15.75" customHeight="1">
      <c r="A1265" s="113" t="n"/>
      <c r="B1265" s="146" t="n">
        <v>23</v>
      </c>
      <c r="C1265" s="350" t="n">
        <v>45957</v>
      </c>
      <c r="D1265" s="351" t="n">
        <v>8</v>
      </c>
      <c r="E1265" s="264" t="inlineStr">
        <is>
          <t>GARCERAS</t>
        </is>
      </c>
      <c r="F1265" s="264" t="inlineStr">
        <is>
          <t>CARGUEROS</t>
        </is>
      </c>
      <c r="G1265" s="264" t="n">
        <v>11</v>
      </c>
      <c r="H1265" s="264" t="inlineStr">
        <is>
          <t>ROBINSON PULIDO</t>
        </is>
      </c>
      <c r="I1265" s="264" t="inlineStr">
        <is>
          <t>EQY781</t>
        </is>
      </c>
      <c r="J1265" s="265" t="n">
        <v>0.2881944444444444</v>
      </c>
      <c r="K1265" s="266" t="n">
        <v>3090</v>
      </c>
      <c r="L1265" s="308" t="n"/>
      <c r="M1265" s="113" t="n"/>
      <c r="N1265" s="113" t="n"/>
      <c r="O1265" s="113" t="n"/>
      <c r="P1265" s="243" t="n"/>
      <c r="Q1265" s="113" t="n"/>
      <c r="R1265" s="113" t="n"/>
    </row>
    <row r="1266" ht="15.75" customHeight="1">
      <c r="A1266" s="113" t="n"/>
      <c r="B1266" s="146" t="n">
        <v>23</v>
      </c>
      <c r="C1266" s="350" t="n">
        <v>45957</v>
      </c>
      <c r="D1266" s="351" t="n">
        <v>9</v>
      </c>
      <c r="E1266" s="264" t="inlineStr">
        <is>
          <t>GARCERAS</t>
        </is>
      </c>
      <c r="F1266" s="264" t="inlineStr">
        <is>
          <t>CARGUEROS</t>
        </is>
      </c>
      <c r="G1266" s="264" t="n">
        <v>11</v>
      </c>
      <c r="H1266" s="264" t="inlineStr">
        <is>
          <t>FERNANDO OYUELA</t>
        </is>
      </c>
      <c r="I1266" s="264" t="inlineStr">
        <is>
          <t>EQY778</t>
        </is>
      </c>
      <c r="J1266" s="265" t="n">
        <v>0.34375</v>
      </c>
      <c r="K1266" s="266" t="n">
        <v>3000</v>
      </c>
      <c r="L1266" s="308" t="n"/>
      <c r="M1266" s="113" t="n"/>
      <c r="N1266" s="113" t="n"/>
      <c r="O1266" s="113" t="n"/>
      <c r="P1266" s="243" t="n"/>
      <c r="Q1266" s="113" t="n"/>
      <c r="R1266" s="113" t="n"/>
    </row>
    <row r="1267" ht="15.75" customHeight="1">
      <c r="A1267" s="113" t="n"/>
      <c r="B1267" s="146" t="n">
        <v>23</v>
      </c>
      <c r="C1267" s="350" t="n">
        <v>45957</v>
      </c>
      <c r="D1267" s="351" t="n">
        <v>10</v>
      </c>
      <c r="E1267" s="264" t="inlineStr">
        <is>
          <t>GARCERAS</t>
        </is>
      </c>
      <c r="F1267" s="264" t="inlineStr">
        <is>
          <t>CARGUEROS</t>
        </is>
      </c>
      <c r="G1267" s="264" t="n">
        <v>11</v>
      </c>
      <c r="H1267" s="264" t="inlineStr">
        <is>
          <t>MANUEL QUINTIAN</t>
        </is>
      </c>
      <c r="I1267" s="264" t="inlineStr">
        <is>
          <t>KUS176</t>
        </is>
      </c>
      <c r="J1267" s="265" t="n">
        <v>0.3888888888888889</v>
      </c>
      <c r="K1267" s="266" t="n">
        <v>2960</v>
      </c>
      <c r="L1267" s="308" t="n"/>
      <c r="M1267" s="113" t="n"/>
      <c r="N1267" s="113" t="n"/>
      <c r="O1267" s="113" t="n"/>
      <c r="P1267" s="243" t="n"/>
      <c r="Q1267" s="113" t="n"/>
      <c r="R1267" s="113" t="n"/>
    </row>
    <row r="1268" ht="15.75" customHeight="1">
      <c r="A1268" s="113" t="n"/>
      <c r="B1268" s="146" t="n">
        <v>23</v>
      </c>
      <c r="C1268" s="352" t="n">
        <v>45957</v>
      </c>
      <c r="D1268" s="347" t="n">
        <v>11</v>
      </c>
      <c r="E1268" s="282" t="inlineStr">
        <is>
          <t>GARCERAS</t>
        </is>
      </c>
      <c r="F1268" s="282" t="inlineStr">
        <is>
          <t xml:space="preserve">CARGUEROS </t>
        </is>
      </c>
      <c r="G1268" s="282" t="n">
        <v>11</v>
      </c>
      <c r="H1268" s="282" t="inlineStr">
        <is>
          <t xml:space="preserve">WILMER PIÑEROS </t>
        </is>
      </c>
      <c r="I1268" s="282" t="inlineStr">
        <is>
          <t>KLN076</t>
        </is>
      </c>
      <c r="J1268" s="283" t="n">
        <v>0.4791666666666667</v>
      </c>
      <c r="K1268" s="284" t="n">
        <v>2960</v>
      </c>
      <c r="L1268" s="353">
        <f>SUM(K1258:K1268)</f>
        <v/>
      </c>
      <c r="M1268" s="113" t="n"/>
      <c r="N1268" s="113" t="n"/>
      <c r="O1268" s="113" t="n"/>
      <c r="P1268" s="243" t="n"/>
      <c r="Q1268" s="113" t="n"/>
      <c r="R1268" s="113" t="n"/>
    </row>
    <row r="1269" ht="15.75" customHeight="1">
      <c r="A1269" s="113" t="n"/>
      <c r="B1269" s="146" t="n">
        <v>23</v>
      </c>
      <c r="C1269" s="348" t="n">
        <v>45958</v>
      </c>
      <c r="D1269" s="349" t="n">
        <v>1</v>
      </c>
      <c r="E1269" s="258" t="inlineStr">
        <is>
          <t>GARCERAS</t>
        </is>
      </c>
      <c r="F1269" s="258" t="inlineStr">
        <is>
          <t>CARGUEROS</t>
        </is>
      </c>
      <c r="G1269" s="258" t="n">
        <v>11</v>
      </c>
      <c r="H1269" s="258" t="inlineStr">
        <is>
          <t>DIEGO NIÑO</t>
        </is>
      </c>
      <c r="I1269" s="258" t="inlineStr">
        <is>
          <t>GZZ673</t>
        </is>
      </c>
      <c r="J1269" s="259" t="n">
        <v>0.1097222222222222</v>
      </c>
      <c r="K1269" s="390" t="n">
        <v>2980</v>
      </c>
      <c r="L1269" s="391" t="n"/>
      <c r="M1269" s="113" t="n"/>
      <c r="N1269" s="113" t="n"/>
      <c r="O1269" s="113" t="n"/>
      <c r="P1269" s="243" t="n"/>
      <c r="Q1269" s="113" t="n"/>
      <c r="R1269" s="113" t="n"/>
    </row>
    <row r="1270" ht="15.75" customHeight="1">
      <c r="A1270" s="113" t="n"/>
      <c r="B1270" s="146" t="n">
        <v>23</v>
      </c>
      <c r="C1270" s="350" t="n">
        <v>45958</v>
      </c>
      <c r="D1270" s="351" t="n">
        <v>2</v>
      </c>
      <c r="E1270" s="264" t="inlineStr">
        <is>
          <t>GARCERAS</t>
        </is>
      </c>
      <c r="F1270" s="264" t="inlineStr">
        <is>
          <t>CARGUEROS</t>
        </is>
      </c>
      <c r="G1270" s="264" t="n">
        <v>11</v>
      </c>
      <c r="H1270" s="264" t="inlineStr">
        <is>
          <t>DUMAR ANGARITA</t>
        </is>
      </c>
      <c r="I1270" s="264" t="inlineStr">
        <is>
          <t>LQO745</t>
        </is>
      </c>
      <c r="J1270" s="265" t="n">
        <v>0.1368055555555556</v>
      </c>
      <c r="K1270" s="392" t="n">
        <v>2980</v>
      </c>
      <c r="L1270" s="393" t="n"/>
      <c r="M1270" s="113" t="n"/>
      <c r="N1270" s="113" t="n"/>
      <c r="O1270" s="113" t="n"/>
      <c r="P1270" s="243" t="n"/>
      <c r="Q1270" s="113" t="n"/>
      <c r="R1270" s="113" t="n"/>
    </row>
    <row r="1271" ht="15.75" customHeight="1">
      <c r="A1271" s="113" t="n"/>
      <c r="B1271" s="146" t="n">
        <v>23</v>
      </c>
      <c r="C1271" s="350" t="n">
        <v>45958</v>
      </c>
      <c r="D1271" s="351" t="n">
        <v>3</v>
      </c>
      <c r="E1271" s="264" t="inlineStr">
        <is>
          <t>GARCERAS</t>
        </is>
      </c>
      <c r="F1271" s="264" t="inlineStr">
        <is>
          <t>CARGUEROS</t>
        </is>
      </c>
      <c r="G1271" s="264" t="n">
        <v>11</v>
      </c>
      <c r="H1271" s="264" t="inlineStr">
        <is>
          <t>EDWIN CAVIDEZ</t>
        </is>
      </c>
      <c r="I1271" s="264" t="inlineStr">
        <is>
          <t>EQY779</t>
        </is>
      </c>
      <c r="J1271" s="265" t="n">
        <v>0.1631944444444444</v>
      </c>
      <c r="K1271" s="392" t="n">
        <v>2980</v>
      </c>
      <c r="L1271" s="393" t="n"/>
      <c r="M1271" s="113" t="n"/>
      <c r="N1271" s="113" t="n"/>
      <c r="O1271" s="113" t="n"/>
      <c r="P1271" s="243" t="n"/>
      <c r="Q1271" s="113" t="n"/>
      <c r="R1271" s="113" t="n"/>
    </row>
    <row r="1272" ht="15.75" customHeight="1">
      <c r="A1272" s="113" t="n"/>
      <c r="B1272" s="146" t="n">
        <v>23</v>
      </c>
      <c r="C1272" s="350" t="n">
        <v>45958</v>
      </c>
      <c r="D1272" s="351" t="n">
        <v>4</v>
      </c>
      <c r="E1272" s="264" t="inlineStr">
        <is>
          <t>GARCERAS</t>
        </is>
      </c>
      <c r="F1272" s="264" t="inlineStr">
        <is>
          <t>CARGUEROS</t>
        </is>
      </c>
      <c r="G1272" s="264" t="n">
        <v>11</v>
      </c>
      <c r="H1272" s="264" t="inlineStr">
        <is>
          <t xml:space="preserve">FERNANDO OYUELA </t>
        </is>
      </c>
      <c r="I1272" s="264" t="inlineStr">
        <is>
          <t>EQY778</t>
        </is>
      </c>
      <c r="J1272" s="265" t="n">
        <v>0.1902777777777778</v>
      </c>
      <c r="K1272" s="392" t="n">
        <v>2980</v>
      </c>
      <c r="L1272" s="394" t="n"/>
      <c r="M1272" s="113" t="n"/>
      <c r="N1272" s="113" t="n"/>
      <c r="O1272" s="113" t="n"/>
      <c r="P1272" s="243" t="n"/>
      <c r="Q1272" s="113" t="n"/>
      <c r="R1272" s="113" t="n"/>
    </row>
    <row r="1273" ht="15.75" customHeight="1">
      <c r="A1273" s="113" t="n"/>
      <c r="B1273" s="146" t="n">
        <v>23</v>
      </c>
      <c r="C1273" s="352" t="n">
        <v>45958</v>
      </c>
      <c r="D1273" s="347" t="n">
        <v>5</v>
      </c>
      <c r="E1273" s="282" t="inlineStr">
        <is>
          <t>GARCERAS</t>
        </is>
      </c>
      <c r="F1273" s="282" t="inlineStr">
        <is>
          <t>CARGUEROS</t>
        </is>
      </c>
      <c r="G1273" s="282" t="n">
        <v>11</v>
      </c>
      <c r="H1273" s="282" t="inlineStr">
        <is>
          <t xml:space="preserve">JOSE SOLER </t>
        </is>
      </c>
      <c r="I1273" s="282" t="inlineStr">
        <is>
          <t>EQY776</t>
        </is>
      </c>
      <c r="J1273" s="283" t="n">
        <v>0.2201388888888889</v>
      </c>
      <c r="K1273" s="284" t="n">
        <v>2910</v>
      </c>
      <c r="L1273" s="378">
        <f>SUM(K1269:K1273)</f>
        <v/>
      </c>
      <c r="M1273" s="113" t="n"/>
      <c r="N1273" s="113" t="n"/>
      <c r="O1273" s="113" t="n"/>
      <c r="P1273" s="243" t="n"/>
      <c r="Q1273" s="113" t="n"/>
      <c r="R1273" s="113" t="n"/>
    </row>
    <row r="1274" ht="15.75" customHeight="1">
      <c r="A1274" s="113" t="n"/>
      <c r="B1274" s="146" t="n">
        <v>23</v>
      </c>
      <c r="C1274" s="348" t="n">
        <v>45959</v>
      </c>
      <c r="D1274" s="349" t="n">
        <v>1</v>
      </c>
      <c r="E1274" s="258" t="inlineStr">
        <is>
          <t>HUERTAS</t>
        </is>
      </c>
      <c r="F1274" s="258" t="inlineStr">
        <is>
          <t>ABONEROS</t>
        </is>
      </c>
      <c r="G1274" s="258" t="n">
        <v>10</v>
      </c>
      <c r="H1274" s="258" t="inlineStr">
        <is>
          <t>ALEX GOMEZ</t>
        </is>
      </c>
      <c r="I1274" s="258" t="inlineStr">
        <is>
          <t>TLO881</t>
        </is>
      </c>
      <c r="J1274" s="259" t="n">
        <v>0.1319444444444444</v>
      </c>
      <c r="K1274" s="338" t="n">
        <v>3240</v>
      </c>
      <c r="L1274" s="339" t="n"/>
      <c r="M1274" s="113" t="n"/>
      <c r="N1274" s="113" t="n"/>
      <c r="O1274" s="113" t="n"/>
      <c r="P1274" s="243" t="n"/>
      <c r="Q1274" s="113" t="n"/>
      <c r="R1274" s="113" t="n"/>
    </row>
    <row r="1275" ht="15.75" customHeight="1">
      <c r="A1275" s="113" t="n"/>
      <c r="B1275" s="146" t="n">
        <v>23</v>
      </c>
      <c r="C1275" s="350" t="n">
        <v>45959</v>
      </c>
      <c r="D1275" s="351" t="n">
        <v>2</v>
      </c>
      <c r="E1275" s="264" t="inlineStr">
        <is>
          <t>HUERTAS</t>
        </is>
      </c>
      <c r="F1275" s="264" t="inlineStr">
        <is>
          <t>ABONEROS</t>
        </is>
      </c>
      <c r="G1275" s="264" t="n">
        <v>10</v>
      </c>
      <c r="H1275" s="264" t="inlineStr">
        <is>
          <t xml:space="preserve">ALEX CHAGUALA </t>
        </is>
      </c>
      <c r="I1275" s="264" t="inlineStr">
        <is>
          <t>TLO884</t>
        </is>
      </c>
      <c r="J1275" s="265" t="n">
        <v>0.1944444444444444</v>
      </c>
      <c r="K1275" s="341" t="n">
        <v>3220</v>
      </c>
      <c r="L1275" s="342" t="n"/>
      <c r="M1275" s="113" t="n"/>
      <c r="N1275" s="113" t="n"/>
      <c r="O1275" s="113" t="n"/>
      <c r="P1275" s="243" t="n"/>
      <c r="Q1275" s="113" t="n"/>
      <c r="R1275" s="113" t="n"/>
    </row>
    <row r="1276" ht="15.75" customHeight="1">
      <c r="A1276" s="113" t="n"/>
      <c r="B1276" s="146" t="n">
        <v>23</v>
      </c>
      <c r="C1276" s="350" t="n">
        <v>45959</v>
      </c>
      <c r="D1276" s="351" t="n">
        <v>3</v>
      </c>
      <c r="E1276" s="264" t="inlineStr">
        <is>
          <t>GARCERAS</t>
        </is>
      </c>
      <c r="F1276" s="264" t="inlineStr">
        <is>
          <t>CARGUEROS</t>
        </is>
      </c>
      <c r="G1276" s="264" t="n">
        <v>11</v>
      </c>
      <c r="H1276" s="264" t="inlineStr">
        <is>
          <t>JHON ARIAS</t>
        </is>
      </c>
      <c r="I1276" s="264" t="inlineStr">
        <is>
          <t>TLN248</t>
        </is>
      </c>
      <c r="J1276" s="265" t="n">
        <v>0.1180555555555556</v>
      </c>
      <c r="K1276" s="341" t="n">
        <v>2460</v>
      </c>
      <c r="L1276" s="342" t="n"/>
      <c r="M1276" s="113" t="n"/>
      <c r="N1276" s="113" t="n"/>
      <c r="O1276" s="113" t="n"/>
      <c r="P1276" s="243" t="n"/>
      <c r="Q1276" s="113" t="n"/>
      <c r="R1276" s="113" t="n"/>
    </row>
    <row r="1277" ht="15.75" customHeight="1">
      <c r="A1277" s="113" t="n"/>
      <c r="B1277" s="146" t="n">
        <v>23</v>
      </c>
      <c r="C1277" s="350" t="n">
        <v>45959</v>
      </c>
      <c r="D1277" s="351" t="n">
        <v>4</v>
      </c>
      <c r="E1277" s="264" t="inlineStr">
        <is>
          <t>GARCERAS</t>
        </is>
      </c>
      <c r="F1277" s="264" t="inlineStr">
        <is>
          <t>CARGUEROS</t>
        </is>
      </c>
      <c r="G1277" s="264" t="n">
        <v>11</v>
      </c>
      <c r="H1277" s="264" t="inlineStr">
        <is>
          <t xml:space="preserve">SEBASTIAN HIDALGO </t>
        </is>
      </c>
      <c r="I1277" s="264" t="inlineStr">
        <is>
          <t>KUS176</t>
        </is>
      </c>
      <c r="J1277" s="265" t="n">
        <v>0.1284722222222222</v>
      </c>
      <c r="K1277" s="341" t="n">
        <v>2460</v>
      </c>
      <c r="L1277" s="342" t="n"/>
      <c r="M1277" s="113" t="n"/>
      <c r="N1277" s="113" t="n"/>
      <c r="O1277" s="113" t="n"/>
      <c r="P1277" s="243" t="n"/>
      <c r="Q1277" s="113" t="n"/>
      <c r="R1277" s="113" t="n"/>
    </row>
    <row r="1278" ht="15.75" customHeight="1">
      <c r="A1278" s="113" t="n"/>
      <c r="B1278" s="146" t="n">
        <v>23</v>
      </c>
      <c r="C1278" s="350" t="n">
        <v>45959</v>
      </c>
      <c r="D1278" s="351" t="n">
        <v>5</v>
      </c>
      <c r="E1278" s="264" t="inlineStr">
        <is>
          <t>GARCERAS</t>
        </is>
      </c>
      <c r="F1278" s="264" t="inlineStr">
        <is>
          <t>CARGUEROS</t>
        </is>
      </c>
      <c r="G1278" s="264" t="n">
        <v>11</v>
      </c>
      <c r="H1278" s="264" t="inlineStr">
        <is>
          <t xml:space="preserve">EDWIN ROJAS </t>
        </is>
      </c>
      <c r="I1278" s="264" t="inlineStr">
        <is>
          <t>EQY780</t>
        </is>
      </c>
      <c r="J1278" s="265" t="n">
        <v>0.1701388888888889</v>
      </c>
      <c r="K1278" s="341" t="n">
        <v>2460</v>
      </c>
      <c r="L1278" s="342" t="n"/>
      <c r="M1278" s="113" t="n"/>
      <c r="N1278" s="113" t="n"/>
      <c r="O1278" s="113" t="n"/>
      <c r="P1278" s="243" t="n"/>
      <c r="Q1278" s="113" t="n"/>
      <c r="R1278" s="113" t="n"/>
    </row>
    <row r="1279" ht="15.75" customHeight="1">
      <c r="A1279" s="113" t="n"/>
      <c r="B1279" s="146" t="n">
        <v>23</v>
      </c>
      <c r="C1279" s="350" t="n">
        <v>45959</v>
      </c>
      <c r="D1279" s="351" t="n">
        <v>6</v>
      </c>
      <c r="E1279" s="264" t="inlineStr">
        <is>
          <t>GARCERAS</t>
        </is>
      </c>
      <c r="F1279" s="264" t="inlineStr">
        <is>
          <t>CARGUEROS</t>
        </is>
      </c>
      <c r="G1279" s="264" t="n">
        <v>11</v>
      </c>
      <c r="H1279" s="264" t="inlineStr">
        <is>
          <t>ALBERTO LOPEZ</t>
        </is>
      </c>
      <c r="I1279" s="264" t="inlineStr">
        <is>
          <t>EQY777</t>
        </is>
      </c>
      <c r="J1279" s="265" t="n">
        <v>0.2152777777777778</v>
      </c>
      <c r="K1279" s="341" t="n">
        <v>3090</v>
      </c>
      <c r="L1279" s="342" t="n"/>
      <c r="M1279" s="113" t="n"/>
      <c r="N1279" s="113" t="n"/>
      <c r="O1279" s="113" t="n"/>
      <c r="P1279" s="243" t="n"/>
      <c r="Q1279" s="113" t="n"/>
      <c r="R1279" s="113" t="n"/>
    </row>
    <row r="1280" ht="15.75" customHeight="1">
      <c r="A1280" s="113" t="n"/>
      <c r="B1280" s="146" t="n">
        <v>23</v>
      </c>
      <c r="C1280" s="350" t="n">
        <v>45959</v>
      </c>
      <c r="D1280" s="351" t="n">
        <v>7</v>
      </c>
      <c r="E1280" s="264" t="inlineStr">
        <is>
          <t>GARCERAS</t>
        </is>
      </c>
      <c r="F1280" s="264" t="inlineStr">
        <is>
          <t>CARGUEROS</t>
        </is>
      </c>
      <c r="G1280" s="264" t="n">
        <v>11</v>
      </c>
      <c r="H1280" s="264" t="inlineStr">
        <is>
          <t>DUMAR ANGARITA</t>
        </is>
      </c>
      <c r="I1280" s="264" t="inlineStr">
        <is>
          <t>LQO745</t>
        </is>
      </c>
      <c r="J1280" s="265" t="n">
        <v>0.2673611111111111</v>
      </c>
      <c r="K1280" s="341" t="n">
        <v>3090</v>
      </c>
      <c r="L1280" s="342" t="n"/>
      <c r="M1280" s="113" t="n"/>
      <c r="N1280" s="113" t="n"/>
      <c r="O1280" s="113" t="n"/>
      <c r="P1280" s="243" t="n"/>
      <c r="Q1280" s="113" t="n"/>
      <c r="R1280" s="113" t="n"/>
    </row>
    <row r="1281" ht="15.75" customHeight="1">
      <c r="A1281" s="113" t="n"/>
      <c r="B1281" s="146" t="n">
        <v>23</v>
      </c>
      <c r="C1281" s="350" t="n">
        <v>45959</v>
      </c>
      <c r="D1281" s="351" t="n">
        <v>8</v>
      </c>
      <c r="E1281" s="264" t="inlineStr">
        <is>
          <t>GARCERAS</t>
        </is>
      </c>
      <c r="F1281" s="264" t="inlineStr">
        <is>
          <t>CARGUEROS</t>
        </is>
      </c>
      <c r="G1281" s="264" t="n">
        <v>11</v>
      </c>
      <c r="H1281" s="264" t="inlineStr">
        <is>
          <t xml:space="preserve">JOSE SOLER </t>
        </is>
      </c>
      <c r="I1281" s="264" t="inlineStr">
        <is>
          <t>EQY776</t>
        </is>
      </c>
      <c r="J1281" s="265" t="n">
        <v>0.3368055555555556</v>
      </c>
      <c r="K1281" s="341" t="n">
        <v>3090</v>
      </c>
      <c r="L1281" s="346" t="n"/>
      <c r="M1281" s="113" t="n"/>
      <c r="N1281" s="113" t="n"/>
      <c r="O1281" s="113" t="n"/>
      <c r="P1281" s="243" t="n"/>
      <c r="Q1281" s="113" t="n"/>
      <c r="R1281" s="113" t="n"/>
    </row>
    <row r="1282" ht="15.75" customHeight="1">
      <c r="A1282" s="113" t="n"/>
      <c r="B1282" s="146" t="n">
        <v>23</v>
      </c>
      <c r="C1282" s="356" t="n">
        <v>45959</v>
      </c>
      <c r="D1282" s="357" t="n">
        <v>9</v>
      </c>
      <c r="E1282" s="271" t="inlineStr">
        <is>
          <t>GARCERAS</t>
        </is>
      </c>
      <c r="F1282" s="271" t="inlineStr">
        <is>
          <t>CARGUEROS</t>
        </is>
      </c>
      <c r="G1282" s="271" t="n">
        <v>11</v>
      </c>
      <c r="H1282" s="271" t="inlineStr">
        <is>
          <t>ALEX GOMEZ</t>
        </is>
      </c>
      <c r="I1282" s="271" t="inlineStr">
        <is>
          <t>TLO881</t>
        </is>
      </c>
      <c r="J1282" s="272" t="n">
        <v>0.375</v>
      </c>
      <c r="K1282" s="375" t="n">
        <v>3640</v>
      </c>
      <c r="L1282" s="388">
        <f>SUM(K1274:K1282)</f>
        <v/>
      </c>
      <c r="M1282" s="113" t="n"/>
      <c r="N1282" s="113" t="n"/>
      <c r="O1282" s="113" t="n"/>
      <c r="P1282" s="243" t="n"/>
      <c r="Q1282" s="113" t="n"/>
      <c r="R1282" s="113" t="n"/>
    </row>
    <row r="1283" ht="15.75" customHeight="1">
      <c r="A1283" s="113" t="n"/>
      <c r="B1283" s="146" t="n">
        <v>23</v>
      </c>
      <c r="C1283" s="348" t="n">
        <v>45960</v>
      </c>
      <c r="D1283" s="349" t="n">
        <v>1</v>
      </c>
      <c r="E1283" s="258" t="inlineStr">
        <is>
          <t>GARCERAS</t>
        </is>
      </c>
      <c r="F1283" s="258" t="inlineStr">
        <is>
          <t>CARGUEROS</t>
        </is>
      </c>
      <c r="G1283" s="258" t="n">
        <v>11</v>
      </c>
      <c r="H1283" s="258" t="inlineStr">
        <is>
          <t>DUMAR ANGARITA</t>
        </is>
      </c>
      <c r="I1283" s="258" t="inlineStr">
        <is>
          <t>LQO745</t>
        </is>
      </c>
      <c r="J1283" s="259" t="n">
        <v>0.02083333333333333</v>
      </c>
      <c r="K1283" s="260" t="n">
        <v>2440</v>
      </c>
      <c r="L1283" s="292" t="n"/>
      <c r="M1283" s="113" t="n"/>
      <c r="N1283" s="113" t="n"/>
      <c r="O1283" s="113" t="n"/>
      <c r="P1283" s="243" t="n"/>
      <c r="Q1283" s="113" t="n"/>
      <c r="R1283" s="113" t="n"/>
    </row>
    <row r="1284" ht="15.75" customHeight="1">
      <c r="A1284" s="113" t="n"/>
      <c r="B1284" s="146" t="n">
        <v>23</v>
      </c>
      <c r="C1284" s="350" t="n">
        <v>45960</v>
      </c>
      <c r="D1284" s="351" t="n">
        <v>2</v>
      </c>
      <c r="E1284" s="264" t="inlineStr">
        <is>
          <t>GARCERAS</t>
        </is>
      </c>
      <c r="F1284" s="264" t="inlineStr">
        <is>
          <t>CARGUEROS</t>
        </is>
      </c>
      <c r="G1284" s="264" t="n">
        <v>11</v>
      </c>
      <c r="H1284" s="264" t="inlineStr">
        <is>
          <t>EDUAN CAVIDEZ</t>
        </is>
      </c>
      <c r="I1284" s="264" t="inlineStr">
        <is>
          <t>EQY779</t>
        </is>
      </c>
      <c r="J1284" s="265" t="n">
        <v>0.05208333333333334</v>
      </c>
      <c r="K1284" s="266" t="n">
        <v>2520</v>
      </c>
      <c r="L1284" s="308" t="n"/>
      <c r="M1284" s="113" t="n"/>
      <c r="N1284" s="113" t="n"/>
      <c r="O1284" s="113" t="n"/>
      <c r="P1284" s="243" t="n"/>
      <c r="Q1284" s="113" t="n"/>
      <c r="R1284" s="113" t="n"/>
    </row>
    <row r="1285" ht="15.75" customHeight="1">
      <c r="A1285" s="113" t="n"/>
      <c r="B1285" s="146" t="n">
        <v>23</v>
      </c>
      <c r="C1285" s="350" t="n">
        <v>45960</v>
      </c>
      <c r="D1285" s="351" t="n">
        <v>3</v>
      </c>
      <c r="E1285" s="264" t="inlineStr">
        <is>
          <t>GARCERAS</t>
        </is>
      </c>
      <c r="F1285" s="264" t="inlineStr">
        <is>
          <t>CARGUEROS</t>
        </is>
      </c>
      <c r="G1285" s="264" t="n">
        <v>11</v>
      </c>
      <c r="H1285" s="264" t="inlineStr">
        <is>
          <t>ROBINSON PULIDO</t>
        </is>
      </c>
      <c r="I1285" s="264" t="inlineStr">
        <is>
          <t>EQY781</t>
        </is>
      </c>
      <c r="J1285" s="265" t="n">
        <v>0.0798611111111111</v>
      </c>
      <c r="K1285" s="266" t="n">
        <v>2600</v>
      </c>
      <c r="L1285" s="308" t="n"/>
      <c r="M1285" s="113" t="n"/>
      <c r="N1285" s="113" t="n"/>
      <c r="O1285" s="113" t="n"/>
      <c r="P1285" s="243" t="n"/>
      <c r="Q1285" s="113" t="n"/>
      <c r="R1285" s="113" t="n"/>
    </row>
    <row r="1286" ht="15.75" customHeight="1">
      <c r="A1286" s="113" t="n"/>
      <c r="B1286" s="146" t="n">
        <v>23</v>
      </c>
      <c r="C1286" s="350" t="n">
        <v>45960</v>
      </c>
      <c r="D1286" s="351" t="n">
        <v>4</v>
      </c>
      <c r="E1286" s="264" t="inlineStr">
        <is>
          <t>GARCERAS</t>
        </is>
      </c>
      <c r="F1286" s="264" t="inlineStr">
        <is>
          <t>CARGUEROS</t>
        </is>
      </c>
      <c r="G1286" s="264" t="n">
        <v>11</v>
      </c>
      <c r="H1286" s="264" t="inlineStr">
        <is>
          <t>JOSE HERRERA</t>
        </is>
      </c>
      <c r="I1286" s="264" t="inlineStr">
        <is>
          <t>TLO882</t>
        </is>
      </c>
      <c r="J1286" s="265" t="n">
        <v>0.1076388888888889</v>
      </c>
      <c r="K1286" s="266" t="n">
        <v>2720</v>
      </c>
      <c r="L1286" s="308" t="n"/>
      <c r="M1286" s="113" t="n"/>
      <c r="N1286" s="113" t="n"/>
      <c r="O1286" s="113" t="n"/>
      <c r="P1286" s="243" t="n"/>
      <c r="Q1286" s="113" t="n"/>
      <c r="R1286" s="113" t="n"/>
    </row>
    <row r="1287" ht="15.75" customHeight="1">
      <c r="A1287" s="113" t="n"/>
      <c r="B1287" s="146" t="n">
        <v>23</v>
      </c>
      <c r="C1287" s="350" t="n">
        <v>45960</v>
      </c>
      <c r="D1287" s="351" t="n">
        <v>5</v>
      </c>
      <c r="E1287" s="264" t="inlineStr">
        <is>
          <t>GARCERAS</t>
        </is>
      </c>
      <c r="F1287" s="264" t="inlineStr">
        <is>
          <t>CARGUEROS</t>
        </is>
      </c>
      <c r="G1287" s="264" t="n">
        <v>11</v>
      </c>
      <c r="H1287" s="264" t="inlineStr">
        <is>
          <t>ALEX CHAGUALA</t>
        </is>
      </c>
      <c r="I1287" s="264" t="inlineStr">
        <is>
          <t>TLO884</t>
        </is>
      </c>
      <c r="J1287" s="265" t="n">
        <v>0.1319444444444444</v>
      </c>
      <c r="K1287" s="266" t="n">
        <v>2720</v>
      </c>
      <c r="L1287" s="308" t="n"/>
      <c r="M1287" s="113" t="n"/>
      <c r="N1287" s="113" t="n"/>
      <c r="O1287" s="113" t="n"/>
      <c r="P1287" s="243" t="n"/>
      <c r="Q1287" s="113" t="n"/>
      <c r="R1287" s="113" t="n"/>
    </row>
    <row r="1288" ht="15.75" customHeight="1">
      <c r="A1288" s="113" t="n"/>
      <c r="B1288" s="146" t="n">
        <v>23</v>
      </c>
      <c r="C1288" s="350" t="n">
        <v>45960</v>
      </c>
      <c r="D1288" s="351" t="n">
        <v>6</v>
      </c>
      <c r="E1288" s="264" t="inlineStr">
        <is>
          <t>GARCERAS</t>
        </is>
      </c>
      <c r="F1288" s="264" t="inlineStr">
        <is>
          <t>CARGUEROS</t>
        </is>
      </c>
      <c r="G1288" s="264" t="n">
        <v>11</v>
      </c>
      <c r="H1288" s="264" t="inlineStr">
        <is>
          <t>FERNANDO OYUELA</t>
        </is>
      </c>
      <c r="I1288" s="264" t="inlineStr">
        <is>
          <t>EQY778</t>
        </is>
      </c>
      <c r="J1288" s="265" t="n">
        <v>0.1736111111111111</v>
      </c>
      <c r="K1288" s="266" t="n">
        <v>2680</v>
      </c>
      <c r="L1288" s="308" t="n"/>
      <c r="M1288" s="113" t="n"/>
      <c r="N1288" s="113" t="n"/>
      <c r="O1288" s="113" t="n"/>
      <c r="P1288" s="243" t="n"/>
      <c r="Q1288" s="113" t="n"/>
      <c r="R1288" s="113" t="n"/>
    </row>
    <row r="1289" ht="15.75" customHeight="1">
      <c r="A1289" s="113" t="n"/>
      <c r="B1289" s="146" t="n">
        <v>23</v>
      </c>
      <c r="C1289" s="350" t="n">
        <v>45960</v>
      </c>
      <c r="D1289" s="351" t="n">
        <v>7</v>
      </c>
      <c r="E1289" s="264" t="inlineStr">
        <is>
          <t>GARCERAS</t>
        </is>
      </c>
      <c r="F1289" s="264" t="inlineStr">
        <is>
          <t>CARGUEROS</t>
        </is>
      </c>
      <c r="G1289" s="264" t="n">
        <v>11</v>
      </c>
      <c r="H1289" s="264" t="inlineStr">
        <is>
          <t xml:space="preserve">YAIR RIVEROS </t>
        </is>
      </c>
      <c r="I1289" s="264" t="inlineStr">
        <is>
          <t>TLN181</t>
        </is>
      </c>
      <c r="J1289" s="265" t="n">
        <v>0.1979166666666667</v>
      </c>
      <c r="K1289" s="266" t="n">
        <v>2680</v>
      </c>
      <c r="L1289" s="308" t="n"/>
      <c r="M1289" s="113" t="n"/>
      <c r="N1289" s="113" t="n"/>
      <c r="O1289" s="113" t="n"/>
      <c r="P1289" s="243" t="n"/>
      <c r="Q1289" s="113" t="n"/>
      <c r="R1289" s="113" t="n"/>
    </row>
    <row r="1290" ht="15.75" customHeight="1">
      <c r="A1290" s="113" t="n"/>
      <c r="B1290" s="146" t="n">
        <v>23</v>
      </c>
      <c r="C1290" s="350" t="n">
        <v>45960</v>
      </c>
      <c r="D1290" s="351" t="n">
        <v>8</v>
      </c>
      <c r="E1290" s="264" t="inlineStr">
        <is>
          <t>GARCERAS</t>
        </is>
      </c>
      <c r="F1290" s="264" t="inlineStr">
        <is>
          <t>CARGUEROS</t>
        </is>
      </c>
      <c r="G1290" s="264" t="n">
        <v>11</v>
      </c>
      <c r="H1290" s="264" t="inlineStr">
        <is>
          <t xml:space="preserve">SEBASTIAN HIDALGO </t>
        </is>
      </c>
      <c r="I1290" s="264" t="inlineStr">
        <is>
          <t>KUS176</t>
        </is>
      </c>
      <c r="J1290" s="265" t="n">
        <v>0.2291666666666667</v>
      </c>
      <c r="K1290" s="266" t="n">
        <v>2580</v>
      </c>
      <c r="L1290" s="309" t="n"/>
      <c r="M1290" s="113" t="n"/>
      <c r="N1290" s="113" t="n"/>
      <c r="O1290" s="113" t="n"/>
      <c r="P1290" s="243" t="n"/>
      <c r="Q1290" s="113" t="n"/>
      <c r="R1290" s="113" t="n"/>
    </row>
    <row r="1291" ht="15.75" customHeight="1">
      <c r="A1291" s="113" t="n"/>
      <c r="B1291" s="146" t="n">
        <v>23</v>
      </c>
      <c r="C1291" s="352" t="n">
        <v>45960</v>
      </c>
      <c r="D1291" s="347" t="n">
        <v>9</v>
      </c>
      <c r="E1291" s="282" t="inlineStr">
        <is>
          <t>GARCERAS</t>
        </is>
      </c>
      <c r="F1291" s="282" t="inlineStr">
        <is>
          <t>CARGUEROS</t>
        </is>
      </c>
      <c r="G1291" s="282" t="n">
        <v>11</v>
      </c>
      <c r="H1291" s="282" t="inlineStr">
        <is>
          <t>JHON ARIAS</t>
        </is>
      </c>
      <c r="I1291" s="282" t="inlineStr">
        <is>
          <t>TLN248</t>
        </is>
      </c>
      <c r="J1291" s="283" t="n">
        <v>0.3125</v>
      </c>
      <c r="K1291" s="284" t="n">
        <v>2580</v>
      </c>
      <c r="L1291" s="353">
        <f>SUM(K1283:K1291)</f>
        <v/>
      </c>
      <c r="M1291" s="113" t="n"/>
      <c r="N1291" s="113" t="n"/>
      <c r="O1291" s="113" t="n"/>
      <c r="P1291" s="243" t="n"/>
      <c r="Q1291" s="113" t="n"/>
      <c r="R1291" s="113" t="n"/>
    </row>
    <row r="1292" ht="15.75" customHeight="1">
      <c r="A1292" s="113" t="n"/>
      <c r="B1292" s="146" t="n">
        <v>24</v>
      </c>
      <c r="C1292" s="348" t="n">
        <v>45961</v>
      </c>
      <c r="D1292" s="349" t="n">
        <v>1</v>
      </c>
      <c r="E1292" s="258" t="inlineStr">
        <is>
          <t>GARCERAS</t>
        </is>
      </c>
      <c r="F1292" s="258" t="inlineStr">
        <is>
          <t>CARGUEROS</t>
        </is>
      </c>
      <c r="G1292" s="258" t="n">
        <v>11</v>
      </c>
      <c r="H1292" s="258" t="inlineStr">
        <is>
          <t>EDWIN ROJAS</t>
        </is>
      </c>
      <c r="I1292" s="258" t="inlineStr">
        <is>
          <t>EQY780</t>
        </is>
      </c>
      <c r="J1292" s="259" t="n">
        <v>0.1666666666666667</v>
      </c>
      <c r="K1292" s="260" t="n">
        <v>2570</v>
      </c>
      <c r="L1292" s="292" t="n"/>
      <c r="M1292" s="113" t="n"/>
      <c r="N1292" s="113" t="n"/>
      <c r="O1292" s="113" t="n"/>
      <c r="P1292" s="243" t="n"/>
      <c r="Q1292" s="113" t="n"/>
      <c r="R1292" s="113" t="n"/>
    </row>
    <row r="1293" ht="15.75" customHeight="1">
      <c r="A1293" s="113" t="n"/>
      <c r="B1293" s="146" t="n">
        <v>24</v>
      </c>
      <c r="C1293" s="350" t="n">
        <v>45961</v>
      </c>
      <c r="D1293" s="351" t="n">
        <v>2</v>
      </c>
      <c r="E1293" s="264" t="inlineStr">
        <is>
          <t>GARCERAS</t>
        </is>
      </c>
      <c r="F1293" s="264" t="inlineStr">
        <is>
          <t>ABONEROS</t>
        </is>
      </c>
      <c r="G1293" s="264" t="n">
        <v>9</v>
      </c>
      <c r="H1293" s="264" t="inlineStr">
        <is>
          <t xml:space="preserve">WILMER PIÑEROS </t>
        </is>
      </c>
      <c r="I1293" s="264" t="inlineStr">
        <is>
          <t>KNL076</t>
        </is>
      </c>
      <c r="J1293" s="265" t="n">
        <v>0.1875</v>
      </c>
      <c r="K1293" s="266" t="n">
        <v>2570</v>
      </c>
      <c r="L1293" s="308" t="n"/>
      <c r="M1293" s="113" t="n"/>
      <c r="N1293" s="113" t="n"/>
      <c r="O1293" s="113" t="n"/>
      <c r="P1293" s="243" t="n"/>
      <c r="Q1293" s="113" t="n"/>
      <c r="R1293" s="113" t="n"/>
    </row>
    <row r="1294" ht="15.75" customHeight="1">
      <c r="A1294" s="113" t="n"/>
      <c r="B1294" s="146" t="n">
        <v>24</v>
      </c>
      <c r="C1294" s="350" t="n">
        <v>45961</v>
      </c>
      <c r="D1294" s="351" t="n">
        <v>3</v>
      </c>
      <c r="E1294" s="264" t="inlineStr">
        <is>
          <t>GARCERAS</t>
        </is>
      </c>
      <c r="F1294" s="264" t="inlineStr">
        <is>
          <t>CARGUEROS</t>
        </is>
      </c>
      <c r="G1294" s="264" t="n">
        <v>11</v>
      </c>
      <c r="H1294" s="264" t="inlineStr">
        <is>
          <t>ALBERTO LOPEZ</t>
        </is>
      </c>
      <c r="I1294" s="264" t="inlineStr">
        <is>
          <t>EQY777</t>
        </is>
      </c>
      <c r="J1294" s="265" t="n">
        <v>0.1979166666666667</v>
      </c>
      <c r="K1294" s="266" t="n">
        <v>2570</v>
      </c>
      <c r="L1294" s="308" t="n"/>
      <c r="M1294" s="113" t="n"/>
      <c r="N1294" s="113" t="n"/>
      <c r="O1294" s="113" t="n"/>
      <c r="P1294" s="243" t="n"/>
      <c r="Q1294" s="113" t="n"/>
      <c r="R1294" s="113" t="n"/>
    </row>
    <row r="1295" ht="15.75" customHeight="1">
      <c r="A1295" s="113" t="n"/>
      <c r="B1295" s="146" t="n">
        <v>24</v>
      </c>
      <c r="C1295" s="350" t="n">
        <v>45961</v>
      </c>
      <c r="D1295" s="351" t="n">
        <v>4</v>
      </c>
      <c r="E1295" s="264" t="inlineStr">
        <is>
          <t>GARCERAS</t>
        </is>
      </c>
      <c r="F1295" s="264" t="inlineStr">
        <is>
          <t>ABONEROS</t>
        </is>
      </c>
      <c r="G1295" s="264" t="n">
        <v>9</v>
      </c>
      <c r="H1295" s="264" t="inlineStr">
        <is>
          <t xml:space="preserve">DIEGO NIÑO </t>
        </is>
      </c>
      <c r="I1295" s="264" t="inlineStr">
        <is>
          <t>GZZ673</t>
        </is>
      </c>
      <c r="J1295" s="265" t="n">
        <v>0.2145833333333333</v>
      </c>
      <c r="K1295" s="266" t="n">
        <v>2590</v>
      </c>
      <c r="L1295" s="308" t="n"/>
      <c r="M1295" s="113" t="n"/>
      <c r="N1295" s="113" t="n"/>
      <c r="O1295" s="113" t="n"/>
      <c r="P1295" s="243" t="n"/>
      <c r="Q1295" s="113" t="n"/>
      <c r="R1295" s="113" t="n"/>
    </row>
    <row r="1296" ht="15.75" customHeight="1">
      <c r="A1296" s="113" t="n"/>
      <c r="B1296" s="146" t="n">
        <v>24</v>
      </c>
      <c r="C1296" s="350" t="n">
        <v>45961</v>
      </c>
      <c r="D1296" s="351" t="n">
        <v>5</v>
      </c>
      <c r="E1296" s="264" t="inlineStr">
        <is>
          <t>GARCERAS</t>
        </is>
      </c>
      <c r="F1296" s="264" t="inlineStr">
        <is>
          <t>CARGUEROS</t>
        </is>
      </c>
      <c r="G1296" s="264" t="n">
        <v>11</v>
      </c>
      <c r="H1296" s="264" t="inlineStr">
        <is>
          <t>JHON ARIAS</t>
        </is>
      </c>
      <c r="I1296" s="264" t="inlineStr">
        <is>
          <t>TLN248</t>
        </is>
      </c>
      <c r="J1296" s="265" t="n">
        <v>0.2256944444444444</v>
      </c>
      <c r="K1296" s="266" t="n">
        <v>2570</v>
      </c>
      <c r="L1296" s="308" t="n"/>
      <c r="M1296" s="113" t="n"/>
      <c r="N1296" s="113" t="n"/>
      <c r="O1296" s="113" t="n"/>
      <c r="P1296" s="243" t="n"/>
      <c r="Q1296" s="113" t="n"/>
      <c r="R1296" s="113" t="n"/>
    </row>
    <row r="1297" ht="15.75" customHeight="1">
      <c r="A1297" s="113" t="n"/>
      <c r="B1297" s="146" t="n">
        <v>24</v>
      </c>
      <c r="C1297" s="350" t="n">
        <v>45961</v>
      </c>
      <c r="D1297" s="351" t="n">
        <v>6</v>
      </c>
      <c r="E1297" s="264" t="inlineStr">
        <is>
          <t>GARCERAS</t>
        </is>
      </c>
      <c r="F1297" s="264" t="inlineStr">
        <is>
          <t>ABONEROS</t>
        </is>
      </c>
      <c r="G1297" s="264" t="n">
        <v>9</v>
      </c>
      <c r="H1297" s="264" t="inlineStr">
        <is>
          <t xml:space="preserve">ALEX CHAGUALA </t>
        </is>
      </c>
      <c r="I1297" s="264" t="inlineStr">
        <is>
          <t>TLO884</t>
        </is>
      </c>
      <c r="J1297" s="265" t="n">
        <v>0.2458333333333333</v>
      </c>
      <c r="K1297" s="266" t="n">
        <v>2950</v>
      </c>
      <c r="L1297" s="308" t="n"/>
      <c r="M1297" s="113" t="n"/>
      <c r="N1297" s="113" t="n"/>
      <c r="O1297" s="113" t="n"/>
      <c r="P1297" s="243" t="n"/>
      <c r="Q1297" s="113" t="n"/>
      <c r="R1297" s="113" t="n"/>
    </row>
    <row r="1298" ht="15.75" customHeight="1">
      <c r="A1298" s="113" t="n"/>
      <c r="B1298" s="146" t="n">
        <v>24</v>
      </c>
      <c r="C1298" s="350" t="n">
        <v>45961</v>
      </c>
      <c r="D1298" s="351" t="n">
        <v>7</v>
      </c>
      <c r="E1298" s="264" t="inlineStr">
        <is>
          <t>GARCERAS</t>
        </is>
      </c>
      <c r="F1298" s="264" t="inlineStr">
        <is>
          <t>CARGUEROS</t>
        </is>
      </c>
      <c r="G1298" s="264" t="n">
        <v>11</v>
      </c>
      <c r="H1298" s="264" t="inlineStr">
        <is>
          <t xml:space="preserve">SEBASTIAN HIDALGO </t>
        </is>
      </c>
      <c r="I1298" s="264" t="inlineStr">
        <is>
          <t>KUS176</t>
        </is>
      </c>
      <c r="J1298" s="265" t="n">
        <v>0.2604166666666667</v>
      </c>
      <c r="K1298" s="266" t="n">
        <v>2950</v>
      </c>
      <c r="L1298" s="308" t="n"/>
      <c r="M1298" s="113" t="n"/>
      <c r="N1298" s="113" t="n"/>
      <c r="O1298" s="113" t="n"/>
      <c r="P1298" s="243" t="n"/>
      <c r="Q1298" s="113" t="n"/>
      <c r="R1298" s="113" t="n"/>
    </row>
    <row r="1299" ht="15.75" customHeight="1">
      <c r="A1299" s="113" t="n"/>
      <c r="B1299" s="146" t="n">
        <v>24</v>
      </c>
      <c r="C1299" s="350" t="n">
        <v>45961</v>
      </c>
      <c r="D1299" s="351" t="n">
        <v>8</v>
      </c>
      <c r="E1299" s="264" t="inlineStr">
        <is>
          <t>GARCERAS</t>
        </is>
      </c>
      <c r="F1299" s="264" t="inlineStr">
        <is>
          <t>CARGUEROS</t>
        </is>
      </c>
      <c r="G1299" s="264" t="n">
        <v>11</v>
      </c>
      <c r="H1299" s="264" t="inlineStr">
        <is>
          <t>ALEX GOMEZ</t>
        </is>
      </c>
      <c r="I1299" s="264" t="inlineStr">
        <is>
          <t>TLO881</t>
        </is>
      </c>
      <c r="J1299" s="265" t="n">
        <v>0.2951388888888889</v>
      </c>
      <c r="K1299" s="266" t="n">
        <v>2950</v>
      </c>
      <c r="L1299" s="308" t="n"/>
      <c r="M1299" s="113" t="n"/>
      <c r="N1299" s="113" t="n"/>
      <c r="O1299" s="113" t="n"/>
      <c r="P1299" s="243" t="n"/>
      <c r="Q1299" s="113" t="n"/>
      <c r="R1299" s="113" t="n"/>
    </row>
    <row r="1300" ht="15.75" customHeight="1">
      <c r="A1300" s="113" t="n"/>
      <c r="B1300" s="146" t="n">
        <v>24</v>
      </c>
      <c r="C1300" s="350" t="n">
        <v>45961</v>
      </c>
      <c r="D1300" s="351" t="n">
        <v>9</v>
      </c>
      <c r="E1300" s="264" t="inlineStr">
        <is>
          <t>GARCERAS</t>
        </is>
      </c>
      <c r="F1300" s="264" t="inlineStr">
        <is>
          <t>CARGUEROS</t>
        </is>
      </c>
      <c r="G1300" s="264" t="n">
        <v>11</v>
      </c>
      <c r="H1300" s="264" t="inlineStr">
        <is>
          <t>ROBINSON PULIDO</t>
        </is>
      </c>
      <c r="I1300" s="264" t="inlineStr">
        <is>
          <t>EQY781</t>
        </is>
      </c>
      <c r="J1300" s="265" t="n">
        <v>0.3263888888888889</v>
      </c>
      <c r="K1300" s="266" t="n">
        <v>2950</v>
      </c>
      <c r="L1300" s="308" t="n"/>
      <c r="M1300" s="113" t="n"/>
      <c r="N1300" s="113" t="n"/>
      <c r="O1300" s="113" t="n"/>
      <c r="P1300" s="243" t="n"/>
      <c r="Q1300" s="113" t="n"/>
      <c r="R1300" s="113" t="n"/>
    </row>
    <row r="1301" ht="15.75" customHeight="1">
      <c r="A1301" s="113" t="n"/>
      <c r="B1301" s="146" t="n">
        <v>24</v>
      </c>
      <c r="C1301" s="350" t="n">
        <v>45961</v>
      </c>
      <c r="D1301" s="351" t="n">
        <v>10</v>
      </c>
      <c r="E1301" s="264" t="inlineStr">
        <is>
          <t>GARCERAS</t>
        </is>
      </c>
      <c r="F1301" s="264" t="inlineStr">
        <is>
          <t>CARGUEROS</t>
        </is>
      </c>
      <c r="G1301" s="264" t="n">
        <v>11</v>
      </c>
      <c r="H1301" s="264" t="inlineStr">
        <is>
          <t>EDUAN CAVIDEZ</t>
        </is>
      </c>
      <c r="I1301" s="264" t="inlineStr">
        <is>
          <t>EQY779</t>
        </is>
      </c>
      <c r="J1301" s="265" t="n">
        <v>0.3541666666666667</v>
      </c>
      <c r="K1301" s="266" t="n">
        <v>3220</v>
      </c>
      <c r="L1301" s="308" t="n"/>
      <c r="M1301" s="113" t="n"/>
      <c r="N1301" s="113" t="n"/>
      <c r="O1301" s="113" t="n"/>
      <c r="P1301" s="243" t="n"/>
      <c r="Q1301" s="113" t="n"/>
      <c r="R1301" s="113" t="n"/>
    </row>
    <row r="1302" ht="15.75" customHeight="1">
      <c r="A1302" s="113" t="n"/>
      <c r="B1302" s="146" t="n">
        <v>24</v>
      </c>
      <c r="C1302" s="350" t="n">
        <v>45961</v>
      </c>
      <c r="D1302" s="351" t="n">
        <v>11</v>
      </c>
      <c r="E1302" s="264" t="inlineStr">
        <is>
          <t>GARCERAS</t>
        </is>
      </c>
      <c r="F1302" s="264" t="inlineStr">
        <is>
          <t>CARGUEROS</t>
        </is>
      </c>
      <c r="G1302" s="264" t="n">
        <v>11</v>
      </c>
      <c r="H1302" s="264" t="inlineStr">
        <is>
          <t>EDWIN ROJAS</t>
        </is>
      </c>
      <c r="I1302" s="264" t="inlineStr">
        <is>
          <t>EQY780</t>
        </is>
      </c>
      <c r="J1302" s="265" t="n">
        <v>0.3888888888888889</v>
      </c>
      <c r="K1302" s="266" t="n">
        <v>3130</v>
      </c>
      <c r="L1302" s="308" t="n"/>
      <c r="M1302" s="113" t="n"/>
      <c r="N1302" s="113" t="n"/>
      <c r="O1302" s="113" t="n"/>
      <c r="P1302" s="243" t="n"/>
      <c r="Q1302" s="113" t="n"/>
      <c r="R1302" s="113" t="n"/>
    </row>
    <row r="1303" ht="15.75" customHeight="1">
      <c r="A1303" s="113" t="n"/>
      <c r="B1303" s="146" t="n">
        <v>24</v>
      </c>
      <c r="C1303" s="350" t="n">
        <v>45961</v>
      </c>
      <c r="D1303" s="351" t="n">
        <v>12</v>
      </c>
      <c r="E1303" s="264" t="inlineStr">
        <is>
          <t>GARCERAS</t>
        </is>
      </c>
      <c r="F1303" s="264" t="inlineStr">
        <is>
          <t>CARGUEROS</t>
        </is>
      </c>
      <c r="G1303" s="264" t="n">
        <v>11</v>
      </c>
      <c r="H1303" s="264" t="inlineStr">
        <is>
          <t>ALBERTO LOPEZ</t>
        </is>
      </c>
      <c r="I1303" s="264" t="inlineStr">
        <is>
          <t>EQY777</t>
        </is>
      </c>
      <c r="J1303" s="265" t="n">
        <v>0.4305555555555556</v>
      </c>
      <c r="K1303" s="266" t="n">
        <v>3130</v>
      </c>
      <c r="L1303" s="309" t="n"/>
      <c r="M1303" s="113" t="n"/>
      <c r="N1303" s="113" t="n"/>
      <c r="O1303" s="113" t="n"/>
      <c r="P1303" s="243" t="n"/>
      <c r="Q1303" s="113" t="n"/>
      <c r="R1303" s="113" t="n"/>
    </row>
    <row r="1304" ht="15.75" customHeight="1">
      <c r="A1304" s="113" t="n"/>
      <c r="B1304" s="146" t="n">
        <v>24</v>
      </c>
      <c r="C1304" s="352" t="n">
        <v>45961</v>
      </c>
      <c r="D1304" s="347" t="n">
        <v>13</v>
      </c>
      <c r="E1304" s="282" t="inlineStr">
        <is>
          <t>GARCERAS</t>
        </is>
      </c>
      <c r="F1304" s="282" t="inlineStr">
        <is>
          <t xml:space="preserve">CARGUEROS </t>
        </is>
      </c>
      <c r="G1304" s="282" t="n">
        <v>11</v>
      </c>
      <c r="H1304" s="282" t="inlineStr">
        <is>
          <t>JHON ARIAS</t>
        </is>
      </c>
      <c r="I1304" s="282" t="inlineStr">
        <is>
          <t>TLN248</t>
        </is>
      </c>
      <c r="J1304" s="283" t="n">
        <v>0.4722222222222222</v>
      </c>
      <c r="K1304" s="284" t="n">
        <v>3130</v>
      </c>
      <c r="L1304" s="353">
        <f>SUM(K1292:K1304)</f>
        <v/>
      </c>
      <c r="M1304" s="395" t="n"/>
      <c r="N1304" s="113" t="n"/>
      <c r="O1304" s="395" t="n"/>
      <c r="P1304" s="243" t="n"/>
      <c r="Q1304" s="113" t="n"/>
      <c r="R1304" s="113" t="n"/>
    </row>
    <row r="1305" ht="15.75" customHeight="1">
      <c r="A1305" s="113" t="n"/>
      <c r="B1305" s="146" t="n">
        <v>24</v>
      </c>
      <c r="C1305" s="348" t="n">
        <v>45963</v>
      </c>
      <c r="D1305" s="349" t="n">
        <v>1</v>
      </c>
      <c r="E1305" s="258" t="inlineStr">
        <is>
          <t>GARCERAS</t>
        </is>
      </c>
      <c r="F1305" s="258" t="inlineStr">
        <is>
          <t>CARGUEROS</t>
        </is>
      </c>
      <c r="G1305" s="258" t="n">
        <v>11</v>
      </c>
      <c r="H1305" s="258" t="inlineStr">
        <is>
          <t xml:space="preserve">ALBERTO HERRERA </t>
        </is>
      </c>
      <c r="I1305" s="258" t="inlineStr">
        <is>
          <t>TLO882</t>
        </is>
      </c>
      <c r="J1305" s="259" t="n">
        <v>0.125</v>
      </c>
      <c r="K1305" s="260" t="n">
        <v>3190</v>
      </c>
      <c r="L1305" s="292" t="n"/>
      <c r="M1305" s="113" t="n"/>
      <c r="N1305" s="113" t="n"/>
      <c r="O1305" s="113" t="n"/>
      <c r="P1305" s="243" t="n"/>
      <c r="Q1305" s="113" t="n"/>
      <c r="R1305" s="113" t="n"/>
    </row>
    <row r="1306" ht="15.75" customHeight="1">
      <c r="A1306" s="113" t="n"/>
      <c r="B1306" s="146" t="n">
        <v>24</v>
      </c>
      <c r="C1306" s="350" t="n">
        <v>45963</v>
      </c>
      <c r="D1306" s="351" t="n">
        <v>2</v>
      </c>
      <c r="E1306" s="264" t="inlineStr">
        <is>
          <t>GARCERAS</t>
        </is>
      </c>
      <c r="F1306" s="264" t="inlineStr">
        <is>
          <t>ABONEROS</t>
        </is>
      </c>
      <c r="G1306" s="264" t="n"/>
      <c r="H1306" s="264" t="inlineStr">
        <is>
          <t>DIEGO NIÑO</t>
        </is>
      </c>
      <c r="I1306" s="264" t="inlineStr">
        <is>
          <t>GZZ673</t>
        </is>
      </c>
      <c r="J1306" s="265" t="n">
        <v>0.1284722222222222</v>
      </c>
      <c r="K1306" s="266" t="n">
        <v>3774</v>
      </c>
      <c r="L1306" s="308" t="n"/>
      <c r="M1306" s="113" t="n"/>
      <c r="N1306" s="113" t="n"/>
      <c r="O1306" s="113" t="n"/>
      <c r="P1306" s="243" t="n"/>
      <c r="Q1306" s="113" t="n"/>
      <c r="R1306" s="113" t="n"/>
    </row>
    <row r="1307" ht="15.75" customHeight="1">
      <c r="A1307" s="113" t="n"/>
      <c r="B1307" s="146" t="n">
        <v>24</v>
      </c>
      <c r="C1307" s="350" t="n">
        <v>45963</v>
      </c>
      <c r="D1307" s="351" t="n">
        <v>3</v>
      </c>
      <c r="E1307" s="264" t="inlineStr">
        <is>
          <t>GARCERAS</t>
        </is>
      </c>
      <c r="F1307" s="264" t="inlineStr">
        <is>
          <t>CARGUEROS</t>
        </is>
      </c>
      <c r="G1307" s="264" t="n">
        <v>11</v>
      </c>
      <c r="H1307" s="264" t="inlineStr">
        <is>
          <t>MANUEL QUINTIAN</t>
        </is>
      </c>
      <c r="I1307" s="264" t="inlineStr">
        <is>
          <t>KUS176</t>
        </is>
      </c>
      <c r="J1307" s="265" t="n">
        <v>0.1493055555555556</v>
      </c>
      <c r="K1307" s="266" t="n">
        <v>3190</v>
      </c>
      <c r="L1307" s="308" t="n"/>
      <c r="M1307" s="113" t="n"/>
      <c r="N1307" s="113" t="n"/>
      <c r="O1307" s="113" t="n"/>
      <c r="P1307" s="243" t="n"/>
      <c r="Q1307" s="113" t="n"/>
      <c r="R1307" s="113" t="n"/>
    </row>
    <row r="1308" ht="15.75" customHeight="1">
      <c r="A1308" s="113" t="n"/>
      <c r="B1308" s="146" t="n">
        <v>24</v>
      </c>
      <c r="C1308" s="350" t="n">
        <v>45963</v>
      </c>
      <c r="D1308" s="351" t="n">
        <v>4</v>
      </c>
      <c r="E1308" s="264" t="inlineStr">
        <is>
          <t>GARCERAS</t>
        </is>
      </c>
      <c r="F1308" s="264" t="inlineStr">
        <is>
          <t>ABONEROS</t>
        </is>
      </c>
      <c r="G1308" s="264" t="n"/>
      <c r="H1308" s="264" t="inlineStr">
        <is>
          <t xml:space="preserve">EDWIN ROJAS </t>
        </is>
      </c>
      <c r="I1308" s="264" t="inlineStr">
        <is>
          <t>EQY780</t>
        </is>
      </c>
      <c r="J1308" s="265" t="n">
        <v>0.1666666666666667</v>
      </c>
      <c r="K1308" s="266" t="n">
        <v>2970</v>
      </c>
      <c r="L1308" s="308" t="n"/>
      <c r="M1308" s="113" t="n"/>
      <c r="N1308" s="113" t="n"/>
      <c r="O1308" s="113" t="n"/>
      <c r="P1308" s="243" t="n"/>
      <c r="Q1308" s="113" t="n"/>
      <c r="R1308" s="113" t="n"/>
    </row>
    <row r="1309" ht="15.75" customHeight="1">
      <c r="A1309" s="113" t="n"/>
      <c r="B1309" s="146" t="n">
        <v>24</v>
      </c>
      <c r="C1309" s="350" t="n">
        <v>45963</v>
      </c>
      <c r="D1309" s="351" t="n">
        <v>5</v>
      </c>
      <c r="E1309" s="264" t="inlineStr">
        <is>
          <t>GARCERAS</t>
        </is>
      </c>
      <c r="F1309" s="264" t="inlineStr">
        <is>
          <t>CARGUEROS</t>
        </is>
      </c>
      <c r="G1309" s="264" t="n">
        <v>11</v>
      </c>
      <c r="H1309" s="264" t="inlineStr">
        <is>
          <t xml:space="preserve">HENRY ROMERO </t>
        </is>
      </c>
      <c r="I1309" s="264" t="inlineStr">
        <is>
          <t>EQY781</t>
        </is>
      </c>
      <c r="J1309" s="265" t="n">
        <v>0.1909722222222222</v>
      </c>
      <c r="K1309" s="266" t="n">
        <v>2970</v>
      </c>
      <c r="L1309" s="308" t="n"/>
      <c r="M1309" s="113" t="n"/>
      <c r="N1309" s="113" t="n"/>
      <c r="O1309" s="113" t="n"/>
      <c r="P1309" s="243" t="n"/>
      <c r="Q1309" s="113" t="n"/>
      <c r="R1309" s="113" t="n"/>
    </row>
    <row r="1310" ht="15.75" customHeight="1">
      <c r="A1310" s="113" t="n"/>
      <c r="B1310" s="146" t="n">
        <v>24</v>
      </c>
      <c r="C1310" s="350" t="n">
        <v>45963</v>
      </c>
      <c r="D1310" s="351" t="n">
        <v>6</v>
      </c>
      <c r="E1310" s="264" t="inlineStr">
        <is>
          <t>GARCERAS</t>
        </is>
      </c>
      <c r="F1310" s="264" t="inlineStr">
        <is>
          <t>ABONEROS</t>
        </is>
      </c>
      <c r="G1310" s="264" t="n"/>
      <c r="H1310" s="264" t="inlineStr">
        <is>
          <t xml:space="preserve">EDUAN  CAVIEDES </t>
        </is>
      </c>
      <c r="I1310" s="264" t="inlineStr">
        <is>
          <t>EQY779</t>
        </is>
      </c>
      <c r="J1310" s="265" t="n">
        <v>0.20625</v>
      </c>
      <c r="K1310" s="266" t="n">
        <v>2970</v>
      </c>
      <c r="L1310" s="308" t="n"/>
      <c r="M1310" s="113" t="n"/>
      <c r="N1310" s="113" t="n"/>
      <c r="O1310" s="113" t="n"/>
      <c r="P1310" s="243" t="n"/>
      <c r="Q1310" s="113" t="n"/>
      <c r="R1310" s="113" t="n"/>
    </row>
    <row r="1311" ht="15.75" customHeight="1">
      <c r="A1311" s="113" t="n"/>
      <c r="B1311" s="146" t="n">
        <v>24</v>
      </c>
      <c r="C1311" s="350" t="n">
        <v>45963</v>
      </c>
      <c r="D1311" s="351" t="n">
        <v>7</v>
      </c>
      <c r="E1311" s="264" t="inlineStr">
        <is>
          <t>GARCERAS</t>
        </is>
      </c>
      <c r="F1311" s="264" t="inlineStr">
        <is>
          <t>CARGUEROS</t>
        </is>
      </c>
      <c r="G1311" s="264" t="n">
        <v>11</v>
      </c>
      <c r="H1311" s="264" t="inlineStr">
        <is>
          <t>ALBERTO LOPEZ</t>
        </is>
      </c>
      <c r="I1311" s="264" t="inlineStr">
        <is>
          <t>EQY777</t>
        </is>
      </c>
      <c r="J1311" s="265" t="n">
        <v>0.2326388888888889</v>
      </c>
      <c r="K1311" s="266" t="n">
        <v>2960</v>
      </c>
      <c r="L1311" s="308" t="n"/>
      <c r="M1311" s="113" t="n"/>
      <c r="N1311" s="113" t="n"/>
      <c r="O1311" s="113" t="n"/>
      <c r="P1311" s="243" t="n"/>
      <c r="Q1311" s="113" t="n"/>
      <c r="R1311" s="113" t="n"/>
    </row>
    <row r="1312" ht="15.75" customHeight="1">
      <c r="A1312" s="113" t="n"/>
      <c r="B1312" s="146" t="n">
        <v>24</v>
      </c>
      <c r="C1312" s="350" t="n">
        <v>45963</v>
      </c>
      <c r="D1312" s="351" t="n">
        <v>8</v>
      </c>
      <c r="E1312" s="264" t="inlineStr">
        <is>
          <t>GARCERAS</t>
        </is>
      </c>
      <c r="F1312" s="264" t="inlineStr">
        <is>
          <t>ABONEROS</t>
        </is>
      </c>
      <c r="G1312" s="264" t="n"/>
      <c r="H1312" s="264" t="inlineStr">
        <is>
          <t>JHON ARIAS</t>
        </is>
      </c>
      <c r="I1312" s="264" t="inlineStr">
        <is>
          <t>TLN248</t>
        </is>
      </c>
      <c r="J1312" s="265" t="n">
        <v>0.2555555555555555</v>
      </c>
      <c r="K1312" s="266" t="n">
        <v>3441</v>
      </c>
      <c r="L1312" s="308" t="n"/>
      <c r="M1312" s="113" t="n"/>
      <c r="N1312" s="113" t="n"/>
      <c r="O1312" s="113" t="n"/>
      <c r="P1312" s="243" t="n"/>
      <c r="Q1312" s="113" t="n"/>
      <c r="R1312" s="113" t="n"/>
    </row>
    <row r="1313" ht="15.75" customHeight="1">
      <c r="A1313" s="113" t="n"/>
      <c r="B1313" s="146" t="n">
        <v>24</v>
      </c>
      <c r="C1313" s="350" t="n">
        <v>45963</v>
      </c>
      <c r="D1313" s="351" t="n">
        <v>9</v>
      </c>
      <c r="E1313" s="264" t="inlineStr">
        <is>
          <t>GARCERAS</t>
        </is>
      </c>
      <c r="F1313" s="264" t="inlineStr">
        <is>
          <t>CARGUEROS</t>
        </is>
      </c>
      <c r="G1313" s="264" t="n">
        <v>11</v>
      </c>
      <c r="H1313" s="264" t="inlineStr">
        <is>
          <t>ALEX GOMEZ</t>
        </is>
      </c>
      <c r="I1313" s="264" t="inlineStr">
        <is>
          <t>TLO881</t>
        </is>
      </c>
      <c r="J1313" s="265" t="n">
        <v>0.2881944444444444</v>
      </c>
      <c r="K1313" s="266" t="n">
        <v>3440</v>
      </c>
      <c r="L1313" s="308" t="n"/>
      <c r="M1313" s="113" t="n"/>
      <c r="N1313" s="113" t="n"/>
      <c r="O1313" s="113" t="n"/>
      <c r="P1313" s="243" t="n"/>
      <c r="Q1313" s="113" t="n"/>
      <c r="R1313" s="113" t="n"/>
    </row>
    <row r="1314" ht="15.75" customHeight="1">
      <c r="A1314" s="113" t="n"/>
      <c r="B1314" s="146" t="n">
        <v>24</v>
      </c>
      <c r="C1314" s="350" t="n">
        <v>45963</v>
      </c>
      <c r="D1314" s="351" t="n">
        <v>10</v>
      </c>
      <c r="E1314" s="264" t="inlineStr">
        <is>
          <t>GARCERAS</t>
        </is>
      </c>
      <c r="F1314" s="264" t="inlineStr">
        <is>
          <t>ABONEROS</t>
        </is>
      </c>
      <c r="G1314" s="264" t="n"/>
      <c r="H1314" s="264" t="inlineStr">
        <is>
          <t xml:space="preserve">SEBASTIAN HIDALGO </t>
        </is>
      </c>
      <c r="I1314" s="264" t="inlineStr">
        <is>
          <t>LQO745</t>
        </is>
      </c>
      <c r="J1314" s="265" t="n">
        <v>0.2972222222222222</v>
      </c>
      <c r="K1314" s="266" t="n">
        <v>3441</v>
      </c>
      <c r="L1314" s="308" t="n"/>
      <c r="M1314" s="113" t="n"/>
      <c r="N1314" s="113" t="n"/>
      <c r="O1314" s="113" t="n"/>
      <c r="P1314" s="243" t="n"/>
      <c r="Q1314" s="113" t="n"/>
      <c r="R1314" s="113" t="n"/>
    </row>
    <row r="1315" ht="15.75" customHeight="1">
      <c r="A1315" s="113" t="n"/>
      <c r="B1315" s="146" t="n">
        <v>24</v>
      </c>
      <c r="C1315" s="350" t="n">
        <v>45963</v>
      </c>
      <c r="D1315" s="351" t="n">
        <v>11</v>
      </c>
      <c r="E1315" s="264" t="inlineStr">
        <is>
          <t>GARCERAS</t>
        </is>
      </c>
      <c r="F1315" s="264" t="inlineStr">
        <is>
          <t>CARGUEROS</t>
        </is>
      </c>
      <c r="G1315" s="264" t="n">
        <v>11</v>
      </c>
      <c r="H1315" s="264" t="inlineStr">
        <is>
          <t>FERNANDO OYUELA</t>
        </is>
      </c>
      <c r="I1315" s="264" t="inlineStr">
        <is>
          <t>EQY778</t>
        </is>
      </c>
      <c r="J1315" s="265" t="n">
        <v>0.3298611111111111</v>
      </c>
      <c r="K1315" s="266" t="n">
        <v>3279</v>
      </c>
      <c r="L1315" s="308" t="n"/>
      <c r="M1315" s="113" t="n"/>
      <c r="N1315" s="113" t="n"/>
      <c r="O1315" s="113" t="n"/>
      <c r="P1315" s="243" t="n"/>
      <c r="Q1315" s="113" t="n"/>
      <c r="R1315" s="113" t="n"/>
    </row>
    <row r="1316" ht="15.75" customHeight="1">
      <c r="A1316" s="113" t="n"/>
      <c r="B1316" s="146" t="n">
        <v>24</v>
      </c>
      <c r="C1316" s="350" t="n">
        <v>45963</v>
      </c>
      <c r="D1316" s="351" t="n">
        <v>12</v>
      </c>
      <c r="E1316" s="264" t="inlineStr">
        <is>
          <t>GARCERAS</t>
        </is>
      </c>
      <c r="F1316" s="264" t="inlineStr">
        <is>
          <t>ABONEROS</t>
        </is>
      </c>
      <c r="G1316" s="264" t="n"/>
      <c r="H1316" s="264" t="inlineStr">
        <is>
          <t xml:space="preserve">YAIR RIVEROS </t>
        </is>
      </c>
      <c r="I1316" s="264" t="inlineStr">
        <is>
          <t>TLN181</t>
        </is>
      </c>
      <c r="J1316" s="265" t="n">
        <v>0.34375</v>
      </c>
      <c r="K1316" s="266" t="n">
        <v>3200</v>
      </c>
      <c r="L1316" s="308" t="n"/>
      <c r="M1316" s="113" t="n"/>
      <c r="N1316" s="113" t="n"/>
      <c r="O1316" s="113" t="n"/>
      <c r="P1316" s="243" t="n"/>
      <c r="Q1316" s="113" t="n"/>
      <c r="R1316" s="113" t="n"/>
    </row>
    <row r="1317" ht="15.75" customHeight="1">
      <c r="A1317" s="113" t="n"/>
      <c r="B1317" s="146" t="n">
        <v>24</v>
      </c>
      <c r="C1317" s="350" t="n">
        <v>45963</v>
      </c>
      <c r="D1317" s="351" t="n">
        <v>13</v>
      </c>
      <c r="E1317" s="264" t="inlineStr">
        <is>
          <t>GARCERAS</t>
        </is>
      </c>
      <c r="F1317" s="264" t="inlineStr">
        <is>
          <t>ABONEROS</t>
        </is>
      </c>
      <c r="G1317" s="264" t="n"/>
      <c r="H1317" s="264" t="inlineStr">
        <is>
          <t>JAIRO CUBILLOS</t>
        </is>
      </c>
      <c r="I1317" s="264" t="inlineStr">
        <is>
          <t>TLN248</t>
        </is>
      </c>
      <c r="J1317" s="265" t="n">
        <v>0.3715277777777778</v>
      </c>
      <c r="K1317" s="266" t="n">
        <v>3200</v>
      </c>
      <c r="L1317" s="308" t="n"/>
      <c r="M1317" s="113" t="n"/>
      <c r="N1317" s="113" t="n"/>
      <c r="O1317" s="113" t="n"/>
      <c r="P1317" s="243" t="n"/>
      <c r="Q1317" s="113" t="n"/>
      <c r="R1317" s="113" t="n"/>
    </row>
    <row r="1318" ht="15.75" customHeight="1">
      <c r="A1318" s="113" t="n"/>
      <c r="B1318" s="146" t="n">
        <v>24</v>
      </c>
      <c r="C1318" s="350" t="n">
        <v>45963</v>
      </c>
      <c r="D1318" s="351" t="n">
        <v>14</v>
      </c>
      <c r="E1318" s="264" t="inlineStr">
        <is>
          <t>GARCERAS</t>
        </is>
      </c>
      <c r="F1318" s="264" t="inlineStr">
        <is>
          <t>CARGUEROS</t>
        </is>
      </c>
      <c r="G1318" s="264" t="n">
        <v>11</v>
      </c>
      <c r="H1318" s="264" t="inlineStr">
        <is>
          <t xml:space="preserve">JOSE SOLER </t>
        </is>
      </c>
      <c r="I1318" s="264" t="inlineStr">
        <is>
          <t>EQY776</t>
        </is>
      </c>
      <c r="J1318" s="265" t="n">
        <v>0.3854166666666667</v>
      </c>
      <c r="K1318" s="266" t="n">
        <v>3200</v>
      </c>
      <c r="L1318" s="309" t="n"/>
      <c r="M1318" s="113" t="n"/>
      <c r="N1318" s="113" t="n"/>
      <c r="O1318" s="113" t="n"/>
      <c r="P1318" s="243" t="n"/>
      <c r="Q1318" s="113" t="n"/>
      <c r="R1318" s="113" t="n"/>
    </row>
    <row r="1319" ht="15.75" customHeight="1">
      <c r="A1319" s="113" t="n"/>
      <c r="B1319" s="146" t="n">
        <v>24</v>
      </c>
      <c r="C1319" s="352" t="n">
        <v>45963</v>
      </c>
      <c r="D1319" s="347" t="n">
        <v>15</v>
      </c>
      <c r="E1319" s="282" t="inlineStr">
        <is>
          <t>GARCERAS</t>
        </is>
      </c>
      <c r="F1319" s="282" t="inlineStr">
        <is>
          <t>CARGUEROS</t>
        </is>
      </c>
      <c r="G1319" s="282" t="n">
        <v>11</v>
      </c>
      <c r="H1319" s="282" t="inlineStr">
        <is>
          <t xml:space="preserve">WILMER PIÑEROS </t>
        </is>
      </c>
      <c r="I1319" s="282" t="inlineStr">
        <is>
          <t>KNL076</t>
        </is>
      </c>
      <c r="J1319" s="283" t="n">
        <v>0.4152777777777778</v>
      </c>
      <c r="K1319" s="284" t="n">
        <v>3240</v>
      </c>
      <c r="L1319" s="353">
        <f>SUM(K1305:K1319)</f>
        <v/>
      </c>
      <c r="M1319" s="113" t="n"/>
      <c r="N1319" s="113" t="n"/>
      <c r="O1319" s="113" t="n"/>
      <c r="P1319" s="243" t="n"/>
      <c r="Q1319" s="113" t="n"/>
      <c r="R1319" s="113" t="n"/>
    </row>
    <row r="1320" ht="15.75" customHeight="1">
      <c r="A1320" s="113" t="n"/>
      <c r="B1320" s="146" t="n">
        <v>24</v>
      </c>
      <c r="C1320" s="348" t="n">
        <v>45965</v>
      </c>
      <c r="D1320" s="349" t="n">
        <v>1</v>
      </c>
      <c r="E1320" s="258" t="inlineStr">
        <is>
          <t>MALAGUEÑA</t>
        </is>
      </c>
      <c r="F1320" s="258" t="inlineStr">
        <is>
          <t>CARGUEROS</t>
        </is>
      </c>
      <c r="G1320" s="258" t="n">
        <v>11</v>
      </c>
      <c r="H1320" s="258" t="inlineStr">
        <is>
          <t>MANUEL QUINTIAN</t>
        </is>
      </c>
      <c r="I1320" s="258" t="inlineStr">
        <is>
          <t>EQY776</t>
        </is>
      </c>
      <c r="J1320" s="259" t="n">
        <v>0.9375</v>
      </c>
      <c r="K1320" s="260" t="n">
        <v>3290</v>
      </c>
      <c r="L1320" s="292" t="n"/>
      <c r="M1320" s="113" t="n"/>
      <c r="N1320" s="113" t="n"/>
      <c r="O1320" s="113" t="n"/>
      <c r="P1320" s="243" t="n"/>
      <c r="Q1320" s="113" t="n"/>
      <c r="R1320" s="113" t="n"/>
    </row>
    <row r="1321" ht="15.75" customHeight="1">
      <c r="A1321" s="113" t="n"/>
      <c r="B1321" s="146" t="n">
        <v>24</v>
      </c>
      <c r="C1321" s="350" t="n">
        <v>45965</v>
      </c>
      <c r="D1321" s="351" t="n">
        <v>2</v>
      </c>
      <c r="E1321" s="264" t="inlineStr">
        <is>
          <t>MALAGUEÑA</t>
        </is>
      </c>
      <c r="F1321" s="264" t="inlineStr">
        <is>
          <t>CARGUEROS</t>
        </is>
      </c>
      <c r="G1321" s="264" t="n">
        <v>11</v>
      </c>
      <c r="H1321" s="264" t="inlineStr">
        <is>
          <t xml:space="preserve">WILMER PIÑEROS </t>
        </is>
      </c>
      <c r="I1321" s="264" t="inlineStr">
        <is>
          <t>KNL076</t>
        </is>
      </c>
      <c r="J1321" s="265" t="n">
        <v>0.9965277777777778</v>
      </c>
      <c r="K1321" s="266" t="n">
        <v>3290</v>
      </c>
      <c r="L1321" s="308" t="n"/>
      <c r="M1321" s="113" t="n"/>
      <c r="N1321" s="113" t="n"/>
      <c r="O1321" s="113" t="n"/>
      <c r="P1321" s="243" t="n"/>
      <c r="Q1321" s="113" t="n"/>
      <c r="R1321" s="113" t="n"/>
    </row>
    <row r="1322" ht="15.75" customHeight="1">
      <c r="A1322" s="113" t="n"/>
      <c r="B1322" s="146" t="n">
        <v>24</v>
      </c>
      <c r="C1322" s="350" t="n">
        <v>45965</v>
      </c>
      <c r="D1322" s="351" t="n">
        <v>3</v>
      </c>
      <c r="E1322" s="264" t="inlineStr">
        <is>
          <t>MALAGUEÑA</t>
        </is>
      </c>
      <c r="F1322" s="264" t="inlineStr">
        <is>
          <t>CARGUEROS</t>
        </is>
      </c>
      <c r="G1322" s="264" t="n">
        <v>11</v>
      </c>
      <c r="H1322" s="264" t="inlineStr">
        <is>
          <t>YAIR RIVEROS</t>
        </is>
      </c>
      <c r="I1322" s="264" t="inlineStr">
        <is>
          <t>TLN181</t>
        </is>
      </c>
      <c r="J1322" s="265" t="n">
        <v>0.04166666666666666</v>
      </c>
      <c r="K1322" s="266" t="n">
        <v>3290</v>
      </c>
      <c r="L1322" s="308" t="n"/>
      <c r="M1322" s="113" t="n"/>
      <c r="N1322" s="113" t="n"/>
      <c r="O1322" s="113" t="n"/>
      <c r="P1322" s="243" t="n"/>
      <c r="Q1322" s="113" t="n"/>
      <c r="R1322" s="113" t="n"/>
    </row>
    <row r="1323" ht="15.75" customHeight="1">
      <c r="A1323" s="113" t="n"/>
      <c r="B1323" s="146" t="n">
        <v>24</v>
      </c>
      <c r="C1323" s="350" t="n">
        <v>45965</v>
      </c>
      <c r="D1323" s="351" t="n">
        <v>4</v>
      </c>
      <c r="E1323" s="264" t="inlineStr">
        <is>
          <t>MALAGUEÑA</t>
        </is>
      </c>
      <c r="F1323" s="264" t="inlineStr">
        <is>
          <t>CARGUEROS</t>
        </is>
      </c>
      <c r="G1323" s="264" t="n">
        <v>11</v>
      </c>
      <c r="H1323" s="264" t="inlineStr">
        <is>
          <t>DIEGO NIÑO</t>
        </is>
      </c>
      <c r="I1323" s="264" t="inlineStr">
        <is>
          <t>GZZ673</t>
        </is>
      </c>
      <c r="J1323" s="265" t="n">
        <v>0.96875</v>
      </c>
      <c r="K1323" s="266" t="n">
        <v>3290</v>
      </c>
      <c r="L1323" s="308" t="n"/>
      <c r="M1323" s="113" t="n"/>
      <c r="N1323" s="113" t="n"/>
      <c r="O1323" s="113" t="n"/>
      <c r="P1323" s="243" t="n"/>
      <c r="Q1323" s="113" t="n"/>
      <c r="R1323" s="113" t="n"/>
    </row>
    <row r="1324" ht="15.75" customHeight="1">
      <c r="A1324" s="113" t="n"/>
      <c r="B1324" s="146" t="n">
        <v>24</v>
      </c>
      <c r="C1324" s="350" t="n">
        <v>45965</v>
      </c>
      <c r="D1324" s="351" t="n">
        <v>5</v>
      </c>
      <c r="E1324" s="264" t="inlineStr">
        <is>
          <t>MALAGUEÑA</t>
        </is>
      </c>
      <c r="F1324" s="264" t="inlineStr">
        <is>
          <t>CARGUEROS</t>
        </is>
      </c>
      <c r="G1324" s="264" t="n">
        <v>11</v>
      </c>
      <c r="H1324" s="264" t="inlineStr">
        <is>
          <t xml:space="preserve">FERNANDO OYEULA </t>
        </is>
      </c>
      <c r="I1324" s="264" t="inlineStr">
        <is>
          <t>EQY778</t>
        </is>
      </c>
      <c r="J1324" s="265" t="n">
        <v>0.06944444444444445</v>
      </c>
      <c r="K1324" s="266" t="n">
        <v>3190</v>
      </c>
      <c r="L1324" s="308" t="n"/>
      <c r="M1324" s="113" t="n"/>
      <c r="N1324" s="113" t="n"/>
      <c r="O1324" s="113" t="n"/>
      <c r="P1324" s="243" t="n"/>
      <c r="Q1324" s="113" t="n"/>
      <c r="R1324" s="113" t="n"/>
    </row>
    <row r="1325" ht="15.75" customHeight="1">
      <c r="A1325" s="113" t="n"/>
      <c r="B1325" s="146" t="n">
        <v>24</v>
      </c>
      <c r="C1325" s="350" t="n">
        <v>45965</v>
      </c>
      <c r="D1325" s="351" t="n">
        <v>6</v>
      </c>
      <c r="E1325" s="264" t="inlineStr">
        <is>
          <t>MALAGUEÑA</t>
        </is>
      </c>
      <c r="F1325" s="264" t="inlineStr">
        <is>
          <t>CARGUEROS</t>
        </is>
      </c>
      <c r="G1325" s="264" t="n">
        <v>11</v>
      </c>
      <c r="H1325" s="264" t="inlineStr">
        <is>
          <t>SEBASTIAN PULIDO</t>
        </is>
      </c>
      <c r="I1325" s="264" t="inlineStr">
        <is>
          <t>EQY779</t>
        </is>
      </c>
      <c r="J1325" s="265" t="n">
        <v>0.1020833333333333</v>
      </c>
      <c r="K1325" s="266" t="n">
        <v>3190</v>
      </c>
      <c r="L1325" s="308" t="n"/>
      <c r="M1325" s="113" t="n"/>
      <c r="N1325" s="113" t="n"/>
      <c r="O1325" s="113" t="n"/>
      <c r="P1325" s="243" t="n"/>
      <c r="Q1325" s="113" t="n"/>
      <c r="R1325" s="113" t="n"/>
    </row>
    <row r="1326" ht="15.75" customHeight="1">
      <c r="A1326" s="113" t="n"/>
      <c r="B1326" s="146" t="n">
        <v>24</v>
      </c>
      <c r="C1326" s="350" t="n">
        <v>45965</v>
      </c>
      <c r="D1326" s="351" t="n">
        <v>7</v>
      </c>
      <c r="E1326" s="264" t="inlineStr">
        <is>
          <t>MALAGUEÑA</t>
        </is>
      </c>
      <c r="F1326" s="264" t="inlineStr">
        <is>
          <t>CARGUEROS</t>
        </is>
      </c>
      <c r="G1326" s="264" t="n">
        <v>11</v>
      </c>
      <c r="H1326" s="264" t="inlineStr">
        <is>
          <t>ALEX GOMEZ</t>
        </is>
      </c>
      <c r="I1326" s="264" t="inlineStr">
        <is>
          <t>TLO881</t>
        </is>
      </c>
      <c r="J1326" s="265" t="n">
        <v>0.1319444444444444</v>
      </c>
      <c r="K1326" s="266" t="n">
        <v>3190</v>
      </c>
      <c r="L1326" s="308" t="n"/>
      <c r="M1326" s="113" t="n"/>
      <c r="N1326" s="113" t="n"/>
      <c r="O1326" s="113" t="n"/>
      <c r="P1326" s="243" t="n"/>
      <c r="Q1326" s="113" t="n"/>
      <c r="R1326" s="113" t="n"/>
    </row>
    <row r="1327" ht="15.75" customHeight="1">
      <c r="A1327" s="113" t="n"/>
      <c r="B1327" s="146" t="n">
        <v>24</v>
      </c>
      <c r="C1327" s="350" t="n">
        <v>45965</v>
      </c>
      <c r="D1327" s="351" t="n">
        <v>8</v>
      </c>
      <c r="E1327" s="264" t="inlineStr">
        <is>
          <t>MALAGUEÑA</t>
        </is>
      </c>
      <c r="F1327" s="264" t="inlineStr">
        <is>
          <t>CARGUEROS</t>
        </is>
      </c>
      <c r="G1327" s="264" t="n">
        <v>11</v>
      </c>
      <c r="H1327" s="264" t="inlineStr">
        <is>
          <t xml:space="preserve">DUMAR ANGARITA </t>
        </is>
      </c>
      <c r="I1327" s="264" t="inlineStr">
        <is>
          <t>LQO745</t>
        </is>
      </c>
      <c r="J1327" s="265" t="n">
        <v>0.1701388888888889</v>
      </c>
      <c r="K1327" s="266" t="n">
        <v>3190</v>
      </c>
      <c r="L1327" s="308" t="n"/>
      <c r="M1327" s="113" t="n"/>
      <c r="N1327" s="113" t="n"/>
      <c r="O1327" s="113" t="n"/>
      <c r="P1327" s="243" t="n"/>
      <c r="Q1327" s="113" t="n"/>
      <c r="R1327" s="113" t="n"/>
    </row>
    <row r="1328" ht="15.75" customHeight="1">
      <c r="A1328" s="113" t="n"/>
      <c r="B1328" s="146" t="n">
        <v>24</v>
      </c>
      <c r="C1328" s="350" t="n">
        <v>45965</v>
      </c>
      <c r="D1328" s="351" t="n">
        <v>9</v>
      </c>
      <c r="E1328" s="264" t="inlineStr">
        <is>
          <t>MALAGUEÑA</t>
        </is>
      </c>
      <c r="F1328" s="264" t="inlineStr">
        <is>
          <t>CARGUEROS</t>
        </is>
      </c>
      <c r="G1328" s="264" t="n">
        <v>11</v>
      </c>
      <c r="H1328" s="264" t="inlineStr">
        <is>
          <t>JHON ARIAS</t>
        </is>
      </c>
      <c r="I1328" s="264" t="inlineStr">
        <is>
          <t>TLN248</t>
        </is>
      </c>
      <c r="J1328" s="265" t="n">
        <v>0.2152777777777778</v>
      </c>
      <c r="K1328" s="266" t="n">
        <v>2880</v>
      </c>
      <c r="L1328" s="308" t="n"/>
      <c r="M1328" s="113" t="n"/>
      <c r="N1328" s="113" t="n"/>
      <c r="O1328" s="113" t="n"/>
      <c r="P1328" s="243" t="n"/>
      <c r="Q1328" s="113" t="n"/>
      <c r="R1328" s="113" t="n"/>
    </row>
    <row r="1329" ht="15.75" customHeight="1">
      <c r="A1329" s="113" t="n"/>
      <c r="B1329" s="146" t="n">
        <v>24</v>
      </c>
      <c r="C1329" s="350" t="n">
        <v>45965</v>
      </c>
      <c r="D1329" s="351" t="n">
        <v>10</v>
      </c>
      <c r="E1329" s="264" t="inlineStr">
        <is>
          <t>GARCERAS</t>
        </is>
      </c>
      <c r="F1329" s="264" t="inlineStr">
        <is>
          <t>ABONEROS</t>
        </is>
      </c>
      <c r="G1329" s="264" t="n">
        <v>10</v>
      </c>
      <c r="H1329" s="264" t="inlineStr">
        <is>
          <t xml:space="preserve">MANUEL QUINTIAN </t>
        </is>
      </c>
      <c r="I1329" s="264" t="inlineStr">
        <is>
          <t>KUS176</t>
        </is>
      </c>
      <c r="J1329" s="265" t="n">
        <v>0.1680555555555556</v>
      </c>
      <c r="K1329" s="266" t="n">
        <v>3322</v>
      </c>
      <c r="L1329" s="308" t="n"/>
      <c r="M1329" s="113" t="n"/>
      <c r="N1329" s="113" t="n"/>
      <c r="O1329" s="113" t="n"/>
      <c r="P1329" s="243" t="n"/>
      <c r="Q1329" s="113" t="n"/>
      <c r="R1329" s="113" t="n"/>
    </row>
    <row r="1330" ht="15.75" customHeight="1">
      <c r="A1330" s="113" t="n"/>
      <c r="B1330" s="146" t="n">
        <v>24</v>
      </c>
      <c r="C1330" s="350" t="n">
        <v>45965</v>
      </c>
      <c r="D1330" s="351" t="n">
        <v>11</v>
      </c>
      <c r="E1330" s="264" t="inlineStr">
        <is>
          <t>GARCERAS</t>
        </is>
      </c>
      <c r="F1330" s="264" t="inlineStr">
        <is>
          <t>ABONEROS</t>
        </is>
      </c>
      <c r="G1330" s="264" t="n">
        <v>10</v>
      </c>
      <c r="H1330" s="264" t="inlineStr">
        <is>
          <t xml:space="preserve">WILMER PIÑEROS </t>
        </is>
      </c>
      <c r="I1330" s="264" t="inlineStr">
        <is>
          <t>KNL076</t>
        </is>
      </c>
      <c r="J1330" s="265" t="n">
        <v>0.2826388888888889</v>
      </c>
      <c r="K1330" s="266" t="n">
        <v>3322</v>
      </c>
      <c r="L1330" s="308" t="n"/>
      <c r="M1330" s="113" t="n"/>
      <c r="N1330" s="113" t="n"/>
      <c r="O1330" s="113" t="n"/>
      <c r="P1330" s="243" t="n"/>
      <c r="Q1330" s="113" t="n"/>
      <c r="R1330" s="113" t="n"/>
    </row>
    <row r="1331" ht="15.75" customHeight="1">
      <c r="A1331" s="113" t="n"/>
      <c r="B1331" s="146" t="n">
        <v>24</v>
      </c>
      <c r="C1331" s="350" t="n">
        <v>45965</v>
      </c>
      <c r="D1331" s="351" t="n">
        <v>12</v>
      </c>
      <c r="E1331" s="264" t="inlineStr">
        <is>
          <t>GARCERAS</t>
        </is>
      </c>
      <c r="F1331" s="264" t="inlineStr">
        <is>
          <t>ABONEROS</t>
        </is>
      </c>
      <c r="G1331" s="264" t="n">
        <v>10</v>
      </c>
      <c r="H1331" s="264" t="inlineStr">
        <is>
          <t xml:space="preserve">YAIR RIVEROS </t>
        </is>
      </c>
      <c r="I1331" s="264" t="inlineStr">
        <is>
          <t>TLN181</t>
        </is>
      </c>
      <c r="J1331" s="265" t="n">
        <v>0.3159722222222222</v>
      </c>
      <c r="K1331" s="266" t="n">
        <v>3330</v>
      </c>
      <c r="L1331" s="308" t="n"/>
      <c r="M1331" s="113" t="n"/>
      <c r="N1331" s="113" t="n"/>
      <c r="O1331" s="113" t="n"/>
      <c r="P1331" s="243" t="n"/>
      <c r="Q1331" s="113" t="n"/>
      <c r="R1331" s="113" t="n"/>
    </row>
    <row r="1332" ht="15.75" customHeight="1">
      <c r="A1332" s="113" t="n"/>
      <c r="B1332" s="146" t="n">
        <v>24</v>
      </c>
      <c r="C1332" s="350" t="n">
        <v>45965</v>
      </c>
      <c r="D1332" s="351" t="n">
        <v>13</v>
      </c>
      <c r="E1332" s="264" t="inlineStr">
        <is>
          <t>GARCERAS</t>
        </is>
      </c>
      <c r="F1332" s="264" t="inlineStr">
        <is>
          <t>ABONEROS</t>
        </is>
      </c>
      <c r="G1332" s="264" t="n">
        <v>10</v>
      </c>
      <c r="H1332" s="264" t="inlineStr">
        <is>
          <t xml:space="preserve">FERNANDO OYUELA </t>
        </is>
      </c>
      <c r="I1332" s="264" t="inlineStr">
        <is>
          <t>EQY778</t>
        </is>
      </c>
      <c r="J1332" s="265" t="n">
        <v>0.3541666666666667</v>
      </c>
      <c r="K1332" s="266" t="n">
        <v>3322</v>
      </c>
      <c r="L1332" s="308" t="n"/>
      <c r="M1332" s="113" t="n"/>
      <c r="N1332" s="113" t="n"/>
      <c r="O1332" s="113" t="n"/>
      <c r="P1332" s="243" t="n"/>
      <c r="Q1332" s="113" t="n"/>
      <c r="R1332" s="113" t="n"/>
    </row>
    <row r="1333" ht="15.75" customHeight="1">
      <c r="A1333" s="113" t="n"/>
      <c r="B1333" s="146" t="n">
        <v>24</v>
      </c>
      <c r="C1333" s="350" t="n">
        <v>45965</v>
      </c>
      <c r="D1333" s="351" t="n">
        <v>14</v>
      </c>
      <c r="E1333" s="264" t="inlineStr">
        <is>
          <t>GARCERAS</t>
        </is>
      </c>
      <c r="F1333" s="264" t="inlineStr">
        <is>
          <t>ABONEROS</t>
        </is>
      </c>
      <c r="G1333" s="264" t="n">
        <v>10</v>
      </c>
      <c r="H1333" s="264" t="inlineStr">
        <is>
          <t xml:space="preserve">JOSE SOLER </t>
        </is>
      </c>
      <c r="I1333" s="264" t="inlineStr">
        <is>
          <t>EQY776</t>
        </is>
      </c>
      <c r="J1333" s="265" t="n">
        <v>0.3958333333333333</v>
      </c>
      <c r="K1333" s="266" t="n">
        <v>3352</v>
      </c>
      <c r="L1333" s="308" t="n"/>
      <c r="M1333" s="113" t="n"/>
      <c r="N1333" s="113" t="n"/>
      <c r="O1333" s="113" t="n"/>
      <c r="P1333" s="243" t="n"/>
      <c r="Q1333" s="113" t="n"/>
      <c r="R1333" s="113" t="n"/>
    </row>
    <row r="1334" ht="15.75" customHeight="1">
      <c r="A1334" s="113" t="n"/>
      <c r="B1334" s="146" t="n">
        <v>24</v>
      </c>
      <c r="C1334" s="350" t="n">
        <v>45965</v>
      </c>
      <c r="D1334" s="351" t="n">
        <v>15</v>
      </c>
      <c r="E1334" s="264" t="inlineStr">
        <is>
          <t>GARCERAS</t>
        </is>
      </c>
      <c r="F1334" s="264" t="inlineStr">
        <is>
          <t>ABONEROS</t>
        </is>
      </c>
      <c r="G1334" s="264" t="n">
        <v>10</v>
      </c>
      <c r="H1334" s="264" t="inlineStr">
        <is>
          <t>JOSE HERRERA</t>
        </is>
      </c>
      <c r="I1334" s="264" t="inlineStr">
        <is>
          <t>TLO882</t>
        </is>
      </c>
      <c r="J1334" s="265" t="n">
        <v>0.4479166666666667</v>
      </c>
      <c r="K1334" s="266" t="n">
        <v>3564</v>
      </c>
      <c r="L1334" s="308" t="n"/>
      <c r="M1334" s="113" t="n"/>
      <c r="N1334" s="113" t="n"/>
      <c r="O1334" s="113" t="n"/>
      <c r="P1334" s="243" t="n"/>
      <c r="Q1334" s="113" t="n"/>
      <c r="R1334" s="113" t="n"/>
    </row>
    <row r="1335" ht="15.75" customHeight="1">
      <c r="A1335" s="113" t="n"/>
      <c r="B1335" s="146" t="n">
        <v>24</v>
      </c>
      <c r="C1335" s="352" t="n">
        <v>45965</v>
      </c>
      <c r="D1335" s="347" t="n">
        <v>16</v>
      </c>
      <c r="E1335" s="282" t="inlineStr">
        <is>
          <t>GARCERAS</t>
        </is>
      </c>
      <c r="F1335" s="282" t="inlineStr">
        <is>
          <t>ABONEROS</t>
        </is>
      </c>
      <c r="G1335" s="282" t="n">
        <v>10</v>
      </c>
      <c r="H1335" s="282" t="inlineStr">
        <is>
          <t xml:space="preserve">HENRY ROMERO </t>
        </is>
      </c>
      <c r="I1335" s="282" t="inlineStr">
        <is>
          <t>EQY781</t>
        </is>
      </c>
      <c r="J1335" s="283" t="n">
        <v>0.4930555555555556</v>
      </c>
      <c r="K1335" s="318" t="n">
        <v>3564</v>
      </c>
      <c r="L1335" s="354">
        <f>SUM(K1320:K1335)</f>
        <v/>
      </c>
      <c r="M1335" s="113" t="n"/>
      <c r="N1335" s="113" t="n"/>
      <c r="O1335" s="113" t="n"/>
      <c r="P1335" s="243" t="n"/>
      <c r="Q1335" s="113" t="n"/>
      <c r="R1335" s="113" t="n"/>
    </row>
    <row r="1336" ht="15.75" customHeight="1">
      <c r="A1336" s="113" t="n"/>
      <c r="B1336" s="146" t="n">
        <v>24</v>
      </c>
      <c r="C1336" s="348" t="n">
        <v>45966</v>
      </c>
      <c r="D1336" s="349" t="n">
        <v>1</v>
      </c>
      <c r="E1336" s="258" t="inlineStr">
        <is>
          <t>MALAGUEÑA</t>
        </is>
      </c>
      <c r="F1336" s="258" t="inlineStr">
        <is>
          <t>CARGUEROS</t>
        </is>
      </c>
      <c r="G1336" s="258" t="n">
        <v>11</v>
      </c>
      <c r="H1336" s="258" t="inlineStr">
        <is>
          <t>HENRY ROMERO</t>
        </is>
      </c>
      <c r="I1336" s="258" t="inlineStr">
        <is>
          <t>EQY781</t>
        </is>
      </c>
      <c r="J1336" s="259" t="n">
        <v>0.9902777777777778</v>
      </c>
      <c r="K1336" s="260" t="n">
        <v>2940</v>
      </c>
      <c r="L1336" s="292" t="n"/>
      <c r="M1336" s="113" t="n"/>
      <c r="N1336" s="113" t="n"/>
      <c r="O1336" s="113" t="n"/>
      <c r="P1336" s="243" t="n"/>
      <c r="Q1336" s="113" t="n"/>
      <c r="R1336" s="113" t="n"/>
    </row>
    <row r="1337" ht="15.75" customHeight="1">
      <c r="A1337" s="113" t="n"/>
      <c r="B1337" s="146" t="n">
        <v>24</v>
      </c>
      <c r="C1337" s="350" t="n">
        <v>45966</v>
      </c>
      <c r="D1337" s="351" t="n">
        <v>2</v>
      </c>
      <c r="E1337" s="264" t="inlineStr">
        <is>
          <t>MALAGUEÑA</t>
        </is>
      </c>
      <c r="F1337" s="264" t="inlineStr">
        <is>
          <t>CARGUEROS</t>
        </is>
      </c>
      <c r="G1337" s="264" t="n">
        <v>11</v>
      </c>
      <c r="H1337" s="264" t="inlineStr">
        <is>
          <t>JOSE HERRERA</t>
        </is>
      </c>
      <c r="I1337" s="264" t="inlineStr">
        <is>
          <t>TLO882</t>
        </is>
      </c>
      <c r="J1337" s="265" t="n">
        <v>0.02569444444444444</v>
      </c>
      <c r="K1337" s="266" t="n">
        <v>2940</v>
      </c>
      <c r="L1337" s="308" t="n"/>
      <c r="M1337" s="113" t="n"/>
      <c r="N1337" s="113" t="n"/>
      <c r="O1337" s="113" t="n"/>
      <c r="P1337" s="243" t="n"/>
      <c r="Q1337" s="113" t="n"/>
      <c r="R1337" s="113" t="n"/>
    </row>
    <row r="1338" ht="15.75" customHeight="1">
      <c r="A1338" s="113" t="n"/>
      <c r="B1338" s="146" t="n">
        <v>24</v>
      </c>
      <c r="C1338" s="350" t="n">
        <v>45966</v>
      </c>
      <c r="D1338" s="351" t="n">
        <v>3</v>
      </c>
      <c r="E1338" s="264" t="inlineStr">
        <is>
          <t>MALAGUEÑA</t>
        </is>
      </c>
      <c r="F1338" s="264" t="inlineStr">
        <is>
          <t>CARGUEROS</t>
        </is>
      </c>
      <c r="G1338" s="264" t="n">
        <v>11</v>
      </c>
      <c r="H1338" s="264" t="inlineStr">
        <is>
          <t>YAIR RIVEROS</t>
        </is>
      </c>
      <c r="I1338" s="264" t="inlineStr">
        <is>
          <t>TLN181</t>
        </is>
      </c>
      <c r="J1338" s="265" t="n">
        <v>0.0763888888888889</v>
      </c>
      <c r="K1338" s="266" t="n">
        <v>3500</v>
      </c>
      <c r="L1338" s="308" t="n"/>
      <c r="M1338" s="113" t="n"/>
      <c r="N1338" s="113" t="n"/>
      <c r="O1338" s="113" t="n"/>
      <c r="P1338" s="243" t="n"/>
      <c r="Q1338" s="113" t="n"/>
      <c r="R1338" s="113" t="n"/>
    </row>
    <row r="1339" ht="15.75" customHeight="1">
      <c r="A1339" s="113" t="n"/>
      <c r="B1339" s="146" t="n">
        <v>24</v>
      </c>
      <c r="C1339" s="350" t="n">
        <v>45966</v>
      </c>
      <c r="D1339" s="351" t="n">
        <v>4</v>
      </c>
      <c r="E1339" s="264" t="inlineStr">
        <is>
          <t>MALAGUEÑA</t>
        </is>
      </c>
      <c r="F1339" s="264" t="inlineStr">
        <is>
          <t>CARGUEROS</t>
        </is>
      </c>
      <c r="G1339" s="264" t="n">
        <v>11</v>
      </c>
      <c r="H1339" s="264" t="inlineStr">
        <is>
          <t xml:space="preserve">JOSE SOLER </t>
        </is>
      </c>
      <c r="I1339" s="264" t="inlineStr">
        <is>
          <t>EQY776</t>
        </is>
      </c>
      <c r="J1339" s="265" t="n">
        <v>0.1145833333333333</v>
      </c>
      <c r="K1339" s="266" t="n">
        <v>3500</v>
      </c>
      <c r="L1339" s="308" t="n"/>
      <c r="M1339" s="113" t="n"/>
      <c r="N1339" s="113" t="n"/>
      <c r="O1339" s="113" t="n"/>
      <c r="P1339" s="243" t="n"/>
      <c r="Q1339" s="113" t="n"/>
      <c r="R1339" s="113" t="n"/>
    </row>
    <row r="1340" ht="15.75" customHeight="1">
      <c r="A1340" s="113" t="n"/>
      <c r="B1340" s="146" t="n">
        <v>24</v>
      </c>
      <c r="C1340" s="350" t="n">
        <v>45966</v>
      </c>
      <c r="D1340" s="351" t="n">
        <v>5</v>
      </c>
      <c r="E1340" s="264" t="inlineStr">
        <is>
          <t>MALAGUEÑA</t>
        </is>
      </c>
      <c r="F1340" s="264" t="inlineStr">
        <is>
          <t>CARGUEROS</t>
        </is>
      </c>
      <c r="G1340" s="264" t="n">
        <v>11</v>
      </c>
      <c r="H1340" s="264" t="inlineStr">
        <is>
          <t>JAIRO CUBILLOS</t>
        </is>
      </c>
      <c r="I1340" s="264" t="inlineStr">
        <is>
          <t>TLO884</t>
        </is>
      </c>
      <c r="J1340" s="265" t="n">
        <v>0.1541666666666667</v>
      </c>
      <c r="K1340" s="266" t="n">
        <v>2640</v>
      </c>
      <c r="L1340" s="308" t="n"/>
      <c r="M1340" s="113" t="n"/>
      <c r="N1340" s="113" t="n"/>
      <c r="O1340" s="113" t="n"/>
      <c r="P1340" s="243" t="n"/>
      <c r="Q1340" s="113" t="n"/>
      <c r="R1340" s="113" t="n"/>
    </row>
    <row r="1341" ht="15.75" customHeight="1">
      <c r="A1341" s="113" t="n"/>
      <c r="B1341" s="146" t="n">
        <v>24</v>
      </c>
      <c r="C1341" s="350" t="n">
        <v>45966</v>
      </c>
      <c r="D1341" s="351" t="n">
        <v>6</v>
      </c>
      <c r="E1341" s="264" t="inlineStr">
        <is>
          <t>MALAGUEÑA</t>
        </is>
      </c>
      <c r="F1341" s="264" t="inlineStr">
        <is>
          <t>CARGUEROS</t>
        </is>
      </c>
      <c r="G1341" s="264" t="n">
        <v>11</v>
      </c>
      <c r="H1341" s="264" t="inlineStr">
        <is>
          <t>EDWIN ROJAS</t>
        </is>
      </c>
      <c r="I1341" s="264" t="inlineStr">
        <is>
          <t>EQY780</t>
        </is>
      </c>
      <c r="J1341" s="265" t="n">
        <v>0.1944444444444444</v>
      </c>
      <c r="K1341" s="266" t="n">
        <v>2960</v>
      </c>
      <c r="L1341" s="308" t="n"/>
      <c r="M1341" s="113" t="n"/>
      <c r="N1341" s="113" t="n"/>
      <c r="O1341" s="113" t="n"/>
      <c r="P1341" s="243" t="n"/>
      <c r="Q1341" s="113" t="n"/>
      <c r="R1341" s="113" t="n"/>
    </row>
    <row r="1342" ht="15.75" customHeight="1">
      <c r="A1342" s="113" t="n"/>
      <c r="B1342" s="146" t="n">
        <v>24</v>
      </c>
      <c r="C1342" s="350" t="n">
        <v>45966</v>
      </c>
      <c r="D1342" s="351" t="n">
        <v>7</v>
      </c>
      <c r="E1342" s="264" t="inlineStr">
        <is>
          <t>MALAGUEÑA</t>
        </is>
      </c>
      <c r="F1342" s="264" t="inlineStr">
        <is>
          <t>CARGUEROS</t>
        </is>
      </c>
      <c r="G1342" s="264" t="n">
        <v>11</v>
      </c>
      <c r="H1342" s="264" t="inlineStr">
        <is>
          <t>JHON ARIAS</t>
        </is>
      </c>
      <c r="I1342" s="264" t="inlineStr">
        <is>
          <t>TLN248</t>
        </is>
      </c>
      <c r="J1342" s="265" t="n">
        <v>0.2222222222222222</v>
      </c>
      <c r="K1342" s="266" t="n">
        <v>2940</v>
      </c>
      <c r="L1342" s="308" t="n"/>
      <c r="M1342" s="113" t="n"/>
      <c r="N1342" s="113" t="n"/>
      <c r="O1342" s="113" t="n"/>
      <c r="P1342" s="243" t="n"/>
      <c r="Q1342" s="113" t="n"/>
      <c r="R1342" s="113" t="n"/>
    </row>
    <row r="1343" ht="15.75" customHeight="1">
      <c r="A1343" s="113" t="n"/>
      <c r="B1343" s="146" t="n">
        <v>24</v>
      </c>
      <c r="C1343" s="350" t="n">
        <v>45966</v>
      </c>
      <c r="D1343" s="351" t="n">
        <v>8</v>
      </c>
      <c r="E1343" s="264" t="inlineStr">
        <is>
          <t>MALAGUEÑA</t>
        </is>
      </c>
      <c r="F1343" s="264" t="inlineStr">
        <is>
          <t>CARGUEROS</t>
        </is>
      </c>
      <c r="G1343" s="264" t="n">
        <v>11</v>
      </c>
      <c r="H1343" s="264" t="inlineStr">
        <is>
          <t xml:space="preserve">JAIR RIVEROS </t>
        </is>
      </c>
      <c r="I1343" s="264" t="inlineStr">
        <is>
          <t>TLN181</t>
        </is>
      </c>
      <c r="J1343" s="265" t="n">
        <v>0.2916666666666667</v>
      </c>
      <c r="K1343" s="266" t="n">
        <v>2960</v>
      </c>
      <c r="L1343" s="308" t="n"/>
      <c r="M1343" s="113" t="n"/>
      <c r="N1343" s="113" t="n"/>
      <c r="O1343" s="113" t="n"/>
      <c r="P1343" s="243" t="n"/>
      <c r="Q1343" s="113" t="n"/>
      <c r="R1343" s="113" t="n"/>
    </row>
    <row r="1344" ht="15.75" customHeight="1">
      <c r="A1344" s="113" t="n"/>
      <c r="B1344" s="146" t="n">
        <v>24</v>
      </c>
      <c r="C1344" s="350" t="n">
        <v>45966</v>
      </c>
      <c r="D1344" s="351" t="n">
        <v>9</v>
      </c>
      <c r="E1344" s="264" t="inlineStr">
        <is>
          <t>MALAGUEÑA</t>
        </is>
      </c>
      <c r="F1344" s="264" t="inlineStr">
        <is>
          <t>CARGUEROS</t>
        </is>
      </c>
      <c r="G1344" s="264" t="n">
        <v>11</v>
      </c>
      <c r="H1344" s="264" t="inlineStr">
        <is>
          <t>JAIRO CUBILLOS</t>
        </is>
      </c>
      <c r="I1344" s="264" t="inlineStr">
        <is>
          <t>TLO884</t>
        </is>
      </c>
      <c r="J1344" s="265" t="n">
        <v>0.3229166666666667</v>
      </c>
      <c r="K1344" s="266" t="n">
        <v>2960</v>
      </c>
      <c r="L1344" s="308" t="n"/>
      <c r="M1344" s="113" t="n"/>
      <c r="N1344" s="113" t="n"/>
      <c r="O1344" s="113" t="n"/>
      <c r="P1344" s="243" t="n"/>
      <c r="Q1344" s="113" t="n"/>
      <c r="R1344" s="113" t="n"/>
    </row>
    <row r="1345" ht="15.75" customHeight="1">
      <c r="A1345" s="113" t="n"/>
      <c r="B1345" s="146" t="n">
        <v>24</v>
      </c>
      <c r="C1345" s="350" t="n">
        <v>45966</v>
      </c>
      <c r="D1345" s="351" t="n">
        <v>10</v>
      </c>
      <c r="E1345" s="264" t="inlineStr">
        <is>
          <t>GARCERAS</t>
        </is>
      </c>
      <c r="F1345" s="264" t="inlineStr">
        <is>
          <t>ABONEROS</t>
        </is>
      </c>
      <c r="G1345" s="264" t="n">
        <v>10</v>
      </c>
      <c r="H1345" s="264" t="inlineStr">
        <is>
          <t xml:space="preserve">JOSE HERRERA </t>
        </is>
      </c>
      <c r="I1345" s="264" t="inlineStr">
        <is>
          <t>TLO882</t>
        </is>
      </c>
      <c r="J1345" s="265" t="n">
        <v>0.2819444444444444</v>
      </c>
      <c r="K1345" s="266" t="n">
        <v>2850</v>
      </c>
      <c r="L1345" s="308" t="n"/>
      <c r="M1345" s="113" t="n"/>
      <c r="N1345" s="113" t="n"/>
      <c r="O1345" s="113" t="n"/>
      <c r="P1345" s="243" t="n"/>
      <c r="Q1345" s="113" t="n"/>
      <c r="R1345" s="113" t="n"/>
    </row>
    <row r="1346" ht="15.75" customHeight="1">
      <c r="A1346" s="113" t="n"/>
      <c r="B1346" s="146" t="n">
        <v>24</v>
      </c>
      <c r="C1346" s="350" t="n">
        <v>45966</v>
      </c>
      <c r="D1346" s="351" t="n">
        <v>11</v>
      </c>
      <c r="E1346" s="264" t="inlineStr">
        <is>
          <t>GARCERAS</t>
        </is>
      </c>
      <c r="F1346" s="264" t="inlineStr">
        <is>
          <t>ABONEROS</t>
        </is>
      </c>
      <c r="G1346" s="264" t="n">
        <v>10</v>
      </c>
      <c r="H1346" s="264" t="inlineStr">
        <is>
          <t>DIEGO NIÑO</t>
        </is>
      </c>
      <c r="I1346" s="264" t="inlineStr">
        <is>
          <t>GZZ673</t>
        </is>
      </c>
      <c r="J1346" s="265" t="n">
        <v>0.3451388888888889</v>
      </c>
      <c r="K1346" s="266" t="n">
        <v>2850</v>
      </c>
      <c r="L1346" s="308" t="n"/>
      <c r="M1346" s="113" t="n"/>
      <c r="N1346" s="113" t="n"/>
      <c r="O1346" s="113" t="n"/>
      <c r="P1346" s="243" t="n"/>
      <c r="Q1346" s="113" t="n"/>
      <c r="R1346" s="113" t="n"/>
    </row>
    <row r="1347" ht="15.75" customHeight="1">
      <c r="A1347" s="113" t="n"/>
      <c r="B1347" s="146" t="n">
        <v>24</v>
      </c>
      <c r="C1347" s="350" t="n">
        <v>45966</v>
      </c>
      <c r="D1347" s="351" t="n">
        <v>12</v>
      </c>
      <c r="E1347" s="264" t="inlineStr">
        <is>
          <t>GARCERAS</t>
        </is>
      </c>
      <c r="F1347" s="264" t="inlineStr">
        <is>
          <t>ABONEROS</t>
        </is>
      </c>
      <c r="G1347" s="264" t="n">
        <v>10</v>
      </c>
      <c r="H1347" s="264" t="inlineStr">
        <is>
          <t xml:space="preserve">ALBERTO LOPEZ </t>
        </is>
      </c>
      <c r="I1347" s="264" t="inlineStr">
        <is>
          <t>EQY777</t>
        </is>
      </c>
      <c r="J1347" s="265" t="n">
        <v>0.3888888888888889</v>
      </c>
      <c r="K1347" s="266" t="n">
        <v>2850</v>
      </c>
      <c r="L1347" s="308" t="n"/>
      <c r="M1347" s="113" t="n"/>
      <c r="N1347" s="113" t="n"/>
      <c r="O1347" s="113" t="n"/>
      <c r="P1347" s="243" t="n"/>
      <c r="Q1347" s="113" t="n"/>
      <c r="R1347" s="113" t="n"/>
    </row>
    <row r="1348" ht="15.75" customHeight="1">
      <c r="A1348" s="113" t="n"/>
      <c r="B1348" s="146" t="n">
        <v>24</v>
      </c>
      <c r="C1348" s="350" t="n">
        <v>45966</v>
      </c>
      <c r="D1348" s="351" t="n">
        <v>13</v>
      </c>
      <c r="E1348" s="264" t="inlineStr">
        <is>
          <t>GARCERAS</t>
        </is>
      </c>
      <c r="F1348" s="264" t="inlineStr">
        <is>
          <t>ABONEROS</t>
        </is>
      </c>
      <c r="G1348" s="264" t="n">
        <v>10</v>
      </c>
      <c r="H1348" s="264" t="inlineStr">
        <is>
          <t xml:space="preserve">FERNANDO OYUELA </t>
        </is>
      </c>
      <c r="I1348" s="264" t="inlineStr">
        <is>
          <t>EQY778</t>
        </is>
      </c>
      <c r="J1348" s="265" t="n">
        <v>0.4319444444444445</v>
      </c>
      <c r="K1348" s="266" t="n">
        <v>3595</v>
      </c>
      <c r="L1348" s="309" t="n"/>
      <c r="M1348" s="113" t="n"/>
      <c r="N1348" s="113" t="n"/>
      <c r="O1348" s="113" t="n"/>
      <c r="P1348" s="243" t="n"/>
      <c r="Q1348" s="113" t="n"/>
      <c r="R1348" s="113" t="n"/>
    </row>
    <row r="1349" ht="15.75" customHeight="1">
      <c r="A1349" s="113" t="n"/>
      <c r="B1349" s="146" t="n">
        <v>24</v>
      </c>
      <c r="C1349" s="352" t="n">
        <v>45966</v>
      </c>
      <c r="D1349" s="347" t="n">
        <v>14</v>
      </c>
      <c r="E1349" s="282" t="inlineStr">
        <is>
          <t>GARCERAS</t>
        </is>
      </c>
      <c r="F1349" s="282" t="inlineStr">
        <is>
          <t>ABONEROS</t>
        </is>
      </c>
      <c r="G1349" s="282" t="n">
        <v>10</v>
      </c>
      <c r="H1349" s="282" t="inlineStr">
        <is>
          <t xml:space="preserve">JHON ARIAS </t>
        </is>
      </c>
      <c r="I1349" s="282" t="inlineStr">
        <is>
          <t>TLN248</t>
        </is>
      </c>
      <c r="J1349" s="283" t="n">
        <v>0.4798611111111111</v>
      </c>
      <c r="K1349" s="284" t="n">
        <v>3720</v>
      </c>
      <c r="L1349" s="378">
        <f>SUM(K1336:K1349)</f>
        <v/>
      </c>
      <c r="M1349" s="113" t="n"/>
      <c r="N1349" s="113" t="n"/>
      <c r="O1349" s="113" t="n"/>
      <c r="P1349" s="243" t="n"/>
      <c r="Q1349" s="113" t="n"/>
      <c r="R1349" s="113" t="n"/>
    </row>
    <row r="1350" ht="15.75" customHeight="1">
      <c r="A1350" s="113" t="n"/>
      <c r="B1350" s="146" t="n">
        <v>24</v>
      </c>
      <c r="C1350" s="348" t="n">
        <v>45967</v>
      </c>
      <c r="D1350" s="349" t="n">
        <v>1</v>
      </c>
      <c r="E1350" s="258" t="inlineStr">
        <is>
          <t>MALAGUEÑA</t>
        </is>
      </c>
      <c r="F1350" s="258" t="inlineStr">
        <is>
          <t>CARGUEROS</t>
        </is>
      </c>
      <c r="G1350" s="258" t="n">
        <v>11</v>
      </c>
      <c r="H1350" s="258" t="inlineStr">
        <is>
          <t xml:space="preserve">EDWIN ROJAS </t>
        </is>
      </c>
      <c r="I1350" s="258" t="inlineStr">
        <is>
          <t>EQY780</t>
        </is>
      </c>
      <c r="J1350" s="259" t="n">
        <v>0.9583333333333334</v>
      </c>
      <c r="K1350" s="260" t="n">
        <v>3485</v>
      </c>
      <c r="L1350" s="292" t="n"/>
      <c r="M1350" s="113" t="n"/>
      <c r="N1350" s="113" t="n"/>
      <c r="O1350" s="113" t="n"/>
      <c r="P1350" s="243" t="n"/>
      <c r="Q1350" s="113" t="n"/>
      <c r="R1350" s="113" t="n"/>
    </row>
    <row r="1351" ht="15.75" customHeight="1">
      <c r="A1351" s="113" t="n"/>
      <c r="B1351" s="146" t="n">
        <v>24</v>
      </c>
      <c r="C1351" s="350" t="n">
        <v>45967</v>
      </c>
      <c r="D1351" s="351" t="n">
        <v>2</v>
      </c>
      <c r="E1351" s="264" t="inlineStr">
        <is>
          <t>MALAGUEÑA</t>
        </is>
      </c>
      <c r="F1351" s="264" t="inlineStr">
        <is>
          <t>CARGUEROS</t>
        </is>
      </c>
      <c r="G1351" s="264" t="n">
        <v>11</v>
      </c>
      <c r="H1351" s="264" t="inlineStr">
        <is>
          <t>JHON ARIAS</t>
        </is>
      </c>
      <c r="I1351" s="264" t="inlineStr">
        <is>
          <t>TLN248</t>
        </is>
      </c>
      <c r="J1351" s="265" t="n">
        <v>0</v>
      </c>
      <c r="K1351" s="266" t="n">
        <v>3483</v>
      </c>
      <c r="L1351" s="309" t="n"/>
      <c r="M1351" s="113" t="n"/>
      <c r="N1351" s="113" t="n"/>
      <c r="O1351" s="113" t="n"/>
      <c r="P1351" s="243" t="n"/>
      <c r="Q1351" s="113" t="n"/>
      <c r="R1351" s="113" t="n"/>
    </row>
    <row r="1352" ht="15.75" customHeight="1">
      <c r="A1352" s="113" t="n"/>
      <c r="B1352" s="146" t="n">
        <v>24</v>
      </c>
      <c r="C1352" s="352" t="n">
        <v>45967</v>
      </c>
      <c r="D1352" s="347" t="n">
        <v>3</v>
      </c>
      <c r="E1352" s="282" t="inlineStr">
        <is>
          <t>GARCERAS</t>
        </is>
      </c>
      <c r="F1352" s="282" t="inlineStr">
        <is>
          <t>CARGUEROS</t>
        </is>
      </c>
      <c r="G1352" s="282" t="n">
        <v>11</v>
      </c>
      <c r="H1352" s="282" t="inlineStr">
        <is>
          <t>EDUN CAVIDES</t>
        </is>
      </c>
      <c r="I1352" s="282" t="inlineStr">
        <is>
          <t>EQY779</t>
        </is>
      </c>
      <c r="J1352" s="283" t="n">
        <v>0.1006944444444444</v>
      </c>
      <c r="K1352" s="284" t="n">
        <v>2720</v>
      </c>
      <c r="L1352" s="353">
        <f>SUM(K1350:K1352)</f>
        <v/>
      </c>
      <c r="M1352" s="113" t="n"/>
      <c r="N1352" s="113" t="n"/>
      <c r="O1352" s="113" t="n"/>
      <c r="P1352" s="243" t="n"/>
      <c r="Q1352" s="113" t="n"/>
      <c r="R1352" s="113" t="n"/>
    </row>
    <row r="1353" ht="15.75" customHeight="1">
      <c r="A1353" s="113" t="n"/>
      <c r="B1353" s="146" t="n">
        <v>24</v>
      </c>
      <c r="C1353" s="348" t="n">
        <v>45968</v>
      </c>
      <c r="D1353" s="349" t="n">
        <v>1</v>
      </c>
      <c r="E1353" s="258" t="inlineStr">
        <is>
          <t>GARCERAS</t>
        </is>
      </c>
      <c r="F1353" s="258" t="inlineStr">
        <is>
          <t>ABONEROS</t>
        </is>
      </c>
      <c r="G1353" s="258" t="n">
        <v>10</v>
      </c>
      <c r="H1353" s="258" t="inlineStr">
        <is>
          <t xml:space="preserve">SEBASTIAN HIDALGO </t>
        </is>
      </c>
      <c r="I1353" s="258" t="inlineStr">
        <is>
          <t>LQO745</t>
        </is>
      </c>
      <c r="J1353" s="259" t="n">
        <v>0.1798611111111111</v>
      </c>
      <c r="K1353" s="260" t="n">
        <v>2680</v>
      </c>
      <c r="L1353" s="292" t="n"/>
      <c r="M1353" s="113" t="n"/>
      <c r="N1353" s="113" t="n"/>
      <c r="O1353" s="113" t="n"/>
      <c r="P1353" s="243" t="n"/>
      <c r="Q1353" s="113" t="n"/>
      <c r="R1353" s="113" t="n"/>
    </row>
    <row r="1354" ht="15.75" customHeight="1">
      <c r="A1354" s="113" t="n"/>
      <c r="B1354" s="146" t="n">
        <v>24</v>
      </c>
      <c r="C1354" s="350" t="n">
        <v>45968</v>
      </c>
      <c r="D1354" s="351" t="n">
        <v>2</v>
      </c>
      <c r="E1354" s="264" t="inlineStr">
        <is>
          <t xml:space="preserve">SAN JOSE </t>
        </is>
      </c>
      <c r="F1354" s="264" t="inlineStr">
        <is>
          <t>CARGUEROS</t>
        </is>
      </c>
      <c r="G1354" s="264" t="n">
        <v>10</v>
      </c>
      <c r="H1354" s="264" t="inlineStr">
        <is>
          <t>HENRY ROMERO</t>
        </is>
      </c>
      <c r="I1354" s="264" t="inlineStr">
        <is>
          <t>EQY781</t>
        </is>
      </c>
      <c r="J1354" s="265" t="n">
        <v>0.125</v>
      </c>
      <c r="K1354" s="266" t="n">
        <v>3283</v>
      </c>
      <c r="L1354" s="308" t="n"/>
      <c r="M1354" s="113" t="n"/>
      <c r="N1354" s="113" t="n"/>
      <c r="O1354" s="113" t="n"/>
      <c r="P1354" s="243" t="n"/>
      <c r="Q1354" s="113" t="n"/>
      <c r="R1354" s="113" t="n"/>
    </row>
    <row r="1355" ht="15.75" customHeight="1">
      <c r="A1355" s="113" t="n"/>
      <c r="B1355" s="146" t="n">
        <v>24</v>
      </c>
      <c r="C1355" s="350" t="n">
        <v>45968</v>
      </c>
      <c r="D1355" s="351" t="n">
        <v>3</v>
      </c>
      <c r="E1355" s="264" t="inlineStr">
        <is>
          <t xml:space="preserve">SAN JOSE </t>
        </is>
      </c>
      <c r="F1355" s="264" t="inlineStr">
        <is>
          <t>CARGUEROS</t>
        </is>
      </c>
      <c r="G1355" s="264" t="n">
        <v>10</v>
      </c>
      <c r="H1355" s="264" t="inlineStr">
        <is>
          <t xml:space="preserve">ALBERTO LOPEZ </t>
        </is>
      </c>
      <c r="I1355" s="264" t="inlineStr">
        <is>
          <t>EQY777</t>
        </is>
      </c>
      <c r="J1355" s="265" t="n">
        <v>0.1631944444444444</v>
      </c>
      <c r="K1355" s="266" t="n">
        <v>3283</v>
      </c>
      <c r="L1355" s="308" t="n"/>
      <c r="M1355" s="113" t="n"/>
      <c r="N1355" s="113" t="n"/>
      <c r="O1355" s="113" t="n"/>
      <c r="P1355" s="243" t="n"/>
      <c r="Q1355" s="113" t="n"/>
      <c r="R1355" s="113" t="n"/>
    </row>
    <row r="1356" ht="15.75" customHeight="1">
      <c r="A1356" s="113" t="n"/>
      <c r="B1356" s="146" t="n">
        <v>24</v>
      </c>
      <c r="C1356" s="356" t="n">
        <v>45968</v>
      </c>
      <c r="D1356" s="357" t="n">
        <v>4</v>
      </c>
      <c r="E1356" s="271" t="inlineStr">
        <is>
          <t xml:space="preserve">SAN JOSE </t>
        </is>
      </c>
      <c r="F1356" s="271" t="inlineStr">
        <is>
          <t xml:space="preserve">CARGUEROS </t>
        </is>
      </c>
      <c r="G1356" s="271" t="n">
        <v>10</v>
      </c>
      <c r="H1356" s="271" t="inlineStr">
        <is>
          <t xml:space="preserve">HENRY ROMOERO </t>
        </is>
      </c>
      <c r="I1356" s="271" t="inlineStr">
        <is>
          <t>EQY781</t>
        </is>
      </c>
      <c r="J1356" s="272" t="n">
        <v>0.2534722222222222</v>
      </c>
      <c r="K1356" s="286" t="n">
        <v>3283</v>
      </c>
      <c r="L1356" s="385">
        <f>SUM(K1354:K1356)</f>
        <v/>
      </c>
      <c r="M1356" s="113" t="n"/>
      <c r="N1356" s="113" t="n"/>
      <c r="O1356" s="113" t="n"/>
      <c r="P1356" s="243" t="n"/>
      <c r="Q1356" s="113" t="n"/>
      <c r="R1356" s="113" t="n"/>
    </row>
    <row r="1357" ht="15.75" customHeight="1">
      <c r="A1357" s="113" t="n"/>
      <c r="B1357" s="146" t="n">
        <v>24</v>
      </c>
      <c r="C1357" s="359" t="n">
        <v>45969</v>
      </c>
      <c r="D1357" s="360" t="n">
        <v>1</v>
      </c>
      <c r="E1357" s="293" t="inlineStr">
        <is>
          <t>MALAGUEÑA</t>
        </is>
      </c>
      <c r="F1357" s="293" t="inlineStr">
        <is>
          <t>CARGUEROS</t>
        </is>
      </c>
      <c r="G1357" s="293" t="n">
        <v>11</v>
      </c>
      <c r="H1357" s="293" t="inlineStr">
        <is>
          <t>JAIRO CUBILLOS</t>
        </is>
      </c>
      <c r="I1357" s="293" t="inlineStr">
        <is>
          <t>TLO884</t>
        </is>
      </c>
      <c r="J1357" s="294" t="n">
        <v>0.825</v>
      </c>
      <c r="K1357" s="295" t="n">
        <v>2520</v>
      </c>
      <c r="L1357" s="296" t="n"/>
      <c r="M1357" s="113" t="n"/>
      <c r="N1357" s="113" t="n"/>
      <c r="O1357" s="113" t="n"/>
      <c r="P1357" s="243" t="n"/>
      <c r="Q1357" s="113" t="n"/>
      <c r="R1357" s="113" t="n"/>
    </row>
    <row r="1358" ht="15.75" customHeight="1">
      <c r="A1358" s="113" t="n"/>
      <c r="B1358" s="146" t="n">
        <v>24</v>
      </c>
      <c r="C1358" s="350" t="n">
        <v>45969</v>
      </c>
      <c r="D1358" s="351" t="n">
        <v>2</v>
      </c>
      <c r="E1358" s="264" t="inlineStr">
        <is>
          <t>MALAGUEÑA</t>
        </is>
      </c>
      <c r="F1358" s="264" t="inlineStr">
        <is>
          <t>CARGUEROS</t>
        </is>
      </c>
      <c r="G1358" s="264" t="n">
        <v>11</v>
      </c>
      <c r="H1358" s="264" t="inlineStr">
        <is>
          <t>ROBINSON PULIDO</t>
        </is>
      </c>
      <c r="I1358" s="264" t="inlineStr">
        <is>
          <t>EQY776</t>
        </is>
      </c>
      <c r="J1358" s="265" t="n">
        <v>0.3541666666666667</v>
      </c>
      <c r="K1358" s="266" t="n">
        <v>2450</v>
      </c>
      <c r="L1358" s="308" t="n"/>
      <c r="M1358" s="113" t="n"/>
      <c r="N1358" s="113" t="n"/>
      <c r="O1358" s="113" t="n"/>
      <c r="P1358" s="243" t="n"/>
      <c r="Q1358" s="113" t="n"/>
      <c r="R1358" s="113" t="n"/>
    </row>
    <row r="1359" ht="15.75" customHeight="1">
      <c r="A1359" s="113" t="n"/>
      <c r="B1359" s="146" t="n">
        <v>24</v>
      </c>
      <c r="C1359" s="350" t="n">
        <v>45969</v>
      </c>
      <c r="D1359" s="351" t="n">
        <v>3</v>
      </c>
      <c r="E1359" s="264" t="inlineStr">
        <is>
          <t>MALAGUEÑA</t>
        </is>
      </c>
      <c r="F1359" s="264" t="inlineStr">
        <is>
          <t>CARGUEROS</t>
        </is>
      </c>
      <c r="G1359" s="264" t="n">
        <v>11</v>
      </c>
      <c r="H1359" s="264" t="inlineStr">
        <is>
          <t>EDWIN ROJAS</t>
        </is>
      </c>
      <c r="I1359" s="264" t="inlineStr">
        <is>
          <t>EQY780</t>
        </is>
      </c>
      <c r="J1359" s="265" t="n">
        <v>0.8854166666666666</v>
      </c>
      <c r="K1359" s="266" t="n">
        <v>3040</v>
      </c>
      <c r="L1359" s="308" t="n"/>
      <c r="M1359" s="113" t="n"/>
      <c r="N1359" s="113" t="n"/>
      <c r="O1359" s="113" t="n"/>
      <c r="P1359" s="243" t="n"/>
      <c r="Q1359" s="113" t="n"/>
      <c r="R1359" s="113" t="n"/>
    </row>
    <row r="1360" ht="15.75" customHeight="1">
      <c r="A1360" s="113" t="n"/>
      <c r="B1360" s="146" t="n">
        <v>24</v>
      </c>
      <c r="C1360" s="350" t="n">
        <v>45969</v>
      </c>
      <c r="D1360" s="351" t="n">
        <v>4</v>
      </c>
      <c r="E1360" s="264" t="inlineStr">
        <is>
          <t>MALAGUEÑA</t>
        </is>
      </c>
      <c r="F1360" s="264" t="inlineStr">
        <is>
          <t>CARGUEROS</t>
        </is>
      </c>
      <c r="G1360" s="264" t="n">
        <v>11</v>
      </c>
      <c r="H1360" s="264" t="inlineStr">
        <is>
          <t>ALEX GOMEZ</t>
        </is>
      </c>
      <c r="I1360" s="264" t="inlineStr">
        <is>
          <t>GZZ673</t>
        </is>
      </c>
      <c r="J1360" s="265" t="n">
        <v>0.9166666666666666</v>
      </c>
      <c r="K1360" s="266" t="n">
        <v>2890</v>
      </c>
      <c r="L1360" s="308" t="n"/>
      <c r="M1360" s="113" t="n"/>
      <c r="N1360" s="113" t="n"/>
      <c r="O1360" s="113" t="n"/>
      <c r="P1360" s="243" t="n"/>
      <c r="Q1360" s="113" t="n"/>
      <c r="R1360" s="113" t="n"/>
    </row>
    <row r="1361" ht="15.75" customHeight="1">
      <c r="A1361" s="113" t="n"/>
      <c r="B1361" s="146" t="n">
        <v>24</v>
      </c>
      <c r="C1361" s="350" t="n">
        <v>45969</v>
      </c>
      <c r="D1361" s="351" t="n">
        <v>5</v>
      </c>
      <c r="E1361" s="264" t="inlineStr">
        <is>
          <t>MALAGUEÑA</t>
        </is>
      </c>
      <c r="F1361" s="264" t="inlineStr">
        <is>
          <t>CARGUEROS</t>
        </is>
      </c>
      <c r="G1361" s="264" t="n">
        <v>11</v>
      </c>
      <c r="H1361" s="264" t="inlineStr">
        <is>
          <t xml:space="preserve">MANUEL QUINTIAN </t>
        </is>
      </c>
      <c r="I1361" s="264" t="inlineStr">
        <is>
          <t>KUS176</t>
        </is>
      </c>
      <c r="J1361" s="265" t="n">
        <v>0.9548611111111112</v>
      </c>
      <c r="K1361" s="266" t="n">
        <v>2890</v>
      </c>
      <c r="L1361" s="308" t="n"/>
      <c r="M1361" s="113" t="n"/>
      <c r="N1361" s="113" t="n"/>
      <c r="O1361" s="113" t="n"/>
      <c r="P1361" s="243" t="n"/>
      <c r="Q1361" s="113" t="n"/>
      <c r="R1361" s="113" t="n"/>
    </row>
    <row r="1362" ht="15.75" customHeight="1">
      <c r="A1362" s="113" t="n"/>
      <c r="B1362" s="146" t="n">
        <v>24</v>
      </c>
      <c r="C1362" s="350" t="n">
        <v>45969</v>
      </c>
      <c r="D1362" s="351" t="n">
        <v>6</v>
      </c>
      <c r="E1362" s="264" t="inlineStr">
        <is>
          <t>MALAGUEÑA</t>
        </is>
      </c>
      <c r="F1362" s="264" t="inlineStr">
        <is>
          <t>CARGUEROS</t>
        </is>
      </c>
      <c r="G1362" s="264" t="n">
        <v>11</v>
      </c>
      <c r="H1362" s="264" t="inlineStr">
        <is>
          <t>ALBERTO LOPEZ</t>
        </is>
      </c>
      <c r="I1362" s="264" t="inlineStr">
        <is>
          <t>EQY777</t>
        </is>
      </c>
      <c r="J1362" s="265" t="n">
        <v>0.4861111111111111</v>
      </c>
      <c r="K1362" s="266" t="n">
        <v>2500</v>
      </c>
      <c r="L1362" s="309" t="n"/>
      <c r="M1362" s="113" t="n"/>
      <c r="N1362" s="113" t="n"/>
      <c r="O1362" s="113" t="n"/>
      <c r="P1362" s="243" t="n"/>
      <c r="Q1362" s="113" t="n"/>
      <c r="R1362" s="113" t="n"/>
    </row>
    <row r="1363" ht="15.75" customHeight="1">
      <c r="A1363" s="113" t="n"/>
      <c r="B1363" s="146" t="n">
        <v>24</v>
      </c>
      <c r="C1363" s="352" t="n">
        <v>45969</v>
      </c>
      <c r="D1363" s="347" t="n">
        <v>7</v>
      </c>
      <c r="E1363" s="282" t="inlineStr">
        <is>
          <t>MALAGUEÑA</t>
        </is>
      </c>
      <c r="F1363" s="282" t="inlineStr">
        <is>
          <t>CARGUEROS</t>
        </is>
      </c>
      <c r="G1363" s="282" t="n">
        <v>11</v>
      </c>
      <c r="H1363" s="282" t="inlineStr">
        <is>
          <t>JAIRO CUBILLOS</t>
        </is>
      </c>
      <c r="I1363" s="282" t="inlineStr">
        <is>
          <t>TLO884</t>
        </is>
      </c>
      <c r="J1363" s="283" t="n">
        <v>0.0125</v>
      </c>
      <c r="K1363" s="284" t="n">
        <v>1380</v>
      </c>
      <c r="L1363" s="353">
        <f>SUM(K1357:K1363)</f>
        <v/>
      </c>
      <c r="M1363" s="113" t="n"/>
      <c r="N1363" s="113" t="n"/>
      <c r="O1363" s="113" t="n"/>
      <c r="P1363" s="243" t="n"/>
      <c r="Q1363" s="113" t="n"/>
      <c r="R1363" s="113" t="n"/>
    </row>
    <row r="1364" ht="15.75" customHeight="1">
      <c r="A1364" s="113" t="n"/>
      <c r="B1364" s="146" t="n">
        <v>25</v>
      </c>
      <c r="C1364" s="348" t="n">
        <v>45971</v>
      </c>
      <c r="D1364" s="349" t="n">
        <v>1</v>
      </c>
      <c r="E1364" s="258" t="inlineStr">
        <is>
          <t xml:space="preserve">SAN JOSE </t>
        </is>
      </c>
      <c r="F1364" s="258" t="inlineStr">
        <is>
          <t>CARGUEROS</t>
        </is>
      </c>
      <c r="G1364" s="258" t="n">
        <v>11</v>
      </c>
      <c r="H1364" s="258" t="inlineStr">
        <is>
          <t>MANUEL QUINTIAN</t>
        </is>
      </c>
      <c r="I1364" s="258" t="inlineStr">
        <is>
          <t>KUS176</t>
        </is>
      </c>
      <c r="J1364" s="259" t="n">
        <v>0.07291666666666667</v>
      </c>
      <c r="K1364" s="260" t="n">
        <v>2800</v>
      </c>
      <c r="L1364" s="292" t="n"/>
      <c r="M1364" s="113" t="n"/>
      <c r="N1364" s="113" t="n"/>
      <c r="O1364" s="113" t="n"/>
      <c r="P1364" s="243" t="n"/>
      <c r="Q1364" s="113" t="n"/>
      <c r="R1364" s="113" t="n"/>
    </row>
    <row r="1365" ht="15.75" customHeight="1">
      <c r="A1365" s="113" t="n"/>
      <c r="B1365" s="146" t="n">
        <v>25</v>
      </c>
      <c r="C1365" s="350" t="n">
        <v>45971</v>
      </c>
      <c r="D1365" s="351" t="n">
        <v>2</v>
      </c>
      <c r="E1365" s="264" t="inlineStr">
        <is>
          <t xml:space="preserve">SAN JOSE </t>
        </is>
      </c>
      <c r="F1365" s="264" t="inlineStr">
        <is>
          <t>CARGUEROS</t>
        </is>
      </c>
      <c r="G1365" s="264" t="n">
        <v>11</v>
      </c>
      <c r="H1365" s="264" t="inlineStr">
        <is>
          <t xml:space="preserve">JOSE SOLER </t>
        </is>
      </c>
      <c r="I1365" s="264" t="inlineStr">
        <is>
          <t>EQY776</t>
        </is>
      </c>
      <c r="J1365" s="265" t="n">
        <v>0.09861111111111111</v>
      </c>
      <c r="K1365" s="266" t="n">
        <v>2800</v>
      </c>
      <c r="L1365" s="308" t="n"/>
      <c r="M1365" s="113" t="n"/>
      <c r="N1365" s="113" t="n"/>
      <c r="O1365" s="113" t="n"/>
      <c r="P1365" s="243" t="n"/>
      <c r="Q1365" s="113" t="n"/>
      <c r="R1365" s="113" t="n"/>
    </row>
    <row r="1366" ht="15.75" customHeight="1">
      <c r="A1366" s="113" t="n"/>
      <c r="B1366" s="146" t="n">
        <v>25</v>
      </c>
      <c r="C1366" s="350" t="n">
        <v>45971</v>
      </c>
      <c r="D1366" s="351" t="n">
        <v>3</v>
      </c>
      <c r="E1366" s="264" t="inlineStr">
        <is>
          <t xml:space="preserve">SAN JOSE </t>
        </is>
      </c>
      <c r="F1366" s="264" t="inlineStr">
        <is>
          <t>CARGUEROS</t>
        </is>
      </c>
      <c r="G1366" s="264" t="n">
        <v>11</v>
      </c>
      <c r="H1366" s="264" t="inlineStr">
        <is>
          <t>YAIR RIVEROS</t>
        </is>
      </c>
      <c r="I1366" s="264" t="inlineStr">
        <is>
          <t>TLO881</t>
        </is>
      </c>
      <c r="J1366" s="265" t="n">
        <v>0.1284722222222222</v>
      </c>
      <c r="K1366" s="266" t="n">
        <v>2800</v>
      </c>
      <c r="L1366" s="308" t="n"/>
      <c r="M1366" s="113" t="n"/>
      <c r="N1366" s="113" t="n"/>
      <c r="O1366" s="113" t="n"/>
      <c r="P1366" s="243" t="n"/>
      <c r="Q1366" s="113" t="n"/>
      <c r="R1366" s="113" t="n"/>
    </row>
    <row r="1367" ht="15.75" customHeight="1">
      <c r="A1367" s="113" t="n"/>
      <c r="B1367" s="146" t="n">
        <v>25</v>
      </c>
      <c r="C1367" s="350" t="n">
        <v>45971</v>
      </c>
      <c r="D1367" s="351" t="n">
        <v>4</v>
      </c>
      <c r="E1367" s="264" t="inlineStr">
        <is>
          <t xml:space="preserve">SAN JOSE </t>
        </is>
      </c>
      <c r="F1367" s="264" t="inlineStr">
        <is>
          <t>CARGUEROS</t>
        </is>
      </c>
      <c r="G1367" s="264" t="n">
        <v>11</v>
      </c>
      <c r="H1367" s="264" t="inlineStr">
        <is>
          <t>ALBERTO GUERRERA</t>
        </is>
      </c>
      <c r="I1367" s="264" t="inlineStr">
        <is>
          <t>TLO882</t>
        </is>
      </c>
      <c r="J1367" s="265" t="n">
        <v>0.1597222222222222</v>
      </c>
      <c r="K1367" s="266" t="n">
        <v>3050</v>
      </c>
      <c r="L1367" s="308" t="n"/>
      <c r="M1367" s="113" t="n"/>
      <c r="N1367" s="113" t="n"/>
      <c r="O1367" s="113" t="n"/>
      <c r="P1367" s="243" t="n"/>
      <c r="Q1367" s="113" t="n"/>
      <c r="R1367" s="113" t="n"/>
    </row>
    <row r="1368" ht="15.75" customHeight="1">
      <c r="A1368" s="113" t="n"/>
      <c r="B1368" s="146" t="n">
        <v>25</v>
      </c>
      <c r="C1368" s="350" t="n">
        <v>45971</v>
      </c>
      <c r="D1368" s="351" t="n">
        <v>5</v>
      </c>
      <c r="E1368" s="264" t="inlineStr">
        <is>
          <t xml:space="preserve">SAN JOSE </t>
        </is>
      </c>
      <c r="F1368" s="264" t="inlineStr">
        <is>
          <t>CARGUEROS</t>
        </is>
      </c>
      <c r="G1368" s="264" t="n">
        <v>11</v>
      </c>
      <c r="H1368" s="264" t="inlineStr">
        <is>
          <t>EDWIN ROJAS</t>
        </is>
      </c>
      <c r="I1368" s="264" t="inlineStr">
        <is>
          <t>TLN248</t>
        </is>
      </c>
      <c r="J1368" s="265" t="n">
        <v>0.2013888888888889</v>
      </c>
      <c r="K1368" s="266" t="n">
        <v>3050</v>
      </c>
      <c r="L1368" s="308" t="n"/>
      <c r="M1368" s="113" t="n"/>
      <c r="N1368" s="113" t="n"/>
      <c r="O1368" s="113" t="n"/>
      <c r="P1368" s="243" t="n"/>
      <c r="Q1368" s="113" t="n"/>
      <c r="R1368" s="113" t="n"/>
    </row>
    <row r="1369" ht="15.75" customHeight="1">
      <c r="A1369" s="113" t="n"/>
      <c r="B1369" s="146" t="n">
        <v>25</v>
      </c>
      <c r="C1369" s="350" t="n">
        <v>45971</v>
      </c>
      <c r="D1369" s="351" t="n">
        <v>6</v>
      </c>
      <c r="E1369" s="264" t="inlineStr">
        <is>
          <t xml:space="preserve">SAN JOSE </t>
        </is>
      </c>
      <c r="F1369" s="264" t="inlineStr">
        <is>
          <t>CARGUEROS</t>
        </is>
      </c>
      <c r="G1369" s="264" t="n">
        <v>11</v>
      </c>
      <c r="H1369" s="264" t="inlineStr">
        <is>
          <t>JAIRO CUBILLOS</t>
        </is>
      </c>
      <c r="I1369" s="264" t="inlineStr">
        <is>
          <t>TLO884</t>
        </is>
      </c>
      <c r="J1369" s="265" t="inlineStr">
        <is>
          <t xml:space="preserve">55:35 AM </t>
        </is>
      </c>
      <c r="K1369" s="266" t="n">
        <v>3050</v>
      </c>
      <c r="L1369" s="308" t="n"/>
      <c r="M1369" s="113" t="n"/>
      <c r="N1369" s="113" t="n"/>
      <c r="O1369" s="113" t="n"/>
      <c r="P1369" s="243" t="n"/>
      <c r="Q1369" s="113" t="n"/>
      <c r="R1369" s="113" t="n"/>
    </row>
    <row r="1370" ht="15.75" customHeight="1">
      <c r="A1370" s="113" t="n"/>
      <c r="B1370" s="146" t="n">
        <v>25</v>
      </c>
      <c r="C1370" s="350" t="n">
        <v>45971</v>
      </c>
      <c r="D1370" s="351" t="n">
        <v>7</v>
      </c>
      <c r="E1370" s="264" t="inlineStr">
        <is>
          <t xml:space="preserve">SAN JOSE </t>
        </is>
      </c>
      <c r="F1370" s="264" t="inlineStr">
        <is>
          <t>CARGUEROS</t>
        </is>
      </c>
      <c r="G1370" s="264" t="n">
        <v>11</v>
      </c>
      <c r="H1370" s="264" t="inlineStr">
        <is>
          <t xml:space="preserve">WILMER PIÑEROS </t>
        </is>
      </c>
      <c r="I1370" s="264" t="inlineStr">
        <is>
          <t>KLN076</t>
        </is>
      </c>
      <c r="J1370" s="265" t="n">
        <v>0.3208333333333334</v>
      </c>
      <c r="K1370" s="266" t="n">
        <v>2830</v>
      </c>
      <c r="L1370" s="308" t="n"/>
      <c r="M1370" s="113" t="n"/>
      <c r="N1370" s="113" t="n"/>
      <c r="O1370" s="113" t="n"/>
      <c r="P1370" s="243" t="n"/>
      <c r="Q1370" s="113" t="n"/>
      <c r="R1370" s="113" t="n"/>
    </row>
    <row r="1371" ht="15.75" customHeight="1">
      <c r="A1371" s="113" t="n"/>
      <c r="B1371" s="146" t="n">
        <v>25</v>
      </c>
      <c r="C1371" s="350" t="n">
        <v>45971</v>
      </c>
      <c r="D1371" s="351" t="n">
        <v>8</v>
      </c>
      <c r="E1371" s="264" t="inlineStr">
        <is>
          <t xml:space="preserve">SAN JOSE </t>
        </is>
      </c>
      <c r="F1371" s="264" t="inlineStr">
        <is>
          <t>CARGUEROS</t>
        </is>
      </c>
      <c r="G1371" s="264" t="n">
        <v>11</v>
      </c>
      <c r="H1371" s="264" t="inlineStr">
        <is>
          <t>MANUEL QUINTIAN</t>
        </is>
      </c>
      <c r="I1371" s="264" t="inlineStr">
        <is>
          <t>KUS176</t>
        </is>
      </c>
      <c r="J1371" s="265" t="n">
        <v>0.3506944444444444</v>
      </c>
      <c r="K1371" s="266" t="n">
        <v>2830</v>
      </c>
      <c r="L1371" s="308" t="n"/>
      <c r="M1371" s="113" t="n"/>
      <c r="N1371" s="113" t="n"/>
      <c r="O1371" s="113" t="n"/>
      <c r="P1371" s="243" t="n"/>
      <c r="Q1371" s="113" t="n"/>
      <c r="R1371" s="113" t="n"/>
    </row>
    <row r="1372" ht="15.75" customHeight="1">
      <c r="A1372" s="113" t="n"/>
      <c r="B1372" s="146" t="n">
        <v>25</v>
      </c>
      <c r="C1372" s="350" t="n">
        <v>45971</v>
      </c>
      <c r="D1372" s="351" t="n">
        <v>9</v>
      </c>
      <c r="E1372" s="264" t="inlineStr">
        <is>
          <t xml:space="preserve">SAN JOSE </t>
        </is>
      </c>
      <c r="F1372" s="264" t="inlineStr">
        <is>
          <t>CARGUEROS</t>
        </is>
      </c>
      <c r="G1372" s="264" t="n">
        <v>11</v>
      </c>
      <c r="H1372" s="264" t="inlineStr">
        <is>
          <t xml:space="preserve">DIEGO NIÑO </t>
        </is>
      </c>
      <c r="I1372" s="264" t="inlineStr">
        <is>
          <t>GZZ673</t>
        </is>
      </c>
      <c r="J1372" s="265" t="n">
        <v>0.3819444444444444</v>
      </c>
      <c r="K1372" s="266" t="n">
        <v>2830</v>
      </c>
      <c r="L1372" s="308" t="n"/>
      <c r="M1372" s="113" t="n"/>
      <c r="N1372" s="113" t="n"/>
      <c r="O1372" s="113" t="n"/>
      <c r="P1372" s="243" t="n"/>
      <c r="Q1372" s="113" t="n"/>
      <c r="R1372" s="113" t="n"/>
    </row>
    <row r="1373" ht="15.75" customHeight="1">
      <c r="A1373" s="113" t="n"/>
      <c r="B1373" s="146" t="n">
        <v>25</v>
      </c>
      <c r="C1373" s="350" t="n">
        <v>45971</v>
      </c>
      <c r="D1373" s="351" t="n">
        <v>10</v>
      </c>
      <c r="E1373" s="264" t="inlineStr">
        <is>
          <t xml:space="preserve">SAN JOSE </t>
        </is>
      </c>
      <c r="F1373" s="264" t="inlineStr">
        <is>
          <t>CARGUEROS</t>
        </is>
      </c>
      <c r="G1373" s="264" t="n">
        <v>11</v>
      </c>
      <c r="H1373" s="264" t="inlineStr">
        <is>
          <t xml:space="preserve">JOSE SOLER </t>
        </is>
      </c>
      <c r="I1373" s="264" t="inlineStr">
        <is>
          <t>EQY776</t>
        </is>
      </c>
      <c r="J1373" s="265" t="n">
        <v>0.4131944444444444</v>
      </c>
      <c r="K1373" s="266" t="n">
        <v>2780</v>
      </c>
      <c r="L1373" s="308" t="n"/>
      <c r="M1373" s="113" t="n"/>
      <c r="N1373" s="113" t="n"/>
      <c r="O1373" s="113" t="n"/>
      <c r="P1373" s="243" t="n"/>
      <c r="Q1373" s="113" t="n"/>
      <c r="R1373" s="113" t="n"/>
    </row>
    <row r="1374" ht="15.75" customHeight="1">
      <c r="A1374" s="113" t="n"/>
      <c r="B1374" s="146" t="n">
        <v>25</v>
      </c>
      <c r="C1374" s="350" t="n">
        <v>45971</v>
      </c>
      <c r="D1374" s="351" t="n">
        <v>11</v>
      </c>
      <c r="E1374" s="264" t="inlineStr">
        <is>
          <t xml:space="preserve">SAN JOSE </t>
        </is>
      </c>
      <c r="F1374" s="264" t="inlineStr">
        <is>
          <t>CARGUEROS</t>
        </is>
      </c>
      <c r="G1374" s="264" t="n">
        <v>11</v>
      </c>
      <c r="H1374" s="264" t="inlineStr">
        <is>
          <t xml:space="preserve">JAIR RIVEROS </t>
        </is>
      </c>
      <c r="I1374" s="264" t="inlineStr">
        <is>
          <t>TLO881</t>
        </is>
      </c>
      <c r="J1374" s="265" t="n">
        <v>0.4479166666666667</v>
      </c>
      <c r="K1374" s="266" t="n">
        <v>2780</v>
      </c>
      <c r="L1374" s="309" t="n"/>
      <c r="M1374" s="113" t="n"/>
      <c r="N1374" s="113" t="n"/>
      <c r="O1374" s="113" t="n"/>
      <c r="P1374" s="243" t="n"/>
      <c r="Q1374" s="113" t="n"/>
      <c r="R1374" s="113" t="n"/>
    </row>
    <row r="1375" ht="15.75" customHeight="1">
      <c r="A1375" s="113" t="n"/>
      <c r="B1375" s="146" t="n">
        <v>25</v>
      </c>
      <c r="C1375" s="352" t="n">
        <v>45971</v>
      </c>
      <c r="D1375" s="347" t="n">
        <v>12</v>
      </c>
      <c r="E1375" s="282" t="inlineStr">
        <is>
          <t xml:space="preserve">SAN JOSE </t>
        </is>
      </c>
      <c r="F1375" s="282" t="inlineStr">
        <is>
          <t>CARGUEROS</t>
        </is>
      </c>
      <c r="G1375" s="282" t="n">
        <v>11</v>
      </c>
      <c r="H1375" s="282" t="inlineStr">
        <is>
          <t>JOSE HERRERA</t>
        </is>
      </c>
      <c r="I1375" s="282" t="inlineStr">
        <is>
          <t>TYLO882</t>
        </is>
      </c>
      <c r="J1375" s="283" t="n">
        <v>0.9583333333333334</v>
      </c>
      <c r="K1375" s="284" t="n">
        <v>2490</v>
      </c>
      <c r="L1375" s="353">
        <f>SUM(K1364:K1375)</f>
        <v/>
      </c>
      <c r="M1375" s="113" t="n"/>
      <c r="N1375" s="113" t="n"/>
      <c r="O1375" s="113" t="n"/>
      <c r="P1375" s="243" t="n"/>
      <c r="Q1375" s="113" t="n"/>
      <c r="R1375" s="113" t="n"/>
    </row>
    <row r="1376" ht="15.75" customHeight="1">
      <c r="A1376" s="113" t="n"/>
      <c r="B1376" s="146" t="n">
        <v>25</v>
      </c>
      <c r="C1376" s="348" t="n">
        <v>45972</v>
      </c>
      <c r="D1376" s="349" t="n">
        <v>1</v>
      </c>
      <c r="E1376" s="258" t="inlineStr">
        <is>
          <t>MALAGUEÑA</t>
        </is>
      </c>
      <c r="F1376" s="258" t="inlineStr">
        <is>
          <t>CARGUEROS</t>
        </is>
      </c>
      <c r="G1376" s="258" t="n">
        <v>11</v>
      </c>
      <c r="H1376" s="258" t="inlineStr">
        <is>
          <t xml:space="preserve">JHON ARIAS </t>
        </is>
      </c>
      <c r="I1376" s="258" t="inlineStr">
        <is>
          <t>TLN248</t>
        </is>
      </c>
      <c r="J1376" s="259" t="n">
        <v>0</v>
      </c>
      <c r="K1376" s="260" t="n">
        <v>3070</v>
      </c>
      <c r="L1376" s="292" t="n"/>
      <c r="M1376" s="113" t="n"/>
      <c r="N1376" s="113" t="n"/>
      <c r="O1376" s="113" t="n"/>
      <c r="P1376" s="243" t="n"/>
      <c r="Q1376" s="113" t="n"/>
      <c r="R1376" s="113" t="n"/>
    </row>
    <row r="1377" ht="15.75" customHeight="1">
      <c r="A1377" s="113" t="n"/>
      <c r="B1377" s="146" t="n">
        <v>25</v>
      </c>
      <c r="C1377" s="350" t="n">
        <v>45972</v>
      </c>
      <c r="D1377" s="351" t="n">
        <v>2</v>
      </c>
      <c r="E1377" s="264" t="inlineStr">
        <is>
          <t xml:space="preserve">SAN JOSE </t>
        </is>
      </c>
      <c r="F1377" s="264" t="inlineStr">
        <is>
          <t>CARGUEROS</t>
        </is>
      </c>
      <c r="G1377" s="264" t="n">
        <v>11</v>
      </c>
      <c r="H1377" s="264" t="inlineStr">
        <is>
          <t>ROBINSON PULIDO</t>
        </is>
      </c>
      <c r="I1377" s="264" t="inlineStr">
        <is>
          <t>TLO881</t>
        </is>
      </c>
      <c r="J1377" s="265" t="n">
        <v>0.03819444444444445</v>
      </c>
      <c r="K1377" s="266" t="n">
        <v>3220</v>
      </c>
      <c r="L1377" s="308" t="n"/>
      <c r="M1377" s="113" t="n"/>
      <c r="N1377" s="113" t="n"/>
      <c r="O1377" s="113" t="n"/>
      <c r="P1377" s="243" t="n"/>
      <c r="Q1377" s="113" t="n"/>
      <c r="R1377" s="113" t="n"/>
    </row>
    <row r="1378" ht="15.75" customHeight="1">
      <c r="A1378" s="113" t="n"/>
      <c r="B1378" s="146" t="n">
        <v>25</v>
      </c>
      <c r="C1378" s="350" t="n">
        <v>45972</v>
      </c>
      <c r="D1378" s="351" t="n">
        <v>3</v>
      </c>
      <c r="E1378" s="264" t="inlineStr">
        <is>
          <t xml:space="preserve">SAN JOSE </t>
        </is>
      </c>
      <c r="F1378" s="264" t="inlineStr">
        <is>
          <t>CARGUEROS</t>
        </is>
      </c>
      <c r="G1378" s="264" t="n">
        <v>11</v>
      </c>
      <c r="H1378" s="264" t="inlineStr">
        <is>
          <t>ALEX GOMEZ</t>
        </is>
      </c>
      <c r="I1378" s="264" t="inlineStr">
        <is>
          <t>GZZ673</t>
        </is>
      </c>
      <c r="J1378" s="265" t="n">
        <v>0.3506944444444444</v>
      </c>
      <c r="K1378" s="266" t="n">
        <v>2880</v>
      </c>
      <c r="L1378" s="308" t="n"/>
      <c r="M1378" s="113" t="n"/>
      <c r="N1378" s="113" t="n"/>
      <c r="O1378" s="113" t="n"/>
      <c r="P1378" s="243" t="n"/>
      <c r="Q1378" s="113" t="n"/>
      <c r="R1378" s="113" t="n"/>
    </row>
    <row r="1379" ht="15.75" customHeight="1">
      <c r="A1379" s="113" t="n"/>
      <c r="B1379" s="146" t="n">
        <v>25</v>
      </c>
      <c r="C1379" s="350" t="n">
        <v>45972</v>
      </c>
      <c r="D1379" s="351" t="n">
        <v>4</v>
      </c>
      <c r="E1379" s="264" t="inlineStr">
        <is>
          <t xml:space="preserve">SAN JOSE </t>
        </is>
      </c>
      <c r="F1379" s="264" t="inlineStr">
        <is>
          <t>CARGUEROS</t>
        </is>
      </c>
      <c r="G1379" s="264" t="n">
        <v>11</v>
      </c>
      <c r="H1379" s="264" t="inlineStr">
        <is>
          <t xml:space="preserve">EDWIN ROJAS </t>
        </is>
      </c>
      <c r="I1379" s="264" t="inlineStr">
        <is>
          <t>EQY780</t>
        </is>
      </c>
      <c r="J1379" s="265" t="n">
        <v>0.2395833333333333</v>
      </c>
      <c r="K1379" s="266" t="n">
        <v>2880</v>
      </c>
      <c r="L1379" s="308" t="n"/>
      <c r="M1379" s="113" t="n"/>
      <c r="N1379" s="113" t="n"/>
      <c r="O1379" s="113" t="n"/>
      <c r="P1379" s="243" t="n"/>
      <c r="Q1379" s="113" t="n"/>
      <c r="R1379" s="113" t="n"/>
    </row>
    <row r="1380" ht="15.75" customHeight="1">
      <c r="A1380" s="113" t="n"/>
      <c r="B1380" s="146" t="n">
        <v>25</v>
      </c>
      <c r="C1380" s="350" t="n">
        <v>45972</v>
      </c>
      <c r="D1380" s="351" t="n">
        <v>5</v>
      </c>
      <c r="E1380" s="264" t="inlineStr">
        <is>
          <t xml:space="preserve">SAN JOSE </t>
        </is>
      </c>
      <c r="F1380" s="264" t="inlineStr">
        <is>
          <t>CARGUEROS</t>
        </is>
      </c>
      <c r="G1380" s="264" t="n">
        <v>11</v>
      </c>
      <c r="H1380" s="264" t="inlineStr">
        <is>
          <t xml:space="preserve">HENRY ROMERO </t>
        </is>
      </c>
      <c r="I1380" s="264" t="inlineStr">
        <is>
          <t>EQY781</t>
        </is>
      </c>
      <c r="J1380" s="265" t="n">
        <v>0.15625</v>
      </c>
      <c r="K1380" s="266" t="n">
        <v>3220</v>
      </c>
      <c r="L1380" s="308" t="n"/>
      <c r="M1380" s="113" t="n"/>
      <c r="N1380" s="113" t="n"/>
      <c r="O1380" s="113" t="n"/>
      <c r="P1380" s="243" t="n"/>
      <c r="Q1380" s="113" t="n"/>
      <c r="R1380" s="113" t="n"/>
    </row>
    <row r="1381" ht="15.75" customHeight="1">
      <c r="A1381" s="113" t="n"/>
      <c r="B1381" s="146" t="n">
        <v>25</v>
      </c>
      <c r="C1381" s="350" t="n">
        <v>45972</v>
      </c>
      <c r="D1381" s="351" t="n">
        <v>6</v>
      </c>
      <c r="E1381" s="264" t="inlineStr">
        <is>
          <t xml:space="preserve">SAN JOSE </t>
        </is>
      </c>
      <c r="F1381" s="264" t="inlineStr">
        <is>
          <t>CARGUEROS</t>
        </is>
      </c>
      <c r="G1381" s="264" t="n">
        <v>11</v>
      </c>
      <c r="H1381" s="264" t="inlineStr">
        <is>
          <t xml:space="preserve">JOSE SOLER </t>
        </is>
      </c>
      <c r="I1381" s="264" t="inlineStr">
        <is>
          <t>EQY776</t>
        </is>
      </c>
      <c r="J1381" s="265" t="n">
        <v>0.2708333333333333</v>
      </c>
      <c r="K1381" s="266" t="n">
        <v>2880</v>
      </c>
      <c r="L1381" s="309" t="n"/>
      <c r="M1381" s="113" t="n"/>
      <c r="N1381" s="113" t="n"/>
      <c r="O1381" s="113" t="n"/>
      <c r="P1381" s="243" t="n"/>
      <c r="Q1381" s="113" t="n"/>
      <c r="R1381" s="113" t="n"/>
    </row>
    <row r="1382" ht="15.75" customHeight="1">
      <c r="A1382" s="113" t="n"/>
      <c r="B1382" s="146" t="n">
        <v>25</v>
      </c>
      <c r="C1382" s="356" t="n">
        <v>45972</v>
      </c>
      <c r="D1382" s="357" t="n">
        <v>7</v>
      </c>
      <c r="E1382" s="271" t="inlineStr">
        <is>
          <t xml:space="preserve">SAN JOSE </t>
        </is>
      </c>
      <c r="F1382" s="271" t="inlineStr">
        <is>
          <t>CARGUEROS</t>
        </is>
      </c>
      <c r="G1382" s="271" t="n">
        <v>11</v>
      </c>
      <c r="H1382" s="271" t="inlineStr">
        <is>
          <t>MANUEL QUINTIAN</t>
        </is>
      </c>
      <c r="I1382" s="271" t="inlineStr">
        <is>
          <t>KUS176</t>
        </is>
      </c>
      <c r="J1382" s="272" t="n">
        <v>0.1909722222222222</v>
      </c>
      <c r="K1382" s="273" t="n">
        <v>3220</v>
      </c>
      <c r="L1382" s="378">
        <f>SUM(K1376:K1382)</f>
        <v/>
      </c>
      <c r="M1382" s="113" t="n"/>
      <c r="N1382" s="113" t="n"/>
      <c r="O1382" s="113" t="n"/>
      <c r="P1382" s="243" t="n"/>
      <c r="Q1382" s="113" t="n"/>
      <c r="R1382" s="113" t="n"/>
    </row>
    <row r="1383" ht="15.75" customHeight="1">
      <c r="A1383" s="113" t="n"/>
      <c r="B1383" s="146" t="n">
        <v>25</v>
      </c>
      <c r="C1383" s="348" t="n">
        <v>45973</v>
      </c>
      <c r="D1383" s="349" t="n">
        <v>1</v>
      </c>
      <c r="E1383" s="258" t="inlineStr">
        <is>
          <t>MALAGUEÑA</t>
        </is>
      </c>
      <c r="F1383" s="258" t="inlineStr">
        <is>
          <t>CARGUEROS</t>
        </is>
      </c>
      <c r="G1383" s="258" t="n">
        <v>11</v>
      </c>
      <c r="H1383" s="258" t="inlineStr">
        <is>
          <t xml:space="preserve">JAIRO CUBILLOS </t>
        </is>
      </c>
      <c r="I1383" s="258" t="inlineStr">
        <is>
          <t>TLO884</t>
        </is>
      </c>
      <c r="J1383" s="259" t="n">
        <v>0.04166666666666666</v>
      </c>
      <c r="K1383" s="260" t="n">
        <v>3585</v>
      </c>
      <c r="L1383" s="292" t="n"/>
      <c r="M1383" s="113" t="n"/>
      <c r="N1383" s="113" t="n"/>
      <c r="O1383" s="113" t="n"/>
      <c r="P1383" s="243" t="n"/>
      <c r="Q1383" s="113" t="n"/>
      <c r="R1383" s="113" t="n"/>
    </row>
    <row r="1384" ht="15.75" customHeight="1">
      <c r="A1384" s="113" t="n"/>
      <c r="B1384" s="146" t="n">
        <v>25</v>
      </c>
      <c r="C1384" s="350" t="n">
        <v>45973</v>
      </c>
      <c r="D1384" s="351" t="n">
        <v>2</v>
      </c>
      <c r="E1384" s="264" t="inlineStr">
        <is>
          <t>MALAGUEÑA</t>
        </is>
      </c>
      <c r="F1384" s="264" t="inlineStr">
        <is>
          <t>CARGUEROS</t>
        </is>
      </c>
      <c r="G1384" s="264" t="n">
        <v>11</v>
      </c>
      <c r="H1384" s="264" t="inlineStr">
        <is>
          <t xml:space="preserve">JOSE SOLER </t>
        </is>
      </c>
      <c r="I1384" s="264" t="inlineStr">
        <is>
          <t>TLO882</t>
        </is>
      </c>
      <c r="J1384" s="265" t="inlineStr">
        <is>
          <t xml:space="preserve">2:217 AM </t>
        </is>
      </c>
      <c r="K1384" s="266" t="n">
        <v>3585</v>
      </c>
      <c r="L1384" s="308" t="n"/>
      <c r="M1384" s="113" t="n"/>
      <c r="N1384" s="113" t="n"/>
      <c r="O1384" s="113" t="n"/>
      <c r="P1384" s="243" t="n"/>
      <c r="Q1384" s="113" t="n"/>
      <c r="R1384" s="113" t="n"/>
    </row>
    <row r="1385" ht="15.75" customHeight="1">
      <c r="A1385" s="113" t="n"/>
      <c r="B1385" s="146" t="n">
        <v>25</v>
      </c>
      <c r="C1385" s="350" t="n">
        <v>45973</v>
      </c>
      <c r="D1385" s="351" t="n">
        <v>3</v>
      </c>
      <c r="E1385" s="264" t="inlineStr">
        <is>
          <t>MALAGUEÑA</t>
        </is>
      </c>
      <c r="F1385" s="264" t="inlineStr">
        <is>
          <t>CARGUEROS</t>
        </is>
      </c>
      <c r="G1385" s="264" t="n">
        <v>11</v>
      </c>
      <c r="H1385" s="264" t="inlineStr">
        <is>
          <t>ALEXANDER CHAGUALA</t>
        </is>
      </c>
      <c r="I1385" s="264" t="inlineStr">
        <is>
          <t>KLN076</t>
        </is>
      </c>
      <c r="J1385" s="265" t="n">
        <v>0.09722222222222222</v>
      </c>
      <c r="K1385" s="266" t="n">
        <v>3210</v>
      </c>
      <c r="L1385" s="308" t="n"/>
      <c r="M1385" s="113" t="n"/>
      <c r="N1385" s="113" t="n"/>
      <c r="O1385" s="113" t="n"/>
      <c r="P1385" s="243" t="n"/>
      <c r="Q1385" s="113" t="n"/>
      <c r="R1385" s="113" t="n"/>
    </row>
    <row r="1386" ht="15.75" customHeight="1">
      <c r="A1386" s="113" t="n"/>
      <c r="B1386" s="146" t="n">
        <v>25</v>
      </c>
      <c r="C1386" s="350" t="n">
        <v>45973</v>
      </c>
      <c r="D1386" s="351" t="n">
        <v>4</v>
      </c>
      <c r="E1386" s="264" t="inlineStr">
        <is>
          <t>MALAGUEÑA</t>
        </is>
      </c>
      <c r="F1386" s="264" t="inlineStr">
        <is>
          <t>CARGUEROS</t>
        </is>
      </c>
      <c r="G1386" s="264" t="n">
        <v>11</v>
      </c>
      <c r="H1386" s="264" t="inlineStr">
        <is>
          <t>DIEGO NIÑO</t>
        </is>
      </c>
      <c r="I1386" s="264" t="inlineStr">
        <is>
          <t>GZZ673</t>
        </is>
      </c>
      <c r="J1386" s="265" t="n">
        <v>0.2013888888888889</v>
      </c>
      <c r="K1386" s="266" t="n">
        <v>3210</v>
      </c>
      <c r="L1386" s="308" t="n"/>
      <c r="M1386" s="113" t="n"/>
      <c r="N1386" s="113" t="n"/>
      <c r="O1386" s="113" t="n"/>
      <c r="P1386" s="243" t="n"/>
      <c r="Q1386" s="113" t="n"/>
      <c r="R1386" s="113" t="n"/>
    </row>
    <row r="1387" ht="15.75" customHeight="1">
      <c r="A1387" s="113" t="n"/>
      <c r="B1387" s="146" t="n">
        <v>25</v>
      </c>
      <c r="C1387" s="350" t="n">
        <v>45973</v>
      </c>
      <c r="D1387" s="351" t="n">
        <v>5</v>
      </c>
      <c r="E1387" s="264" t="inlineStr">
        <is>
          <t>MALAGUEÑA</t>
        </is>
      </c>
      <c r="F1387" s="264" t="inlineStr">
        <is>
          <t>CARGUEROS</t>
        </is>
      </c>
      <c r="G1387" s="264" t="n">
        <v>11</v>
      </c>
      <c r="H1387" s="264" t="inlineStr">
        <is>
          <t xml:space="preserve">FERNANDO OYUELA </t>
        </is>
      </c>
      <c r="I1387" s="264" t="inlineStr">
        <is>
          <t>EQY778</t>
        </is>
      </c>
      <c r="J1387" s="265" t="n">
        <v>0.1770833333333333</v>
      </c>
      <c r="K1387" s="266" t="n">
        <v>3210</v>
      </c>
      <c r="L1387" s="308" t="n"/>
      <c r="M1387" s="113" t="n"/>
      <c r="N1387" s="113" t="n"/>
      <c r="O1387" s="113" t="n"/>
      <c r="P1387" s="243" t="n"/>
      <c r="Q1387" s="113" t="n"/>
      <c r="R1387" s="113" t="n"/>
    </row>
    <row r="1388" ht="15.75" customHeight="1">
      <c r="A1388" s="113" t="n"/>
      <c r="B1388" s="146" t="n">
        <v>25</v>
      </c>
      <c r="C1388" s="350" t="n">
        <v>45973</v>
      </c>
      <c r="D1388" s="351" t="n">
        <v>6</v>
      </c>
      <c r="E1388" s="264" t="inlineStr">
        <is>
          <t>MALAGUEÑA</t>
        </is>
      </c>
      <c r="F1388" s="264" t="inlineStr">
        <is>
          <t>CARGUEROS</t>
        </is>
      </c>
      <c r="G1388" s="264" t="n">
        <v>11</v>
      </c>
      <c r="H1388" s="264" t="inlineStr">
        <is>
          <t xml:space="preserve">JOSE SOLER </t>
        </is>
      </c>
      <c r="I1388" s="264" t="inlineStr">
        <is>
          <t>EQY776</t>
        </is>
      </c>
      <c r="J1388" s="265" t="n">
        <v>0.2534722222222222</v>
      </c>
      <c r="K1388" s="266" t="n">
        <v>3235</v>
      </c>
      <c r="L1388" s="308" t="n"/>
      <c r="M1388" s="113" t="n"/>
      <c r="N1388" s="113" t="n"/>
      <c r="O1388" s="113" t="n"/>
      <c r="P1388" s="243" t="n"/>
      <c r="Q1388" s="113" t="n"/>
      <c r="R1388" s="113" t="n"/>
    </row>
    <row r="1389" ht="15.75" customHeight="1">
      <c r="A1389" s="113" t="n"/>
      <c r="B1389" s="146" t="n">
        <v>25</v>
      </c>
      <c r="C1389" s="350" t="n">
        <v>45973</v>
      </c>
      <c r="D1389" s="351" t="n">
        <v>7</v>
      </c>
      <c r="E1389" s="264" t="inlineStr">
        <is>
          <t>MALAGUEÑA</t>
        </is>
      </c>
      <c r="F1389" s="264" t="inlineStr">
        <is>
          <t>CARGUEROS</t>
        </is>
      </c>
      <c r="G1389" s="264" t="n">
        <v>11</v>
      </c>
      <c r="H1389" s="264" t="inlineStr">
        <is>
          <t>ALEX GOMEZ</t>
        </is>
      </c>
      <c r="I1389" s="264" t="inlineStr">
        <is>
          <t>TLO881</t>
        </is>
      </c>
      <c r="J1389" s="265" t="n">
        <v>0.3020833333333333</v>
      </c>
      <c r="K1389" s="266" t="n">
        <v>2560</v>
      </c>
      <c r="L1389" s="308" t="n"/>
      <c r="M1389" s="113" t="n"/>
      <c r="N1389" s="113" t="n"/>
      <c r="O1389" s="113" t="n"/>
      <c r="P1389" s="243" t="n"/>
      <c r="Q1389" s="113" t="n"/>
      <c r="R1389" s="113" t="n"/>
    </row>
    <row r="1390" ht="15.75" customHeight="1">
      <c r="A1390" s="113" t="n"/>
      <c r="B1390" s="146" t="n">
        <v>25</v>
      </c>
      <c r="C1390" s="350" t="n">
        <v>45973</v>
      </c>
      <c r="D1390" s="351" t="n">
        <v>8</v>
      </c>
      <c r="E1390" s="264" t="inlineStr">
        <is>
          <t>MALAGUEÑA</t>
        </is>
      </c>
      <c r="F1390" s="264" t="inlineStr">
        <is>
          <t>CARGUEROS</t>
        </is>
      </c>
      <c r="G1390" s="264" t="n">
        <v>11</v>
      </c>
      <c r="H1390" s="264" t="inlineStr">
        <is>
          <t>YAIR RIVEROS</t>
        </is>
      </c>
      <c r="I1390" s="264" t="inlineStr">
        <is>
          <t>TLN181</t>
        </is>
      </c>
      <c r="J1390" s="265" t="n">
        <v>0.3506944444444444</v>
      </c>
      <c r="K1390" s="266" t="n">
        <v>2560</v>
      </c>
      <c r="L1390" s="308" t="n"/>
      <c r="M1390" s="113" t="n"/>
      <c r="N1390" s="113" t="n"/>
      <c r="O1390" s="113" t="n"/>
      <c r="P1390" s="243" t="n"/>
      <c r="Q1390" s="113" t="n"/>
      <c r="R1390" s="113" t="n"/>
    </row>
    <row r="1391" ht="15.75" customHeight="1">
      <c r="A1391" s="113" t="n"/>
      <c r="B1391" s="146" t="n">
        <v>25</v>
      </c>
      <c r="C1391" s="350" t="n">
        <v>45973</v>
      </c>
      <c r="D1391" s="351" t="n">
        <v>9</v>
      </c>
      <c r="E1391" s="264" t="inlineStr">
        <is>
          <t>MALAGUEÑA</t>
        </is>
      </c>
      <c r="F1391" s="264" t="inlineStr">
        <is>
          <t>CARGUEROS</t>
        </is>
      </c>
      <c r="G1391" s="264" t="n">
        <v>11</v>
      </c>
      <c r="H1391" s="264" t="inlineStr">
        <is>
          <t>MANUEL QUINDIAN</t>
        </is>
      </c>
      <c r="I1391" s="264" t="inlineStr">
        <is>
          <t>KUS176</t>
        </is>
      </c>
      <c r="J1391" s="265" t="n">
        <v>0.3854166666666667</v>
      </c>
      <c r="K1391" s="266" t="n">
        <v>2560</v>
      </c>
      <c r="L1391" s="308" t="n"/>
      <c r="M1391" s="113" t="n"/>
      <c r="N1391" s="113" t="n"/>
      <c r="O1391" s="113" t="n"/>
      <c r="P1391" s="243" t="n"/>
      <c r="Q1391" s="113" t="n"/>
      <c r="R1391" s="113" t="n"/>
    </row>
    <row r="1392" ht="15.75" customHeight="1">
      <c r="A1392" s="113" t="n"/>
      <c r="B1392" s="146" t="n">
        <v>25</v>
      </c>
      <c r="C1392" s="350" t="n">
        <v>45973</v>
      </c>
      <c r="D1392" s="351" t="n">
        <v>10</v>
      </c>
      <c r="E1392" s="264" t="inlineStr">
        <is>
          <t>MALAGUEÑA</t>
        </is>
      </c>
      <c r="F1392" s="264" t="inlineStr">
        <is>
          <t>CARGUEROS</t>
        </is>
      </c>
      <c r="G1392" s="264" t="n">
        <v>10</v>
      </c>
      <c r="H1392" s="264" t="inlineStr">
        <is>
          <t xml:space="preserve">WILMER PIÑEROS </t>
        </is>
      </c>
      <c r="I1392" s="264" t="inlineStr">
        <is>
          <t>KNL076</t>
        </is>
      </c>
      <c r="J1392" s="265" t="n">
        <v>0.4305555555555556</v>
      </c>
      <c r="K1392" s="266" t="n">
        <v>2560</v>
      </c>
      <c r="L1392" s="309" t="n"/>
      <c r="M1392" s="113" t="n"/>
      <c r="N1392" s="113" t="n"/>
      <c r="O1392" s="113" t="n"/>
      <c r="P1392" s="243" t="n"/>
      <c r="Q1392" s="113" t="n"/>
      <c r="R1392" s="113" t="n"/>
    </row>
    <row r="1393" ht="15.75" customHeight="1">
      <c r="A1393" s="113" t="n"/>
      <c r="B1393" s="146" t="n">
        <v>25</v>
      </c>
      <c r="C1393" s="352" t="n">
        <v>45973</v>
      </c>
      <c r="D1393" s="347" t="n">
        <v>11</v>
      </c>
      <c r="E1393" s="282" t="inlineStr">
        <is>
          <t xml:space="preserve">SAN JOSE </t>
        </is>
      </c>
      <c r="F1393" s="282" t="inlineStr">
        <is>
          <t>ABONEROS</t>
        </is>
      </c>
      <c r="G1393" s="282" t="n">
        <v>11</v>
      </c>
      <c r="H1393" s="282" t="inlineStr">
        <is>
          <t xml:space="preserve">WILMER PIÑEROS </t>
        </is>
      </c>
      <c r="I1393" s="282" t="inlineStr">
        <is>
          <t>TLO882</t>
        </is>
      </c>
      <c r="J1393" s="283" t="n">
        <v>0.5354166666666667</v>
      </c>
      <c r="K1393" s="284" t="n">
        <v>3267</v>
      </c>
      <c r="L1393" s="353">
        <f>SUM(K1383:K1393)</f>
        <v/>
      </c>
      <c r="M1393" s="113" t="n"/>
      <c r="N1393" s="113" t="n"/>
      <c r="O1393" s="113" t="n"/>
      <c r="P1393" s="243" t="n"/>
      <c r="Q1393" s="113" t="n"/>
      <c r="R1393" s="113" t="n"/>
    </row>
    <row r="1394" ht="15.75" customHeight="1">
      <c r="A1394" s="113" t="n"/>
      <c r="B1394" s="146" t="n">
        <v>25</v>
      </c>
      <c r="C1394" s="348" t="n">
        <v>45974</v>
      </c>
      <c r="D1394" s="349" t="n">
        <v>1</v>
      </c>
      <c r="E1394" s="258" t="inlineStr">
        <is>
          <t xml:space="preserve">SAN JOSE </t>
        </is>
      </c>
      <c r="F1394" s="258" t="inlineStr">
        <is>
          <t>CARGUEROS</t>
        </is>
      </c>
      <c r="G1394" s="258" t="n">
        <v>11</v>
      </c>
      <c r="H1394" s="258" t="inlineStr">
        <is>
          <t>ALBERTO LOPEZ</t>
        </is>
      </c>
      <c r="I1394" s="258" t="inlineStr">
        <is>
          <t>EQY777</t>
        </is>
      </c>
      <c r="J1394" s="259" t="n">
        <v>0.2465277777777778</v>
      </c>
      <c r="K1394" s="260" t="n">
        <v>3240</v>
      </c>
      <c r="L1394" s="292" t="n"/>
      <c r="M1394" s="113" t="n"/>
      <c r="N1394" s="113" t="n"/>
      <c r="O1394" s="113" t="n"/>
      <c r="P1394" s="243" t="n"/>
      <c r="Q1394" s="113" t="n"/>
      <c r="R1394" s="113" t="n"/>
    </row>
    <row r="1395" ht="15.75" customHeight="1">
      <c r="A1395" s="113" t="n"/>
      <c r="B1395" s="146" t="n">
        <v>25</v>
      </c>
      <c r="C1395" s="350" t="n">
        <v>45974</v>
      </c>
      <c r="D1395" s="351" t="n">
        <v>2</v>
      </c>
      <c r="E1395" s="264" t="inlineStr">
        <is>
          <t xml:space="preserve">SAN JOSE </t>
        </is>
      </c>
      <c r="F1395" s="264" t="inlineStr">
        <is>
          <t>CARGUEROS</t>
        </is>
      </c>
      <c r="G1395" s="264" t="n">
        <v>11</v>
      </c>
      <c r="H1395" s="264" t="inlineStr">
        <is>
          <t>HENRY ROMERO</t>
        </is>
      </c>
      <c r="I1395" s="264" t="inlineStr">
        <is>
          <t>EQY781</t>
        </is>
      </c>
      <c r="J1395" s="265" t="n">
        <v>0.25</v>
      </c>
      <c r="K1395" s="266" t="n">
        <v>3240</v>
      </c>
      <c r="L1395" s="308" t="n"/>
      <c r="M1395" s="113" t="n"/>
      <c r="N1395" s="113" t="n"/>
      <c r="O1395" s="113" t="n"/>
      <c r="P1395" s="243" t="n"/>
      <c r="Q1395" s="113" t="n"/>
      <c r="R1395" s="113" t="n"/>
    </row>
    <row r="1396" ht="15.75" customHeight="1">
      <c r="A1396" s="113" t="n"/>
      <c r="B1396" s="146" t="n">
        <v>25</v>
      </c>
      <c r="C1396" s="350" t="n">
        <v>45974</v>
      </c>
      <c r="D1396" s="351" t="n">
        <v>3</v>
      </c>
      <c r="E1396" s="264" t="inlineStr">
        <is>
          <t xml:space="preserve">SAN JOSE </t>
        </is>
      </c>
      <c r="F1396" s="264" t="inlineStr">
        <is>
          <t>CARGUEROS</t>
        </is>
      </c>
      <c r="G1396" s="264" t="n">
        <v>11</v>
      </c>
      <c r="H1396" s="264" t="inlineStr">
        <is>
          <t>ALEXANDER CHAGUALA</t>
        </is>
      </c>
      <c r="I1396" s="264" t="inlineStr">
        <is>
          <t>TLO882</t>
        </is>
      </c>
      <c r="J1396" s="265" t="n">
        <v>0.3611111111111111</v>
      </c>
      <c r="K1396" s="266" t="n">
        <v>2880</v>
      </c>
      <c r="L1396" s="308" t="n"/>
      <c r="M1396" s="113" t="n"/>
      <c r="N1396" s="113" t="n"/>
      <c r="O1396" s="113" t="n"/>
      <c r="P1396" s="243" t="n"/>
      <c r="Q1396" s="113" t="n"/>
      <c r="R1396" s="113" t="n"/>
    </row>
    <row r="1397" ht="15.75" customHeight="1">
      <c r="A1397" s="113" t="n"/>
      <c r="B1397" s="146" t="n">
        <v>25</v>
      </c>
      <c r="C1397" s="350" t="n">
        <v>45974</v>
      </c>
      <c r="D1397" s="351" t="n">
        <v>4</v>
      </c>
      <c r="E1397" s="264" t="inlineStr">
        <is>
          <t xml:space="preserve">SAN JOSE </t>
        </is>
      </c>
      <c r="F1397" s="264" t="inlineStr">
        <is>
          <t>CARGUEROS</t>
        </is>
      </c>
      <c r="G1397" s="264" t="n">
        <v>11</v>
      </c>
      <c r="H1397" s="264" t="inlineStr">
        <is>
          <t>EDWIN ROJAS</t>
        </is>
      </c>
      <c r="I1397" s="264" t="inlineStr">
        <is>
          <t>EQY780</t>
        </is>
      </c>
      <c r="J1397" s="265" t="n">
        <v>0.2847222222222222</v>
      </c>
      <c r="K1397" s="266" t="n">
        <v>2880</v>
      </c>
      <c r="L1397" s="309" t="n"/>
      <c r="M1397" s="113" t="n"/>
      <c r="N1397" s="113" t="n"/>
      <c r="O1397" s="113" t="n"/>
      <c r="P1397" s="243" t="n"/>
      <c r="Q1397" s="113" t="n"/>
      <c r="R1397" s="113" t="n"/>
    </row>
    <row r="1398" ht="15.75" customHeight="1">
      <c r="A1398" s="113" t="n"/>
      <c r="B1398" s="146" t="n">
        <v>25</v>
      </c>
      <c r="C1398" s="352" t="n">
        <v>45974</v>
      </c>
      <c r="D1398" s="347" t="n">
        <v>5</v>
      </c>
      <c r="E1398" s="282" t="inlineStr">
        <is>
          <t xml:space="preserve">SAN JOSE </t>
        </is>
      </c>
      <c r="F1398" s="282" t="inlineStr">
        <is>
          <t xml:space="preserve">CARGUEROS </t>
        </is>
      </c>
      <c r="G1398" s="282" t="n">
        <v>11</v>
      </c>
      <c r="H1398" s="282" t="inlineStr">
        <is>
          <t xml:space="preserve">ALBERTO HERRERA </t>
        </is>
      </c>
      <c r="I1398" s="282" t="inlineStr">
        <is>
          <t>TLO745</t>
        </is>
      </c>
      <c r="J1398" s="283" t="n">
        <v>0.3194444444444444</v>
      </c>
      <c r="K1398" s="284" t="n">
        <v>2880</v>
      </c>
      <c r="L1398" s="353">
        <f>SUM(K1394:K1398)</f>
        <v/>
      </c>
      <c r="M1398" s="113" t="n"/>
      <c r="N1398" s="113" t="n"/>
      <c r="O1398" s="113" t="n"/>
      <c r="P1398" s="243" t="n"/>
      <c r="Q1398" s="113" t="n"/>
      <c r="R1398" s="113" t="n"/>
    </row>
    <row r="1399" ht="15.75" customHeight="1">
      <c r="A1399" s="113" t="n"/>
      <c r="B1399" s="146" t="n">
        <v>25</v>
      </c>
      <c r="C1399" s="348" t="n">
        <v>45975</v>
      </c>
      <c r="D1399" s="349" t="n">
        <v>1</v>
      </c>
      <c r="E1399" s="258" t="inlineStr">
        <is>
          <t>MALAGUEÑA</t>
        </is>
      </c>
      <c r="F1399" s="258" t="inlineStr">
        <is>
          <t xml:space="preserve">CARGUEROS </t>
        </is>
      </c>
      <c r="G1399" s="258" t="n">
        <v>10</v>
      </c>
      <c r="H1399" s="258" t="inlineStr">
        <is>
          <t>DIEGO NIÑO</t>
        </is>
      </c>
      <c r="I1399" s="258" t="inlineStr">
        <is>
          <t>GZZ673</t>
        </is>
      </c>
      <c r="J1399" s="259" t="n">
        <v>0.1666666666666667</v>
      </c>
      <c r="K1399" s="260" t="n">
        <v>2580</v>
      </c>
      <c r="L1399" s="292" t="n"/>
      <c r="M1399" s="113" t="n"/>
      <c r="N1399" s="113" t="n"/>
      <c r="O1399" s="113" t="n"/>
      <c r="P1399" s="243" t="n"/>
      <c r="Q1399" s="113" t="n"/>
      <c r="R1399" s="113" t="n"/>
    </row>
    <row r="1400" ht="15.75" customHeight="1">
      <c r="A1400" s="113" t="n"/>
      <c r="B1400" s="146" t="n">
        <v>25</v>
      </c>
      <c r="C1400" s="350" t="n">
        <v>45975</v>
      </c>
      <c r="D1400" s="351" t="n">
        <v>2</v>
      </c>
      <c r="E1400" s="264" t="inlineStr">
        <is>
          <t>MALAGUEÑA</t>
        </is>
      </c>
      <c r="F1400" s="264" t="inlineStr">
        <is>
          <t>CARGUEROS</t>
        </is>
      </c>
      <c r="G1400" s="264" t="n">
        <v>10</v>
      </c>
      <c r="H1400" s="264" t="inlineStr">
        <is>
          <t xml:space="preserve">JOSE SOLER </t>
        </is>
      </c>
      <c r="I1400" s="264" t="inlineStr">
        <is>
          <t>EQY776</t>
        </is>
      </c>
      <c r="J1400" s="265" t="n">
        <v>0.1076388888888889</v>
      </c>
      <c r="K1400" s="266" t="n">
        <v>2580</v>
      </c>
      <c r="L1400" s="308" t="n"/>
      <c r="M1400" s="113" t="n"/>
      <c r="N1400" s="113" t="n"/>
      <c r="O1400" s="113" t="n"/>
      <c r="P1400" s="243" t="n"/>
      <c r="Q1400" s="113" t="n"/>
      <c r="R1400" s="113" t="n"/>
    </row>
    <row r="1401" ht="15.75" customHeight="1">
      <c r="A1401" s="113" t="n"/>
      <c r="B1401" s="146" t="n">
        <v>25</v>
      </c>
      <c r="C1401" s="350" t="n">
        <v>45975</v>
      </c>
      <c r="D1401" s="351" t="n">
        <v>3</v>
      </c>
      <c r="E1401" s="264" t="inlineStr">
        <is>
          <t>MALAGUEÑA</t>
        </is>
      </c>
      <c r="F1401" s="264" t="inlineStr">
        <is>
          <t>CARGUEROS</t>
        </is>
      </c>
      <c r="G1401" s="264" t="n">
        <v>10</v>
      </c>
      <c r="H1401" s="264" t="inlineStr">
        <is>
          <t>EDUAN CAVIDES</t>
        </is>
      </c>
      <c r="I1401" s="264" t="inlineStr">
        <is>
          <t>EQY779</t>
        </is>
      </c>
      <c r="J1401" s="265" t="n">
        <v>0.1423611111111111</v>
      </c>
      <c r="K1401" s="266" t="n">
        <v>2580</v>
      </c>
      <c r="L1401" s="308" t="n"/>
      <c r="M1401" s="113" t="n"/>
      <c r="N1401" s="113" t="n"/>
      <c r="O1401" s="113" t="n"/>
      <c r="P1401" s="243" t="n"/>
      <c r="Q1401" s="113" t="n"/>
      <c r="R1401" s="113" t="n"/>
    </row>
    <row r="1402" ht="15.75" customHeight="1">
      <c r="A1402" s="113" t="n"/>
      <c r="B1402" s="146" t="n">
        <v>25</v>
      </c>
      <c r="C1402" s="350" t="n">
        <v>45975</v>
      </c>
      <c r="D1402" s="351" t="n">
        <v>4</v>
      </c>
      <c r="E1402" s="264" t="inlineStr">
        <is>
          <t>MALAGUEÑA</t>
        </is>
      </c>
      <c r="F1402" s="264" t="inlineStr">
        <is>
          <t>CARGUEROS</t>
        </is>
      </c>
      <c r="G1402" s="264" t="n">
        <v>10</v>
      </c>
      <c r="H1402" s="264" t="inlineStr">
        <is>
          <t>FERNANDO OYUELA</t>
        </is>
      </c>
      <c r="I1402" s="264" t="inlineStr">
        <is>
          <t>EQY778</t>
        </is>
      </c>
      <c r="J1402" s="265" t="n">
        <v>0.1944444444444444</v>
      </c>
      <c r="K1402" s="266" t="n">
        <v>2580</v>
      </c>
      <c r="L1402" s="308" t="n"/>
      <c r="M1402" s="113" t="n"/>
      <c r="N1402" s="113" t="n"/>
      <c r="O1402" s="113" t="n"/>
      <c r="P1402" s="243" t="n"/>
      <c r="Q1402" s="113" t="n"/>
      <c r="R1402" s="113" t="n"/>
    </row>
    <row r="1403" ht="15.75" customHeight="1">
      <c r="A1403" s="113" t="n"/>
      <c r="B1403" s="146" t="n">
        <v>25</v>
      </c>
      <c r="C1403" s="350" t="n">
        <v>45975</v>
      </c>
      <c r="D1403" s="351" t="n">
        <v>5</v>
      </c>
      <c r="E1403" s="264" t="inlineStr">
        <is>
          <t>MALAGUEÑA</t>
        </is>
      </c>
      <c r="F1403" s="264" t="inlineStr">
        <is>
          <t>CARGUEROS</t>
        </is>
      </c>
      <c r="G1403" s="264" t="n">
        <v>10</v>
      </c>
      <c r="H1403" s="264" t="inlineStr">
        <is>
          <t>ROBINSON PULIDO</t>
        </is>
      </c>
      <c r="I1403" s="264" t="inlineStr">
        <is>
          <t>TLO881</t>
        </is>
      </c>
      <c r="J1403" s="265" t="n">
        <v>0.04861111111111111</v>
      </c>
      <c r="K1403" s="266" t="n">
        <v>3370</v>
      </c>
      <c r="L1403" s="308" t="n"/>
      <c r="M1403" s="113" t="n"/>
      <c r="N1403" s="113" t="n"/>
      <c r="O1403" s="113" t="n"/>
      <c r="P1403" s="243" t="n"/>
      <c r="Q1403" s="113" t="n"/>
      <c r="R1403" s="113" t="n"/>
    </row>
    <row r="1404" ht="15.75" customHeight="1">
      <c r="A1404" s="113" t="n"/>
      <c r="B1404" s="146" t="n">
        <v>25</v>
      </c>
      <c r="C1404" s="350" t="n">
        <v>45975</v>
      </c>
      <c r="D1404" s="351" t="n">
        <v>6</v>
      </c>
      <c r="E1404" s="264" t="inlineStr">
        <is>
          <t>MALAGUEÑA</t>
        </is>
      </c>
      <c r="F1404" s="264" t="inlineStr">
        <is>
          <t>CARGUEROS</t>
        </is>
      </c>
      <c r="G1404" s="264" t="n">
        <v>10</v>
      </c>
      <c r="H1404" s="264" t="inlineStr">
        <is>
          <t>YAIR RIVEROS</t>
        </is>
      </c>
      <c r="I1404" s="264" t="inlineStr">
        <is>
          <t>TLN181</t>
        </is>
      </c>
      <c r="J1404" s="265" t="n">
        <v>0.0763888888888889</v>
      </c>
      <c r="K1404" s="266" t="n">
        <v>2550</v>
      </c>
      <c r="L1404" s="308" t="n"/>
      <c r="M1404" s="113" t="n"/>
      <c r="N1404" s="113" t="n"/>
      <c r="O1404" s="113" t="n"/>
      <c r="P1404" s="243" t="n"/>
      <c r="Q1404" s="113" t="n"/>
      <c r="R1404" s="113" t="n"/>
    </row>
    <row r="1405" ht="15.75" customHeight="1">
      <c r="A1405" s="113" t="n"/>
      <c r="B1405" s="146" t="n">
        <v>25</v>
      </c>
      <c r="C1405" s="350" t="n">
        <v>45975</v>
      </c>
      <c r="D1405" s="351" t="n">
        <v>7</v>
      </c>
      <c r="E1405" s="264" t="inlineStr">
        <is>
          <t xml:space="preserve">SAN JOSE </t>
        </is>
      </c>
      <c r="F1405" s="264" t="inlineStr">
        <is>
          <t>ABONEROS</t>
        </is>
      </c>
      <c r="G1405" s="264" t="n">
        <v>11</v>
      </c>
      <c r="H1405" s="264" t="inlineStr">
        <is>
          <t xml:space="preserve">MANUEL QUITIAN </t>
        </is>
      </c>
      <c r="I1405" s="264" t="inlineStr">
        <is>
          <t>KUS176</t>
        </is>
      </c>
      <c r="J1405" s="265" t="n">
        <v>0.3472222222222222</v>
      </c>
      <c r="K1405" s="266" t="n">
        <v>2970</v>
      </c>
      <c r="L1405" s="308" t="n"/>
      <c r="M1405" s="113" t="n"/>
      <c r="N1405" s="113" t="n"/>
      <c r="O1405" s="113" t="n"/>
      <c r="P1405" s="243" t="n"/>
      <c r="Q1405" s="113" t="n"/>
      <c r="R1405" s="113" t="n"/>
    </row>
    <row r="1406" ht="15.75" customHeight="1">
      <c r="A1406" s="113" t="n"/>
      <c r="B1406" s="146" t="n">
        <v>25</v>
      </c>
      <c r="C1406" s="350" t="n">
        <v>45975</v>
      </c>
      <c r="D1406" s="351" t="n">
        <v>8</v>
      </c>
      <c r="E1406" s="264" t="inlineStr">
        <is>
          <t xml:space="preserve">SAN JOSE </t>
        </is>
      </c>
      <c r="F1406" s="264" t="inlineStr">
        <is>
          <t>ABONEROS</t>
        </is>
      </c>
      <c r="G1406" s="264" t="n">
        <v>11</v>
      </c>
      <c r="H1406" s="264" t="inlineStr">
        <is>
          <t>ROBINSON PULIDO</t>
        </is>
      </c>
      <c r="I1406" s="264" t="inlineStr">
        <is>
          <t>TLO881</t>
        </is>
      </c>
      <c r="J1406" s="265" t="n">
        <v>0.38125</v>
      </c>
      <c r="K1406" s="266" t="n">
        <v>2970</v>
      </c>
      <c r="L1406" s="308" t="n"/>
      <c r="M1406" s="113" t="n"/>
      <c r="N1406" s="113" t="n"/>
      <c r="O1406" s="113" t="n"/>
      <c r="P1406" s="243" t="n"/>
      <c r="Q1406" s="113" t="n"/>
      <c r="R1406" s="113" t="n"/>
    </row>
    <row r="1407" ht="15.75" customHeight="1">
      <c r="A1407" s="113" t="n"/>
      <c r="B1407" s="146" t="n">
        <v>25</v>
      </c>
      <c r="C1407" s="350" t="n">
        <v>45975</v>
      </c>
      <c r="D1407" s="351" t="n">
        <v>9</v>
      </c>
      <c r="E1407" s="264" t="inlineStr">
        <is>
          <t xml:space="preserve">SAN JOSE </t>
        </is>
      </c>
      <c r="F1407" s="264" t="inlineStr">
        <is>
          <t>ABONEROS</t>
        </is>
      </c>
      <c r="G1407" s="264" t="n">
        <v>11</v>
      </c>
      <c r="H1407" s="264" t="inlineStr">
        <is>
          <t xml:space="preserve">YAIR RIVEROS </t>
        </is>
      </c>
      <c r="I1407" s="264" t="inlineStr">
        <is>
          <t>TLN181</t>
        </is>
      </c>
      <c r="J1407" s="265" t="n">
        <v>0.4222222222222222</v>
      </c>
      <c r="K1407" s="266" t="n">
        <v>3600</v>
      </c>
      <c r="L1407" s="308" t="n"/>
      <c r="M1407" s="113" t="n"/>
      <c r="N1407" s="113" t="n"/>
      <c r="O1407" s="113" t="n"/>
      <c r="P1407" s="243" t="n"/>
      <c r="Q1407" s="113" t="n"/>
      <c r="R1407" s="113" t="n"/>
    </row>
    <row r="1408" ht="15.75" customHeight="1">
      <c r="A1408" s="113" t="n"/>
      <c r="B1408" s="146" t="n">
        <v>25</v>
      </c>
      <c r="C1408" s="350" t="n">
        <v>45975</v>
      </c>
      <c r="D1408" s="351" t="n">
        <v>10</v>
      </c>
      <c r="E1408" s="264" t="inlineStr">
        <is>
          <t xml:space="preserve">SAN JOSE </t>
        </is>
      </c>
      <c r="F1408" s="264" t="inlineStr">
        <is>
          <t>ABONEROS</t>
        </is>
      </c>
      <c r="G1408" s="264" t="n">
        <v>11</v>
      </c>
      <c r="H1408" s="264" t="inlineStr">
        <is>
          <t xml:space="preserve">JOSE SOLER </t>
        </is>
      </c>
      <c r="I1408" s="264" t="inlineStr">
        <is>
          <t>EQY776</t>
        </is>
      </c>
      <c r="J1408" s="265" t="n">
        <v>0.4930555555555556</v>
      </c>
      <c r="K1408" s="266" t="n">
        <v>3770</v>
      </c>
      <c r="L1408" s="309" t="n"/>
      <c r="M1408" s="113" t="n"/>
      <c r="N1408" s="113" t="n"/>
      <c r="O1408" s="113" t="n"/>
      <c r="P1408" s="243" t="n"/>
      <c r="Q1408" s="113" t="n"/>
      <c r="R1408" s="113" t="n"/>
    </row>
    <row r="1409" ht="15.75" customHeight="1">
      <c r="A1409" s="113" t="n"/>
      <c r="B1409" s="146" t="n">
        <v>25</v>
      </c>
      <c r="C1409" s="356" t="n">
        <v>45975</v>
      </c>
      <c r="D1409" s="357" t="n">
        <v>11</v>
      </c>
      <c r="E1409" s="271" t="inlineStr">
        <is>
          <t xml:space="preserve">SAN JOSE </t>
        </is>
      </c>
      <c r="F1409" s="271" t="inlineStr">
        <is>
          <t>ABONEROS</t>
        </is>
      </c>
      <c r="G1409" s="271" t="n">
        <v>11</v>
      </c>
      <c r="H1409" s="271" t="inlineStr">
        <is>
          <t xml:space="preserve">EDUAN CAVIEDES </t>
        </is>
      </c>
      <c r="I1409" s="271" t="inlineStr">
        <is>
          <t>EQY779</t>
        </is>
      </c>
      <c r="J1409" s="272" t="n">
        <v>0.5347222222222222</v>
      </c>
      <c r="K1409" s="273" t="n">
        <v>3770</v>
      </c>
      <c r="L1409" s="378">
        <f>SUM(K1399:K1409)</f>
        <v/>
      </c>
      <c r="M1409" s="113" t="n"/>
      <c r="N1409" s="113" t="n"/>
      <c r="O1409" s="113" t="n"/>
      <c r="P1409" s="243" t="n"/>
      <c r="Q1409" s="113" t="n"/>
      <c r="R1409" s="113" t="n"/>
    </row>
    <row r="1410" ht="15.75" customHeight="1">
      <c r="A1410" s="113" t="n"/>
      <c r="B1410" s="146" t="n">
        <v>26</v>
      </c>
      <c r="C1410" s="348" t="n">
        <v>45977</v>
      </c>
      <c r="D1410" s="349" t="n">
        <v>1</v>
      </c>
      <c r="E1410" s="258" t="inlineStr">
        <is>
          <t>MALAGUEÑA</t>
        </is>
      </c>
      <c r="F1410" s="258" t="inlineStr">
        <is>
          <t>ABONEROS</t>
        </is>
      </c>
      <c r="G1410" s="258" t="n">
        <v>9</v>
      </c>
      <c r="H1410" s="258" t="inlineStr">
        <is>
          <t xml:space="preserve">EDUAN CAVIEDES </t>
        </is>
      </c>
      <c r="I1410" s="258" t="inlineStr">
        <is>
          <t>EQY779</t>
        </is>
      </c>
      <c r="J1410" s="259" t="n">
        <v>0.08263888888888889</v>
      </c>
      <c r="K1410" s="260" t="n">
        <v>3564</v>
      </c>
      <c r="L1410" s="292" t="n"/>
      <c r="M1410" s="113" t="n"/>
      <c r="N1410" s="113" t="n"/>
      <c r="O1410" s="113" t="n"/>
      <c r="P1410" s="243" t="n"/>
      <c r="Q1410" s="113" t="n"/>
      <c r="R1410" s="113" t="n"/>
    </row>
    <row r="1411" ht="15.75" customHeight="1">
      <c r="A1411" s="113" t="n"/>
      <c r="B1411" s="146" t="n">
        <v>26</v>
      </c>
      <c r="C1411" s="350" t="n">
        <v>45977</v>
      </c>
      <c r="D1411" s="351" t="n">
        <v>2</v>
      </c>
      <c r="E1411" s="264" t="inlineStr">
        <is>
          <t>MALAGUEÑA</t>
        </is>
      </c>
      <c r="F1411" s="264" t="inlineStr">
        <is>
          <t>ABONEROS</t>
        </is>
      </c>
      <c r="G1411" s="264" t="n">
        <v>9</v>
      </c>
      <c r="H1411" s="264" t="inlineStr">
        <is>
          <t xml:space="preserve">MANUEL QUITIAN </t>
        </is>
      </c>
      <c r="I1411" s="264" t="inlineStr">
        <is>
          <t>KUS176</t>
        </is>
      </c>
      <c r="J1411" s="265" t="n">
        <v>0.1166666666666667</v>
      </c>
      <c r="K1411" s="266" t="n">
        <v>2270</v>
      </c>
      <c r="L1411" s="308" t="n"/>
      <c r="M1411" s="113" t="n"/>
      <c r="N1411" s="113" t="n"/>
      <c r="O1411" s="113" t="n"/>
      <c r="P1411" s="243" t="n"/>
      <c r="Q1411" s="113" t="n"/>
      <c r="R1411" s="113" t="n"/>
    </row>
    <row r="1412" ht="15.75" customHeight="1">
      <c r="A1412" s="113" t="n"/>
      <c r="B1412" s="146" t="n">
        <v>26</v>
      </c>
      <c r="C1412" s="350" t="n">
        <v>45977</v>
      </c>
      <c r="D1412" s="351" t="n">
        <v>3</v>
      </c>
      <c r="E1412" s="264" t="inlineStr">
        <is>
          <t xml:space="preserve">SAN JOSE </t>
        </is>
      </c>
      <c r="F1412" s="264" t="inlineStr">
        <is>
          <t>CARGUEROS</t>
        </is>
      </c>
      <c r="G1412" s="264" t="n">
        <v>10</v>
      </c>
      <c r="H1412" s="264" t="inlineStr">
        <is>
          <t xml:space="preserve">JOSE SOLER </t>
        </is>
      </c>
      <c r="I1412" s="264" t="inlineStr">
        <is>
          <t>EQY776</t>
        </is>
      </c>
      <c r="J1412" s="265" t="n">
        <v>0.02083333333333333</v>
      </c>
      <c r="K1412" s="266" t="n">
        <v>2000</v>
      </c>
      <c r="L1412" s="308" t="n"/>
      <c r="M1412" s="113" t="n"/>
      <c r="N1412" s="113" t="n"/>
      <c r="O1412" s="113" t="n"/>
      <c r="P1412" s="243" t="n"/>
      <c r="Q1412" s="113" t="n"/>
      <c r="R1412" s="113" t="n"/>
    </row>
    <row r="1413" ht="15.75" customHeight="1">
      <c r="A1413" s="113" t="n"/>
      <c r="B1413" s="146" t="n">
        <v>26</v>
      </c>
      <c r="C1413" s="350" t="n">
        <v>45977</v>
      </c>
      <c r="D1413" s="351" t="n">
        <v>4</v>
      </c>
      <c r="E1413" s="264" t="inlineStr">
        <is>
          <t xml:space="preserve">SAN JOSE </t>
        </is>
      </c>
      <c r="F1413" s="264" t="inlineStr">
        <is>
          <t>CARGUEROS</t>
        </is>
      </c>
      <c r="G1413" s="264" t="n">
        <v>10</v>
      </c>
      <c r="H1413" s="264" t="inlineStr">
        <is>
          <t>YAIR RIVEROS</t>
        </is>
      </c>
      <c r="I1413" s="264" t="inlineStr">
        <is>
          <t>TLN181</t>
        </is>
      </c>
      <c r="J1413" s="265" t="n">
        <v>0.04861111111111111</v>
      </c>
      <c r="K1413" s="266" t="n">
        <v>2590</v>
      </c>
      <c r="L1413" s="308" t="n"/>
      <c r="M1413" s="113" t="n"/>
      <c r="N1413" s="113" t="n"/>
      <c r="O1413" s="113" t="n"/>
      <c r="P1413" s="243" t="n"/>
      <c r="Q1413" s="113" t="n"/>
      <c r="R1413" s="113" t="n"/>
    </row>
    <row r="1414" ht="15.75" customHeight="1">
      <c r="A1414" s="113" t="n"/>
      <c r="B1414" s="146" t="n">
        <v>26</v>
      </c>
      <c r="C1414" s="350" t="n">
        <v>45977</v>
      </c>
      <c r="D1414" s="351" t="n">
        <v>5</v>
      </c>
      <c r="E1414" s="264" t="inlineStr">
        <is>
          <t xml:space="preserve">SAN JOSE </t>
        </is>
      </c>
      <c r="F1414" s="264" t="inlineStr">
        <is>
          <t>CARGUEROS</t>
        </is>
      </c>
      <c r="G1414" s="264" t="n">
        <v>10</v>
      </c>
      <c r="H1414" s="264" t="inlineStr">
        <is>
          <t>ROBINSON PULIDO</t>
        </is>
      </c>
      <c r="I1414" s="264" t="inlineStr">
        <is>
          <t>TLO881</t>
        </is>
      </c>
      <c r="J1414" s="265" t="n">
        <v>0.08333333333333333</v>
      </c>
      <c r="K1414" s="266" t="n">
        <v>2590</v>
      </c>
      <c r="L1414" s="308" t="n"/>
      <c r="M1414" s="113" t="n"/>
      <c r="N1414" s="113" t="n"/>
      <c r="O1414" s="113" t="n"/>
      <c r="P1414" s="243" t="n"/>
      <c r="Q1414" s="113" t="n"/>
      <c r="R1414" s="113" t="n"/>
    </row>
    <row r="1415" ht="15.75" customHeight="1">
      <c r="A1415" s="113" t="n"/>
      <c r="B1415" s="146" t="n">
        <v>26</v>
      </c>
      <c r="C1415" s="350" t="n">
        <v>45977</v>
      </c>
      <c r="D1415" s="351" t="n">
        <v>6</v>
      </c>
      <c r="E1415" s="264" t="inlineStr">
        <is>
          <t xml:space="preserve">SAN JOSE </t>
        </is>
      </c>
      <c r="F1415" s="264" t="inlineStr">
        <is>
          <t>CARGUEROS</t>
        </is>
      </c>
      <c r="G1415" s="264" t="n">
        <v>10</v>
      </c>
      <c r="H1415" s="264" t="inlineStr">
        <is>
          <t>ALEXANDER CHAGUALA</t>
        </is>
      </c>
      <c r="I1415" s="264" t="inlineStr">
        <is>
          <t>TLO884</t>
        </is>
      </c>
      <c r="J1415" s="265" t="n">
        <v>0.1111111111111111</v>
      </c>
      <c r="K1415" s="266" t="n">
        <v>2590</v>
      </c>
      <c r="L1415" s="308" t="n"/>
      <c r="M1415" s="113" t="n"/>
      <c r="N1415" s="113" t="n"/>
      <c r="O1415" s="113" t="n"/>
      <c r="P1415" s="243" t="n"/>
      <c r="Q1415" s="113" t="n"/>
      <c r="R1415" s="113" t="n"/>
    </row>
    <row r="1416" ht="15.75" customHeight="1">
      <c r="A1416" s="113" t="n"/>
      <c r="B1416" s="146" t="n">
        <v>26</v>
      </c>
      <c r="C1416" s="350" t="n">
        <v>45977</v>
      </c>
      <c r="D1416" s="351" t="n">
        <v>7</v>
      </c>
      <c r="E1416" s="264" t="inlineStr">
        <is>
          <t xml:space="preserve">SAN JOSE </t>
        </is>
      </c>
      <c r="F1416" s="264" t="inlineStr">
        <is>
          <t>CARGUEROS</t>
        </is>
      </c>
      <c r="G1416" s="264" t="n">
        <v>10</v>
      </c>
      <c r="H1416" s="264" t="inlineStr">
        <is>
          <t xml:space="preserve">SEBASTIAN HIDALGO </t>
        </is>
      </c>
      <c r="I1416" s="264" t="inlineStr">
        <is>
          <t>QEY780</t>
        </is>
      </c>
      <c r="J1416" s="265" t="n">
        <v>0.1493055555555556</v>
      </c>
      <c r="K1416" s="266" t="n">
        <v>2890</v>
      </c>
      <c r="L1416" s="309" t="n"/>
      <c r="M1416" s="113" t="n"/>
      <c r="N1416" s="113" t="n"/>
      <c r="O1416" s="113" t="n"/>
      <c r="P1416" s="243" t="n"/>
      <c r="Q1416" s="113" t="n"/>
      <c r="R1416" s="113" t="n"/>
    </row>
    <row r="1417" ht="15.75" customHeight="1">
      <c r="A1417" s="113" t="n"/>
      <c r="B1417" s="146" t="n">
        <v>26</v>
      </c>
      <c r="C1417" s="356" t="n">
        <v>45977</v>
      </c>
      <c r="D1417" s="357" t="n">
        <v>8</v>
      </c>
      <c r="E1417" s="271" t="inlineStr">
        <is>
          <t xml:space="preserve">SAN JOSE </t>
        </is>
      </c>
      <c r="F1417" s="271" t="inlineStr">
        <is>
          <t>CARGUEROS</t>
        </is>
      </c>
      <c r="G1417" s="271" t="n">
        <v>10</v>
      </c>
      <c r="H1417" s="271" t="inlineStr">
        <is>
          <t>MANUEL QUITIAN</t>
        </is>
      </c>
      <c r="I1417" s="271" t="inlineStr">
        <is>
          <t>KUS176</t>
        </is>
      </c>
      <c r="J1417" s="272" t="n">
        <v>0.2361111111111111</v>
      </c>
      <c r="K1417" s="273" t="n">
        <v>2890</v>
      </c>
      <c r="L1417" s="378">
        <f>SUM(K1410:K1417)</f>
        <v/>
      </c>
      <c r="M1417" s="113" t="n"/>
      <c r="N1417" s="113" t="n"/>
      <c r="O1417" s="113" t="n"/>
      <c r="P1417" s="243" t="n"/>
      <c r="Q1417" s="113" t="n"/>
      <c r="R1417" s="113" t="n"/>
    </row>
    <row r="1418" ht="15.75" customHeight="1">
      <c r="A1418" s="113" t="n"/>
      <c r="B1418" s="146" t="n">
        <v>26</v>
      </c>
      <c r="C1418" s="348" t="n">
        <v>45979</v>
      </c>
      <c r="D1418" s="349" t="n">
        <v>1</v>
      </c>
      <c r="E1418" s="258" t="inlineStr">
        <is>
          <t>MALAGUEÑA</t>
        </is>
      </c>
      <c r="F1418" s="258" t="inlineStr">
        <is>
          <t>ABONEROS</t>
        </is>
      </c>
      <c r="G1418" s="258" t="n">
        <v>10</v>
      </c>
      <c r="H1418" s="258" t="inlineStr">
        <is>
          <t>MANUEL QUITIAN</t>
        </is>
      </c>
      <c r="I1418" s="258" t="inlineStr">
        <is>
          <t>KUS176</t>
        </is>
      </c>
      <c r="J1418" s="259" t="n">
        <v>0.1347222222222222</v>
      </c>
      <c r="K1418" s="260" t="n">
        <v>3429</v>
      </c>
      <c r="L1418" s="292" t="n"/>
      <c r="M1418" s="113" t="n"/>
      <c r="N1418" s="113" t="n"/>
      <c r="O1418" s="113" t="n"/>
      <c r="P1418" s="243" t="n"/>
      <c r="Q1418" s="113" t="n"/>
      <c r="R1418" s="113" t="n"/>
    </row>
    <row r="1419" ht="15.75" customHeight="1">
      <c r="A1419" s="113" t="n"/>
      <c r="B1419" s="146" t="n">
        <v>26</v>
      </c>
      <c r="C1419" s="350" t="n">
        <v>45979</v>
      </c>
      <c r="D1419" s="351" t="n">
        <v>2</v>
      </c>
      <c r="E1419" s="264" t="inlineStr">
        <is>
          <t>MALAGUEÑA</t>
        </is>
      </c>
      <c r="F1419" s="264" t="inlineStr">
        <is>
          <t>ABONEROS</t>
        </is>
      </c>
      <c r="G1419" s="264" t="n">
        <v>10</v>
      </c>
      <c r="H1419" s="264" t="inlineStr">
        <is>
          <t>DIEGO NIÑO</t>
        </is>
      </c>
      <c r="I1419" s="264" t="inlineStr">
        <is>
          <t>GZZ673</t>
        </is>
      </c>
      <c r="J1419" s="265" t="n">
        <v>0.175</v>
      </c>
      <c r="K1419" s="266" t="n">
        <v>3430</v>
      </c>
      <c r="L1419" s="308" t="n"/>
      <c r="M1419" s="113" t="n"/>
      <c r="N1419" s="113" t="n"/>
      <c r="O1419" s="113" t="n"/>
      <c r="P1419" s="243" t="n"/>
      <c r="Q1419" s="113" t="n"/>
      <c r="R1419" s="113" t="n"/>
    </row>
    <row r="1420" ht="15.75" customHeight="1">
      <c r="A1420" s="113" t="n"/>
      <c r="B1420" s="146" t="n">
        <v>26</v>
      </c>
      <c r="C1420" s="350" t="n">
        <v>45979</v>
      </c>
      <c r="D1420" s="351" t="n">
        <v>3</v>
      </c>
      <c r="E1420" s="264" t="inlineStr">
        <is>
          <t xml:space="preserve">SAN JOSE </t>
        </is>
      </c>
      <c r="F1420" s="264" t="inlineStr">
        <is>
          <t>CARGUEROS</t>
        </is>
      </c>
      <c r="G1420" s="264" t="n">
        <v>11</v>
      </c>
      <c r="H1420" s="264" t="inlineStr">
        <is>
          <t>ALEXANDER CHAGUALA</t>
        </is>
      </c>
      <c r="I1420" s="264" t="inlineStr">
        <is>
          <t>TLN248</t>
        </is>
      </c>
      <c r="J1420" s="265" t="n">
        <v>0.0763888888888889</v>
      </c>
      <c r="K1420" s="266" t="n">
        <v>2690</v>
      </c>
      <c r="L1420" s="308" t="n"/>
      <c r="M1420" s="113" t="n"/>
      <c r="N1420" s="113" t="n"/>
      <c r="O1420" s="113" t="n"/>
      <c r="P1420" s="243" t="n"/>
      <c r="Q1420" s="113" t="n"/>
      <c r="R1420" s="113" t="n"/>
    </row>
    <row r="1421" ht="15.75" customHeight="1">
      <c r="A1421" s="113" t="n"/>
      <c r="B1421" s="146" t="n">
        <v>26</v>
      </c>
      <c r="C1421" s="350" t="n">
        <v>45979</v>
      </c>
      <c r="D1421" s="351" t="n">
        <v>4</v>
      </c>
      <c r="E1421" s="264" t="inlineStr">
        <is>
          <t xml:space="preserve">SAN JOSE </t>
        </is>
      </c>
      <c r="F1421" s="264" t="inlineStr">
        <is>
          <t>CARGUEROS</t>
        </is>
      </c>
      <c r="G1421" s="264" t="n">
        <v>11</v>
      </c>
      <c r="H1421" s="264" t="inlineStr">
        <is>
          <t>WILMER PIÑEROS</t>
        </is>
      </c>
      <c r="I1421" s="264" t="inlineStr">
        <is>
          <t>KLN076</t>
        </is>
      </c>
      <c r="J1421" s="265" t="n">
        <v>0.1041666666666667</v>
      </c>
      <c r="K1421" s="266" t="n">
        <v>2690</v>
      </c>
      <c r="L1421" s="308" t="n"/>
      <c r="M1421" s="113" t="n"/>
      <c r="N1421" s="113" t="n"/>
      <c r="O1421" s="113" t="n"/>
      <c r="P1421" s="243" t="n"/>
      <c r="Q1421" s="113" t="n"/>
      <c r="R1421" s="113" t="n"/>
    </row>
    <row r="1422" ht="15.75" customHeight="1">
      <c r="A1422" s="113" t="n"/>
      <c r="B1422" s="146" t="n">
        <v>26</v>
      </c>
      <c r="C1422" s="350" t="n">
        <v>45979</v>
      </c>
      <c r="D1422" s="351" t="n">
        <v>5</v>
      </c>
      <c r="E1422" s="264" t="inlineStr">
        <is>
          <t xml:space="preserve">SAN JOSE </t>
        </is>
      </c>
      <c r="F1422" s="264" t="inlineStr">
        <is>
          <t>CARGUEROS</t>
        </is>
      </c>
      <c r="G1422" s="264" t="n">
        <v>11</v>
      </c>
      <c r="H1422" s="264" t="inlineStr">
        <is>
          <t xml:space="preserve">SEBASTIAN HIDALGO </t>
        </is>
      </c>
      <c r="I1422" s="264" t="inlineStr">
        <is>
          <t>EQY779</t>
        </is>
      </c>
      <c r="J1422" s="265" t="n">
        <v>0.1423611111111111</v>
      </c>
      <c r="K1422" s="266" t="n">
        <v>2690</v>
      </c>
      <c r="L1422" s="308" t="n"/>
      <c r="M1422" s="113" t="n"/>
      <c r="N1422" s="113" t="n"/>
      <c r="O1422" s="113" t="n"/>
      <c r="P1422" s="243" t="n"/>
      <c r="Q1422" s="113" t="n"/>
      <c r="R1422" s="113" t="n"/>
    </row>
    <row r="1423" ht="15.75" customHeight="1">
      <c r="A1423" s="113" t="n"/>
      <c r="B1423" s="146" t="n">
        <v>26</v>
      </c>
      <c r="C1423" s="350" t="n">
        <v>45979</v>
      </c>
      <c r="D1423" s="351" t="n">
        <v>6</v>
      </c>
      <c r="E1423" s="264" t="inlineStr">
        <is>
          <t xml:space="preserve">SAN JOSE </t>
        </is>
      </c>
      <c r="F1423" s="264" t="inlineStr">
        <is>
          <t>CARGUEROS</t>
        </is>
      </c>
      <c r="G1423" s="264" t="n">
        <v>11</v>
      </c>
      <c r="H1423" s="264" t="inlineStr">
        <is>
          <t>FABIO ALDANA</t>
        </is>
      </c>
      <c r="I1423" s="264" t="inlineStr">
        <is>
          <t>TLO882</t>
        </is>
      </c>
      <c r="J1423" s="265" t="n">
        <v>0.1736111111111111</v>
      </c>
      <c r="K1423" s="266" t="n">
        <v>2760</v>
      </c>
      <c r="L1423" s="308" t="n"/>
      <c r="M1423" s="113" t="n"/>
      <c r="N1423" s="113" t="n"/>
      <c r="O1423" s="113" t="n"/>
      <c r="P1423" s="243" t="n"/>
      <c r="Q1423" s="113" t="n"/>
      <c r="R1423" s="113" t="n"/>
    </row>
    <row r="1424" ht="15.75" customHeight="1">
      <c r="A1424" s="113" t="n"/>
      <c r="B1424" s="146" t="n">
        <v>26</v>
      </c>
      <c r="C1424" s="350" t="n">
        <v>45979</v>
      </c>
      <c r="D1424" s="351" t="n">
        <v>7</v>
      </c>
      <c r="E1424" s="264" t="inlineStr">
        <is>
          <t xml:space="preserve">SAN JOSE </t>
        </is>
      </c>
      <c r="F1424" s="264" t="inlineStr">
        <is>
          <t>CARGUEROS</t>
        </is>
      </c>
      <c r="G1424" s="264" t="n">
        <v>11</v>
      </c>
      <c r="H1424" s="264" t="inlineStr">
        <is>
          <t xml:space="preserve">HENRY ROMERO </t>
        </is>
      </c>
      <c r="I1424" s="264" t="inlineStr">
        <is>
          <t>EQY781</t>
        </is>
      </c>
      <c r="J1424" s="265" t="n">
        <v>0.2083333333333333</v>
      </c>
      <c r="K1424" s="266" t="n">
        <v>2760</v>
      </c>
      <c r="L1424" s="308" t="n"/>
      <c r="M1424" s="113" t="n"/>
      <c r="N1424" s="113" t="n"/>
      <c r="O1424" s="113" t="n"/>
      <c r="P1424" s="243" t="n"/>
      <c r="Q1424" s="113" t="n"/>
      <c r="R1424" s="113" t="n"/>
    </row>
    <row r="1425" ht="15.75" customHeight="1">
      <c r="A1425" s="113" t="n"/>
      <c r="B1425" s="146" t="n">
        <v>26</v>
      </c>
      <c r="C1425" s="350" t="n">
        <v>45979</v>
      </c>
      <c r="D1425" s="351" t="n">
        <v>8</v>
      </c>
      <c r="E1425" s="264" t="inlineStr">
        <is>
          <t xml:space="preserve">SAN JOSE </t>
        </is>
      </c>
      <c r="F1425" s="264" t="inlineStr">
        <is>
          <t>CARGUEROS</t>
        </is>
      </c>
      <c r="G1425" s="264" t="n">
        <v>11</v>
      </c>
      <c r="H1425" s="264" t="inlineStr">
        <is>
          <t>MANUEL QUINTIAN</t>
        </is>
      </c>
      <c r="I1425" s="264" t="inlineStr">
        <is>
          <t>KUS176</t>
        </is>
      </c>
      <c r="J1425" s="265" t="n">
        <v>0.3090277777777778</v>
      </c>
      <c r="K1425" s="266" t="n">
        <v>2790</v>
      </c>
      <c r="L1425" s="308" t="n"/>
      <c r="M1425" s="113" t="n"/>
      <c r="N1425" s="113" t="n"/>
      <c r="O1425" s="113" t="n"/>
      <c r="P1425" s="243" t="n"/>
      <c r="Q1425" s="113" t="n"/>
      <c r="R1425" s="113" t="n"/>
    </row>
    <row r="1426" ht="15.75" customHeight="1">
      <c r="A1426" s="113" t="n"/>
      <c r="B1426" s="146" t="n">
        <v>26</v>
      </c>
      <c r="C1426" s="350" t="n">
        <v>45979</v>
      </c>
      <c r="D1426" s="351" t="n">
        <v>9</v>
      </c>
      <c r="E1426" s="264" t="inlineStr">
        <is>
          <t xml:space="preserve">SAN JOSE </t>
        </is>
      </c>
      <c r="F1426" s="264" t="inlineStr">
        <is>
          <t>CARGUEROS</t>
        </is>
      </c>
      <c r="G1426" s="264" t="n">
        <v>11</v>
      </c>
      <c r="H1426" s="264" t="inlineStr">
        <is>
          <t>DIEGO NIÑO</t>
        </is>
      </c>
      <c r="I1426" s="264" t="inlineStr">
        <is>
          <t>GZZ673</t>
        </is>
      </c>
      <c r="J1426" s="265" t="n">
        <v>0.375</v>
      </c>
      <c r="K1426" s="266" t="n">
        <v>2840</v>
      </c>
      <c r="L1426" s="308" t="n"/>
      <c r="M1426" s="113" t="n"/>
      <c r="N1426" s="113" t="n"/>
      <c r="O1426" s="113" t="n"/>
      <c r="P1426" s="243" t="n"/>
      <c r="Q1426" s="113" t="n"/>
      <c r="R1426" s="113" t="n"/>
    </row>
    <row r="1427" ht="15.75" customHeight="1">
      <c r="A1427" s="113" t="n"/>
      <c r="B1427" s="146" t="n">
        <v>26</v>
      </c>
      <c r="C1427" s="350" t="n">
        <v>45979</v>
      </c>
      <c r="D1427" s="351" t="n">
        <v>10</v>
      </c>
      <c r="E1427" s="264" t="inlineStr">
        <is>
          <t xml:space="preserve">SAN JOSE </t>
        </is>
      </c>
      <c r="F1427" s="264" t="inlineStr">
        <is>
          <t>CARGUEROS</t>
        </is>
      </c>
      <c r="G1427" s="264" t="n">
        <v>11</v>
      </c>
      <c r="H1427" s="264" t="inlineStr">
        <is>
          <t>ALEXANDER CHAGUALA</t>
        </is>
      </c>
      <c r="I1427" s="264" t="inlineStr">
        <is>
          <t>TLN248</t>
        </is>
      </c>
      <c r="J1427" s="265" t="n">
        <v>0.4201388888888889</v>
      </c>
      <c r="K1427" s="266" t="n">
        <v>2840</v>
      </c>
      <c r="L1427" s="308" t="n"/>
      <c r="M1427" s="113" t="n"/>
      <c r="N1427" s="113" t="n"/>
      <c r="O1427" s="113" t="n"/>
      <c r="P1427" s="243" t="n"/>
      <c r="Q1427" s="113" t="n"/>
      <c r="R1427" s="113" t="n"/>
    </row>
    <row r="1428" ht="15.75" customHeight="1">
      <c r="A1428" s="113" t="n"/>
      <c r="B1428" s="146" t="n">
        <v>26</v>
      </c>
      <c r="C1428" s="350" t="n">
        <v>45979</v>
      </c>
      <c r="D1428" s="351" t="n">
        <v>11</v>
      </c>
      <c r="E1428" s="264" t="inlineStr">
        <is>
          <t xml:space="preserve">SAN JOSE </t>
        </is>
      </c>
      <c r="F1428" s="264" t="inlineStr">
        <is>
          <t>CARGUEROS</t>
        </is>
      </c>
      <c r="G1428" s="264" t="n">
        <v>11</v>
      </c>
      <c r="H1428" s="264" t="inlineStr">
        <is>
          <t>WILMER PIÑEROS</t>
        </is>
      </c>
      <c r="I1428" s="264" t="inlineStr">
        <is>
          <t>KLN076</t>
        </is>
      </c>
      <c r="J1428" s="265" t="n">
        <v>0.4479166666666667</v>
      </c>
      <c r="K1428" s="266" t="n">
        <v>2520</v>
      </c>
      <c r="L1428" s="309" t="n"/>
      <c r="M1428" s="113" t="n"/>
      <c r="N1428" s="113" t="n"/>
      <c r="O1428" s="113" t="n"/>
      <c r="P1428" s="243" t="n"/>
      <c r="Q1428" s="113" t="n"/>
      <c r="R1428" s="113" t="n"/>
    </row>
    <row r="1429" ht="15.75" customHeight="1">
      <c r="A1429" s="113" t="n"/>
      <c r="B1429" s="146" t="n">
        <v>26</v>
      </c>
      <c r="C1429" s="350" t="n">
        <v>45979</v>
      </c>
      <c r="D1429" s="351" t="n">
        <v>12</v>
      </c>
      <c r="E1429" s="264" t="inlineStr">
        <is>
          <t xml:space="preserve">SAN JOSE </t>
        </is>
      </c>
      <c r="F1429" s="264" t="inlineStr">
        <is>
          <t>CARGUEROS</t>
        </is>
      </c>
      <c r="G1429" s="264" t="n">
        <v>11</v>
      </c>
      <c r="H1429" s="264" t="inlineStr">
        <is>
          <t>SEBASTIAN HIDALGO</t>
        </is>
      </c>
      <c r="I1429" s="264" t="inlineStr">
        <is>
          <t>EQY790</t>
        </is>
      </c>
      <c r="J1429" s="265" t="n">
        <v>0.4826388888888889</v>
      </c>
      <c r="K1429" s="392" t="n">
        <v>2520</v>
      </c>
      <c r="L1429" s="378">
        <f>SUM(K1418:K1429)</f>
        <v/>
      </c>
      <c r="M1429" s="113" t="n"/>
      <c r="N1429" s="113" t="n"/>
      <c r="O1429" s="113" t="n"/>
      <c r="P1429" s="243" t="n"/>
      <c r="Q1429" s="113" t="n"/>
      <c r="R1429" s="113" t="n"/>
    </row>
    <row r="1430" ht="15.75" customHeight="1">
      <c r="A1430" s="113" t="n"/>
      <c r="B1430" s="146" t="n">
        <v>26</v>
      </c>
      <c r="C1430" s="348" t="n">
        <v>45980</v>
      </c>
      <c r="D1430" s="349" t="n">
        <v>1</v>
      </c>
      <c r="E1430" s="258" t="inlineStr">
        <is>
          <t>MALAGUEÑA</t>
        </is>
      </c>
      <c r="F1430" s="258" t="inlineStr">
        <is>
          <t>ABONEROS</t>
        </is>
      </c>
      <c r="G1430" s="258" t="n">
        <v>9</v>
      </c>
      <c r="H1430" s="258" t="inlineStr">
        <is>
          <t xml:space="preserve">FERNANDO OYUELA </t>
        </is>
      </c>
      <c r="I1430" s="258" t="inlineStr">
        <is>
          <t>EQY778</t>
        </is>
      </c>
      <c r="J1430" s="259" t="n">
        <v>0.04722222222222222</v>
      </c>
      <c r="K1430" s="260" t="n">
        <v>3459</v>
      </c>
      <c r="L1430" s="292" t="n"/>
      <c r="M1430" s="113" t="n"/>
      <c r="N1430" s="113" t="n"/>
      <c r="O1430" s="113" t="n"/>
      <c r="P1430" s="243" t="n"/>
      <c r="Q1430" s="113" t="n"/>
      <c r="R1430" s="113" t="n"/>
    </row>
    <row r="1431" ht="15.75" customHeight="1">
      <c r="A1431" s="113" t="n"/>
      <c r="B1431" s="146" t="n">
        <v>26</v>
      </c>
      <c r="C1431" s="350" t="n">
        <v>45980</v>
      </c>
      <c r="D1431" s="351" t="n">
        <v>2</v>
      </c>
      <c r="E1431" s="264" t="inlineStr">
        <is>
          <t>MALAGUEÑA</t>
        </is>
      </c>
      <c r="F1431" s="264" t="inlineStr">
        <is>
          <t>ABONEROS</t>
        </is>
      </c>
      <c r="G1431" s="264" t="n">
        <v>9</v>
      </c>
      <c r="H1431" s="264" t="inlineStr">
        <is>
          <t xml:space="preserve">JOSE SOLER </t>
        </is>
      </c>
      <c r="I1431" s="264" t="inlineStr">
        <is>
          <t>EQY776</t>
        </is>
      </c>
      <c r="J1431" s="265" t="n">
        <v>0.09722222222222222</v>
      </c>
      <c r="K1431" s="266" t="n">
        <v>3459</v>
      </c>
      <c r="L1431" s="308" t="n"/>
      <c r="M1431" s="113" t="n"/>
      <c r="N1431" s="113" t="n"/>
      <c r="O1431" s="113" t="n"/>
      <c r="P1431" s="243" t="n"/>
      <c r="Q1431" s="113" t="n"/>
      <c r="R1431" s="113" t="n"/>
    </row>
    <row r="1432" ht="15.75" customHeight="1">
      <c r="A1432" s="113" t="n"/>
      <c r="B1432" s="146" t="n">
        <v>26</v>
      </c>
      <c r="C1432" s="350" t="n">
        <v>45980</v>
      </c>
      <c r="D1432" s="351" t="n">
        <v>3</v>
      </c>
      <c r="E1432" s="264" t="inlineStr">
        <is>
          <t>MALAGUEÑA</t>
        </is>
      </c>
      <c r="F1432" s="264" t="inlineStr">
        <is>
          <t>ABONEROS</t>
        </is>
      </c>
      <c r="G1432" s="264" t="n">
        <v>9</v>
      </c>
      <c r="H1432" s="264" t="inlineStr">
        <is>
          <t xml:space="preserve">HENRY ROMERO </t>
        </is>
      </c>
      <c r="I1432" s="264" t="inlineStr">
        <is>
          <t>EQY781</t>
        </is>
      </c>
      <c r="J1432" s="265" t="n">
        <v>0.1479166666666667</v>
      </c>
      <c r="K1432" s="266" t="n">
        <v>3459</v>
      </c>
      <c r="L1432" s="308" t="n"/>
      <c r="M1432" s="113" t="n"/>
      <c r="N1432" s="113" t="n"/>
      <c r="O1432" s="113" t="n"/>
      <c r="P1432" s="243" t="n"/>
      <c r="Q1432" s="113" t="n"/>
      <c r="R1432" s="113" t="n"/>
    </row>
    <row r="1433" ht="15.75" customHeight="1">
      <c r="A1433" s="113" t="n"/>
      <c r="B1433" s="146" t="n">
        <v>26</v>
      </c>
      <c r="C1433" s="350" t="n">
        <v>45980</v>
      </c>
      <c r="D1433" s="351" t="n">
        <v>4</v>
      </c>
      <c r="E1433" s="264" t="inlineStr">
        <is>
          <t>MALAGUEÑA</t>
        </is>
      </c>
      <c r="F1433" s="264" t="inlineStr">
        <is>
          <t>ABONEROS</t>
        </is>
      </c>
      <c r="G1433" s="264" t="n">
        <v>9</v>
      </c>
      <c r="H1433" s="264" t="inlineStr">
        <is>
          <t>ROBINSON PULIDO</t>
        </is>
      </c>
      <c r="I1433" s="264" t="inlineStr">
        <is>
          <t>TLO181</t>
        </is>
      </c>
      <c r="J1433" s="265" t="n">
        <v>0.2013888888888889</v>
      </c>
      <c r="K1433" s="266" t="n">
        <v>2840</v>
      </c>
      <c r="L1433" s="308" t="n"/>
      <c r="M1433" s="113" t="n"/>
      <c r="N1433" s="113" t="n"/>
      <c r="O1433" s="113" t="n"/>
      <c r="P1433" s="243" t="n"/>
      <c r="Q1433" s="113" t="n"/>
      <c r="R1433" s="113" t="n"/>
    </row>
    <row r="1434" ht="15.75" customHeight="1">
      <c r="A1434" s="113" t="n"/>
      <c r="B1434" s="146" t="n">
        <v>26</v>
      </c>
      <c r="C1434" s="350" t="n">
        <v>45980</v>
      </c>
      <c r="D1434" s="351" t="n">
        <v>5</v>
      </c>
      <c r="E1434" s="264" t="inlineStr">
        <is>
          <t>MALAGUEÑA</t>
        </is>
      </c>
      <c r="F1434" s="264" t="inlineStr">
        <is>
          <t>ABONEROS</t>
        </is>
      </c>
      <c r="G1434" s="264" t="n">
        <v>9</v>
      </c>
      <c r="H1434" s="264" t="inlineStr">
        <is>
          <t>JOSE HERRERA</t>
        </is>
      </c>
      <c r="I1434" s="264" t="inlineStr">
        <is>
          <t>LQO745</t>
        </is>
      </c>
      <c r="J1434" s="265" t="n">
        <v>0.2409722222222222</v>
      </c>
      <c r="K1434" s="266" t="n">
        <v>2840</v>
      </c>
      <c r="L1434" s="308" t="n"/>
      <c r="M1434" s="113" t="n"/>
      <c r="N1434" s="113" t="n"/>
      <c r="O1434" s="113" t="n"/>
      <c r="P1434" s="243" t="n"/>
      <c r="Q1434" s="113" t="n"/>
      <c r="R1434" s="113" t="n"/>
    </row>
    <row r="1435" ht="15.75" customHeight="1">
      <c r="A1435" s="113" t="n"/>
      <c r="B1435" s="146" t="n">
        <v>26</v>
      </c>
      <c r="C1435" s="350" t="n">
        <v>45980</v>
      </c>
      <c r="D1435" s="351" t="n">
        <v>6</v>
      </c>
      <c r="E1435" s="264" t="inlineStr">
        <is>
          <t xml:space="preserve">SAN JOSE </t>
        </is>
      </c>
      <c r="F1435" s="264" t="inlineStr">
        <is>
          <t>CARGUEROS</t>
        </is>
      </c>
      <c r="G1435" s="264" t="n">
        <v>11</v>
      </c>
      <c r="H1435" s="264" t="inlineStr">
        <is>
          <t>FABIO ALDANA</t>
        </is>
      </c>
      <c r="I1435" s="264" t="inlineStr">
        <is>
          <t>TLO882</t>
        </is>
      </c>
      <c r="J1435" s="265" t="n">
        <v>0.1527777777777778</v>
      </c>
      <c r="K1435" s="266" t="n">
        <v>2900</v>
      </c>
      <c r="L1435" s="308" t="n"/>
      <c r="M1435" s="113" t="n"/>
      <c r="N1435" s="113" t="n"/>
      <c r="O1435" s="113" t="n"/>
      <c r="P1435" s="243" t="n"/>
      <c r="Q1435" s="113" t="n"/>
      <c r="R1435" s="113" t="n"/>
    </row>
    <row r="1436" ht="15.75" customHeight="1">
      <c r="A1436" s="113" t="n"/>
      <c r="B1436" s="146" t="n">
        <v>26</v>
      </c>
      <c r="C1436" s="350" t="n">
        <v>45980</v>
      </c>
      <c r="D1436" s="351" t="n">
        <v>7</v>
      </c>
      <c r="E1436" s="264" t="inlineStr">
        <is>
          <t xml:space="preserve">SAN JOSE </t>
        </is>
      </c>
      <c r="F1436" s="264" t="inlineStr">
        <is>
          <t>CARGUEROS</t>
        </is>
      </c>
      <c r="G1436" s="264" t="n">
        <v>11</v>
      </c>
      <c r="H1436" s="264" t="inlineStr">
        <is>
          <t>YAIR RIVEROS</t>
        </is>
      </c>
      <c r="I1436" s="264" t="inlineStr">
        <is>
          <t>TLN181</t>
        </is>
      </c>
      <c r="J1436" s="265" t="n">
        <v>0.1736111111111111</v>
      </c>
      <c r="K1436" s="266" t="n">
        <v>2740</v>
      </c>
      <c r="L1436" s="308" t="n"/>
      <c r="M1436" s="113" t="n"/>
      <c r="N1436" s="113" t="n"/>
      <c r="O1436" s="113" t="n"/>
      <c r="P1436" s="243" t="n"/>
      <c r="Q1436" s="113" t="n"/>
      <c r="R1436" s="113" t="n"/>
    </row>
    <row r="1437" ht="15.75" customHeight="1">
      <c r="A1437" s="113" t="n"/>
      <c r="B1437" s="146" t="n">
        <v>26</v>
      </c>
      <c r="C1437" s="350" t="n">
        <v>45980</v>
      </c>
      <c r="D1437" s="351" t="n">
        <v>8</v>
      </c>
      <c r="E1437" s="264" t="inlineStr">
        <is>
          <t xml:space="preserve">SAN JOSE </t>
        </is>
      </c>
      <c r="F1437" s="264" t="inlineStr">
        <is>
          <t>CARGUEROS</t>
        </is>
      </c>
      <c r="G1437" s="264" t="n">
        <v>11</v>
      </c>
      <c r="H1437" s="264" t="inlineStr">
        <is>
          <t>FABIO ALDANA</t>
        </is>
      </c>
      <c r="I1437" s="264" t="inlineStr">
        <is>
          <t>KLN076</t>
        </is>
      </c>
      <c r="J1437" s="265" t="n">
        <v>0.2083333333333333</v>
      </c>
      <c r="K1437" s="266" t="n">
        <v>2740</v>
      </c>
      <c r="L1437" s="308" t="n"/>
      <c r="M1437" s="113" t="n"/>
      <c r="N1437" s="113" t="n"/>
      <c r="O1437" s="113" t="n"/>
      <c r="P1437" s="243" t="n"/>
      <c r="Q1437" s="113" t="n"/>
      <c r="R1437" s="113" t="n"/>
    </row>
    <row r="1438" ht="15.75" customHeight="1">
      <c r="A1438" s="113" t="n"/>
      <c r="B1438" s="146" t="n">
        <v>26</v>
      </c>
      <c r="C1438" s="350" t="n">
        <v>45980</v>
      </c>
      <c r="D1438" s="351" t="n">
        <v>9</v>
      </c>
      <c r="E1438" s="264" t="inlineStr">
        <is>
          <t xml:space="preserve">SAN JOSE </t>
        </is>
      </c>
      <c r="F1438" s="264" t="inlineStr">
        <is>
          <t>CARGUEROS</t>
        </is>
      </c>
      <c r="G1438" s="264" t="n">
        <v>11</v>
      </c>
      <c r="H1438" s="264" t="inlineStr">
        <is>
          <t>MANUEL QUITIAN</t>
        </is>
      </c>
      <c r="I1438" s="264" t="inlineStr">
        <is>
          <t>KUS176</t>
        </is>
      </c>
      <c r="J1438" s="265" t="n">
        <v>0.28125</v>
      </c>
      <c r="K1438" s="266" t="n">
        <v>2740</v>
      </c>
      <c r="L1438" s="308" t="n"/>
      <c r="M1438" s="113" t="n"/>
      <c r="N1438" s="113" t="n"/>
      <c r="O1438" s="113" t="n"/>
      <c r="P1438" s="243" t="n"/>
      <c r="Q1438" s="113" t="n"/>
      <c r="R1438" s="113" t="n"/>
    </row>
    <row r="1439" ht="15.75" customHeight="1">
      <c r="A1439" s="113" t="n"/>
      <c r="B1439" s="146" t="n">
        <v>26</v>
      </c>
      <c r="C1439" s="350" t="n">
        <v>45980</v>
      </c>
      <c r="D1439" s="351" t="n">
        <v>10</v>
      </c>
      <c r="E1439" s="264" t="inlineStr">
        <is>
          <t xml:space="preserve">SAN JOSE </t>
        </is>
      </c>
      <c r="F1439" s="264" t="inlineStr">
        <is>
          <t>CARGUEROS</t>
        </is>
      </c>
      <c r="G1439" s="264" t="n">
        <v>11</v>
      </c>
      <c r="H1439" s="264" t="inlineStr">
        <is>
          <t xml:space="preserve">ALBERTO HERRERA </t>
        </is>
      </c>
      <c r="I1439" s="264" t="inlineStr">
        <is>
          <t>LQO745</t>
        </is>
      </c>
      <c r="J1439" s="265" t="inlineStr">
        <is>
          <t xml:space="preserve">8.55 SM </t>
        </is>
      </c>
      <c r="K1439" s="266" t="n">
        <v>3180</v>
      </c>
      <c r="L1439" s="308" t="n"/>
      <c r="M1439" s="113" t="n"/>
      <c r="N1439" s="113" t="n"/>
      <c r="O1439" s="113" t="n"/>
      <c r="P1439" s="243" t="n"/>
      <c r="Q1439" s="113" t="n"/>
      <c r="R1439" s="113" t="n"/>
    </row>
    <row r="1440" ht="15.75" customHeight="1">
      <c r="A1440" s="113" t="n"/>
      <c r="B1440" s="146" t="n">
        <v>26</v>
      </c>
      <c r="C1440" s="350" t="n">
        <v>45980</v>
      </c>
      <c r="D1440" s="351" t="n">
        <v>11</v>
      </c>
      <c r="E1440" s="264" t="inlineStr">
        <is>
          <t xml:space="preserve">SAN JOSE </t>
        </is>
      </c>
      <c r="F1440" s="264" t="inlineStr">
        <is>
          <t>CARGUEROS</t>
        </is>
      </c>
      <c r="G1440" s="264" t="n">
        <v>11</v>
      </c>
      <c r="H1440" s="264" t="inlineStr">
        <is>
          <t>FABIO ALDANA</t>
        </is>
      </c>
      <c r="I1440" s="264" t="inlineStr">
        <is>
          <t>TLO882</t>
        </is>
      </c>
      <c r="J1440" s="265" t="n">
        <v>0.40625</v>
      </c>
      <c r="K1440" s="266" t="n">
        <v>3180</v>
      </c>
      <c r="L1440" s="308" t="n"/>
      <c r="M1440" s="113" t="n"/>
      <c r="N1440" s="113" t="n"/>
      <c r="O1440" s="113" t="n"/>
      <c r="P1440" s="243" t="n"/>
      <c r="Q1440" s="113" t="n"/>
      <c r="R1440" s="113" t="n"/>
    </row>
    <row r="1441" ht="15.75" customHeight="1">
      <c r="A1441" s="113" t="n"/>
      <c r="B1441" s="146" t="n">
        <v>26</v>
      </c>
      <c r="C1441" s="350" t="n">
        <v>45980</v>
      </c>
      <c r="D1441" s="351" t="n">
        <v>12</v>
      </c>
      <c r="E1441" s="264" t="inlineStr">
        <is>
          <t xml:space="preserve">SAN JOSE </t>
        </is>
      </c>
      <c r="F1441" s="264" t="inlineStr">
        <is>
          <t>CARGUEROS</t>
        </is>
      </c>
      <c r="G1441" s="264" t="n">
        <v>11</v>
      </c>
      <c r="H1441" s="264" t="inlineStr">
        <is>
          <t>DIEGO NIPÑO</t>
        </is>
      </c>
      <c r="I1441" s="264" t="inlineStr">
        <is>
          <t>KLN076</t>
        </is>
      </c>
      <c r="J1441" s="265" t="n">
        <v>0.4409722222222222</v>
      </c>
      <c r="K1441" s="266" t="n">
        <v>3180</v>
      </c>
      <c r="L1441" s="308" t="n"/>
      <c r="M1441" s="113" t="n"/>
      <c r="N1441" s="113" t="n"/>
      <c r="O1441" s="113" t="n"/>
      <c r="P1441" s="243" t="n"/>
      <c r="Q1441" s="113" t="n"/>
      <c r="R1441" s="113" t="n"/>
    </row>
    <row r="1442" ht="15.75" customHeight="1">
      <c r="A1442" s="113" t="n"/>
      <c r="B1442" s="146" t="n">
        <v>26</v>
      </c>
      <c r="C1442" s="350" t="n">
        <v>45980</v>
      </c>
      <c r="D1442" s="351" t="n">
        <v>13</v>
      </c>
      <c r="E1442" s="264" t="inlineStr">
        <is>
          <t xml:space="preserve">SAN JOSE </t>
        </is>
      </c>
      <c r="F1442" s="264" t="inlineStr">
        <is>
          <t>CARGUEROS</t>
        </is>
      </c>
      <c r="G1442" s="264" t="n">
        <v>11</v>
      </c>
      <c r="H1442" s="264" t="inlineStr">
        <is>
          <t>YAIR RIVEROS</t>
        </is>
      </c>
      <c r="I1442" s="264" t="inlineStr">
        <is>
          <t>TLN181</t>
        </is>
      </c>
      <c r="J1442" s="265" t="n">
        <v>0.4722222222222222</v>
      </c>
      <c r="K1442" s="266" t="n">
        <v>3180</v>
      </c>
      <c r="L1442" s="308" t="n"/>
      <c r="M1442" s="113" t="n"/>
      <c r="N1442" s="113" t="n"/>
      <c r="O1442" s="113" t="n"/>
      <c r="P1442" s="243" t="n"/>
      <c r="Q1442" s="113" t="n"/>
      <c r="R1442" s="113" t="n"/>
    </row>
    <row r="1443" ht="15.75" customHeight="1">
      <c r="A1443" s="113" t="n"/>
      <c r="B1443" s="146" t="n">
        <v>26</v>
      </c>
      <c r="C1443" s="350" t="n">
        <v>45980</v>
      </c>
      <c r="D1443" s="351" t="n">
        <v>14</v>
      </c>
      <c r="E1443" s="264" t="inlineStr">
        <is>
          <t xml:space="preserve">SAN JOSE </t>
        </is>
      </c>
      <c r="F1443" s="264" t="inlineStr">
        <is>
          <t>CARGUEROS</t>
        </is>
      </c>
      <c r="G1443" s="264" t="n">
        <v>11</v>
      </c>
      <c r="H1443" s="264" t="inlineStr">
        <is>
          <t>MANUEL QUITIAN</t>
        </is>
      </c>
      <c r="I1443" s="264" t="inlineStr">
        <is>
          <t>KUS176</t>
        </is>
      </c>
      <c r="J1443" s="265" t="n">
        <v>0.5208333333333334</v>
      </c>
      <c r="K1443" s="266" t="n">
        <v>3280</v>
      </c>
      <c r="L1443" s="308" t="n"/>
      <c r="M1443" s="113" t="n"/>
      <c r="N1443" s="113" t="n"/>
      <c r="O1443" s="113" t="n"/>
      <c r="P1443" s="243" t="n"/>
      <c r="Q1443" s="113" t="n"/>
      <c r="R1443" s="113" t="n"/>
    </row>
    <row r="1444" ht="15.75" customHeight="1">
      <c r="A1444" s="113" t="n"/>
      <c r="B1444" s="146" t="n">
        <v>26</v>
      </c>
      <c r="C1444" s="350" t="n">
        <v>45980</v>
      </c>
      <c r="D1444" s="351" t="n">
        <v>15</v>
      </c>
      <c r="E1444" s="264" t="inlineStr">
        <is>
          <t xml:space="preserve">SAN JOSE </t>
        </is>
      </c>
      <c r="F1444" s="264" t="inlineStr">
        <is>
          <t>CARGUEROS</t>
        </is>
      </c>
      <c r="G1444" s="264" t="n">
        <v>11</v>
      </c>
      <c r="H1444" s="264" t="inlineStr">
        <is>
          <t>JAIRO CUBILLOS</t>
        </is>
      </c>
      <c r="I1444" s="264" t="inlineStr">
        <is>
          <t>TLN248</t>
        </is>
      </c>
      <c r="J1444" s="265" t="n">
        <v>0.5902777777777778</v>
      </c>
      <c r="K1444" s="266" t="n">
        <v>2780</v>
      </c>
      <c r="L1444" s="308" t="n"/>
      <c r="M1444" s="113" t="n"/>
      <c r="N1444" s="113" t="n"/>
      <c r="O1444" s="113" t="n"/>
      <c r="P1444" s="243" t="n"/>
      <c r="Q1444" s="113" t="n"/>
      <c r="R1444" s="113" t="n"/>
    </row>
    <row r="1445" ht="15.75" customHeight="1">
      <c r="A1445" s="113" t="n"/>
      <c r="B1445" s="146" t="n">
        <v>26</v>
      </c>
      <c r="C1445" s="350" t="n">
        <v>45980</v>
      </c>
      <c r="D1445" s="351" t="n">
        <v>16</v>
      </c>
      <c r="E1445" s="264" t="inlineStr">
        <is>
          <t xml:space="preserve">SAN JOSE </t>
        </is>
      </c>
      <c r="F1445" s="264" t="inlineStr">
        <is>
          <t>CARGUEROS</t>
        </is>
      </c>
      <c r="G1445" s="264" t="n">
        <v>11</v>
      </c>
      <c r="H1445" s="264" t="inlineStr">
        <is>
          <t xml:space="preserve">SEBASTIAN HIDALGO </t>
        </is>
      </c>
      <c r="I1445" s="264" t="inlineStr">
        <is>
          <t>EQY779</t>
        </is>
      </c>
      <c r="J1445" s="265" t="n">
        <v>0.625</v>
      </c>
      <c r="K1445" s="266" t="n">
        <v>2780</v>
      </c>
      <c r="L1445" s="309" t="n"/>
      <c r="M1445" s="113" t="n"/>
      <c r="N1445" s="113" t="n"/>
      <c r="O1445" s="113" t="n"/>
      <c r="P1445" s="243" t="n"/>
      <c r="Q1445" s="113" t="n"/>
      <c r="R1445" s="113" t="n"/>
    </row>
    <row r="1446" ht="15.75" customHeight="1">
      <c r="A1446" s="113" t="n"/>
      <c r="B1446" s="146" t="n">
        <v>26</v>
      </c>
      <c r="C1446" s="352" t="n">
        <v>45980</v>
      </c>
      <c r="D1446" s="347" t="n">
        <v>17</v>
      </c>
      <c r="E1446" s="282" t="inlineStr">
        <is>
          <t xml:space="preserve">SAN JOSE </t>
        </is>
      </c>
      <c r="F1446" s="282" t="inlineStr">
        <is>
          <t>CARGUEROS</t>
        </is>
      </c>
      <c r="G1446" s="282" t="n">
        <v>11</v>
      </c>
      <c r="H1446" s="282" t="inlineStr">
        <is>
          <t>ALEXANDER CHAGUALA</t>
        </is>
      </c>
      <c r="I1446" s="282" t="inlineStr">
        <is>
          <t>KLN076</t>
        </is>
      </c>
      <c r="J1446" s="283" t="n">
        <v>0.6701388888888888</v>
      </c>
      <c r="K1446" s="284" t="n">
        <v>2780</v>
      </c>
      <c r="L1446" s="353">
        <f>SUM(K1430:K1446)</f>
        <v/>
      </c>
      <c r="M1446" s="113" t="n"/>
      <c r="N1446" s="113" t="n"/>
      <c r="O1446" s="113" t="n"/>
      <c r="P1446" s="243" t="n"/>
      <c r="Q1446" s="113" t="n"/>
      <c r="R1446" s="113" t="n"/>
    </row>
    <row r="1447" ht="15.75" customHeight="1">
      <c r="A1447" s="113" t="n"/>
      <c r="B1447" s="146" t="n">
        <v>26</v>
      </c>
      <c r="C1447" s="348" t="n">
        <v>45981</v>
      </c>
      <c r="D1447" s="349" t="n">
        <v>1</v>
      </c>
      <c r="E1447" s="258" t="inlineStr">
        <is>
          <t>MALAGUEÑA</t>
        </is>
      </c>
      <c r="F1447" s="258" t="inlineStr">
        <is>
          <t>CARGUEROS</t>
        </is>
      </c>
      <c r="G1447" s="258" t="n">
        <v>11</v>
      </c>
      <c r="H1447" s="258" t="inlineStr">
        <is>
          <t>MANUEL QUINTIAN</t>
        </is>
      </c>
      <c r="I1447" s="258" t="inlineStr">
        <is>
          <t>KUS176</t>
        </is>
      </c>
      <c r="J1447" s="259" t="n">
        <v>0.03819444444444445</v>
      </c>
      <c r="K1447" s="260" t="n">
        <v>3050</v>
      </c>
      <c r="L1447" s="292" t="n"/>
      <c r="M1447" s="113" t="n"/>
      <c r="N1447" s="113" t="n"/>
      <c r="O1447" s="113" t="n"/>
      <c r="P1447" s="243" t="n"/>
      <c r="Q1447" s="113" t="n"/>
      <c r="R1447" s="113" t="n"/>
    </row>
    <row r="1448" ht="15.75" customHeight="1">
      <c r="A1448" s="113" t="n"/>
      <c r="B1448" s="146" t="n">
        <v>26</v>
      </c>
      <c r="C1448" s="350" t="n">
        <v>45981</v>
      </c>
      <c r="D1448" s="351" t="n">
        <v>2</v>
      </c>
      <c r="E1448" s="264" t="inlineStr">
        <is>
          <t>MALAGUEÑA</t>
        </is>
      </c>
      <c r="F1448" s="264" t="inlineStr">
        <is>
          <t>CARGUEROS</t>
        </is>
      </c>
      <c r="G1448" s="264" t="n">
        <v>11</v>
      </c>
      <c r="H1448" s="264" t="inlineStr">
        <is>
          <t>DIEGO NIÑO</t>
        </is>
      </c>
      <c r="I1448" s="264" t="inlineStr">
        <is>
          <t>GZZ673</t>
        </is>
      </c>
      <c r="J1448" s="265" t="n">
        <v>0.0763888888888889</v>
      </c>
      <c r="K1448" s="266" t="n">
        <v>3050</v>
      </c>
      <c r="L1448" s="308" t="n"/>
      <c r="M1448" s="113" t="n"/>
      <c r="N1448" s="113" t="n"/>
      <c r="O1448" s="113" t="n"/>
      <c r="P1448" s="243" t="n"/>
      <c r="Q1448" s="113" t="n"/>
      <c r="R1448" s="113" t="n"/>
    </row>
    <row r="1449" ht="15.75" customHeight="1">
      <c r="A1449" s="113" t="n"/>
      <c r="B1449" s="146" t="n">
        <v>26</v>
      </c>
      <c r="C1449" s="350" t="n">
        <v>45981</v>
      </c>
      <c r="D1449" s="351" t="n">
        <v>3</v>
      </c>
      <c r="E1449" s="264" t="inlineStr">
        <is>
          <t>MALAGUEÑA</t>
        </is>
      </c>
      <c r="F1449" s="264" t="inlineStr">
        <is>
          <t>CARGUEROS</t>
        </is>
      </c>
      <c r="G1449" s="264" t="n">
        <v>11</v>
      </c>
      <c r="H1449" s="264" t="inlineStr">
        <is>
          <t>ROBINSON PULIDO</t>
        </is>
      </c>
      <c r="I1449" s="264" t="inlineStr">
        <is>
          <t>TLO881</t>
        </is>
      </c>
      <c r="J1449" s="265" t="n">
        <v>0.1180555555555556</v>
      </c>
      <c r="K1449" s="266" t="n">
        <v>3050</v>
      </c>
      <c r="L1449" s="308" t="n"/>
      <c r="M1449" s="113" t="n"/>
      <c r="N1449" s="113" t="n"/>
      <c r="O1449" s="113" t="n"/>
      <c r="P1449" s="243" t="n"/>
      <c r="Q1449" s="113" t="n"/>
      <c r="R1449" s="113" t="n"/>
    </row>
    <row r="1450" ht="15.75" customHeight="1">
      <c r="A1450" s="113" t="n"/>
      <c r="B1450" s="146" t="n">
        <v>26</v>
      </c>
      <c r="C1450" s="350" t="n">
        <v>45981</v>
      </c>
      <c r="D1450" s="351" t="n">
        <v>4</v>
      </c>
      <c r="E1450" s="264" t="inlineStr">
        <is>
          <t>MALAGUEÑA</t>
        </is>
      </c>
      <c r="F1450" s="264" t="inlineStr">
        <is>
          <t>CARGUEROS</t>
        </is>
      </c>
      <c r="G1450" s="264" t="n">
        <v>11</v>
      </c>
      <c r="H1450" s="264" t="inlineStr">
        <is>
          <t>YAIR RIVEROS</t>
        </is>
      </c>
      <c r="I1450" s="264" t="inlineStr">
        <is>
          <t>TLN181</t>
        </is>
      </c>
      <c r="J1450" s="265" t="n">
        <v>0.1597222222222222</v>
      </c>
      <c r="K1450" s="266" t="n">
        <v>2600</v>
      </c>
      <c r="L1450" s="308" t="n"/>
      <c r="M1450" s="113" t="n"/>
      <c r="N1450" s="113" t="n"/>
      <c r="O1450" s="113" t="n"/>
      <c r="P1450" s="243" t="n"/>
      <c r="Q1450" s="113" t="n"/>
      <c r="R1450" s="113" t="n"/>
    </row>
    <row r="1451" ht="15.75" customHeight="1">
      <c r="A1451" s="113" t="n"/>
      <c r="B1451" s="146" t="n">
        <v>26</v>
      </c>
      <c r="C1451" s="350" t="n">
        <v>45981</v>
      </c>
      <c r="D1451" s="351" t="n">
        <v>6</v>
      </c>
      <c r="E1451" s="264" t="inlineStr">
        <is>
          <t xml:space="preserve">SAN JOSE </t>
        </is>
      </c>
      <c r="F1451" s="264" t="inlineStr">
        <is>
          <t>ABONEROS</t>
        </is>
      </c>
      <c r="G1451" s="264" t="n">
        <v>10</v>
      </c>
      <c r="H1451" s="264" t="inlineStr">
        <is>
          <t xml:space="preserve">ALEX CHAGUALA </t>
        </is>
      </c>
      <c r="I1451" s="264" t="inlineStr">
        <is>
          <t>KLN076</t>
        </is>
      </c>
      <c r="J1451" s="265" t="n">
        <v>0.3513888888888889</v>
      </c>
      <c r="K1451" s="266" t="n">
        <v>2500</v>
      </c>
      <c r="L1451" s="308" t="n"/>
      <c r="M1451" s="113" t="n"/>
      <c r="N1451" s="113" t="n"/>
      <c r="O1451" s="113" t="n"/>
      <c r="P1451" s="243" t="n"/>
      <c r="Q1451" s="113" t="n"/>
      <c r="R1451" s="113" t="n"/>
    </row>
    <row r="1452" ht="15.75" customHeight="1">
      <c r="A1452" s="113" t="n"/>
      <c r="B1452" s="146" t="n">
        <v>26</v>
      </c>
      <c r="C1452" s="350" t="n">
        <v>45981</v>
      </c>
      <c r="D1452" s="351" t="n">
        <v>7</v>
      </c>
      <c r="E1452" s="264" t="inlineStr">
        <is>
          <t xml:space="preserve">SAN JOSE </t>
        </is>
      </c>
      <c r="F1452" s="264" t="inlineStr">
        <is>
          <t>ABONEROS</t>
        </is>
      </c>
      <c r="G1452" s="264" t="n">
        <v>10</v>
      </c>
      <c r="H1452" s="264" t="inlineStr">
        <is>
          <t>DIEGO NIÑO</t>
        </is>
      </c>
      <c r="I1452" s="264" t="inlineStr">
        <is>
          <t>GZZ673</t>
        </is>
      </c>
      <c r="J1452" s="265" t="n">
        <v>0.38125</v>
      </c>
      <c r="K1452" s="266" t="n">
        <v>2500</v>
      </c>
      <c r="L1452" s="309" t="n"/>
      <c r="M1452" s="113" t="n"/>
      <c r="N1452" s="113" t="n"/>
      <c r="O1452" s="113" t="n"/>
      <c r="P1452" s="243" t="n"/>
      <c r="Q1452" s="113" t="n"/>
      <c r="R1452" s="113" t="n"/>
    </row>
    <row r="1453" ht="15.75" customHeight="1">
      <c r="A1453" s="113" t="n"/>
      <c r="B1453" s="146" t="n">
        <v>26</v>
      </c>
      <c r="C1453" s="356" t="n">
        <v>45981</v>
      </c>
      <c r="D1453" s="357" t="n">
        <v>8</v>
      </c>
      <c r="E1453" s="271" t="inlineStr">
        <is>
          <t xml:space="preserve">SAN JOSE </t>
        </is>
      </c>
      <c r="F1453" s="271" t="inlineStr">
        <is>
          <t>ABONEROS</t>
        </is>
      </c>
      <c r="G1453" s="271" t="n">
        <v>10</v>
      </c>
      <c r="H1453" s="271" t="inlineStr">
        <is>
          <t>YAIR RIVEROS</t>
        </is>
      </c>
      <c r="I1453" s="271" t="inlineStr">
        <is>
          <t>TLN181</t>
        </is>
      </c>
      <c r="J1453" s="272" t="n">
        <v>0.4291666666666666</v>
      </c>
      <c r="K1453" s="273" t="n">
        <v>3260</v>
      </c>
      <c r="L1453" s="378">
        <f>SUM(K1447:K1453)</f>
        <v/>
      </c>
      <c r="M1453" s="113" t="n"/>
      <c r="N1453" s="113" t="n"/>
      <c r="O1453" s="113" t="n"/>
      <c r="P1453" s="243" t="n"/>
      <c r="Q1453" s="113" t="n"/>
      <c r="R1453" s="113" t="n"/>
    </row>
    <row r="1454" ht="15.75" customHeight="1">
      <c r="A1454" s="113" t="n"/>
      <c r="B1454" s="146" t="n">
        <v>26</v>
      </c>
      <c r="C1454" s="348" t="n">
        <v>45982</v>
      </c>
      <c r="D1454" s="349" t="n">
        <v>1</v>
      </c>
      <c r="E1454" s="258" t="inlineStr">
        <is>
          <t>MALAGUEÑA</t>
        </is>
      </c>
      <c r="F1454" s="258" t="inlineStr">
        <is>
          <t>CARGUEROS</t>
        </is>
      </c>
      <c r="G1454" s="258" t="n">
        <v>11</v>
      </c>
      <c r="H1454" s="258" t="inlineStr">
        <is>
          <t xml:space="preserve">ALBERTO HERRERA </t>
        </is>
      </c>
      <c r="I1454" s="258" t="inlineStr">
        <is>
          <t>LQO745</t>
        </is>
      </c>
      <c r="J1454" s="259" t="n">
        <v>0.04861111111111111</v>
      </c>
      <c r="K1454" s="260" t="n">
        <v>3040</v>
      </c>
      <c r="L1454" s="292" t="n"/>
      <c r="M1454" s="113" t="n"/>
      <c r="N1454" s="113" t="n"/>
      <c r="O1454" s="113" t="n"/>
      <c r="P1454" s="243" t="n"/>
      <c r="Q1454" s="113" t="n"/>
      <c r="R1454" s="113" t="n"/>
    </row>
    <row r="1455" ht="15.75" customHeight="1">
      <c r="A1455" s="113" t="n"/>
      <c r="B1455" s="146" t="n">
        <v>26</v>
      </c>
      <c r="C1455" s="350" t="n">
        <v>45982</v>
      </c>
      <c r="D1455" s="351" t="n">
        <v>2</v>
      </c>
      <c r="E1455" s="264" t="inlineStr">
        <is>
          <t>MALAGUEÑA</t>
        </is>
      </c>
      <c r="F1455" s="264" t="inlineStr">
        <is>
          <t>CARGUEROS</t>
        </is>
      </c>
      <c r="G1455" s="264" t="n">
        <v>11</v>
      </c>
      <c r="H1455" s="264" t="inlineStr">
        <is>
          <t>FABIO ALDANA</t>
        </is>
      </c>
      <c r="I1455" s="264" t="inlineStr">
        <is>
          <t>TLO882</t>
        </is>
      </c>
      <c r="J1455" s="265" t="n">
        <v>0.08333333333333333</v>
      </c>
      <c r="K1455" s="266" t="n">
        <v>3040</v>
      </c>
      <c r="L1455" s="308" t="n"/>
      <c r="M1455" s="113" t="n"/>
      <c r="N1455" s="113" t="n"/>
      <c r="O1455" s="113" t="n"/>
      <c r="P1455" s="243" t="n"/>
      <c r="Q1455" s="113" t="n"/>
      <c r="R1455" s="113" t="n"/>
    </row>
    <row r="1456" ht="15.75" customHeight="1">
      <c r="A1456" s="113" t="n"/>
      <c r="B1456" s="146" t="n">
        <v>26</v>
      </c>
      <c r="C1456" s="350" t="n">
        <v>45982</v>
      </c>
      <c r="D1456" s="351" t="n">
        <v>3</v>
      </c>
      <c r="E1456" s="264" t="inlineStr">
        <is>
          <t>MALAGUEÑA</t>
        </is>
      </c>
      <c r="F1456" s="264" t="inlineStr">
        <is>
          <t>CARGUEROS</t>
        </is>
      </c>
      <c r="G1456" s="264" t="n">
        <v>11</v>
      </c>
      <c r="H1456" s="264" t="inlineStr">
        <is>
          <t>DIEGO NIÑO</t>
        </is>
      </c>
      <c r="I1456" s="264" t="inlineStr">
        <is>
          <t>GZZ673</t>
        </is>
      </c>
      <c r="J1456" s="265" t="n">
        <v>0.1180555555555556</v>
      </c>
      <c r="K1456" s="266" t="n">
        <v>3855</v>
      </c>
      <c r="L1456" s="308" t="n"/>
      <c r="M1456" s="113" t="n"/>
      <c r="N1456" s="113" t="n"/>
      <c r="O1456" s="113" t="n"/>
      <c r="P1456" s="243" t="n"/>
      <c r="Q1456" s="113" t="n"/>
      <c r="R1456" s="113" t="n"/>
    </row>
    <row r="1457" ht="15.75" customHeight="1">
      <c r="A1457" s="113" t="n"/>
      <c r="B1457" s="146" t="n">
        <v>26</v>
      </c>
      <c r="C1457" s="350" t="n">
        <v>45982</v>
      </c>
      <c r="D1457" s="351" t="n">
        <v>4</v>
      </c>
      <c r="E1457" s="264" t="inlineStr">
        <is>
          <t>MALAGUEÑA</t>
        </is>
      </c>
      <c r="F1457" s="264" t="inlineStr">
        <is>
          <t>CARGUEROS</t>
        </is>
      </c>
      <c r="G1457" s="264" t="n">
        <v>11</v>
      </c>
      <c r="H1457" s="264" t="inlineStr">
        <is>
          <t>JAIRO CUBILLOS</t>
        </is>
      </c>
      <c r="I1457" s="264" t="inlineStr">
        <is>
          <t>TLO884</t>
        </is>
      </c>
      <c r="J1457" s="265" t="n">
        <v>0.1666666666666667</v>
      </c>
      <c r="K1457" s="266" t="n">
        <v>3885</v>
      </c>
      <c r="L1457" s="308" t="n"/>
      <c r="M1457" s="113" t="n"/>
      <c r="N1457" s="113" t="n"/>
      <c r="O1457" s="113" t="n"/>
      <c r="P1457" s="243" t="n"/>
      <c r="Q1457" s="113" t="n"/>
      <c r="R1457" s="113" t="n"/>
    </row>
    <row r="1458" ht="15.75" customHeight="1">
      <c r="A1458" s="113" t="n"/>
      <c r="B1458" s="146" t="n">
        <v>26</v>
      </c>
      <c r="C1458" s="350" t="n">
        <v>45982</v>
      </c>
      <c r="D1458" s="351" t="n">
        <v>5</v>
      </c>
      <c r="E1458" s="264" t="inlineStr">
        <is>
          <t xml:space="preserve">SAN JOSE </t>
        </is>
      </c>
      <c r="F1458" s="264" t="inlineStr">
        <is>
          <t>ABONEROS</t>
        </is>
      </c>
      <c r="G1458" s="264" t="n">
        <v>10</v>
      </c>
      <c r="H1458" s="264" t="inlineStr">
        <is>
          <t>EDWIN ROJAS</t>
        </is>
      </c>
      <c r="I1458" s="264" t="inlineStr">
        <is>
          <t>EQY780</t>
        </is>
      </c>
      <c r="J1458" s="265" t="n">
        <v>0.25</v>
      </c>
      <c r="K1458" s="266" t="n">
        <v>2630</v>
      </c>
      <c r="L1458" s="308" t="n"/>
      <c r="M1458" s="113" t="n"/>
      <c r="N1458" s="113" t="n"/>
      <c r="O1458" s="113" t="n"/>
      <c r="P1458" s="243" t="n"/>
      <c r="Q1458" s="113" t="n"/>
      <c r="R1458" s="113" t="n"/>
    </row>
    <row r="1459" ht="15.75" customHeight="1">
      <c r="A1459" s="113" t="n"/>
      <c r="B1459" s="146" t="n">
        <v>26</v>
      </c>
      <c r="C1459" s="350" t="n">
        <v>45982</v>
      </c>
      <c r="D1459" s="351" t="n">
        <v>6</v>
      </c>
      <c r="E1459" s="264" t="inlineStr">
        <is>
          <t xml:space="preserve">SAN JOSE </t>
        </is>
      </c>
      <c r="F1459" s="264" t="inlineStr">
        <is>
          <t>ABONEROS</t>
        </is>
      </c>
      <c r="G1459" s="264" t="n">
        <v>10</v>
      </c>
      <c r="H1459" s="264" t="inlineStr">
        <is>
          <t xml:space="preserve"> HENRY ROMERO</t>
        </is>
      </c>
      <c r="I1459" s="264" t="inlineStr">
        <is>
          <t>EQY781</t>
        </is>
      </c>
      <c r="J1459" s="265" t="n">
        <v>0.2743055555555556</v>
      </c>
      <c r="K1459" s="266" t="n">
        <v>2630</v>
      </c>
      <c r="L1459" s="308" t="n"/>
      <c r="M1459" s="113" t="n"/>
      <c r="N1459" s="113" t="n"/>
      <c r="O1459" s="113" t="n"/>
      <c r="P1459" s="243" t="n"/>
      <c r="Q1459" s="113" t="n"/>
      <c r="R1459" s="113" t="n"/>
    </row>
    <row r="1460" ht="15.75" customHeight="1">
      <c r="A1460" s="113" t="n"/>
      <c r="B1460" s="146" t="n">
        <v>26</v>
      </c>
      <c r="C1460" s="350" t="n">
        <v>45982</v>
      </c>
      <c r="D1460" s="351" t="n">
        <v>7</v>
      </c>
      <c r="E1460" s="264" t="inlineStr">
        <is>
          <t xml:space="preserve">SAN JOSE </t>
        </is>
      </c>
      <c r="F1460" s="264" t="inlineStr">
        <is>
          <t>ABONEROS</t>
        </is>
      </c>
      <c r="G1460" s="264" t="n">
        <v>10</v>
      </c>
      <c r="H1460" s="264" t="inlineStr">
        <is>
          <t>EDUAN CAVIDEZ</t>
        </is>
      </c>
      <c r="I1460" s="264" t="inlineStr">
        <is>
          <t>EQY779</t>
        </is>
      </c>
      <c r="J1460" s="265" t="n">
        <v>0.3208333333333334</v>
      </c>
      <c r="K1460" s="266" t="n">
        <v>3696</v>
      </c>
      <c r="L1460" s="308" t="n"/>
      <c r="M1460" s="113" t="n"/>
      <c r="N1460" s="113" t="n"/>
      <c r="O1460" s="113" t="n"/>
      <c r="P1460" s="243" t="n"/>
      <c r="Q1460" s="113" t="n"/>
      <c r="R1460" s="113" t="n"/>
    </row>
    <row r="1461" ht="15.75" customHeight="1">
      <c r="A1461" s="113" t="n"/>
      <c r="B1461" s="146" t="n">
        <v>26</v>
      </c>
      <c r="C1461" s="350" t="n">
        <v>45982</v>
      </c>
      <c r="D1461" s="351" t="n">
        <v>8</v>
      </c>
      <c r="E1461" s="264" t="inlineStr">
        <is>
          <t xml:space="preserve">SAN JOSE </t>
        </is>
      </c>
      <c r="F1461" s="264" t="inlineStr">
        <is>
          <t>ABONEROS</t>
        </is>
      </c>
      <c r="G1461" s="264" t="n">
        <v>10</v>
      </c>
      <c r="H1461" s="264" t="inlineStr">
        <is>
          <t>FERNANDO OYUELA</t>
        </is>
      </c>
      <c r="I1461" s="264" t="inlineStr">
        <is>
          <t>EQY778</t>
        </is>
      </c>
      <c r="J1461" s="265" t="n">
        <v>0.3645833333333333</v>
      </c>
      <c r="K1461" s="266" t="n">
        <v>2400</v>
      </c>
      <c r="L1461" s="309" t="n"/>
      <c r="M1461" s="113" t="n"/>
      <c r="N1461" s="113" t="n"/>
      <c r="O1461" s="113" t="n"/>
      <c r="P1461" s="243" t="n"/>
      <c r="Q1461" s="113" t="n"/>
      <c r="R1461" s="113" t="n"/>
    </row>
    <row r="1462" ht="15.75" customHeight="1">
      <c r="A1462" s="113" t="n"/>
      <c r="B1462" s="146" t="n">
        <v>26</v>
      </c>
      <c r="C1462" s="356" t="n">
        <v>45982</v>
      </c>
      <c r="D1462" s="357" t="n">
        <v>9</v>
      </c>
      <c r="E1462" s="271" t="inlineStr">
        <is>
          <t xml:space="preserve">SAN JOSE </t>
        </is>
      </c>
      <c r="F1462" s="271" t="inlineStr">
        <is>
          <t>ABONEROS</t>
        </is>
      </c>
      <c r="G1462" s="271" t="n">
        <v>10</v>
      </c>
      <c r="H1462" s="271" t="inlineStr">
        <is>
          <t xml:space="preserve">JOSE SOLER </t>
        </is>
      </c>
      <c r="I1462" s="271" t="inlineStr">
        <is>
          <t>EQY776</t>
        </is>
      </c>
      <c r="J1462" s="272" t="n">
        <v>0.3944444444444444</v>
      </c>
      <c r="K1462" s="273" t="n">
        <v>2400</v>
      </c>
      <c r="L1462" s="378">
        <f>SUM(K1454:K1462)</f>
        <v/>
      </c>
      <c r="M1462" s="113" t="n"/>
      <c r="N1462" s="113" t="n"/>
      <c r="O1462" s="113" t="n"/>
      <c r="P1462" s="243" t="n"/>
      <c r="Q1462" s="113" t="n"/>
      <c r="R1462" s="113" t="n"/>
    </row>
    <row r="1463" ht="15.75" customHeight="1">
      <c r="A1463" s="113" t="n"/>
      <c r="B1463" s="146" t="n">
        <v>26</v>
      </c>
      <c r="C1463" s="348" t="n">
        <v>45983</v>
      </c>
      <c r="D1463" s="349" t="n">
        <v>1</v>
      </c>
      <c r="E1463" s="258" t="inlineStr">
        <is>
          <t>MALAGUEÑA</t>
        </is>
      </c>
      <c r="F1463" s="258" t="inlineStr">
        <is>
          <t>ABONEROS</t>
        </is>
      </c>
      <c r="G1463" s="258" t="n">
        <v>10</v>
      </c>
      <c r="H1463" s="258" t="inlineStr">
        <is>
          <t xml:space="preserve">SEBASTIAN HIDALGO </t>
        </is>
      </c>
      <c r="I1463" s="258" t="inlineStr">
        <is>
          <t>EQY780</t>
        </is>
      </c>
      <c r="J1463" s="259" t="n">
        <v>0.04513888888888889</v>
      </c>
      <c r="K1463" s="260" t="n">
        <v>2530</v>
      </c>
      <c r="L1463" s="292" t="n"/>
      <c r="M1463" s="113" t="n"/>
      <c r="N1463" s="113" t="n"/>
      <c r="O1463" s="113" t="n"/>
      <c r="P1463" s="243" t="n"/>
      <c r="Q1463" s="113" t="n"/>
      <c r="R1463" s="113" t="n"/>
    </row>
    <row r="1464" ht="15.75" customHeight="1">
      <c r="A1464" s="113" t="n"/>
      <c r="B1464" s="146" t="n">
        <v>26</v>
      </c>
      <c r="C1464" s="350" t="n">
        <v>45983</v>
      </c>
      <c r="D1464" s="351" t="n">
        <v>2</v>
      </c>
      <c r="E1464" s="264" t="inlineStr">
        <is>
          <t>MALAGUEÑA</t>
        </is>
      </c>
      <c r="F1464" s="264" t="inlineStr">
        <is>
          <t>ABONEROS</t>
        </is>
      </c>
      <c r="G1464" s="264" t="n">
        <v>10</v>
      </c>
      <c r="H1464" s="264" t="inlineStr">
        <is>
          <t xml:space="preserve">JOSE SOLER </t>
        </is>
      </c>
      <c r="I1464" s="264" t="inlineStr">
        <is>
          <t>EQY776</t>
        </is>
      </c>
      <c r="J1464" s="265" t="n">
        <v>0.08888888888888889</v>
      </c>
      <c r="K1464" s="266" t="n">
        <v>2530</v>
      </c>
      <c r="L1464" s="308" t="n"/>
      <c r="M1464" s="113" t="n"/>
      <c r="N1464" s="113" t="n"/>
      <c r="O1464" s="113" t="n"/>
      <c r="P1464" s="243" t="n"/>
      <c r="Q1464" s="113" t="n"/>
      <c r="R1464" s="113" t="n"/>
    </row>
    <row r="1465" ht="15.75" customHeight="1">
      <c r="A1465" s="113" t="n"/>
      <c r="B1465" s="146" t="n">
        <v>26</v>
      </c>
      <c r="C1465" s="350" t="n">
        <v>45983</v>
      </c>
      <c r="D1465" s="351" t="n">
        <v>3</v>
      </c>
      <c r="E1465" s="264" t="inlineStr">
        <is>
          <t xml:space="preserve">SAN JOSE </t>
        </is>
      </c>
      <c r="F1465" s="264" t="inlineStr">
        <is>
          <t>CARGUEROS</t>
        </is>
      </c>
      <c r="G1465" s="264" t="n">
        <v>11</v>
      </c>
      <c r="H1465" s="264" t="inlineStr">
        <is>
          <t>DIEGO NIÑO</t>
        </is>
      </c>
      <c r="I1465" s="264" t="inlineStr">
        <is>
          <t>GZZ673</t>
        </is>
      </c>
      <c r="J1465" s="265" t="n">
        <v>0.2083333333333333</v>
      </c>
      <c r="K1465" s="266" t="n">
        <v>3370</v>
      </c>
      <c r="L1465" s="308" t="n"/>
      <c r="M1465" s="113" t="n"/>
      <c r="N1465" s="113" t="n"/>
      <c r="O1465" s="113" t="n"/>
      <c r="P1465" s="243" t="n"/>
      <c r="Q1465" s="113" t="n"/>
      <c r="R1465" s="113" t="n"/>
    </row>
    <row r="1466" ht="15.75" customHeight="1">
      <c r="A1466" s="113" t="n"/>
      <c r="B1466" s="146" t="n">
        <v>26</v>
      </c>
      <c r="C1466" s="350" t="n">
        <v>45983</v>
      </c>
      <c r="D1466" s="351" t="n">
        <v>4</v>
      </c>
      <c r="E1466" s="264" t="inlineStr">
        <is>
          <t xml:space="preserve">SAN JOSE </t>
        </is>
      </c>
      <c r="F1466" s="264" t="inlineStr">
        <is>
          <t>CARGUEROS</t>
        </is>
      </c>
      <c r="G1466" s="264" t="n">
        <v>11</v>
      </c>
      <c r="H1466" s="264" t="inlineStr">
        <is>
          <t xml:space="preserve">SEBASTIAN HIDALGO </t>
        </is>
      </c>
      <c r="I1466" s="264" t="inlineStr">
        <is>
          <t>EQY780</t>
        </is>
      </c>
      <c r="J1466" s="265" t="n">
        <v>0.2395833333333333</v>
      </c>
      <c r="K1466" s="266" t="n">
        <v>3370</v>
      </c>
      <c r="L1466" s="308" t="n"/>
      <c r="M1466" s="113" t="n"/>
      <c r="N1466" s="113" t="n"/>
      <c r="O1466" s="113" t="n"/>
      <c r="P1466" s="243" t="n"/>
      <c r="Q1466" s="113" t="n"/>
      <c r="R1466" s="113" t="n"/>
    </row>
    <row r="1467" ht="15.75" customHeight="1">
      <c r="A1467" s="113" t="n"/>
      <c r="B1467" s="146" t="n">
        <v>26</v>
      </c>
      <c r="C1467" s="350" t="n">
        <v>45983</v>
      </c>
      <c r="D1467" s="351" t="n">
        <v>5</v>
      </c>
      <c r="E1467" s="264" t="inlineStr">
        <is>
          <t xml:space="preserve">SAN JOSE </t>
        </is>
      </c>
      <c r="F1467" s="264" t="inlineStr">
        <is>
          <t>CARGUEROS</t>
        </is>
      </c>
      <c r="G1467" s="264" t="n">
        <v>11</v>
      </c>
      <c r="H1467" s="264" t="inlineStr">
        <is>
          <t>ALEXANDER CHAGUALA</t>
        </is>
      </c>
      <c r="I1467" s="264" t="inlineStr">
        <is>
          <t>TLO248</t>
        </is>
      </c>
      <c r="J1467" s="265" t="n">
        <v>0.3472222222222222</v>
      </c>
      <c r="K1467" s="266" t="n">
        <v>3372</v>
      </c>
      <c r="L1467" s="308" t="n"/>
      <c r="M1467" s="113" t="n"/>
      <c r="N1467" s="113" t="n"/>
      <c r="O1467" s="113" t="n"/>
      <c r="P1467" s="243" t="n"/>
      <c r="Q1467" s="113" t="n"/>
      <c r="R1467" s="113" t="n"/>
    </row>
    <row r="1468" ht="15.75" customHeight="1">
      <c r="A1468" s="113" t="n"/>
      <c r="B1468" s="146" t="n">
        <v>26</v>
      </c>
      <c r="C1468" s="350" t="n">
        <v>45983</v>
      </c>
      <c r="D1468" s="351" t="n">
        <v>6</v>
      </c>
      <c r="E1468" s="264" t="inlineStr">
        <is>
          <t xml:space="preserve">SAN JOSE </t>
        </is>
      </c>
      <c r="F1468" s="264" t="inlineStr">
        <is>
          <t>CARGUEROS</t>
        </is>
      </c>
      <c r="G1468" s="264" t="n">
        <v>11</v>
      </c>
      <c r="H1468" s="264" t="inlineStr">
        <is>
          <t xml:space="preserve">MANUEL QUINTIAN </t>
        </is>
      </c>
      <c r="I1468" s="264" t="inlineStr">
        <is>
          <t>KUS176</t>
        </is>
      </c>
      <c r="J1468" s="265" t="n">
        <v>0.3819444444444444</v>
      </c>
      <c r="K1468" s="266" t="n">
        <v>3305</v>
      </c>
      <c r="L1468" s="308" t="n"/>
      <c r="M1468" s="113" t="n"/>
      <c r="N1468" s="113" t="n"/>
      <c r="O1468" s="113" t="n"/>
      <c r="P1468" s="243" t="n"/>
      <c r="Q1468" s="113" t="n"/>
      <c r="R1468" s="113" t="n"/>
    </row>
    <row r="1469" ht="15.75" customHeight="1">
      <c r="A1469" s="113" t="n"/>
      <c r="B1469" s="146" t="n">
        <v>26</v>
      </c>
      <c r="C1469" s="352" t="n">
        <v>45983</v>
      </c>
      <c r="D1469" s="347" t="n">
        <v>7</v>
      </c>
      <c r="E1469" s="282" t="inlineStr">
        <is>
          <t xml:space="preserve">SAN JOSE </t>
        </is>
      </c>
      <c r="F1469" s="264" t="inlineStr">
        <is>
          <t>CARGUEROS</t>
        </is>
      </c>
      <c r="G1469" s="282" t="n">
        <v>10</v>
      </c>
      <c r="H1469" s="264" t="inlineStr">
        <is>
          <t xml:space="preserve">HENRY ROMERO </t>
        </is>
      </c>
      <c r="I1469" s="264" t="inlineStr">
        <is>
          <t>EQY781</t>
        </is>
      </c>
      <c r="J1469" s="265" t="n">
        <v>0.4166666666666667</v>
      </c>
      <c r="K1469" s="266" t="n">
        <v>3305</v>
      </c>
      <c r="L1469" s="309" t="n"/>
      <c r="M1469" s="113" t="n"/>
      <c r="N1469" s="113" t="n"/>
      <c r="O1469" s="113" t="n"/>
      <c r="P1469" s="243" t="n"/>
      <c r="Q1469" s="113" t="n"/>
      <c r="R1469" s="113" t="n"/>
    </row>
    <row r="1470" ht="15.75" customHeight="1">
      <c r="A1470" s="113" t="n"/>
      <c r="B1470" s="146" t="n">
        <v>26</v>
      </c>
      <c r="C1470" s="352" t="n">
        <v>45983</v>
      </c>
      <c r="D1470" s="347" t="n">
        <v>8</v>
      </c>
      <c r="E1470" s="282" t="inlineStr">
        <is>
          <t xml:space="preserve">SAN JOSE </t>
        </is>
      </c>
      <c r="F1470" s="282" t="inlineStr">
        <is>
          <t>CARGUEROS</t>
        </is>
      </c>
      <c r="G1470" s="282" t="n">
        <v>10</v>
      </c>
      <c r="H1470" s="305" t="inlineStr">
        <is>
          <t>EDWIN ROJAS</t>
        </is>
      </c>
      <c r="I1470" s="305" t="inlineStr">
        <is>
          <t>EQY780</t>
        </is>
      </c>
      <c r="J1470" s="306" t="n">
        <v>0.4756944444444444</v>
      </c>
      <c r="K1470" s="307" t="n">
        <v>3305</v>
      </c>
      <c r="L1470" s="353">
        <f>SUM(K1463:K1470)</f>
        <v/>
      </c>
      <c r="M1470" s="113" t="n"/>
      <c r="N1470" s="113" t="n"/>
      <c r="O1470" s="113" t="n"/>
      <c r="P1470" s="243" t="n"/>
      <c r="Q1470" s="113" t="n"/>
      <c r="R1470" s="113" t="n"/>
    </row>
    <row r="1471" ht="15.75" customHeight="1">
      <c r="A1471" s="113" t="n"/>
      <c r="B1471" s="146" t="n">
        <v>27</v>
      </c>
      <c r="C1471" s="348" t="n">
        <v>45984</v>
      </c>
      <c r="D1471" s="349" t="n">
        <v>1</v>
      </c>
      <c r="E1471" s="258" t="inlineStr">
        <is>
          <t>MALAGUEÑA</t>
        </is>
      </c>
      <c r="F1471" s="258" t="inlineStr">
        <is>
          <t>ABONEROS</t>
        </is>
      </c>
      <c r="G1471" s="258" t="n">
        <v>10</v>
      </c>
      <c r="H1471" s="258" t="inlineStr">
        <is>
          <t xml:space="preserve">MERVIN CORTEZ </t>
        </is>
      </c>
      <c r="I1471" s="258" t="inlineStr">
        <is>
          <t>TLN180</t>
        </is>
      </c>
      <c r="J1471" s="259" t="n">
        <v>0.5729166666666666</v>
      </c>
      <c r="K1471" s="260" t="n">
        <v>2700</v>
      </c>
      <c r="L1471" s="292" t="n"/>
      <c r="M1471" s="113" t="n"/>
      <c r="N1471" s="113" t="n"/>
      <c r="O1471" s="113" t="n"/>
      <c r="P1471" s="243" t="n"/>
      <c r="Q1471" s="113" t="n"/>
      <c r="R1471" s="113" t="n"/>
    </row>
    <row r="1472" ht="15.75" customHeight="1">
      <c r="A1472" s="113" t="n"/>
      <c r="B1472" s="146" t="n">
        <v>27</v>
      </c>
      <c r="C1472" s="350" t="n">
        <v>45984</v>
      </c>
      <c r="D1472" s="351" t="n">
        <v>2</v>
      </c>
      <c r="E1472" s="264" t="inlineStr">
        <is>
          <t>MALAGUEÑA</t>
        </is>
      </c>
      <c r="F1472" s="264" t="inlineStr">
        <is>
          <t>ABONEROS</t>
        </is>
      </c>
      <c r="G1472" s="264" t="n">
        <v>10</v>
      </c>
      <c r="H1472" s="264" t="inlineStr">
        <is>
          <t xml:space="preserve">LEONARDO LUGO </t>
        </is>
      </c>
      <c r="I1472" s="264" t="inlineStr">
        <is>
          <t>SXM804</t>
        </is>
      </c>
      <c r="J1472" s="265" t="n">
        <v>0.6111111111111112</v>
      </c>
      <c r="K1472" s="266" t="n">
        <v>2550</v>
      </c>
      <c r="L1472" s="308" t="n"/>
      <c r="M1472" s="113" t="n"/>
      <c r="N1472" s="113" t="n"/>
      <c r="O1472" s="113" t="n"/>
      <c r="P1472" s="243" t="n"/>
      <c r="Q1472" s="113" t="n"/>
      <c r="R1472" s="113" t="n"/>
    </row>
    <row r="1473" ht="15.75" customHeight="1">
      <c r="A1473" s="113" t="n"/>
      <c r="B1473" s="146" t="n">
        <v>27</v>
      </c>
      <c r="C1473" s="352" t="n">
        <v>45984</v>
      </c>
      <c r="D1473" s="347" t="n">
        <v>3</v>
      </c>
      <c r="E1473" s="282" t="inlineStr">
        <is>
          <t>MALAGUEÑA</t>
        </is>
      </c>
      <c r="F1473" s="282" t="inlineStr">
        <is>
          <t>ABONEROS</t>
        </is>
      </c>
      <c r="G1473" s="282" t="n">
        <v>10</v>
      </c>
      <c r="H1473" s="282" t="inlineStr">
        <is>
          <t>MARCO OSPINA</t>
        </is>
      </c>
      <c r="I1473" s="282" t="inlineStr">
        <is>
          <t>EQY688</t>
        </is>
      </c>
      <c r="J1473" s="283" t="n">
        <v>0.6569444444444444</v>
      </c>
      <c r="K1473" s="318" t="n">
        <v>2550</v>
      </c>
      <c r="L1473" s="354">
        <f>SUM(K1471:K1473)</f>
        <v/>
      </c>
      <c r="M1473" s="113" t="n"/>
      <c r="N1473" s="113" t="n"/>
      <c r="O1473" s="113" t="n"/>
      <c r="P1473" s="243" t="n"/>
      <c r="Q1473" s="113" t="n"/>
      <c r="R1473" s="113" t="n"/>
    </row>
    <row r="1474" ht="15.75" customHeight="1">
      <c r="A1474" s="113" t="n"/>
      <c r="B1474" s="146" t="n">
        <v>27</v>
      </c>
      <c r="C1474" s="348" t="n">
        <v>45985</v>
      </c>
      <c r="D1474" s="349" t="n">
        <v>1</v>
      </c>
      <c r="E1474" s="258" t="inlineStr">
        <is>
          <t>MALAGUEÑA</t>
        </is>
      </c>
      <c r="F1474" s="258" t="inlineStr">
        <is>
          <t>ABONEROS</t>
        </is>
      </c>
      <c r="G1474" s="258" t="n">
        <v>11</v>
      </c>
      <c r="H1474" s="258" t="inlineStr">
        <is>
          <t>MANUEL QUITIAN</t>
        </is>
      </c>
      <c r="I1474" s="258" t="inlineStr">
        <is>
          <t>KUS176</t>
        </is>
      </c>
      <c r="J1474" s="259" t="n">
        <v>0.2020833333333333</v>
      </c>
      <c r="K1474" s="260" t="n">
        <v>2680</v>
      </c>
      <c r="L1474" s="292" t="n"/>
      <c r="M1474" s="113" t="n"/>
      <c r="N1474" s="113" t="n"/>
      <c r="O1474" s="113" t="n"/>
      <c r="P1474" s="243" t="n"/>
      <c r="Q1474" s="113" t="n"/>
      <c r="R1474" s="113" t="n"/>
    </row>
    <row r="1475" ht="15.75" customHeight="1">
      <c r="A1475" s="113" t="n"/>
      <c r="B1475" s="146" t="n">
        <v>27</v>
      </c>
      <c r="C1475" s="350" t="n">
        <v>45985</v>
      </c>
      <c r="D1475" s="351" t="n">
        <v>2</v>
      </c>
      <c r="E1475" s="264" t="inlineStr">
        <is>
          <t>MALAGUEÑA</t>
        </is>
      </c>
      <c r="F1475" s="264" t="inlineStr">
        <is>
          <t>ABONEROS</t>
        </is>
      </c>
      <c r="G1475" s="264" t="n">
        <v>11</v>
      </c>
      <c r="H1475" s="264" t="inlineStr">
        <is>
          <t xml:space="preserve">EDUAN CAVIDEZ </t>
        </is>
      </c>
      <c r="I1475" s="264" t="inlineStr">
        <is>
          <t>EQY779</t>
        </is>
      </c>
      <c r="J1475" s="265" t="n">
        <v>0.2326388888888889</v>
      </c>
      <c r="K1475" s="266" t="n">
        <v>2680</v>
      </c>
      <c r="L1475" s="308" t="n"/>
      <c r="M1475" s="113" t="n"/>
      <c r="N1475" s="113" t="n"/>
      <c r="O1475" s="113" t="n"/>
      <c r="P1475" s="243" t="n"/>
      <c r="Q1475" s="113" t="n"/>
      <c r="R1475" s="113" t="n"/>
    </row>
    <row r="1476" ht="15.75" customHeight="1">
      <c r="A1476" s="113" t="n"/>
      <c r="B1476" s="146" t="n">
        <v>27</v>
      </c>
      <c r="C1476" s="350" t="n">
        <v>45985</v>
      </c>
      <c r="D1476" s="351" t="n">
        <v>3</v>
      </c>
      <c r="E1476" s="264" t="inlineStr">
        <is>
          <t xml:space="preserve">SAN JOSE </t>
        </is>
      </c>
      <c r="F1476" s="264" t="inlineStr">
        <is>
          <t xml:space="preserve">CARGUEROS </t>
        </is>
      </c>
      <c r="G1476" s="264" t="n">
        <v>11</v>
      </c>
      <c r="H1476" s="264" t="inlineStr">
        <is>
          <t>FABIO ALDANA</t>
        </is>
      </c>
      <c r="I1476" s="264" t="inlineStr">
        <is>
          <t>TLO882</t>
        </is>
      </c>
      <c r="J1476" s="265" t="n">
        <v>0.25</v>
      </c>
      <c r="K1476" s="266" t="n">
        <v>3460</v>
      </c>
      <c r="L1476" s="308" t="n"/>
      <c r="M1476" s="113" t="n"/>
      <c r="N1476" s="113" t="n"/>
      <c r="O1476" s="113" t="n"/>
      <c r="P1476" s="243" t="n"/>
      <c r="Q1476" s="113" t="n"/>
      <c r="R1476" s="113" t="n"/>
    </row>
    <row r="1477" ht="15.75" customHeight="1">
      <c r="A1477" s="113" t="n"/>
      <c r="B1477" s="146" t="n">
        <v>27</v>
      </c>
      <c r="C1477" s="350" t="n">
        <v>45985</v>
      </c>
      <c r="D1477" s="351" t="n">
        <v>4</v>
      </c>
      <c r="E1477" s="264" t="inlineStr">
        <is>
          <t xml:space="preserve">SAN JOSE </t>
        </is>
      </c>
      <c r="F1477" s="264" t="inlineStr">
        <is>
          <t xml:space="preserve">CARGUEROS </t>
        </is>
      </c>
      <c r="G1477" s="264" t="n">
        <v>11</v>
      </c>
      <c r="H1477" s="264" t="inlineStr">
        <is>
          <t xml:space="preserve">HENRY ROMERO </t>
        </is>
      </c>
      <c r="I1477" s="264" t="inlineStr">
        <is>
          <t>EQY781</t>
        </is>
      </c>
      <c r="J1477" s="265" t="n">
        <v>0.3819444444444444</v>
      </c>
      <c r="K1477" s="266" t="n">
        <v>3293</v>
      </c>
      <c r="L1477" s="308" t="n"/>
      <c r="M1477" s="113" t="n"/>
      <c r="N1477" s="113" t="n"/>
      <c r="O1477" s="113" t="n"/>
      <c r="P1477" s="243" t="n"/>
      <c r="Q1477" s="113" t="n"/>
      <c r="R1477" s="113" t="n"/>
    </row>
    <row r="1478" ht="15.75" customHeight="1">
      <c r="A1478" s="113" t="n"/>
      <c r="B1478" s="146" t="n">
        <v>27</v>
      </c>
      <c r="C1478" s="350" t="n">
        <v>45985</v>
      </c>
      <c r="D1478" s="351" t="n">
        <v>5</v>
      </c>
      <c r="E1478" s="264" t="inlineStr">
        <is>
          <t xml:space="preserve">SAN JOSE </t>
        </is>
      </c>
      <c r="F1478" s="264" t="inlineStr">
        <is>
          <t xml:space="preserve">CARGUEROS </t>
        </is>
      </c>
      <c r="G1478" s="264" t="n">
        <v>11</v>
      </c>
      <c r="H1478" s="264" t="inlineStr">
        <is>
          <t>JAIRO CUBILLOS</t>
        </is>
      </c>
      <c r="I1478" s="264" t="inlineStr">
        <is>
          <t>TLO884</t>
        </is>
      </c>
      <c r="J1478" s="265" t="n">
        <v>0.4305555555555556</v>
      </c>
      <c r="K1478" s="266" t="n">
        <v>3293</v>
      </c>
      <c r="L1478" s="308" t="n"/>
      <c r="M1478" s="113" t="n"/>
      <c r="N1478" s="113" t="n"/>
      <c r="O1478" s="113" t="n"/>
      <c r="P1478" s="243" t="n"/>
      <c r="Q1478" s="113" t="n"/>
      <c r="R1478" s="113" t="n"/>
    </row>
    <row r="1479" ht="15.75" customHeight="1">
      <c r="A1479" s="113" t="n"/>
      <c r="B1479" s="146" t="n">
        <v>27</v>
      </c>
      <c r="C1479" s="350" t="n">
        <v>45985</v>
      </c>
      <c r="D1479" s="351" t="n">
        <v>6</v>
      </c>
      <c r="E1479" s="264" t="inlineStr">
        <is>
          <t xml:space="preserve">SAN JOSE </t>
        </is>
      </c>
      <c r="F1479" s="264" t="inlineStr">
        <is>
          <t xml:space="preserve">CARGUEROS </t>
        </is>
      </c>
      <c r="G1479" s="264" t="n">
        <v>11</v>
      </c>
      <c r="H1479" s="264" t="n"/>
      <c r="I1479" s="264" t="inlineStr">
        <is>
          <t>KNL076</t>
        </is>
      </c>
      <c r="J1479" s="265" t="n">
        <v>0.4652777777777778</v>
      </c>
      <c r="K1479" s="266" t="n">
        <v>3460</v>
      </c>
      <c r="L1479" s="308" t="n"/>
      <c r="M1479" s="113" t="n"/>
      <c r="N1479" s="113" t="n"/>
      <c r="O1479" s="113" t="n"/>
      <c r="P1479" s="243" t="n"/>
      <c r="Q1479" s="113" t="n"/>
      <c r="R1479" s="113" t="n"/>
    </row>
    <row r="1480" ht="15.75" customHeight="1">
      <c r="A1480" s="113" t="n"/>
      <c r="B1480" s="146" t="n">
        <v>27</v>
      </c>
      <c r="C1480" s="350" t="n">
        <v>45985</v>
      </c>
      <c r="D1480" s="351" t="n">
        <v>7</v>
      </c>
      <c r="E1480" s="264" t="inlineStr">
        <is>
          <t xml:space="preserve">SAN JOSE </t>
        </is>
      </c>
      <c r="F1480" s="264" t="inlineStr">
        <is>
          <t xml:space="preserve">CARGUEROS </t>
        </is>
      </c>
      <c r="G1480" s="264" t="n">
        <v>11</v>
      </c>
      <c r="H1480" s="264" t="n"/>
      <c r="I1480" s="264" t="n"/>
      <c r="J1480" s="265" t="n">
        <v>0.5152777777777777</v>
      </c>
      <c r="K1480" s="266" t="n">
        <v>3460</v>
      </c>
      <c r="L1480" s="308" t="n"/>
      <c r="M1480" s="113" t="n"/>
      <c r="N1480" s="113" t="n"/>
      <c r="O1480" s="113" t="n"/>
      <c r="P1480" s="243" t="n"/>
      <c r="Q1480" s="113" t="n"/>
      <c r="R1480" s="113" t="n"/>
    </row>
    <row r="1481" ht="15.75" customHeight="1">
      <c r="A1481" s="113" t="n"/>
      <c r="B1481" s="146" t="n">
        <v>27</v>
      </c>
      <c r="C1481" s="350" t="n">
        <v>45985</v>
      </c>
      <c r="D1481" s="351" t="n">
        <v>8</v>
      </c>
      <c r="E1481" s="264" t="inlineStr">
        <is>
          <t xml:space="preserve">SAN JOSE </t>
        </is>
      </c>
      <c r="F1481" s="264" t="inlineStr">
        <is>
          <t xml:space="preserve">CARGUEROS </t>
        </is>
      </c>
      <c r="G1481" s="264" t="n">
        <v>11</v>
      </c>
      <c r="H1481" s="264" t="n"/>
      <c r="I1481" s="264" t="n"/>
      <c r="J1481" s="265" t="n">
        <v>0.5798611111111112</v>
      </c>
      <c r="K1481" s="266" t="n">
        <v>3550</v>
      </c>
      <c r="L1481" s="308" t="n"/>
      <c r="M1481" s="113" t="n"/>
      <c r="N1481" s="113" t="n"/>
      <c r="O1481" s="113" t="n"/>
      <c r="P1481" s="243" t="n"/>
      <c r="Q1481" s="113" t="n"/>
      <c r="R1481" s="113" t="n"/>
    </row>
    <row r="1482" ht="15.75" customHeight="1">
      <c r="A1482" s="113" t="n"/>
      <c r="B1482" s="146" t="n">
        <v>27</v>
      </c>
      <c r="C1482" s="350" t="n">
        <v>45985</v>
      </c>
      <c r="D1482" s="351" t="n">
        <v>9</v>
      </c>
      <c r="E1482" s="264" t="inlineStr">
        <is>
          <t xml:space="preserve">SAN JOSE </t>
        </is>
      </c>
      <c r="F1482" s="264" t="inlineStr">
        <is>
          <t xml:space="preserve">CARGUEROS </t>
        </is>
      </c>
      <c r="G1482" s="264" t="n">
        <v>11</v>
      </c>
      <c r="H1482" s="264" t="inlineStr">
        <is>
          <t>ALBERTO LOPEZ</t>
        </is>
      </c>
      <c r="I1482" s="264" t="inlineStr">
        <is>
          <t>EQY777</t>
        </is>
      </c>
      <c r="J1482" s="265" t="n">
        <v>0.65625</v>
      </c>
      <c r="K1482" s="266" t="n">
        <v>3550</v>
      </c>
      <c r="L1482" s="308" t="n"/>
      <c r="M1482" s="113" t="n"/>
      <c r="N1482" s="113" t="n"/>
      <c r="O1482" s="113" t="n"/>
      <c r="P1482" s="243" t="n"/>
      <c r="Q1482" s="113" t="n"/>
      <c r="R1482" s="113" t="n"/>
    </row>
    <row r="1483" ht="15.75" customHeight="1">
      <c r="A1483" s="113" t="n"/>
      <c r="B1483" s="146" t="n">
        <v>27</v>
      </c>
      <c r="C1483" s="350" t="n">
        <v>45985</v>
      </c>
      <c r="D1483" s="351" t="n">
        <v>10</v>
      </c>
      <c r="E1483" s="264" t="inlineStr">
        <is>
          <t xml:space="preserve">SAN JOSE </t>
        </is>
      </c>
      <c r="F1483" s="264" t="inlineStr">
        <is>
          <t xml:space="preserve">CARGUEROS </t>
        </is>
      </c>
      <c r="G1483" s="264" t="n">
        <v>11</v>
      </c>
      <c r="H1483" s="264" t="inlineStr">
        <is>
          <t>EDUAN CAVIEDEZ</t>
        </is>
      </c>
      <c r="I1483" s="264" t="inlineStr">
        <is>
          <t>EQY779</t>
        </is>
      </c>
      <c r="J1483" s="265" t="n">
        <v>0.7013888888888888</v>
      </c>
      <c r="K1483" s="266" t="n">
        <v>3550</v>
      </c>
      <c r="L1483" s="308" t="n"/>
      <c r="M1483" s="113" t="n"/>
      <c r="N1483" s="113" t="n"/>
      <c r="O1483" s="113" t="n"/>
      <c r="P1483" s="243" t="n"/>
      <c r="Q1483" s="113" t="n"/>
      <c r="R1483" s="113" t="n"/>
    </row>
    <row r="1484" ht="15.75" customHeight="1">
      <c r="A1484" s="113" t="n"/>
      <c r="B1484" s="146" t="n">
        <v>27</v>
      </c>
      <c r="C1484" s="350" t="n">
        <v>45985</v>
      </c>
      <c r="D1484" s="351" t="n">
        <v>11</v>
      </c>
      <c r="E1484" s="264" t="inlineStr">
        <is>
          <t xml:space="preserve">SAN JOSE </t>
        </is>
      </c>
      <c r="F1484" s="264" t="inlineStr">
        <is>
          <t xml:space="preserve">CARGUEROS </t>
        </is>
      </c>
      <c r="G1484" s="264" t="n">
        <v>11</v>
      </c>
      <c r="H1484" s="264" t="inlineStr">
        <is>
          <t xml:space="preserve">SEBASTIAN HIDALGO </t>
        </is>
      </c>
      <c r="I1484" s="264" t="inlineStr">
        <is>
          <t>TLO881</t>
        </is>
      </c>
      <c r="J1484" s="265" t="n">
        <v>0.7326388888888888</v>
      </c>
      <c r="K1484" s="266" t="n">
        <v>3550</v>
      </c>
      <c r="L1484" s="308" t="n"/>
      <c r="M1484" s="113" t="n"/>
      <c r="N1484" s="113" t="n"/>
      <c r="O1484" s="113" t="n"/>
      <c r="P1484" s="243" t="n"/>
      <c r="Q1484" s="113" t="n"/>
      <c r="R1484" s="113" t="n"/>
    </row>
    <row r="1485" ht="15.75" customHeight="1">
      <c r="A1485" s="113" t="n"/>
      <c r="B1485" s="146" t="n">
        <v>27</v>
      </c>
      <c r="C1485" s="350" t="n">
        <v>45985</v>
      </c>
      <c r="D1485" s="351" t="n">
        <v>12</v>
      </c>
      <c r="E1485" s="264" t="inlineStr">
        <is>
          <t xml:space="preserve">SAN JOSE </t>
        </is>
      </c>
      <c r="F1485" s="264" t="inlineStr">
        <is>
          <t xml:space="preserve">CARGUEROS </t>
        </is>
      </c>
      <c r="G1485" s="264" t="n">
        <v>11</v>
      </c>
      <c r="H1485" s="264" t="inlineStr">
        <is>
          <t>ALEXANDER CHAGUALA</t>
        </is>
      </c>
      <c r="I1485" s="264" t="inlineStr">
        <is>
          <t>LQO745</t>
        </is>
      </c>
      <c r="J1485" s="265" t="n">
        <v>0.7708333333333334</v>
      </c>
      <c r="K1485" s="266" t="n">
        <v>3460</v>
      </c>
      <c r="L1485" s="309" t="n"/>
      <c r="M1485" s="113" t="n"/>
      <c r="N1485" s="113" t="n"/>
      <c r="O1485" s="113" t="n"/>
      <c r="P1485" s="243" t="n"/>
      <c r="Q1485" s="113" t="n"/>
      <c r="R1485" s="113" t="n"/>
    </row>
    <row r="1486" ht="15.75" customHeight="1">
      <c r="A1486" s="113" t="n"/>
      <c r="B1486" s="146" t="n">
        <v>27</v>
      </c>
      <c r="C1486" s="350" t="n">
        <v>45985</v>
      </c>
      <c r="D1486" s="351" t="n">
        <v>13</v>
      </c>
      <c r="E1486" s="264" t="inlineStr">
        <is>
          <t xml:space="preserve">SAN JOSE </t>
        </is>
      </c>
      <c r="F1486" s="264" t="inlineStr">
        <is>
          <t xml:space="preserve">CARGUEROS </t>
        </is>
      </c>
      <c r="G1486" s="264" t="n">
        <v>11</v>
      </c>
      <c r="H1486" s="264" t="inlineStr">
        <is>
          <t>JHON ARIAS</t>
        </is>
      </c>
      <c r="I1486" s="264" t="inlineStr">
        <is>
          <t>TLN248</t>
        </is>
      </c>
      <c r="J1486" s="265" t="n">
        <v>0.8090277777777778</v>
      </c>
      <c r="K1486" s="392" t="n">
        <v>3240</v>
      </c>
      <c r="L1486" s="378">
        <f>SUM(K1474:K1486)</f>
        <v/>
      </c>
      <c r="M1486" s="113" t="n"/>
      <c r="N1486" s="113" t="n"/>
      <c r="O1486" s="113" t="n"/>
      <c r="P1486" s="243" t="n"/>
      <c r="Q1486" s="113" t="n"/>
      <c r="R1486" s="113" t="n"/>
    </row>
    <row r="1487" ht="15.75" customHeight="1">
      <c r="A1487" s="113" t="n"/>
      <c r="B1487" s="146" t="n">
        <v>27</v>
      </c>
      <c r="C1487" s="348" t="n">
        <v>45986</v>
      </c>
      <c r="D1487" s="349" t="n">
        <v>1</v>
      </c>
      <c r="E1487" s="258" t="inlineStr">
        <is>
          <t>MALAGUEÑA</t>
        </is>
      </c>
      <c r="F1487" s="258" t="inlineStr">
        <is>
          <t>ABONEROS</t>
        </is>
      </c>
      <c r="G1487" s="258" t="n">
        <v>12</v>
      </c>
      <c r="H1487" s="258" t="inlineStr">
        <is>
          <t>JHON ARIAS</t>
        </is>
      </c>
      <c r="I1487" s="258" t="inlineStr">
        <is>
          <t>TLN248</t>
        </is>
      </c>
      <c r="J1487" s="259" t="n">
        <v>0.1722222222222222</v>
      </c>
      <c r="K1487" s="260" t="n">
        <v>2940</v>
      </c>
      <c r="L1487" s="292" t="n"/>
      <c r="M1487" s="113" t="n"/>
      <c r="N1487" s="113" t="n"/>
      <c r="O1487" s="113" t="n"/>
      <c r="P1487" s="243" t="n"/>
      <c r="Q1487" s="113" t="n"/>
      <c r="R1487" s="113" t="n"/>
    </row>
    <row r="1488" ht="15.75" customHeight="1">
      <c r="A1488" s="113" t="n"/>
      <c r="B1488" s="146" t="n">
        <v>27</v>
      </c>
      <c r="C1488" s="350" t="n">
        <v>45986</v>
      </c>
      <c r="D1488" s="351" t="n">
        <v>2</v>
      </c>
      <c r="E1488" s="264" t="inlineStr">
        <is>
          <t>MALAGUEÑA</t>
        </is>
      </c>
      <c r="F1488" s="264" t="inlineStr">
        <is>
          <t>ABONEROS</t>
        </is>
      </c>
      <c r="G1488" s="264" t="n">
        <v>12</v>
      </c>
      <c r="H1488" s="264" t="inlineStr">
        <is>
          <t>MANUEL QUITIAN</t>
        </is>
      </c>
      <c r="I1488" s="264" t="inlineStr">
        <is>
          <t>KUS176</t>
        </is>
      </c>
      <c r="J1488" s="265" t="n">
        <v>0.2166666666666667</v>
      </c>
      <c r="K1488" s="266" t="n">
        <v>2940</v>
      </c>
      <c r="L1488" s="308" t="n"/>
      <c r="M1488" s="113" t="n"/>
      <c r="N1488" s="113" t="n"/>
      <c r="O1488" s="113" t="n"/>
      <c r="P1488" s="243" t="n"/>
      <c r="Q1488" s="113" t="n"/>
      <c r="R1488" s="113" t="n"/>
    </row>
    <row r="1489" ht="15.75" customHeight="1">
      <c r="A1489" s="113" t="n"/>
      <c r="B1489" s="146" t="n">
        <v>27</v>
      </c>
      <c r="C1489" s="350" t="n">
        <v>45986</v>
      </c>
      <c r="D1489" s="351" t="n">
        <v>3</v>
      </c>
      <c r="E1489" s="264" t="inlineStr">
        <is>
          <t>MALAGUEÑA</t>
        </is>
      </c>
      <c r="F1489" s="264" t="inlineStr">
        <is>
          <t>ABONEROS</t>
        </is>
      </c>
      <c r="G1489" s="264" t="n">
        <v>12</v>
      </c>
      <c r="H1489" s="264" t="inlineStr">
        <is>
          <t>ROBINSON PULIDO</t>
        </is>
      </c>
      <c r="I1489" s="264" t="inlineStr">
        <is>
          <t>TLO881</t>
        </is>
      </c>
      <c r="J1489" s="265" t="n">
        <v>0.2722222222222222</v>
      </c>
      <c r="K1489" s="266" t="n">
        <v>2940</v>
      </c>
      <c r="L1489" s="308" t="n"/>
      <c r="M1489" s="113" t="n"/>
      <c r="N1489" s="113" t="n"/>
      <c r="O1489" s="113" t="n"/>
      <c r="P1489" s="243" t="n"/>
      <c r="Q1489" s="113" t="n"/>
      <c r="R1489" s="113" t="n"/>
    </row>
    <row r="1490" ht="15.75" customHeight="1">
      <c r="A1490" s="113" t="n"/>
      <c r="B1490" s="146" t="n">
        <v>27</v>
      </c>
      <c r="C1490" s="350" t="n">
        <v>45986</v>
      </c>
      <c r="D1490" s="351" t="n">
        <v>4</v>
      </c>
      <c r="E1490" s="264" t="inlineStr">
        <is>
          <t>MALAGUEÑA</t>
        </is>
      </c>
      <c r="F1490" s="264" t="inlineStr">
        <is>
          <t>ABONEROS</t>
        </is>
      </c>
      <c r="G1490" s="264" t="n">
        <v>12</v>
      </c>
      <c r="H1490" s="264" t="inlineStr">
        <is>
          <t>EDUAN CAVIEDEZ</t>
        </is>
      </c>
      <c r="I1490" s="264" t="inlineStr">
        <is>
          <t>EQY779</t>
        </is>
      </c>
      <c r="J1490" s="265" t="n">
        <v>0.3305555555555555</v>
      </c>
      <c r="K1490" s="266" t="n">
        <v>3000</v>
      </c>
      <c r="L1490" s="308" t="n"/>
      <c r="M1490" s="113" t="n"/>
      <c r="N1490" s="113" t="n"/>
      <c r="O1490" s="113" t="n"/>
      <c r="P1490" s="243" t="n"/>
      <c r="Q1490" s="113" t="n"/>
      <c r="R1490" s="113" t="n"/>
    </row>
    <row r="1491" ht="15.75" customHeight="1">
      <c r="A1491" s="113" t="n"/>
      <c r="B1491" s="146" t="n">
        <v>27</v>
      </c>
      <c r="C1491" s="350" t="n">
        <v>45986</v>
      </c>
      <c r="D1491" s="351" t="n">
        <v>5</v>
      </c>
      <c r="E1491" s="264" t="inlineStr">
        <is>
          <t>MALAGUEÑA</t>
        </is>
      </c>
      <c r="F1491" s="264" t="inlineStr">
        <is>
          <t>ABONEROS</t>
        </is>
      </c>
      <c r="G1491" s="264" t="n">
        <v>12</v>
      </c>
      <c r="H1491" s="264" t="inlineStr">
        <is>
          <t xml:space="preserve">SEBASTIAN HIDALGO </t>
        </is>
      </c>
      <c r="I1491" s="264" t="inlineStr">
        <is>
          <t>EQY777</t>
        </is>
      </c>
      <c r="J1491" s="265" t="n">
        <v>0.3715277777777778</v>
      </c>
      <c r="K1491" s="266" t="n">
        <v>3000</v>
      </c>
      <c r="L1491" s="308" t="n"/>
      <c r="M1491" s="113" t="n"/>
      <c r="N1491" s="113" t="n"/>
      <c r="O1491" s="113" t="n"/>
      <c r="P1491" s="243" t="n"/>
      <c r="Q1491" s="113" t="n"/>
      <c r="R1491" s="113" t="n"/>
    </row>
    <row r="1492" ht="15.75" customHeight="1">
      <c r="A1492" s="113" t="n"/>
      <c r="B1492" s="146" t="n">
        <v>27</v>
      </c>
      <c r="C1492" s="350" t="n">
        <v>45986</v>
      </c>
      <c r="D1492" s="351" t="n">
        <v>6</v>
      </c>
      <c r="E1492" s="264" t="inlineStr">
        <is>
          <t>MALAGUEÑA</t>
        </is>
      </c>
      <c r="F1492" s="264" t="inlineStr">
        <is>
          <t>ABONEROS</t>
        </is>
      </c>
      <c r="G1492" s="264" t="n">
        <v>12</v>
      </c>
      <c r="H1492" s="264" t="inlineStr">
        <is>
          <t>DIEGO NIÑO</t>
        </is>
      </c>
      <c r="I1492" s="264" t="inlineStr">
        <is>
          <t>GZZ673</t>
        </is>
      </c>
      <c r="J1492" s="265" t="n">
        <v>0.4069444444444444</v>
      </c>
      <c r="K1492" s="266" t="n">
        <v>3190</v>
      </c>
      <c r="L1492" s="308" t="n"/>
      <c r="M1492" s="113" t="n"/>
      <c r="N1492" s="113" t="n"/>
      <c r="O1492" s="113" t="n"/>
      <c r="P1492" s="243" t="n"/>
      <c r="Q1492" s="113" t="n"/>
      <c r="R1492" s="113" t="n"/>
    </row>
    <row r="1493" ht="15.75" customHeight="1">
      <c r="A1493" s="113" t="n"/>
      <c r="B1493" s="146" t="n">
        <v>27</v>
      </c>
      <c r="C1493" s="350" t="n">
        <v>45986</v>
      </c>
      <c r="D1493" s="351" t="n">
        <v>7</v>
      </c>
      <c r="E1493" s="264" t="inlineStr">
        <is>
          <t>MALAGUEÑA</t>
        </is>
      </c>
      <c r="F1493" s="264" t="inlineStr">
        <is>
          <t>ABONEROS</t>
        </is>
      </c>
      <c r="G1493" s="264" t="n">
        <v>12</v>
      </c>
      <c r="H1493" s="264" t="inlineStr">
        <is>
          <t>WILMER PIÑEROS</t>
        </is>
      </c>
      <c r="I1493" s="264" t="inlineStr">
        <is>
          <t>KNL076</t>
        </is>
      </c>
      <c r="J1493" s="265" t="n">
        <v>0.4395833333333333</v>
      </c>
      <c r="K1493" s="266" t="n">
        <v>3190</v>
      </c>
      <c r="L1493" s="308" t="n"/>
      <c r="M1493" s="113" t="n"/>
      <c r="N1493" s="113" t="n"/>
      <c r="O1493" s="113" t="n"/>
      <c r="P1493" s="243" t="n"/>
      <c r="Q1493" s="113" t="n"/>
      <c r="R1493" s="113" t="n"/>
    </row>
    <row r="1494" ht="15.75" customHeight="1">
      <c r="A1494" s="113" t="n"/>
      <c r="B1494" s="146" t="n">
        <v>27</v>
      </c>
      <c r="C1494" s="350" t="n">
        <v>45986</v>
      </c>
      <c r="D1494" s="351" t="n">
        <v>8</v>
      </c>
      <c r="E1494" s="264" t="inlineStr">
        <is>
          <t>MALAGUEÑA</t>
        </is>
      </c>
      <c r="F1494" s="264" t="inlineStr">
        <is>
          <t>ABONEROS</t>
        </is>
      </c>
      <c r="G1494" s="264" t="n">
        <v>12</v>
      </c>
      <c r="H1494" s="264" t="inlineStr">
        <is>
          <t>JOSE HERRERA</t>
        </is>
      </c>
      <c r="I1494" s="264" t="inlineStr">
        <is>
          <t>LQO745</t>
        </is>
      </c>
      <c r="J1494" s="265" t="n">
        <v>0.4930555555555556</v>
      </c>
      <c r="K1494" s="266" t="n">
        <v>3190</v>
      </c>
      <c r="L1494" s="308" t="n"/>
      <c r="M1494" s="113" t="n"/>
      <c r="N1494" s="113" t="n"/>
      <c r="O1494" s="113" t="n"/>
      <c r="P1494" s="243" t="n"/>
      <c r="Q1494" s="113" t="n"/>
      <c r="R1494" s="113" t="n"/>
    </row>
    <row r="1495" ht="15.75" customHeight="1">
      <c r="A1495" s="113" t="n"/>
      <c r="B1495" s="146" t="n">
        <v>27</v>
      </c>
      <c r="C1495" s="350" t="n">
        <v>45986</v>
      </c>
      <c r="D1495" s="351" t="n">
        <v>9</v>
      </c>
      <c r="E1495" s="264" t="inlineStr">
        <is>
          <t>MALAGUEÑA</t>
        </is>
      </c>
      <c r="F1495" s="264" t="inlineStr">
        <is>
          <t>ABONEROS</t>
        </is>
      </c>
      <c r="G1495" s="264" t="n">
        <v>12</v>
      </c>
      <c r="H1495" s="264" t="inlineStr">
        <is>
          <t>JHON ARIAS</t>
        </is>
      </c>
      <c r="I1495" s="396" t="inlineStr">
        <is>
          <t>TLN248</t>
        </is>
      </c>
      <c r="J1495" s="265" t="n">
        <v>0.5444444444444444</v>
      </c>
      <c r="K1495" s="266" t="n">
        <v>3190</v>
      </c>
      <c r="L1495" s="308" t="n"/>
      <c r="M1495" s="113" t="n"/>
      <c r="N1495" s="113" t="n"/>
      <c r="O1495" s="113" t="n"/>
      <c r="P1495" s="243" t="n"/>
      <c r="Q1495" s="113" t="n"/>
      <c r="R1495" s="113" t="n"/>
    </row>
    <row r="1496" ht="15.75" customHeight="1">
      <c r="A1496" s="113" t="n"/>
      <c r="B1496" s="146" t="n">
        <v>27</v>
      </c>
      <c r="C1496" s="350" t="n">
        <v>45986</v>
      </c>
      <c r="D1496" s="351" t="n">
        <v>10</v>
      </c>
      <c r="E1496" s="264" t="inlineStr">
        <is>
          <t>MALAGUEÑA</t>
        </is>
      </c>
      <c r="F1496" s="264" t="inlineStr">
        <is>
          <t>ABONEROS</t>
        </is>
      </c>
      <c r="G1496" s="264" t="n">
        <v>12</v>
      </c>
      <c r="H1496" s="264" t="inlineStr">
        <is>
          <t>FABIO ALDANA</t>
        </is>
      </c>
      <c r="I1496" s="264" t="inlineStr">
        <is>
          <t>TLO882</t>
        </is>
      </c>
      <c r="J1496" s="265" t="n">
        <v>0.5986111111111111</v>
      </c>
      <c r="K1496" s="266" t="n">
        <v>3190</v>
      </c>
      <c r="L1496" s="308" t="n"/>
      <c r="M1496" s="113" t="n"/>
      <c r="N1496" s="113" t="n"/>
      <c r="O1496" s="113" t="n"/>
      <c r="P1496" s="243" t="n"/>
      <c r="Q1496" s="113" t="n"/>
      <c r="R1496" s="113" t="n"/>
    </row>
    <row r="1497" ht="15.75" customHeight="1">
      <c r="A1497" s="113" t="n"/>
      <c r="B1497" s="146" t="n">
        <v>27</v>
      </c>
      <c r="C1497" s="350" t="n">
        <v>45986</v>
      </c>
      <c r="D1497" s="351" t="n">
        <v>11</v>
      </c>
      <c r="E1497" s="264" t="inlineStr">
        <is>
          <t>MALAGUEÑA</t>
        </is>
      </c>
      <c r="F1497" s="264" t="inlineStr">
        <is>
          <t>ABONEROS</t>
        </is>
      </c>
      <c r="G1497" s="264" t="n">
        <v>12</v>
      </c>
      <c r="H1497" s="264" t="inlineStr">
        <is>
          <t xml:space="preserve">MARCOS LOPEZ </t>
        </is>
      </c>
      <c r="I1497" s="264" t="inlineStr">
        <is>
          <t>SQW176</t>
        </is>
      </c>
      <c r="J1497" s="265" t="n">
        <v>0.7013888888888888</v>
      </c>
      <c r="K1497" s="266" t="n">
        <v>3286</v>
      </c>
      <c r="L1497" s="309" t="n"/>
      <c r="M1497" s="113" t="n"/>
      <c r="N1497" s="113" t="n"/>
      <c r="O1497" s="113" t="n"/>
      <c r="P1497" s="243" t="n"/>
      <c r="Q1497" s="113" t="n"/>
      <c r="R1497" s="113" t="n"/>
    </row>
    <row r="1498" ht="15.75" customHeight="1">
      <c r="A1498" s="113" t="n"/>
      <c r="B1498" s="146" t="n">
        <v>27</v>
      </c>
      <c r="C1498" s="352" t="n">
        <v>45986</v>
      </c>
      <c r="D1498" s="347" t="n">
        <v>12</v>
      </c>
      <c r="E1498" s="282" t="inlineStr">
        <is>
          <t>MALAGUEÑA</t>
        </is>
      </c>
      <c r="F1498" s="282" t="inlineStr">
        <is>
          <t>ABONEROS</t>
        </is>
      </c>
      <c r="G1498" s="282" t="n">
        <v>12</v>
      </c>
      <c r="H1498" s="282" t="inlineStr">
        <is>
          <t>ROBERTO MONROY</t>
        </is>
      </c>
      <c r="I1498" s="282" t="inlineStr">
        <is>
          <t>WPQ994</t>
        </is>
      </c>
      <c r="J1498" s="283" t="n">
        <v>0.7611111111111111</v>
      </c>
      <c r="K1498" s="284" t="n">
        <v>3022</v>
      </c>
      <c r="L1498" s="353">
        <f>SUM(K1487:K1498)</f>
        <v/>
      </c>
      <c r="M1498" s="113" t="n"/>
      <c r="N1498" s="113" t="n"/>
      <c r="O1498" s="113" t="n"/>
      <c r="P1498" s="243" t="n"/>
      <c r="Q1498" s="113" t="n"/>
      <c r="R1498" s="113" t="n"/>
    </row>
    <row r="1499" ht="15.75" customHeight="1">
      <c r="A1499" s="113" t="n"/>
      <c r="B1499" s="146" t="n">
        <v>27</v>
      </c>
      <c r="C1499" s="348" t="n">
        <v>45987</v>
      </c>
      <c r="D1499" s="349" t="n">
        <v>1</v>
      </c>
      <c r="E1499" s="258" t="inlineStr">
        <is>
          <t xml:space="preserve">SAN JOSE </t>
        </is>
      </c>
      <c r="F1499" s="258" t="inlineStr">
        <is>
          <t>CARGUEROS</t>
        </is>
      </c>
      <c r="G1499" s="258" t="n">
        <v>12</v>
      </c>
      <c r="H1499" s="258" t="inlineStr">
        <is>
          <t xml:space="preserve">JOSE SOLER </t>
        </is>
      </c>
      <c r="I1499" s="258" t="inlineStr">
        <is>
          <t>EQY776</t>
        </is>
      </c>
      <c r="J1499" s="259" t="n">
        <v>0.08333333333333333</v>
      </c>
      <c r="K1499" s="260" t="n">
        <v>3340</v>
      </c>
      <c r="L1499" s="292" t="n"/>
      <c r="M1499" s="113" t="n"/>
      <c r="N1499" s="113" t="n"/>
      <c r="O1499" s="113" t="n"/>
      <c r="P1499" s="243" t="n"/>
      <c r="Q1499" s="113" t="n"/>
      <c r="R1499" s="113" t="n"/>
    </row>
    <row r="1500" ht="15.75" customHeight="1">
      <c r="A1500" s="113" t="n"/>
      <c r="B1500" s="146" t="n">
        <v>27</v>
      </c>
      <c r="C1500" s="350" t="n">
        <v>45987</v>
      </c>
      <c r="D1500" s="351" t="n">
        <v>2</v>
      </c>
      <c r="E1500" s="264" t="inlineStr">
        <is>
          <t xml:space="preserve">SAN JOSE </t>
        </is>
      </c>
      <c r="F1500" s="264" t="inlineStr">
        <is>
          <t>CARGUEROS</t>
        </is>
      </c>
      <c r="G1500" s="264" t="n">
        <v>12</v>
      </c>
      <c r="H1500" s="264" t="inlineStr">
        <is>
          <t>MANUEL QUINTIAN</t>
        </is>
      </c>
      <c r="I1500" s="264" t="inlineStr">
        <is>
          <t>KUS176</t>
        </is>
      </c>
      <c r="J1500" s="265" t="n">
        <v>0.1145833333333333</v>
      </c>
      <c r="K1500" s="266" t="n">
        <v>3340</v>
      </c>
      <c r="L1500" s="308" t="n"/>
      <c r="M1500" s="113" t="n"/>
      <c r="N1500" s="113" t="n"/>
      <c r="O1500" s="113" t="n"/>
      <c r="P1500" s="243" t="n"/>
      <c r="Q1500" s="113" t="n"/>
      <c r="R1500" s="113" t="n"/>
    </row>
    <row r="1501" ht="15.75" customHeight="1">
      <c r="A1501" s="113" t="n"/>
      <c r="B1501" s="146" t="n">
        <v>27</v>
      </c>
      <c r="C1501" s="350" t="n">
        <v>45987</v>
      </c>
      <c r="D1501" s="351" t="n">
        <v>3</v>
      </c>
      <c r="E1501" s="264" t="inlineStr">
        <is>
          <t xml:space="preserve">SAN JOSE </t>
        </is>
      </c>
      <c r="F1501" s="264" t="inlineStr">
        <is>
          <t>CARGUEROS</t>
        </is>
      </c>
      <c r="G1501" s="264" t="n">
        <v>12</v>
      </c>
      <c r="H1501" s="264" t="inlineStr">
        <is>
          <t>FERNANDO OYUELA</t>
        </is>
      </c>
      <c r="I1501" s="264" t="inlineStr">
        <is>
          <t>EQY778</t>
        </is>
      </c>
      <c r="J1501" s="265" t="n">
        <v>0.1472222222222222</v>
      </c>
      <c r="K1501" s="266" t="n">
        <v>3340</v>
      </c>
      <c r="L1501" s="308" t="n"/>
      <c r="M1501" s="113" t="n"/>
      <c r="N1501" s="113" t="n"/>
      <c r="O1501" s="113" t="n"/>
      <c r="P1501" s="243" t="n"/>
      <c r="Q1501" s="113" t="n"/>
      <c r="R1501" s="113" t="n"/>
    </row>
    <row r="1502" ht="15.75" customHeight="1">
      <c r="A1502" s="113" t="n"/>
      <c r="B1502" s="146" t="n">
        <v>27</v>
      </c>
      <c r="C1502" s="350" t="n">
        <v>45987</v>
      </c>
      <c r="D1502" s="351" t="n">
        <v>4</v>
      </c>
      <c r="E1502" s="264" t="inlineStr">
        <is>
          <t xml:space="preserve">SAN JOSE </t>
        </is>
      </c>
      <c r="F1502" s="264" t="inlineStr">
        <is>
          <t>CARGUEROS</t>
        </is>
      </c>
      <c r="G1502" s="264" t="n">
        <v>12</v>
      </c>
      <c r="H1502" s="264" t="inlineStr">
        <is>
          <t xml:space="preserve">HENRY ROMOERO </t>
        </is>
      </c>
      <c r="I1502" s="264" t="inlineStr">
        <is>
          <t>EQY781</t>
        </is>
      </c>
      <c r="J1502" s="265" t="n">
        <v>0.1805555555555556</v>
      </c>
      <c r="K1502" s="266" t="n">
        <v>3340</v>
      </c>
      <c r="L1502" s="308" t="n"/>
      <c r="M1502" s="113" t="n"/>
      <c r="N1502" s="113" t="n"/>
      <c r="O1502" s="113" t="n"/>
      <c r="P1502" s="243" t="n"/>
      <c r="Q1502" s="113" t="n"/>
      <c r="R1502" s="113" t="n"/>
    </row>
    <row r="1503" ht="15.75" customHeight="1">
      <c r="A1503" s="113" t="n"/>
      <c r="B1503" s="146" t="n">
        <v>27</v>
      </c>
      <c r="C1503" s="350" t="n">
        <v>45987</v>
      </c>
      <c r="D1503" s="351" t="n">
        <v>5</v>
      </c>
      <c r="E1503" s="264" t="inlineStr">
        <is>
          <t xml:space="preserve">SAN JOSE </t>
        </is>
      </c>
      <c r="F1503" s="264" t="inlineStr">
        <is>
          <t>CARGUEROS</t>
        </is>
      </c>
      <c r="G1503" s="264" t="n">
        <v>12</v>
      </c>
      <c r="H1503" s="264" t="inlineStr">
        <is>
          <t>ALBERTO LOPEZ</t>
        </is>
      </c>
      <c r="I1503" s="264" t="inlineStr">
        <is>
          <t>EQY777</t>
        </is>
      </c>
      <c r="J1503" s="265" t="n">
        <v>0.2152777777777778</v>
      </c>
      <c r="K1503" s="266" t="n">
        <v>3340</v>
      </c>
      <c r="L1503" s="308" t="n"/>
      <c r="M1503" s="113" t="n"/>
      <c r="N1503" s="113" t="n"/>
      <c r="O1503" s="113" t="n"/>
      <c r="P1503" s="243" t="n"/>
      <c r="Q1503" s="113" t="n"/>
      <c r="R1503" s="113" t="n"/>
    </row>
    <row r="1504" ht="15.75" customHeight="1">
      <c r="A1504" s="113" t="n"/>
      <c r="B1504" s="146" t="n">
        <v>27</v>
      </c>
      <c r="C1504" s="350" t="n">
        <v>45987</v>
      </c>
      <c r="D1504" s="351" t="n">
        <v>6</v>
      </c>
      <c r="E1504" s="264" t="inlineStr">
        <is>
          <t xml:space="preserve">SAN JOSE </t>
        </is>
      </c>
      <c r="F1504" s="264" t="inlineStr">
        <is>
          <t>CARGUEROS</t>
        </is>
      </c>
      <c r="G1504" s="264" t="n">
        <v>12</v>
      </c>
      <c r="H1504" s="264" t="inlineStr">
        <is>
          <t>EDWIN ROJAS</t>
        </is>
      </c>
      <c r="I1504" s="264" t="inlineStr">
        <is>
          <t>EQY780</t>
        </is>
      </c>
      <c r="J1504" s="265" t="n">
        <v>0.2951388888888889</v>
      </c>
      <c r="K1504" s="266" t="n">
        <v>3340</v>
      </c>
      <c r="L1504" s="308" t="n"/>
      <c r="M1504" s="113" t="n"/>
      <c r="N1504" s="113" t="n"/>
      <c r="O1504" s="113" t="n"/>
      <c r="P1504" s="243" t="n"/>
      <c r="Q1504" s="113" t="n"/>
      <c r="R1504" s="113" t="n"/>
    </row>
    <row r="1505" ht="15.75" customHeight="1">
      <c r="A1505" s="113" t="n"/>
      <c r="B1505" s="146" t="n">
        <v>27</v>
      </c>
      <c r="C1505" s="350" t="n">
        <v>45987</v>
      </c>
      <c r="D1505" s="351" t="n">
        <v>7</v>
      </c>
      <c r="E1505" s="264" t="inlineStr">
        <is>
          <t xml:space="preserve">SAN JOSE </t>
        </is>
      </c>
      <c r="F1505" s="264" t="inlineStr">
        <is>
          <t>CARGUEROS</t>
        </is>
      </c>
      <c r="G1505" s="264" t="n">
        <v>12</v>
      </c>
      <c r="H1505" s="264" t="inlineStr">
        <is>
          <t>ROBINSON PULIDO</t>
        </is>
      </c>
      <c r="I1505" s="264" t="inlineStr">
        <is>
          <t>TLO881</t>
        </is>
      </c>
      <c r="J1505" s="265" t="n">
        <v>0.3368055555555556</v>
      </c>
      <c r="K1505" s="266" t="n">
        <v>3600</v>
      </c>
      <c r="L1505" s="308" t="n"/>
      <c r="M1505" s="113" t="n"/>
      <c r="N1505" s="113" t="n"/>
      <c r="O1505" s="113" t="n"/>
      <c r="P1505" s="243" t="n"/>
      <c r="Q1505" s="113" t="n"/>
      <c r="R1505" s="113" t="n"/>
    </row>
    <row r="1506" ht="15.75" customHeight="1">
      <c r="A1506" s="113" t="n"/>
      <c r="B1506" s="146" t="n">
        <v>27</v>
      </c>
      <c r="C1506" s="350" t="n">
        <v>45987</v>
      </c>
      <c r="D1506" s="351" t="n">
        <v>8</v>
      </c>
      <c r="E1506" s="264" t="inlineStr">
        <is>
          <t xml:space="preserve">SAN JOSE </t>
        </is>
      </c>
      <c r="F1506" s="264" t="inlineStr">
        <is>
          <t>CARGUEROS</t>
        </is>
      </c>
      <c r="G1506" s="264" t="n">
        <v>12</v>
      </c>
      <c r="H1506" s="264" t="inlineStr">
        <is>
          <t xml:space="preserve">JOSE SOLER </t>
        </is>
      </c>
      <c r="I1506" s="264" t="inlineStr">
        <is>
          <t>EQY776</t>
        </is>
      </c>
      <c r="J1506" s="265" t="n">
        <v>0.3923611111111111</v>
      </c>
      <c r="K1506" s="266" t="n">
        <v>3360</v>
      </c>
      <c r="L1506" s="308" t="n"/>
      <c r="M1506" s="113" t="n"/>
      <c r="N1506" s="113" t="n"/>
      <c r="O1506" s="113" t="n"/>
      <c r="P1506" s="243" t="n"/>
      <c r="Q1506" s="113" t="n"/>
      <c r="R1506" s="113" t="n"/>
    </row>
    <row r="1507" ht="15.75" customHeight="1">
      <c r="A1507" s="113" t="n"/>
      <c r="B1507" s="146" t="n">
        <v>27</v>
      </c>
      <c r="C1507" s="350" t="n">
        <v>45987</v>
      </c>
      <c r="D1507" s="351" t="n">
        <v>9</v>
      </c>
      <c r="E1507" s="264" t="inlineStr">
        <is>
          <t xml:space="preserve">SAN JOSE </t>
        </is>
      </c>
      <c r="F1507" s="264" t="inlineStr">
        <is>
          <t>CARGUEROS</t>
        </is>
      </c>
      <c r="G1507" s="264" t="n">
        <v>12</v>
      </c>
      <c r="H1507" s="264" t="inlineStr">
        <is>
          <t>MANUEL QUINTIAN</t>
        </is>
      </c>
      <c r="I1507" s="264" t="inlineStr">
        <is>
          <t>KUS176</t>
        </is>
      </c>
      <c r="J1507" s="265" t="n">
        <v>0.5</v>
      </c>
      <c r="K1507" s="266" t="n">
        <v>3360</v>
      </c>
      <c r="L1507" s="308" t="n"/>
      <c r="M1507" s="113" t="n"/>
      <c r="N1507" s="113" t="n"/>
      <c r="O1507" s="113" t="n"/>
      <c r="P1507" s="243" t="n"/>
      <c r="Q1507" s="113" t="n"/>
      <c r="R1507" s="113" t="n"/>
    </row>
    <row r="1508" ht="15.75" customHeight="1">
      <c r="A1508" s="113" t="n"/>
      <c r="B1508" s="146" t="n">
        <v>27</v>
      </c>
      <c r="C1508" s="350" t="n">
        <v>45987</v>
      </c>
      <c r="D1508" s="351" t="n">
        <v>10</v>
      </c>
      <c r="E1508" s="264" t="inlineStr">
        <is>
          <t xml:space="preserve">SAN JOSE </t>
        </is>
      </c>
      <c r="F1508" s="264" t="inlineStr">
        <is>
          <t>CARGUEROS</t>
        </is>
      </c>
      <c r="G1508" s="264" t="n">
        <v>12</v>
      </c>
      <c r="H1508" s="264" t="inlineStr">
        <is>
          <t xml:space="preserve">HENRY ROMERO </t>
        </is>
      </c>
      <c r="I1508" s="264" t="inlineStr">
        <is>
          <t>EQY 781</t>
        </is>
      </c>
      <c r="J1508" s="265" t="n">
        <v>0.5590277777777778</v>
      </c>
      <c r="K1508" s="266" t="n">
        <v>3360</v>
      </c>
      <c r="L1508" s="308" t="n"/>
      <c r="M1508" s="113" t="n"/>
      <c r="N1508" s="113" t="n"/>
      <c r="O1508" s="113" t="n"/>
      <c r="P1508" s="243" t="n"/>
      <c r="Q1508" s="113" t="n"/>
      <c r="R1508" s="113" t="n"/>
    </row>
    <row r="1509" ht="15.75" customHeight="1">
      <c r="A1509" s="113" t="n"/>
      <c r="B1509" s="146" t="n">
        <v>27</v>
      </c>
      <c r="C1509" s="350" t="n">
        <v>45987</v>
      </c>
      <c r="D1509" s="351" t="n">
        <v>11</v>
      </c>
      <c r="E1509" s="264" t="inlineStr">
        <is>
          <t xml:space="preserve">SAN JOSE </t>
        </is>
      </c>
      <c r="F1509" s="264" t="inlineStr">
        <is>
          <t>CARGUEROS</t>
        </is>
      </c>
      <c r="G1509" s="264" t="n">
        <v>12</v>
      </c>
      <c r="H1509" s="264" t="inlineStr">
        <is>
          <t>ALBERTO LOPEZ</t>
        </is>
      </c>
      <c r="I1509" s="264" t="inlineStr">
        <is>
          <t>LQO745</t>
        </is>
      </c>
      <c r="J1509" s="265" t="n">
        <v>0.6041666666666666</v>
      </c>
      <c r="K1509" s="266" t="n">
        <v>3240</v>
      </c>
      <c r="L1509" s="308" t="n"/>
      <c r="M1509" s="113" t="n"/>
      <c r="N1509" s="113" t="n"/>
      <c r="O1509" s="113" t="n"/>
      <c r="P1509" s="243" t="n"/>
      <c r="Q1509" s="113" t="n"/>
      <c r="R1509" s="113" t="n"/>
    </row>
    <row r="1510" ht="15.75" customHeight="1">
      <c r="A1510" s="113" t="n"/>
      <c r="B1510" s="146" t="n">
        <v>27</v>
      </c>
      <c r="C1510" s="350" t="n">
        <v>45987</v>
      </c>
      <c r="D1510" s="351" t="n">
        <v>12</v>
      </c>
      <c r="E1510" s="264" t="inlineStr">
        <is>
          <t xml:space="preserve">SAN JOSE </t>
        </is>
      </c>
      <c r="F1510" s="264" t="inlineStr">
        <is>
          <t>CARGUEROS</t>
        </is>
      </c>
      <c r="G1510" s="264" t="n">
        <v>12</v>
      </c>
      <c r="H1510" s="264" t="inlineStr">
        <is>
          <t>WIILMER PIÑEROS</t>
        </is>
      </c>
      <c r="I1510" s="264" t="inlineStr">
        <is>
          <t>KLN076</t>
        </is>
      </c>
      <c r="J1510" s="265" t="n">
        <v>0.6388888888888888</v>
      </c>
      <c r="K1510" s="266" t="n">
        <v>3529</v>
      </c>
      <c r="L1510" s="308" t="n"/>
      <c r="M1510" s="113" t="n"/>
      <c r="N1510" s="113" t="n"/>
      <c r="O1510" s="113" t="n"/>
      <c r="P1510" s="243" t="n"/>
      <c r="Q1510" s="113" t="n"/>
      <c r="R1510" s="113" t="n"/>
    </row>
    <row r="1511" ht="15.75" customHeight="1">
      <c r="A1511" s="113" t="n"/>
      <c r="B1511" s="146" t="n">
        <v>27</v>
      </c>
      <c r="C1511" s="350" t="n">
        <v>45987</v>
      </c>
      <c r="D1511" s="351" t="n">
        <v>13</v>
      </c>
      <c r="E1511" s="264" t="inlineStr">
        <is>
          <t xml:space="preserve">SAN JOSE </t>
        </is>
      </c>
      <c r="F1511" s="264" t="inlineStr">
        <is>
          <t>CARGUEROS</t>
        </is>
      </c>
      <c r="G1511" s="264" t="n">
        <v>12</v>
      </c>
      <c r="H1511" s="264" t="inlineStr">
        <is>
          <t>DIEGO NIÑO</t>
        </is>
      </c>
      <c r="I1511" s="264" t="inlineStr">
        <is>
          <t>GZZ673</t>
        </is>
      </c>
      <c r="J1511" s="265" t="n">
        <v>0.6736111111111112</v>
      </c>
      <c r="K1511" s="266" t="n">
        <v>3529</v>
      </c>
      <c r="L1511" s="308" t="n"/>
      <c r="M1511" s="113" t="n"/>
      <c r="N1511" s="113" t="n"/>
      <c r="O1511" s="113" t="n"/>
      <c r="P1511" s="243" t="n"/>
      <c r="Q1511" s="113" t="n"/>
      <c r="R1511" s="113" t="n"/>
    </row>
    <row r="1512" ht="15.75" customHeight="1">
      <c r="A1512" s="113" t="n"/>
      <c r="B1512" s="146" t="n">
        <v>27</v>
      </c>
      <c r="C1512" s="350" t="n">
        <v>45987</v>
      </c>
      <c r="D1512" s="351" t="n">
        <v>14</v>
      </c>
      <c r="E1512" s="264" t="inlineStr">
        <is>
          <t xml:space="preserve">SAN JOSE </t>
        </is>
      </c>
      <c r="F1512" s="264" t="inlineStr">
        <is>
          <t>CARGUEROS</t>
        </is>
      </c>
      <c r="G1512" s="264" t="n">
        <v>12</v>
      </c>
      <c r="H1512" s="264" t="inlineStr">
        <is>
          <t>JHON ARIAS</t>
        </is>
      </c>
      <c r="I1512" s="264" t="inlineStr">
        <is>
          <t>TLN248</t>
        </is>
      </c>
      <c r="J1512" s="265" t="n">
        <v>0.71875</v>
      </c>
      <c r="K1512" s="266" t="n">
        <v>3529</v>
      </c>
      <c r="L1512" s="308" t="n"/>
      <c r="M1512" s="113" t="n"/>
      <c r="N1512" s="113" t="n"/>
      <c r="O1512" s="113" t="n"/>
      <c r="P1512" s="243" t="n"/>
      <c r="Q1512" s="113" t="n"/>
      <c r="R1512" s="113" t="n"/>
    </row>
    <row r="1513" ht="15.75" customHeight="1">
      <c r="A1513" s="113" t="n"/>
      <c r="B1513" s="146" t="n">
        <v>27</v>
      </c>
      <c r="C1513" s="350" t="n">
        <v>45987</v>
      </c>
      <c r="D1513" s="351" t="n">
        <v>15</v>
      </c>
      <c r="E1513" s="264" t="inlineStr">
        <is>
          <t xml:space="preserve">SAN JOSE </t>
        </is>
      </c>
      <c r="F1513" s="264" t="inlineStr">
        <is>
          <t>CARGUEROS</t>
        </is>
      </c>
      <c r="G1513" s="264" t="n">
        <v>12</v>
      </c>
      <c r="H1513" s="264" t="inlineStr">
        <is>
          <t>FABIO ALDANA</t>
        </is>
      </c>
      <c r="I1513" s="264" t="inlineStr">
        <is>
          <t>TLO882</t>
        </is>
      </c>
      <c r="J1513" s="265" t="n">
        <v>0.7590277777777777</v>
      </c>
      <c r="K1513" s="266" t="n">
        <v>3529</v>
      </c>
      <c r="L1513" s="308" t="n"/>
      <c r="M1513" s="113" t="n"/>
      <c r="N1513" s="113" t="n"/>
      <c r="O1513" s="113" t="n"/>
      <c r="P1513" s="243" t="n"/>
      <c r="Q1513" s="113" t="n"/>
      <c r="R1513" s="113" t="n"/>
    </row>
    <row r="1514" ht="15.75" customHeight="1">
      <c r="A1514" s="113" t="n"/>
      <c r="B1514" s="146" t="n">
        <v>27</v>
      </c>
      <c r="C1514" s="350" t="n">
        <v>45987</v>
      </c>
      <c r="D1514" s="351" t="n">
        <v>16</v>
      </c>
      <c r="E1514" s="264" t="inlineStr">
        <is>
          <t>MALAGUEÑA</t>
        </is>
      </c>
      <c r="F1514" s="264" t="inlineStr">
        <is>
          <t>ABONEROS</t>
        </is>
      </c>
      <c r="G1514" s="264" t="n">
        <v>10</v>
      </c>
      <c r="H1514" s="264" t="inlineStr">
        <is>
          <t>JAIRO CUBILLOS</t>
        </is>
      </c>
      <c r="I1514" s="264" t="inlineStr">
        <is>
          <t>TLO884</t>
        </is>
      </c>
      <c r="J1514" s="265" t="n">
        <v>0.1819444444444444</v>
      </c>
      <c r="K1514" s="266" t="n">
        <v>3180</v>
      </c>
      <c r="L1514" s="308" t="n"/>
      <c r="M1514" s="113" t="n"/>
      <c r="N1514" s="113" t="n"/>
      <c r="O1514" s="113" t="n"/>
      <c r="P1514" s="243" t="n"/>
      <c r="Q1514" s="113" t="n"/>
      <c r="R1514" s="113" t="n"/>
    </row>
    <row r="1515" ht="15.75" customHeight="1">
      <c r="A1515" s="113" t="n"/>
      <c r="B1515" s="146" t="n">
        <v>27</v>
      </c>
      <c r="C1515" s="350" t="n">
        <v>45987</v>
      </c>
      <c r="D1515" s="351" t="n">
        <v>17</v>
      </c>
      <c r="E1515" s="264" t="inlineStr">
        <is>
          <t>MALAGUEÑA</t>
        </is>
      </c>
      <c r="F1515" s="264" t="inlineStr">
        <is>
          <t>ABONEROS</t>
        </is>
      </c>
      <c r="G1515" s="264" t="n">
        <v>10</v>
      </c>
      <c r="H1515" s="264" t="inlineStr">
        <is>
          <t>EDUAN CAVIEDEZ</t>
        </is>
      </c>
      <c r="I1515" s="264" t="inlineStr">
        <is>
          <t>EQY779</t>
        </is>
      </c>
      <c r="J1515" s="265" t="n">
        <v>0.2291666666666667</v>
      </c>
      <c r="K1515" s="266" t="n">
        <v>3180</v>
      </c>
      <c r="L1515" s="308" t="n"/>
      <c r="M1515" s="113" t="n"/>
      <c r="N1515" s="113" t="n"/>
      <c r="O1515" s="113" t="n"/>
      <c r="P1515" s="243" t="n"/>
      <c r="Q1515" s="113" t="n"/>
      <c r="R1515" s="113" t="n"/>
    </row>
    <row r="1516" ht="15.75" customHeight="1">
      <c r="A1516" s="113" t="n"/>
      <c r="B1516" s="146" t="n">
        <v>27</v>
      </c>
      <c r="C1516" s="350" t="n">
        <v>45987</v>
      </c>
      <c r="D1516" s="351" t="n">
        <v>18</v>
      </c>
      <c r="E1516" s="264" t="inlineStr">
        <is>
          <t>BOGOTA</t>
        </is>
      </c>
      <c r="F1516" s="264" t="inlineStr">
        <is>
          <t>ABONEROS</t>
        </is>
      </c>
      <c r="G1516" s="264" t="n">
        <v>8</v>
      </c>
      <c r="H1516" s="264" t="inlineStr">
        <is>
          <t>ELIGIO RODRIGUEZ</t>
        </is>
      </c>
      <c r="I1516" s="264" t="inlineStr">
        <is>
          <t>ASF125</t>
        </is>
      </c>
      <c r="J1516" s="265" t="n">
        <v>0.6965277777777777</v>
      </c>
      <c r="K1516" s="266" t="n">
        <v>3000</v>
      </c>
      <c r="L1516" s="308" t="n"/>
      <c r="M1516" s="113" t="n"/>
      <c r="N1516" s="113" t="n"/>
      <c r="O1516" s="113" t="n"/>
      <c r="P1516" s="243" t="n"/>
      <c r="Q1516" s="113" t="n"/>
      <c r="R1516" s="113" t="n"/>
    </row>
    <row r="1517" ht="15.75" customHeight="1">
      <c r="A1517" s="113" t="n"/>
      <c r="B1517" s="146" t="n">
        <v>27</v>
      </c>
      <c r="C1517" s="350" t="n">
        <v>45987</v>
      </c>
      <c r="D1517" s="351" t="n">
        <v>19</v>
      </c>
      <c r="E1517" s="264" t="inlineStr">
        <is>
          <t>BOGOTA</t>
        </is>
      </c>
      <c r="F1517" s="264" t="inlineStr">
        <is>
          <t>ABONEROS</t>
        </is>
      </c>
      <c r="G1517" s="264" t="n">
        <v>8</v>
      </c>
      <c r="H1517" s="264" t="inlineStr">
        <is>
          <t xml:space="preserve">MERVIN CORTEZ </t>
        </is>
      </c>
      <c r="I1517" s="264" t="inlineStr">
        <is>
          <t>TLN180</t>
        </is>
      </c>
      <c r="J1517" s="265" t="n">
        <v>0.7354166666666667</v>
      </c>
      <c r="K1517" s="266" t="n">
        <v>2793</v>
      </c>
      <c r="L1517" s="308" t="n"/>
      <c r="M1517" s="113" t="n"/>
      <c r="N1517" s="113" t="n"/>
      <c r="O1517" s="113" t="n"/>
      <c r="P1517" s="243" t="n"/>
      <c r="Q1517" s="113" t="n"/>
      <c r="R1517" s="113" t="n"/>
    </row>
    <row r="1518" ht="15.75" customHeight="1">
      <c r="A1518" s="113" t="n"/>
      <c r="B1518" s="146" t="n">
        <v>27</v>
      </c>
      <c r="C1518" s="350" t="n">
        <v>45988</v>
      </c>
      <c r="D1518" s="351" t="n">
        <v>20</v>
      </c>
      <c r="E1518" s="264" t="inlineStr">
        <is>
          <t>HUERTAS</t>
        </is>
      </c>
      <c r="F1518" s="264" t="inlineStr">
        <is>
          <t>ABONEROS</t>
        </is>
      </c>
      <c r="G1518" s="264" t="n">
        <v>8</v>
      </c>
      <c r="H1518" s="264" t="inlineStr">
        <is>
          <t>JOSE MARTINEZ</t>
        </is>
      </c>
      <c r="I1518" s="264" t="inlineStr">
        <is>
          <t>FSU406</t>
        </is>
      </c>
      <c r="J1518" s="265" t="n">
        <v>0.7805555555555556</v>
      </c>
      <c r="K1518" s="266" t="n">
        <v>3300</v>
      </c>
      <c r="L1518" s="308" t="n"/>
      <c r="M1518" s="113" t="n"/>
      <c r="N1518" s="113" t="n"/>
      <c r="O1518" s="113" t="n"/>
      <c r="P1518" s="243" t="n"/>
      <c r="Q1518" s="113" t="n"/>
      <c r="R1518" s="113" t="n"/>
    </row>
    <row r="1519" ht="15.75" customHeight="1">
      <c r="A1519" s="113" t="n"/>
      <c r="B1519" s="146" t="n">
        <v>27</v>
      </c>
      <c r="C1519" s="350" t="n">
        <v>45988</v>
      </c>
      <c r="D1519" s="351" t="n">
        <v>21</v>
      </c>
      <c r="E1519" s="264" t="inlineStr">
        <is>
          <t>HUERTAS</t>
        </is>
      </c>
      <c r="F1519" s="264" t="inlineStr">
        <is>
          <t>ABONEROS</t>
        </is>
      </c>
      <c r="G1519" s="264" t="n">
        <v>8</v>
      </c>
      <c r="H1519" s="264" t="inlineStr">
        <is>
          <t>JOSE BELTRAN</t>
        </is>
      </c>
      <c r="I1519" s="264" t="inlineStr">
        <is>
          <t>SMS209</t>
        </is>
      </c>
      <c r="J1519" s="265" t="n">
        <v>0.8326388888888889</v>
      </c>
      <c r="K1519" s="266" t="n">
        <v>3300</v>
      </c>
      <c r="L1519" s="308" t="n"/>
      <c r="M1519" s="113" t="n"/>
      <c r="N1519" s="113" t="n"/>
      <c r="O1519" s="113" t="n"/>
      <c r="P1519" s="243" t="n"/>
      <c r="Q1519" s="113" t="n"/>
      <c r="R1519" s="113" t="n"/>
    </row>
    <row r="1520" ht="15.75" customHeight="1">
      <c r="A1520" s="113" t="n"/>
      <c r="B1520" s="146" t="n">
        <v>27</v>
      </c>
      <c r="C1520" s="350" t="n">
        <v>45988</v>
      </c>
      <c r="D1520" s="351" t="n">
        <v>22</v>
      </c>
      <c r="E1520" s="264" t="inlineStr">
        <is>
          <t>HUERTAS</t>
        </is>
      </c>
      <c r="F1520" s="264" t="inlineStr">
        <is>
          <t>ABONEROS</t>
        </is>
      </c>
      <c r="G1520" s="264" t="n">
        <v>8</v>
      </c>
      <c r="H1520" s="264" t="inlineStr">
        <is>
          <t>JUAN DAVID GOMEZ</t>
        </is>
      </c>
      <c r="I1520" s="264" t="inlineStr">
        <is>
          <t>SQW243</t>
        </is>
      </c>
      <c r="J1520" s="265" t="n">
        <v>0.8840277777777777</v>
      </c>
      <c r="K1520" s="266" t="n">
        <v>2500</v>
      </c>
      <c r="L1520" s="308" t="n"/>
      <c r="M1520" s="113" t="n"/>
      <c r="N1520" s="113" t="n"/>
      <c r="O1520" s="113" t="n"/>
      <c r="P1520" s="243" t="n"/>
      <c r="Q1520" s="113" t="n"/>
      <c r="R1520" s="113" t="n"/>
    </row>
    <row r="1521" ht="15.75" customHeight="1">
      <c r="A1521" s="113" t="n"/>
      <c r="B1521" s="146" t="n">
        <v>27</v>
      </c>
      <c r="C1521" s="350" t="n">
        <v>45988</v>
      </c>
      <c r="D1521" s="351" t="n">
        <v>23</v>
      </c>
      <c r="E1521" s="264" t="inlineStr">
        <is>
          <t>HUERTAS</t>
        </is>
      </c>
      <c r="F1521" s="264" t="inlineStr">
        <is>
          <t>ABONEROS</t>
        </is>
      </c>
      <c r="G1521" s="264" t="n">
        <v>8</v>
      </c>
      <c r="H1521" s="264" t="inlineStr">
        <is>
          <t>JHONATAN GOMEZ</t>
        </is>
      </c>
      <c r="I1521" s="264" t="inlineStr">
        <is>
          <t>WFT709</t>
        </is>
      </c>
      <c r="J1521" s="265" t="n">
        <v>0.9229166666666667</v>
      </c>
      <c r="K1521" s="266" t="n">
        <v>2500</v>
      </c>
      <c r="L1521" s="308" t="n"/>
      <c r="M1521" s="113" t="n"/>
      <c r="N1521" s="113" t="n"/>
      <c r="O1521" s="113" t="n"/>
      <c r="P1521" s="243" t="n"/>
      <c r="Q1521" s="113" t="n"/>
      <c r="R1521" s="113" t="n"/>
    </row>
    <row r="1522" ht="15.75" customHeight="1">
      <c r="A1522" s="113" t="n"/>
      <c r="B1522" s="146" t="n">
        <v>27</v>
      </c>
      <c r="C1522" s="350" t="n">
        <v>45988</v>
      </c>
      <c r="D1522" s="351" t="n">
        <v>24</v>
      </c>
      <c r="E1522" s="264" t="inlineStr">
        <is>
          <t>HUERTAS</t>
        </is>
      </c>
      <c r="F1522" s="264" t="inlineStr">
        <is>
          <t>ABONEROS</t>
        </is>
      </c>
      <c r="G1522" s="264" t="n">
        <v>8</v>
      </c>
      <c r="H1522" s="264" t="inlineStr">
        <is>
          <t xml:space="preserve">ALEX CHAGUALA </t>
        </is>
      </c>
      <c r="I1522" s="264" t="inlineStr">
        <is>
          <t>TLN248</t>
        </is>
      </c>
      <c r="J1522" s="265" t="n">
        <v>0.5340277777777778</v>
      </c>
      <c r="K1522" s="266" t="n">
        <v>3564</v>
      </c>
      <c r="L1522" s="309" t="n"/>
      <c r="M1522" s="113" t="n"/>
      <c r="N1522" s="113" t="n"/>
      <c r="O1522" s="113" t="n"/>
      <c r="P1522" s="243" t="n"/>
      <c r="Q1522" s="113" t="n"/>
      <c r="R1522" s="113" t="n"/>
    </row>
    <row r="1523" ht="15" customHeight="1">
      <c r="A1523" s="113" t="n"/>
      <c r="B1523" s="146" t="n">
        <v>27</v>
      </c>
      <c r="C1523" s="356" t="n">
        <v>45988</v>
      </c>
      <c r="D1523" s="357" t="n">
        <v>25</v>
      </c>
      <c r="E1523" s="271" t="inlineStr">
        <is>
          <t>HUERTAS</t>
        </is>
      </c>
      <c r="F1523" s="271" t="inlineStr">
        <is>
          <t>ABONEROS</t>
        </is>
      </c>
      <c r="G1523" s="271" t="n">
        <v>8</v>
      </c>
      <c r="H1523" s="271" t="inlineStr">
        <is>
          <t>JAIRO CUBILLOS</t>
        </is>
      </c>
      <c r="I1523" s="271" t="inlineStr">
        <is>
          <t>TLO884</t>
        </is>
      </c>
      <c r="J1523" s="272" t="n">
        <v>0.9951388888888889</v>
      </c>
      <c r="K1523" s="273" t="n">
        <v>3564</v>
      </c>
      <c r="L1523" s="378">
        <f>SUM(K1499:K1523)</f>
        <v/>
      </c>
      <c r="M1523" s="113" t="n"/>
      <c r="N1523" s="113" t="n"/>
      <c r="O1523" s="113" t="n"/>
      <c r="P1523" s="243" t="n"/>
      <c r="Q1523" s="113" t="n"/>
      <c r="R1523" s="113" t="n"/>
    </row>
    <row r="1524" ht="15.75" customHeight="1">
      <c r="A1524" s="113" t="n"/>
      <c r="B1524" s="146" t="n">
        <v>27</v>
      </c>
      <c r="C1524" s="359" t="n">
        <v>45988</v>
      </c>
      <c r="D1524" s="360" t="n">
        <v>1</v>
      </c>
      <c r="E1524" s="293" t="inlineStr">
        <is>
          <t>MALAGUEÑA</t>
        </is>
      </c>
      <c r="F1524" s="293" t="inlineStr">
        <is>
          <t>CARGUEROS</t>
        </is>
      </c>
      <c r="G1524" s="293" t="n">
        <v>11</v>
      </c>
      <c r="H1524" s="293" t="inlineStr">
        <is>
          <t>FABIO ALDANA</t>
        </is>
      </c>
      <c r="I1524" s="293" t="inlineStr">
        <is>
          <t>TLO8822</t>
        </is>
      </c>
      <c r="J1524" s="294" t="n">
        <v>0.1666666666666667</v>
      </c>
      <c r="K1524" s="295" t="n">
        <v>3564</v>
      </c>
      <c r="L1524" s="296" t="n"/>
      <c r="M1524" s="113" t="n"/>
      <c r="N1524" s="113" t="n"/>
      <c r="O1524" s="113" t="n"/>
      <c r="P1524" s="243" t="n"/>
      <c r="Q1524" s="113" t="n"/>
      <c r="R1524" s="113" t="n"/>
    </row>
    <row r="1525" ht="15.75" customHeight="1">
      <c r="A1525" s="113" t="n"/>
      <c r="B1525" s="146" t="n">
        <v>27</v>
      </c>
      <c r="C1525" s="350" t="n">
        <v>45988</v>
      </c>
      <c r="D1525" s="351" t="n">
        <v>2</v>
      </c>
      <c r="E1525" s="264" t="inlineStr">
        <is>
          <t>MALAGUEÑA</t>
        </is>
      </c>
      <c r="F1525" s="264" t="inlineStr">
        <is>
          <t>CARGUEROS</t>
        </is>
      </c>
      <c r="G1525" s="264" t="n">
        <v>11</v>
      </c>
      <c r="H1525" s="264" t="inlineStr">
        <is>
          <t xml:space="preserve">JOSE SOLER </t>
        </is>
      </c>
      <c r="I1525" s="264" t="inlineStr">
        <is>
          <t>EQY776</t>
        </is>
      </c>
      <c r="J1525" s="265" t="n">
        <v>0.2430555555555556</v>
      </c>
      <c r="K1525" s="266" t="n">
        <v>3460</v>
      </c>
      <c r="L1525" s="308" t="n"/>
      <c r="M1525" s="113" t="n"/>
      <c r="N1525" s="113" t="n"/>
      <c r="O1525" s="113" t="n"/>
      <c r="P1525" s="243" t="n"/>
      <c r="Q1525" s="113" t="n"/>
      <c r="R1525" s="113" t="n"/>
    </row>
    <row r="1526" ht="15.75" customHeight="1">
      <c r="A1526" s="113" t="n"/>
      <c r="B1526" s="146" t="n">
        <v>27</v>
      </c>
      <c r="C1526" s="350" t="n">
        <v>45988</v>
      </c>
      <c r="D1526" s="351" t="n">
        <v>3</v>
      </c>
      <c r="E1526" s="264" t="inlineStr">
        <is>
          <t>MALAGUEÑA</t>
        </is>
      </c>
      <c r="F1526" s="264" t="inlineStr">
        <is>
          <t>CARGUEROS</t>
        </is>
      </c>
      <c r="G1526" s="264" t="n">
        <v>11</v>
      </c>
      <c r="H1526" s="264" t="inlineStr">
        <is>
          <t>JOSE HERRERA</t>
        </is>
      </c>
      <c r="I1526" s="264" t="inlineStr">
        <is>
          <t>LQO745</t>
        </is>
      </c>
      <c r="J1526" s="265" t="n">
        <v>0.2708333333333333</v>
      </c>
      <c r="K1526" s="266" t="n">
        <v>3750</v>
      </c>
      <c r="L1526" s="308" t="n"/>
      <c r="M1526" s="113" t="n"/>
      <c r="N1526" s="113" t="n"/>
      <c r="O1526" s="113" t="n"/>
      <c r="P1526" s="243" t="n"/>
      <c r="Q1526" s="113" t="n"/>
      <c r="R1526" s="113" t="n"/>
    </row>
    <row r="1527" ht="15.75" customHeight="1">
      <c r="A1527" s="113" t="n"/>
      <c r="B1527" s="146" t="n">
        <v>27</v>
      </c>
      <c r="C1527" s="350" t="n">
        <v>45988</v>
      </c>
      <c r="D1527" s="351" t="n">
        <v>4</v>
      </c>
      <c r="E1527" s="264" t="inlineStr">
        <is>
          <t xml:space="preserve">SAN JOSE </t>
        </is>
      </c>
      <c r="F1527" s="264" t="inlineStr">
        <is>
          <t>CARGUEROS</t>
        </is>
      </c>
      <c r="G1527" s="264" t="n">
        <v>11</v>
      </c>
      <c r="H1527" s="264" t="inlineStr">
        <is>
          <t xml:space="preserve">SEBASTIAN HIDALGO </t>
        </is>
      </c>
      <c r="I1527" s="264" t="inlineStr">
        <is>
          <t>EQY777</t>
        </is>
      </c>
      <c r="J1527" s="265" t="n">
        <v>0.3819444444444444</v>
      </c>
      <c r="K1527" s="266" t="n">
        <v>3564</v>
      </c>
      <c r="L1527" s="308" t="n"/>
      <c r="M1527" s="113" t="n"/>
      <c r="N1527" s="113" t="n"/>
      <c r="O1527" s="113" t="n"/>
      <c r="P1527" s="243" t="n"/>
      <c r="Q1527" s="113" t="n"/>
      <c r="R1527" s="113" t="n"/>
    </row>
    <row r="1528" ht="15.75" customHeight="1">
      <c r="A1528" s="113" t="n"/>
      <c r="B1528" s="146" t="n">
        <v>27</v>
      </c>
      <c r="C1528" s="350" t="n">
        <v>45988</v>
      </c>
      <c r="D1528" s="351" t="n">
        <v>5</v>
      </c>
      <c r="E1528" s="264" t="inlineStr">
        <is>
          <t xml:space="preserve">SAN JOSE </t>
        </is>
      </c>
      <c r="F1528" s="264" t="inlineStr">
        <is>
          <t>CARGUEROS</t>
        </is>
      </c>
      <c r="G1528" s="264" t="n">
        <v>11</v>
      </c>
      <c r="H1528" s="264" t="inlineStr">
        <is>
          <t>JOSE HERRERA</t>
        </is>
      </c>
      <c r="I1528" s="264" t="inlineStr">
        <is>
          <t>LQO745</t>
        </is>
      </c>
      <c r="J1528" s="265" t="n">
        <v>0.4270833333333333</v>
      </c>
      <c r="K1528" s="266" t="n">
        <v>3564</v>
      </c>
      <c r="L1528" s="308" t="n"/>
      <c r="M1528" s="113" t="n"/>
      <c r="N1528" s="113" t="n"/>
      <c r="O1528" s="113" t="n"/>
      <c r="P1528" s="243" t="n"/>
      <c r="Q1528" s="113" t="n"/>
      <c r="R1528" s="113" t="n"/>
    </row>
    <row r="1529" ht="15.75" customHeight="1">
      <c r="A1529" s="113" t="n"/>
      <c r="B1529" s="146" t="n">
        <v>27</v>
      </c>
      <c r="C1529" s="350" t="n">
        <v>45988</v>
      </c>
      <c r="D1529" s="351" t="n">
        <v>6</v>
      </c>
      <c r="E1529" s="264" t="inlineStr">
        <is>
          <t xml:space="preserve">SAN JOSE </t>
        </is>
      </c>
      <c r="F1529" s="264" t="inlineStr">
        <is>
          <t>CARGUEROS</t>
        </is>
      </c>
      <c r="G1529" s="264" t="n">
        <v>11</v>
      </c>
      <c r="H1529" s="264" t="inlineStr">
        <is>
          <t>MANUEL QUINTIAN</t>
        </is>
      </c>
      <c r="I1529" s="264" t="inlineStr">
        <is>
          <t>KUS176</t>
        </is>
      </c>
      <c r="J1529" s="265" t="n">
        <v>0.4861111111111111</v>
      </c>
      <c r="K1529" s="266" t="n">
        <v>3564</v>
      </c>
      <c r="L1529" s="309" t="n"/>
      <c r="M1529" s="113" t="n"/>
      <c r="N1529" s="113" t="n"/>
      <c r="O1529" s="113" t="n"/>
      <c r="P1529" s="243" t="n"/>
      <c r="Q1529" s="113" t="n"/>
      <c r="R1529" s="113" t="n"/>
    </row>
    <row r="1530" ht="15.75" customHeight="1">
      <c r="A1530" s="113" t="n"/>
      <c r="B1530" s="146" t="n">
        <v>27</v>
      </c>
      <c r="C1530" s="352" t="n">
        <v>45988</v>
      </c>
      <c r="D1530" s="347" t="n">
        <v>7</v>
      </c>
      <c r="E1530" s="282" t="inlineStr">
        <is>
          <t xml:space="preserve">SAN JOSE </t>
        </is>
      </c>
      <c r="F1530" s="282" t="inlineStr">
        <is>
          <t>CARGUEROS</t>
        </is>
      </c>
      <c r="G1530" s="282" t="n">
        <v>11</v>
      </c>
      <c r="H1530" s="282" t="inlineStr">
        <is>
          <t>JAIRO CUBILLOS</t>
        </is>
      </c>
      <c r="I1530" s="282" t="inlineStr">
        <is>
          <t>TLO884</t>
        </is>
      </c>
      <c r="J1530" s="283" t="n">
        <v>0.02777777777777778</v>
      </c>
      <c r="K1530" s="284" t="n">
        <v>3888</v>
      </c>
      <c r="L1530" s="353">
        <f>SUM(K1524:K1530)</f>
        <v/>
      </c>
      <c r="M1530" s="113" t="n"/>
      <c r="N1530" s="113" t="n"/>
      <c r="O1530" s="113" t="n"/>
      <c r="P1530" s="243" t="n"/>
      <c r="Q1530" s="113" t="n"/>
      <c r="R1530" s="113" t="n"/>
    </row>
    <row r="1531" ht="15.75" customHeight="1">
      <c r="A1531" s="113" t="n"/>
      <c r="B1531" s="146" t="n">
        <v>27</v>
      </c>
      <c r="C1531" s="348" t="n">
        <v>45989</v>
      </c>
      <c r="D1531" s="349" t="n">
        <v>1</v>
      </c>
      <c r="E1531" s="258" t="inlineStr">
        <is>
          <t>BOGOTA</t>
        </is>
      </c>
      <c r="F1531" s="258" t="inlineStr">
        <is>
          <t>CARGUEROS</t>
        </is>
      </c>
      <c r="G1531" s="258" t="n">
        <v>11</v>
      </c>
      <c r="H1531" s="258" t="inlineStr">
        <is>
          <t>GUSTAVO MONROY</t>
        </is>
      </c>
      <c r="I1531" s="258" t="inlineStr">
        <is>
          <t>SUV760</t>
        </is>
      </c>
      <c r="J1531" s="259" t="n">
        <v>0.88125</v>
      </c>
      <c r="K1531" s="260" t="n">
        <v>2600</v>
      </c>
      <c r="L1531" s="292" t="n"/>
      <c r="M1531" s="113" t="n"/>
      <c r="N1531" s="113" t="n"/>
      <c r="O1531" s="113" t="n"/>
      <c r="P1531" s="243" t="n"/>
      <c r="Q1531" s="113" t="n"/>
      <c r="R1531" s="113" t="n"/>
    </row>
    <row r="1532" ht="15.75" customHeight="1">
      <c r="A1532" s="113" t="n"/>
      <c r="B1532" s="146" t="n">
        <v>27</v>
      </c>
      <c r="C1532" s="350" t="n">
        <v>45989</v>
      </c>
      <c r="D1532" s="351" t="n">
        <v>2</v>
      </c>
      <c r="E1532" s="264" t="inlineStr">
        <is>
          <t>BOGOTA</t>
        </is>
      </c>
      <c r="F1532" s="264" t="inlineStr">
        <is>
          <t>CARGUEROS</t>
        </is>
      </c>
      <c r="G1532" s="264" t="n">
        <v>11</v>
      </c>
      <c r="H1532" s="264" t="inlineStr">
        <is>
          <t>CARLOS PORRAS</t>
        </is>
      </c>
      <c r="I1532" s="264" t="inlineStr">
        <is>
          <t>TLN249</t>
        </is>
      </c>
      <c r="J1532" s="265" t="n">
        <v>0.9166666666666666</v>
      </c>
      <c r="K1532" s="266" t="n">
        <v>2600</v>
      </c>
      <c r="L1532" s="308" t="n"/>
      <c r="M1532" s="113" t="n"/>
      <c r="N1532" s="113" t="n"/>
      <c r="O1532" s="113" t="n"/>
      <c r="P1532" s="243" t="n"/>
      <c r="Q1532" s="113" t="n"/>
      <c r="R1532" s="113" t="n"/>
    </row>
    <row r="1533" ht="15.75" customHeight="1">
      <c r="A1533" s="113" t="n"/>
      <c r="B1533" s="146" t="n">
        <v>27</v>
      </c>
      <c r="C1533" s="350" t="n">
        <v>45989</v>
      </c>
      <c r="D1533" s="351" t="n">
        <v>3</v>
      </c>
      <c r="E1533" s="264" t="inlineStr">
        <is>
          <t>HUERTAS</t>
        </is>
      </c>
      <c r="F1533" s="264" t="inlineStr">
        <is>
          <t>CARGUEROS</t>
        </is>
      </c>
      <c r="G1533" s="264" t="n">
        <v>11</v>
      </c>
      <c r="H1533" s="264" t="inlineStr">
        <is>
          <t>FABIO ALDANA</t>
        </is>
      </c>
      <c r="I1533" s="264" t="inlineStr">
        <is>
          <t>TLO882</t>
        </is>
      </c>
      <c r="J1533" s="265" t="n">
        <v>0.9583333333333334</v>
      </c>
      <c r="K1533" s="266" t="n">
        <v>3564</v>
      </c>
      <c r="L1533" s="308" t="n"/>
      <c r="M1533" s="113" t="n"/>
      <c r="N1533" s="113" t="n"/>
      <c r="O1533" s="113" t="n"/>
      <c r="P1533" s="243" t="n"/>
      <c r="Q1533" s="113" t="n"/>
      <c r="R1533" s="113" t="n"/>
    </row>
    <row r="1534" ht="15.75" customHeight="1">
      <c r="A1534" s="113" t="n"/>
      <c r="B1534" s="146" t="n">
        <v>27</v>
      </c>
      <c r="C1534" s="350" t="n">
        <v>45989</v>
      </c>
      <c r="D1534" s="351" t="n">
        <v>4</v>
      </c>
      <c r="E1534" s="264" t="inlineStr">
        <is>
          <t>HUERTAS</t>
        </is>
      </c>
      <c r="F1534" s="264" t="inlineStr">
        <is>
          <t>CARGUEROS</t>
        </is>
      </c>
      <c r="G1534" s="264" t="n">
        <v>11</v>
      </c>
      <c r="H1534" s="264" t="inlineStr">
        <is>
          <t>EDWIN ROJAS</t>
        </is>
      </c>
      <c r="I1534" s="264" t="inlineStr">
        <is>
          <t>EQY780</t>
        </is>
      </c>
      <c r="J1534" s="265" t="n">
        <v>0.9930555555555556</v>
      </c>
      <c r="K1534" s="266" t="n">
        <v>3466</v>
      </c>
      <c r="L1534" s="308" t="n"/>
      <c r="M1534" s="113" t="n"/>
      <c r="N1534" s="113" t="n"/>
      <c r="O1534" s="113" t="n"/>
      <c r="P1534" s="243" t="n"/>
      <c r="Q1534" s="113" t="n"/>
      <c r="R1534" s="113" t="n"/>
    </row>
    <row r="1535" ht="15.75" customHeight="1">
      <c r="A1535" s="113" t="n"/>
      <c r="B1535" s="146" t="n">
        <v>27</v>
      </c>
      <c r="C1535" s="350" t="n">
        <v>45989</v>
      </c>
      <c r="D1535" s="351" t="n">
        <v>5</v>
      </c>
      <c r="E1535" s="264" t="inlineStr">
        <is>
          <t>HUERTAS</t>
        </is>
      </c>
      <c r="F1535" s="264" t="inlineStr">
        <is>
          <t>CARGUEROS</t>
        </is>
      </c>
      <c r="G1535" s="264" t="n">
        <v>11</v>
      </c>
      <c r="H1535" s="264" t="inlineStr">
        <is>
          <t>ROBINSON PULIDO</t>
        </is>
      </c>
      <c r="I1535" s="264" t="inlineStr">
        <is>
          <t>TLO881</t>
        </is>
      </c>
      <c r="J1535" s="265" t="n">
        <v>0.02777777777777778</v>
      </c>
      <c r="K1535" s="266" t="n">
        <v>3410</v>
      </c>
      <c r="L1535" s="308" t="n"/>
      <c r="M1535" s="113" t="n"/>
      <c r="N1535" s="113" t="n"/>
      <c r="O1535" s="113" t="n"/>
      <c r="P1535" s="243" t="n"/>
      <c r="Q1535" s="113" t="n"/>
      <c r="R1535" s="113" t="n"/>
    </row>
    <row r="1536" ht="15.75" customHeight="1">
      <c r="A1536" s="113" t="n"/>
      <c r="B1536" s="146" t="n">
        <v>27</v>
      </c>
      <c r="C1536" s="350" t="n">
        <v>45989</v>
      </c>
      <c r="D1536" s="351" t="n">
        <v>6</v>
      </c>
      <c r="E1536" s="264" t="inlineStr">
        <is>
          <t>HUERTAS</t>
        </is>
      </c>
      <c r="F1536" s="264" t="inlineStr">
        <is>
          <t>CARGUEROS</t>
        </is>
      </c>
      <c r="G1536" s="264" t="n">
        <v>11</v>
      </c>
      <c r="H1536" s="264" t="inlineStr">
        <is>
          <t>MANUEL QUINTIAN</t>
        </is>
      </c>
      <c r="I1536" s="264" t="inlineStr">
        <is>
          <t>KUS176</t>
        </is>
      </c>
      <c r="J1536" s="265" t="n">
        <v>0.0763888888888889</v>
      </c>
      <c r="K1536" s="266" t="n">
        <v>3240</v>
      </c>
      <c r="L1536" s="308" t="n"/>
      <c r="M1536" s="113" t="n"/>
      <c r="N1536" s="113" t="n"/>
      <c r="O1536" s="113" t="n"/>
      <c r="P1536" s="243" t="n"/>
      <c r="Q1536" s="113" t="n"/>
      <c r="R1536" s="113" t="n"/>
    </row>
    <row r="1537" ht="15.75" customHeight="1">
      <c r="A1537" s="113" t="n"/>
      <c r="B1537" s="146" t="n">
        <v>27</v>
      </c>
      <c r="C1537" s="350" t="n">
        <v>45989</v>
      </c>
      <c r="D1537" s="351" t="n">
        <v>7</v>
      </c>
      <c r="E1537" s="264" t="inlineStr">
        <is>
          <t>HUERTAS</t>
        </is>
      </c>
      <c r="F1537" s="264" t="inlineStr">
        <is>
          <t>CARGUEROS</t>
        </is>
      </c>
      <c r="G1537" s="264" t="n">
        <v>11</v>
      </c>
      <c r="H1537" s="264" t="inlineStr">
        <is>
          <t xml:space="preserve">JOSE SOLER </t>
        </is>
      </c>
      <c r="I1537" s="264" t="inlineStr">
        <is>
          <t>EQY776</t>
        </is>
      </c>
      <c r="J1537" s="265" t="n">
        <v>0.1215277777777778</v>
      </c>
      <c r="K1537" s="266" t="n">
        <v>3640</v>
      </c>
      <c r="L1537" s="308" t="n"/>
      <c r="M1537" s="113" t="n"/>
      <c r="N1537" s="113" t="n"/>
      <c r="O1537" s="113" t="n"/>
      <c r="P1537" s="243" t="n"/>
      <c r="Q1537" s="113" t="n"/>
      <c r="R1537" s="113" t="n"/>
    </row>
    <row r="1538" ht="15.75" customHeight="1">
      <c r="A1538" s="113" t="n"/>
      <c r="B1538" s="146" t="n">
        <v>27</v>
      </c>
      <c r="C1538" s="350" t="n">
        <v>45989</v>
      </c>
      <c r="D1538" s="351" t="n">
        <v>8</v>
      </c>
      <c r="E1538" s="264" t="inlineStr">
        <is>
          <t xml:space="preserve">SAN JOSE </t>
        </is>
      </c>
      <c r="F1538" s="264" t="inlineStr">
        <is>
          <t>ABONEROS</t>
        </is>
      </c>
      <c r="G1538" s="264" t="n">
        <v>11</v>
      </c>
      <c r="H1538" s="264" t="inlineStr">
        <is>
          <t>WILMER PIÑEROS</t>
        </is>
      </c>
      <c r="I1538" s="264" t="inlineStr">
        <is>
          <t>KNL076</t>
        </is>
      </c>
      <c r="J1538" s="265" t="n">
        <v>0.3451388888888889</v>
      </c>
      <c r="K1538" s="266" t="n">
        <v>3648</v>
      </c>
      <c r="L1538" s="308" t="n"/>
      <c r="M1538" s="113" t="n"/>
      <c r="N1538" s="113" t="n"/>
      <c r="O1538" s="113" t="n"/>
      <c r="P1538" s="243" t="n"/>
      <c r="Q1538" s="113" t="n"/>
      <c r="R1538" s="113" t="n"/>
    </row>
    <row r="1539" ht="15.75" customHeight="1">
      <c r="A1539" s="113" t="n"/>
      <c r="B1539" s="146" t="n">
        <v>27</v>
      </c>
      <c r="C1539" s="350" t="n">
        <v>45989</v>
      </c>
      <c r="D1539" s="351" t="n">
        <v>9</v>
      </c>
      <c r="E1539" s="264" t="inlineStr">
        <is>
          <t xml:space="preserve">SAN JOSE </t>
        </is>
      </c>
      <c r="F1539" s="264" t="inlineStr">
        <is>
          <t>ABONEROS</t>
        </is>
      </c>
      <c r="G1539" s="264" t="n">
        <v>11</v>
      </c>
      <c r="H1539" s="264" t="inlineStr">
        <is>
          <t xml:space="preserve">ALEX CHAGUALA </t>
        </is>
      </c>
      <c r="I1539" s="264" t="inlineStr">
        <is>
          <t>EQY777</t>
        </is>
      </c>
      <c r="J1539" s="265" t="n">
        <v>0.4138888888888889</v>
      </c>
      <c r="K1539" s="266" t="n">
        <v>3648</v>
      </c>
      <c r="L1539" s="308" t="n"/>
      <c r="M1539" s="113" t="n"/>
      <c r="N1539" s="113" t="n"/>
      <c r="O1539" s="113" t="n"/>
      <c r="P1539" s="243" t="n"/>
      <c r="Q1539" s="113" t="n"/>
      <c r="R1539" s="113" t="n"/>
    </row>
    <row r="1540" ht="15.75" customHeight="1">
      <c r="A1540" s="113" t="n"/>
      <c r="B1540" s="146" t="n">
        <v>27</v>
      </c>
      <c r="C1540" s="350" t="n">
        <v>45989</v>
      </c>
      <c r="D1540" s="351" t="n">
        <v>10</v>
      </c>
      <c r="E1540" s="264" t="inlineStr">
        <is>
          <t xml:space="preserve">SAN JOSE </t>
        </is>
      </c>
      <c r="F1540" s="264" t="inlineStr">
        <is>
          <t>ABONEROS</t>
        </is>
      </c>
      <c r="G1540" s="264" t="n">
        <v>11</v>
      </c>
      <c r="H1540" s="264" t="inlineStr">
        <is>
          <t>FABIO ALDANA</t>
        </is>
      </c>
      <c r="I1540" s="264" t="inlineStr">
        <is>
          <t>TLO882</t>
        </is>
      </c>
      <c r="J1540" s="265" t="n">
        <v>0.45</v>
      </c>
      <c r="K1540" s="266" t="n">
        <v>3322</v>
      </c>
      <c r="L1540" s="308" t="n"/>
      <c r="M1540" s="113" t="n"/>
      <c r="N1540" s="113" t="n"/>
      <c r="O1540" s="113" t="n"/>
      <c r="P1540" s="243" t="n"/>
      <c r="Q1540" s="113" t="n"/>
      <c r="R1540" s="113" t="n"/>
    </row>
    <row r="1541" ht="15.75" customHeight="1">
      <c r="A1541" s="113" t="n"/>
      <c r="B1541" s="146" t="n">
        <v>27</v>
      </c>
      <c r="C1541" s="350" t="n">
        <v>45989</v>
      </c>
      <c r="D1541" s="351" t="n">
        <v>11</v>
      </c>
      <c r="E1541" s="264" t="inlineStr">
        <is>
          <t xml:space="preserve">SAN JOSE </t>
        </is>
      </c>
      <c r="F1541" s="264" t="inlineStr">
        <is>
          <t>ABONEROS</t>
        </is>
      </c>
      <c r="G1541" s="264" t="n">
        <v>11</v>
      </c>
      <c r="H1541" s="264" t="inlineStr">
        <is>
          <t>ROBINSON PULIDO</t>
        </is>
      </c>
      <c r="I1541" s="264" t="inlineStr">
        <is>
          <t>TLO881</t>
        </is>
      </c>
      <c r="J1541" s="265" t="n">
        <v>0.4805555555555556</v>
      </c>
      <c r="K1541" s="266" t="n">
        <v>3322</v>
      </c>
      <c r="L1541" s="308" t="n"/>
      <c r="M1541" s="113" t="n"/>
      <c r="N1541" s="113" t="n"/>
      <c r="O1541" s="113" t="n"/>
      <c r="P1541" s="243" t="n"/>
      <c r="Q1541" s="113" t="n"/>
      <c r="R1541" s="113" t="n"/>
    </row>
    <row r="1542" ht="15.75" customHeight="1">
      <c r="A1542" s="113" t="n"/>
      <c r="B1542" s="146" t="n">
        <v>27</v>
      </c>
      <c r="C1542" s="352" t="n">
        <v>45989</v>
      </c>
      <c r="D1542" s="347" t="n">
        <v>12</v>
      </c>
      <c r="E1542" s="282" t="inlineStr">
        <is>
          <t xml:space="preserve">SAN JOSE </t>
        </is>
      </c>
      <c r="F1542" s="282" t="inlineStr">
        <is>
          <t>ABONEROS</t>
        </is>
      </c>
      <c r="G1542" s="282" t="n">
        <v>11</v>
      </c>
      <c r="H1542" s="282" t="inlineStr">
        <is>
          <t>JOSE  HERRERA</t>
        </is>
      </c>
      <c r="I1542" s="282" t="inlineStr">
        <is>
          <t>LQO745</t>
        </is>
      </c>
      <c r="J1542" s="283" t="n">
        <v>0.5458333333333333</v>
      </c>
      <c r="K1542" s="318" t="n">
        <v>2962</v>
      </c>
      <c r="L1542" s="354">
        <f>SUM(K1531:K1542)</f>
        <v/>
      </c>
      <c r="M1542" s="113" t="n"/>
      <c r="N1542" s="113" t="n"/>
      <c r="O1542" s="113" t="n"/>
      <c r="P1542" s="243" t="n"/>
      <c r="Q1542" s="113" t="n"/>
      <c r="R1542" s="113" t="n"/>
    </row>
    <row r="1543" ht="15.75" customHeight="1">
      <c r="A1543" s="113" t="n"/>
      <c r="B1543" s="146" t="n">
        <v>27</v>
      </c>
      <c r="C1543" s="348" t="n">
        <v>45990</v>
      </c>
      <c r="D1543" s="349" t="n">
        <v>4</v>
      </c>
      <c r="E1543" s="258" t="inlineStr">
        <is>
          <t>BOGOTA</t>
        </is>
      </c>
      <c r="F1543" s="258" t="inlineStr">
        <is>
          <t>CARGUEROS</t>
        </is>
      </c>
      <c r="G1543" s="258" t="n">
        <v>11</v>
      </c>
      <c r="H1543" s="258" t="inlineStr">
        <is>
          <t>GUSTAVO MONROY</t>
        </is>
      </c>
      <c r="I1543" s="258" t="inlineStr">
        <is>
          <t>SUV760</t>
        </is>
      </c>
      <c r="J1543" s="259" t="n">
        <v>0.9444444444444444</v>
      </c>
      <c r="K1543" s="260" t="n">
        <v>2600</v>
      </c>
      <c r="L1543" s="292" t="n"/>
      <c r="M1543" s="113" t="n"/>
      <c r="N1543" s="113" t="n"/>
      <c r="O1543" s="113" t="n"/>
      <c r="P1543" s="243" t="n"/>
      <c r="Q1543" s="113" t="n"/>
      <c r="R1543" s="113" t="n"/>
    </row>
    <row r="1544" ht="15.75" customHeight="1">
      <c r="A1544" s="113" t="n"/>
      <c r="B1544" s="146" t="n">
        <v>27</v>
      </c>
      <c r="C1544" s="350" t="n">
        <v>45990</v>
      </c>
      <c r="D1544" s="351" t="n">
        <v>5</v>
      </c>
      <c r="E1544" s="264" t="inlineStr">
        <is>
          <t>BOGOTA</t>
        </is>
      </c>
      <c r="F1544" s="264" t="inlineStr">
        <is>
          <t>CARGUEROS</t>
        </is>
      </c>
      <c r="G1544" s="264" t="n">
        <v>11</v>
      </c>
      <c r="H1544" s="264" t="inlineStr">
        <is>
          <t>EDUAN CAVIDEZ</t>
        </is>
      </c>
      <c r="I1544" s="264" t="inlineStr">
        <is>
          <t>EQY779</t>
        </is>
      </c>
      <c r="J1544" s="265" t="n">
        <v>0.9861111111111112</v>
      </c>
      <c r="K1544" s="266" t="n">
        <v>3080</v>
      </c>
      <c r="L1544" s="308" t="n"/>
      <c r="M1544" s="113" t="n"/>
      <c r="N1544" s="113" t="n"/>
      <c r="O1544" s="113" t="n"/>
      <c r="P1544" s="243" t="n"/>
      <c r="Q1544" s="113" t="n"/>
      <c r="R1544" s="113" t="n"/>
    </row>
    <row r="1545" ht="15.75" customHeight="1">
      <c r="A1545" s="113" t="n"/>
      <c r="B1545" s="146" t="n">
        <v>27</v>
      </c>
      <c r="C1545" s="350" t="n">
        <v>45990</v>
      </c>
      <c r="D1545" s="351" t="n">
        <v>6</v>
      </c>
      <c r="E1545" s="264" t="inlineStr">
        <is>
          <t>BOGOTA</t>
        </is>
      </c>
      <c r="F1545" s="264" t="inlineStr">
        <is>
          <t>CARGUEROS</t>
        </is>
      </c>
      <c r="G1545" s="264" t="n">
        <v>11</v>
      </c>
      <c r="H1545" s="264" t="inlineStr">
        <is>
          <t>EDWIN ROJAS</t>
        </is>
      </c>
      <c r="I1545" s="264" t="inlineStr">
        <is>
          <t>EQY780</t>
        </is>
      </c>
      <c r="J1545" s="265" t="n">
        <v>0.02430555555555556</v>
      </c>
      <c r="K1545" s="266" t="n">
        <v>3080</v>
      </c>
      <c r="L1545" s="309" t="n"/>
      <c r="M1545" s="113" t="n"/>
      <c r="N1545" s="113" t="n"/>
      <c r="O1545" s="113" t="n"/>
      <c r="P1545" s="243" t="n"/>
      <c r="Q1545" s="113" t="n"/>
      <c r="R1545" s="113" t="n"/>
    </row>
    <row r="1546" ht="15.75" customHeight="1">
      <c r="A1546" s="113" t="n"/>
      <c r="B1546" s="146" t="n">
        <v>27</v>
      </c>
      <c r="C1546" s="356" t="n">
        <v>45990</v>
      </c>
      <c r="D1546" s="357" t="n">
        <v>7</v>
      </c>
      <c r="E1546" s="271" t="inlineStr">
        <is>
          <t>BOGOTA</t>
        </is>
      </c>
      <c r="F1546" s="271" t="inlineStr">
        <is>
          <t>CARGUEROS</t>
        </is>
      </c>
      <c r="G1546" s="271" t="n">
        <v>11</v>
      </c>
      <c r="H1546" s="271" t="inlineStr">
        <is>
          <t>ALEXANDER CHAGUALA</t>
        </is>
      </c>
      <c r="I1546" s="271" t="inlineStr">
        <is>
          <t>TLN248</t>
        </is>
      </c>
      <c r="J1546" s="272" t="n">
        <v>0.05902777777777778</v>
      </c>
      <c r="K1546" s="273" t="n">
        <v>3080</v>
      </c>
      <c r="L1546" s="378">
        <f>SUM(K1543:K1546)</f>
        <v/>
      </c>
      <c r="M1546" s="113" t="n"/>
      <c r="N1546" s="113" t="n"/>
      <c r="O1546" s="113" t="n"/>
      <c r="P1546" s="243" t="n"/>
      <c r="Q1546" s="113" t="n"/>
      <c r="R1546" s="113" t="n"/>
    </row>
    <row r="1547" ht="15.75" customHeight="1">
      <c r="A1547" s="113" t="n"/>
      <c r="B1547" s="146" t="n">
        <v>28</v>
      </c>
      <c r="C1547" s="348" t="n">
        <v>45990</v>
      </c>
      <c r="D1547" s="349" t="n">
        <v>1</v>
      </c>
      <c r="E1547" s="258" t="inlineStr">
        <is>
          <t>HUERTAS</t>
        </is>
      </c>
      <c r="F1547" s="258" t="inlineStr">
        <is>
          <t>CARGUEROS</t>
        </is>
      </c>
      <c r="G1547" s="258" t="n">
        <v>11</v>
      </c>
      <c r="H1547" s="258" t="inlineStr">
        <is>
          <t>MAURICIO PARRA</t>
        </is>
      </c>
      <c r="I1547" s="258" t="inlineStr">
        <is>
          <t>ERL409</t>
        </is>
      </c>
      <c r="J1547" s="259" t="n">
        <v>0.8416666666666667</v>
      </c>
      <c r="K1547" s="260" t="n">
        <v>2700</v>
      </c>
      <c r="L1547" s="292" t="n"/>
      <c r="M1547" s="113" t="n"/>
      <c r="N1547" s="113" t="n"/>
      <c r="O1547" s="113" t="n"/>
      <c r="P1547" s="243" t="n"/>
      <c r="Q1547" s="113" t="n"/>
      <c r="R1547" s="113" t="n"/>
    </row>
    <row r="1548" ht="15.75" customHeight="1">
      <c r="A1548" s="113" t="n"/>
      <c r="B1548" s="146" t="n">
        <v>28</v>
      </c>
      <c r="C1548" s="350" t="n">
        <v>45990</v>
      </c>
      <c r="D1548" s="351" t="n">
        <v>2</v>
      </c>
      <c r="E1548" s="264" t="inlineStr">
        <is>
          <t>HUERTAS</t>
        </is>
      </c>
      <c r="F1548" s="264" t="inlineStr">
        <is>
          <t>CARGUEROS</t>
        </is>
      </c>
      <c r="G1548" s="264" t="n">
        <v>11</v>
      </c>
      <c r="H1548" s="264" t="inlineStr">
        <is>
          <t>PEDRO RIVERA</t>
        </is>
      </c>
      <c r="I1548" s="264" t="inlineStr">
        <is>
          <t>SHL416</t>
        </is>
      </c>
      <c r="J1548" s="265" t="n">
        <v>0.875</v>
      </c>
      <c r="K1548" s="266" t="n">
        <v>2670</v>
      </c>
      <c r="L1548" s="308" t="n"/>
      <c r="M1548" s="113" t="n"/>
      <c r="N1548" s="113" t="n"/>
      <c r="O1548" s="113" t="n"/>
      <c r="P1548" s="243" t="n"/>
      <c r="Q1548" s="113" t="n"/>
      <c r="R1548" s="113" t="n"/>
    </row>
    <row r="1549" ht="15.75" customHeight="1">
      <c r="A1549" s="113" t="n"/>
      <c r="B1549" s="146" t="n">
        <v>28</v>
      </c>
      <c r="C1549" s="350" t="n">
        <v>45990</v>
      </c>
      <c r="D1549" s="351" t="n">
        <v>3</v>
      </c>
      <c r="E1549" s="264" t="inlineStr">
        <is>
          <t>HUERTAS</t>
        </is>
      </c>
      <c r="F1549" s="264" t="inlineStr">
        <is>
          <t>CARGUEROS</t>
        </is>
      </c>
      <c r="G1549" s="264" t="n">
        <v>11</v>
      </c>
      <c r="H1549" s="264" t="inlineStr">
        <is>
          <t>JUAN DAVID GOMEZ</t>
        </is>
      </c>
      <c r="I1549" s="264" t="inlineStr">
        <is>
          <t>SMS207</t>
        </is>
      </c>
      <c r="J1549" s="265" t="n">
        <v>0.9131944444444444</v>
      </c>
      <c r="K1549" s="266" t="n">
        <v>2700</v>
      </c>
      <c r="L1549" s="308" t="n"/>
      <c r="M1549" s="113" t="n"/>
      <c r="N1549" s="113" t="n"/>
      <c r="O1549" s="113" t="n"/>
      <c r="P1549" s="243" t="n"/>
      <c r="Q1549" s="113" t="n"/>
      <c r="R1549" s="113" t="n"/>
    </row>
    <row r="1550" ht="15.75" customHeight="1">
      <c r="A1550" s="113" t="n"/>
      <c r="B1550" s="146" t="n">
        <v>28</v>
      </c>
      <c r="C1550" s="350" t="n">
        <v>45990</v>
      </c>
      <c r="D1550" s="351" t="n">
        <v>8</v>
      </c>
      <c r="E1550" s="264" t="inlineStr">
        <is>
          <t xml:space="preserve">SAN JOSE </t>
        </is>
      </c>
      <c r="F1550" s="264" t="inlineStr">
        <is>
          <t>ABONEROS</t>
        </is>
      </c>
      <c r="G1550" s="264" t="n">
        <v>9</v>
      </c>
      <c r="H1550" s="264" t="inlineStr">
        <is>
          <t>JAIRO CUBILLOS</t>
        </is>
      </c>
      <c r="I1550" s="264" t="inlineStr">
        <is>
          <t>TLO884</t>
        </is>
      </c>
      <c r="J1550" s="265" t="n">
        <v>0.2868055555555555</v>
      </c>
      <c r="K1550" s="266" t="n">
        <v>3672</v>
      </c>
      <c r="L1550" s="308" t="n"/>
      <c r="M1550" s="113" t="n"/>
      <c r="N1550" s="113" t="n"/>
      <c r="O1550" s="113" t="n"/>
      <c r="P1550" s="243" t="n"/>
      <c r="Q1550" s="113" t="n"/>
      <c r="R1550" s="113" t="n"/>
    </row>
    <row r="1551" ht="15.75" customHeight="1">
      <c r="A1551" s="113" t="n"/>
      <c r="B1551" s="146" t="n">
        <v>28</v>
      </c>
      <c r="C1551" s="350" t="n">
        <v>45990</v>
      </c>
      <c r="D1551" s="351" t="n">
        <v>9</v>
      </c>
      <c r="E1551" s="264" t="inlineStr">
        <is>
          <t xml:space="preserve">SAN JOSE </t>
        </is>
      </c>
      <c r="F1551" s="264" t="inlineStr">
        <is>
          <t>ABONEROS</t>
        </is>
      </c>
      <c r="G1551" s="264" t="n">
        <v>9</v>
      </c>
      <c r="H1551" s="264" t="inlineStr">
        <is>
          <t>WILMER PIÑEROS</t>
        </is>
      </c>
      <c r="I1551" s="264" t="inlineStr">
        <is>
          <t>KNL076</t>
        </is>
      </c>
      <c r="J1551" s="265" t="n">
        <v>0.3173611111111111</v>
      </c>
      <c r="K1551" s="266" t="n">
        <v>3672</v>
      </c>
      <c r="L1551" s="308" t="n"/>
      <c r="M1551" s="113" t="n"/>
      <c r="N1551" s="113" t="n"/>
      <c r="O1551" s="113" t="n"/>
      <c r="P1551" s="243" t="n"/>
      <c r="Q1551" s="113" t="n"/>
      <c r="R1551" s="113" t="n"/>
    </row>
    <row r="1552" ht="15.75" customHeight="1">
      <c r="A1552" s="113" t="n"/>
      <c r="B1552" s="146" t="n">
        <v>28</v>
      </c>
      <c r="C1552" s="350" t="n">
        <v>45990</v>
      </c>
      <c r="D1552" s="351" t="n">
        <v>10</v>
      </c>
      <c r="E1552" s="264" t="inlineStr">
        <is>
          <t xml:space="preserve">SAN JOSE </t>
        </is>
      </c>
      <c r="F1552" s="264" t="inlineStr">
        <is>
          <t>ABONEROS</t>
        </is>
      </c>
      <c r="G1552" s="264" t="n">
        <v>9</v>
      </c>
      <c r="H1552" s="264" t="inlineStr">
        <is>
          <t>MANUEL QUINDIAN</t>
        </is>
      </c>
      <c r="I1552" s="264" t="inlineStr">
        <is>
          <t>KVC176</t>
        </is>
      </c>
      <c r="J1552" s="265" t="n">
        <v>0.3527777777777778</v>
      </c>
      <c r="K1552" s="266" t="n">
        <v>3672</v>
      </c>
      <c r="L1552" s="308" t="n"/>
      <c r="M1552" s="113" t="n"/>
      <c r="N1552" s="113" t="n"/>
      <c r="O1552" s="113" t="n"/>
      <c r="P1552" s="243" t="n"/>
      <c r="Q1552" s="113" t="n"/>
      <c r="R1552" s="113" t="n"/>
    </row>
    <row r="1553" ht="15.75" customHeight="1">
      <c r="A1553" s="113" t="n"/>
      <c r="B1553" s="146" t="n">
        <v>28</v>
      </c>
      <c r="C1553" s="350" t="n">
        <v>45990</v>
      </c>
      <c r="D1553" s="351" t="n">
        <v>11</v>
      </c>
      <c r="E1553" s="264" t="inlineStr">
        <is>
          <t xml:space="preserve">SAN JOSE </t>
        </is>
      </c>
      <c r="F1553" s="264" t="inlineStr">
        <is>
          <t>ABONEROS</t>
        </is>
      </c>
      <c r="G1553" s="264" t="n">
        <v>9</v>
      </c>
      <c r="H1553" s="264" t="inlineStr">
        <is>
          <t xml:space="preserve">SEBASTIAN HIDALGO </t>
        </is>
      </c>
      <c r="I1553" s="264" t="inlineStr">
        <is>
          <t>EQY777</t>
        </is>
      </c>
      <c r="J1553" s="265" t="n">
        <v>0.4118055555555555</v>
      </c>
      <c r="K1553" s="266" t="n">
        <v>3888</v>
      </c>
      <c r="L1553" s="309" t="n"/>
      <c r="M1553" s="113" t="n"/>
      <c r="N1553" s="113" t="n"/>
      <c r="O1553" s="113" t="n"/>
      <c r="P1553" s="243" t="n"/>
      <c r="Q1553" s="113" t="n"/>
      <c r="R1553" s="113" t="n"/>
    </row>
    <row r="1554" ht="15.75" customHeight="1">
      <c r="A1554" s="113" t="n"/>
      <c r="B1554" s="146" t="n">
        <v>28</v>
      </c>
      <c r="C1554" s="356" t="n">
        <v>45990</v>
      </c>
      <c r="D1554" s="357" t="n">
        <v>12</v>
      </c>
      <c r="E1554" s="271" t="inlineStr">
        <is>
          <t xml:space="preserve">SAN JOSE </t>
        </is>
      </c>
      <c r="F1554" s="271" t="inlineStr">
        <is>
          <t>ABONEROS</t>
        </is>
      </c>
      <c r="G1554" s="271" t="n">
        <v>9</v>
      </c>
      <c r="H1554" s="271" t="inlineStr">
        <is>
          <t>EDWIN ROJAS</t>
        </is>
      </c>
      <c r="I1554" s="271" t="inlineStr">
        <is>
          <t>EQY780</t>
        </is>
      </c>
      <c r="J1554" s="272" t="n">
        <v>0.4965277777777778</v>
      </c>
      <c r="K1554" s="273" t="n">
        <v>3480</v>
      </c>
      <c r="L1554" s="378">
        <f>SUM(K1547:K1554)</f>
        <v/>
      </c>
      <c r="M1554" s="113" t="n"/>
      <c r="N1554" s="113" t="n"/>
      <c r="O1554" s="113" t="n"/>
      <c r="P1554" s="243" t="n"/>
      <c r="Q1554" s="113" t="n"/>
      <c r="R1554" s="113" t="n"/>
    </row>
    <row r="1555" ht="15.75" customHeight="1">
      <c r="A1555" s="113" t="n"/>
      <c r="B1555" s="146" t="n">
        <v>28</v>
      </c>
      <c r="C1555" s="348" t="n">
        <v>45992</v>
      </c>
      <c r="D1555" s="349" t="n">
        <v>1</v>
      </c>
      <c r="E1555" s="258" t="inlineStr">
        <is>
          <t>HUERTAS</t>
        </is>
      </c>
      <c r="F1555" s="258" t="inlineStr">
        <is>
          <t>CARGUEROS</t>
        </is>
      </c>
      <c r="G1555" s="258" t="n">
        <v>11</v>
      </c>
      <c r="H1555" s="258" t="inlineStr">
        <is>
          <t>PEDRO BARRETO</t>
        </is>
      </c>
      <c r="I1555" s="258" t="inlineStr">
        <is>
          <t>SKG140</t>
        </is>
      </c>
      <c r="J1555" s="259" t="n">
        <v>0.7486111111111111</v>
      </c>
      <c r="K1555" s="260" t="n">
        <v>3240</v>
      </c>
      <c r="L1555" s="292" t="n"/>
      <c r="M1555" s="113" t="n"/>
      <c r="N1555" s="113" t="n"/>
      <c r="O1555" s="113" t="n"/>
      <c r="P1555" s="243" t="n"/>
      <c r="Q1555" s="113" t="n"/>
      <c r="R1555" s="113" t="n"/>
    </row>
    <row r="1556" ht="15.75" customHeight="1">
      <c r="A1556" s="113" t="n"/>
      <c r="B1556" s="146" t="n">
        <v>28</v>
      </c>
      <c r="C1556" s="350" t="n">
        <v>45992</v>
      </c>
      <c r="D1556" s="351" t="n">
        <v>2</v>
      </c>
      <c r="E1556" s="264" t="inlineStr">
        <is>
          <t>HUERTAS</t>
        </is>
      </c>
      <c r="F1556" s="264" t="inlineStr">
        <is>
          <t>CARGUEROS</t>
        </is>
      </c>
      <c r="G1556" s="264" t="n">
        <v>11</v>
      </c>
      <c r="H1556" s="264" t="inlineStr">
        <is>
          <t>CARLOS PEREZ</t>
        </is>
      </c>
      <c r="I1556" s="264" t="inlineStr">
        <is>
          <t>SKW176</t>
        </is>
      </c>
      <c r="J1556" s="265" t="n">
        <v>0.7791666666666667</v>
      </c>
      <c r="K1556" s="266" t="n">
        <v>3575</v>
      </c>
      <c r="L1556" s="308" t="n"/>
      <c r="M1556" s="113" t="n"/>
      <c r="N1556" s="113" t="n"/>
      <c r="O1556" s="113" t="n"/>
      <c r="P1556" s="243" t="n"/>
      <c r="Q1556" s="113" t="n"/>
      <c r="R1556" s="113" t="n"/>
    </row>
    <row r="1557" ht="15.75" customHeight="1">
      <c r="A1557" s="113" t="n"/>
      <c r="B1557" s="146" t="n">
        <v>28</v>
      </c>
      <c r="C1557" s="350" t="n">
        <v>45992</v>
      </c>
      <c r="D1557" s="351" t="n">
        <v>3</v>
      </c>
      <c r="E1557" s="264" t="inlineStr">
        <is>
          <t>HUERTAS</t>
        </is>
      </c>
      <c r="F1557" s="264" t="inlineStr">
        <is>
          <t>CARGUEROS</t>
        </is>
      </c>
      <c r="G1557" s="264" t="n">
        <v>11</v>
      </c>
      <c r="H1557" s="264" t="inlineStr">
        <is>
          <t>GERMAN QUINTIAN</t>
        </is>
      </c>
      <c r="I1557" s="264" t="inlineStr">
        <is>
          <t>OEO033</t>
        </is>
      </c>
      <c r="J1557" s="265" t="n">
        <v>0.8263888888888888</v>
      </c>
      <c r="K1557" s="266" t="n">
        <v>3240</v>
      </c>
      <c r="L1557" s="308" t="n"/>
      <c r="M1557" s="113" t="n"/>
      <c r="N1557" s="113" t="n"/>
      <c r="O1557" s="113" t="n"/>
      <c r="P1557" s="243" t="n"/>
      <c r="Q1557" s="113" t="n"/>
      <c r="R1557" s="113" t="n"/>
    </row>
    <row r="1558" ht="15.75" customHeight="1">
      <c r="A1558" s="113" t="n"/>
      <c r="B1558" s="146" t="n">
        <v>28</v>
      </c>
      <c r="C1558" s="350" t="n">
        <v>45992</v>
      </c>
      <c r="D1558" s="351" t="n">
        <v>4</v>
      </c>
      <c r="E1558" s="264" t="inlineStr">
        <is>
          <t>HUERTAS</t>
        </is>
      </c>
      <c r="F1558" s="264" t="inlineStr">
        <is>
          <t>CARGUEROS</t>
        </is>
      </c>
      <c r="G1558" s="264" t="n">
        <v>11</v>
      </c>
      <c r="H1558" s="264" t="inlineStr">
        <is>
          <t>JEISON ECHEVARRIA</t>
        </is>
      </c>
      <c r="I1558" s="264" t="inlineStr">
        <is>
          <t>XLE260</t>
        </is>
      </c>
      <c r="J1558" s="265" t="n">
        <v>0.3645833333333333</v>
      </c>
      <c r="K1558" s="266" t="n">
        <v>3564</v>
      </c>
      <c r="L1558" s="308" t="n"/>
      <c r="M1558" s="113" t="n"/>
      <c r="N1558" s="113" t="n"/>
      <c r="O1558" s="113" t="n"/>
      <c r="P1558" s="243" t="n"/>
      <c r="Q1558" s="113" t="n"/>
      <c r="R1558" s="113" t="n"/>
    </row>
    <row r="1559" ht="15.75" customHeight="1">
      <c r="A1559" s="113" t="n"/>
      <c r="B1559" s="146" t="n">
        <v>28</v>
      </c>
      <c r="C1559" s="350" t="n">
        <v>45992</v>
      </c>
      <c r="D1559" s="351" t="n">
        <v>5</v>
      </c>
      <c r="E1559" s="264" t="inlineStr">
        <is>
          <t>HUERTAS</t>
        </is>
      </c>
      <c r="F1559" s="264" t="inlineStr">
        <is>
          <t>CARGUEROS</t>
        </is>
      </c>
      <c r="G1559" s="264" t="n">
        <v>11</v>
      </c>
      <c r="H1559" s="264" t="inlineStr">
        <is>
          <t>ALEJANDRO QUKAI</t>
        </is>
      </c>
      <c r="I1559" s="264" t="inlineStr">
        <is>
          <t>TLN250</t>
        </is>
      </c>
      <c r="J1559" s="265" t="n">
        <v>0.9027777777777778</v>
      </c>
      <c r="K1559" s="266" t="n">
        <v>3465</v>
      </c>
      <c r="L1559" s="308" t="n"/>
      <c r="M1559" s="113" t="n"/>
      <c r="N1559" s="113" t="n"/>
      <c r="O1559" s="113" t="n"/>
      <c r="P1559" s="243" t="n"/>
      <c r="Q1559" s="113" t="n"/>
      <c r="R1559" s="113" t="n"/>
    </row>
    <row r="1560" ht="15.75" customHeight="1">
      <c r="A1560" s="113" t="n"/>
      <c r="B1560" s="146" t="n">
        <v>28</v>
      </c>
      <c r="C1560" s="350" t="n">
        <v>45992</v>
      </c>
      <c r="D1560" s="351" t="n">
        <v>6</v>
      </c>
      <c r="E1560" s="264" t="inlineStr">
        <is>
          <t>HUERTAS</t>
        </is>
      </c>
      <c r="F1560" s="264" t="inlineStr">
        <is>
          <t>CARGUEROS</t>
        </is>
      </c>
      <c r="G1560" s="264" t="n">
        <v>11</v>
      </c>
      <c r="H1560" s="264" t="inlineStr">
        <is>
          <t>JHON ARIAS</t>
        </is>
      </c>
      <c r="I1560" s="264" t="inlineStr">
        <is>
          <t>TLN248</t>
        </is>
      </c>
      <c r="J1560" s="265" t="n">
        <v>0.9479166666666666</v>
      </c>
      <c r="K1560" s="266" t="n">
        <v>3400</v>
      </c>
      <c r="L1560" s="308" t="n"/>
      <c r="M1560" s="113" t="n"/>
      <c r="N1560" s="113" t="n"/>
      <c r="O1560" s="113" t="n"/>
      <c r="P1560" s="243" t="n"/>
      <c r="Q1560" s="113" t="n"/>
      <c r="R1560" s="113" t="n"/>
    </row>
    <row r="1561" ht="15.75" customHeight="1">
      <c r="A1561" s="113" t="n"/>
      <c r="B1561" s="146" t="n">
        <v>28</v>
      </c>
      <c r="C1561" s="350" t="n">
        <v>45992</v>
      </c>
      <c r="D1561" s="351" t="n">
        <v>7</v>
      </c>
      <c r="E1561" s="264" t="inlineStr">
        <is>
          <t>HUERTAS</t>
        </is>
      </c>
      <c r="F1561" s="264" t="inlineStr">
        <is>
          <t>CARGUEROS</t>
        </is>
      </c>
      <c r="G1561" s="264" t="n">
        <v>11</v>
      </c>
      <c r="H1561" s="264" t="inlineStr">
        <is>
          <t>YAIR RIVEROS</t>
        </is>
      </c>
      <c r="I1561" s="264" t="inlineStr">
        <is>
          <t>TLN181</t>
        </is>
      </c>
      <c r="J1561" s="265" t="n">
        <v>0.9791666666666666</v>
      </c>
      <c r="K1561" s="266" t="n">
        <v>3400</v>
      </c>
      <c r="L1561" s="308" t="n"/>
      <c r="M1561" s="113" t="n"/>
      <c r="N1561" s="113" t="n"/>
      <c r="O1561" s="113" t="n"/>
      <c r="P1561" s="243" t="n"/>
      <c r="Q1561" s="113" t="n"/>
      <c r="R1561" s="113" t="n"/>
    </row>
    <row r="1562" ht="15.75" customHeight="1">
      <c r="A1562" s="113" t="n"/>
      <c r="B1562" s="146" t="n">
        <v>28</v>
      </c>
      <c r="C1562" s="350" t="n">
        <v>45992</v>
      </c>
      <c r="D1562" s="351" t="n">
        <v>8</v>
      </c>
      <c r="E1562" s="264" t="inlineStr">
        <is>
          <t>HUERTAS</t>
        </is>
      </c>
      <c r="F1562" s="264" t="inlineStr">
        <is>
          <t>CARGUEROS</t>
        </is>
      </c>
      <c r="G1562" s="264" t="n">
        <v>11</v>
      </c>
      <c r="H1562" s="264" t="inlineStr">
        <is>
          <t>ALBERTO LOPEZ</t>
        </is>
      </c>
      <c r="I1562" s="264" t="inlineStr">
        <is>
          <t>EQY777</t>
        </is>
      </c>
      <c r="J1562" s="265" t="n">
        <v>0.02083333333333333</v>
      </c>
      <c r="K1562" s="266" t="n">
        <v>3220</v>
      </c>
      <c r="L1562" s="308" t="n"/>
      <c r="M1562" s="113" t="n"/>
      <c r="N1562" s="113" t="n"/>
      <c r="O1562" s="113" t="n"/>
      <c r="P1562" s="243" t="n"/>
      <c r="Q1562" s="113" t="n"/>
      <c r="R1562" s="113" t="n"/>
    </row>
    <row r="1563" ht="15.75" customHeight="1">
      <c r="A1563" s="113" t="n"/>
      <c r="B1563" s="146" t="n">
        <v>28</v>
      </c>
      <c r="C1563" s="350" t="n">
        <v>45992</v>
      </c>
      <c r="D1563" s="351" t="n">
        <v>9</v>
      </c>
      <c r="E1563" s="264" t="inlineStr">
        <is>
          <t>HUERTAS</t>
        </is>
      </c>
      <c r="F1563" s="264" t="inlineStr">
        <is>
          <t>CARGUEROS</t>
        </is>
      </c>
      <c r="G1563" s="264" t="n">
        <v>11</v>
      </c>
      <c r="H1563" s="264" t="inlineStr">
        <is>
          <t xml:space="preserve">JAIRO CUBILLOS </t>
        </is>
      </c>
      <c r="I1563" s="264" t="inlineStr">
        <is>
          <t>TLO884</t>
        </is>
      </c>
      <c r="J1563" s="265" t="n">
        <v>0.07291666666666667</v>
      </c>
      <c r="K1563" s="266" t="n">
        <v>3564</v>
      </c>
      <c r="L1563" s="308" t="n"/>
      <c r="M1563" s="113" t="n"/>
      <c r="N1563" s="113" t="n"/>
      <c r="O1563" s="113" t="n"/>
      <c r="P1563" s="243" t="n"/>
      <c r="Q1563" s="113" t="n"/>
      <c r="R1563" s="113" t="n"/>
    </row>
    <row r="1564" ht="15.75" customHeight="1">
      <c r="A1564" s="113" t="n"/>
      <c r="B1564" s="146" t="n">
        <v>28</v>
      </c>
      <c r="C1564" s="350" t="n">
        <v>45992</v>
      </c>
      <c r="D1564" s="351" t="n">
        <v>10</v>
      </c>
      <c r="E1564" s="264" t="inlineStr">
        <is>
          <t>HUERTAS</t>
        </is>
      </c>
      <c r="F1564" s="264" t="inlineStr">
        <is>
          <t>CARGUEROS</t>
        </is>
      </c>
      <c r="G1564" s="264" t="n">
        <v>11</v>
      </c>
      <c r="H1564" s="264" t="inlineStr">
        <is>
          <t>MANUEL QUINTIAN</t>
        </is>
      </c>
      <c r="I1564" s="264" t="inlineStr">
        <is>
          <t>KUS176</t>
        </is>
      </c>
      <c r="J1564" s="265" t="n">
        <v>0.1076388888888889</v>
      </c>
      <c r="K1564" s="266" t="n">
        <v>3240</v>
      </c>
      <c r="L1564" s="308" t="n"/>
      <c r="M1564" s="113" t="n"/>
      <c r="N1564" s="113" t="n"/>
      <c r="O1564" s="113" t="n"/>
      <c r="P1564" s="243" t="n"/>
      <c r="Q1564" s="113" t="n"/>
      <c r="R1564" s="113" t="n"/>
    </row>
    <row r="1565" ht="15.75" customHeight="1">
      <c r="A1565" s="113" t="n"/>
      <c r="B1565" s="146" t="n">
        <v>28</v>
      </c>
      <c r="C1565" s="350" t="n">
        <v>45992</v>
      </c>
      <c r="D1565" s="351" t="n">
        <v>11</v>
      </c>
      <c r="E1565" s="264" t="inlineStr">
        <is>
          <t>HUERTAS</t>
        </is>
      </c>
      <c r="F1565" s="264" t="inlineStr">
        <is>
          <t>CARGUEROS</t>
        </is>
      </c>
      <c r="G1565" s="264" t="n">
        <v>11</v>
      </c>
      <c r="H1565" s="264" t="inlineStr">
        <is>
          <t>WILMER PIÑEROS</t>
        </is>
      </c>
      <c r="I1565" s="264" t="inlineStr">
        <is>
          <t>KLN076</t>
        </is>
      </c>
      <c r="J1565" s="265" t="n">
        <v>0.1520833333333333</v>
      </c>
      <c r="K1565" s="266" t="n">
        <v>2645</v>
      </c>
      <c r="L1565" s="308" t="n"/>
      <c r="M1565" s="113" t="n"/>
      <c r="N1565" s="113" t="n"/>
      <c r="O1565" s="113" t="n"/>
      <c r="P1565" s="243" t="n"/>
      <c r="Q1565" s="113" t="n"/>
      <c r="R1565" s="113" t="n"/>
    </row>
    <row r="1566" ht="15.75" customHeight="1">
      <c r="A1566" s="113" t="n"/>
      <c r="B1566" s="146" t="n">
        <v>28</v>
      </c>
      <c r="C1566" s="350" t="n">
        <v>45992</v>
      </c>
      <c r="D1566" s="351" t="n">
        <v>12</v>
      </c>
      <c r="E1566" s="264" t="inlineStr">
        <is>
          <t>HUERTAS</t>
        </is>
      </c>
      <c r="F1566" s="264" t="inlineStr">
        <is>
          <t>CARGUEROS</t>
        </is>
      </c>
      <c r="G1566" s="264" t="n">
        <v>11</v>
      </c>
      <c r="H1566" s="264" t="inlineStr">
        <is>
          <t>FABIO ALDANA</t>
        </is>
      </c>
      <c r="I1566" s="264" t="inlineStr">
        <is>
          <t>TLO882</t>
        </is>
      </c>
      <c r="J1566" s="265" t="n">
        <v>0.1666666666666667</v>
      </c>
      <c r="K1566" s="266" t="n">
        <v>3592</v>
      </c>
      <c r="L1566" s="308" t="n"/>
      <c r="M1566" s="113" t="n"/>
      <c r="N1566" s="113" t="n"/>
      <c r="O1566" s="113" t="n"/>
      <c r="P1566" s="243" t="n"/>
      <c r="Q1566" s="113" t="n"/>
      <c r="R1566" s="113" t="n"/>
    </row>
    <row r="1567" ht="15.75" customHeight="1">
      <c r="A1567" s="113" t="n"/>
      <c r="B1567" s="146" t="n">
        <v>28</v>
      </c>
      <c r="C1567" s="350" t="n">
        <v>45992</v>
      </c>
      <c r="D1567" s="351" t="n">
        <v>13</v>
      </c>
      <c r="E1567" s="264" t="inlineStr">
        <is>
          <t>HUERTAS</t>
        </is>
      </c>
      <c r="F1567" s="264" t="inlineStr">
        <is>
          <t>CARGUEROS</t>
        </is>
      </c>
      <c r="G1567" s="264" t="n">
        <v>11</v>
      </c>
      <c r="H1567" s="264" t="inlineStr">
        <is>
          <t>ALEXANDE CHAGUALA</t>
        </is>
      </c>
      <c r="I1567" s="264" t="inlineStr">
        <is>
          <t>EQY778</t>
        </is>
      </c>
      <c r="J1567" s="265" t="n">
        <v>0.2395833333333333</v>
      </c>
      <c r="K1567" s="266" t="n">
        <v>2228</v>
      </c>
      <c r="L1567" s="308" t="n"/>
      <c r="M1567" s="113" t="n"/>
      <c r="N1567" s="113" t="n"/>
      <c r="O1567" s="113" t="n"/>
      <c r="P1567" s="243" t="n"/>
      <c r="Q1567" s="113" t="n"/>
      <c r="R1567" s="113" t="n"/>
    </row>
    <row r="1568" ht="15.75" customHeight="1">
      <c r="A1568" s="113" t="n"/>
      <c r="B1568" s="146" t="n">
        <v>28</v>
      </c>
      <c r="C1568" s="350" t="n">
        <v>45992</v>
      </c>
      <c r="D1568" s="351" t="n">
        <v>14</v>
      </c>
      <c r="E1568" s="264" t="inlineStr">
        <is>
          <t xml:space="preserve">SAN JOSE </t>
        </is>
      </c>
      <c r="F1568" s="264" t="inlineStr">
        <is>
          <t>ABONEROS</t>
        </is>
      </c>
      <c r="G1568" s="264" t="n">
        <v>9</v>
      </c>
      <c r="H1568" s="264" t="inlineStr">
        <is>
          <t>ALBERTO LOPEZ</t>
        </is>
      </c>
      <c r="I1568" s="264" t="inlineStr">
        <is>
          <t>EQY772</t>
        </is>
      </c>
      <c r="J1568" s="265" t="n">
        <v>0.2965277777777778</v>
      </c>
      <c r="K1568" s="266" t="n">
        <v>3190</v>
      </c>
      <c r="L1568" s="308" t="n"/>
      <c r="M1568" s="113" t="n"/>
      <c r="N1568" s="113" t="n"/>
      <c r="O1568" s="113" t="n"/>
      <c r="P1568" s="243" t="n"/>
      <c r="Q1568" s="113" t="n"/>
      <c r="R1568" s="113" t="n"/>
    </row>
    <row r="1569" ht="15.75" customHeight="1">
      <c r="A1569" s="113" t="n"/>
      <c r="B1569" s="146" t="n">
        <v>28</v>
      </c>
      <c r="C1569" s="350" t="n">
        <v>45992</v>
      </c>
      <c r="D1569" s="351" t="n">
        <v>15</v>
      </c>
      <c r="E1569" s="264" t="inlineStr">
        <is>
          <t xml:space="preserve">SAN JOSE </t>
        </is>
      </c>
      <c r="F1569" s="264" t="inlineStr">
        <is>
          <t>ABONEROS</t>
        </is>
      </c>
      <c r="G1569" s="264" t="n">
        <v>9</v>
      </c>
      <c r="H1569" s="264" t="inlineStr">
        <is>
          <t>WILMER PIÑEROS</t>
        </is>
      </c>
      <c r="I1569" s="264" t="inlineStr">
        <is>
          <t>KNL076</t>
        </is>
      </c>
      <c r="J1569" s="265" t="n">
        <v>0.3444444444444444</v>
      </c>
      <c r="K1569" s="266" t="n">
        <v>3190</v>
      </c>
      <c r="L1569" s="308" t="n"/>
      <c r="M1569" s="113" t="n"/>
      <c r="N1569" s="113" t="n"/>
      <c r="O1569" s="113" t="n"/>
      <c r="P1569" s="243" t="n"/>
      <c r="Q1569" s="113" t="n"/>
      <c r="R1569" s="113" t="n"/>
    </row>
    <row r="1570" ht="15.75" customHeight="1">
      <c r="A1570" s="113" t="n"/>
      <c r="B1570" s="146" t="n">
        <v>28</v>
      </c>
      <c r="C1570" s="350" t="n">
        <v>45992</v>
      </c>
      <c r="D1570" s="351" t="n">
        <v>16</v>
      </c>
      <c r="E1570" s="264" t="inlineStr">
        <is>
          <t xml:space="preserve">SAN JOSE </t>
        </is>
      </c>
      <c r="F1570" s="264" t="inlineStr">
        <is>
          <t>ABONEROS</t>
        </is>
      </c>
      <c r="G1570" s="264" t="n">
        <v>9</v>
      </c>
      <c r="H1570" s="264" t="inlineStr">
        <is>
          <t>DIEGO NIÑO</t>
        </is>
      </c>
      <c r="I1570" s="264" t="inlineStr">
        <is>
          <t>GZZ673</t>
        </is>
      </c>
      <c r="J1570" s="265" t="n">
        <v>0.3736111111111111</v>
      </c>
      <c r="K1570" s="266" t="n">
        <v>3190</v>
      </c>
      <c r="L1570" s="308" t="n"/>
      <c r="M1570" s="113" t="n"/>
      <c r="N1570" s="113" t="n"/>
      <c r="O1570" s="113" t="n"/>
      <c r="P1570" s="243" t="n"/>
      <c r="Q1570" s="113" t="n"/>
      <c r="R1570" s="113" t="n"/>
    </row>
    <row r="1571" ht="15.75" customHeight="1">
      <c r="A1571" s="113" t="n"/>
      <c r="B1571" s="146" t="n">
        <v>28</v>
      </c>
      <c r="C1571" s="350" t="n">
        <v>45992</v>
      </c>
      <c r="D1571" s="351" t="n">
        <v>17</v>
      </c>
      <c r="E1571" s="264" t="inlineStr">
        <is>
          <t xml:space="preserve">SAN JOSE </t>
        </is>
      </c>
      <c r="F1571" s="264" t="inlineStr">
        <is>
          <t>ABONEROS</t>
        </is>
      </c>
      <c r="G1571" s="264" t="n">
        <v>9</v>
      </c>
      <c r="H1571" s="264" t="inlineStr">
        <is>
          <t>HENRY ROMERO</t>
        </is>
      </c>
      <c r="I1571" s="264" t="inlineStr">
        <is>
          <t>EQY781</t>
        </is>
      </c>
      <c r="J1571" s="265" t="n">
        <v>0.4083333333333333</v>
      </c>
      <c r="K1571" s="266" t="n">
        <v>3190</v>
      </c>
      <c r="L1571" s="308" t="n"/>
      <c r="M1571" s="113" t="n"/>
      <c r="N1571" s="113" t="n"/>
      <c r="O1571" s="113" t="n"/>
      <c r="P1571" s="243" t="n"/>
      <c r="Q1571" s="113" t="n"/>
      <c r="R1571" s="113" t="n"/>
    </row>
    <row r="1572" ht="15.75" customHeight="1">
      <c r="A1572" s="113" t="n"/>
      <c r="B1572" s="146" t="n">
        <v>28</v>
      </c>
      <c r="C1572" s="350" t="n">
        <v>45992</v>
      </c>
      <c r="D1572" s="351" t="n">
        <v>18</v>
      </c>
      <c r="E1572" s="264" t="inlineStr">
        <is>
          <t xml:space="preserve">SAN JOSE </t>
        </is>
      </c>
      <c r="F1572" s="264" t="inlineStr">
        <is>
          <t>ABONEROS</t>
        </is>
      </c>
      <c r="G1572" s="264" t="n">
        <v>9</v>
      </c>
      <c r="H1572" s="264" t="inlineStr">
        <is>
          <t>ALEX CHAGUALA</t>
        </is>
      </c>
      <c r="I1572" s="264" t="inlineStr">
        <is>
          <t>EQY780</t>
        </is>
      </c>
      <c r="J1572" s="265" t="n">
        <v>0.4395833333333333</v>
      </c>
      <c r="K1572" s="266" t="n">
        <v>3190</v>
      </c>
      <c r="L1572" s="308" t="n"/>
      <c r="M1572" s="113" t="n"/>
      <c r="N1572" s="113" t="n"/>
      <c r="O1572" s="113" t="n"/>
      <c r="P1572" s="243" t="n"/>
      <c r="Q1572" s="113" t="n"/>
      <c r="R1572" s="113" t="n"/>
    </row>
    <row r="1573" ht="15.75" customHeight="1">
      <c r="A1573" s="113" t="n"/>
      <c r="B1573" s="146" t="n">
        <v>28</v>
      </c>
      <c r="C1573" s="350" t="n">
        <v>45992</v>
      </c>
      <c r="D1573" s="351" t="n">
        <v>19</v>
      </c>
      <c r="E1573" s="264" t="inlineStr">
        <is>
          <t xml:space="preserve">SAN JOSE </t>
        </is>
      </c>
      <c r="F1573" s="264" t="inlineStr">
        <is>
          <t>ABONEROS</t>
        </is>
      </c>
      <c r="G1573" s="264" t="n">
        <v>9</v>
      </c>
      <c r="H1573" s="264" t="inlineStr">
        <is>
          <t>ROBINSON PULIDO</t>
        </is>
      </c>
      <c r="I1573" s="264" t="inlineStr">
        <is>
          <t>TLO881</t>
        </is>
      </c>
      <c r="J1573" s="265" t="n">
        <v>0.48125</v>
      </c>
      <c r="K1573" s="266" t="n">
        <v>3190</v>
      </c>
      <c r="L1573" s="309" t="n"/>
      <c r="M1573" s="113" t="n"/>
      <c r="N1573" s="113" t="n"/>
      <c r="O1573" s="113" t="n"/>
      <c r="P1573" s="243" t="n"/>
      <c r="Q1573" s="113" t="n"/>
      <c r="R1573" s="113" t="n"/>
    </row>
    <row r="1574" ht="15.75" customHeight="1">
      <c r="A1574" s="113" t="n"/>
      <c r="B1574" s="146" t="n">
        <v>28</v>
      </c>
      <c r="C1574" s="352" t="n">
        <v>45992</v>
      </c>
      <c r="D1574" s="347" t="n">
        <v>20</v>
      </c>
      <c r="E1574" s="282" t="inlineStr">
        <is>
          <t xml:space="preserve">SAN JOSE </t>
        </is>
      </c>
      <c r="F1574" s="282" t="inlineStr">
        <is>
          <t>ABONEROS</t>
        </is>
      </c>
      <c r="G1574" s="282" t="n">
        <v>9</v>
      </c>
      <c r="H1574" s="282" t="inlineStr">
        <is>
          <t xml:space="preserve">SEBASTIAN HIDALGO </t>
        </is>
      </c>
      <c r="I1574" s="282" t="inlineStr">
        <is>
          <t>LQO745</t>
        </is>
      </c>
      <c r="J1574" s="283" t="n">
        <v>0.5180555555555556</v>
      </c>
      <c r="K1574" s="284" t="n">
        <v>3190</v>
      </c>
      <c r="L1574" s="353">
        <f>SUM(K1555:K1574)</f>
        <v/>
      </c>
      <c r="M1574" s="113" t="n"/>
      <c r="N1574" s="113" t="n"/>
      <c r="O1574" s="113" t="n"/>
      <c r="P1574" s="243" t="n"/>
      <c r="Q1574" s="113" t="n"/>
      <c r="R1574" s="113" t="n"/>
    </row>
    <row r="1575" ht="15.75" customHeight="1">
      <c r="A1575" s="113" t="n"/>
      <c r="B1575" s="146" t="n">
        <v>28</v>
      </c>
      <c r="C1575" s="348" t="n">
        <v>45993</v>
      </c>
      <c r="D1575" s="349" t="n">
        <v>1</v>
      </c>
      <c r="E1575" s="258" t="inlineStr">
        <is>
          <t>HUERTAS</t>
        </is>
      </c>
      <c r="F1575" s="258" t="inlineStr">
        <is>
          <t>CARGUEROS</t>
        </is>
      </c>
      <c r="G1575" s="258" t="n">
        <v>11</v>
      </c>
      <c r="H1575" s="258" t="inlineStr">
        <is>
          <t>JHONATAN GOMEZ</t>
        </is>
      </c>
      <c r="I1575" s="258" t="inlineStr">
        <is>
          <t>WST709</t>
        </is>
      </c>
      <c r="J1575" s="259" t="n">
        <v>0.8069444444444445</v>
      </c>
      <c r="K1575" s="260" t="n">
        <v>3250</v>
      </c>
      <c r="L1575" s="292" t="n"/>
      <c r="M1575" s="113" t="n"/>
      <c r="N1575" s="113" t="n"/>
      <c r="O1575" s="113" t="n"/>
      <c r="P1575" s="243" t="n"/>
      <c r="Q1575" s="113" t="n"/>
      <c r="R1575" s="113" t="n"/>
    </row>
    <row r="1576" ht="15.75" customHeight="1">
      <c r="A1576" s="113" t="n"/>
      <c r="B1576" s="146" t="n">
        <v>28</v>
      </c>
      <c r="C1576" s="350" t="n">
        <v>45993</v>
      </c>
      <c r="D1576" s="351" t="n">
        <v>2</v>
      </c>
      <c r="E1576" s="264" t="inlineStr">
        <is>
          <t>HUERTAS</t>
        </is>
      </c>
      <c r="F1576" s="264" t="inlineStr">
        <is>
          <t>CARGUEROS</t>
        </is>
      </c>
      <c r="G1576" s="264" t="n">
        <v>11</v>
      </c>
      <c r="H1576" s="264" t="inlineStr">
        <is>
          <t>CARLOS ACERO</t>
        </is>
      </c>
      <c r="I1576" s="264" t="inlineStr">
        <is>
          <t>EQY688</t>
        </is>
      </c>
      <c r="J1576" s="265" t="n">
        <v>0.8506944444444444</v>
      </c>
      <c r="K1576" s="266" t="n">
        <v>3150</v>
      </c>
      <c r="L1576" s="308" t="n"/>
      <c r="M1576" s="113" t="n"/>
      <c r="N1576" s="113" t="n"/>
      <c r="O1576" s="113" t="n"/>
      <c r="P1576" s="243" t="n"/>
      <c r="Q1576" s="113" t="n"/>
      <c r="R1576" s="113" t="n"/>
    </row>
    <row r="1577" ht="15.75" customHeight="1">
      <c r="A1577" s="113" t="n"/>
      <c r="B1577" s="146" t="n">
        <v>28</v>
      </c>
      <c r="C1577" s="350" t="n">
        <v>45993</v>
      </c>
      <c r="D1577" s="351" t="n">
        <v>3</v>
      </c>
      <c r="E1577" s="264" t="inlineStr">
        <is>
          <t>HUERTAS</t>
        </is>
      </c>
      <c r="F1577" s="264" t="inlineStr">
        <is>
          <t>CARGUEROS</t>
        </is>
      </c>
      <c r="G1577" s="264" t="n">
        <v>11</v>
      </c>
      <c r="H1577" s="264" t="inlineStr">
        <is>
          <t xml:space="preserve">MARCOS LOPEZ </t>
        </is>
      </c>
      <c r="I1577" s="264" t="inlineStr">
        <is>
          <t>SQW176</t>
        </is>
      </c>
      <c r="J1577" s="265" t="n">
        <v>0.8854166666666666</v>
      </c>
      <c r="K1577" s="266" t="n">
        <v>3250</v>
      </c>
      <c r="L1577" s="308" t="n"/>
      <c r="M1577" s="113" t="n"/>
      <c r="N1577" s="113" t="n"/>
      <c r="O1577" s="113" t="n"/>
      <c r="P1577" s="243" t="n"/>
      <c r="Q1577" s="113" t="n"/>
      <c r="R1577" s="113" t="n"/>
    </row>
    <row r="1578" ht="15.75" customHeight="1">
      <c r="A1578" s="113" t="n"/>
      <c r="B1578" s="146" t="n">
        <v>28</v>
      </c>
      <c r="C1578" s="350" t="n">
        <v>45993</v>
      </c>
      <c r="D1578" s="351" t="n">
        <v>4</v>
      </c>
      <c r="E1578" s="264" t="inlineStr">
        <is>
          <t>HUERTAS</t>
        </is>
      </c>
      <c r="F1578" s="264" t="inlineStr">
        <is>
          <t>CARGUEROS</t>
        </is>
      </c>
      <c r="G1578" s="264" t="n">
        <v>11</v>
      </c>
      <c r="H1578" s="264" t="inlineStr">
        <is>
          <t xml:space="preserve">ALEJANDRO CUCOITO </t>
        </is>
      </c>
      <c r="I1578" s="264" t="inlineStr">
        <is>
          <t>TLN250</t>
        </is>
      </c>
      <c r="J1578" s="265" t="n">
        <v>0.9479166666666666</v>
      </c>
      <c r="K1578" s="266" t="n">
        <v>3200</v>
      </c>
      <c r="L1578" s="308" t="n"/>
      <c r="M1578" s="113" t="n"/>
      <c r="N1578" s="113" t="n"/>
      <c r="O1578" s="113" t="n"/>
      <c r="P1578" s="243" t="n"/>
      <c r="Q1578" s="113" t="n"/>
      <c r="R1578" s="113" t="n"/>
    </row>
    <row r="1579" ht="15.75" customHeight="1">
      <c r="A1579" s="113" t="n"/>
      <c r="B1579" s="146" t="n">
        <v>28</v>
      </c>
      <c r="C1579" s="350" t="n">
        <v>45993</v>
      </c>
      <c r="D1579" s="351" t="n">
        <v>5</v>
      </c>
      <c r="E1579" s="264" t="inlineStr">
        <is>
          <t xml:space="preserve">SAN JOSE </t>
        </is>
      </c>
      <c r="F1579" s="264" t="inlineStr">
        <is>
          <t>CARGUEROS</t>
        </is>
      </c>
      <c r="G1579" s="264" t="n">
        <v>11</v>
      </c>
      <c r="H1579" s="264" t="inlineStr">
        <is>
          <t xml:space="preserve">YAIR RIVERO </t>
        </is>
      </c>
      <c r="I1579" s="264" t="inlineStr">
        <is>
          <t>TLN181</t>
        </is>
      </c>
      <c r="J1579" s="265" t="n">
        <v>0.1111111111111111</v>
      </c>
      <c r="K1579" s="266" t="n">
        <v>3240</v>
      </c>
      <c r="L1579" s="308" t="n"/>
      <c r="M1579" s="113" t="n"/>
      <c r="N1579" s="113" t="n"/>
      <c r="O1579" s="113" t="n"/>
      <c r="P1579" s="243" t="n"/>
      <c r="Q1579" s="113" t="n"/>
      <c r="R1579" s="113" t="n"/>
    </row>
    <row r="1580" ht="15.75" customHeight="1">
      <c r="A1580" s="113" t="n"/>
      <c r="B1580" s="146" t="n">
        <v>28</v>
      </c>
      <c r="C1580" s="350" t="n">
        <v>45993</v>
      </c>
      <c r="D1580" s="351" t="n">
        <v>6</v>
      </c>
      <c r="E1580" s="264" t="inlineStr">
        <is>
          <t xml:space="preserve">SAN JOSE </t>
        </is>
      </c>
      <c r="F1580" s="264" t="inlineStr">
        <is>
          <t>CARGUEROS</t>
        </is>
      </c>
      <c r="G1580" s="264" t="n">
        <v>11</v>
      </c>
      <c r="H1580" s="264" t="inlineStr">
        <is>
          <t>ALEXANDER CHAGUALA</t>
        </is>
      </c>
      <c r="I1580" s="264" t="inlineStr">
        <is>
          <t>EQY780</t>
        </is>
      </c>
      <c r="J1580" s="265" t="n">
        <v>0.15625</v>
      </c>
      <c r="K1580" s="266" t="n">
        <v>3240</v>
      </c>
      <c r="L1580" s="308" t="n"/>
      <c r="M1580" s="113" t="n"/>
      <c r="N1580" s="113" t="n"/>
      <c r="O1580" s="113" t="n"/>
      <c r="P1580" s="243" t="n"/>
      <c r="Q1580" s="113" t="n"/>
      <c r="R1580" s="113" t="n"/>
    </row>
    <row r="1581" ht="15.75" customHeight="1">
      <c r="A1581" s="113" t="n"/>
      <c r="B1581" s="146" t="n">
        <v>28</v>
      </c>
      <c r="C1581" s="350" t="n">
        <v>45993</v>
      </c>
      <c r="D1581" s="351" t="n">
        <v>7</v>
      </c>
      <c r="E1581" s="264" t="inlineStr">
        <is>
          <t xml:space="preserve">SAN JOSE </t>
        </is>
      </c>
      <c r="F1581" s="264" t="inlineStr">
        <is>
          <t>CARGUEROS</t>
        </is>
      </c>
      <c r="G1581" s="264" t="n">
        <v>11</v>
      </c>
      <c r="H1581" s="264" t="inlineStr">
        <is>
          <t>JAIRO CUBILLOS</t>
        </is>
      </c>
      <c r="I1581" s="264" t="inlineStr">
        <is>
          <t>TLO884</t>
        </is>
      </c>
      <c r="J1581" s="265" t="n">
        <v>0.1666666666666667</v>
      </c>
      <c r="K1581" s="266" t="n">
        <v>3240</v>
      </c>
      <c r="L1581" s="308" t="n"/>
      <c r="M1581" s="113" t="n"/>
      <c r="N1581" s="113" t="n"/>
      <c r="O1581" s="113" t="n"/>
      <c r="P1581" s="243" t="n"/>
      <c r="Q1581" s="113" t="n"/>
      <c r="R1581" s="113" t="n"/>
    </row>
    <row r="1582" ht="15.75" customHeight="1">
      <c r="A1582" s="113" t="n"/>
      <c r="B1582" s="146" t="n">
        <v>28</v>
      </c>
      <c r="C1582" s="350" t="n">
        <v>45993</v>
      </c>
      <c r="D1582" s="351" t="n">
        <v>8</v>
      </c>
      <c r="E1582" s="264" t="inlineStr">
        <is>
          <t xml:space="preserve">SAN JOSE </t>
        </is>
      </c>
      <c r="F1582" s="264" t="inlineStr">
        <is>
          <t>CARGUEROS</t>
        </is>
      </c>
      <c r="G1582" s="264" t="n">
        <v>11</v>
      </c>
      <c r="H1582" s="264" t="inlineStr">
        <is>
          <t>MANUEL QUINTIAN</t>
        </is>
      </c>
      <c r="I1582" s="264" t="inlineStr">
        <is>
          <t>KUS176</t>
        </is>
      </c>
      <c r="J1582" s="265" t="n">
        <v>0.21875</v>
      </c>
      <c r="K1582" s="266" t="n">
        <v>3240</v>
      </c>
      <c r="L1582" s="309" t="n"/>
      <c r="M1582" s="113" t="n"/>
      <c r="N1582" s="113" t="n"/>
      <c r="O1582" s="113" t="n"/>
      <c r="P1582" s="243" t="n"/>
      <c r="Q1582" s="113" t="n"/>
      <c r="R1582" s="113" t="n"/>
    </row>
    <row r="1583" ht="15.75" customHeight="1">
      <c r="A1583" s="113" t="n"/>
      <c r="B1583" s="146" t="n">
        <v>28</v>
      </c>
      <c r="C1583" s="352" t="n">
        <v>45993</v>
      </c>
      <c r="D1583" s="347" t="n">
        <v>9</v>
      </c>
      <c r="E1583" s="282" t="inlineStr">
        <is>
          <t xml:space="preserve">SAN JOSE </t>
        </is>
      </c>
      <c r="F1583" s="282" t="inlineStr">
        <is>
          <t>CARGUEROS</t>
        </is>
      </c>
      <c r="G1583" s="282" t="n">
        <v>11</v>
      </c>
      <c r="H1583" s="282" t="inlineStr">
        <is>
          <t xml:space="preserve">SEBASTIAN HIDALGO </t>
        </is>
      </c>
      <c r="I1583" s="282" t="inlineStr">
        <is>
          <t>GZZ673</t>
        </is>
      </c>
      <c r="J1583" s="283" t="n">
        <v>0.25</v>
      </c>
      <c r="K1583" s="284" t="n">
        <v>1890</v>
      </c>
      <c r="L1583" s="353">
        <f>SUM(K1575:K1583)</f>
        <v/>
      </c>
      <c r="M1583" s="113" t="n"/>
      <c r="N1583" s="113" t="n"/>
      <c r="O1583" s="113" t="n"/>
      <c r="P1583" s="243" t="n"/>
      <c r="Q1583" s="113" t="n"/>
      <c r="R1583" s="113" t="n"/>
    </row>
    <row r="1584" ht="15.75" customHeight="1">
      <c r="A1584" s="113" t="n"/>
      <c r="B1584" s="146" t="n">
        <v>28</v>
      </c>
      <c r="C1584" s="348" t="n">
        <v>45994</v>
      </c>
      <c r="D1584" s="349" t="n">
        <v>1</v>
      </c>
      <c r="E1584" s="258" t="inlineStr">
        <is>
          <t xml:space="preserve">SAN JOSE </t>
        </is>
      </c>
      <c r="F1584" s="258" t="inlineStr">
        <is>
          <t>CARGUEROS</t>
        </is>
      </c>
      <c r="G1584" s="258" t="n">
        <v>11</v>
      </c>
      <c r="H1584" s="258" t="inlineStr">
        <is>
          <t>DUMAR ANGARITA</t>
        </is>
      </c>
      <c r="I1584" s="258" t="inlineStr">
        <is>
          <t>LQO745</t>
        </is>
      </c>
      <c r="J1584" s="259" t="n">
        <v>0.03819444444444445</v>
      </c>
      <c r="K1584" s="260" t="n">
        <v>3230</v>
      </c>
      <c r="L1584" s="292" t="n"/>
      <c r="M1584" s="113" t="n"/>
      <c r="N1584" s="113" t="n"/>
      <c r="O1584" s="113" t="n"/>
      <c r="P1584" s="243" t="n"/>
      <c r="Q1584" s="113" t="n"/>
      <c r="R1584" s="113" t="n"/>
    </row>
    <row r="1585" ht="15.75" customHeight="1">
      <c r="A1585" s="113" t="n"/>
      <c r="B1585" s="146" t="n">
        <v>28</v>
      </c>
      <c r="C1585" s="350" t="n">
        <v>45994</v>
      </c>
      <c r="D1585" s="351" t="n">
        <v>2</v>
      </c>
      <c r="E1585" s="264" t="inlineStr">
        <is>
          <t xml:space="preserve">SAN JOSE </t>
        </is>
      </c>
      <c r="F1585" s="264" t="inlineStr">
        <is>
          <t>CARGUEROS</t>
        </is>
      </c>
      <c r="G1585" s="264" t="n">
        <v>11</v>
      </c>
      <c r="H1585" s="264" t="inlineStr">
        <is>
          <t>ALEX GOMEZ</t>
        </is>
      </c>
      <c r="I1585" s="264" t="inlineStr">
        <is>
          <t>TLO881</t>
        </is>
      </c>
      <c r="J1585" s="265" t="n">
        <v>0.0763888888888889</v>
      </c>
      <c r="K1585" s="266" t="n">
        <v>3230</v>
      </c>
      <c r="L1585" s="308" t="n"/>
      <c r="M1585" s="113" t="n"/>
      <c r="N1585" s="113" t="n"/>
      <c r="O1585" s="113" t="n"/>
      <c r="P1585" s="243" t="n"/>
      <c r="Q1585" s="113" t="n"/>
      <c r="R1585" s="113" t="n"/>
    </row>
    <row r="1586" ht="15.75" customHeight="1">
      <c r="A1586" s="113" t="n"/>
      <c r="B1586" s="146" t="n">
        <v>28</v>
      </c>
      <c r="C1586" s="350" t="n">
        <v>45994</v>
      </c>
      <c r="D1586" s="351" t="n">
        <v>3</v>
      </c>
      <c r="E1586" s="264" t="inlineStr">
        <is>
          <t xml:space="preserve">SAN JOSE </t>
        </is>
      </c>
      <c r="F1586" s="264" t="inlineStr">
        <is>
          <t>CARGUEROS</t>
        </is>
      </c>
      <c r="G1586" s="264" t="n">
        <v>11</v>
      </c>
      <c r="H1586" s="264" t="inlineStr">
        <is>
          <t>JHON ARIAS</t>
        </is>
      </c>
      <c r="I1586" s="264" t="inlineStr">
        <is>
          <t>TLN248</t>
        </is>
      </c>
      <c r="J1586" s="265" t="n">
        <v>0.1076388888888889</v>
      </c>
      <c r="K1586" s="266" t="n">
        <v>3230</v>
      </c>
      <c r="L1586" s="308" t="n"/>
      <c r="M1586" s="113" t="n"/>
      <c r="N1586" s="113" t="n"/>
      <c r="O1586" s="113" t="n"/>
      <c r="P1586" s="243" t="n"/>
      <c r="Q1586" s="113" t="n"/>
      <c r="R1586" s="113" t="n"/>
    </row>
    <row r="1587" ht="15.75" customHeight="1">
      <c r="A1587" s="113" t="n"/>
      <c r="B1587" s="146" t="n">
        <v>28</v>
      </c>
      <c r="C1587" s="350" t="n">
        <v>45994</v>
      </c>
      <c r="D1587" s="351" t="n">
        <v>4</v>
      </c>
      <c r="E1587" s="264" t="inlineStr">
        <is>
          <t xml:space="preserve">SAN JOSE </t>
        </is>
      </c>
      <c r="F1587" s="264" t="inlineStr">
        <is>
          <t>CARGUEROS</t>
        </is>
      </c>
      <c r="G1587" s="264" t="n">
        <v>11</v>
      </c>
      <c r="H1587" s="264" t="inlineStr">
        <is>
          <t>EDUAN CAVIDEZ</t>
        </is>
      </c>
      <c r="I1587" s="264" t="inlineStr">
        <is>
          <t>EQY710</t>
        </is>
      </c>
      <c r="J1587" s="265" t="n">
        <v>0.1388888888888889</v>
      </c>
      <c r="K1587" s="266" t="n">
        <v>3230</v>
      </c>
      <c r="L1587" s="308" t="n"/>
      <c r="M1587" s="113" t="n"/>
      <c r="N1587" s="113" t="n"/>
      <c r="O1587" s="113" t="n"/>
      <c r="P1587" s="243" t="n"/>
      <c r="Q1587" s="113" t="n"/>
      <c r="R1587" s="113" t="n"/>
    </row>
    <row r="1588" ht="15.75" customHeight="1">
      <c r="A1588" s="113" t="n"/>
      <c r="B1588" s="146" t="n">
        <v>28</v>
      </c>
      <c r="C1588" s="350" t="n">
        <v>45994</v>
      </c>
      <c r="D1588" s="351" t="n">
        <v>5</v>
      </c>
      <c r="E1588" s="264" t="inlineStr">
        <is>
          <t xml:space="preserve">SAN JOSE </t>
        </is>
      </c>
      <c r="F1588" s="264" t="inlineStr">
        <is>
          <t>CARGUEROS</t>
        </is>
      </c>
      <c r="G1588" s="264" t="n">
        <v>11</v>
      </c>
      <c r="H1588" s="264" t="inlineStr">
        <is>
          <t>JOSE HERRERA</t>
        </is>
      </c>
      <c r="I1588" s="264" t="inlineStr">
        <is>
          <t>EQY777</t>
        </is>
      </c>
      <c r="J1588" s="265" t="n">
        <v>0.1666666666666667</v>
      </c>
      <c r="K1588" s="266" t="n">
        <v>3230</v>
      </c>
      <c r="L1588" s="308" t="n"/>
      <c r="M1588" s="113" t="n"/>
      <c r="N1588" s="113" t="n"/>
      <c r="O1588" s="113" t="n"/>
      <c r="P1588" s="243" t="n"/>
      <c r="Q1588" s="113" t="n"/>
      <c r="R1588" s="113" t="n"/>
    </row>
    <row r="1589" ht="15.75" customHeight="1">
      <c r="A1589" s="113" t="n"/>
      <c r="B1589" s="146" t="n">
        <v>28</v>
      </c>
      <c r="C1589" s="350" t="n">
        <v>45994</v>
      </c>
      <c r="D1589" s="351" t="n">
        <v>6</v>
      </c>
      <c r="E1589" s="264" t="inlineStr">
        <is>
          <t xml:space="preserve">SAN JOSE </t>
        </is>
      </c>
      <c r="F1589" s="264" t="inlineStr">
        <is>
          <t>CARGUEROS</t>
        </is>
      </c>
      <c r="G1589" s="264" t="n">
        <v>11</v>
      </c>
      <c r="H1589" s="264" t="inlineStr">
        <is>
          <t xml:space="preserve">SEBASTIAN HIDALGO </t>
        </is>
      </c>
      <c r="I1589" s="264" t="inlineStr">
        <is>
          <t>EQY778</t>
        </is>
      </c>
      <c r="J1589" s="265" t="n">
        <v>0.1979166666666667</v>
      </c>
      <c r="K1589" s="266" t="n">
        <v>3230</v>
      </c>
      <c r="L1589" s="309" t="n"/>
      <c r="M1589" s="113" t="n"/>
      <c r="N1589" s="113" t="n"/>
      <c r="O1589" s="113" t="n"/>
      <c r="P1589" s="243" t="n"/>
      <c r="Q1589" s="113" t="n"/>
      <c r="R1589" s="113" t="n"/>
    </row>
    <row r="1590" ht="15.75" customHeight="1">
      <c r="A1590" s="113" t="n"/>
      <c r="B1590" s="146" t="n">
        <v>28</v>
      </c>
      <c r="C1590" s="352" t="n">
        <v>45994</v>
      </c>
      <c r="D1590" s="347" t="n">
        <v>7</v>
      </c>
      <c r="E1590" s="282" t="inlineStr">
        <is>
          <t xml:space="preserve">SAN JOSE </t>
        </is>
      </c>
      <c r="F1590" s="282" t="inlineStr">
        <is>
          <t>CARGUEROS</t>
        </is>
      </c>
      <c r="G1590" s="282" t="n">
        <v>11</v>
      </c>
      <c r="H1590" s="282" t="inlineStr">
        <is>
          <t>DIEGO NIÑO</t>
        </is>
      </c>
      <c r="I1590" s="282" t="inlineStr">
        <is>
          <t>GZZ673</t>
        </is>
      </c>
      <c r="J1590" s="283" t="n">
        <v>0.2326388888888889</v>
      </c>
      <c r="K1590" s="284" t="n">
        <v>3230</v>
      </c>
      <c r="L1590" s="378">
        <f>SUM(K1584:K1590)</f>
        <v/>
      </c>
      <c r="M1590" s="113" t="n"/>
      <c r="N1590" s="113" t="n"/>
      <c r="O1590" s="113" t="n"/>
      <c r="P1590" s="243" t="n"/>
      <c r="Q1590" s="113" t="n"/>
      <c r="R1590" s="113" t="n"/>
    </row>
    <row r="1591" ht="15.75" customHeight="1">
      <c r="A1591" s="113" t="n"/>
      <c r="B1591" s="146" t="n">
        <v>28</v>
      </c>
      <c r="C1591" s="348" t="n">
        <v>45995</v>
      </c>
      <c r="D1591" s="349" t="n">
        <v>1</v>
      </c>
      <c r="E1591" s="258" t="inlineStr">
        <is>
          <t xml:space="preserve">SAN JOSE </t>
        </is>
      </c>
      <c r="F1591" s="258" t="inlineStr">
        <is>
          <t>CARGUEROS</t>
        </is>
      </c>
      <c r="G1591" s="258" t="n">
        <v>11</v>
      </c>
      <c r="H1591" s="258" t="inlineStr">
        <is>
          <t>HENRY ROMERO</t>
        </is>
      </c>
      <c r="I1591" s="258" t="inlineStr">
        <is>
          <t>EQY781</t>
        </is>
      </c>
      <c r="J1591" s="259" t="n">
        <v>0.1875</v>
      </c>
      <c r="K1591" s="260" t="n">
        <v>3325</v>
      </c>
      <c r="L1591" s="292" t="n"/>
      <c r="M1591" s="113" t="n"/>
      <c r="N1591" s="113" t="n"/>
      <c r="O1591" s="113" t="n"/>
      <c r="P1591" s="243" t="n"/>
      <c r="Q1591" s="113" t="n"/>
      <c r="R1591" s="113" t="n"/>
    </row>
    <row r="1592" ht="15.75" customHeight="1">
      <c r="A1592" s="113" t="n"/>
      <c r="B1592" s="146" t="n">
        <v>28</v>
      </c>
      <c r="C1592" s="350" t="n">
        <v>45995</v>
      </c>
      <c r="D1592" s="351" t="n">
        <v>2</v>
      </c>
      <c r="E1592" s="264" t="inlineStr">
        <is>
          <t xml:space="preserve">SAN JOSE </t>
        </is>
      </c>
      <c r="F1592" s="264" t="inlineStr">
        <is>
          <t>CARGUEROS</t>
        </is>
      </c>
      <c r="G1592" s="264" t="n">
        <v>11</v>
      </c>
      <c r="H1592" s="264" t="inlineStr">
        <is>
          <t>ALEX GOMEZ</t>
        </is>
      </c>
      <c r="I1592" s="264" t="inlineStr">
        <is>
          <t>GZZ673</t>
        </is>
      </c>
      <c r="J1592" s="265" t="n">
        <v>0.2222222222222222</v>
      </c>
      <c r="K1592" s="266" t="n">
        <v>3300</v>
      </c>
      <c r="L1592" s="309" t="n"/>
      <c r="M1592" s="113" t="n"/>
      <c r="N1592" s="113" t="n"/>
      <c r="O1592" s="113" t="n"/>
      <c r="P1592" s="243" t="n"/>
      <c r="Q1592" s="113" t="n"/>
      <c r="R1592" s="113" t="n"/>
    </row>
    <row r="1593" ht="15.75" customHeight="1">
      <c r="A1593" s="113" t="n"/>
      <c r="B1593" s="146" t="n">
        <v>28</v>
      </c>
      <c r="C1593" s="352" t="n">
        <v>45995</v>
      </c>
      <c r="D1593" s="347" t="n">
        <v>3</v>
      </c>
      <c r="E1593" s="282" t="inlineStr">
        <is>
          <t xml:space="preserve">SAN JOSE </t>
        </is>
      </c>
      <c r="F1593" s="282" t="inlineStr">
        <is>
          <t>CARGUEROS</t>
        </is>
      </c>
      <c r="G1593" s="282" t="n">
        <v>11</v>
      </c>
      <c r="H1593" s="282" t="inlineStr">
        <is>
          <t>DUMAR ANGARITA</t>
        </is>
      </c>
      <c r="I1593" s="282" t="inlineStr">
        <is>
          <t>LQO745</t>
        </is>
      </c>
      <c r="J1593" s="283" t="n">
        <v>0.2534722222222222</v>
      </c>
      <c r="K1593" s="284" t="n">
        <v>3240</v>
      </c>
      <c r="L1593" s="353">
        <f>SUM(K1591:K1593)</f>
        <v/>
      </c>
      <c r="M1593" s="113" t="n"/>
      <c r="N1593" s="113" t="n"/>
      <c r="O1593" s="113" t="n"/>
      <c r="P1593" s="243" t="n"/>
      <c r="Q1593" s="113" t="n"/>
      <c r="R1593" s="113" t="n"/>
    </row>
    <row r="1594" ht="15.75" customHeight="1">
      <c r="A1594" s="113" t="n"/>
      <c r="B1594" s="146" t="n">
        <v>28</v>
      </c>
      <c r="C1594" s="348" t="n">
        <v>45996</v>
      </c>
      <c r="D1594" s="349" t="n">
        <v>1</v>
      </c>
      <c r="E1594" s="258" t="inlineStr">
        <is>
          <t xml:space="preserve">SAN JOSE </t>
        </is>
      </c>
      <c r="F1594" s="258" t="inlineStr">
        <is>
          <t>CARGUEROS</t>
        </is>
      </c>
      <c r="G1594" s="258" t="n">
        <v>11</v>
      </c>
      <c r="H1594" s="258" t="inlineStr">
        <is>
          <t>ALEX GOMEZ</t>
        </is>
      </c>
      <c r="I1594" s="258" t="inlineStr">
        <is>
          <t>TLO881</t>
        </is>
      </c>
      <c r="J1594" s="259" t="n">
        <v>0.4861111111111111</v>
      </c>
      <c r="K1594" s="260" t="n">
        <v>3520</v>
      </c>
      <c r="L1594" s="292" t="n"/>
      <c r="M1594" s="113" t="n"/>
      <c r="N1594" s="113" t="n"/>
      <c r="O1594" s="113" t="n"/>
      <c r="P1594" s="243" t="n"/>
      <c r="Q1594" s="113" t="n"/>
      <c r="R1594" s="113" t="n"/>
    </row>
    <row r="1595" ht="15.75" customHeight="1">
      <c r="A1595" s="113" t="n"/>
      <c r="B1595" s="146" t="n">
        <v>28</v>
      </c>
      <c r="C1595" s="350" t="n">
        <v>45996</v>
      </c>
      <c r="D1595" s="351" t="n">
        <v>2</v>
      </c>
      <c r="E1595" s="264" t="inlineStr">
        <is>
          <t xml:space="preserve">SAN JOSE </t>
        </is>
      </c>
      <c r="F1595" s="264" t="inlineStr">
        <is>
          <t>CARGUEROS</t>
        </is>
      </c>
      <c r="G1595" s="264" t="n">
        <v>11</v>
      </c>
      <c r="H1595" s="264" t="inlineStr">
        <is>
          <t xml:space="preserve">SEBASTIAN HIDALGO </t>
        </is>
      </c>
      <c r="I1595" s="264" t="inlineStr">
        <is>
          <t>LQO745</t>
        </is>
      </c>
      <c r="J1595" s="265" t="inlineStr">
        <is>
          <t>10:55 PPM</t>
        </is>
      </c>
      <c r="K1595" s="266" t="n">
        <v>3520</v>
      </c>
      <c r="L1595" s="308" t="n"/>
      <c r="M1595" s="113" t="n"/>
      <c r="N1595" s="113" t="n"/>
      <c r="O1595" s="113" t="n"/>
      <c r="P1595" s="243" t="n"/>
      <c r="Q1595" s="113" t="n"/>
      <c r="R1595" s="113" t="n"/>
    </row>
    <row r="1596" ht="15.75" customHeight="1">
      <c r="A1596" s="113" t="n"/>
      <c r="B1596" s="146" t="n">
        <v>28</v>
      </c>
      <c r="C1596" s="350" t="n">
        <v>45996</v>
      </c>
      <c r="D1596" s="351" t="n">
        <v>3</v>
      </c>
      <c r="E1596" s="264" t="inlineStr">
        <is>
          <t xml:space="preserve">SAN JOSE </t>
        </is>
      </c>
      <c r="F1596" s="264" t="inlineStr">
        <is>
          <t>CARGUEROS</t>
        </is>
      </c>
      <c r="G1596" s="264" t="n">
        <v>11</v>
      </c>
      <c r="H1596" s="264" t="inlineStr">
        <is>
          <t>WILMER PIÑEROS</t>
        </is>
      </c>
      <c r="I1596" s="264" t="inlineStr">
        <is>
          <t>KLN076</t>
        </is>
      </c>
      <c r="J1596" s="265" t="n">
        <v>0.02222222222222222</v>
      </c>
      <c r="K1596" s="266" t="n">
        <v>3520</v>
      </c>
      <c r="L1596" s="308" t="n"/>
      <c r="M1596" s="113" t="n"/>
      <c r="N1596" s="113" t="n"/>
      <c r="O1596" s="113" t="n"/>
      <c r="P1596" s="243" t="n"/>
      <c r="Q1596" s="113" t="n"/>
      <c r="R1596" s="113" t="n"/>
    </row>
    <row r="1597" ht="15.75" customHeight="1">
      <c r="A1597" s="113" t="n"/>
      <c r="B1597" s="146" t="n">
        <v>28</v>
      </c>
      <c r="C1597" s="350" t="n">
        <v>45996</v>
      </c>
      <c r="D1597" s="351" t="n">
        <v>4</v>
      </c>
      <c r="E1597" s="264" t="inlineStr">
        <is>
          <t xml:space="preserve">SAN JOSE </t>
        </is>
      </c>
      <c r="F1597" s="264" t="inlineStr">
        <is>
          <t>CARGUEROS</t>
        </is>
      </c>
      <c r="G1597" s="264" t="n">
        <v>11</v>
      </c>
      <c r="H1597" s="264" t="inlineStr">
        <is>
          <t>FABIO ALDANA</t>
        </is>
      </c>
      <c r="I1597" s="264" t="inlineStr">
        <is>
          <t>TLO882</t>
        </is>
      </c>
      <c r="J1597" s="265" t="n">
        <v>0.05902777777777778</v>
      </c>
      <c r="K1597" s="266" t="n">
        <v>3520</v>
      </c>
      <c r="L1597" s="308" t="n"/>
      <c r="M1597" s="113" t="n"/>
      <c r="N1597" s="113" t="n"/>
      <c r="O1597" s="113" t="n"/>
      <c r="P1597" s="243" t="n"/>
      <c r="Q1597" s="113" t="n"/>
      <c r="R1597" s="113" t="n"/>
    </row>
    <row r="1598" ht="15.75" customHeight="1">
      <c r="A1598" s="113" t="n"/>
      <c r="B1598" s="146" t="n">
        <v>28</v>
      </c>
      <c r="C1598" s="350" t="n">
        <v>45996</v>
      </c>
      <c r="D1598" s="351" t="n">
        <v>5</v>
      </c>
      <c r="E1598" s="264" t="inlineStr">
        <is>
          <t xml:space="preserve">SAN JOSE </t>
        </is>
      </c>
      <c r="F1598" s="264" t="inlineStr">
        <is>
          <t>CARGUEROS</t>
        </is>
      </c>
      <c r="G1598" s="264" t="n">
        <v>11</v>
      </c>
      <c r="H1598" s="264" t="inlineStr">
        <is>
          <t>EDUAN CAVIDEZ</t>
        </is>
      </c>
      <c r="I1598" s="264" t="inlineStr">
        <is>
          <t>EQY779</t>
        </is>
      </c>
      <c r="J1598" s="265" t="n">
        <v>0.1111111111111111</v>
      </c>
      <c r="K1598" s="266" t="n">
        <v>3520</v>
      </c>
      <c r="L1598" s="308" t="n"/>
      <c r="M1598" s="113" t="n"/>
      <c r="N1598" s="113" t="n"/>
      <c r="O1598" s="113" t="n"/>
      <c r="P1598" s="243" t="n"/>
      <c r="Q1598" s="113" t="n"/>
      <c r="R1598" s="113" t="n"/>
    </row>
    <row r="1599" ht="15.75" customHeight="1">
      <c r="A1599" s="113" t="n"/>
      <c r="B1599" s="146" t="n">
        <v>28</v>
      </c>
      <c r="C1599" s="350" t="n">
        <v>45996</v>
      </c>
      <c r="D1599" s="351" t="n">
        <v>6</v>
      </c>
      <c r="E1599" s="264" t="inlineStr">
        <is>
          <t xml:space="preserve">SAN JOSE </t>
        </is>
      </c>
      <c r="F1599" s="264" t="inlineStr">
        <is>
          <t>CARGUEROS</t>
        </is>
      </c>
      <c r="G1599" s="264" t="n">
        <v>11</v>
      </c>
      <c r="H1599" s="264" t="inlineStr">
        <is>
          <t>MANUEL QUINDIAN</t>
        </is>
      </c>
      <c r="I1599" s="264" t="inlineStr">
        <is>
          <t>KUS176</t>
        </is>
      </c>
      <c r="J1599" s="265" t="n">
        <v>0.1423611111111111</v>
      </c>
      <c r="K1599" s="266" t="n">
        <v>3520</v>
      </c>
      <c r="L1599" s="308" t="n"/>
      <c r="M1599" s="113" t="n"/>
      <c r="N1599" s="113" t="n"/>
      <c r="O1599" s="113" t="n"/>
      <c r="P1599" s="243" t="n"/>
      <c r="Q1599" s="113" t="n"/>
      <c r="R1599" s="113" t="n"/>
    </row>
    <row r="1600" ht="15.75" customHeight="1">
      <c r="A1600" s="113" t="n"/>
      <c r="B1600" s="146" t="n">
        <v>28</v>
      </c>
      <c r="C1600" s="350" t="n">
        <v>45996</v>
      </c>
      <c r="D1600" s="351" t="n">
        <v>74</v>
      </c>
      <c r="E1600" s="264" t="inlineStr">
        <is>
          <t xml:space="preserve">SAN JOSE </t>
        </is>
      </c>
      <c r="F1600" s="264" t="inlineStr">
        <is>
          <t>CARGUEROS</t>
        </is>
      </c>
      <c r="G1600" s="264" t="n">
        <v>11</v>
      </c>
      <c r="H1600" s="264" t="inlineStr">
        <is>
          <t>ALBERTO LOPEZ</t>
        </is>
      </c>
      <c r="I1600" s="264" t="inlineStr">
        <is>
          <t>EQY777</t>
        </is>
      </c>
      <c r="J1600" s="265" t="n">
        <v>0.1840277777777778</v>
      </c>
      <c r="K1600" s="266" t="n">
        <v>3520</v>
      </c>
      <c r="L1600" s="308" t="n"/>
      <c r="M1600" s="113" t="n"/>
      <c r="N1600" s="113" t="n"/>
      <c r="O1600" s="113" t="n"/>
      <c r="P1600" s="243" t="n"/>
      <c r="Q1600" s="113" t="n"/>
      <c r="R1600" s="113" t="n"/>
    </row>
    <row r="1601" ht="15.75" customHeight="1">
      <c r="A1601" s="113" t="n"/>
      <c r="B1601" s="146" t="n">
        <v>28</v>
      </c>
      <c r="C1601" s="350" t="n">
        <v>45996</v>
      </c>
      <c r="D1601" s="351" t="n">
        <v>8</v>
      </c>
      <c r="E1601" s="264" t="inlineStr">
        <is>
          <t xml:space="preserve">SAN JOSE </t>
        </is>
      </c>
      <c r="F1601" s="264" t="inlineStr">
        <is>
          <t>CARGUEROS</t>
        </is>
      </c>
      <c r="G1601" s="264" t="n">
        <v>11</v>
      </c>
      <c r="H1601" s="264" t="inlineStr">
        <is>
          <t>WILMER PIÑEROS</t>
        </is>
      </c>
      <c r="I1601" s="264" t="inlineStr">
        <is>
          <t>KNL076</t>
        </is>
      </c>
      <c r="J1601" s="265" t="n">
        <v>0.2708333333333333</v>
      </c>
      <c r="K1601" s="266" t="n">
        <v>3520</v>
      </c>
      <c r="L1601" s="308" t="n"/>
      <c r="M1601" s="113" t="n"/>
      <c r="N1601" s="113" t="n"/>
      <c r="O1601" s="113" t="n"/>
      <c r="P1601" s="243" t="n"/>
      <c r="Q1601" s="113" t="n"/>
      <c r="R1601" s="113" t="n"/>
    </row>
    <row r="1602" ht="15.75" customHeight="1">
      <c r="A1602" s="113" t="n"/>
      <c r="B1602" s="146" t="n">
        <v>28</v>
      </c>
      <c r="C1602" s="350" t="n">
        <v>45996</v>
      </c>
      <c r="D1602" s="351" t="n">
        <v>9</v>
      </c>
      <c r="E1602" s="264" t="inlineStr">
        <is>
          <t xml:space="preserve">SAN JOSE </t>
        </is>
      </c>
      <c r="F1602" s="264" t="inlineStr">
        <is>
          <t>CARGUEROS</t>
        </is>
      </c>
      <c r="G1602" s="264" t="n">
        <v>11</v>
      </c>
      <c r="H1602" s="264" t="inlineStr">
        <is>
          <t>MANUEL QUINTIAN</t>
        </is>
      </c>
      <c r="I1602" s="264" t="inlineStr">
        <is>
          <t>KUS176</t>
        </is>
      </c>
      <c r="J1602" s="265" t="n">
        <v>0.3090277777777778</v>
      </c>
      <c r="K1602" s="266" t="n">
        <v>3520</v>
      </c>
      <c r="L1602" s="308" t="n"/>
      <c r="M1602" s="113" t="n"/>
      <c r="N1602" s="113" t="n"/>
      <c r="O1602" s="113" t="n"/>
      <c r="P1602" s="243" t="n"/>
      <c r="Q1602" s="113" t="n"/>
      <c r="R1602" s="113" t="n"/>
    </row>
    <row r="1603" ht="15.75" customHeight="1">
      <c r="A1603" s="113" t="n"/>
      <c r="B1603" s="146" t="n">
        <v>28</v>
      </c>
      <c r="C1603" s="350" t="n">
        <v>45996</v>
      </c>
      <c r="D1603" s="351" t="n">
        <v>10</v>
      </c>
      <c r="E1603" s="264" t="inlineStr">
        <is>
          <t xml:space="preserve">SAN JOSE </t>
        </is>
      </c>
      <c r="F1603" s="264" t="inlineStr">
        <is>
          <t>CARGUEROS</t>
        </is>
      </c>
      <c r="G1603" s="264" t="n">
        <v>11</v>
      </c>
      <c r="H1603" s="264" t="inlineStr">
        <is>
          <t>JOSE HERRERA</t>
        </is>
      </c>
      <c r="I1603" s="264" t="inlineStr">
        <is>
          <t>EQY777</t>
        </is>
      </c>
      <c r="J1603" s="265" t="n">
        <v>0.3506944444444444</v>
      </c>
      <c r="K1603" s="266" t="n">
        <v>3520</v>
      </c>
      <c r="L1603" s="309" t="n"/>
      <c r="M1603" s="113" t="n"/>
      <c r="N1603" s="113" t="n"/>
      <c r="O1603" s="113" t="n"/>
      <c r="P1603" s="243" t="n"/>
      <c r="Q1603" s="113" t="n"/>
      <c r="R1603" s="113" t="n"/>
    </row>
    <row r="1604" ht="15.75" customHeight="1">
      <c r="A1604" s="113" t="n"/>
      <c r="B1604" s="146" t="n">
        <v>28</v>
      </c>
      <c r="C1604" s="352" t="n">
        <v>45996</v>
      </c>
      <c r="D1604" s="347" t="n">
        <v>11</v>
      </c>
      <c r="E1604" s="282" t="inlineStr">
        <is>
          <t xml:space="preserve">SAN JOSE </t>
        </is>
      </c>
      <c r="F1604" s="282" t="inlineStr">
        <is>
          <t>CARGUEROS</t>
        </is>
      </c>
      <c r="G1604" s="282" t="n">
        <v>11</v>
      </c>
      <c r="H1604" s="282" t="inlineStr">
        <is>
          <t>YAIR RIVEROS</t>
        </is>
      </c>
      <c r="I1604" s="282" t="inlineStr">
        <is>
          <t>TLN181</t>
        </is>
      </c>
      <c r="J1604" s="283" t="n">
        <v>0.3958333333333333</v>
      </c>
      <c r="K1604" s="284" t="n">
        <v>3520</v>
      </c>
      <c r="L1604" s="353">
        <f>SUM(K1594:K1604)</f>
        <v/>
      </c>
      <c r="M1604" s="113" t="n"/>
      <c r="N1604" s="113" t="n"/>
      <c r="O1604" s="113" t="n"/>
      <c r="P1604" s="243" t="n"/>
      <c r="Q1604" s="113" t="n"/>
      <c r="R1604" s="113" t="n"/>
    </row>
    <row r="1605" ht="15.75" customHeight="1">
      <c r="A1605" s="113" t="n"/>
      <c r="B1605" s="146" t="n">
        <v>28</v>
      </c>
      <c r="C1605" s="348" t="n">
        <v>45997</v>
      </c>
      <c r="D1605" s="349" t="n">
        <v>1</v>
      </c>
      <c r="E1605" s="258" t="inlineStr">
        <is>
          <t xml:space="preserve">SAN JOSE </t>
        </is>
      </c>
      <c r="F1605" s="258" t="inlineStr">
        <is>
          <t>CARGUEROS</t>
        </is>
      </c>
      <c r="G1605" s="258" t="n">
        <v>11</v>
      </c>
      <c r="H1605" s="258" t="inlineStr">
        <is>
          <t>DUMAR ANGARITA</t>
        </is>
      </c>
      <c r="I1605" s="258" t="inlineStr">
        <is>
          <t>LQO745</t>
        </is>
      </c>
      <c r="J1605" s="259" t="n">
        <v>0.01388888888888889</v>
      </c>
      <c r="K1605" s="260" t="n">
        <v>3240</v>
      </c>
      <c r="L1605" s="292" t="n"/>
      <c r="M1605" s="113" t="n"/>
      <c r="N1605" s="113" t="n"/>
      <c r="O1605" s="113" t="n"/>
      <c r="P1605" s="243" t="n"/>
      <c r="Q1605" s="113" t="n"/>
      <c r="R1605" s="113" t="n"/>
    </row>
    <row r="1606" ht="15.75" customHeight="1">
      <c r="A1606" s="113" t="n"/>
      <c r="B1606" s="146" t="n">
        <v>28</v>
      </c>
      <c r="C1606" s="350" t="n">
        <v>45997</v>
      </c>
      <c r="D1606" s="351" t="n">
        <v>2</v>
      </c>
      <c r="E1606" s="264" t="inlineStr">
        <is>
          <t xml:space="preserve">SAN JOSE </t>
        </is>
      </c>
      <c r="F1606" s="264" t="inlineStr">
        <is>
          <t>CARGUEROS</t>
        </is>
      </c>
      <c r="G1606" s="264" t="n">
        <v>11</v>
      </c>
      <c r="H1606" s="264" t="inlineStr">
        <is>
          <t>ALEX GOMEZ</t>
        </is>
      </c>
      <c r="I1606" s="264" t="inlineStr">
        <is>
          <t>TLO881</t>
        </is>
      </c>
      <c r="J1606" s="265" t="n">
        <v>0.04861111111111111</v>
      </c>
      <c r="K1606" s="266" t="n">
        <v>3240</v>
      </c>
      <c r="L1606" s="308" t="n"/>
      <c r="M1606" s="113" t="n"/>
      <c r="N1606" s="113" t="n"/>
      <c r="O1606" s="113" t="n"/>
      <c r="P1606" s="243" t="n"/>
      <c r="Q1606" s="113" t="n"/>
      <c r="R1606" s="113" t="n"/>
    </row>
    <row r="1607" ht="15.75" customHeight="1">
      <c r="A1607" s="113" t="n"/>
      <c r="B1607" s="146" t="n">
        <v>28</v>
      </c>
      <c r="C1607" s="350" t="n">
        <v>45997</v>
      </c>
      <c r="D1607" s="351" t="n">
        <v>3</v>
      </c>
      <c r="E1607" s="264" t="inlineStr">
        <is>
          <t xml:space="preserve">SAN JOSE </t>
        </is>
      </c>
      <c r="F1607" s="264" t="inlineStr">
        <is>
          <t>CARGUEROS</t>
        </is>
      </c>
      <c r="G1607" s="264" t="n">
        <v>11</v>
      </c>
      <c r="H1607" s="264" t="inlineStr">
        <is>
          <t>JAIRO CUBILLOS</t>
        </is>
      </c>
      <c r="I1607" s="264" t="inlineStr">
        <is>
          <t>TLO884</t>
        </is>
      </c>
      <c r="J1607" s="265" t="n">
        <v>0.06944444444444445</v>
      </c>
      <c r="K1607" s="266" t="n">
        <v>1610</v>
      </c>
      <c r="L1607" s="308" t="n"/>
      <c r="M1607" s="113" t="n"/>
      <c r="N1607" s="113" t="n"/>
      <c r="O1607" s="113" t="n"/>
      <c r="P1607" s="243" t="n"/>
      <c r="Q1607" s="113" t="n"/>
      <c r="R1607" s="113" t="n"/>
    </row>
    <row r="1608" ht="15.75" customHeight="1">
      <c r="A1608" s="113" t="n"/>
      <c r="B1608" s="146" t="n">
        <v>28</v>
      </c>
      <c r="C1608" s="350" t="n">
        <v>45997</v>
      </c>
      <c r="D1608" s="351" t="n">
        <v>4</v>
      </c>
      <c r="E1608" s="264" t="inlineStr">
        <is>
          <t xml:space="preserve">SAN JOSE </t>
        </is>
      </c>
      <c r="F1608" s="264" t="inlineStr">
        <is>
          <t>CARGUEROS</t>
        </is>
      </c>
      <c r="G1608" s="264" t="n">
        <v>11</v>
      </c>
      <c r="H1608" s="264" t="inlineStr">
        <is>
          <t xml:space="preserve">JHON ARIAS </t>
        </is>
      </c>
      <c r="I1608" s="264" t="inlineStr">
        <is>
          <t>LTLN248</t>
        </is>
      </c>
      <c r="J1608" s="265" t="n">
        <v>0.1319444444444444</v>
      </c>
      <c r="K1608" s="266" t="n">
        <v>3638</v>
      </c>
      <c r="L1608" s="308" t="n"/>
      <c r="M1608" s="113" t="n"/>
      <c r="N1608" s="113" t="n"/>
      <c r="O1608" s="113" t="n"/>
      <c r="P1608" s="243" t="n"/>
      <c r="Q1608" s="113" t="n"/>
      <c r="R1608" s="113" t="n"/>
    </row>
    <row r="1609" ht="15.75" customHeight="1">
      <c r="A1609" s="113" t="n"/>
      <c r="B1609" s="146" t="n">
        <v>28</v>
      </c>
      <c r="C1609" s="350" t="n">
        <v>45997</v>
      </c>
      <c r="D1609" s="351" t="n">
        <v>5</v>
      </c>
      <c r="E1609" s="264" t="inlineStr">
        <is>
          <t xml:space="preserve">SAN JOSE </t>
        </is>
      </c>
      <c r="F1609" s="264" t="inlineStr">
        <is>
          <t>CARGUEROS</t>
        </is>
      </c>
      <c r="G1609" s="264" t="n">
        <v>11</v>
      </c>
      <c r="H1609" s="264" t="inlineStr">
        <is>
          <t>ROBINSON PULIDO</t>
        </is>
      </c>
      <c r="I1609" s="264" t="inlineStr">
        <is>
          <t>KUS176</t>
        </is>
      </c>
      <c r="J1609" s="265" t="n">
        <v>0.1666666666666667</v>
      </c>
      <c r="K1609" s="266" t="n">
        <v>3638</v>
      </c>
      <c r="L1609" s="308" t="n"/>
      <c r="M1609" s="113" t="n"/>
      <c r="N1609" s="113" t="n"/>
      <c r="O1609" s="113" t="n"/>
      <c r="P1609" s="243" t="n"/>
      <c r="Q1609" s="113" t="n"/>
      <c r="R1609" s="113" t="n"/>
    </row>
    <row r="1610" ht="15.75" customHeight="1">
      <c r="A1610" s="113" t="n"/>
      <c r="B1610" s="146" t="n">
        <v>28</v>
      </c>
      <c r="C1610" s="350" t="n">
        <v>45997</v>
      </c>
      <c r="D1610" s="351" t="n">
        <v>6</v>
      </c>
      <c r="E1610" s="264" t="inlineStr">
        <is>
          <t xml:space="preserve">SAN JOSE </t>
        </is>
      </c>
      <c r="F1610" s="264" t="inlineStr">
        <is>
          <t>CARGUEROS</t>
        </is>
      </c>
      <c r="G1610" s="264" t="n">
        <v>11</v>
      </c>
      <c r="H1610" s="264" t="inlineStr">
        <is>
          <t>EDUAN CAVIDEZ</t>
        </is>
      </c>
      <c r="I1610" s="264" t="inlineStr">
        <is>
          <t>EQY779</t>
        </is>
      </c>
      <c r="J1610" s="265" t="n">
        <v>0.2083333333333333</v>
      </c>
      <c r="K1610" s="266" t="n">
        <v>3360</v>
      </c>
      <c r="L1610" s="308" t="n"/>
      <c r="M1610" s="113" t="n"/>
      <c r="N1610" s="113" t="n"/>
      <c r="O1610" s="113" t="n"/>
      <c r="P1610" s="243" t="n"/>
      <c r="Q1610" s="113" t="n"/>
      <c r="R1610" s="113" t="n"/>
    </row>
    <row r="1611" ht="15.75" customHeight="1">
      <c r="A1611" s="113" t="n"/>
      <c r="B1611" s="146" t="n">
        <v>28</v>
      </c>
      <c r="C1611" s="350" t="n">
        <v>45997</v>
      </c>
      <c r="D1611" s="351" t="n">
        <v>7</v>
      </c>
      <c r="E1611" s="264" t="inlineStr">
        <is>
          <t xml:space="preserve">SAN JOSE </t>
        </is>
      </c>
      <c r="F1611" s="264" t="inlineStr">
        <is>
          <t>CARGUEROS</t>
        </is>
      </c>
      <c r="G1611" s="264" t="n">
        <v>11</v>
      </c>
      <c r="H1611" s="264" t="inlineStr">
        <is>
          <t>WILMER PIÑEROS</t>
        </is>
      </c>
      <c r="I1611" s="264" t="inlineStr">
        <is>
          <t>KLN076</t>
        </is>
      </c>
      <c r="J1611" s="265" t="n">
        <v>0.2465277777777778</v>
      </c>
      <c r="K1611" s="266" t="n">
        <v>3360</v>
      </c>
      <c r="L1611" s="309" t="n"/>
      <c r="M1611" s="113" t="n"/>
      <c r="N1611" s="113" t="n"/>
      <c r="O1611" s="113" t="n"/>
      <c r="P1611" s="243" t="n"/>
      <c r="Q1611" s="113" t="n"/>
      <c r="R1611" s="113" t="n"/>
    </row>
    <row r="1612" ht="15.75" customHeight="1">
      <c r="A1612" s="113" t="n"/>
      <c r="B1612" s="146" t="n">
        <v>28</v>
      </c>
      <c r="C1612" s="352" t="n">
        <v>45997</v>
      </c>
      <c r="D1612" s="347" t="n">
        <v>8</v>
      </c>
      <c r="E1612" s="282" t="inlineStr">
        <is>
          <t xml:space="preserve">SAN JOSE </t>
        </is>
      </c>
      <c r="F1612" s="282" t="inlineStr">
        <is>
          <t>CARGUEROS</t>
        </is>
      </c>
      <c r="G1612" s="282" t="n">
        <v>11</v>
      </c>
      <c r="H1612" s="282" t="inlineStr">
        <is>
          <t>JOSE HERRERA</t>
        </is>
      </c>
      <c r="I1612" s="282" t="inlineStr">
        <is>
          <t>EQY777</t>
        </is>
      </c>
      <c r="J1612" s="283" t="n">
        <v>0.2777777777777778</v>
      </c>
      <c r="K1612" s="284" t="n">
        <v>3360</v>
      </c>
      <c r="L1612" s="378">
        <f>SUM(K1605:K1612)</f>
        <v/>
      </c>
      <c r="M1612" s="113" t="n"/>
      <c r="N1612" s="113" t="n"/>
      <c r="O1612" s="113" t="n"/>
      <c r="P1612" s="243" t="n"/>
      <c r="Q1612" s="113" t="n"/>
      <c r="R1612" s="113" t="n"/>
    </row>
    <row r="1613" ht="15.75" customHeight="1">
      <c r="A1613" s="113" t="n"/>
      <c r="B1613" s="146" t="n">
        <v>29</v>
      </c>
      <c r="C1613" s="348" t="n">
        <v>45998</v>
      </c>
      <c r="D1613" s="349" t="n">
        <v>1</v>
      </c>
      <c r="E1613" s="258" t="inlineStr">
        <is>
          <t xml:space="preserve">SAN JOSE </t>
        </is>
      </c>
      <c r="F1613" s="258" t="inlineStr">
        <is>
          <t>CARGUEROS</t>
        </is>
      </c>
      <c r="G1613" s="258" t="n">
        <v>10</v>
      </c>
      <c r="H1613" s="258" t="inlineStr">
        <is>
          <t>WILMER PIÑEROS</t>
        </is>
      </c>
      <c r="I1613" s="258" t="inlineStr">
        <is>
          <t>KLN076</t>
        </is>
      </c>
      <c r="J1613" s="259" t="n">
        <v>0.0375</v>
      </c>
      <c r="K1613" s="260" t="n">
        <v>3480</v>
      </c>
      <c r="L1613" s="292" t="n"/>
      <c r="M1613" s="113" t="n"/>
      <c r="N1613" s="113" t="n"/>
      <c r="O1613" s="113" t="n"/>
      <c r="P1613" s="243" t="n"/>
      <c r="Q1613" s="113" t="n"/>
      <c r="R1613" s="113" t="n"/>
    </row>
    <row r="1614" ht="15.75" customHeight="1">
      <c r="A1614" s="113" t="n"/>
      <c r="B1614" s="146" t="n">
        <v>29</v>
      </c>
      <c r="C1614" s="350" t="n">
        <v>45998</v>
      </c>
      <c r="D1614" s="351" t="n">
        <v>2</v>
      </c>
      <c r="E1614" s="264" t="inlineStr">
        <is>
          <t xml:space="preserve">SAN JOSE </t>
        </is>
      </c>
      <c r="F1614" s="264" t="inlineStr">
        <is>
          <t>CARGUEROS</t>
        </is>
      </c>
      <c r="G1614" s="264" t="n">
        <v>10</v>
      </c>
      <c r="H1614" s="264" t="inlineStr">
        <is>
          <t>EDWIN ROJAS</t>
        </is>
      </c>
      <c r="I1614" s="264" t="inlineStr">
        <is>
          <t>EQY780</t>
        </is>
      </c>
      <c r="J1614" s="265" t="n">
        <v>0.07152777777777777</v>
      </c>
      <c r="K1614" s="266" t="n">
        <v>3480</v>
      </c>
      <c r="L1614" s="308" t="n"/>
      <c r="M1614" s="113" t="n"/>
      <c r="N1614" s="113" t="n"/>
      <c r="O1614" s="113" t="n"/>
      <c r="P1614" s="243" t="n"/>
      <c r="Q1614" s="113" t="n"/>
      <c r="R1614" s="113" t="n"/>
    </row>
    <row r="1615" ht="15.75" customHeight="1">
      <c r="A1615" s="113" t="n"/>
      <c r="B1615" s="146" t="n">
        <v>29</v>
      </c>
      <c r="C1615" s="350" t="n">
        <v>45998</v>
      </c>
      <c r="D1615" s="351" t="n">
        <v>3</v>
      </c>
      <c r="E1615" s="264" t="inlineStr">
        <is>
          <t xml:space="preserve">SAN JOSE </t>
        </is>
      </c>
      <c r="F1615" s="264" t="inlineStr">
        <is>
          <t>CARGUEROS</t>
        </is>
      </c>
      <c r="G1615" s="264" t="n">
        <v>10</v>
      </c>
      <c r="H1615" s="264" t="inlineStr">
        <is>
          <t xml:space="preserve">DIEGO NIÑO </t>
        </is>
      </c>
      <c r="I1615" s="264" t="inlineStr">
        <is>
          <t>GZZ673</t>
        </is>
      </c>
      <c r="J1615" s="265" t="n">
        <v>0.1138888888888889</v>
      </c>
      <c r="K1615" s="266" t="n">
        <v>3480</v>
      </c>
      <c r="L1615" s="308" t="n"/>
      <c r="M1615" s="113" t="n"/>
      <c r="N1615" s="113" t="n"/>
      <c r="O1615" s="113" t="n"/>
      <c r="P1615" s="243" t="n"/>
      <c r="Q1615" s="113" t="n"/>
      <c r="R1615" s="113" t="n"/>
    </row>
    <row r="1616" ht="15.75" customHeight="1">
      <c r="A1616" s="113" t="n"/>
      <c r="B1616" s="146" t="n">
        <v>29</v>
      </c>
      <c r="C1616" s="350" t="n">
        <v>45998</v>
      </c>
      <c r="D1616" s="351" t="n">
        <v>4</v>
      </c>
      <c r="E1616" s="264" t="inlineStr">
        <is>
          <t xml:space="preserve">SAN JOSE </t>
        </is>
      </c>
      <c r="F1616" s="264" t="inlineStr">
        <is>
          <t>CARGUEROS</t>
        </is>
      </c>
      <c r="G1616" s="264" t="n">
        <v>10</v>
      </c>
      <c r="H1616" s="264" t="inlineStr">
        <is>
          <t>JOSE HERRERA</t>
        </is>
      </c>
      <c r="I1616" s="264" t="inlineStr">
        <is>
          <t>EQY777</t>
        </is>
      </c>
      <c r="J1616" s="265" t="n">
        <v>0.1805555555555556</v>
      </c>
      <c r="K1616" s="266" t="n">
        <v>3480</v>
      </c>
      <c r="L1616" s="308" t="n"/>
      <c r="M1616" s="113" t="n"/>
      <c r="N1616" s="113" t="n"/>
      <c r="O1616" s="113" t="n"/>
      <c r="P1616" s="243" t="n"/>
      <c r="Q1616" s="113" t="n"/>
      <c r="R1616" s="113" t="n"/>
    </row>
    <row r="1617" ht="15.75" customHeight="1">
      <c r="A1617" s="113" t="n"/>
      <c r="B1617" s="146" t="n">
        <v>29</v>
      </c>
      <c r="C1617" s="350" t="n">
        <v>45998</v>
      </c>
      <c r="D1617" s="351" t="n">
        <v>5</v>
      </c>
      <c r="E1617" s="264" t="inlineStr">
        <is>
          <t xml:space="preserve">SAN JOSE </t>
        </is>
      </c>
      <c r="F1617" s="264" t="inlineStr">
        <is>
          <t>CARGUEROS</t>
        </is>
      </c>
      <c r="G1617" s="264" t="n">
        <v>10</v>
      </c>
      <c r="H1617" s="264" t="inlineStr">
        <is>
          <t>EDUAR CVIDEZ</t>
        </is>
      </c>
      <c r="I1617" s="264" t="inlineStr">
        <is>
          <t>EQY779</t>
        </is>
      </c>
      <c r="J1617" s="265" t="n">
        <v>0.2430555555555556</v>
      </c>
      <c r="K1617" s="266" t="n">
        <v>3480</v>
      </c>
      <c r="L1617" s="308" t="n"/>
      <c r="M1617" s="113" t="n"/>
      <c r="N1617" s="113" t="n"/>
      <c r="O1617" s="113" t="n"/>
      <c r="P1617" s="243" t="n"/>
      <c r="Q1617" s="113" t="n"/>
      <c r="R1617" s="113" t="n"/>
    </row>
    <row r="1618" ht="15.75" customHeight="1">
      <c r="A1618" s="113" t="n"/>
      <c r="B1618" s="146" t="n">
        <v>29</v>
      </c>
      <c r="C1618" s="350" t="n">
        <v>45998</v>
      </c>
      <c r="D1618" s="351" t="n">
        <v>6</v>
      </c>
      <c r="E1618" s="264" t="inlineStr">
        <is>
          <t xml:space="preserve">SAN JOSE </t>
        </is>
      </c>
      <c r="F1618" s="264" t="inlineStr">
        <is>
          <t>CARGUEROS</t>
        </is>
      </c>
      <c r="G1618" s="264" t="n">
        <v>10</v>
      </c>
      <c r="H1618" s="264" t="inlineStr">
        <is>
          <t>JHON ARIAS</t>
        </is>
      </c>
      <c r="I1618" s="264" t="inlineStr">
        <is>
          <t>TLN248</t>
        </is>
      </c>
      <c r="J1618" s="265" t="n">
        <v>0.2819444444444444</v>
      </c>
      <c r="K1618" s="266" t="n">
        <v>3564</v>
      </c>
      <c r="L1618" s="308" t="n"/>
      <c r="M1618" s="113" t="n"/>
      <c r="N1618" s="113" t="n"/>
      <c r="O1618" s="113" t="n"/>
      <c r="P1618" s="243" t="n"/>
      <c r="Q1618" s="113" t="n"/>
      <c r="R1618" s="113" t="n"/>
    </row>
    <row r="1619" ht="15.75" customHeight="1">
      <c r="A1619" s="113" t="n"/>
      <c r="B1619" s="146" t="n">
        <v>29</v>
      </c>
      <c r="C1619" s="350" t="n">
        <v>45998</v>
      </c>
      <c r="D1619" s="351" t="n">
        <v>7</v>
      </c>
      <c r="E1619" s="264" t="inlineStr">
        <is>
          <t xml:space="preserve">SAN JOSE </t>
        </is>
      </c>
      <c r="F1619" s="264" t="inlineStr">
        <is>
          <t>CARGUEROS</t>
        </is>
      </c>
      <c r="G1619" s="264" t="n">
        <v>10</v>
      </c>
      <c r="H1619" s="264" t="inlineStr">
        <is>
          <t>ALEX GOMEZ</t>
        </is>
      </c>
      <c r="I1619" s="264" t="inlineStr">
        <is>
          <t>TLO7881</t>
        </is>
      </c>
      <c r="J1619" s="265" t="n">
        <v>0.3166666666666667</v>
      </c>
      <c r="K1619" s="266" t="n">
        <v>3564</v>
      </c>
      <c r="L1619" s="308" t="n"/>
      <c r="M1619" s="113" t="n"/>
      <c r="N1619" s="113" t="n"/>
      <c r="O1619" s="113" t="n"/>
      <c r="P1619" s="243" t="n"/>
      <c r="Q1619" s="113" t="n"/>
      <c r="R1619" s="113" t="n"/>
    </row>
    <row r="1620" ht="15.75" customHeight="1">
      <c r="A1620" s="113" t="n"/>
      <c r="B1620" s="146" t="n">
        <v>29</v>
      </c>
      <c r="C1620" s="350" t="n">
        <v>45998</v>
      </c>
      <c r="D1620" s="351" t="n">
        <v>8</v>
      </c>
      <c r="E1620" s="264" t="inlineStr">
        <is>
          <t xml:space="preserve">SAN JOSE </t>
        </is>
      </c>
      <c r="F1620" s="264" t="inlineStr">
        <is>
          <t>CARGUEROS</t>
        </is>
      </c>
      <c r="G1620" s="264" t="n">
        <v>10</v>
      </c>
      <c r="H1620" s="264" t="inlineStr">
        <is>
          <t>DUMAR ANGARAITA</t>
        </is>
      </c>
      <c r="I1620" s="264" t="inlineStr">
        <is>
          <t>LQO745</t>
        </is>
      </c>
      <c r="J1620" s="265" t="n">
        <v>0.3555555555555556</v>
      </c>
      <c r="K1620" s="266" t="n">
        <v>3564</v>
      </c>
      <c r="L1620" s="308" t="n"/>
      <c r="M1620" s="113" t="n"/>
      <c r="N1620" s="113" t="n"/>
      <c r="O1620" s="113" t="n"/>
      <c r="P1620" s="243" t="n"/>
      <c r="Q1620" s="113" t="n"/>
      <c r="R1620" s="113" t="n"/>
    </row>
    <row r="1621" ht="15.75" customHeight="1">
      <c r="A1621" s="113" t="n"/>
      <c r="B1621" s="146" t="n">
        <v>29</v>
      </c>
      <c r="C1621" s="350" t="n">
        <v>45998</v>
      </c>
      <c r="D1621" s="351" t="n">
        <v>9</v>
      </c>
      <c r="E1621" s="264" t="inlineStr">
        <is>
          <t xml:space="preserve">SAN JOSE </t>
        </is>
      </c>
      <c r="F1621" s="264" t="inlineStr">
        <is>
          <t>CARGUEROS</t>
        </is>
      </c>
      <c r="G1621" s="264" t="n">
        <v>10</v>
      </c>
      <c r="H1621" s="264" t="inlineStr">
        <is>
          <t>ALEXANDER CHAGUALA</t>
        </is>
      </c>
      <c r="I1621" s="264" t="inlineStr">
        <is>
          <t>KUS176</t>
        </is>
      </c>
      <c r="J1621" s="265" t="n">
        <v>0.4027777777777778</v>
      </c>
      <c r="K1621" s="266" t="n">
        <v>3564</v>
      </c>
      <c r="L1621" s="308" t="n"/>
      <c r="M1621" s="113" t="n"/>
      <c r="N1621" s="113" t="n"/>
      <c r="O1621" s="113" t="n"/>
      <c r="P1621" s="243" t="n"/>
      <c r="Q1621" s="113" t="n"/>
      <c r="R1621" s="113" t="n"/>
    </row>
    <row r="1622" ht="15.75" customHeight="1">
      <c r="A1622" s="113" t="n"/>
      <c r="B1622" s="146" t="n">
        <v>29</v>
      </c>
      <c r="C1622" s="350" t="n">
        <v>45998</v>
      </c>
      <c r="D1622" s="351" t="n">
        <v>10</v>
      </c>
      <c r="E1622" s="264" t="inlineStr">
        <is>
          <t xml:space="preserve">SAN JOSE </t>
        </is>
      </c>
      <c r="F1622" s="264" t="inlineStr">
        <is>
          <t>CARGUEROS</t>
        </is>
      </c>
      <c r="G1622" s="264" t="n">
        <v>10</v>
      </c>
      <c r="H1622" s="264" t="inlineStr">
        <is>
          <t xml:space="preserve">JAIR RIVEROS </t>
        </is>
      </c>
      <c r="I1622" s="264" t="inlineStr">
        <is>
          <t>TLN181</t>
        </is>
      </c>
      <c r="J1622" s="265" t="n">
        <v>0.4395833333333333</v>
      </c>
      <c r="K1622" s="266" t="n">
        <v>3960</v>
      </c>
      <c r="L1622" s="309" t="n"/>
      <c r="M1622" s="113" t="n"/>
      <c r="N1622" s="113" t="n"/>
      <c r="O1622" s="113" t="n"/>
      <c r="P1622" s="243" t="n"/>
      <c r="Q1622" s="113" t="n"/>
      <c r="R1622" s="113" t="n"/>
    </row>
    <row r="1623" ht="15.75" customHeight="1">
      <c r="A1623" s="113" t="n"/>
      <c r="B1623" s="146" t="n">
        <v>29</v>
      </c>
      <c r="C1623" s="352" t="n">
        <v>45998</v>
      </c>
      <c r="D1623" s="347" t="n">
        <v>11</v>
      </c>
      <c r="E1623" s="282" t="inlineStr">
        <is>
          <t xml:space="preserve">SAN JOSE </t>
        </is>
      </c>
      <c r="F1623" s="282" t="inlineStr">
        <is>
          <t>CARGUEROS</t>
        </is>
      </c>
      <c r="G1623" s="282" t="n">
        <v>10</v>
      </c>
      <c r="H1623" s="282" t="inlineStr">
        <is>
          <t>FABIO ALDANA</t>
        </is>
      </c>
      <c r="I1623" s="282" t="inlineStr">
        <is>
          <t>TLO882</t>
        </is>
      </c>
      <c r="J1623" s="283" t="n">
        <v>0.4791666666666667</v>
      </c>
      <c r="K1623" s="284" t="n">
        <v>3564</v>
      </c>
      <c r="L1623" s="353">
        <f>SUM(K1613:K1623)</f>
        <v/>
      </c>
      <c r="M1623" s="113" t="n"/>
      <c r="N1623" s="113" t="n"/>
      <c r="O1623" s="113" t="n"/>
      <c r="P1623" s="243" t="n"/>
      <c r="Q1623" s="113" t="n"/>
      <c r="R1623" s="113" t="n"/>
    </row>
    <row r="1624" ht="15.75" customHeight="1">
      <c r="A1624" s="113" t="n"/>
      <c r="B1624" s="146" t="n">
        <v>29</v>
      </c>
      <c r="C1624" s="348" t="n">
        <v>46000</v>
      </c>
      <c r="D1624" s="349" t="n">
        <v>1</v>
      </c>
      <c r="E1624" s="258" t="inlineStr">
        <is>
          <t xml:space="preserve">SAN JOSE </t>
        </is>
      </c>
      <c r="F1624" s="258" t="inlineStr">
        <is>
          <t>CARGUEROS</t>
        </is>
      </c>
      <c r="G1624" s="258" t="n">
        <v>10</v>
      </c>
      <c r="H1624" s="258" t="inlineStr">
        <is>
          <t>MANUEL QUINTIAN</t>
        </is>
      </c>
      <c r="I1624" s="258" t="inlineStr">
        <is>
          <t>KUS176</t>
        </is>
      </c>
      <c r="J1624" s="259" t="n">
        <v>0.2583333333333334</v>
      </c>
      <c r="K1624" s="260" t="n">
        <v>3090</v>
      </c>
      <c r="L1624" s="292" t="n"/>
      <c r="M1624" s="113" t="n"/>
      <c r="N1624" s="113" t="n"/>
      <c r="O1624" s="113" t="n"/>
      <c r="P1624" s="243" t="n"/>
      <c r="Q1624" s="113" t="n"/>
      <c r="R1624" s="113" t="n"/>
    </row>
    <row r="1625" ht="15.75" customHeight="1">
      <c r="A1625" s="113" t="n"/>
      <c r="B1625" s="146" t="n">
        <v>29</v>
      </c>
      <c r="C1625" s="350" t="n">
        <v>46000</v>
      </c>
      <c r="D1625" s="351" t="n">
        <v>2</v>
      </c>
      <c r="E1625" s="264" t="inlineStr">
        <is>
          <t xml:space="preserve">SAN JOSE </t>
        </is>
      </c>
      <c r="F1625" s="264" t="inlineStr">
        <is>
          <t>CARGUEROS</t>
        </is>
      </c>
      <c r="G1625" s="264" t="n">
        <v>10</v>
      </c>
      <c r="H1625" s="264" t="inlineStr">
        <is>
          <t xml:space="preserve">JOSE SOLER </t>
        </is>
      </c>
      <c r="I1625" s="264" t="inlineStr">
        <is>
          <t>EQY776</t>
        </is>
      </c>
      <c r="J1625" s="265" t="n">
        <v>0.2881944444444444</v>
      </c>
      <c r="K1625" s="266" t="n">
        <v>3090</v>
      </c>
      <c r="L1625" s="308" t="n"/>
      <c r="M1625" s="113" t="n"/>
      <c r="N1625" s="113" t="n"/>
      <c r="O1625" s="113" t="n"/>
      <c r="P1625" s="243" t="n"/>
      <c r="Q1625" s="113" t="n"/>
      <c r="R1625" s="113" t="n"/>
    </row>
    <row r="1626" ht="15.75" customHeight="1">
      <c r="A1626" s="113" t="n"/>
      <c r="B1626" s="146" t="n">
        <v>29</v>
      </c>
      <c r="C1626" s="350" t="n">
        <v>46000</v>
      </c>
      <c r="D1626" s="351" t="n">
        <v>3</v>
      </c>
      <c r="E1626" s="264" t="inlineStr">
        <is>
          <t xml:space="preserve">SAN JOSE </t>
        </is>
      </c>
      <c r="F1626" s="264" t="inlineStr">
        <is>
          <t>CARGUEROS</t>
        </is>
      </c>
      <c r="G1626" s="264" t="n">
        <v>10</v>
      </c>
      <c r="H1626" s="264" t="inlineStr">
        <is>
          <t>FABIO ALDANA</t>
        </is>
      </c>
      <c r="I1626" s="264" t="inlineStr">
        <is>
          <t>TLO882</t>
        </is>
      </c>
      <c r="J1626" s="265" t="n">
        <v>0.3159722222222222</v>
      </c>
      <c r="K1626" s="266" t="n">
        <v>3090</v>
      </c>
      <c r="L1626" s="308" t="n"/>
      <c r="M1626" s="113" t="n"/>
      <c r="N1626" s="113" t="n"/>
      <c r="O1626" s="113" t="n"/>
      <c r="P1626" s="243" t="n"/>
      <c r="Q1626" s="113" t="n"/>
      <c r="R1626" s="113" t="n"/>
    </row>
    <row r="1627" ht="15.75" customHeight="1">
      <c r="A1627" s="113" t="n"/>
      <c r="B1627" s="146" t="n">
        <v>29</v>
      </c>
      <c r="C1627" s="350" t="n">
        <v>46000</v>
      </c>
      <c r="D1627" s="351" t="n">
        <v>4</v>
      </c>
      <c r="E1627" s="264" t="inlineStr">
        <is>
          <t xml:space="preserve">SAN JOSE </t>
        </is>
      </c>
      <c r="F1627" s="264" t="inlineStr">
        <is>
          <t>CARGUEROS</t>
        </is>
      </c>
      <c r="G1627" s="264" t="n">
        <v>10</v>
      </c>
      <c r="H1627" s="264" t="inlineStr">
        <is>
          <t>FERNANDO YUELA</t>
        </is>
      </c>
      <c r="I1627" s="264" t="inlineStr">
        <is>
          <t>EQY778</t>
        </is>
      </c>
      <c r="J1627" s="265" t="n">
        <v>0.3520833333333334</v>
      </c>
      <c r="K1627" s="266" t="n">
        <v>3090</v>
      </c>
      <c r="L1627" s="309" t="n"/>
      <c r="M1627" s="113" t="n"/>
      <c r="N1627" s="113" t="n"/>
      <c r="O1627" s="113" t="n"/>
      <c r="P1627" s="243" t="n"/>
      <c r="Q1627" s="113" t="n"/>
      <c r="R1627" s="113" t="n"/>
    </row>
    <row r="1628" ht="15.75" customHeight="1">
      <c r="A1628" s="113" t="n"/>
      <c r="B1628" s="146" t="n">
        <v>29</v>
      </c>
      <c r="C1628" s="352" t="n">
        <v>46000</v>
      </c>
      <c r="D1628" s="347" t="n">
        <v>5</v>
      </c>
      <c r="E1628" s="282" t="inlineStr">
        <is>
          <t xml:space="preserve">SAN JOSE </t>
        </is>
      </c>
      <c r="F1628" s="282" t="inlineStr">
        <is>
          <t>CARGUEROS</t>
        </is>
      </c>
      <c r="G1628" s="282" t="n">
        <v>10</v>
      </c>
      <c r="H1628" s="282" t="inlineStr">
        <is>
          <t>WILMER PIÑEROS</t>
        </is>
      </c>
      <c r="I1628" s="282" t="inlineStr">
        <is>
          <t>KLN076</t>
        </is>
      </c>
      <c r="J1628" s="283" t="n">
        <v>0.3923611111111111</v>
      </c>
      <c r="K1628" s="284" t="n">
        <v>3240</v>
      </c>
      <c r="L1628" s="353">
        <f>SUM(K1624:K1628)</f>
        <v/>
      </c>
      <c r="M1628" s="113" t="n"/>
      <c r="N1628" s="113" t="n"/>
      <c r="O1628" s="113" t="n"/>
      <c r="P1628" s="243" t="n"/>
      <c r="Q1628" s="113" t="n"/>
      <c r="R1628" s="113" t="n"/>
    </row>
    <row r="1629" ht="15.75" customHeight="1">
      <c r="A1629" s="113" t="n"/>
      <c r="B1629" s="146" t="n">
        <v>29</v>
      </c>
      <c r="C1629" s="348" t="n">
        <v>46001</v>
      </c>
      <c r="D1629" s="349" t="n">
        <v>1</v>
      </c>
      <c r="E1629" s="258" t="inlineStr">
        <is>
          <t xml:space="preserve">SAN JOSE </t>
        </is>
      </c>
      <c r="F1629" s="258" t="inlineStr">
        <is>
          <t>CARGUEROS</t>
        </is>
      </c>
      <c r="G1629" s="258" t="n">
        <v>10</v>
      </c>
      <c r="H1629" s="258" t="inlineStr">
        <is>
          <t>YAIR RIVEROS</t>
        </is>
      </c>
      <c r="I1629" s="258" t="inlineStr">
        <is>
          <t>TLN1181</t>
        </is>
      </c>
      <c r="J1629" s="259" t="n">
        <v>0.2097222222222222</v>
      </c>
      <c r="K1629" s="260" t="n">
        <v>3600</v>
      </c>
      <c r="L1629" s="292" t="n"/>
      <c r="M1629" s="113" t="n"/>
      <c r="N1629" s="113" t="n"/>
      <c r="O1629" s="113" t="n"/>
      <c r="P1629" s="243" t="n"/>
      <c r="Q1629" s="113" t="n"/>
      <c r="R1629" s="113" t="n"/>
    </row>
    <row r="1630" ht="15.75" customHeight="1">
      <c r="A1630" s="113" t="n"/>
      <c r="B1630" s="146" t="n">
        <v>29</v>
      </c>
      <c r="C1630" s="350" t="n">
        <v>46001</v>
      </c>
      <c r="D1630" s="351" t="n">
        <v>2</v>
      </c>
      <c r="E1630" s="264" t="inlineStr">
        <is>
          <t xml:space="preserve">SAN JOSE </t>
        </is>
      </c>
      <c r="F1630" s="264" t="inlineStr">
        <is>
          <t>CARGUEROS</t>
        </is>
      </c>
      <c r="G1630" s="264" t="n">
        <v>10</v>
      </c>
      <c r="H1630" s="264" t="inlineStr">
        <is>
          <t>ROBINSON PULIDO</t>
        </is>
      </c>
      <c r="I1630" s="264" t="inlineStr">
        <is>
          <t>GZZ673</t>
        </is>
      </c>
      <c r="J1630" s="265" t="n">
        <v>0.2395833333333333</v>
      </c>
      <c r="K1630" s="266" t="n">
        <v>3240</v>
      </c>
      <c r="L1630" s="308" t="n"/>
      <c r="M1630" s="113" t="n"/>
      <c r="N1630" s="113" t="n"/>
      <c r="O1630" s="113" t="n"/>
      <c r="P1630" s="243" t="n"/>
      <c r="Q1630" s="113" t="n"/>
      <c r="R1630" s="113" t="n"/>
    </row>
    <row r="1631" ht="15.75" customHeight="1">
      <c r="A1631" s="113" t="n"/>
      <c r="B1631" s="146" t="n">
        <v>29</v>
      </c>
      <c r="C1631" s="350" t="n">
        <v>46001</v>
      </c>
      <c r="D1631" s="351" t="n">
        <v>3</v>
      </c>
      <c r="E1631" s="264" t="inlineStr">
        <is>
          <t xml:space="preserve">SAN JOSE </t>
        </is>
      </c>
      <c r="F1631" s="264" t="inlineStr">
        <is>
          <t>CARGUEROS</t>
        </is>
      </c>
      <c r="G1631" s="264" t="n">
        <v>10</v>
      </c>
      <c r="H1631" s="264" t="inlineStr">
        <is>
          <t>WILMER PIÑEROS</t>
        </is>
      </c>
      <c r="I1631" s="264" t="inlineStr">
        <is>
          <t>KLN076</t>
        </is>
      </c>
      <c r="J1631" s="265" t="n">
        <v>0.7708333333333334</v>
      </c>
      <c r="K1631" s="266" t="n">
        <v>3564</v>
      </c>
      <c r="L1631" s="308" t="n"/>
      <c r="M1631" s="113" t="n"/>
      <c r="N1631" s="113" t="n"/>
      <c r="O1631" s="113" t="n"/>
      <c r="P1631" s="243" t="n"/>
      <c r="Q1631" s="113" t="n"/>
      <c r="R1631" s="113" t="n"/>
    </row>
    <row r="1632" ht="15.75" customHeight="1">
      <c r="A1632" s="113" t="n"/>
      <c r="B1632" s="146" t="n">
        <v>29</v>
      </c>
      <c r="C1632" s="350" t="n">
        <v>46001</v>
      </c>
      <c r="D1632" s="351" t="n">
        <v>4</v>
      </c>
      <c r="E1632" s="264" t="inlineStr">
        <is>
          <t xml:space="preserve">SAN JOSE </t>
        </is>
      </c>
      <c r="F1632" s="264" t="inlineStr">
        <is>
          <t>CARGUEROS</t>
        </is>
      </c>
      <c r="G1632" s="264" t="n">
        <v>10</v>
      </c>
      <c r="H1632" s="264" t="inlineStr">
        <is>
          <t>JOSE HERRERA</t>
        </is>
      </c>
      <c r="I1632" s="264" t="inlineStr">
        <is>
          <t>EQY777</t>
        </is>
      </c>
      <c r="J1632" s="265" t="n">
        <v>0.3090277777777778</v>
      </c>
      <c r="K1632" s="266" t="n">
        <v>3888</v>
      </c>
      <c r="L1632" s="308" t="n"/>
      <c r="M1632" s="113" t="n"/>
      <c r="N1632" s="113" t="n"/>
      <c r="O1632" s="113" t="n"/>
      <c r="P1632" s="243" t="n"/>
      <c r="Q1632" s="113" t="n"/>
      <c r="R1632" s="113" t="n"/>
    </row>
    <row r="1633" ht="15.75" customHeight="1">
      <c r="A1633" s="113" t="n"/>
      <c r="B1633" s="146" t="n">
        <v>29</v>
      </c>
      <c r="C1633" s="352" t="n">
        <v>46001</v>
      </c>
      <c r="D1633" s="347" t="n">
        <v>5</v>
      </c>
      <c r="E1633" s="282" t="inlineStr">
        <is>
          <t xml:space="preserve">SAN JOSE </t>
        </is>
      </c>
      <c r="F1633" s="282" t="inlineStr">
        <is>
          <t>CARGUEROS</t>
        </is>
      </c>
      <c r="G1633" s="282" t="n">
        <v>10</v>
      </c>
      <c r="H1633" s="282" t="inlineStr">
        <is>
          <t>DARWIN ROJAS</t>
        </is>
      </c>
      <c r="I1633" s="282" t="inlineStr">
        <is>
          <t>EQY780</t>
        </is>
      </c>
      <c r="J1633" s="283" t="n">
        <v>0.3854166666666667</v>
      </c>
      <c r="K1633" s="318" t="n">
        <v>2684</v>
      </c>
      <c r="L1633" s="354">
        <f>SUM(K1629:K1633)</f>
        <v/>
      </c>
      <c r="M1633" s="113" t="n"/>
      <c r="N1633" s="113" t="n"/>
      <c r="O1633" s="113" t="n"/>
      <c r="P1633" s="243" t="n"/>
      <c r="Q1633" s="113" t="n"/>
      <c r="R1633" s="113" t="n"/>
    </row>
    <row r="1634" ht="15.75" customHeight="1">
      <c r="A1634" s="113" t="n"/>
      <c r="B1634" s="146" t="n">
        <v>29</v>
      </c>
      <c r="C1634" s="348" t="n">
        <v>46002</v>
      </c>
      <c r="D1634" s="349" t="n">
        <v>1</v>
      </c>
      <c r="E1634" s="258" t="inlineStr">
        <is>
          <t>HUERTAS</t>
        </is>
      </c>
      <c r="F1634" s="258" t="inlineStr">
        <is>
          <t>CARGUEROS</t>
        </is>
      </c>
      <c r="G1634" s="258" t="n">
        <v>10</v>
      </c>
      <c r="H1634" s="258" t="inlineStr">
        <is>
          <t>EDWIN ROJAS</t>
        </is>
      </c>
      <c r="I1634" s="258" t="inlineStr">
        <is>
          <t>EQY780</t>
        </is>
      </c>
      <c r="J1634" s="259" t="n">
        <v>0.0798611111111111</v>
      </c>
      <c r="K1634" s="260" t="n">
        <v>2966</v>
      </c>
      <c r="L1634" s="292" t="n"/>
      <c r="M1634" s="113" t="n"/>
      <c r="N1634" s="113" t="n"/>
      <c r="O1634" s="113" t="n"/>
      <c r="P1634" s="243" t="n"/>
      <c r="Q1634" s="113" t="n"/>
      <c r="R1634" s="113" t="n"/>
    </row>
    <row r="1635" ht="15.75" customHeight="1">
      <c r="A1635" s="113" t="n"/>
      <c r="B1635" s="146" t="n">
        <v>29</v>
      </c>
      <c r="C1635" s="350" t="n">
        <v>46002</v>
      </c>
      <c r="D1635" s="351" t="n">
        <v>2</v>
      </c>
      <c r="E1635" s="264" t="inlineStr">
        <is>
          <t>HUERTAS</t>
        </is>
      </c>
      <c r="F1635" s="264" t="inlineStr">
        <is>
          <t>CARGUEROS</t>
        </is>
      </c>
      <c r="G1635" s="264" t="n">
        <v>10</v>
      </c>
      <c r="H1635" s="264" t="inlineStr">
        <is>
          <t>JOSE HERRERA</t>
        </is>
      </c>
      <c r="I1635" s="264" t="inlineStr">
        <is>
          <t>EQY777</t>
        </is>
      </c>
      <c r="J1635" s="265" t="n">
        <v>0.125</v>
      </c>
      <c r="K1635" s="266" t="n">
        <v>2976</v>
      </c>
      <c r="L1635" s="308" t="n"/>
      <c r="M1635" s="113" t="n"/>
      <c r="N1635" s="113" t="n"/>
      <c r="O1635" s="113" t="n"/>
      <c r="P1635" s="243" t="n"/>
      <c r="Q1635" s="113" t="n"/>
      <c r="R1635" s="113" t="n"/>
    </row>
    <row r="1636" ht="15.75" customHeight="1">
      <c r="A1636" s="113" t="n"/>
      <c r="B1636" s="146" t="n">
        <v>29</v>
      </c>
      <c r="C1636" s="350" t="n">
        <v>46002</v>
      </c>
      <c r="D1636" s="351" t="n">
        <v>3</v>
      </c>
      <c r="E1636" s="264" t="inlineStr">
        <is>
          <t>HUERTAS</t>
        </is>
      </c>
      <c r="F1636" s="264" t="inlineStr">
        <is>
          <t>CARGUEROS</t>
        </is>
      </c>
      <c r="G1636" s="264" t="n">
        <v>10</v>
      </c>
      <c r="H1636" s="264" t="inlineStr">
        <is>
          <t xml:space="preserve">HENRY ROMERO </t>
        </is>
      </c>
      <c r="I1636" s="264" t="inlineStr">
        <is>
          <t>EQY781</t>
        </is>
      </c>
      <c r="J1636" s="265" t="n">
        <v>0.1666666666666667</v>
      </c>
      <c r="K1636" s="266" t="n">
        <v>3240</v>
      </c>
      <c r="L1636" s="308" t="n"/>
      <c r="M1636" s="113" t="n"/>
      <c r="N1636" s="113" t="n"/>
      <c r="O1636" s="113" t="n"/>
      <c r="P1636" s="243" t="n"/>
      <c r="Q1636" s="113" t="n"/>
      <c r="R1636" s="113" t="n"/>
    </row>
    <row r="1637" ht="15.75" customHeight="1">
      <c r="A1637" s="113" t="n"/>
      <c r="B1637" s="146" t="n">
        <v>29</v>
      </c>
      <c r="C1637" s="350" t="n">
        <v>46002</v>
      </c>
      <c r="D1637" s="351" t="n">
        <v>4</v>
      </c>
      <c r="E1637" s="264" t="inlineStr">
        <is>
          <t>HUERTAS</t>
        </is>
      </c>
      <c r="F1637" s="264" t="inlineStr">
        <is>
          <t>CARGUEROS</t>
        </is>
      </c>
      <c r="G1637" s="264" t="n">
        <v>10</v>
      </c>
      <c r="H1637" s="264" t="inlineStr">
        <is>
          <t>DUMAR ANGARITA</t>
        </is>
      </c>
      <c r="I1637" s="264" t="inlineStr">
        <is>
          <t>LQO745</t>
        </is>
      </c>
      <c r="J1637" s="265" t="n">
        <v>0.2083333333333333</v>
      </c>
      <c r="K1637" s="266" t="n">
        <v>3240</v>
      </c>
      <c r="L1637" s="308" t="n"/>
      <c r="M1637" s="113" t="n"/>
      <c r="N1637" s="113" t="n"/>
      <c r="O1637" s="113" t="n"/>
      <c r="P1637" s="243" t="n"/>
      <c r="Q1637" s="113" t="n"/>
      <c r="R1637" s="113" t="n"/>
    </row>
    <row r="1638" ht="15.75" customHeight="1">
      <c r="A1638" s="113" t="n"/>
      <c r="B1638" s="146" t="n">
        <v>29</v>
      </c>
      <c r="C1638" s="350" t="n">
        <v>46002</v>
      </c>
      <c r="D1638" s="351" t="n">
        <v>5</v>
      </c>
      <c r="E1638" s="264" t="inlineStr">
        <is>
          <t>HUERTAS</t>
        </is>
      </c>
      <c r="F1638" s="264" t="inlineStr">
        <is>
          <t>CARGUEROS</t>
        </is>
      </c>
      <c r="G1638" s="264" t="n">
        <v>10</v>
      </c>
      <c r="H1638" s="264" t="inlineStr">
        <is>
          <t>FERNANDO OYUELA</t>
        </is>
      </c>
      <c r="I1638" s="264" t="inlineStr">
        <is>
          <t>EQY778</t>
        </is>
      </c>
      <c r="J1638" s="265" t="n">
        <v>0.2513888888888889</v>
      </c>
      <c r="K1638" s="266" t="n">
        <v>3240</v>
      </c>
      <c r="L1638" s="308" t="n"/>
      <c r="M1638" s="113" t="n"/>
      <c r="N1638" s="113" t="n"/>
      <c r="O1638" s="113" t="n"/>
      <c r="P1638" s="243" t="n"/>
      <c r="Q1638" s="113" t="n"/>
      <c r="R1638" s="113" t="n"/>
    </row>
    <row r="1639" ht="15.75" customHeight="1">
      <c r="A1639" s="113" t="n"/>
      <c r="B1639" s="146" t="n">
        <v>29</v>
      </c>
      <c r="C1639" s="350" t="n">
        <v>46002</v>
      </c>
      <c r="D1639" s="351" t="n">
        <v>6</v>
      </c>
      <c r="E1639" s="264" t="inlineStr">
        <is>
          <t>GARCERAS</t>
        </is>
      </c>
      <c r="F1639" s="264" t="inlineStr">
        <is>
          <t>ABONEROS</t>
        </is>
      </c>
      <c r="G1639" s="264" t="n">
        <v>9</v>
      </c>
      <c r="H1639" s="264" t="inlineStr">
        <is>
          <t>FABIO ALDANA</t>
        </is>
      </c>
      <c r="I1639" s="264" t="inlineStr">
        <is>
          <t>TLO882</t>
        </is>
      </c>
      <c r="J1639" s="265" t="n">
        <v>0.2909722222222222</v>
      </c>
      <c r="K1639" s="266" t="n">
        <v>2990</v>
      </c>
      <c r="L1639" s="308" t="n"/>
      <c r="M1639" s="113" t="n"/>
      <c r="N1639" s="113" t="n"/>
      <c r="O1639" s="113" t="n"/>
      <c r="P1639" s="243" t="n"/>
      <c r="Q1639" s="113" t="n"/>
      <c r="R1639" s="113" t="n"/>
    </row>
    <row r="1640" ht="15.75" customHeight="1">
      <c r="A1640" s="113" t="n"/>
      <c r="B1640" s="146" t="n">
        <v>29</v>
      </c>
      <c r="C1640" s="350" t="n">
        <v>46002</v>
      </c>
      <c r="D1640" s="351" t="n">
        <v>7</v>
      </c>
      <c r="E1640" s="264" t="inlineStr">
        <is>
          <t>GARCERAS</t>
        </is>
      </c>
      <c r="F1640" s="264" t="inlineStr">
        <is>
          <t>ABONEROS</t>
        </is>
      </c>
      <c r="G1640" s="264" t="n">
        <v>9</v>
      </c>
      <c r="H1640" s="264" t="inlineStr">
        <is>
          <t xml:space="preserve">MANUEL QUITIAN </t>
        </is>
      </c>
      <c r="I1640" s="264" t="inlineStr">
        <is>
          <t>KUS176</t>
        </is>
      </c>
      <c r="J1640" s="265" t="n">
        <v>0.3277777777777778</v>
      </c>
      <c r="K1640" s="266" t="n">
        <v>2990</v>
      </c>
      <c r="L1640" s="308" t="n"/>
      <c r="M1640" s="113" t="n"/>
      <c r="N1640" s="113" t="n"/>
      <c r="O1640" s="113" t="n"/>
      <c r="P1640" s="243" t="n"/>
      <c r="Q1640" s="113" t="n"/>
      <c r="R1640" s="113" t="n"/>
    </row>
    <row r="1641" ht="15.75" customHeight="1">
      <c r="A1641" s="113" t="n"/>
      <c r="B1641" s="146" t="n">
        <v>29</v>
      </c>
      <c r="C1641" s="350" t="n">
        <v>46002</v>
      </c>
      <c r="D1641" s="351" t="n">
        <v>8</v>
      </c>
      <c r="E1641" s="264" t="inlineStr">
        <is>
          <t>GARCERAS</t>
        </is>
      </c>
      <c r="F1641" s="264" t="inlineStr">
        <is>
          <t>ABONEROS</t>
        </is>
      </c>
      <c r="G1641" s="264" t="n">
        <v>9</v>
      </c>
      <c r="H1641" s="264" t="inlineStr">
        <is>
          <t>ALEX GOMEZ</t>
        </is>
      </c>
      <c r="I1641" s="264" t="inlineStr">
        <is>
          <t>TLO881</t>
        </is>
      </c>
      <c r="J1641" s="265" t="n">
        <v>0.3638888888888889</v>
      </c>
      <c r="K1641" s="266" t="n">
        <v>2990</v>
      </c>
      <c r="L1641" s="308" t="n"/>
      <c r="M1641" s="113" t="n"/>
      <c r="N1641" s="113" t="n"/>
      <c r="O1641" s="113" t="n"/>
      <c r="P1641" s="243" t="n"/>
      <c r="Q1641" s="113" t="n"/>
      <c r="R1641" s="113" t="n"/>
    </row>
    <row r="1642" ht="15.75" customHeight="1">
      <c r="A1642" s="113" t="n"/>
      <c r="B1642" s="146" t="n">
        <v>29</v>
      </c>
      <c r="C1642" s="350" t="n">
        <v>46002</v>
      </c>
      <c r="D1642" s="351" t="n">
        <v>9</v>
      </c>
      <c r="E1642" s="264" t="inlineStr">
        <is>
          <t>GARCERAS</t>
        </is>
      </c>
      <c r="F1642" s="264" t="inlineStr">
        <is>
          <t>ABONEROS</t>
        </is>
      </c>
      <c r="G1642" s="264" t="n">
        <v>9</v>
      </c>
      <c r="H1642" s="264" t="inlineStr">
        <is>
          <t>ROBINSON PULIDO</t>
        </is>
      </c>
      <c r="I1642" s="264" t="inlineStr">
        <is>
          <t>EQY779</t>
        </is>
      </c>
      <c r="J1642" s="265" t="n">
        <v>0.40625</v>
      </c>
      <c r="K1642" s="266" t="n">
        <v>2990</v>
      </c>
      <c r="L1642" s="308" t="n"/>
      <c r="M1642" s="113" t="n"/>
      <c r="N1642" s="113" t="n"/>
      <c r="O1642" s="113" t="n"/>
      <c r="P1642" s="243" t="n"/>
      <c r="Q1642" s="113" t="n"/>
      <c r="R1642" s="113" t="n"/>
    </row>
    <row r="1643" ht="15.75" customHeight="1">
      <c r="A1643" s="113" t="n"/>
      <c r="B1643" s="146" t="n">
        <v>29</v>
      </c>
      <c r="C1643" s="350" t="n">
        <v>46002</v>
      </c>
      <c r="D1643" s="351" t="n">
        <v>10</v>
      </c>
      <c r="E1643" s="264" t="inlineStr">
        <is>
          <t>GARCERAS</t>
        </is>
      </c>
      <c r="F1643" s="264" t="inlineStr">
        <is>
          <t>ABONEROS</t>
        </is>
      </c>
      <c r="G1643" s="264" t="n">
        <v>9</v>
      </c>
      <c r="H1643" s="264" t="inlineStr">
        <is>
          <t xml:space="preserve">JOSE SOLER </t>
        </is>
      </c>
      <c r="I1643" s="264" t="inlineStr">
        <is>
          <t>EQY776</t>
        </is>
      </c>
      <c r="J1643" s="265" t="n">
        <v>0.4486111111111111</v>
      </c>
      <c r="K1643" s="266" t="n">
        <v>2990</v>
      </c>
      <c r="L1643" s="309" t="n"/>
      <c r="M1643" s="113" t="n"/>
      <c r="N1643" s="113" t="n"/>
      <c r="O1643" s="113" t="n"/>
      <c r="P1643" s="243" t="n"/>
      <c r="Q1643" s="113" t="n"/>
      <c r="R1643" s="113" t="n"/>
    </row>
    <row r="1644" ht="15.75" customHeight="1">
      <c r="A1644" s="113" t="n"/>
      <c r="B1644" s="146" t="n">
        <v>29</v>
      </c>
      <c r="C1644" s="352" t="n">
        <v>46002</v>
      </c>
      <c r="D1644" s="347" t="n">
        <v>11</v>
      </c>
      <c r="E1644" s="282" t="inlineStr">
        <is>
          <t>GARCERAS</t>
        </is>
      </c>
      <c r="F1644" s="282" t="inlineStr">
        <is>
          <t>ABONEROS</t>
        </is>
      </c>
      <c r="G1644" s="282" t="n">
        <v>9</v>
      </c>
      <c r="H1644" s="282" t="inlineStr">
        <is>
          <t>JHON ARIAS</t>
        </is>
      </c>
      <c r="I1644" s="282" t="inlineStr">
        <is>
          <t>TLN2488</t>
        </is>
      </c>
      <c r="J1644" s="283" t="n">
        <v>0.4916666666666666</v>
      </c>
      <c r="K1644" s="284" t="n">
        <v>3142</v>
      </c>
      <c r="L1644" s="353">
        <f>SUM(K1634:K1644)</f>
        <v/>
      </c>
      <c r="M1644" s="113" t="n"/>
      <c r="N1644" s="113" t="n"/>
      <c r="O1644" s="113" t="n"/>
      <c r="P1644" s="243" t="n"/>
      <c r="Q1644" s="113" t="n"/>
      <c r="R1644" s="113" t="n"/>
    </row>
    <row r="1645" ht="15.75" customHeight="1">
      <c r="A1645" s="113" t="n"/>
      <c r="B1645" s="146" t="n">
        <v>29</v>
      </c>
      <c r="C1645" s="348" t="n">
        <v>46003</v>
      </c>
      <c r="D1645" s="349" t="n">
        <v>1</v>
      </c>
      <c r="E1645" s="258" t="inlineStr">
        <is>
          <t>HUERTAS</t>
        </is>
      </c>
      <c r="F1645" s="258" t="inlineStr">
        <is>
          <t>ABONEROS</t>
        </is>
      </c>
      <c r="G1645" s="258" t="n">
        <v>9</v>
      </c>
      <c r="H1645" s="258" t="inlineStr">
        <is>
          <t>JHON ARIAS</t>
        </is>
      </c>
      <c r="I1645" s="258" t="inlineStr">
        <is>
          <t>TLN248</t>
        </is>
      </c>
      <c r="J1645" s="259" t="n">
        <v>0.04166666666666666</v>
      </c>
      <c r="K1645" s="260" t="n">
        <v>3140</v>
      </c>
      <c r="L1645" s="292" t="n"/>
      <c r="M1645" s="113" t="n"/>
      <c r="N1645" s="113" t="n"/>
      <c r="O1645" s="113" t="n"/>
      <c r="P1645" s="243" t="n"/>
      <c r="Q1645" s="113" t="n"/>
      <c r="R1645" s="113" t="n"/>
    </row>
    <row r="1646" ht="15.75" customHeight="1">
      <c r="A1646" s="113" t="n"/>
      <c r="B1646" s="146" t="n">
        <v>29</v>
      </c>
      <c r="C1646" s="350" t="n">
        <v>46003</v>
      </c>
      <c r="D1646" s="351" t="n">
        <v>2</v>
      </c>
      <c r="E1646" s="264" t="inlineStr">
        <is>
          <t>HUERTAS</t>
        </is>
      </c>
      <c r="F1646" s="264" t="inlineStr">
        <is>
          <t>ABONEROS</t>
        </is>
      </c>
      <c r="G1646" s="264" t="n">
        <v>9</v>
      </c>
      <c r="H1646" s="264" t="inlineStr">
        <is>
          <t xml:space="preserve">SEBASTIAN HIDALGO </t>
        </is>
      </c>
      <c r="I1646" s="264" t="inlineStr">
        <is>
          <t>TLO884</t>
        </is>
      </c>
      <c r="J1646" s="265" t="n">
        <v>0.09097222222222222</v>
      </c>
      <c r="K1646" s="266" t="n">
        <v>3140</v>
      </c>
      <c r="L1646" s="308" t="n"/>
      <c r="M1646" s="113" t="n"/>
      <c r="N1646" s="113" t="n"/>
      <c r="O1646" s="113" t="n"/>
      <c r="P1646" s="243" t="n"/>
      <c r="Q1646" s="113" t="n"/>
      <c r="R1646" s="113" t="n"/>
    </row>
    <row r="1647" ht="15.75" customHeight="1">
      <c r="A1647" s="113" t="n"/>
      <c r="B1647" s="146" t="n">
        <v>29</v>
      </c>
      <c r="C1647" s="350" t="n">
        <v>46003</v>
      </c>
      <c r="D1647" s="351" t="n">
        <v>3</v>
      </c>
      <c r="E1647" s="264" t="inlineStr">
        <is>
          <t>HUERTAS</t>
        </is>
      </c>
      <c r="F1647" s="264" t="inlineStr">
        <is>
          <t>ABONEROS</t>
        </is>
      </c>
      <c r="G1647" s="264" t="n">
        <v>9</v>
      </c>
      <c r="H1647" s="264" t="inlineStr">
        <is>
          <t>ROBINSON PULIDO</t>
        </is>
      </c>
      <c r="I1647" s="264" t="inlineStr">
        <is>
          <t>EQY779</t>
        </is>
      </c>
      <c r="J1647" s="265" t="n">
        <v>0.1527777777777778</v>
      </c>
      <c r="K1647" s="266" t="n">
        <v>2650</v>
      </c>
      <c r="L1647" s="308" t="n"/>
      <c r="M1647" s="113" t="n"/>
      <c r="N1647" s="113" t="n"/>
      <c r="O1647" s="113" t="n"/>
      <c r="P1647" s="243" t="n"/>
      <c r="Q1647" s="113" t="n"/>
      <c r="R1647" s="113" t="n"/>
    </row>
    <row r="1648" ht="15.75" customHeight="1">
      <c r="A1648" s="113" t="n"/>
      <c r="B1648" s="146" t="n">
        <v>29</v>
      </c>
      <c r="C1648" s="350" t="n">
        <v>46003</v>
      </c>
      <c r="D1648" s="351" t="n">
        <v>4</v>
      </c>
      <c r="E1648" s="264" t="inlineStr">
        <is>
          <t>HUERTAS</t>
        </is>
      </c>
      <c r="F1648" s="264" t="inlineStr">
        <is>
          <t>ABONEROS</t>
        </is>
      </c>
      <c r="G1648" s="264" t="n">
        <v>9</v>
      </c>
      <c r="H1648" s="264" t="inlineStr">
        <is>
          <t>ALEX GOMEZ</t>
        </is>
      </c>
      <c r="I1648" s="264" t="inlineStr">
        <is>
          <t>TLO881</t>
        </is>
      </c>
      <c r="J1648" s="265" t="n">
        <v>0.2020833333333333</v>
      </c>
      <c r="K1648" s="266" t="n">
        <v>3240</v>
      </c>
      <c r="L1648" s="308" t="n"/>
      <c r="M1648" s="113" t="n"/>
      <c r="N1648" s="113" t="n"/>
      <c r="O1648" s="113" t="n"/>
      <c r="P1648" s="243" t="n"/>
      <c r="Q1648" s="113" t="n"/>
      <c r="R1648" s="113" t="n"/>
    </row>
    <row r="1649" ht="15.75" customHeight="1">
      <c r="A1649" s="113" t="n"/>
      <c r="B1649" s="146" t="n">
        <v>29</v>
      </c>
      <c r="C1649" s="350" t="n">
        <v>46003</v>
      </c>
      <c r="D1649" s="351" t="n">
        <v>5</v>
      </c>
      <c r="E1649" s="264" t="inlineStr">
        <is>
          <t>HUERTAS</t>
        </is>
      </c>
      <c r="F1649" s="264" t="inlineStr">
        <is>
          <t>ABONEROS</t>
        </is>
      </c>
      <c r="G1649" s="264" t="n">
        <v>9</v>
      </c>
      <c r="H1649" s="264" t="inlineStr">
        <is>
          <t>FABIO ALDANA</t>
        </is>
      </c>
      <c r="I1649" s="264" t="inlineStr">
        <is>
          <t>TLO882</t>
        </is>
      </c>
      <c r="J1649" s="265" t="n">
        <v>0.2451388888888889</v>
      </c>
      <c r="K1649" s="266" t="n">
        <v>3240</v>
      </c>
      <c r="L1649" s="308" t="n"/>
      <c r="M1649" s="113" t="n"/>
      <c r="N1649" s="113" t="n"/>
      <c r="O1649" s="113" t="n"/>
      <c r="P1649" s="243" t="n"/>
      <c r="Q1649" s="113" t="n"/>
      <c r="R1649" s="113" t="n"/>
    </row>
    <row r="1650" ht="15.75" customHeight="1">
      <c r="A1650" s="113" t="n"/>
      <c r="B1650" s="146" t="n">
        <v>29</v>
      </c>
      <c r="C1650" s="350" t="n">
        <v>46003</v>
      </c>
      <c r="D1650" s="351" t="n">
        <v>6</v>
      </c>
      <c r="E1650" s="264" t="inlineStr">
        <is>
          <t>HUERTAS</t>
        </is>
      </c>
      <c r="F1650" s="264" t="inlineStr">
        <is>
          <t>ABONEROS</t>
        </is>
      </c>
      <c r="G1650" s="264" t="n">
        <v>9</v>
      </c>
      <c r="H1650" s="264" t="inlineStr">
        <is>
          <t>WILMER PIÑEROS</t>
        </is>
      </c>
      <c r="I1650" s="264" t="inlineStr">
        <is>
          <t>KNL076</t>
        </is>
      </c>
      <c r="J1650" s="265" t="n">
        <v>0.2868055555555555</v>
      </c>
      <c r="K1650" s="266" t="n">
        <v>2840</v>
      </c>
      <c r="L1650" s="308" t="n"/>
      <c r="M1650" s="113" t="n"/>
      <c r="N1650" s="113" t="n"/>
      <c r="O1650" s="113" t="n"/>
      <c r="P1650" s="243" t="n"/>
      <c r="Q1650" s="113" t="n"/>
      <c r="R1650" s="113" t="n"/>
    </row>
    <row r="1651" ht="15.75" customHeight="1">
      <c r="A1651" s="113" t="n"/>
      <c r="B1651" s="146" t="n">
        <v>29</v>
      </c>
      <c r="C1651" s="350" t="n">
        <v>46003</v>
      </c>
      <c r="D1651" s="351" t="n">
        <v>7</v>
      </c>
      <c r="E1651" s="264" t="inlineStr">
        <is>
          <t>GARCERAS</t>
        </is>
      </c>
      <c r="F1651" s="264" t="inlineStr">
        <is>
          <t>CARGUEROS</t>
        </is>
      </c>
      <c r="G1651" s="264" t="n">
        <v>11</v>
      </c>
      <c r="H1651" s="264" t="inlineStr">
        <is>
          <t>MANUEL QUINTIAN</t>
        </is>
      </c>
      <c r="I1651" s="264" t="inlineStr">
        <is>
          <t>KUS176</t>
        </is>
      </c>
      <c r="J1651" s="265" t="n">
        <v>0.1597222222222222</v>
      </c>
      <c r="K1651" s="266" t="n">
        <v>3270</v>
      </c>
      <c r="L1651" s="308" t="n"/>
      <c r="M1651" s="113" t="n"/>
      <c r="N1651" s="113" t="n"/>
      <c r="O1651" s="113" t="n"/>
      <c r="P1651" s="243" t="n"/>
      <c r="Q1651" s="113" t="n"/>
      <c r="R1651" s="113" t="n"/>
    </row>
    <row r="1652" ht="15.75" customHeight="1">
      <c r="A1652" s="113" t="n"/>
      <c r="B1652" s="146" t="n">
        <v>29</v>
      </c>
      <c r="C1652" s="350" t="n">
        <v>46003</v>
      </c>
      <c r="D1652" s="351" t="n">
        <v>8</v>
      </c>
      <c r="E1652" s="264" t="inlineStr">
        <is>
          <t>GARCERAS</t>
        </is>
      </c>
      <c r="F1652" s="264" t="inlineStr">
        <is>
          <t>CARGUEROS</t>
        </is>
      </c>
      <c r="G1652" s="264" t="n">
        <v>11</v>
      </c>
      <c r="H1652" s="264" t="inlineStr">
        <is>
          <t>FERNANDO OYUELA</t>
        </is>
      </c>
      <c r="I1652" s="264" t="inlineStr">
        <is>
          <t>EQY778</t>
        </is>
      </c>
      <c r="J1652" s="265" t="n">
        <v>0.1944444444444444</v>
      </c>
      <c r="K1652" s="266" t="n">
        <v>3270</v>
      </c>
      <c r="L1652" s="308" t="n"/>
      <c r="M1652" s="113" t="n"/>
      <c r="N1652" s="113" t="n"/>
      <c r="O1652" s="113" t="n"/>
      <c r="P1652" s="243" t="n"/>
      <c r="Q1652" s="113" t="n"/>
      <c r="R1652" s="113" t="n"/>
    </row>
    <row r="1653" ht="15.75" customHeight="1">
      <c r="A1653" s="113" t="n"/>
      <c r="B1653" s="146" t="n">
        <v>29</v>
      </c>
      <c r="C1653" s="350" t="n">
        <v>46003</v>
      </c>
      <c r="D1653" s="351" t="n">
        <v>9</v>
      </c>
      <c r="E1653" s="264" t="inlineStr">
        <is>
          <t>GARCERAS</t>
        </is>
      </c>
      <c r="F1653" s="264" t="inlineStr">
        <is>
          <t>CARGUEROS</t>
        </is>
      </c>
      <c r="G1653" s="264" t="n">
        <v>11</v>
      </c>
      <c r="H1653" s="264" t="inlineStr">
        <is>
          <t>EDWIN ROJAS</t>
        </is>
      </c>
      <c r="I1653" s="264" t="inlineStr">
        <is>
          <t>EQY780</t>
        </is>
      </c>
      <c r="J1653" s="265" t="n">
        <v>0.2291666666666667</v>
      </c>
      <c r="K1653" s="266" t="n">
        <v>3270</v>
      </c>
      <c r="L1653" s="308" t="n"/>
      <c r="M1653" s="113" t="n"/>
      <c r="N1653" s="113" t="n"/>
      <c r="O1653" s="113" t="n"/>
      <c r="P1653" s="243" t="n"/>
      <c r="Q1653" s="113" t="n"/>
      <c r="R1653" s="113" t="n"/>
    </row>
    <row r="1654" ht="15.75" customHeight="1">
      <c r="A1654" s="113" t="n"/>
      <c r="B1654" s="146" t="n">
        <v>29</v>
      </c>
      <c r="C1654" s="350" t="n">
        <v>46003</v>
      </c>
      <c r="D1654" s="351" t="n">
        <v>10</v>
      </c>
      <c r="E1654" s="264" t="inlineStr">
        <is>
          <t>GARCERAS</t>
        </is>
      </c>
      <c r="F1654" s="264" t="inlineStr">
        <is>
          <t>CARGUEROS</t>
        </is>
      </c>
      <c r="G1654" s="264" t="n">
        <v>11</v>
      </c>
      <c r="H1654" s="264" t="inlineStr">
        <is>
          <t xml:space="preserve">JOSE SOLER </t>
        </is>
      </c>
      <c r="I1654" s="264" t="inlineStr">
        <is>
          <t>EQY776</t>
        </is>
      </c>
      <c r="J1654" s="265" t="n">
        <v>0.28125</v>
      </c>
      <c r="K1654" s="266" t="n">
        <v>3270</v>
      </c>
      <c r="L1654" s="308" t="n"/>
      <c r="M1654" s="113" t="n"/>
      <c r="N1654" s="113" t="n"/>
      <c r="O1654" s="113" t="n"/>
      <c r="P1654" s="243" t="n"/>
      <c r="Q1654" s="113" t="n"/>
      <c r="R1654" s="113" t="n"/>
    </row>
    <row r="1655" ht="15.75" customHeight="1">
      <c r="A1655" s="113" t="n"/>
      <c r="B1655" s="146" t="n">
        <v>29</v>
      </c>
      <c r="C1655" s="350" t="n">
        <v>46003</v>
      </c>
      <c r="D1655" s="351" t="n">
        <v>11</v>
      </c>
      <c r="E1655" s="264" t="inlineStr">
        <is>
          <t>GARCERAS</t>
        </is>
      </c>
      <c r="F1655" s="264" t="inlineStr">
        <is>
          <t>CARGUEROS</t>
        </is>
      </c>
      <c r="G1655" s="264" t="n">
        <v>11</v>
      </c>
      <c r="H1655" s="264" t="inlineStr">
        <is>
          <t xml:space="preserve">HENRY ROMERO </t>
        </is>
      </c>
      <c r="I1655" s="264" t="inlineStr">
        <is>
          <t>EQY781</t>
        </is>
      </c>
      <c r="J1655" s="265" t="n">
        <v>0.3125</v>
      </c>
      <c r="K1655" s="266" t="n">
        <v>3270</v>
      </c>
      <c r="L1655" s="308" t="n"/>
      <c r="M1655" s="113" t="n"/>
      <c r="N1655" s="113" t="n"/>
      <c r="O1655" s="113" t="n"/>
      <c r="P1655" s="243" t="n"/>
      <c r="Q1655" s="113" t="n"/>
      <c r="R1655" s="113" t="n"/>
    </row>
    <row r="1656" ht="15.75" customHeight="1">
      <c r="A1656" s="113" t="n"/>
      <c r="B1656" s="146" t="n">
        <v>29</v>
      </c>
      <c r="C1656" s="350" t="n">
        <v>46003</v>
      </c>
      <c r="D1656" s="351" t="n">
        <v>12</v>
      </c>
      <c r="E1656" s="264" t="inlineStr">
        <is>
          <t>GARCERAS</t>
        </is>
      </c>
      <c r="F1656" s="264" t="inlineStr">
        <is>
          <t>CARGUEROS</t>
        </is>
      </c>
      <c r="G1656" s="264" t="n">
        <v>11</v>
      </c>
      <c r="H1656" s="264" t="inlineStr">
        <is>
          <t>DIEGO NIÑO</t>
        </is>
      </c>
      <c r="I1656" s="264" t="inlineStr">
        <is>
          <t>GZZ673</t>
        </is>
      </c>
      <c r="J1656" s="265" t="n">
        <v>0.3402777777777778</v>
      </c>
      <c r="K1656" s="266" t="n">
        <v>3270</v>
      </c>
      <c r="L1656" s="308" t="n"/>
      <c r="M1656" s="113" t="n"/>
      <c r="N1656" s="113" t="n"/>
      <c r="O1656" s="113" t="n"/>
      <c r="P1656" s="243" t="n"/>
      <c r="Q1656" s="113" t="n"/>
      <c r="R1656" s="113" t="n"/>
    </row>
    <row r="1657" ht="15.75" customHeight="1">
      <c r="A1657" s="113" t="n"/>
      <c r="B1657" s="146" t="n">
        <v>29</v>
      </c>
      <c r="C1657" s="350" t="n">
        <v>46003</v>
      </c>
      <c r="D1657" s="351" t="n">
        <v>13</v>
      </c>
      <c r="E1657" s="264" t="inlineStr">
        <is>
          <t>GARCERAS</t>
        </is>
      </c>
      <c r="F1657" s="264" t="inlineStr">
        <is>
          <t>CARGUEROS</t>
        </is>
      </c>
      <c r="G1657" s="264" t="n">
        <v>11</v>
      </c>
      <c r="H1657" s="264" t="inlineStr">
        <is>
          <t>SEBASTIAN HIDALGO</t>
        </is>
      </c>
      <c r="I1657" s="264" t="inlineStr">
        <is>
          <t>TLO884</t>
        </is>
      </c>
      <c r="J1657" s="265" t="n">
        <v>0.3784722222222222</v>
      </c>
      <c r="K1657" s="266" t="n">
        <v>3270</v>
      </c>
      <c r="L1657" s="308" t="n"/>
      <c r="M1657" s="113" t="n"/>
      <c r="N1657" s="113" t="n"/>
      <c r="O1657" s="113" t="n"/>
      <c r="P1657" s="243" t="n"/>
      <c r="Q1657" s="113" t="n"/>
      <c r="R1657" s="113" t="n"/>
    </row>
    <row r="1658" ht="15.75" customHeight="1">
      <c r="A1658" s="113" t="n"/>
      <c r="B1658" s="146" t="n">
        <v>29</v>
      </c>
      <c r="C1658" s="350" t="n">
        <v>46003</v>
      </c>
      <c r="D1658" s="351" t="n">
        <v>14</v>
      </c>
      <c r="E1658" s="264" t="inlineStr">
        <is>
          <t>GARCERAS</t>
        </is>
      </c>
      <c r="F1658" s="264" t="inlineStr">
        <is>
          <t>CARGUEROS</t>
        </is>
      </c>
      <c r="G1658" s="264" t="n">
        <v>11</v>
      </c>
      <c r="H1658" s="264" t="inlineStr">
        <is>
          <t>ALEX GOMEZ</t>
        </is>
      </c>
      <c r="I1658" s="264" t="inlineStr">
        <is>
          <t>TLO881</t>
        </is>
      </c>
      <c r="J1658" s="265" t="n">
        <v>0.4201388888888889</v>
      </c>
      <c r="K1658" s="266" t="n">
        <v>3000</v>
      </c>
      <c r="L1658" s="308" t="n"/>
      <c r="M1658" s="113" t="n"/>
      <c r="N1658" s="113" t="n"/>
      <c r="O1658" s="113" t="n"/>
      <c r="P1658" s="243" t="n"/>
      <c r="Q1658" s="113" t="n"/>
      <c r="R1658" s="113" t="n"/>
    </row>
    <row r="1659" ht="15.75" customHeight="1">
      <c r="A1659" s="113" t="n"/>
      <c r="B1659" s="146" t="n">
        <v>29</v>
      </c>
      <c r="C1659" s="350" t="n">
        <v>46003</v>
      </c>
      <c r="D1659" s="351" t="n">
        <v>15</v>
      </c>
      <c r="E1659" s="264" t="inlineStr">
        <is>
          <t>GARCERAS</t>
        </is>
      </c>
      <c r="F1659" s="264" t="inlineStr">
        <is>
          <t>CARGUEROS</t>
        </is>
      </c>
      <c r="G1659" s="264" t="n">
        <v>11</v>
      </c>
      <c r="H1659" s="264" t="inlineStr">
        <is>
          <t xml:space="preserve">MANUEL QUINTIAN </t>
        </is>
      </c>
      <c r="I1659" s="264" t="inlineStr">
        <is>
          <t>KUS176</t>
        </is>
      </c>
      <c r="J1659" s="265" t="n">
        <v>0.4479166666666667</v>
      </c>
      <c r="K1659" s="266" t="n">
        <v>3000</v>
      </c>
      <c r="L1659" s="308" t="n"/>
      <c r="M1659" s="113" t="n"/>
      <c r="N1659" s="113" t="n"/>
      <c r="O1659" s="113" t="n"/>
      <c r="P1659" s="243" t="n"/>
      <c r="Q1659" s="113" t="n"/>
      <c r="R1659" s="113" t="n"/>
    </row>
    <row r="1660" ht="15.75" customHeight="1">
      <c r="A1660" s="113" t="n"/>
      <c r="B1660" s="146" t="n">
        <v>29</v>
      </c>
      <c r="C1660" s="350" t="n">
        <v>46003</v>
      </c>
      <c r="D1660" s="351" t="n">
        <v>16</v>
      </c>
      <c r="E1660" s="264" t="inlineStr">
        <is>
          <t>GARCERAS</t>
        </is>
      </c>
      <c r="F1660" s="264" t="inlineStr">
        <is>
          <t>CARGUEROS</t>
        </is>
      </c>
      <c r="G1660" s="264" t="n">
        <v>11</v>
      </c>
      <c r="H1660" s="264" t="inlineStr">
        <is>
          <t>WILMER PIÑEROS</t>
        </is>
      </c>
      <c r="I1660" s="264" t="inlineStr">
        <is>
          <t>KLN076</t>
        </is>
      </c>
      <c r="J1660" s="265" t="n">
        <v>0.5451388888888888</v>
      </c>
      <c r="K1660" s="266" t="n">
        <v>3310</v>
      </c>
      <c r="L1660" s="308" t="n"/>
      <c r="M1660" s="113" t="n"/>
      <c r="N1660" s="113" t="n"/>
      <c r="O1660" s="113" t="n"/>
      <c r="P1660" s="243" t="n"/>
      <c r="Q1660" s="113" t="n"/>
      <c r="R1660" s="113" t="n"/>
    </row>
    <row r="1661" ht="15.75" customHeight="1">
      <c r="A1661" s="113" t="n"/>
      <c r="B1661" s="146" t="n">
        <v>29</v>
      </c>
      <c r="C1661" s="352" t="n">
        <v>46003</v>
      </c>
      <c r="D1661" s="347" t="n">
        <v>17</v>
      </c>
      <c r="E1661" s="282" t="inlineStr">
        <is>
          <t>GARCERAS</t>
        </is>
      </c>
      <c r="F1661" s="282" t="inlineStr">
        <is>
          <t>CARGUEROS</t>
        </is>
      </c>
      <c r="G1661" s="282" t="n"/>
      <c r="H1661" s="282" t="n"/>
      <c r="I1661" s="282" t="n"/>
      <c r="J1661" s="283" t="n"/>
      <c r="K1661" s="318" t="n"/>
      <c r="L1661" s="354">
        <f>SUM(K1645:K1661)</f>
        <v/>
      </c>
      <c r="M1661" s="113" t="n"/>
      <c r="N1661" s="113" t="n"/>
      <c r="O1661" s="113" t="n"/>
      <c r="P1661" s="243" t="n"/>
      <c r="Q1661" s="113" t="n"/>
      <c r="R1661" s="113" t="n"/>
    </row>
    <row r="1662" ht="15.75" customHeight="1">
      <c r="A1662" s="113" t="n"/>
      <c r="B1662" s="146" t="n">
        <v>29</v>
      </c>
      <c r="C1662" s="348" t="n">
        <v>46004</v>
      </c>
      <c r="D1662" s="349" t="n">
        <v>1</v>
      </c>
      <c r="E1662" s="258" t="inlineStr">
        <is>
          <t>HUERTAS</t>
        </is>
      </c>
      <c r="F1662" s="258" t="inlineStr">
        <is>
          <t>ABONEROS</t>
        </is>
      </c>
      <c r="G1662" s="258" t="n">
        <v>9</v>
      </c>
      <c r="H1662" s="258" t="inlineStr">
        <is>
          <t>MARCOS DAZA</t>
        </is>
      </c>
      <c r="I1662" s="258" t="inlineStr">
        <is>
          <t>ERL409</t>
        </is>
      </c>
      <c r="J1662" s="259" t="n">
        <v>0.7222222222222222</v>
      </c>
      <c r="K1662" s="260" t="n">
        <v>3300</v>
      </c>
      <c r="L1662" s="292" t="n"/>
      <c r="M1662" s="113" t="n"/>
      <c r="N1662" s="113" t="n"/>
      <c r="O1662" s="113" t="n"/>
      <c r="P1662" s="243" t="n"/>
      <c r="Q1662" s="113" t="n"/>
      <c r="R1662" s="113" t="n"/>
    </row>
    <row r="1663" ht="15.75" customHeight="1">
      <c r="A1663" s="113" t="n"/>
      <c r="B1663" s="146" t="n">
        <v>29</v>
      </c>
      <c r="C1663" s="350" t="n">
        <v>46004</v>
      </c>
      <c r="D1663" s="351" t="n">
        <v>2</v>
      </c>
      <c r="E1663" s="264" t="inlineStr">
        <is>
          <t>HUERTAS</t>
        </is>
      </c>
      <c r="F1663" s="264" t="inlineStr">
        <is>
          <t>ABONEROS</t>
        </is>
      </c>
      <c r="G1663" s="264" t="n">
        <v>9</v>
      </c>
      <c r="H1663" s="264" t="inlineStr">
        <is>
          <t>PEDRO RIVERA</t>
        </is>
      </c>
      <c r="I1663" s="264" t="inlineStr">
        <is>
          <t>CHL416</t>
        </is>
      </c>
      <c r="J1663" s="265" t="n">
        <v>0.7625</v>
      </c>
      <c r="K1663" s="266" t="n">
        <v>3240</v>
      </c>
      <c r="L1663" s="308" t="n"/>
      <c r="M1663" s="113" t="n"/>
      <c r="N1663" s="113" t="n"/>
      <c r="O1663" s="113" t="n"/>
      <c r="P1663" s="243" t="n"/>
      <c r="Q1663" s="113" t="n"/>
      <c r="R1663" s="113" t="n"/>
    </row>
    <row r="1664" ht="15.75" customHeight="1">
      <c r="A1664" s="113" t="n"/>
      <c r="B1664" s="146" t="n">
        <v>29</v>
      </c>
      <c r="C1664" s="350" t="n">
        <v>46004</v>
      </c>
      <c r="D1664" s="351" t="n">
        <v>3</v>
      </c>
      <c r="E1664" s="264" t="inlineStr">
        <is>
          <t>HUERTAS</t>
        </is>
      </c>
      <c r="F1664" s="264" t="inlineStr">
        <is>
          <t>ABONEROS</t>
        </is>
      </c>
      <c r="G1664" s="264" t="n">
        <v>9</v>
      </c>
      <c r="H1664" s="264" t="inlineStr">
        <is>
          <t>CRISTIAN ROJAS</t>
        </is>
      </c>
      <c r="I1664" s="264" t="inlineStr">
        <is>
          <t>SMS205</t>
        </is>
      </c>
      <c r="J1664" s="265" t="n">
        <v>0.81875</v>
      </c>
      <c r="K1664" s="266" t="n">
        <v>2960</v>
      </c>
      <c r="L1664" s="308" t="n"/>
      <c r="M1664" s="113" t="n"/>
      <c r="N1664" s="113" t="n"/>
      <c r="O1664" s="113" t="n"/>
      <c r="P1664" s="243" t="n"/>
      <c r="Q1664" s="113" t="n"/>
      <c r="R1664" s="113" t="n"/>
    </row>
    <row r="1665" ht="15.75" customHeight="1">
      <c r="A1665" s="113" t="n"/>
      <c r="B1665" s="146" t="n">
        <v>29</v>
      </c>
      <c r="C1665" s="350" t="n">
        <v>46004</v>
      </c>
      <c r="D1665" s="351" t="n">
        <v>4</v>
      </c>
      <c r="E1665" s="264" t="inlineStr">
        <is>
          <t>HUERTAS</t>
        </is>
      </c>
      <c r="F1665" s="264" t="inlineStr">
        <is>
          <t>ABONEROS</t>
        </is>
      </c>
      <c r="G1665" s="264" t="n">
        <v>9</v>
      </c>
      <c r="H1665" s="264" t="inlineStr">
        <is>
          <t>JUAN DAVID GOMEZ</t>
        </is>
      </c>
      <c r="I1665" s="264" t="inlineStr">
        <is>
          <t>SKG142</t>
        </is>
      </c>
      <c r="J1665" s="265" t="n">
        <v>0.8770833333333333</v>
      </c>
      <c r="K1665" s="266" t="n">
        <v>3000</v>
      </c>
      <c r="L1665" s="308" t="n"/>
      <c r="M1665" s="113" t="n"/>
      <c r="N1665" s="113" t="n"/>
      <c r="O1665" s="113" t="n"/>
      <c r="P1665" s="243" t="n"/>
      <c r="Q1665" s="113" t="n"/>
      <c r="R1665" s="113" t="n"/>
    </row>
    <row r="1666" ht="15.75" customHeight="1">
      <c r="A1666" s="113" t="n"/>
      <c r="B1666" s="146" t="n">
        <v>29</v>
      </c>
      <c r="C1666" s="350" t="n">
        <v>46004</v>
      </c>
      <c r="D1666" s="351" t="n">
        <v>7</v>
      </c>
      <c r="E1666" s="264" t="inlineStr">
        <is>
          <t>GARCERAS</t>
        </is>
      </c>
      <c r="F1666" s="264" t="inlineStr">
        <is>
          <t>CARGUEROS</t>
        </is>
      </c>
      <c r="G1666" s="264" t="n">
        <v>11</v>
      </c>
      <c r="H1666" s="264" t="inlineStr">
        <is>
          <t>JOSE HERRERA</t>
        </is>
      </c>
      <c r="I1666" s="264" t="inlineStr">
        <is>
          <t>EQY777</t>
        </is>
      </c>
      <c r="J1666" s="265" t="n">
        <v>0.1763888888888889</v>
      </c>
      <c r="K1666" s="266" t="n">
        <v>3270</v>
      </c>
      <c r="L1666" s="308" t="n"/>
      <c r="M1666" s="113" t="n"/>
      <c r="N1666" s="113" t="n"/>
      <c r="O1666" s="113" t="n"/>
      <c r="P1666" s="243" t="n"/>
      <c r="Q1666" s="113" t="n"/>
      <c r="R1666" s="113" t="n"/>
    </row>
    <row r="1667" ht="15.75" customHeight="1">
      <c r="A1667" s="113" t="n"/>
      <c r="B1667" s="146" t="n">
        <v>29</v>
      </c>
      <c r="C1667" s="356" t="n">
        <v>46004</v>
      </c>
      <c r="D1667" s="357" t="n">
        <v>8</v>
      </c>
      <c r="E1667" s="271" t="inlineStr">
        <is>
          <t>GARCERAS</t>
        </is>
      </c>
      <c r="F1667" s="271" t="inlineStr">
        <is>
          <t>CARGUEROS</t>
        </is>
      </c>
      <c r="G1667" s="271" t="n">
        <v>11</v>
      </c>
      <c r="H1667" s="271" t="inlineStr">
        <is>
          <t>WILMER ÍÑEROS</t>
        </is>
      </c>
      <c r="I1667" s="271" t="inlineStr">
        <is>
          <t>KLN076</t>
        </is>
      </c>
      <c r="J1667" s="272" t="n">
        <v>0.2118055555555556</v>
      </c>
      <c r="K1667" s="286" t="n">
        <v>3350</v>
      </c>
      <c r="L1667" s="385">
        <f>SUM(K1662:K1667)</f>
        <v/>
      </c>
      <c r="M1667" s="113" t="n"/>
      <c r="N1667" s="113" t="n"/>
      <c r="O1667" s="113" t="n"/>
      <c r="P1667" s="243" t="n"/>
      <c r="Q1667" s="113" t="n"/>
      <c r="R1667" s="113" t="n"/>
    </row>
    <row r="1668" ht="15.75" customHeight="1">
      <c r="A1668" s="113" t="n"/>
      <c r="B1668" s="146" t="n">
        <v>30</v>
      </c>
      <c r="C1668" s="359" t="n">
        <v>46006</v>
      </c>
      <c r="D1668" s="360" t="n">
        <v>1</v>
      </c>
      <c r="E1668" s="293" t="inlineStr">
        <is>
          <t>BOGOTA</t>
        </is>
      </c>
      <c r="F1668" s="293" t="inlineStr">
        <is>
          <t>ABONEROS</t>
        </is>
      </c>
      <c r="G1668" s="293" t="n">
        <v>9</v>
      </c>
      <c r="H1668" s="293" t="inlineStr">
        <is>
          <t>JEISON ECHEVARRIA</t>
        </is>
      </c>
      <c r="I1668" s="293" t="inlineStr">
        <is>
          <t>SKG142</t>
        </is>
      </c>
      <c r="J1668" s="294" t="n">
        <v>0.9319444444444445</v>
      </c>
      <c r="K1668" s="295" t="n">
        <v>2790</v>
      </c>
      <c r="L1668" s="296" t="n"/>
      <c r="M1668" s="113" t="n"/>
      <c r="N1668" s="113" t="n"/>
      <c r="O1668" s="113" t="n"/>
      <c r="P1668" s="243" t="n"/>
      <c r="Q1668" s="113" t="n"/>
      <c r="R1668" s="113" t="n"/>
    </row>
    <row r="1669" ht="15.75" customHeight="1">
      <c r="A1669" s="113" t="n"/>
      <c r="B1669" s="146" t="n">
        <v>30</v>
      </c>
      <c r="C1669" s="350" t="n">
        <v>46006</v>
      </c>
      <c r="D1669" s="351" t="n">
        <v>2</v>
      </c>
      <c r="E1669" s="264" t="inlineStr">
        <is>
          <t>BOGOTA</t>
        </is>
      </c>
      <c r="F1669" s="264" t="inlineStr">
        <is>
          <t>ABONEROS</t>
        </is>
      </c>
      <c r="G1669" s="264" t="n">
        <v>9</v>
      </c>
      <c r="H1669" s="264" t="inlineStr">
        <is>
          <t xml:space="preserve">MANUEL QUITIAN </t>
        </is>
      </c>
      <c r="I1669" s="264" t="inlineStr">
        <is>
          <t>KUS176</t>
        </is>
      </c>
      <c r="J1669" s="265" t="n">
        <v>0.9979166666666667</v>
      </c>
      <c r="K1669" s="266" t="n">
        <v>3400</v>
      </c>
      <c r="L1669" s="308" t="n"/>
      <c r="M1669" s="113" t="n"/>
      <c r="N1669" s="113" t="n"/>
      <c r="O1669" s="113" t="n"/>
      <c r="P1669" s="243" t="n"/>
      <c r="Q1669" s="113" t="n"/>
      <c r="R1669" s="113" t="n"/>
    </row>
    <row r="1670" ht="15.75" customHeight="1">
      <c r="A1670" s="113" t="n"/>
      <c r="B1670" s="146" t="n">
        <v>30</v>
      </c>
      <c r="C1670" s="350" t="n">
        <v>46006</v>
      </c>
      <c r="D1670" s="351" t="n">
        <v>3</v>
      </c>
      <c r="E1670" s="264" t="inlineStr">
        <is>
          <t>BOGOTA</t>
        </is>
      </c>
      <c r="F1670" s="264" t="inlineStr">
        <is>
          <t>ABONEROS</t>
        </is>
      </c>
      <c r="G1670" s="264" t="n">
        <v>9</v>
      </c>
      <c r="H1670" s="264" t="inlineStr">
        <is>
          <t xml:space="preserve">SEBASTIAN HIDALGO </t>
        </is>
      </c>
      <c r="I1670" s="264" t="inlineStr">
        <is>
          <t>GZZ673</t>
        </is>
      </c>
      <c r="J1670" s="265" t="n">
        <v>0.05555555555555555</v>
      </c>
      <c r="K1670" s="266" t="n">
        <v>3400</v>
      </c>
      <c r="L1670" s="308" t="n"/>
      <c r="M1670" s="113" t="n"/>
      <c r="N1670" s="113" t="n"/>
      <c r="O1670" s="113" t="n"/>
      <c r="P1670" s="243" t="n"/>
      <c r="Q1670" s="113" t="n"/>
      <c r="R1670" s="113" t="n"/>
    </row>
    <row r="1671" ht="15.75" customHeight="1">
      <c r="A1671" s="113" t="n"/>
      <c r="B1671" s="146" t="n">
        <v>30</v>
      </c>
      <c r="C1671" s="350" t="n">
        <v>46006</v>
      </c>
      <c r="D1671" s="351" t="n">
        <v>4</v>
      </c>
      <c r="E1671" s="264" t="inlineStr">
        <is>
          <t>BOGOTA</t>
        </is>
      </c>
      <c r="F1671" s="264" t="inlineStr">
        <is>
          <t>ABONEROS</t>
        </is>
      </c>
      <c r="G1671" s="264" t="n">
        <v>9</v>
      </c>
      <c r="H1671" s="264" t="inlineStr">
        <is>
          <t>YAIR RIVEROS</t>
        </is>
      </c>
      <c r="I1671" s="264" t="inlineStr">
        <is>
          <t>TLN181</t>
        </is>
      </c>
      <c r="J1671" s="265" t="n">
        <v>0.1083333333333333</v>
      </c>
      <c r="K1671" s="266" t="n">
        <v>3400</v>
      </c>
      <c r="L1671" s="308" t="n"/>
      <c r="M1671" s="113" t="n"/>
      <c r="N1671" s="113" t="n"/>
      <c r="O1671" s="113" t="n"/>
      <c r="P1671" s="243" t="n"/>
      <c r="Q1671" s="113" t="n"/>
      <c r="R1671" s="113" t="n"/>
    </row>
    <row r="1672" ht="15.75" customHeight="1">
      <c r="A1672" s="113" t="n"/>
      <c r="B1672" s="146" t="n">
        <v>30</v>
      </c>
      <c r="C1672" s="350" t="n">
        <v>46006</v>
      </c>
      <c r="D1672" s="351" t="n">
        <v>5</v>
      </c>
      <c r="E1672" s="264" t="inlineStr">
        <is>
          <t>BOGOTA</t>
        </is>
      </c>
      <c r="F1672" s="264" t="inlineStr">
        <is>
          <t>ABONEROS</t>
        </is>
      </c>
      <c r="G1672" s="264" t="n">
        <v>9</v>
      </c>
      <c r="H1672" s="264" t="inlineStr">
        <is>
          <t xml:space="preserve">JOSE SOLER </t>
        </is>
      </c>
      <c r="I1672" s="264" t="inlineStr">
        <is>
          <t>EQY776</t>
        </is>
      </c>
      <c r="J1672" s="265" t="n">
        <v>0.1652777777777778</v>
      </c>
      <c r="K1672" s="266" t="n">
        <v>3400</v>
      </c>
      <c r="L1672" s="308" t="n"/>
      <c r="M1672" s="113" t="n"/>
      <c r="N1672" s="113" t="n"/>
      <c r="O1672" s="113" t="n"/>
      <c r="P1672" s="243" t="n"/>
      <c r="Q1672" s="113" t="n"/>
      <c r="R1672" s="113" t="n"/>
    </row>
    <row r="1673" ht="15.75" customHeight="1">
      <c r="A1673" s="113" t="n"/>
      <c r="B1673" s="146" t="n">
        <v>30</v>
      </c>
      <c r="C1673" s="350" t="n">
        <v>46006</v>
      </c>
      <c r="D1673" s="351" t="n">
        <v>6</v>
      </c>
      <c r="E1673" s="264" t="inlineStr">
        <is>
          <t>BOGOTA</t>
        </is>
      </c>
      <c r="F1673" s="264" t="inlineStr">
        <is>
          <t>ABONEROS</t>
        </is>
      </c>
      <c r="G1673" s="264" t="n">
        <v>8</v>
      </c>
      <c r="H1673" s="264" t="inlineStr">
        <is>
          <t>ANDERSON HERRERA</t>
        </is>
      </c>
      <c r="I1673" s="264" t="inlineStr">
        <is>
          <t>SMS909</t>
        </is>
      </c>
      <c r="J1673" s="265" t="n">
        <v>0.7944444444444444</v>
      </c>
      <c r="K1673" s="266" t="n">
        <v>2700</v>
      </c>
      <c r="L1673" s="308" t="n"/>
      <c r="M1673" s="113" t="n"/>
      <c r="N1673" s="113" t="n"/>
      <c r="O1673" s="113" t="n"/>
      <c r="P1673" s="243" t="n"/>
      <c r="Q1673" s="113" t="n"/>
      <c r="R1673" s="113" t="n"/>
    </row>
    <row r="1674" ht="15.75" customHeight="1">
      <c r="A1674" s="113" t="n"/>
      <c r="B1674" s="146" t="n">
        <v>30</v>
      </c>
      <c r="C1674" s="350" t="n">
        <v>46006</v>
      </c>
      <c r="D1674" s="351" t="n">
        <v>7</v>
      </c>
      <c r="E1674" s="264" t="inlineStr">
        <is>
          <t>BOGOTA</t>
        </is>
      </c>
      <c r="F1674" s="264" t="inlineStr">
        <is>
          <t>ABONEROS</t>
        </is>
      </c>
      <c r="G1674" s="264" t="n">
        <v>8</v>
      </c>
      <c r="H1674" s="264" t="inlineStr">
        <is>
          <t>ROBERTO MONROY</t>
        </is>
      </c>
      <c r="I1674" s="264" t="inlineStr">
        <is>
          <t>WPQ994</t>
        </is>
      </c>
      <c r="J1674" s="265" t="n">
        <v>0.83125</v>
      </c>
      <c r="K1674" s="266" t="n">
        <v>2700</v>
      </c>
      <c r="L1674" s="308" t="n"/>
      <c r="M1674" s="113" t="n"/>
      <c r="N1674" s="113" t="n"/>
      <c r="O1674" s="113" t="n"/>
      <c r="P1674" s="243" t="n"/>
      <c r="Q1674" s="113" t="n"/>
      <c r="R1674" s="113" t="n"/>
    </row>
    <row r="1675" ht="15.75" customHeight="1">
      <c r="A1675" s="113" t="n"/>
      <c r="B1675" s="146" t="n">
        <v>30</v>
      </c>
      <c r="C1675" s="350" t="n">
        <v>46006</v>
      </c>
      <c r="D1675" s="351" t="n">
        <v>8</v>
      </c>
      <c r="E1675" s="264" t="inlineStr">
        <is>
          <t>HUERTAS</t>
        </is>
      </c>
      <c r="F1675" s="264" t="inlineStr">
        <is>
          <t>ABONEROS</t>
        </is>
      </c>
      <c r="G1675" s="264" t="n">
        <v>8</v>
      </c>
      <c r="H1675" s="264" t="inlineStr">
        <is>
          <t xml:space="preserve">HENRY ROMERO </t>
        </is>
      </c>
      <c r="I1675" s="264" t="inlineStr">
        <is>
          <t>EQY781</t>
        </is>
      </c>
      <c r="J1675" s="265" t="n">
        <v>0.9666666666666667</v>
      </c>
      <c r="K1675" s="266" t="n">
        <v>2592</v>
      </c>
      <c r="L1675" s="308" t="n"/>
      <c r="M1675" s="113" t="n"/>
      <c r="N1675" s="113" t="n"/>
      <c r="O1675" s="113" t="n"/>
      <c r="P1675" s="243" t="n"/>
      <c r="Q1675" s="113" t="n"/>
      <c r="R1675" s="113" t="n"/>
    </row>
    <row r="1676" ht="15.75" customHeight="1">
      <c r="A1676" s="113" t="n"/>
      <c r="B1676" s="146" t="n">
        <v>30</v>
      </c>
      <c r="C1676" s="350" t="n">
        <v>46006</v>
      </c>
      <c r="D1676" s="351" t="n">
        <v>9</v>
      </c>
      <c r="E1676" s="264" t="inlineStr">
        <is>
          <t>HUERTAS</t>
        </is>
      </c>
      <c r="F1676" s="264" t="inlineStr">
        <is>
          <t>ABONEROS</t>
        </is>
      </c>
      <c r="G1676" s="264" t="n">
        <v>8</v>
      </c>
      <c r="H1676" s="264" t="inlineStr">
        <is>
          <t>EDWIN ROJAS</t>
        </is>
      </c>
      <c r="I1676" s="264" t="inlineStr">
        <is>
          <t>EQY780</t>
        </is>
      </c>
      <c r="J1676" s="265" t="n">
        <v>0.006944444444444444</v>
      </c>
      <c r="K1676" s="266" t="n">
        <v>2592</v>
      </c>
      <c r="L1676" s="308" t="n"/>
      <c r="M1676" s="113" t="n"/>
      <c r="N1676" s="113" t="n"/>
      <c r="O1676" s="113" t="n"/>
      <c r="P1676" s="243" t="n"/>
      <c r="Q1676" s="113" t="n"/>
      <c r="R1676" s="113" t="n"/>
    </row>
    <row r="1677" ht="15.75" customHeight="1">
      <c r="A1677" s="113" t="n"/>
      <c r="B1677" s="146" t="n">
        <v>30</v>
      </c>
      <c r="C1677" s="350" t="n">
        <v>46006</v>
      </c>
      <c r="D1677" s="351" t="n">
        <v>10</v>
      </c>
      <c r="E1677" s="264" t="inlineStr">
        <is>
          <t>HUERTAS</t>
        </is>
      </c>
      <c r="F1677" s="264" t="inlineStr">
        <is>
          <t>ABONEROS</t>
        </is>
      </c>
      <c r="G1677" s="264" t="n">
        <v>8</v>
      </c>
      <c r="H1677" s="264" t="inlineStr">
        <is>
          <t>ROBINSON PULIDO</t>
        </is>
      </c>
      <c r="I1677" s="264" t="inlineStr">
        <is>
          <t>GZZ673</t>
        </is>
      </c>
      <c r="J1677" s="265" t="n">
        <v>0.04583333333333333</v>
      </c>
      <c r="K1677" s="266" t="n">
        <v>2480</v>
      </c>
      <c r="L1677" s="308" t="n"/>
      <c r="M1677" s="113" t="n"/>
      <c r="N1677" s="113" t="n"/>
      <c r="O1677" s="113" t="n"/>
      <c r="P1677" s="243" t="n"/>
      <c r="Q1677" s="113" t="n"/>
      <c r="R1677" s="113" t="n"/>
    </row>
    <row r="1678" ht="15.75" customHeight="1">
      <c r="A1678" s="113" t="n"/>
      <c r="B1678" s="146" t="n">
        <v>30</v>
      </c>
      <c r="C1678" s="350" t="n">
        <v>46006</v>
      </c>
      <c r="D1678" s="351" t="n">
        <v>11</v>
      </c>
      <c r="E1678" s="264" t="inlineStr">
        <is>
          <t>GARCERAS</t>
        </is>
      </c>
      <c r="F1678" s="264" t="inlineStr">
        <is>
          <t>CARGUEROS</t>
        </is>
      </c>
      <c r="G1678" s="264" t="n">
        <v>11</v>
      </c>
      <c r="H1678" s="264" t="inlineStr">
        <is>
          <t xml:space="preserve">MANUEL QUITIAN </t>
        </is>
      </c>
      <c r="I1678" s="264" t="inlineStr">
        <is>
          <t>KUS176</t>
        </is>
      </c>
      <c r="J1678" s="265" t="n">
        <v>0.9902777777777778</v>
      </c>
      <c r="K1678" s="266" t="n">
        <v>3010</v>
      </c>
      <c r="L1678" s="308" t="n"/>
      <c r="M1678" s="113" t="n"/>
      <c r="N1678" s="113" t="n"/>
      <c r="O1678" s="113" t="n"/>
      <c r="P1678" s="243" t="n"/>
      <c r="Q1678" s="113" t="n"/>
      <c r="R1678" s="113" t="n"/>
    </row>
    <row r="1679" ht="15.75" customHeight="1">
      <c r="A1679" s="113" t="n"/>
      <c r="B1679" s="146" t="n">
        <v>30</v>
      </c>
      <c r="C1679" s="350" t="n">
        <v>46006</v>
      </c>
      <c r="D1679" s="351" t="n">
        <v>12</v>
      </c>
      <c r="E1679" s="264" t="inlineStr">
        <is>
          <t>GARCERAS</t>
        </is>
      </c>
      <c r="F1679" s="264" t="inlineStr">
        <is>
          <t>CARGUEROS</t>
        </is>
      </c>
      <c r="G1679" s="264" t="n">
        <v>11</v>
      </c>
      <c r="H1679" s="264" t="inlineStr">
        <is>
          <t>ALEX GOMEZ</t>
        </is>
      </c>
      <c r="I1679" s="264" t="inlineStr">
        <is>
          <t>TLO881</t>
        </is>
      </c>
      <c r="J1679" s="265" t="n">
        <v>0.01597222222222222</v>
      </c>
      <c r="K1679" s="266" t="n">
        <v>3010</v>
      </c>
      <c r="L1679" s="308" t="n"/>
      <c r="M1679" s="113" t="n"/>
      <c r="N1679" s="113" t="n"/>
      <c r="O1679" s="113" t="n"/>
      <c r="P1679" s="243" t="n"/>
      <c r="Q1679" s="113" t="n"/>
      <c r="R1679" s="113" t="n"/>
    </row>
    <row r="1680" ht="15.75" customHeight="1">
      <c r="A1680" s="113" t="n"/>
      <c r="B1680" s="146" t="n">
        <v>30</v>
      </c>
      <c r="C1680" s="350" t="n">
        <v>46006</v>
      </c>
      <c r="D1680" s="351" t="n">
        <v>13</v>
      </c>
      <c r="E1680" s="264" t="inlineStr">
        <is>
          <t>GARCERAS</t>
        </is>
      </c>
      <c r="F1680" s="264" t="inlineStr">
        <is>
          <t>CARGUEROS</t>
        </is>
      </c>
      <c r="G1680" s="264" t="n">
        <v>11</v>
      </c>
      <c r="H1680" s="264" t="inlineStr">
        <is>
          <t>ALEX CHAGUALA</t>
        </is>
      </c>
      <c r="I1680" s="264" t="inlineStr">
        <is>
          <t>TLN248</t>
        </is>
      </c>
      <c r="J1680" s="265" t="n">
        <v>0.04791666666666667</v>
      </c>
      <c r="K1680" s="266" t="n">
        <v>3010</v>
      </c>
      <c r="L1680" s="308" t="n"/>
      <c r="M1680" s="113" t="n"/>
      <c r="N1680" s="113" t="n"/>
      <c r="O1680" s="113" t="n"/>
      <c r="P1680" s="243" t="n"/>
      <c r="Q1680" s="113" t="n"/>
      <c r="R1680" s="113" t="n"/>
    </row>
    <row r="1681" ht="15.75" customHeight="1">
      <c r="A1681" s="113" t="n"/>
      <c r="B1681" s="146" t="n">
        <v>30</v>
      </c>
      <c r="C1681" s="350" t="n">
        <v>46006</v>
      </c>
      <c r="D1681" s="351" t="n">
        <v>14</v>
      </c>
      <c r="E1681" s="264" t="inlineStr">
        <is>
          <t>GARCERAS</t>
        </is>
      </c>
      <c r="F1681" s="264" t="inlineStr">
        <is>
          <t>CARGUEROS</t>
        </is>
      </c>
      <c r="G1681" s="264" t="n">
        <v>11</v>
      </c>
      <c r="H1681" s="264" t="inlineStr">
        <is>
          <t>JOSE HERRERA</t>
        </is>
      </c>
      <c r="I1681" s="264" t="inlineStr">
        <is>
          <t>EQY777</t>
        </is>
      </c>
      <c r="J1681" s="265" t="n">
        <v>0.09166666666666666</v>
      </c>
      <c r="K1681" s="266" t="n">
        <v>3010</v>
      </c>
      <c r="L1681" s="308" t="n"/>
      <c r="M1681" s="113" t="n"/>
      <c r="N1681" s="113" t="n"/>
      <c r="O1681" s="113" t="n"/>
      <c r="P1681" s="243" t="n"/>
      <c r="Q1681" s="113" t="n"/>
      <c r="R1681" s="113" t="n"/>
    </row>
    <row r="1682" ht="15.75" customHeight="1">
      <c r="A1682" s="113" t="n"/>
      <c r="B1682" s="146" t="n">
        <v>30</v>
      </c>
      <c r="C1682" s="350" t="n">
        <v>46006</v>
      </c>
      <c r="D1682" s="351" t="n">
        <v>15</v>
      </c>
      <c r="E1682" s="264" t="inlineStr">
        <is>
          <t>GARCERAS</t>
        </is>
      </c>
      <c r="F1682" s="264" t="inlineStr">
        <is>
          <t>CARGUEROS</t>
        </is>
      </c>
      <c r="G1682" s="264" t="n">
        <v>11</v>
      </c>
      <c r="H1682" s="264" t="inlineStr">
        <is>
          <t>SEBASTIAN HIDALGO</t>
        </is>
      </c>
      <c r="I1682" s="264" t="inlineStr">
        <is>
          <t>EQY776</t>
        </is>
      </c>
      <c r="J1682" s="265" t="n">
        <v>0.1236111111111111</v>
      </c>
      <c r="K1682" s="266" t="n">
        <v>3010</v>
      </c>
      <c r="L1682" s="308" t="n"/>
      <c r="M1682" s="113" t="n"/>
      <c r="N1682" s="113" t="n"/>
      <c r="O1682" s="113" t="n"/>
      <c r="P1682" s="243" t="n"/>
      <c r="Q1682" s="113" t="n"/>
      <c r="R1682" s="113" t="n"/>
    </row>
    <row r="1683" ht="15.75" customHeight="1">
      <c r="A1683" s="113" t="n"/>
      <c r="B1683" s="146" t="n">
        <v>30</v>
      </c>
      <c r="C1683" s="350" t="n">
        <v>46006</v>
      </c>
      <c r="D1683" s="351" t="n">
        <v>16</v>
      </c>
      <c r="E1683" s="264" t="inlineStr">
        <is>
          <t>GARCERAS</t>
        </is>
      </c>
      <c r="F1683" s="264" t="inlineStr">
        <is>
          <t>CARGUEROS</t>
        </is>
      </c>
      <c r="G1683" s="264" t="n">
        <v>11</v>
      </c>
      <c r="H1683" s="264" t="inlineStr">
        <is>
          <t>HENRY ROMERO</t>
        </is>
      </c>
      <c r="I1683" s="264" t="inlineStr">
        <is>
          <t>EQY781</t>
        </is>
      </c>
      <c r="J1683" s="265" t="n">
        <v>0.2083333333333333</v>
      </c>
      <c r="K1683" s="266" t="n">
        <v>3110</v>
      </c>
      <c r="L1683" s="308" t="n"/>
      <c r="M1683" s="113" t="n"/>
      <c r="N1683" s="113" t="n"/>
      <c r="O1683" s="113" t="n"/>
      <c r="P1683" s="243" t="n"/>
      <c r="Q1683" s="113" t="n"/>
      <c r="R1683" s="113" t="n"/>
    </row>
    <row r="1684" ht="15.75" customHeight="1">
      <c r="A1684" s="113" t="n"/>
      <c r="B1684" s="146" t="n">
        <v>30</v>
      </c>
      <c r="C1684" s="350" t="n">
        <v>46006</v>
      </c>
      <c r="D1684" s="351" t="n">
        <v>17</v>
      </c>
      <c r="E1684" s="264" t="inlineStr">
        <is>
          <t>GARCERAS</t>
        </is>
      </c>
      <c r="F1684" s="264" t="inlineStr">
        <is>
          <t>CARGUEROS</t>
        </is>
      </c>
      <c r="G1684" s="264" t="n">
        <v>11</v>
      </c>
      <c r="H1684" s="264" t="inlineStr">
        <is>
          <t>ROBINSON PULIDO</t>
        </is>
      </c>
      <c r="I1684" s="264" t="inlineStr">
        <is>
          <t>GZZ673</t>
        </is>
      </c>
      <c r="J1684" s="265" t="n">
        <v>0.33125</v>
      </c>
      <c r="K1684" s="266" t="n">
        <v>3110</v>
      </c>
      <c r="L1684" s="308" t="n"/>
      <c r="M1684" s="113" t="n"/>
      <c r="N1684" s="113" t="n"/>
      <c r="O1684" s="113" t="n"/>
      <c r="P1684" s="243" t="n"/>
      <c r="Q1684" s="113" t="n"/>
      <c r="R1684" s="113" t="n"/>
    </row>
    <row r="1685" ht="15.75" customHeight="1">
      <c r="A1685" s="113" t="n"/>
      <c r="B1685" s="146" t="n">
        <v>30</v>
      </c>
      <c r="C1685" s="350" t="n">
        <v>46006</v>
      </c>
      <c r="D1685" s="351" t="n">
        <v>18</v>
      </c>
      <c r="E1685" s="264" t="inlineStr">
        <is>
          <t>GARCERAS</t>
        </is>
      </c>
      <c r="F1685" s="264" t="inlineStr">
        <is>
          <t>CARGUEROS</t>
        </is>
      </c>
      <c r="G1685" s="264" t="n">
        <v>11</v>
      </c>
      <c r="H1685" s="264" t="inlineStr">
        <is>
          <t>MANUEL QUINTIAN</t>
        </is>
      </c>
      <c r="I1685" s="264" t="inlineStr">
        <is>
          <t>KUS176</t>
        </is>
      </c>
      <c r="J1685" s="265" t="n">
        <v>7</v>
      </c>
      <c r="K1685" s="266" t="n">
        <v>3110</v>
      </c>
      <c r="L1685" s="308" t="n"/>
      <c r="M1685" s="113" t="n"/>
      <c r="N1685" s="113" t="n"/>
      <c r="O1685" s="113" t="n"/>
      <c r="P1685" s="243" t="n"/>
      <c r="Q1685" s="113" t="n"/>
      <c r="R1685" s="113" t="n"/>
    </row>
    <row r="1686" ht="15.75" customHeight="1">
      <c r="A1686" s="113" t="n"/>
      <c r="B1686" s="146" t="n">
        <v>30</v>
      </c>
      <c r="C1686" s="350" t="n">
        <v>46006</v>
      </c>
      <c r="D1686" s="351" t="n">
        <v>19</v>
      </c>
      <c r="E1686" s="264" t="inlineStr">
        <is>
          <t>GARCERAS</t>
        </is>
      </c>
      <c r="F1686" s="264" t="inlineStr">
        <is>
          <t>CARGUEROS</t>
        </is>
      </c>
      <c r="G1686" s="264" t="n">
        <v>11</v>
      </c>
      <c r="H1686" s="264" t="inlineStr">
        <is>
          <t>ALEX CHAGUALA</t>
        </is>
      </c>
      <c r="I1686" s="264" t="inlineStr">
        <is>
          <t>TLN248</t>
        </is>
      </c>
      <c r="J1686" s="265" t="n">
        <v>0.3652777777777778</v>
      </c>
      <c r="K1686" s="266" t="n">
        <v>3110</v>
      </c>
      <c r="L1686" s="308" t="n"/>
      <c r="M1686" s="113" t="n"/>
      <c r="N1686" s="113" t="n"/>
      <c r="O1686" s="113" t="n"/>
      <c r="P1686" s="243" t="n"/>
      <c r="Q1686" s="113" t="n"/>
      <c r="R1686" s="113" t="n"/>
    </row>
    <row r="1687" ht="15.75" customHeight="1">
      <c r="A1687" s="113" t="n"/>
      <c r="B1687" s="146" t="n">
        <v>30</v>
      </c>
      <c r="C1687" s="350" t="n">
        <v>46006</v>
      </c>
      <c r="D1687" s="351" t="n">
        <v>20</v>
      </c>
      <c r="E1687" s="264" t="inlineStr">
        <is>
          <t>GARCERAS</t>
        </is>
      </c>
      <c r="F1687" s="264" t="inlineStr">
        <is>
          <t>CARGUEROS</t>
        </is>
      </c>
      <c r="G1687" s="264" t="n">
        <v>11</v>
      </c>
      <c r="H1687" s="264" t="inlineStr">
        <is>
          <t>SEBASTIAN HIDALGO</t>
        </is>
      </c>
      <c r="I1687" s="264" t="inlineStr">
        <is>
          <t>EQY776</t>
        </is>
      </c>
      <c r="J1687" s="265" t="n">
        <v>0.3958333333333333</v>
      </c>
      <c r="K1687" s="266" t="n">
        <v>3200</v>
      </c>
      <c r="L1687" s="308" t="n"/>
      <c r="M1687" s="113" t="n"/>
      <c r="N1687" s="113" t="n"/>
      <c r="O1687" s="113" t="n"/>
      <c r="P1687" s="243" t="n"/>
      <c r="Q1687" s="113" t="n"/>
      <c r="R1687" s="113" t="n"/>
    </row>
    <row r="1688" ht="15.75" customHeight="1">
      <c r="A1688" s="113" t="n"/>
      <c r="B1688" s="146" t="n">
        <v>30</v>
      </c>
      <c r="C1688" s="350" t="n">
        <v>46006</v>
      </c>
      <c r="D1688" s="351" t="n">
        <v>21</v>
      </c>
      <c r="E1688" s="264" t="inlineStr">
        <is>
          <t>GARCERAS</t>
        </is>
      </c>
      <c r="F1688" s="264" t="inlineStr">
        <is>
          <t>CARGUEROS</t>
        </is>
      </c>
      <c r="G1688" s="264" t="n">
        <v>11</v>
      </c>
      <c r="H1688" s="264" t="inlineStr">
        <is>
          <t>YAIR RIVEROS</t>
        </is>
      </c>
      <c r="I1688" s="264" t="inlineStr">
        <is>
          <t>TLN181</t>
        </is>
      </c>
      <c r="J1688" s="265" t="n">
        <v>0.44375</v>
      </c>
      <c r="K1688" s="266" t="n">
        <v>3684</v>
      </c>
      <c r="L1688" s="308" t="n"/>
      <c r="M1688" s="113" t="n"/>
      <c r="N1688" s="113" t="n"/>
      <c r="O1688" s="113" t="n"/>
      <c r="P1688" s="243" t="n"/>
      <c r="Q1688" s="113" t="n"/>
      <c r="R1688" s="113" t="n"/>
    </row>
    <row r="1689" ht="15.75" customHeight="1">
      <c r="A1689" s="113" t="n"/>
      <c r="B1689" s="146" t="n">
        <v>30</v>
      </c>
      <c r="C1689" s="350" t="n">
        <v>46006</v>
      </c>
      <c r="D1689" s="351" t="n">
        <v>22</v>
      </c>
      <c r="E1689" s="264" t="inlineStr">
        <is>
          <t>GARCERAS</t>
        </is>
      </c>
      <c r="F1689" s="264" t="inlineStr">
        <is>
          <t>CARGUEROS</t>
        </is>
      </c>
      <c r="G1689" s="264" t="n">
        <v>11</v>
      </c>
      <c r="H1689" s="264" t="inlineStr">
        <is>
          <t>FABIO ALDANA</t>
        </is>
      </c>
      <c r="I1689" s="264" t="inlineStr">
        <is>
          <t>TOI882</t>
        </is>
      </c>
      <c r="J1689" s="265" t="n">
        <v>0.4833333333333333</v>
      </c>
      <c r="K1689" s="266" t="n">
        <v>3684</v>
      </c>
      <c r="L1689" s="309" t="n"/>
      <c r="M1689" s="113" t="n"/>
      <c r="N1689" s="113" t="n"/>
      <c r="O1689" s="113" t="n"/>
      <c r="P1689" s="243" t="n"/>
      <c r="Q1689" s="113" t="n"/>
      <c r="R1689" s="113" t="n"/>
    </row>
    <row r="1690" ht="15.75" customHeight="1">
      <c r="A1690" s="113" t="n"/>
      <c r="B1690" s="146" t="n">
        <v>30</v>
      </c>
      <c r="C1690" s="352" t="n">
        <v>46006</v>
      </c>
      <c r="D1690" s="347" t="n">
        <v>23</v>
      </c>
      <c r="E1690" s="282" t="inlineStr">
        <is>
          <t>GARCERAS</t>
        </is>
      </c>
      <c r="F1690" s="282" t="inlineStr">
        <is>
          <t>CARGUEROS</t>
        </is>
      </c>
      <c r="G1690" s="282" t="n">
        <v>11</v>
      </c>
      <c r="H1690" s="282" t="inlineStr">
        <is>
          <t>FERNANDO OYUELA</t>
        </is>
      </c>
      <c r="I1690" s="282" t="inlineStr">
        <is>
          <t>EQY778</t>
        </is>
      </c>
      <c r="J1690" s="283" t="n">
        <v>0.5291666666666667</v>
      </c>
      <c r="K1690" s="284" t="n">
        <v>3564</v>
      </c>
      <c r="L1690" s="378">
        <f>SUM(K1668:K1690)</f>
        <v/>
      </c>
      <c r="M1690" s="113" t="n"/>
      <c r="N1690" s="113" t="n"/>
      <c r="O1690" s="113" t="n"/>
      <c r="P1690" s="243" t="n"/>
      <c r="Q1690" s="113" t="n"/>
      <c r="R1690" s="113" t="n"/>
    </row>
    <row r="1691" ht="15.75" customHeight="1">
      <c r="A1691" s="113" t="n"/>
      <c r="B1691" s="146" t="n">
        <v>30</v>
      </c>
      <c r="C1691" s="348" t="n">
        <v>46007</v>
      </c>
      <c r="D1691" s="349" t="n">
        <v>1</v>
      </c>
      <c r="E1691" s="258" t="inlineStr">
        <is>
          <t>BOGOTA</t>
        </is>
      </c>
      <c r="F1691" s="258" t="inlineStr">
        <is>
          <t>ABONEROS</t>
        </is>
      </c>
      <c r="G1691" s="258" t="n">
        <v>8</v>
      </c>
      <c r="H1691" s="258" t="inlineStr">
        <is>
          <t xml:space="preserve">LEONARDO LUGO </t>
        </is>
      </c>
      <c r="I1691" s="258" t="inlineStr">
        <is>
          <t>SXM804</t>
        </is>
      </c>
      <c r="J1691" s="259" t="n">
        <v>0.7451388888888889</v>
      </c>
      <c r="K1691" s="260" t="n">
        <v>3100</v>
      </c>
      <c r="L1691" s="292" t="n"/>
      <c r="M1691" s="113" t="n"/>
      <c r="N1691" s="113" t="n"/>
      <c r="O1691" s="113" t="n"/>
      <c r="P1691" s="243" t="n"/>
      <c r="Q1691" s="113" t="n"/>
      <c r="R1691" s="113" t="n"/>
    </row>
    <row r="1692" ht="15.75" customHeight="1">
      <c r="A1692" s="113" t="n"/>
      <c r="B1692" s="146" t="n">
        <v>30</v>
      </c>
      <c r="C1692" s="350" t="n">
        <v>46007</v>
      </c>
      <c r="D1692" s="351" t="n">
        <v>2</v>
      </c>
      <c r="E1692" s="264" t="inlineStr">
        <is>
          <t>BOGOTA</t>
        </is>
      </c>
      <c r="F1692" s="264" t="inlineStr">
        <is>
          <t>ABONEROS</t>
        </is>
      </c>
      <c r="G1692" s="264" t="n">
        <v>8</v>
      </c>
      <c r="H1692" s="264" t="inlineStr">
        <is>
          <t>MARCOS PINA</t>
        </is>
      </c>
      <c r="I1692" s="264" t="inlineStr">
        <is>
          <t>EQY688</t>
        </is>
      </c>
      <c r="J1692" s="265" t="n">
        <v>0.7888888888888889</v>
      </c>
      <c r="K1692" s="266" t="n">
        <v>3100</v>
      </c>
      <c r="L1692" s="308" t="n"/>
      <c r="M1692" s="113" t="n"/>
      <c r="N1692" s="113" t="n"/>
      <c r="O1692" s="113" t="n"/>
      <c r="P1692" s="243" t="n"/>
      <c r="Q1692" s="113" t="n"/>
      <c r="R1692" s="113" t="n"/>
    </row>
    <row r="1693" ht="15.75" customHeight="1">
      <c r="A1693" s="113" t="n"/>
      <c r="B1693" s="146" t="n">
        <v>30</v>
      </c>
      <c r="C1693" s="350" t="n">
        <v>46007</v>
      </c>
      <c r="D1693" s="351" t="n">
        <v>3</v>
      </c>
      <c r="E1693" s="264" t="inlineStr">
        <is>
          <t>BOGOTA</t>
        </is>
      </c>
      <c r="F1693" s="264" t="inlineStr">
        <is>
          <t>ABONEROS</t>
        </is>
      </c>
      <c r="G1693" s="264" t="n">
        <v>8</v>
      </c>
      <c r="H1693" s="264" t="inlineStr">
        <is>
          <t>JOSE BELTRAN</t>
        </is>
      </c>
      <c r="I1693" s="264" t="inlineStr">
        <is>
          <t>SMS209</t>
        </is>
      </c>
      <c r="J1693" s="265" t="n">
        <v>0.8486111111111111</v>
      </c>
      <c r="K1693" s="266" t="n">
        <v>3100</v>
      </c>
      <c r="L1693" s="308" t="n"/>
      <c r="M1693" s="113" t="n"/>
      <c r="N1693" s="113" t="n"/>
      <c r="O1693" s="113" t="n"/>
      <c r="P1693" s="243" t="n"/>
      <c r="Q1693" s="113" t="n"/>
      <c r="R1693" s="113" t="n"/>
    </row>
    <row r="1694" ht="15.75" customHeight="1">
      <c r="A1694" s="113" t="n"/>
      <c r="B1694" s="146" t="n">
        <v>30</v>
      </c>
      <c r="C1694" s="350" t="n">
        <v>46007</v>
      </c>
      <c r="D1694" s="351" t="n">
        <v>4</v>
      </c>
      <c r="E1694" s="264" t="inlineStr">
        <is>
          <t>BOGOTA</t>
        </is>
      </c>
      <c r="F1694" s="264" t="inlineStr">
        <is>
          <t>ABONEROS</t>
        </is>
      </c>
      <c r="G1694" s="264" t="n">
        <v>8</v>
      </c>
      <c r="H1694" s="264" t="inlineStr">
        <is>
          <t>MARCO LOPEZ</t>
        </is>
      </c>
      <c r="I1694" s="264" t="inlineStr">
        <is>
          <t>SWQ176</t>
        </is>
      </c>
      <c r="J1694" s="265" t="n">
        <v>0.8958333333333334</v>
      </c>
      <c r="K1694" s="266" t="n">
        <v>2925</v>
      </c>
      <c r="L1694" s="308" t="n"/>
      <c r="M1694" s="113" t="n"/>
      <c r="N1694" s="113" t="n"/>
      <c r="O1694" s="113" t="n"/>
      <c r="P1694" s="243" t="n"/>
      <c r="Q1694" s="113" t="n"/>
      <c r="R1694" s="113" t="n"/>
    </row>
    <row r="1695" ht="15.75" customHeight="1">
      <c r="A1695" s="113" t="n"/>
      <c r="B1695" s="146" t="n">
        <v>30</v>
      </c>
      <c r="C1695" s="350" t="n">
        <v>46007</v>
      </c>
      <c r="D1695" s="351" t="n">
        <v>5</v>
      </c>
      <c r="E1695" s="264" t="inlineStr">
        <is>
          <t>BOGOTA</t>
        </is>
      </c>
      <c r="F1695" s="264" t="inlineStr">
        <is>
          <t>ABONEROS</t>
        </is>
      </c>
      <c r="G1695" s="264" t="n">
        <v>8</v>
      </c>
      <c r="H1695" s="264" t="inlineStr">
        <is>
          <t>CARLOS ACERO</t>
        </is>
      </c>
      <c r="I1695" s="264" t="inlineStr">
        <is>
          <t>WPQ994</t>
        </is>
      </c>
      <c r="J1695" s="265" t="n">
        <v>0.9444444444444444</v>
      </c>
      <c r="K1695" s="266" t="n">
        <v>3000</v>
      </c>
      <c r="L1695" s="308" t="n"/>
      <c r="M1695" s="113" t="n"/>
      <c r="N1695" s="113" t="n"/>
      <c r="O1695" s="113" t="n"/>
      <c r="P1695" s="243" t="n"/>
      <c r="Q1695" s="113" t="n"/>
      <c r="R1695" s="113" t="n"/>
    </row>
    <row r="1696" ht="15.75" customHeight="1">
      <c r="A1696" s="113" t="n"/>
      <c r="B1696" s="146" t="n">
        <v>30</v>
      </c>
      <c r="C1696" s="350" t="n">
        <v>46007</v>
      </c>
      <c r="D1696" s="351" t="n">
        <v>6</v>
      </c>
      <c r="E1696" s="264" t="inlineStr">
        <is>
          <t>HUERTAS</t>
        </is>
      </c>
      <c r="F1696" s="264" t="inlineStr">
        <is>
          <t>ABONEROS</t>
        </is>
      </c>
      <c r="G1696" s="264" t="n">
        <v>8</v>
      </c>
      <c r="H1696" s="264" t="inlineStr">
        <is>
          <t>EDUAN CAVIDES</t>
        </is>
      </c>
      <c r="I1696" s="264" t="inlineStr">
        <is>
          <t>EQY779</t>
        </is>
      </c>
      <c r="J1696" s="265" t="n">
        <v>0.006944444444444444</v>
      </c>
      <c r="K1696" s="266" t="n">
        <v>2458</v>
      </c>
      <c r="L1696" s="308" t="n"/>
      <c r="M1696" s="113" t="n"/>
      <c r="N1696" s="113" t="n"/>
      <c r="O1696" s="113" t="n"/>
      <c r="P1696" s="243" t="n"/>
      <c r="Q1696" s="113" t="n"/>
      <c r="R1696" s="113" t="n"/>
    </row>
    <row r="1697" ht="15.75" customHeight="1">
      <c r="A1697" s="113" t="n"/>
      <c r="B1697" s="146" t="n">
        <v>30</v>
      </c>
      <c r="C1697" s="350" t="n">
        <v>46007</v>
      </c>
      <c r="D1697" s="351" t="n">
        <v>7</v>
      </c>
      <c r="E1697" s="264" t="inlineStr">
        <is>
          <t>HUERTAS</t>
        </is>
      </c>
      <c r="F1697" s="264" t="inlineStr">
        <is>
          <t>ABONEROS</t>
        </is>
      </c>
      <c r="G1697" s="264" t="n">
        <v>8</v>
      </c>
      <c r="H1697" s="264" t="inlineStr">
        <is>
          <t>ALEX CHAGUALA</t>
        </is>
      </c>
      <c r="I1697" s="264" t="inlineStr">
        <is>
          <t>GZZ673</t>
        </is>
      </c>
      <c r="J1697" s="265" t="n">
        <v>0.05347222222222222</v>
      </c>
      <c r="K1697" s="266" t="n">
        <v>2520</v>
      </c>
      <c r="L1697" s="308" t="n"/>
      <c r="M1697" s="113" t="n"/>
      <c r="N1697" s="113" t="n"/>
      <c r="O1697" s="113" t="n"/>
      <c r="P1697" s="243" t="n"/>
      <c r="Q1697" s="113" t="n"/>
      <c r="R1697" s="113" t="n"/>
    </row>
    <row r="1698" ht="15.75" customHeight="1">
      <c r="A1698" s="113" t="n"/>
      <c r="B1698" s="146" t="n">
        <v>30</v>
      </c>
      <c r="C1698" s="350" t="n">
        <v>46007</v>
      </c>
      <c r="D1698" s="351" t="n">
        <v>8</v>
      </c>
      <c r="E1698" s="264" t="inlineStr">
        <is>
          <t>GARCERAS</t>
        </is>
      </c>
      <c r="F1698" s="264" t="inlineStr">
        <is>
          <t>CARGUEROS</t>
        </is>
      </c>
      <c r="G1698" s="264" t="n">
        <v>10</v>
      </c>
      <c r="H1698" s="264" t="inlineStr">
        <is>
          <t>JHON ARIAS</t>
        </is>
      </c>
      <c r="I1698" s="264" t="inlineStr">
        <is>
          <t>TLN248</t>
        </is>
      </c>
      <c r="J1698" s="265" t="n">
        <v>0.08680555555555555</v>
      </c>
      <c r="K1698" s="266" t="n">
        <v>3080</v>
      </c>
      <c r="L1698" s="308" t="n"/>
      <c r="M1698" s="113" t="n"/>
      <c r="N1698" s="113" t="n"/>
      <c r="O1698" s="113" t="n"/>
      <c r="P1698" s="243" t="n"/>
      <c r="Q1698" s="113" t="n"/>
      <c r="R1698" s="113" t="n"/>
    </row>
    <row r="1699" ht="15.75" customHeight="1">
      <c r="A1699" s="113" t="n"/>
      <c r="B1699" s="146" t="n">
        <v>30</v>
      </c>
      <c r="C1699" s="350" t="n">
        <v>46007</v>
      </c>
      <c r="D1699" s="351" t="n">
        <v>9</v>
      </c>
      <c r="E1699" s="264" t="inlineStr">
        <is>
          <t>GARCERAS</t>
        </is>
      </c>
      <c r="F1699" s="264" t="inlineStr">
        <is>
          <t>CARGUEROS</t>
        </is>
      </c>
      <c r="G1699" s="264" t="n">
        <v>10</v>
      </c>
      <c r="H1699" s="264" t="inlineStr">
        <is>
          <t>ALEX GOMEZ</t>
        </is>
      </c>
      <c r="I1699" s="264" t="inlineStr">
        <is>
          <t>TLO881</t>
        </is>
      </c>
      <c r="J1699" s="265" t="n">
        <v>0.1152777777777778</v>
      </c>
      <c r="K1699" s="266" t="n">
        <v>3080</v>
      </c>
      <c r="L1699" s="308" t="n"/>
      <c r="M1699" s="113" t="n"/>
      <c r="N1699" s="113" t="n"/>
      <c r="O1699" s="113" t="n"/>
      <c r="P1699" s="243" t="n"/>
      <c r="Q1699" s="113" t="n"/>
      <c r="R1699" s="113" t="n"/>
    </row>
    <row r="1700" ht="15.75" customHeight="1">
      <c r="A1700" s="113" t="n"/>
      <c r="B1700" s="146" t="n">
        <v>30</v>
      </c>
      <c r="C1700" s="350" t="n">
        <v>46007</v>
      </c>
      <c r="D1700" s="351" t="n">
        <v>10</v>
      </c>
      <c r="E1700" s="264" t="inlineStr">
        <is>
          <t>GARCERAS</t>
        </is>
      </c>
      <c r="F1700" s="264" t="inlineStr">
        <is>
          <t>CARGUEROS</t>
        </is>
      </c>
      <c r="G1700" s="264" t="n">
        <v>10</v>
      </c>
      <c r="H1700" s="264" t="inlineStr">
        <is>
          <t>SEBASTIAN HUDALGO</t>
        </is>
      </c>
      <c r="I1700" s="264" t="inlineStr">
        <is>
          <t>EQY776</t>
        </is>
      </c>
      <c r="J1700" s="265" t="n">
        <v>0.1486111111111111</v>
      </c>
      <c r="K1700" s="266" t="n">
        <v>3080</v>
      </c>
      <c r="L1700" s="308" t="n"/>
      <c r="M1700" s="113" t="n"/>
      <c r="N1700" s="113" t="n"/>
      <c r="O1700" s="113" t="n"/>
      <c r="P1700" s="243" t="n"/>
      <c r="Q1700" s="113" t="n"/>
      <c r="R1700" s="113" t="n"/>
    </row>
    <row r="1701" ht="15.75" customHeight="1">
      <c r="A1701" s="113" t="n"/>
      <c r="B1701" s="146" t="n">
        <v>30</v>
      </c>
      <c r="C1701" s="350" t="n">
        <v>46007</v>
      </c>
      <c r="D1701" s="351" t="n">
        <v>11</v>
      </c>
      <c r="E1701" s="264" t="inlineStr">
        <is>
          <t>GARCERAS</t>
        </is>
      </c>
      <c r="F1701" s="264" t="inlineStr">
        <is>
          <t>CARGUEROS</t>
        </is>
      </c>
      <c r="G1701" s="264" t="n">
        <v>10</v>
      </c>
      <c r="H1701" s="264" t="inlineStr">
        <is>
          <t>WILMER PIÑEROS</t>
        </is>
      </c>
      <c r="I1701" s="264" t="inlineStr">
        <is>
          <t>KLN076</t>
        </is>
      </c>
      <c r="J1701" s="265" t="n">
        <v>0.1854166666666667</v>
      </c>
      <c r="K1701" s="266" t="n">
        <v>3080</v>
      </c>
      <c r="L1701" s="308" t="n"/>
      <c r="M1701" s="113" t="n"/>
      <c r="N1701" s="113" t="n"/>
      <c r="O1701" s="113" t="n"/>
      <c r="P1701" s="243" t="n"/>
      <c r="Q1701" s="113" t="n"/>
      <c r="R1701" s="113" t="n"/>
    </row>
    <row r="1702" ht="15.75" customHeight="1">
      <c r="A1702" s="113" t="n"/>
      <c r="B1702" s="146" t="n">
        <v>30</v>
      </c>
      <c r="C1702" s="350" t="n">
        <v>46007</v>
      </c>
      <c r="D1702" s="351" t="n">
        <v>12</v>
      </c>
      <c r="E1702" s="264" t="inlineStr">
        <is>
          <t>GARCERAS</t>
        </is>
      </c>
      <c r="F1702" s="264" t="inlineStr">
        <is>
          <t>CARGUEROS</t>
        </is>
      </c>
      <c r="G1702" s="264" t="n">
        <v>10</v>
      </c>
      <c r="H1702" s="264" t="inlineStr">
        <is>
          <t>EDWIN ROJAS</t>
        </is>
      </c>
      <c r="I1702" s="264" t="inlineStr">
        <is>
          <t>EQY780</t>
        </is>
      </c>
      <c r="J1702" s="265" t="n">
        <v>0.3111111111111111</v>
      </c>
      <c r="K1702" s="266" t="n">
        <v>3080</v>
      </c>
      <c r="L1702" s="308" t="n"/>
      <c r="M1702" s="113" t="n"/>
      <c r="N1702" s="113" t="n"/>
      <c r="O1702" s="113" t="n"/>
      <c r="P1702" s="243" t="n"/>
      <c r="Q1702" s="113" t="n"/>
      <c r="R1702" s="113" t="n"/>
    </row>
    <row r="1703" ht="15.75" customHeight="1">
      <c r="A1703" s="113" t="n"/>
      <c r="B1703" s="146" t="n">
        <v>30</v>
      </c>
      <c r="C1703" s="350" t="n">
        <v>46007</v>
      </c>
      <c r="D1703" s="351" t="n">
        <v>13</v>
      </c>
      <c r="E1703" s="264" t="inlineStr">
        <is>
          <t>GARCERAS</t>
        </is>
      </c>
      <c r="F1703" s="264" t="inlineStr">
        <is>
          <t>CARGUEROS</t>
        </is>
      </c>
      <c r="G1703" s="264" t="n">
        <v>10</v>
      </c>
      <c r="H1703" s="264" t="inlineStr">
        <is>
          <t>FERNANDO OYUELA</t>
        </is>
      </c>
      <c r="I1703" s="264" t="inlineStr">
        <is>
          <t>EQY778</t>
        </is>
      </c>
      <c r="J1703" s="265" t="n">
        <v>0.2763888888888889</v>
      </c>
      <c r="K1703" s="266" t="n">
        <v>3867</v>
      </c>
      <c r="L1703" s="308" t="n"/>
      <c r="M1703" s="113" t="n"/>
      <c r="N1703" s="113" t="n"/>
      <c r="O1703" s="113" t="n"/>
      <c r="P1703" s="243" t="n"/>
      <c r="Q1703" s="113" t="n"/>
      <c r="R1703" s="113" t="n"/>
    </row>
    <row r="1704" ht="15.75" customHeight="1">
      <c r="A1704" s="113" t="n"/>
      <c r="B1704" s="146" t="n">
        <v>30</v>
      </c>
      <c r="C1704" s="350" t="n">
        <v>46007</v>
      </c>
      <c r="D1704" s="351" t="n">
        <v>14</v>
      </c>
      <c r="E1704" s="264" t="inlineStr">
        <is>
          <t>GARCERAS</t>
        </is>
      </c>
      <c r="F1704" s="264" t="inlineStr">
        <is>
          <t>CARGUEROS</t>
        </is>
      </c>
      <c r="G1704" s="264" t="n">
        <v>10</v>
      </c>
      <c r="H1704" s="264" t="inlineStr">
        <is>
          <t>ALEX CHAGUALA</t>
        </is>
      </c>
      <c r="I1704" s="264" t="inlineStr">
        <is>
          <t>GZZ673</t>
        </is>
      </c>
      <c r="J1704" s="265" t="n">
        <v>0.36875</v>
      </c>
      <c r="K1704" s="266" t="n">
        <v>3684</v>
      </c>
      <c r="L1704" s="308" t="n"/>
      <c r="M1704" s="113" t="n"/>
      <c r="N1704" s="113" t="n"/>
      <c r="O1704" s="113" t="n"/>
      <c r="P1704" s="243" t="n"/>
      <c r="Q1704" s="113" t="n"/>
      <c r="R1704" s="113" t="n"/>
    </row>
    <row r="1705" ht="15.75" customHeight="1">
      <c r="A1705" s="113" t="n"/>
      <c r="B1705" s="146" t="n">
        <v>30</v>
      </c>
      <c r="C1705" s="350" t="n">
        <v>46007</v>
      </c>
      <c r="D1705" s="351" t="n">
        <v>15</v>
      </c>
      <c r="E1705" s="264" t="inlineStr">
        <is>
          <t>GARCERAS</t>
        </is>
      </c>
      <c r="F1705" s="264" t="inlineStr">
        <is>
          <t>CARGUEROS</t>
        </is>
      </c>
      <c r="G1705" s="264" t="n">
        <v>10</v>
      </c>
      <c r="H1705" s="264" t="inlineStr">
        <is>
          <t>ALEX GOMEZ</t>
        </is>
      </c>
      <c r="I1705" s="264" t="inlineStr">
        <is>
          <t>TLO881</t>
        </is>
      </c>
      <c r="J1705" s="265" t="n">
        <v>0.3993055555555556</v>
      </c>
      <c r="K1705" s="266" t="n">
        <v>3684</v>
      </c>
      <c r="L1705" s="308" t="n"/>
      <c r="M1705" s="113" t="n"/>
      <c r="N1705" s="113" t="n"/>
      <c r="O1705" s="113" t="n"/>
      <c r="P1705" s="243" t="n"/>
      <c r="Q1705" s="113" t="n"/>
      <c r="R1705" s="113" t="n"/>
    </row>
    <row r="1706" ht="15.75" customHeight="1">
      <c r="A1706" s="113" t="n"/>
      <c r="B1706" s="146" t="n">
        <v>30</v>
      </c>
      <c r="C1706" s="350" t="n">
        <v>46007</v>
      </c>
      <c r="D1706" s="351" t="n">
        <v>16</v>
      </c>
      <c r="E1706" s="264" t="inlineStr">
        <is>
          <t>GARCERAS</t>
        </is>
      </c>
      <c r="F1706" s="264" t="inlineStr">
        <is>
          <t>CARGUEROS</t>
        </is>
      </c>
      <c r="G1706" s="264" t="n">
        <v>10</v>
      </c>
      <c r="H1706" s="264" t="inlineStr">
        <is>
          <t xml:space="preserve">SEBASTIAN HIDALGO </t>
        </is>
      </c>
      <c r="I1706" s="264" t="inlineStr">
        <is>
          <t>EQY776</t>
        </is>
      </c>
      <c r="J1706" s="265" t="n">
        <v>0.4361111111111111</v>
      </c>
      <c r="K1706" s="266" t="n">
        <v>3564</v>
      </c>
      <c r="L1706" s="309" t="n"/>
      <c r="M1706" s="113" t="n"/>
      <c r="N1706" s="113" t="n"/>
      <c r="O1706" s="113" t="n"/>
      <c r="P1706" s="243" t="n"/>
      <c r="Q1706" s="113" t="n"/>
      <c r="R1706" s="113" t="n"/>
    </row>
    <row r="1707" ht="15.75" customHeight="1">
      <c r="A1707" s="113" t="n"/>
      <c r="B1707" s="146" t="n">
        <v>30</v>
      </c>
      <c r="C1707" s="352" t="n">
        <v>46007</v>
      </c>
      <c r="D1707" s="347" t="n">
        <v>17</v>
      </c>
      <c r="E1707" s="282" t="inlineStr">
        <is>
          <t>GARCERAS</t>
        </is>
      </c>
      <c r="F1707" s="282" t="inlineStr">
        <is>
          <t>CARGUEROS</t>
        </is>
      </c>
      <c r="G1707" s="282" t="n">
        <v>10</v>
      </c>
      <c r="H1707" s="282" t="inlineStr">
        <is>
          <t>WILMER PIÑEROS</t>
        </is>
      </c>
      <c r="I1707" s="282" t="inlineStr">
        <is>
          <t>KLN076</t>
        </is>
      </c>
      <c r="J1707" s="283" t="n">
        <v>0.4826388888888889</v>
      </c>
      <c r="K1707" s="284" t="n">
        <v>3564</v>
      </c>
      <c r="L1707" s="353">
        <f>SUM(K1691:K1707)</f>
        <v/>
      </c>
      <c r="M1707" s="113" t="n"/>
      <c r="N1707" s="113" t="n"/>
      <c r="O1707" s="113" t="n"/>
      <c r="P1707" s="243" t="n"/>
      <c r="Q1707" s="113" t="n"/>
      <c r="R1707" s="113" t="n"/>
    </row>
    <row r="1708" ht="15.75" customHeight="1">
      <c r="A1708" s="113" t="n"/>
      <c r="B1708" s="146" t="n">
        <v>30</v>
      </c>
      <c r="C1708" s="348" t="n">
        <v>46008</v>
      </c>
      <c r="D1708" s="349" t="n">
        <v>1</v>
      </c>
      <c r="E1708" s="258" t="inlineStr">
        <is>
          <t>GARCERAS</t>
        </is>
      </c>
      <c r="F1708" s="258" t="inlineStr">
        <is>
          <t>ABONEROS</t>
        </is>
      </c>
      <c r="G1708" s="258" t="n">
        <v>9</v>
      </c>
      <c r="H1708" s="258" t="inlineStr">
        <is>
          <t>ROBERTO MONROY</t>
        </is>
      </c>
      <c r="I1708" s="258" t="inlineStr">
        <is>
          <t>WPQ994</t>
        </is>
      </c>
      <c r="J1708" s="259" t="n">
        <v>0.7902777777777777</v>
      </c>
      <c r="K1708" s="260" t="n">
        <v>2818</v>
      </c>
      <c r="L1708" s="387" t="n"/>
      <c r="M1708" s="113" t="n"/>
      <c r="N1708" s="113" t="n"/>
      <c r="O1708" s="113" t="n"/>
      <c r="P1708" s="243" t="n"/>
      <c r="Q1708" s="113" t="n"/>
      <c r="R1708" s="113" t="n"/>
    </row>
    <row r="1709" ht="15.75" customHeight="1">
      <c r="A1709" s="113" t="n"/>
      <c r="B1709" s="146" t="n">
        <v>30</v>
      </c>
      <c r="C1709" s="352" t="n">
        <v>46008</v>
      </c>
      <c r="D1709" s="347" t="n">
        <v>2</v>
      </c>
      <c r="E1709" s="282" t="inlineStr">
        <is>
          <t>GARCERAS</t>
        </is>
      </c>
      <c r="F1709" s="282" t="inlineStr">
        <is>
          <t>ABONEROS</t>
        </is>
      </c>
      <c r="G1709" s="282" t="n">
        <v>9</v>
      </c>
      <c r="H1709" s="282" t="inlineStr">
        <is>
          <t>ALEJANDRO CUCAITA</t>
        </is>
      </c>
      <c r="I1709" s="282" t="inlineStr">
        <is>
          <t>TLN250</t>
        </is>
      </c>
      <c r="J1709" s="283" t="n">
        <v>0.8375</v>
      </c>
      <c r="K1709" s="284" t="n">
        <v>2818</v>
      </c>
      <c r="L1709" s="353">
        <f>SUM(K1708:K1709)</f>
        <v/>
      </c>
      <c r="M1709" s="113" t="n"/>
      <c r="N1709" s="113" t="n"/>
      <c r="O1709" s="113" t="n"/>
      <c r="P1709" s="243" t="n"/>
      <c r="Q1709" s="113" t="n"/>
      <c r="R1709" s="113" t="n"/>
    </row>
    <row r="1710" ht="15.75" customHeight="1">
      <c r="A1710" s="113" t="n"/>
      <c r="B1710" s="146" t="n">
        <v>30</v>
      </c>
      <c r="C1710" s="348" t="n">
        <v>46009</v>
      </c>
      <c r="D1710" s="349" t="n">
        <v>1</v>
      </c>
      <c r="E1710" s="258" t="inlineStr">
        <is>
          <t>HUERTAS</t>
        </is>
      </c>
      <c r="F1710" s="258" t="inlineStr">
        <is>
          <t>CARGUEROS</t>
        </is>
      </c>
      <c r="G1710" s="258" t="n">
        <v>11</v>
      </c>
      <c r="H1710" s="258" t="inlineStr">
        <is>
          <t>DUMAR ANGARITA</t>
        </is>
      </c>
      <c r="I1710" s="258" t="inlineStr">
        <is>
          <t>LQO745</t>
        </is>
      </c>
      <c r="J1710" s="259" t="n">
        <v>0.8291666666666667</v>
      </c>
      <c r="K1710" s="260" t="n">
        <v>2520</v>
      </c>
      <c r="L1710" s="292" t="n"/>
      <c r="M1710" s="113" t="n"/>
      <c r="N1710" s="113" t="n"/>
      <c r="O1710" s="113" t="n"/>
      <c r="P1710" s="243" t="n"/>
      <c r="Q1710" s="113" t="n"/>
      <c r="R1710" s="113" t="n"/>
    </row>
    <row r="1711" ht="15.75" customHeight="1">
      <c r="A1711" s="113" t="n"/>
      <c r="B1711" s="146" t="n">
        <v>30</v>
      </c>
      <c r="C1711" s="350" t="n">
        <v>46009</v>
      </c>
      <c r="D1711" s="351" t="n">
        <v>2</v>
      </c>
      <c r="E1711" s="264" t="inlineStr">
        <is>
          <t>HUERTAS</t>
        </is>
      </c>
      <c r="F1711" s="264" t="inlineStr">
        <is>
          <t>CARGUEROS</t>
        </is>
      </c>
      <c r="G1711" s="264" t="n">
        <v>11</v>
      </c>
      <c r="H1711" s="264" t="inlineStr">
        <is>
          <t>ROBINSON PULIDO</t>
        </is>
      </c>
      <c r="I1711" s="264" t="inlineStr">
        <is>
          <t>GZZ673</t>
        </is>
      </c>
      <c r="J1711" s="265" t="n">
        <v>0.8625</v>
      </c>
      <c r="K1711" s="266" t="n">
        <v>2925</v>
      </c>
      <c r="L1711" s="308" t="n"/>
      <c r="M1711" s="113" t="n"/>
      <c r="N1711" s="113" t="n"/>
      <c r="O1711" s="113" t="n"/>
      <c r="P1711" s="243" t="n"/>
      <c r="Q1711" s="113" t="n"/>
      <c r="R1711" s="113" t="n"/>
    </row>
    <row r="1712" ht="15.75" customHeight="1">
      <c r="A1712" s="113" t="n"/>
      <c r="B1712" s="146" t="n">
        <v>30</v>
      </c>
      <c r="C1712" s="350" t="n">
        <v>46009</v>
      </c>
      <c r="D1712" s="351" t="n">
        <v>3</v>
      </c>
      <c r="E1712" s="264" t="inlineStr">
        <is>
          <t>HUERTAS</t>
        </is>
      </c>
      <c r="F1712" s="264" t="inlineStr">
        <is>
          <t>CARGUEROS</t>
        </is>
      </c>
      <c r="G1712" s="264" t="n">
        <v>11</v>
      </c>
      <c r="H1712" s="264" t="inlineStr">
        <is>
          <t>FERNANDO OYUELA</t>
        </is>
      </c>
      <c r="I1712" s="264" t="inlineStr">
        <is>
          <t>EQY778</t>
        </is>
      </c>
      <c r="J1712" s="265" t="n">
        <v>0.9</v>
      </c>
      <c r="K1712" s="266" t="n">
        <v>2520</v>
      </c>
      <c r="L1712" s="308" t="n"/>
      <c r="M1712" s="113" t="n"/>
      <c r="N1712" s="113" t="n"/>
      <c r="O1712" s="113" t="n"/>
      <c r="P1712" s="243" t="n"/>
      <c r="Q1712" s="113" t="n"/>
      <c r="R1712" s="113" t="n"/>
    </row>
    <row r="1713" ht="15.75" customHeight="1">
      <c r="A1713" s="113" t="n"/>
      <c r="B1713" s="146" t="n">
        <v>30</v>
      </c>
      <c r="C1713" s="350" t="n">
        <v>46009</v>
      </c>
      <c r="D1713" s="351" t="n">
        <v>4</v>
      </c>
      <c r="E1713" s="264" t="inlineStr">
        <is>
          <t>HUERTAS</t>
        </is>
      </c>
      <c r="F1713" s="264" t="inlineStr">
        <is>
          <t>CARGUEROS</t>
        </is>
      </c>
      <c r="G1713" s="264" t="n">
        <v>11</v>
      </c>
      <c r="H1713" s="264" t="inlineStr">
        <is>
          <t>YAIR RIVEROS</t>
        </is>
      </c>
      <c r="I1713" s="264" t="inlineStr">
        <is>
          <t>TLN181</t>
        </is>
      </c>
      <c r="J1713" s="265" t="n">
        <v>0.9361111111111111</v>
      </c>
      <c r="K1713" s="266" t="n">
        <v>3000</v>
      </c>
      <c r="L1713" s="308" t="n"/>
      <c r="M1713" s="113" t="n"/>
      <c r="N1713" s="113" t="n"/>
      <c r="O1713" s="113" t="n"/>
      <c r="P1713" s="243" t="n"/>
      <c r="Q1713" s="113" t="n"/>
      <c r="R1713" s="113" t="n"/>
    </row>
    <row r="1714" ht="15.75" customHeight="1">
      <c r="A1714" s="113" t="n"/>
      <c r="B1714" s="146" t="n">
        <v>30</v>
      </c>
      <c r="C1714" s="350" t="n">
        <v>46009</v>
      </c>
      <c r="D1714" s="351" t="n">
        <v>5</v>
      </c>
      <c r="E1714" s="264" t="inlineStr">
        <is>
          <t>HUERTAS</t>
        </is>
      </c>
      <c r="F1714" s="264" t="inlineStr">
        <is>
          <t>CARGUEROS</t>
        </is>
      </c>
      <c r="G1714" s="264" t="n">
        <v>11</v>
      </c>
      <c r="H1714" s="264" t="inlineStr">
        <is>
          <t xml:space="preserve">ALBERTO HERRERA </t>
        </is>
      </c>
      <c r="I1714" s="264" t="inlineStr">
        <is>
          <t>EQY777</t>
        </is>
      </c>
      <c r="J1714" s="265" t="n">
        <v>0.9756944444444444</v>
      </c>
      <c r="K1714" s="266" t="n">
        <v>2370</v>
      </c>
      <c r="L1714" s="308" t="n"/>
      <c r="M1714" s="113" t="n"/>
      <c r="N1714" s="113" t="n"/>
      <c r="O1714" s="113" t="n"/>
      <c r="P1714" s="243" t="n"/>
      <c r="Q1714" s="113" t="n"/>
      <c r="R1714" s="113" t="n"/>
    </row>
    <row r="1715" ht="15.75" customHeight="1">
      <c r="A1715" s="113" t="n"/>
      <c r="B1715" s="146" t="n">
        <v>30</v>
      </c>
      <c r="C1715" s="350" t="n">
        <v>46009</v>
      </c>
      <c r="D1715" s="351" t="n">
        <v>6</v>
      </c>
      <c r="E1715" s="264" t="inlineStr">
        <is>
          <t>HUERTAS</t>
        </is>
      </c>
      <c r="F1715" s="264" t="inlineStr">
        <is>
          <t>CARGUEROS</t>
        </is>
      </c>
      <c r="G1715" s="264" t="n">
        <v>11</v>
      </c>
      <c r="H1715" s="264" t="inlineStr">
        <is>
          <t>ALEX GOMEZ</t>
        </is>
      </c>
      <c r="I1715" s="264" t="inlineStr">
        <is>
          <t>TLO881</t>
        </is>
      </c>
      <c r="J1715" s="265" t="n">
        <v>0.01388888888888889</v>
      </c>
      <c r="K1715" s="266" t="n">
        <v>2241</v>
      </c>
      <c r="L1715" s="308" t="n"/>
      <c r="M1715" s="113" t="n"/>
      <c r="N1715" s="113" t="n"/>
      <c r="O1715" s="113" t="n"/>
      <c r="P1715" s="243" t="n"/>
      <c r="Q1715" s="113" t="n"/>
      <c r="R1715" s="113" t="n"/>
    </row>
    <row r="1716" ht="15.75" customHeight="1">
      <c r="A1716" s="113" t="n"/>
      <c r="B1716" s="146" t="n">
        <v>30</v>
      </c>
      <c r="C1716" s="350" t="n">
        <v>46009</v>
      </c>
      <c r="D1716" s="351" t="n">
        <v>7</v>
      </c>
      <c r="E1716" s="264" t="inlineStr">
        <is>
          <t>GARCERAS</t>
        </is>
      </c>
      <c r="F1716" s="264" t="inlineStr">
        <is>
          <t>ABONEROS</t>
        </is>
      </c>
      <c r="G1716" s="264" t="n">
        <v>9</v>
      </c>
      <c r="H1716" s="264" t="inlineStr">
        <is>
          <t>ALEXANDER CHAGUALA</t>
        </is>
      </c>
      <c r="I1716" s="264" t="inlineStr">
        <is>
          <t>EQY780</t>
        </is>
      </c>
      <c r="J1716" s="265" t="n">
        <v>0.2527777777777778</v>
      </c>
      <c r="K1716" s="266" t="n">
        <v>2820</v>
      </c>
      <c r="L1716" s="308" t="n"/>
      <c r="M1716" s="113" t="n"/>
      <c r="N1716" s="113" t="n"/>
      <c r="O1716" s="113" t="n"/>
      <c r="P1716" s="243" t="n"/>
      <c r="Q1716" s="113" t="n"/>
      <c r="R1716" s="113" t="n"/>
    </row>
    <row r="1717" ht="15.75" customHeight="1">
      <c r="A1717" s="113" t="n"/>
      <c r="B1717" s="146" t="n">
        <v>30</v>
      </c>
      <c r="C1717" s="350" t="n">
        <v>46009</v>
      </c>
      <c r="D1717" s="351" t="n">
        <v>8</v>
      </c>
      <c r="E1717" s="264" t="inlineStr">
        <is>
          <t>GARCERAS</t>
        </is>
      </c>
      <c r="F1717" s="264" t="inlineStr">
        <is>
          <t>ABONEROS</t>
        </is>
      </c>
      <c r="G1717" s="264" t="n">
        <v>9</v>
      </c>
      <c r="H1717" s="264" t="inlineStr">
        <is>
          <t>DUMAR ANGARITA</t>
        </is>
      </c>
      <c r="I1717" s="264" t="inlineStr">
        <is>
          <t>LQO745</t>
        </is>
      </c>
      <c r="J1717" s="265" t="n">
        <v>0.2840277777777778</v>
      </c>
      <c r="K1717" s="266" t="n">
        <v>2820</v>
      </c>
      <c r="L1717" s="309" t="n"/>
      <c r="M1717" s="113" t="n"/>
      <c r="N1717" s="113" t="n"/>
      <c r="O1717" s="113" t="n"/>
      <c r="P1717" s="243" t="n"/>
      <c r="Q1717" s="113" t="n"/>
      <c r="R1717" s="113" t="n"/>
    </row>
    <row r="1718" ht="15.75" customHeight="1">
      <c r="A1718" s="113" t="n"/>
      <c r="B1718" s="146" t="n">
        <v>30</v>
      </c>
      <c r="C1718" s="356" t="n">
        <v>46009</v>
      </c>
      <c r="D1718" s="357" t="n">
        <v>9</v>
      </c>
      <c r="E1718" s="271" t="inlineStr">
        <is>
          <t>GARCERAS</t>
        </is>
      </c>
      <c r="F1718" s="271" t="inlineStr">
        <is>
          <t>ABONEROS</t>
        </is>
      </c>
      <c r="G1718" s="271" t="n">
        <v>8</v>
      </c>
      <c r="H1718" s="271" t="inlineStr">
        <is>
          <t>FERNANDO OYUELA</t>
        </is>
      </c>
      <c r="I1718" s="271" t="inlineStr">
        <is>
          <t>EQY778</t>
        </is>
      </c>
      <c r="J1718" s="272" t="n">
        <v>0.3347222222222222</v>
      </c>
      <c r="K1718" s="273" t="n">
        <v>3300</v>
      </c>
      <c r="L1718" s="378">
        <f>SUM(K1710:K1718)</f>
        <v/>
      </c>
      <c r="M1718" s="113" t="n"/>
      <c r="N1718" s="113" t="n"/>
      <c r="O1718" s="113" t="n"/>
      <c r="P1718" s="243" t="n"/>
      <c r="Q1718" s="113" t="n"/>
      <c r="R1718" s="113" t="n"/>
    </row>
    <row r="1719" ht="15.75" customHeight="1">
      <c r="A1719" s="113" t="n"/>
      <c r="B1719" s="146" t="n">
        <v>30</v>
      </c>
      <c r="C1719" s="381" t="n">
        <v>46010</v>
      </c>
      <c r="D1719" s="382" t="n">
        <v>1</v>
      </c>
      <c r="E1719" s="334" t="inlineStr">
        <is>
          <t>HUERTAS</t>
        </is>
      </c>
      <c r="F1719" s="334" t="inlineStr">
        <is>
          <t>ABONEROS</t>
        </is>
      </c>
      <c r="G1719" s="334" t="n">
        <v>6</v>
      </c>
      <c r="H1719" s="334" t="inlineStr">
        <is>
          <t>MANUEL QUITIAN</t>
        </is>
      </c>
      <c r="I1719" s="334" t="inlineStr">
        <is>
          <t>KUS176</t>
        </is>
      </c>
      <c r="J1719" s="335" t="n">
        <v>0.9861111111111112</v>
      </c>
      <c r="K1719" s="383" t="n">
        <v>3240</v>
      </c>
      <c r="L1719" s="387" t="n"/>
      <c r="M1719" s="113" t="n"/>
      <c r="N1719" s="113" t="n"/>
      <c r="O1719" s="113" t="n"/>
      <c r="P1719" s="243" t="n"/>
      <c r="Q1719" s="113" t="n"/>
      <c r="R1719" s="113" t="n"/>
    </row>
    <row r="1720" ht="15.75" customHeight="1">
      <c r="A1720" s="113" t="n"/>
      <c r="B1720" s="146" t="n">
        <v>30</v>
      </c>
      <c r="C1720" s="350" t="n">
        <v>46010</v>
      </c>
      <c r="D1720" s="351" t="n">
        <v>2</v>
      </c>
      <c r="E1720" s="264" t="inlineStr">
        <is>
          <t>HUERTAS</t>
        </is>
      </c>
      <c r="F1720" s="264" t="inlineStr">
        <is>
          <t>ABONEROS</t>
        </is>
      </c>
      <c r="G1720" s="264" t="n">
        <v>6</v>
      </c>
      <c r="H1720" s="264" t="inlineStr">
        <is>
          <t>ALEXANDER CHAGUALA</t>
        </is>
      </c>
      <c r="I1720" s="264" t="inlineStr">
        <is>
          <t>EQY780</t>
        </is>
      </c>
      <c r="J1720" s="265" t="n">
        <v>0.04791666666666667</v>
      </c>
      <c r="K1720" s="266" t="n">
        <v>3050</v>
      </c>
      <c r="L1720" s="308" t="n"/>
      <c r="M1720" s="113" t="n"/>
      <c r="N1720" s="113" t="n"/>
      <c r="O1720" s="113" t="n"/>
      <c r="P1720" s="243" t="n"/>
      <c r="Q1720" s="113" t="n"/>
      <c r="R1720" s="113" t="n"/>
    </row>
    <row r="1721" ht="15.75" customHeight="1">
      <c r="A1721" s="113" t="n"/>
      <c r="B1721" s="146" t="n">
        <v>30</v>
      </c>
      <c r="C1721" s="350" t="n">
        <v>46010</v>
      </c>
      <c r="D1721" s="351" t="n">
        <v>3</v>
      </c>
      <c r="E1721" s="264" t="inlineStr">
        <is>
          <t>HUERTAS</t>
        </is>
      </c>
      <c r="F1721" s="264" t="inlineStr">
        <is>
          <t>ABONEROS</t>
        </is>
      </c>
      <c r="G1721" s="264" t="n">
        <v>6</v>
      </c>
      <c r="H1721" s="264" t="inlineStr">
        <is>
          <t>JHON ARIAS</t>
        </is>
      </c>
      <c r="I1721" s="264" t="inlineStr">
        <is>
          <t>TLN248</t>
        </is>
      </c>
      <c r="J1721" s="265" t="n">
        <v>0.1020833333333333</v>
      </c>
      <c r="K1721" s="266" t="n">
        <v>2850</v>
      </c>
      <c r="L1721" s="308" t="n"/>
      <c r="M1721" s="113" t="n"/>
      <c r="N1721" s="113" t="n"/>
      <c r="O1721" s="113" t="n"/>
      <c r="P1721" s="243" t="n"/>
      <c r="Q1721" s="113" t="n"/>
      <c r="R1721" s="113" t="n"/>
    </row>
    <row r="1722" ht="15.75" customHeight="1">
      <c r="A1722" s="113" t="n"/>
      <c r="B1722" s="146" t="n">
        <v>30</v>
      </c>
      <c r="C1722" s="350" t="n">
        <v>46010</v>
      </c>
      <c r="D1722" s="351" t="n">
        <v>4</v>
      </c>
      <c r="E1722" s="264" t="inlineStr">
        <is>
          <t>GARCERAS</t>
        </is>
      </c>
      <c r="F1722" s="264" t="inlineStr">
        <is>
          <t>CARGUEROS</t>
        </is>
      </c>
      <c r="G1722" s="264" t="n">
        <v>10</v>
      </c>
      <c r="H1722" s="264" t="inlineStr">
        <is>
          <t>ALEX GOMEZ</t>
        </is>
      </c>
      <c r="I1722" s="264" t="inlineStr">
        <is>
          <t>TLO881</t>
        </is>
      </c>
      <c r="J1722" s="265" t="n">
        <v>0.04027777777777778</v>
      </c>
      <c r="K1722" s="266" t="n">
        <v>2880</v>
      </c>
      <c r="L1722" s="308" t="n"/>
      <c r="M1722" s="113" t="n"/>
      <c r="N1722" s="113" t="n"/>
      <c r="O1722" s="113" t="n"/>
      <c r="P1722" s="243" t="n"/>
      <c r="Q1722" s="113" t="n"/>
      <c r="R1722" s="113" t="n"/>
    </row>
    <row r="1723" ht="15.75" customHeight="1">
      <c r="A1723" s="113" t="n"/>
      <c r="B1723" s="146" t="n">
        <v>30</v>
      </c>
      <c r="C1723" s="350" t="n">
        <v>46010</v>
      </c>
      <c r="D1723" s="351" t="n">
        <v>5</v>
      </c>
      <c r="E1723" s="264" t="inlineStr">
        <is>
          <t>GARCERAS</t>
        </is>
      </c>
      <c r="F1723" s="264" t="inlineStr">
        <is>
          <t>CARGUEROS</t>
        </is>
      </c>
      <c r="G1723" s="264" t="n">
        <v>10</v>
      </c>
      <c r="H1723" s="264" t="inlineStr">
        <is>
          <t>SEBASTIAN HIDALGO</t>
        </is>
      </c>
      <c r="I1723" s="264" t="inlineStr">
        <is>
          <t>EQY776</t>
        </is>
      </c>
      <c r="J1723" s="265" t="n">
        <v>0.07152777777777777</v>
      </c>
      <c r="K1723" s="266" t="n">
        <v>2880</v>
      </c>
      <c r="L1723" s="308" t="n"/>
      <c r="M1723" s="113" t="n"/>
      <c r="N1723" s="113" t="n"/>
      <c r="O1723" s="113" t="n"/>
      <c r="P1723" s="243" t="n"/>
      <c r="Q1723" s="113" t="n"/>
      <c r="R1723" s="113" t="n"/>
    </row>
    <row r="1724" ht="15.75" customHeight="1">
      <c r="A1724" s="113" t="n"/>
      <c r="B1724" s="146" t="n">
        <v>30</v>
      </c>
      <c r="C1724" s="350" t="n">
        <v>46010</v>
      </c>
      <c r="D1724" s="351" t="n">
        <v>6</v>
      </c>
      <c r="E1724" s="264" t="inlineStr">
        <is>
          <t>GARCERAS</t>
        </is>
      </c>
      <c r="F1724" s="264" t="inlineStr">
        <is>
          <t>CARGUEROS</t>
        </is>
      </c>
      <c r="G1724" s="264" t="n">
        <v>10</v>
      </c>
      <c r="H1724" s="264" t="inlineStr">
        <is>
          <t>ROBINSON PULIDO</t>
        </is>
      </c>
      <c r="I1724" s="264" t="inlineStr">
        <is>
          <t>GZZ673</t>
        </is>
      </c>
      <c r="J1724" s="265" t="n">
        <v>0.09652777777777778</v>
      </c>
      <c r="K1724" s="266" t="n">
        <v>2880</v>
      </c>
      <c r="L1724" s="308" t="n"/>
      <c r="M1724" s="113" t="n"/>
      <c r="N1724" s="113" t="n"/>
      <c r="O1724" s="113" t="n"/>
      <c r="P1724" s="243" t="n"/>
      <c r="Q1724" s="113" t="n"/>
      <c r="R1724" s="113" t="n"/>
    </row>
    <row r="1725" ht="15.75" customHeight="1">
      <c r="A1725" s="113" t="n"/>
      <c r="B1725" s="146" t="n">
        <v>30</v>
      </c>
      <c r="C1725" s="350" t="n">
        <v>46010</v>
      </c>
      <c r="D1725" s="351" t="n">
        <v>7</v>
      </c>
      <c r="E1725" s="264" t="inlineStr">
        <is>
          <t>GARCERAS</t>
        </is>
      </c>
      <c r="F1725" s="264" t="inlineStr">
        <is>
          <t>CARGUEROS</t>
        </is>
      </c>
      <c r="G1725" s="264" t="n">
        <v>10</v>
      </c>
      <c r="H1725" s="264" t="inlineStr">
        <is>
          <t>WILMER PIÑEROS</t>
        </is>
      </c>
      <c r="I1725" s="264" t="inlineStr">
        <is>
          <t>KLN076</t>
        </is>
      </c>
      <c r="J1725" s="265" t="n">
        <v>0.1298611111111111</v>
      </c>
      <c r="K1725" s="266" t="n">
        <v>2880</v>
      </c>
      <c r="L1725" s="308" t="n"/>
      <c r="M1725" s="113" t="n"/>
      <c r="N1725" s="113" t="n"/>
      <c r="O1725" s="113" t="n"/>
      <c r="P1725" s="243" t="n"/>
      <c r="Q1725" s="113" t="n"/>
      <c r="R1725" s="113" t="n"/>
    </row>
    <row r="1726" ht="15.75" customHeight="1">
      <c r="A1726" s="113" t="n"/>
      <c r="B1726" s="146" t="n">
        <v>30</v>
      </c>
      <c r="C1726" s="350" t="n">
        <v>46010</v>
      </c>
      <c r="D1726" s="351" t="n">
        <v>8</v>
      </c>
      <c r="E1726" s="264" t="inlineStr">
        <is>
          <t>GARCERAS</t>
        </is>
      </c>
      <c r="F1726" s="264" t="inlineStr">
        <is>
          <t>CARGUEROS</t>
        </is>
      </c>
      <c r="G1726" s="264" t="n">
        <v>10</v>
      </c>
      <c r="H1726" s="264" t="inlineStr">
        <is>
          <t>FABIO ALDANA</t>
        </is>
      </c>
      <c r="I1726" s="264" t="inlineStr">
        <is>
          <t>TLO882</t>
        </is>
      </c>
      <c r="J1726" s="265" t="n">
        <v>0.1604166666666667</v>
      </c>
      <c r="K1726" s="266" t="n">
        <v>2880</v>
      </c>
      <c r="L1726" s="308" t="n"/>
      <c r="M1726" s="113" t="n"/>
      <c r="N1726" s="113" t="n"/>
      <c r="O1726" s="113" t="n"/>
      <c r="P1726" s="243" t="n"/>
      <c r="Q1726" s="113" t="n"/>
      <c r="R1726" s="113" t="n"/>
    </row>
    <row r="1727" ht="15.75" customHeight="1">
      <c r="A1727" s="113" t="n"/>
      <c r="B1727" s="146" t="n">
        <v>30</v>
      </c>
      <c r="C1727" s="350" t="n">
        <v>46010</v>
      </c>
      <c r="D1727" s="351" t="n">
        <v>9</v>
      </c>
      <c r="E1727" s="264" t="inlineStr">
        <is>
          <t>GARCERAS</t>
        </is>
      </c>
      <c r="F1727" s="264" t="inlineStr">
        <is>
          <t>CARGUEROS</t>
        </is>
      </c>
      <c r="G1727" s="264" t="n">
        <v>10</v>
      </c>
      <c r="H1727" s="264" t="inlineStr">
        <is>
          <t xml:space="preserve">MANUEL QUINTIAN </t>
        </is>
      </c>
      <c r="I1727" s="264" t="inlineStr">
        <is>
          <t>KUS176</t>
        </is>
      </c>
      <c r="J1727" s="265" t="n">
        <v>0.2972222222222222</v>
      </c>
      <c r="K1727" s="266" t="n">
        <v>3050</v>
      </c>
      <c r="L1727" s="308" t="n"/>
      <c r="M1727" s="113" t="n"/>
      <c r="N1727" s="113" t="n"/>
      <c r="O1727" s="113" t="n"/>
      <c r="P1727" s="243" t="n"/>
      <c r="Q1727" s="113" t="n"/>
      <c r="R1727" s="113" t="n"/>
    </row>
    <row r="1728" ht="15.75" customHeight="1">
      <c r="A1728" s="113" t="n"/>
      <c r="B1728" s="146" t="n">
        <v>30</v>
      </c>
      <c r="C1728" s="350" t="n">
        <v>46010</v>
      </c>
      <c r="D1728" s="351" t="n">
        <v>10</v>
      </c>
      <c r="E1728" s="264" t="inlineStr">
        <is>
          <t>GARCERAS</t>
        </is>
      </c>
      <c r="F1728" s="264" t="inlineStr">
        <is>
          <t>CARGUEROS</t>
        </is>
      </c>
      <c r="G1728" s="264" t="n">
        <v>10</v>
      </c>
      <c r="H1728" s="264" t="inlineStr">
        <is>
          <t>JHON ARIAS</t>
        </is>
      </c>
      <c r="I1728" s="264" t="inlineStr">
        <is>
          <t>TLN248</t>
        </is>
      </c>
      <c r="J1728" s="265" t="n">
        <v>0.3416666666666667</v>
      </c>
      <c r="K1728" s="266" t="n">
        <v>3050</v>
      </c>
      <c r="L1728" s="308" t="n"/>
      <c r="M1728" s="113" t="n"/>
      <c r="N1728" s="113" t="n"/>
      <c r="O1728" s="113" t="n"/>
      <c r="P1728" s="243" t="n"/>
      <c r="Q1728" s="113" t="n"/>
      <c r="R1728" s="113" t="n"/>
    </row>
    <row r="1729" ht="15.75" customHeight="1">
      <c r="A1729" s="113" t="n"/>
      <c r="B1729" s="146" t="n">
        <v>30</v>
      </c>
      <c r="C1729" s="350" t="n">
        <v>46010</v>
      </c>
      <c r="D1729" s="351" t="n">
        <v>11</v>
      </c>
      <c r="E1729" s="264" t="inlineStr">
        <is>
          <t>GARCERAS</t>
        </is>
      </c>
      <c r="F1729" s="264" t="inlineStr">
        <is>
          <t>CARGUEROS</t>
        </is>
      </c>
      <c r="G1729" s="264" t="n">
        <v>10</v>
      </c>
      <c r="H1729" s="264" t="inlineStr">
        <is>
          <t>SEBASTIAN HIDALGO</t>
        </is>
      </c>
      <c r="I1729" s="264" t="inlineStr">
        <is>
          <t>EQY776</t>
        </is>
      </c>
      <c r="J1729" s="265" t="n">
        <v>0.3979166666666666</v>
      </c>
      <c r="K1729" s="266" t="n">
        <v>3200</v>
      </c>
      <c r="L1729" s="308" t="n"/>
      <c r="M1729" s="113" t="n"/>
      <c r="N1729" s="113" t="n"/>
      <c r="O1729" s="113" t="n"/>
      <c r="P1729" s="243" t="n"/>
      <c r="Q1729" s="113" t="n"/>
      <c r="R1729" s="113" t="n"/>
    </row>
    <row r="1730" ht="15.75" customHeight="1">
      <c r="A1730" s="113" t="n"/>
      <c r="B1730" s="146" t="n">
        <v>30</v>
      </c>
      <c r="C1730" s="350" t="n">
        <v>46010</v>
      </c>
      <c r="D1730" s="351" t="n">
        <v>12</v>
      </c>
      <c r="E1730" s="264" t="inlineStr">
        <is>
          <t>GARCERAS</t>
        </is>
      </c>
      <c r="F1730" s="264" t="inlineStr">
        <is>
          <t>CARGUEROS</t>
        </is>
      </c>
      <c r="G1730" s="264" t="n">
        <v>10</v>
      </c>
      <c r="H1730" s="264" t="inlineStr">
        <is>
          <t>WILMER PIÑEROS</t>
        </is>
      </c>
      <c r="I1730" s="264" t="inlineStr">
        <is>
          <t>KUS176</t>
        </is>
      </c>
      <c r="J1730" s="265" t="n">
        <v>0.4347222222222222</v>
      </c>
      <c r="K1730" s="266" t="n">
        <v>3240</v>
      </c>
      <c r="L1730" s="309" t="n"/>
      <c r="M1730" s="113" t="n"/>
      <c r="N1730" s="113" t="n"/>
      <c r="O1730" s="113" t="n"/>
      <c r="P1730" s="243" t="n"/>
      <c r="Q1730" s="113" t="n"/>
      <c r="R1730" s="113" t="n"/>
    </row>
    <row r="1731" ht="15.75" customHeight="1">
      <c r="A1731" s="113" t="n"/>
      <c r="B1731" s="146" t="n">
        <v>30</v>
      </c>
      <c r="C1731" s="350" t="n">
        <v>46010</v>
      </c>
      <c r="D1731" s="351" t="n">
        <v>13</v>
      </c>
      <c r="E1731" s="264" t="inlineStr">
        <is>
          <t>GARCERAS</t>
        </is>
      </c>
      <c r="F1731" s="264" t="inlineStr">
        <is>
          <t>CARGUEROS</t>
        </is>
      </c>
      <c r="G1731" s="264" t="n">
        <v>10</v>
      </c>
      <c r="H1731" s="264" t="inlineStr">
        <is>
          <t>JAIRO CUBILLOS</t>
        </is>
      </c>
      <c r="I1731" s="264" t="inlineStr">
        <is>
          <t>TLO884</t>
        </is>
      </c>
      <c r="J1731" s="265" t="n">
        <v>0.4888888888888889</v>
      </c>
      <c r="K1731" s="392" t="n">
        <v>3649</v>
      </c>
      <c r="L1731" s="378">
        <f>SUM(K1719:K1731)</f>
        <v/>
      </c>
      <c r="M1731" s="113" t="n"/>
      <c r="N1731" s="113" t="n"/>
      <c r="O1731" s="113" t="n"/>
      <c r="P1731" s="243" t="n"/>
      <c r="Q1731" s="113" t="n"/>
      <c r="R1731" s="113" t="n"/>
    </row>
    <row r="1732" ht="15.75" customHeight="1">
      <c r="A1732" s="113" t="n"/>
      <c r="B1732" s="146" t="n">
        <v>30</v>
      </c>
      <c r="C1732" s="348" t="n">
        <v>46011</v>
      </c>
      <c r="D1732" s="349" t="n">
        <v>1</v>
      </c>
      <c r="E1732" s="258" t="inlineStr">
        <is>
          <t>GARCERAS</t>
        </is>
      </c>
      <c r="F1732" s="258" t="inlineStr">
        <is>
          <t>CARGUEROS</t>
        </is>
      </c>
      <c r="G1732" s="258" t="n">
        <v>11</v>
      </c>
      <c r="H1732" s="258" t="inlineStr">
        <is>
          <t>ALEX CHAGUALA</t>
        </is>
      </c>
      <c r="I1732" s="258" t="inlineStr">
        <is>
          <t>EQY780</t>
        </is>
      </c>
      <c r="J1732" s="259" t="n">
        <v>0.9930555555555556</v>
      </c>
      <c r="K1732" s="260" t="n">
        <v>3500</v>
      </c>
      <c r="L1732" s="292" t="n"/>
      <c r="M1732" s="113" t="n"/>
      <c r="N1732" s="113" t="n"/>
      <c r="O1732" s="113" t="n"/>
      <c r="P1732" s="243" t="n"/>
      <c r="Q1732" s="113" t="n"/>
      <c r="R1732" s="113" t="n"/>
    </row>
    <row r="1733" ht="15.75" customHeight="1">
      <c r="A1733" s="113" t="n"/>
      <c r="B1733" s="146" t="n">
        <v>30</v>
      </c>
      <c r="C1733" s="350" t="n">
        <v>46011</v>
      </c>
      <c r="D1733" s="351" t="n">
        <v>2</v>
      </c>
      <c r="E1733" s="264" t="inlineStr">
        <is>
          <t>GARCERAS</t>
        </is>
      </c>
      <c r="F1733" s="264" t="inlineStr">
        <is>
          <t>CARGUEROS</t>
        </is>
      </c>
      <c r="G1733" s="264" t="n">
        <v>11</v>
      </c>
      <c r="H1733" s="264" t="inlineStr">
        <is>
          <t xml:space="preserve">FERNANDO OYUELA </t>
        </is>
      </c>
      <c r="I1733" s="264" t="inlineStr">
        <is>
          <t>EQY778</t>
        </is>
      </c>
      <c r="J1733" s="265" t="n">
        <v>0.025</v>
      </c>
      <c r="K1733" s="266" t="n">
        <v>3500</v>
      </c>
      <c r="L1733" s="308" t="n"/>
      <c r="M1733" s="113" t="n"/>
      <c r="N1733" s="113" t="n"/>
      <c r="O1733" s="113" t="n"/>
      <c r="P1733" s="243" t="n"/>
      <c r="Q1733" s="113" t="n"/>
      <c r="R1733" s="113" t="n"/>
    </row>
    <row r="1734" ht="15.75" customHeight="1">
      <c r="A1734" s="113" t="n"/>
      <c r="B1734" s="146" t="n">
        <v>30</v>
      </c>
      <c r="C1734" s="350" t="n">
        <v>46011</v>
      </c>
      <c r="D1734" s="351" t="n">
        <v>3</v>
      </c>
      <c r="E1734" s="264" t="inlineStr">
        <is>
          <t>GARCERAS</t>
        </is>
      </c>
      <c r="F1734" s="264" t="inlineStr">
        <is>
          <t>CARGUEROS</t>
        </is>
      </c>
      <c r="G1734" s="264" t="n">
        <v>11</v>
      </c>
      <c r="H1734" s="264" t="inlineStr">
        <is>
          <t>FABIAN ALDANA</t>
        </is>
      </c>
      <c r="I1734" s="264" t="inlineStr">
        <is>
          <t>TLO882</t>
        </is>
      </c>
      <c r="J1734" s="265" t="n">
        <v>0.05694444444444444</v>
      </c>
      <c r="K1734" s="266" t="n">
        <v>3500</v>
      </c>
      <c r="L1734" s="308" t="n"/>
      <c r="M1734" s="113" t="n"/>
      <c r="N1734" s="113" t="n"/>
      <c r="O1734" s="113" t="n"/>
      <c r="P1734" s="243" t="n"/>
      <c r="Q1734" s="113" t="n"/>
      <c r="R1734" s="113" t="n"/>
    </row>
    <row r="1735" ht="15.75" customHeight="1">
      <c r="A1735" s="113" t="n"/>
      <c r="B1735" s="146" t="n">
        <v>30</v>
      </c>
      <c r="C1735" s="350" t="n">
        <v>46011</v>
      </c>
      <c r="D1735" s="351" t="n">
        <v>4</v>
      </c>
      <c r="E1735" s="264" t="inlineStr">
        <is>
          <t>GARCERAS</t>
        </is>
      </c>
      <c r="F1735" s="264" t="inlineStr">
        <is>
          <t>CARGUEROS</t>
        </is>
      </c>
      <c r="G1735" s="264" t="n">
        <v>11</v>
      </c>
      <c r="H1735" s="264" t="inlineStr">
        <is>
          <t>WILMER PIÑEROS</t>
        </is>
      </c>
      <c r="I1735" s="264" t="inlineStr">
        <is>
          <t>KNL076</t>
        </is>
      </c>
      <c r="J1735" s="265" t="n">
        <v>0.09513888888888888</v>
      </c>
      <c r="K1735" s="266" t="n">
        <v>3456</v>
      </c>
      <c r="L1735" s="308" t="n"/>
      <c r="M1735" s="113" t="n"/>
      <c r="N1735" s="113" t="n"/>
      <c r="O1735" s="113" t="n"/>
      <c r="P1735" s="243" t="n"/>
      <c r="Q1735" s="113" t="n"/>
      <c r="R1735" s="113" t="n"/>
    </row>
    <row r="1736" ht="15.75" customHeight="1">
      <c r="A1736" s="113" t="n"/>
      <c r="B1736" s="146" t="n">
        <v>30</v>
      </c>
      <c r="C1736" s="350" t="n">
        <v>46011</v>
      </c>
      <c r="D1736" s="351" t="n">
        <v>5</v>
      </c>
      <c r="E1736" s="264" t="inlineStr">
        <is>
          <t>GARCERAS</t>
        </is>
      </c>
      <c r="F1736" s="264" t="inlineStr">
        <is>
          <t>CARGUEROS</t>
        </is>
      </c>
      <c r="G1736" s="264" t="n">
        <v>11</v>
      </c>
      <c r="H1736" s="264" t="inlineStr">
        <is>
          <t>SEBASTIAN HIDALGO</t>
        </is>
      </c>
      <c r="I1736" s="264" t="inlineStr">
        <is>
          <t>EQY776</t>
        </is>
      </c>
      <c r="J1736" s="265" t="n">
        <v>0.1493055555555556</v>
      </c>
      <c r="K1736" s="266" t="n">
        <v>3392</v>
      </c>
      <c r="L1736" s="308" t="n"/>
      <c r="M1736" s="113" t="n"/>
      <c r="N1736" s="113" t="n"/>
      <c r="O1736" s="113" t="n"/>
      <c r="P1736" s="243" t="n"/>
      <c r="Q1736" s="113" t="n"/>
      <c r="R1736" s="113" t="n"/>
    </row>
    <row r="1737" ht="15.75" customHeight="1">
      <c r="A1737" s="113" t="n"/>
      <c r="B1737" s="146" t="n">
        <v>30</v>
      </c>
      <c r="C1737" s="350" t="n">
        <v>46011</v>
      </c>
      <c r="D1737" s="351" t="n">
        <v>6</v>
      </c>
      <c r="E1737" s="264" t="inlineStr">
        <is>
          <t>GARCERAS</t>
        </is>
      </c>
      <c r="F1737" s="264" t="inlineStr">
        <is>
          <t>CARGUEROS</t>
        </is>
      </c>
      <c r="G1737" s="264" t="n">
        <v>11</v>
      </c>
      <c r="H1737" s="264" t="inlineStr">
        <is>
          <t>MANUEL QUINTIAN</t>
        </is>
      </c>
      <c r="I1737" s="264" t="inlineStr">
        <is>
          <t>KUS176</t>
        </is>
      </c>
      <c r="J1737" s="265" t="inlineStr">
        <is>
          <t xml:space="preserve">4:255 AM </t>
        </is>
      </c>
      <c r="K1737" s="266" t="n">
        <v>3392</v>
      </c>
      <c r="L1737" s="308" t="n"/>
      <c r="M1737" s="113" t="n"/>
      <c r="N1737" s="113" t="n"/>
      <c r="O1737" s="113" t="n"/>
      <c r="P1737" s="243" t="n"/>
      <c r="Q1737" s="113" t="n"/>
      <c r="R1737" s="113" t="n"/>
    </row>
    <row r="1738" ht="15.75" customHeight="1">
      <c r="A1738" s="113" t="n"/>
      <c r="B1738" s="146" t="n">
        <v>30</v>
      </c>
      <c r="C1738" s="350" t="n">
        <v>46011</v>
      </c>
      <c r="D1738" s="351" t="n">
        <v>7</v>
      </c>
      <c r="E1738" s="264" t="inlineStr">
        <is>
          <t>GARCERAS</t>
        </is>
      </c>
      <c r="F1738" s="264" t="inlineStr">
        <is>
          <t>CARGUEROS</t>
        </is>
      </c>
      <c r="G1738" s="264" t="n">
        <v>11</v>
      </c>
      <c r="H1738" s="264" t="inlineStr">
        <is>
          <t>ROBINSON PULIDO</t>
        </is>
      </c>
      <c r="I1738" s="264" t="inlineStr">
        <is>
          <t>TLO884</t>
        </is>
      </c>
      <c r="J1738" s="265" t="n">
        <v>0.2180555555555556</v>
      </c>
      <c r="K1738" s="266" t="n">
        <v>3392</v>
      </c>
      <c r="L1738" s="309" t="n"/>
      <c r="M1738" s="113" t="n"/>
      <c r="N1738" s="113" t="n"/>
      <c r="O1738" s="113" t="n"/>
      <c r="P1738" s="243" t="n"/>
      <c r="Q1738" s="113" t="n"/>
      <c r="R1738" s="113" t="n"/>
    </row>
    <row r="1739" ht="15.75" customHeight="1">
      <c r="A1739" s="113" t="n"/>
      <c r="B1739" s="146" t="n">
        <v>30</v>
      </c>
      <c r="C1739" s="352" t="n">
        <v>46011</v>
      </c>
      <c r="D1739" s="347" t="n">
        <v>8</v>
      </c>
      <c r="E1739" s="282" t="inlineStr">
        <is>
          <t>GARCERAS</t>
        </is>
      </c>
      <c r="F1739" s="282" t="inlineStr">
        <is>
          <t>CARGUEROS</t>
        </is>
      </c>
      <c r="G1739" s="282" t="n">
        <v>11</v>
      </c>
      <c r="H1739" s="282" t="inlineStr">
        <is>
          <t xml:space="preserve">HENRY ROMERO </t>
        </is>
      </c>
      <c r="I1739" s="282" t="inlineStr">
        <is>
          <t>EQY781</t>
        </is>
      </c>
      <c r="J1739" s="283" t="n">
        <v>0.2652777777777778</v>
      </c>
      <c r="K1739" s="284" t="n">
        <v>3392</v>
      </c>
      <c r="L1739" s="353">
        <f>SUM(K1732:K1739)</f>
        <v/>
      </c>
      <c r="M1739" s="113" t="n"/>
      <c r="N1739" s="113" t="n"/>
      <c r="O1739" s="113" t="n"/>
      <c r="P1739" s="243" t="n"/>
      <c r="Q1739" s="113" t="n"/>
      <c r="R1739" s="113" t="n"/>
    </row>
    <row r="1740" ht="15.75" customHeight="1">
      <c r="A1740" s="113" t="n"/>
      <c r="B1740" s="146" t="n">
        <v>31</v>
      </c>
      <c r="C1740" s="348" t="n">
        <v>46012</v>
      </c>
      <c r="D1740" s="349" t="n">
        <v>1</v>
      </c>
      <c r="E1740" s="258" t="inlineStr">
        <is>
          <t>GARCERAS</t>
        </is>
      </c>
      <c r="F1740" s="258" t="inlineStr">
        <is>
          <t>CARGUEROS</t>
        </is>
      </c>
      <c r="G1740" s="258" t="n">
        <v>10</v>
      </c>
      <c r="H1740" s="258" t="inlineStr">
        <is>
          <t xml:space="preserve">JAIRO CUBILLOS </t>
        </is>
      </c>
      <c r="I1740" s="258" t="inlineStr">
        <is>
          <t>TLO884</t>
        </is>
      </c>
      <c r="J1740" s="259" t="n">
        <v>0.1236111111111111</v>
      </c>
      <c r="K1740" s="260" t="n">
        <v>3498</v>
      </c>
      <c r="L1740" s="292" t="n"/>
      <c r="M1740" s="146" t="n">
        <v>3494</v>
      </c>
      <c r="N1740" s="113" t="n"/>
      <c r="O1740" s="113" t="n"/>
      <c r="P1740" s="243" t="n"/>
      <c r="Q1740" s="113" t="n"/>
      <c r="R1740" s="113" t="n"/>
    </row>
    <row r="1741" ht="15.75" customHeight="1">
      <c r="A1741" s="113" t="n"/>
      <c r="B1741" s="146" t="n">
        <v>31</v>
      </c>
      <c r="C1741" s="350" t="n">
        <v>46012</v>
      </c>
      <c r="D1741" s="351" t="n">
        <v>2</v>
      </c>
      <c r="E1741" s="264" t="inlineStr">
        <is>
          <t>GARCERAS</t>
        </is>
      </c>
      <c r="F1741" s="264" t="inlineStr">
        <is>
          <t>CARGUEROS</t>
        </is>
      </c>
      <c r="G1741" s="264" t="n">
        <v>10</v>
      </c>
      <c r="H1741" s="264" t="inlineStr">
        <is>
          <t>ALBERTO HERRERA</t>
        </is>
      </c>
      <c r="I1741" s="264" t="inlineStr">
        <is>
          <t>EQYY777</t>
        </is>
      </c>
      <c r="J1741" s="265" t="n">
        <v>0.1652777777777778</v>
      </c>
      <c r="K1741" s="266" t="n">
        <v>3498</v>
      </c>
      <c r="L1741" s="308" t="n"/>
      <c r="M1741" s="146" t="n">
        <v>3494</v>
      </c>
      <c r="N1741" s="113" t="n"/>
      <c r="O1741" s="113" t="n"/>
      <c r="P1741" s="243" t="n"/>
      <c r="Q1741" s="113" t="n"/>
      <c r="R1741" s="113" t="n"/>
    </row>
    <row r="1742" ht="15.75" customHeight="1">
      <c r="A1742" s="113" t="n"/>
      <c r="B1742" s="146" t="n">
        <v>31</v>
      </c>
      <c r="C1742" s="350" t="n">
        <v>46012</v>
      </c>
      <c r="D1742" s="351" t="n">
        <v>3</v>
      </c>
      <c r="E1742" s="264" t="inlineStr">
        <is>
          <t>GARCERAS</t>
        </is>
      </c>
      <c r="F1742" s="264" t="inlineStr">
        <is>
          <t>CARGUEROS</t>
        </is>
      </c>
      <c r="G1742" s="264" t="n">
        <v>10</v>
      </c>
      <c r="H1742" s="264" t="inlineStr">
        <is>
          <t>EDWIN ROJAS</t>
        </is>
      </c>
      <c r="I1742" s="264" t="inlineStr">
        <is>
          <t>EQY780</t>
        </is>
      </c>
      <c r="J1742" s="265" t="n">
        <v>0.1993055555555556</v>
      </c>
      <c r="K1742" s="266" t="n">
        <v>3498</v>
      </c>
      <c r="L1742" s="308" t="n"/>
      <c r="M1742" s="146" t="n">
        <v>3496</v>
      </c>
      <c r="N1742" s="113" t="n"/>
      <c r="O1742" s="113" t="n"/>
      <c r="P1742" s="243" t="n"/>
      <c r="Q1742" s="113" t="n"/>
      <c r="R1742" s="113" t="n"/>
    </row>
    <row r="1743" ht="15.75" customHeight="1">
      <c r="A1743" s="113" t="n"/>
      <c r="B1743" s="146" t="n">
        <v>31</v>
      </c>
      <c r="C1743" s="350" t="n">
        <v>46012</v>
      </c>
      <c r="D1743" s="351" t="n">
        <v>4</v>
      </c>
      <c r="E1743" s="264" t="inlineStr">
        <is>
          <t>GARCERAS</t>
        </is>
      </c>
      <c r="F1743" s="264" t="inlineStr">
        <is>
          <t>CARGUEROS</t>
        </is>
      </c>
      <c r="G1743" s="264" t="n">
        <v>10</v>
      </c>
      <c r="H1743" s="264" t="inlineStr">
        <is>
          <t>ALEX CHAGUALA</t>
        </is>
      </c>
      <c r="I1743" s="264" t="inlineStr">
        <is>
          <t>LQO745</t>
        </is>
      </c>
      <c r="J1743" s="265" t="n">
        <v>0.2402777777777778</v>
      </c>
      <c r="K1743" s="266" t="n">
        <v>3498</v>
      </c>
      <c r="L1743" s="308" t="n"/>
      <c r="M1743" s="146" t="n">
        <v>3487</v>
      </c>
      <c r="N1743" s="113" t="n"/>
      <c r="O1743" s="113" t="n"/>
      <c r="P1743" s="243" t="n"/>
      <c r="Q1743" s="113" t="n"/>
      <c r="R1743" s="113" t="n"/>
    </row>
    <row r="1744" ht="15.75" customHeight="1">
      <c r="A1744" s="113" t="n"/>
      <c r="B1744" s="146" t="n">
        <v>31</v>
      </c>
      <c r="C1744" s="350" t="n">
        <v>46012</v>
      </c>
      <c r="D1744" s="351" t="n">
        <v>5</v>
      </c>
      <c r="E1744" s="264" t="inlineStr">
        <is>
          <t>GARCERAS</t>
        </is>
      </c>
      <c r="F1744" s="264" t="inlineStr">
        <is>
          <t>CARGUEROS</t>
        </is>
      </c>
      <c r="G1744" s="264" t="n">
        <v>11</v>
      </c>
      <c r="H1744" s="264" t="inlineStr">
        <is>
          <t xml:space="preserve">FERNANDO OYUELA </t>
        </is>
      </c>
      <c r="I1744" s="264" t="inlineStr">
        <is>
          <t>EQY778</t>
        </is>
      </c>
      <c r="J1744" s="265" t="n">
        <v>0.2965277777777778</v>
      </c>
      <c r="K1744" s="266" t="n">
        <v>3528</v>
      </c>
      <c r="L1744" s="308" t="n"/>
      <c r="M1744" s="146" t="n">
        <v>3507</v>
      </c>
      <c r="N1744" s="113" t="n"/>
      <c r="O1744" s="113" t="n"/>
      <c r="P1744" s="243" t="n"/>
      <c r="Q1744" s="113" t="n"/>
      <c r="R1744" s="113" t="n"/>
    </row>
    <row r="1745" ht="15.75" customHeight="1">
      <c r="A1745" s="113" t="n"/>
      <c r="B1745" s="146" t="n">
        <v>31</v>
      </c>
      <c r="C1745" s="350" t="n">
        <v>46012</v>
      </c>
      <c r="D1745" s="351" t="n">
        <v>6</v>
      </c>
      <c r="E1745" s="264" t="inlineStr">
        <is>
          <t>GARCERAS</t>
        </is>
      </c>
      <c r="F1745" s="264" t="inlineStr">
        <is>
          <t>CARGUEROS</t>
        </is>
      </c>
      <c r="G1745" s="264" t="n">
        <v>11</v>
      </c>
      <c r="H1745" s="264" t="inlineStr">
        <is>
          <t>YAIR RIVEROS</t>
        </is>
      </c>
      <c r="I1745" s="264" t="inlineStr">
        <is>
          <t>TLN181</t>
        </is>
      </c>
      <c r="J1745" s="265" t="n">
        <v>0.3298611111111111</v>
      </c>
      <c r="K1745" s="266" t="n">
        <v>3528</v>
      </c>
      <c r="L1745" s="308" t="n"/>
      <c r="M1745" s="146" t="n">
        <v>3522</v>
      </c>
      <c r="N1745" s="113" t="n"/>
      <c r="O1745" s="113" t="n"/>
      <c r="P1745" s="243" t="n"/>
      <c r="Q1745" s="113" t="n"/>
      <c r="R1745" s="113" t="n"/>
    </row>
    <row r="1746" ht="15.75" customHeight="1">
      <c r="A1746" s="113" t="n"/>
      <c r="B1746" s="146" t="n">
        <v>31</v>
      </c>
      <c r="C1746" s="350" t="n">
        <v>46012</v>
      </c>
      <c r="D1746" s="351" t="n">
        <v>7</v>
      </c>
      <c r="E1746" s="264" t="inlineStr">
        <is>
          <t>MALAGUEÑA</t>
        </is>
      </c>
      <c r="F1746" s="264" t="inlineStr">
        <is>
          <t>ABONEROS</t>
        </is>
      </c>
      <c r="G1746" s="264" t="n">
        <v>9</v>
      </c>
      <c r="H1746" s="264" t="inlineStr">
        <is>
          <t>ALEX GOMEZ</t>
        </is>
      </c>
      <c r="I1746" s="264" t="inlineStr">
        <is>
          <t>TLO881</t>
        </is>
      </c>
      <c r="J1746" s="265" t="n">
        <v>0.2916666666666667</v>
      </c>
      <c r="K1746" s="266" t="n">
        <v>3050</v>
      </c>
      <c r="L1746" s="309" t="n"/>
      <c r="M1746" s="146" t="n">
        <v>3054</v>
      </c>
      <c r="N1746" s="113" t="n"/>
      <c r="O1746" s="113" t="n"/>
      <c r="P1746" s="243" t="n"/>
      <c r="Q1746" s="113" t="n"/>
      <c r="R1746" s="113" t="n"/>
    </row>
    <row r="1747" ht="15.75" customHeight="1">
      <c r="A1747" s="113" t="n"/>
      <c r="B1747" s="146" t="n">
        <v>31</v>
      </c>
      <c r="C1747" s="352" t="n">
        <v>46012</v>
      </c>
      <c r="D1747" s="347" t="n">
        <v>8</v>
      </c>
      <c r="E1747" s="282" t="inlineStr">
        <is>
          <t>MALAGUEÑA</t>
        </is>
      </c>
      <c r="F1747" s="282" t="inlineStr">
        <is>
          <t>ABONEROS</t>
        </is>
      </c>
      <c r="G1747" s="282" t="n">
        <v>9</v>
      </c>
      <c r="H1747" s="282" t="inlineStr">
        <is>
          <t>MANUEL QUITIAN</t>
        </is>
      </c>
      <c r="I1747" s="282" t="inlineStr">
        <is>
          <t>KUS176</t>
        </is>
      </c>
      <c r="J1747" s="283" t="n">
        <v>0.3347222222222222</v>
      </c>
      <c r="K1747" s="284" t="n">
        <v>3050</v>
      </c>
      <c r="L1747" s="353">
        <f>SUM(K1740:K1747)</f>
        <v/>
      </c>
      <c r="M1747" s="146" t="n">
        <v>3055</v>
      </c>
      <c r="N1747" s="113" t="n"/>
      <c r="O1747" s="113" t="n"/>
      <c r="P1747" s="243" t="n"/>
      <c r="Q1747" s="113" t="n"/>
      <c r="R1747" s="113" t="n"/>
    </row>
    <row r="1748" ht="15.75" customHeight="1">
      <c r="A1748" s="113" t="n"/>
      <c r="B1748" s="146" t="n">
        <v>31</v>
      </c>
      <c r="C1748" s="348" t="n">
        <v>46013</v>
      </c>
      <c r="D1748" s="349" t="n">
        <v>1</v>
      </c>
      <c r="E1748" s="258" t="inlineStr">
        <is>
          <t>GARCERAS</t>
        </is>
      </c>
      <c r="F1748" s="258" t="inlineStr">
        <is>
          <t>CARGUEROS</t>
        </is>
      </c>
      <c r="G1748" s="258" t="n">
        <v>12</v>
      </c>
      <c r="H1748" s="258" t="inlineStr">
        <is>
          <t>WILMER PIÑEROS</t>
        </is>
      </c>
      <c r="I1748" s="258" t="inlineStr">
        <is>
          <t>KLN076</t>
        </is>
      </c>
      <c r="J1748" s="259" t="n">
        <v>0.0763888888888889</v>
      </c>
      <c r="K1748" s="260" t="n">
        <v>3564</v>
      </c>
      <c r="L1748" s="292" t="n"/>
      <c r="M1748" s="146" t="n">
        <v>3566</v>
      </c>
      <c r="N1748" s="113" t="n"/>
      <c r="O1748" s="113" t="n"/>
      <c r="P1748" s="243" t="n"/>
      <c r="Q1748" s="113" t="n"/>
      <c r="R1748" s="113" t="n"/>
    </row>
    <row r="1749" ht="15.75" customHeight="1">
      <c r="A1749" s="113" t="n"/>
      <c r="B1749" s="146" t="n">
        <v>31</v>
      </c>
      <c r="C1749" s="350" t="n">
        <v>46013</v>
      </c>
      <c r="D1749" s="351" t="n">
        <v>2</v>
      </c>
      <c r="E1749" s="264" t="inlineStr">
        <is>
          <t>GARCERAS</t>
        </is>
      </c>
      <c r="F1749" s="264" t="inlineStr">
        <is>
          <t>CARGUEROS</t>
        </is>
      </c>
      <c r="G1749" s="264" t="n">
        <v>12</v>
      </c>
      <c r="H1749" s="264" t="inlineStr">
        <is>
          <t xml:space="preserve">JOSE SOLER </t>
        </is>
      </c>
      <c r="I1749" s="264" t="inlineStr">
        <is>
          <t>EQY776</t>
        </is>
      </c>
      <c r="J1749" s="265" t="n">
        <v>0.1111111111111111</v>
      </c>
      <c r="K1749" s="266" t="n">
        <v>3090</v>
      </c>
      <c r="L1749" s="308" t="n"/>
      <c r="M1749" s="146" t="n">
        <v>3095</v>
      </c>
      <c r="N1749" s="113" t="n"/>
      <c r="O1749" s="113" t="n"/>
      <c r="P1749" s="243" t="n"/>
      <c r="Q1749" s="113" t="n"/>
      <c r="R1749" s="113" t="n"/>
    </row>
    <row r="1750" ht="15.75" customHeight="1">
      <c r="A1750" s="113" t="n"/>
      <c r="B1750" s="146" t="n">
        <v>31</v>
      </c>
      <c r="C1750" s="350" t="n">
        <v>46013</v>
      </c>
      <c r="D1750" s="351" t="n">
        <v>3</v>
      </c>
      <c r="E1750" s="264" t="inlineStr">
        <is>
          <t>GARCERAS</t>
        </is>
      </c>
      <c r="F1750" s="264" t="inlineStr">
        <is>
          <t>CARGUEROS</t>
        </is>
      </c>
      <c r="G1750" s="264" t="n">
        <v>12</v>
      </c>
      <c r="H1750" s="264" t="inlineStr">
        <is>
          <t>DIEGO NIÑO</t>
        </is>
      </c>
      <c r="I1750" s="264" t="inlineStr">
        <is>
          <t>GZZ673</t>
        </is>
      </c>
      <c r="J1750" s="265" t="n">
        <v>0.1493055555555556</v>
      </c>
      <c r="K1750" s="266" t="n">
        <v>3030</v>
      </c>
      <c r="L1750" s="308" t="n"/>
      <c r="M1750" s="146" t="n">
        <v>3038</v>
      </c>
      <c r="N1750" s="113" t="n"/>
      <c r="O1750" s="113" t="n"/>
      <c r="P1750" s="243" t="n"/>
      <c r="Q1750" s="113" t="n"/>
      <c r="R1750" s="113" t="n"/>
    </row>
    <row r="1751" ht="15.75" customHeight="1">
      <c r="A1751" s="113" t="n"/>
      <c r="B1751" s="146" t="n">
        <v>31</v>
      </c>
      <c r="C1751" s="350" t="n">
        <v>46013</v>
      </c>
      <c r="D1751" s="351" t="n">
        <v>4</v>
      </c>
      <c r="E1751" s="264" t="inlineStr">
        <is>
          <t>GARCERAS</t>
        </is>
      </c>
      <c r="F1751" s="264" t="inlineStr">
        <is>
          <t>CARGUEROS</t>
        </is>
      </c>
      <c r="G1751" s="264" t="n">
        <v>12</v>
      </c>
      <c r="H1751" s="264" t="inlineStr">
        <is>
          <t>ALEXANDER CHAGUALA</t>
        </is>
      </c>
      <c r="I1751" s="264" t="inlineStr">
        <is>
          <t>LQO745</t>
        </is>
      </c>
      <c r="J1751" s="265" t="n">
        <v>0.1805555555555556</v>
      </c>
      <c r="K1751" s="266" t="n">
        <v>3030</v>
      </c>
      <c r="L1751" s="308" t="n"/>
      <c r="M1751" s="146" t="n">
        <v>3038</v>
      </c>
      <c r="N1751" s="113" t="n"/>
      <c r="O1751" s="113" t="n"/>
      <c r="P1751" s="243" t="n"/>
      <c r="Q1751" s="113" t="n"/>
      <c r="R1751" s="113" t="n"/>
    </row>
    <row r="1752" ht="15.75" customHeight="1">
      <c r="A1752" s="113" t="n"/>
      <c r="B1752" s="146" t="n">
        <v>31</v>
      </c>
      <c r="C1752" s="350" t="n">
        <v>46013</v>
      </c>
      <c r="D1752" s="351" t="n">
        <v>5</v>
      </c>
      <c r="E1752" s="264" t="inlineStr">
        <is>
          <t>GARCERAS</t>
        </is>
      </c>
      <c r="F1752" s="264" t="inlineStr">
        <is>
          <t>CARGUEROS</t>
        </is>
      </c>
      <c r="G1752" s="264" t="n">
        <v>12</v>
      </c>
      <c r="H1752" s="264" t="inlineStr">
        <is>
          <t>EDUAN CAVIDEZ</t>
        </is>
      </c>
      <c r="I1752" s="264" t="inlineStr">
        <is>
          <t>EQY779</t>
        </is>
      </c>
      <c r="J1752" s="265" t="n">
        <v>0.2083333333333333</v>
      </c>
      <c r="K1752" s="266" t="n">
        <v>3030</v>
      </c>
      <c r="L1752" s="308" t="n">
        <v>0</v>
      </c>
      <c r="M1752" s="146" t="n">
        <v>3023</v>
      </c>
      <c r="N1752" s="113" t="n"/>
      <c r="O1752" s="113" t="n"/>
      <c r="P1752" s="243" t="n"/>
      <c r="Q1752" s="113" t="n"/>
      <c r="R1752" s="113" t="n"/>
    </row>
    <row r="1753" ht="15.75" customHeight="1">
      <c r="A1753" s="113" t="n"/>
      <c r="B1753" s="146" t="n">
        <v>31</v>
      </c>
      <c r="C1753" s="350" t="n">
        <v>46013</v>
      </c>
      <c r="D1753" s="351" t="n">
        <v>6</v>
      </c>
      <c r="E1753" s="264" t="inlineStr">
        <is>
          <t>GARCERAS</t>
        </is>
      </c>
      <c r="F1753" s="264" t="inlineStr">
        <is>
          <t>CARGUEROS</t>
        </is>
      </c>
      <c r="G1753" s="264" t="n">
        <v>12</v>
      </c>
      <c r="H1753" s="264" t="inlineStr">
        <is>
          <t>JAIRO CUBILLOS</t>
        </is>
      </c>
      <c r="I1753" s="264" t="inlineStr">
        <is>
          <t>TLO884</t>
        </is>
      </c>
      <c r="J1753" s="265" t="n">
        <v>0.2395833333333333</v>
      </c>
      <c r="K1753" s="266" t="n">
        <v>3030</v>
      </c>
      <c r="L1753" s="308" t="n"/>
      <c r="M1753" s="146" t="n">
        <v>3020</v>
      </c>
      <c r="N1753" s="113" t="n"/>
      <c r="O1753" s="113" t="n"/>
      <c r="P1753" s="243" t="n"/>
      <c r="Q1753" s="113" t="n"/>
      <c r="R1753" s="113" t="n"/>
    </row>
    <row r="1754" ht="15.75" customHeight="1">
      <c r="A1754" s="113" t="n"/>
      <c r="B1754" s="146" t="n">
        <v>31</v>
      </c>
      <c r="C1754" s="350" t="n">
        <v>46013</v>
      </c>
      <c r="D1754" s="351" t="n">
        <v>7</v>
      </c>
      <c r="E1754" s="264" t="inlineStr">
        <is>
          <t>GARCERAS</t>
        </is>
      </c>
      <c r="F1754" s="264" t="inlineStr">
        <is>
          <t>CARGUEROS</t>
        </is>
      </c>
      <c r="G1754" s="264" t="n">
        <v>12</v>
      </c>
      <c r="H1754" s="264" t="inlineStr">
        <is>
          <t>JHON ARIAS</t>
        </is>
      </c>
      <c r="I1754" s="264" t="inlineStr">
        <is>
          <t>TNL248</t>
        </is>
      </c>
      <c r="J1754" s="265" t="n">
        <v>0.2743055555555556</v>
      </c>
      <c r="K1754" s="266" t="n">
        <v>3030</v>
      </c>
      <c r="L1754" s="308" t="n"/>
      <c r="M1754" s="146" t="n">
        <v>3017</v>
      </c>
      <c r="N1754" s="113" t="n"/>
      <c r="O1754" s="113" t="n"/>
      <c r="P1754" s="243" t="n"/>
      <c r="Q1754" s="113" t="n"/>
      <c r="R1754" s="113" t="n"/>
    </row>
    <row r="1755" ht="15.75" customHeight="1">
      <c r="A1755" s="113" t="n"/>
      <c r="B1755" s="146" t="n">
        <v>31</v>
      </c>
      <c r="C1755" s="350" t="n">
        <v>46013</v>
      </c>
      <c r="D1755" s="351" t="n">
        <v>8</v>
      </c>
      <c r="E1755" s="264" t="inlineStr">
        <is>
          <t>MALAGUEÑA</t>
        </is>
      </c>
      <c r="F1755" s="264" t="inlineStr">
        <is>
          <t>ABONEROS</t>
        </is>
      </c>
      <c r="G1755" s="264" t="n">
        <v>10</v>
      </c>
      <c r="H1755" s="264" t="inlineStr">
        <is>
          <t xml:space="preserve">ALEX GOMEZ </t>
        </is>
      </c>
      <c r="I1755" s="264" t="inlineStr">
        <is>
          <t>TLO881</t>
        </is>
      </c>
      <c r="J1755" s="265" t="n">
        <v>0.2145833333333333</v>
      </c>
      <c r="K1755" s="266" t="n">
        <v>2720</v>
      </c>
      <c r="L1755" s="308" t="n"/>
      <c r="M1755" s="146" t="n">
        <v>2717</v>
      </c>
      <c r="N1755" s="113" t="n"/>
      <c r="O1755" s="113" t="n"/>
      <c r="P1755" s="243" t="n"/>
      <c r="Q1755" s="113" t="n"/>
      <c r="R1755" s="113" t="n"/>
    </row>
    <row r="1756" ht="15.75" customHeight="1">
      <c r="A1756" s="113" t="n"/>
      <c r="B1756" s="146" t="n">
        <v>31</v>
      </c>
      <c r="C1756" s="350" t="n">
        <v>46013</v>
      </c>
      <c r="D1756" s="351" t="n">
        <v>9</v>
      </c>
      <c r="E1756" s="264" t="inlineStr">
        <is>
          <t>MALAGUEÑA</t>
        </is>
      </c>
      <c r="F1756" s="264" t="inlineStr">
        <is>
          <t>ABONEROS</t>
        </is>
      </c>
      <c r="G1756" s="264" t="n">
        <v>10</v>
      </c>
      <c r="H1756" s="264" t="inlineStr">
        <is>
          <t>FABIO ALDANA</t>
        </is>
      </c>
      <c r="I1756" s="264" t="inlineStr">
        <is>
          <t>TLO882</t>
        </is>
      </c>
      <c r="J1756" s="265" t="n">
        <v>0.2493055555555556</v>
      </c>
      <c r="K1756" s="266" t="n">
        <v>2720</v>
      </c>
      <c r="L1756" s="308" t="n"/>
      <c r="M1756" s="146" t="n">
        <v>2720</v>
      </c>
      <c r="N1756" s="113" t="n"/>
      <c r="O1756" s="113" t="n"/>
      <c r="P1756" s="243" t="n"/>
      <c r="Q1756" s="113" t="n"/>
      <c r="R1756" s="113" t="n"/>
    </row>
    <row r="1757" ht="15.75" customHeight="1">
      <c r="A1757" s="113" t="n"/>
      <c r="B1757" s="146" t="n">
        <v>31</v>
      </c>
      <c r="C1757" s="350" t="n">
        <v>46013</v>
      </c>
      <c r="D1757" s="351" t="n">
        <v>10</v>
      </c>
      <c r="E1757" s="264" t="inlineStr">
        <is>
          <t>MALAGUEÑA</t>
        </is>
      </c>
      <c r="F1757" s="264" t="inlineStr">
        <is>
          <t>ABONEROS</t>
        </is>
      </c>
      <c r="G1757" s="264" t="n">
        <v>10</v>
      </c>
      <c r="H1757" s="264" t="inlineStr">
        <is>
          <t xml:space="preserve">YAIR RIVEROS </t>
        </is>
      </c>
      <c r="I1757" s="264" t="inlineStr">
        <is>
          <t>TLN181</t>
        </is>
      </c>
      <c r="J1757" s="265" t="n">
        <v>0.2909722222222222</v>
      </c>
      <c r="K1757" s="266" t="n">
        <v>2720</v>
      </c>
      <c r="L1757" s="308" t="n"/>
      <c r="M1757" s="146" t="n">
        <v>2716</v>
      </c>
      <c r="N1757" s="113" t="n"/>
      <c r="O1757" s="113" t="n"/>
      <c r="P1757" s="243" t="n"/>
      <c r="Q1757" s="113" t="n"/>
      <c r="R1757" s="113" t="n"/>
    </row>
    <row r="1758" ht="15.75" customHeight="1">
      <c r="A1758" s="113" t="n"/>
      <c r="B1758" s="146" t="n">
        <v>31</v>
      </c>
      <c r="C1758" s="350" t="n">
        <v>46013</v>
      </c>
      <c r="D1758" s="351" t="n">
        <v>11</v>
      </c>
      <c r="E1758" s="264" t="inlineStr">
        <is>
          <t>MALAGUEÑA</t>
        </is>
      </c>
      <c r="F1758" s="264" t="inlineStr">
        <is>
          <t>ABONEROS</t>
        </is>
      </c>
      <c r="G1758" s="264" t="n">
        <v>10</v>
      </c>
      <c r="H1758" s="264" t="inlineStr">
        <is>
          <t>SEBASTIAN HIDALGO</t>
        </is>
      </c>
      <c r="I1758" s="264" t="inlineStr">
        <is>
          <t>KUS176</t>
        </is>
      </c>
      <c r="J1758" s="265" t="n">
        <v>0.3493055555555555</v>
      </c>
      <c r="K1758" s="266" t="n">
        <v>3180</v>
      </c>
      <c r="L1758" s="308" t="n"/>
      <c r="M1758" s="146" t="n">
        <v>3166</v>
      </c>
      <c r="N1758" s="113" t="n"/>
      <c r="O1758" s="113" t="n"/>
      <c r="P1758" s="243" t="n"/>
      <c r="Q1758" s="113" t="n"/>
      <c r="R1758" s="113" t="n"/>
    </row>
    <row r="1759" ht="15.75" customHeight="1">
      <c r="A1759" s="113" t="n"/>
      <c r="B1759" s="146" t="n">
        <v>31</v>
      </c>
      <c r="C1759" s="350" t="n">
        <v>46013</v>
      </c>
      <c r="D1759" s="351" t="n">
        <v>12</v>
      </c>
      <c r="E1759" s="264" t="inlineStr">
        <is>
          <t>MALAGUEÑA</t>
        </is>
      </c>
      <c r="F1759" s="264" t="inlineStr">
        <is>
          <t>ABONEROS</t>
        </is>
      </c>
      <c r="G1759" s="264" t="n">
        <v>10</v>
      </c>
      <c r="H1759" s="264" t="inlineStr">
        <is>
          <t xml:space="preserve">FERNANDO OYUELA </t>
        </is>
      </c>
      <c r="I1759" s="264" t="inlineStr">
        <is>
          <t>EQY778</t>
        </is>
      </c>
      <c r="J1759" s="265" t="n">
        <v>0.3923611111111111</v>
      </c>
      <c r="K1759" s="266" t="n">
        <v>3180</v>
      </c>
      <c r="L1759" s="309" t="n"/>
      <c r="M1759" s="146" t="n">
        <v>3176</v>
      </c>
      <c r="N1759" s="113" t="n"/>
      <c r="O1759" s="113" t="n"/>
      <c r="P1759" s="243" t="n"/>
      <c r="Q1759" s="113" t="n"/>
      <c r="R1759" s="113" t="n"/>
    </row>
    <row r="1760" ht="15.75" customHeight="1">
      <c r="A1760" s="113" t="n"/>
      <c r="B1760" s="146" t="n">
        <v>31</v>
      </c>
      <c r="C1760" s="356" t="n">
        <v>46013</v>
      </c>
      <c r="D1760" s="357" t="n">
        <v>13</v>
      </c>
      <c r="E1760" s="271" t="inlineStr">
        <is>
          <t>MALAGUEÑA</t>
        </is>
      </c>
      <c r="F1760" s="271" t="inlineStr">
        <is>
          <t>ABONEROS</t>
        </is>
      </c>
      <c r="G1760" s="271" t="n">
        <v>10</v>
      </c>
      <c r="H1760" s="271" t="inlineStr">
        <is>
          <t xml:space="preserve">EDWIN ROJAS </t>
        </is>
      </c>
      <c r="I1760" s="271" t="inlineStr">
        <is>
          <t>EQY780</t>
        </is>
      </c>
      <c r="J1760" s="272" t="n">
        <v>0.4347222222222222</v>
      </c>
      <c r="K1760" s="273" t="n">
        <v>3180</v>
      </c>
      <c r="L1760" s="378">
        <f>SUM(K1748:K1760)</f>
        <v/>
      </c>
      <c r="M1760" s="146" t="n">
        <v>3167</v>
      </c>
      <c r="N1760" s="113" t="n"/>
      <c r="O1760" s="113" t="n"/>
      <c r="P1760" s="243" t="n"/>
      <c r="Q1760" s="113" t="n"/>
      <c r="R1760" s="113" t="n"/>
    </row>
    <row r="1761" ht="15.75" customHeight="1">
      <c r="A1761" s="113" t="n"/>
      <c r="B1761" s="146" t="n">
        <v>31</v>
      </c>
      <c r="C1761" s="348" t="inlineStr">
        <is>
          <t>23/12/255</t>
        </is>
      </c>
      <c r="D1761" s="349" t="n">
        <v>1</v>
      </c>
      <c r="E1761" s="258" t="inlineStr">
        <is>
          <t>GARCERAS</t>
        </is>
      </c>
      <c r="F1761" s="258" t="inlineStr">
        <is>
          <t>CARGUEROS</t>
        </is>
      </c>
      <c r="G1761" s="258" t="n">
        <v>11</v>
      </c>
      <c r="H1761" s="258" t="inlineStr">
        <is>
          <t xml:space="preserve">SEBASTIAN HIDALGO </t>
        </is>
      </c>
      <c r="I1761" s="258" t="inlineStr">
        <is>
          <t>TLO884</t>
        </is>
      </c>
      <c r="J1761" s="259" t="n">
        <v>0.07291666666666667</v>
      </c>
      <c r="K1761" s="260" t="n">
        <v>3040</v>
      </c>
      <c r="L1761" s="292" t="n"/>
      <c r="M1761" s="146" t="n">
        <v>3024</v>
      </c>
      <c r="N1761" s="113" t="n"/>
      <c r="O1761" s="113" t="n"/>
      <c r="P1761" s="243" t="n"/>
      <c r="Q1761" s="113" t="n"/>
      <c r="R1761" s="113" t="n"/>
    </row>
    <row r="1762" ht="15.75" customHeight="1">
      <c r="A1762" s="113" t="n"/>
      <c r="B1762" s="146" t="n">
        <v>31</v>
      </c>
      <c r="C1762" s="350" t="n">
        <v>46014</v>
      </c>
      <c r="D1762" s="351" t="n">
        <v>2</v>
      </c>
      <c r="E1762" s="264" t="inlineStr">
        <is>
          <t>GARCERAS</t>
        </is>
      </c>
      <c r="F1762" s="264" t="inlineStr">
        <is>
          <t>ABONEROS</t>
        </is>
      </c>
      <c r="G1762" s="264" t="n">
        <v>9</v>
      </c>
      <c r="H1762" s="264" t="inlineStr">
        <is>
          <t>ALBERTO LOPEZ</t>
        </is>
      </c>
      <c r="I1762" s="264" t="inlineStr">
        <is>
          <t>EQY777</t>
        </is>
      </c>
      <c r="J1762" s="265" t="n">
        <v>0.08263888888888889</v>
      </c>
      <c r="K1762" s="266" t="n">
        <v>3040</v>
      </c>
      <c r="L1762" s="308" t="n"/>
      <c r="M1762" s="146" t="n">
        <v>3019</v>
      </c>
      <c r="N1762" s="113" t="n"/>
      <c r="O1762" s="113" t="n"/>
      <c r="P1762" s="243" t="n"/>
      <c r="Q1762" s="113" t="n"/>
      <c r="R1762" s="113" t="n"/>
    </row>
    <row r="1763" ht="15.75" customHeight="1">
      <c r="A1763" s="113" t="n"/>
      <c r="B1763" s="146" t="n">
        <v>31</v>
      </c>
      <c r="C1763" s="350" t="n">
        <v>46014</v>
      </c>
      <c r="D1763" s="351" t="n">
        <v>3</v>
      </c>
      <c r="E1763" s="264" t="inlineStr">
        <is>
          <t>GARCERAS</t>
        </is>
      </c>
      <c r="F1763" s="264" t="inlineStr">
        <is>
          <t>CARGUEROS</t>
        </is>
      </c>
      <c r="G1763" s="264" t="n">
        <v>11</v>
      </c>
      <c r="H1763" s="264" t="inlineStr">
        <is>
          <t>EDUAN CAVIDEZ</t>
        </is>
      </c>
      <c r="I1763" s="264" t="inlineStr">
        <is>
          <t>EQY779</t>
        </is>
      </c>
      <c r="J1763" s="265" t="n">
        <v>0.1159722222222222</v>
      </c>
      <c r="K1763" s="266" t="n">
        <v>3040</v>
      </c>
      <c r="L1763" s="308" t="n"/>
      <c r="M1763" s="146" t="n">
        <v>3026</v>
      </c>
      <c r="N1763" s="113" t="n"/>
      <c r="O1763" s="113" t="n"/>
      <c r="P1763" s="243" t="n"/>
      <c r="Q1763" s="113" t="n"/>
      <c r="R1763" s="113" t="n"/>
    </row>
    <row r="1764" ht="15.75" customHeight="1">
      <c r="A1764" s="113" t="n"/>
      <c r="B1764" s="146" t="n">
        <v>31</v>
      </c>
      <c r="C1764" s="350" t="n">
        <v>46014</v>
      </c>
      <c r="D1764" s="351" t="n">
        <v>4</v>
      </c>
      <c r="E1764" s="264" t="inlineStr">
        <is>
          <t>GARCERAS</t>
        </is>
      </c>
      <c r="F1764" s="264" t="inlineStr">
        <is>
          <t>ABONEROS</t>
        </is>
      </c>
      <c r="G1764" s="264" t="n">
        <v>9</v>
      </c>
      <c r="H1764" s="264" t="inlineStr">
        <is>
          <t xml:space="preserve">DIEGO NIÑO </t>
        </is>
      </c>
      <c r="I1764" s="264" t="inlineStr">
        <is>
          <t>GZZ673</t>
        </is>
      </c>
      <c r="J1764" s="265" t="n">
        <v>0.1277777777777778</v>
      </c>
      <c r="K1764" s="266" t="n">
        <v>3040</v>
      </c>
      <c r="L1764" s="308" t="n"/>
      <c r="M1764" s="146" t="n">
        <v>3026</v>
      </c>
      <c r="N1764" s="113" t="n"/>
      <c r="O1764" s="113" t="n"/>
      <c r="P1764" s="243" t="n"/>
      <c r="Q1764" s="113" t="n"/>
      <c r="R1764" s="113" t="n"/>
    </row>
    <row r="1765" ht="15.75" customHeight="1">
      <c r="A1765" s="113" t="n"/>
      <c r="B1765" s="146" t="n">
        <v>31</v>
      </c>
      <c r="C1765" s="350" t="n">
        <v>46014</v>
      </c>
      <c r="D1765" s="351" t="n">
        <v>5</v>
      </c>
      <c r="E1765" s="264" t="inlineStr">
        <is>
          <t>GARCERAS</t>
        </is>
      </c>
      <c r="F1765" s="264" t="inlineStr">
        <is>
          <t>CARGUEROS</t>
        </is>
      </c>
      <c r="G1765" s="264" t="n">
        <v>11</v>
      </c>
      <c r="H1765" s="264" t="inlineStr">
        <is>
          <t xml:space="preserve">JHON ARIAS </t>
        </is>
      </c>
      <c r="I1765" s="264" t="inlineStr">
        <is>
          <t>TLN248</t>
        </is>
      </c>
      <c r="J1765" s="265" t="n">
        <v>0.1604166666666667</v>
      </c>
      <c r="K1765" s="266" t="n">
        <v>3030</v>
      </c>
      <c r="L1765" s="308" t="n"/>
      <c r="M1765" s="146" t="n">
        <v>3115</v>
      </c>
      <c r="N1765" s="113" t="n"/>
      <c r="O1765" s="113" t="n"/>
      <c r="P1765" s="243" t="n"/>
      <c r="Q1765" s="113" t="n"/>
      <c r="R1765" s="113" t="n"/>
    </row>
    <row r="1766" ht="15.75" customHeight="1">
      <c r="A1766" s="113" t="n"/>
      <c r="B1766" s="146" t="n">
        <v>31</v>
      </c>
      <c r="C1766" s="350" t="n">
        <v>46014</v>
      </c>
      <c r="D1766" s="351" t="n">
        <v>6</v>
      </c>
      <c r="E1766" s="264" t="inlineStr">
        <is>
          <t>GARCERAS</t>
        </is>
      </c>
      <c r="F1766" s="264" t="inlineStr">
        <is>
          <t>ABONEROS</t>
        </is>
      </c>
      <c r="G1766" s="264" t="n">
        <v>9</v>
      </c>
      <c r="H1766" s="264" t="inlineStr">
        <is>
          <t>FABIO ALDANA</t>
        </is>
      </c>
      <c r="I1766" s="264" t="inlineStr">
        <is>
          <t>TLO882</t>
        </is>
      </c>
      <c r="J1766" s="265" t="n">
        <v>0.1715277777777778</v>
      </c>
      <c r="K1766" s="266" t="n">
        <v>3130</v>
      </c>
      <c r="L1766" s="308" t="n"/>
      <c r="M1766" s="146" t="n">
        <v>3026</v>
      </c>
      <c r="N1766" s="113" t="n"/>
      <c r="O1766" s="239" t="n"/>
      <c r="P1766" s="239" t="n"/>
      <c r="Q1766" s="240" t="n"/>
      <c r="R1766" s="241" t="n"/>
    </row>
    <row r="1767" ht="15.75" customHeight="1">
      <c r="A1767" s="113" t="n"/>
      <c r="B1767" s="146" t="n">
        <v>31</v>
      </c>
      <c r="C1767" s="350" t="n">
        <v>46014</v>
      </c>
      <c r="D1767" s="351" t="n">
        <v>74</v>
      </c>
      <c r="E1767" s="264" t="inlineStr">
        <is>
          <t>GARCERAS</t>
        </is>
      </c>
      <c r="F1767" s="264" t="inlineStr">
        <is>
          <t>CARGUEROS</t>
        </is>
      </c>
      <c r="G1767" s="264" t="n">
        <v>11</v>
      </c>
      <c r="H1767" s="264" t="inlineStr">
        <is>
          <t xml:space="preserve">FERNANDO OYUELA </t>
        </is>
      </c>
      <c r="I1767" s="264" t="inlineStr">
        <is>
          <t>EQY778</t>
        </is>
      </c>
      <c r="J1767" s="265" t="n">
        <v>0.1840277777777778</v>
      </c>
      <c r="K1767" s="266" t="n">
        <v>3030</v>
      </c>
      <c r="L1767" s="308" t="n"/>
      <c r="M1767" s="146" t="n">
        <v>3023</v>
      </c>
      <c r="N1767" s="113" t="n"/>
      <c r="O1767" s="239" t="n"/>
      <c r="P1767" s="239" t="n"/>
      <c r="Q1767" s="240" t="n"/>
      <c r="R1767" s="241" t="n"/>
    </row>
    <row r="1768" ht="15.75" customHeight="1">
      <c r="A1768" s="113" t="n"/>
      <c r="B1768" s="146" t="n">
        <v>31</v>
      </c>
      <c r="C1768" s="350" t="n">
        <v>46014</v>
      </c>
      <c r="D1768" s="351" t="n">
        <v>8</v>
      </c>
      <c r="E1768" s="264" t="inlineStr">
        <is>
          <t>GARCERAS</t>
        </is>
      </c>
      <c r="F1768" s="264" t="inlineStr">
        <is>
          <t>ABONEROS</t>
        </is>
      </c>
      <c r="G1768" s="264" t="n">
        <v>9</v>
      </c>
      <c r="H1768" s="264" t="inlineStr">
        <is>
          <t>ROBINSON PULIDO</t>
        </is>
      </c>
      <c r="I1768" s="264" t="inlineStr">
        <is>
          <t>EQY781</t>
        </is>
      </c>
      <c r="J1768" s="265" t="n">
        <v>0.2583333333333334</v>
      </c>
      <c r="K1768" s="266" t="n">
        <v>3030</v>
      </c>
      <c r="L1768" s="308" t="n"/>
      <c r="M1768" s="146" t="n">
        <v>3031</v>
      </c>
      <c r="N1768" s="113" t="n"/>
      <c r="O1768" s="239" t="n"/>
      <c r="P1768" s="239" t="n"/>
      <c r="Q1768" s="240" t="n"/>
      <c r="R1768" s="241" t="n"/>
    </row>
    <row r="1769" ht="15.75" customHeight="1">
      <c r="A1769" s="113" t="n"/>
      <c r="B1769" s="146" t="n">
        <v>31</v>
      </c>
      <c r="C1769" s="350" t="n">
        <v>46014</v>
      </c>
      <c r="D1769" s="351" t="n">
        <v>9</v>
      </c>
      <c r="E1769" s="264" t="inlineStr">
        <is>
          <t>GARCERAS</t>
        </is>
      </c>
      <c r="F1769" s="264" t="inlineStr">
        <is>
          <t>CARGUEROS</t>
        </is>
      </c>
      <c r="G1769" s="264" t="n">
        <v>11</v>
      </c>
      <c r="H1769" s="264" t="inlineStr">
        <is>
          <t>ALEXANDER CHAGUALA</t>
        </is>
      </c>
      <c r="I1769" s="264" t="inlineStr">
        <is>
          <t>KNL076</t>
        </is>
      </c>
      <c r="J1769" s="265" t="n">
        <v>0.2847222222222222</v>
      </c>
      <c r="K1769" s="266" t="n">
        <v>2030</v>
      </c>
      <c r="L1769" s="308" t="n"/>
      <c r="M1769" s="146" t="n">
        <v>3030</v>
      </c>
      <c r="N1769" s="113" t="n"/>
      <c r="O1769" s="239" t="n"/>
      <c r="P1769" s="239" t="n"/>
      <c r="Q1769" s="240" t="n"/>
      <c r="R1769" s="241" t="n"/>
    </row>
    <row r="1770" ht="15.75" customHeight="1">
      <c r="A1770" s="113" t="n"/>
      <c r="B1770" s="146" t="n">
        <v>31</v>
      </c>
      <c r="C1770" s="350" t="n">
        <v>46014</v>
      </c>
      <c r="D1770" s="351" t="n">
        <v>10</v>
      </c>
      <c r="E1770" s="264" t="inlineStr">
        <is>
          <t>GARCERAS</t>
        </is>
      </c>
      <c r="F1770" s="264" t="inlineStr">
        <is>
          <t>ABONEROS</t>
        </is>
      </c>
      <c r="G1770" s="264" t="n">
        <v>9</v>
      </c>
      <c r="H1770" s="264" t="inlineStr">
        <is>
          <t xml:space="preserve">MANUEL QUITIAN </t>
        </is>
      </c>
      <c r="I1770" s="264" t="inlineStr">
        <is>
          <t>KUS176</t>
        </is>
      </c>
      <c r="J1770" s="265" t="n">
        <v>0.2944444444444445</v>
      </c>
      <c r="K1770" s="266" t="n">
        <v>3030</v>
      </c>
      <c r="L1770" s="308" t="n"/>
      <c r="M1770" s="146" t="n">
        <v>3034</v>
      </c>
      <c r="N1770" s="113" t="n"/>
      <c r="O1770" s="239" t="n"/>
      <c r="P1770" s="239" t="n"/>
      <c r="Q1770" s="240" t="n"/>
      <c r="R1770" s="241" t="n"/>
    </row>
    <row r="1771" ht="15.75" customHeight="1">
      <c r="A1771" s="113" t="n"/>
      <c r="B1771" s="146" t="n">
        <v>31</v>
      </c>
      <c r="C1771" s="350" t="n">
        <v>46014</v>
      </c>
      <c r="D1771" s="351" t="n">
        <v>11</v>
      </c>
      <c r="E1771" s="264" t="inlineStr">
        <is>
          <t>GARCERAS</t>
        </is>
      </c>
      <c r="F1771" s="264" t="inlineStr">
        <is>
          <t>CARGUEROS</t>
        </is>
      </c>
      <c r="G1771" s="264" t="n">
        <v>11</v>
      </c>
      <c r="H1771" s="264" t="inlineStr">
        <is>
          <t xml:space="preserve">JOSE HERRERA </t>
        </is>
      </c>
      <c r="I1771" s="264" t="inlineStr">
        <is>
          <t>LQO745</t>
        </is>
      </c>
      <c r="J1771" s="265" t="n">
        <v>0.3229166666666667</v>
      </c>
      <c r="K1771" s="266" t="n">
        <v>3090</v>
      </c>
      <c r="L1771" s="308" t="n"/>
      <c r="M1771" s="146" t="n">
        <v>3091</v>
      </c>
      <c r="N1771" s="113" t="n"/>
      <c r="O1771" s="239" t="n"/>
      <c r="P1771" s="239" t="n"/>
      <c r="Q1771" s="240" t="n"/>
      <c r="R1771" s="241" t="n"/>
    </row>
    <row r="1772" ht="15.75" customHeight="1">
      <c r="A1772" s="113" t="n"/>
      <c r="B1772" s="146" t="n">
        <v>31</v>
      </c>
      <c r="C1772" s="350" t="n">
        <v>46014</v>
      </c>
      <c r="D1772" s="351" t="n">
        <v>12</v>
      </c>
      <c r="E1772" s="264" t="inlineStr">
        <is>
          <t>GARCERAS</t>
        </is>
      </c>
      <c r="F1772" s="264" t="inlineStr">
        <is>
          <t>ABONEROS</t>
        </is>
      </c>
      <c r="G1772" s="264" t="n">
        <v>9</v>
      </c>
      <c r="H1772" s="264" t="inlineStr">
        <is>
          <t xml:space="preserve">JOSE SOLER </t>
        </is>
      </c>
      <c r="I1772" s="264" t="inlineStr">
        <is>
          <t>EQY776</t>
        </is>
      </c>
      <c r="J1772" s="265" t="n">
        <v>0.3354166666666666</v>
      </c>
      <c r="K1772" s="266" t="n">
        <v>3090</v>
      </c>
      <c r="L1772" s="308" t="n"/>
      <c r="M1772" s="146" t="n">
        <v>3091</v>
      </c>
      <c r="N1772" s="113" t="n"/>
      <c r="O1772" s="239" t="n"/>
      <c r="P1772" s="239" t="n"/>
      <c r="Q1772" s="240" t="n"/>
      <c r="R1772" s="241" t="n"/>
    </row>
    <row r="1773" ht="15.75" customHeight="1">
      <c r="A1773" s="113" t="n"/>
      <c r="B1773" s="146" t="n">
        <v>31</v>
      </c>
      <c r="C1773" s="350" t="n">
        <v>46014</v>
      </c>
      <c r="D1773" s="351" t="n">
        <v>13</v>
      </c>
      <c r="E1773" s="264" t="inlineStr">
        <is>
          <t>GARCERAS</t>
        </is>
      </c>
      <c r="F1773" s="264" t="inlineStr">
        <is>
          <t>CARGUEROS</t>
        </is>
      </c>
      <c r="G1773" s="264" t="n">
        <v>11</v>
      </c>
      <c r="H1773" s="264" t="inlineStr">
        <is>
          <t>YAIR RIVEROS</t>
        </is>
      </c>
      <c r="I1773" s="264" t="inlineStr">
        <is>
          <t>TLN181</t>
        </is>
      </c>
      <c r="J1773" s="265" t="n">
        <v>0.3506944444444444</v>
      </c>
      <c r="K1773" s="266" t="n">
        <v>3090</v>
      </c>
      <c r="L1773" s="308" t="n"/>
      <c r="M1773" s="146" t="n">
        <v>3083</v>
      </c>
      <c r="N1773" s="113" t="n"/>
      <c r="O1773" s="239" t="n"/>
      <c r="P1773" s="239" t="n"/>
      <c r="Q1773" s="240" t="n"/>
      <c r="R1773" s="241" t="n"/>
    </row>
    <row r="1774" ht="15.75" customHeight="1">
      <c r="A1774" s="113" t="n"/>
      <c r="B1774" s="146" t="n">
        <v>31</v>
      </c>
      <c r="C1774" s="350" t="n">
        <v>46014</v>
      </c>
      <c r="D1774" s="351" t="n">
        <v>14</v>
      </c>
      <c r="E1774" s="264" t="inlineStr">
        <is>
          <t>GARCERAS</t>
        </is>
      </c>
      <c r="F1774" s="264" t="inlineStr">
        <is>
          <t>CARGUEROS</t>
        </is>
      </c>
      <c r="G1774" s="264" t="n">
        <v>11</v>
      </c>
      <c r="H1774" s="264" t="inlineStr">
        <is>
          <t>EDWIN ROJAS</t>
        </is>
      </c>
      <c r="I1774" s="264" t="inlineStr">
        <is>
          <t>EQY780</t>
        </is>
      </c>
      <c r="J1774" s="265" t="n">
        <v>0.3854166666666667</v>
      </c>
      <c r="K1774" s="266" t="n">
        <v>3090</v>
      </c>
      <c r="L1774" s="308" t="n"/>
      <c r="M1774" s="146" t="n">
        <v>3085</v>
      </c>
      <c r="N1774" s="113" t="n"/>
      <c r="O1774" s="239" t="n"/>
      <c r="P1774" s="239" t="n"/>
      <c r="Q1774" s="240" t="n"/>
      <c r="R1774" s="241" t="n"/>
    </row>
    <row r="1775" ht="15.75" customHeight="1">
      <c r="A1775" s="113" t="n"/>
      <c r="B1775" s="146" t="n">
        <v>31</v>
      </c>
      <c r="C1775" s="350" t="n">
        <v>46014</v>
      </c>
      <c r="D1775" s="351" t="n">
        <v>15</v>
      </c>
      <c r="E1775" s="264" t="inlineStr">
        <is>
          <t>GARCERAS</t>
        </is>
      </c>
      <c r="F1775" s="264" t="inlineStr">
        <is>
          <t>CARGUEROS</t>
        </is>
      </c>
      <c r="G1775" s="264" t="n">
        <v>11</v>
      </c>
      <c r="H1775" s="264" t="inlineStr">
        <is>
          <t>ALEX GOMEZ</t>
        </is>
      </c>
      <c r="I1775" s="264" t="inlineStr">
        <is>
          <t>TLO881</t>
        </is>
      </c>
      <c r="J1775" s="265" t="n">
        <v>0.4166666666666667</v>
      </c>
      <c r="K1775" s="266" t="n">
        <v>2850</v>
      </c>
      <c r="L1775" s="308" t="n"/>
      <c r="M1775" s="146" t="n">
        <v>2845</v>
      </c>
      <c r="N1775" s="113" t="n"/>
      <c r="O1775" s="239" t="n"/>
      <c r="P1775" s="239" t="n"/>
      <c r="Q1775" s="240" t="n"/>
      <c r="R1775" s="241" t="n"/>
    </row>
    <row r="1776" ht="15.75" customHeight="1">
      <c r="A1776" s="113" t="n"/>
      <c r="B1776" s="146" t="n">
        <v>31</v>
      </c>
      <c r="C1776" s="350" t="n">
        <v>46014</v>
      </c>
      <c r="D1776" s="351" t="n">
        <v>16</v>
      </c>
      <c r="E1776" s="264" t="inlineStr">
        <is>
          <t>MALAGUEÑA</t>
        </is>
      </c>
      <c r="F1776" s="264" t="inlineStr">
        <is>
          <t>ABONEROS</t>
        </is>
      </c>
      <c r="G1776" s="264" t="n">
        <v>9</v>
      </c>
      <c r="H1776" s="264" t="inlineStr">
        <is>
          <t>ALBERTO LOPEZ</t>
        </is>
      </c>
      <c r="I1776" s="264" t="inlineStr">
        <is>
          <t>EQY777</t>
        </is>
      </c>
      <c r="J1776" s="265" t="n">
        <v>0.4347222222222222</v>
      </c>
      <c r="K1776" s="266" t="n">
        <v>3243</v>
      </c>
      <c r="L1776" s="308" t="n"/>
      <c r="M1776" s="146" t="n">
        <v>3243</v>
      </c>
      <c r="N1776" s="113" t="n"/>
      <c r="O1776" s="239" t="n"/>
      <c r="P1776" s="239" t="n"/>
      <c r="Q1776" s="240" t="n"/>
      <c r="R1776" s="241" t="n"/>
    </row>
    <row r="1777" ht="15.75" customHeight="1">
      <c r="A1777" s="113" t="n"/>
      <c r="B1777" s="146" t="n">
        <v>31</v>
      </c>
      <c r="C1777" s="352" t="n">
        <v>46014</v>
      </c>
      <c r="D1777" s="347" t="n">
        <v>17</v>
      </c>
      <c r="E1777" s="282" t="inlineStr">
        <is>
          <t>MALAGUEÑA</t>
        </is>
      </c>
      <c r="F1777" s="282" t="inlineStr">
        <is>
          <t>ABONEROS</t>
        </is>
      </c>
      <c r="G1777" s="282" t="n">
        <v>9</v>
      </c>
      <c r="H1777" s="282" t="inlineStr">
        <is>
          <t xml:space="preserve">SEBASTIAN HIDALGO </t>
        </is>
      </c>
      <c r="I1777" s="282" t="inlineStr">
        <is>
          <t>TLO884</t>
        </is>
      </c>
      <c r="J1777" s="283" t="n">
        <v>0.4868055555555555</v>
      </c>
      <c r="K1777" s="318" t="n">
        <v>3240</v>
      </c>
      <c r="L1777" s="354">
        <f>SUM(K1761:K1777)</f>
        <v/>
      </c>
      <c r="M1777" s="146" t="n">
        <v>3242</v>
      </c>
      <c r="N1777" s="113" t="n"/>
      <c r="O1777" s="239" t="n"/>
      <c r="P1777" s="239" t="n"/>
      <c r="Q1777" s="240" t="n"/>
      <c r="R1777" s="241" t="n"/>
    </row>
    <row r="1778" ht="15.75" customHeight="1">
      <c r="A1778" s="113" t="n"/>
      <c r="B1778" s="146" t="n">
        <v>31</v>
      </c>
      <c r="C1778" s="348" t="n">
        <v>46015</v>
      </c>
      <c r="D1778" s="349" t="n">
        <v>1</v>
      </c>
      <c r="E1778" s="258" t="inlineStr">
        <is>
          <t>MALAGUEÑA</t>
        </is>
      </c>
      <c r="F1778" s="258" t="inlineStr">
        <is>
          <t>CARGUEROS</t>
        </is>
      </c>
      <c r="G1778" s="258" t="n">
        <v>10</v>
      </c>
      <c r="H1778" s="258" t="inlineStr">
        <is>
          <t>SEBASTIAN HIDALGO</t>
        </is>
      </c>
      <c r="I1778" s="258" t="inlineStr">
        <is>
          <t>LQO745</t>
        </is>
      </c>
      <c r="J1778" s="259" t="n">
        <v>0.8263888888888888</v>
      </c>
      <c r="K1778" s="260" t="n">
        <v>2700</v>
      </c>
      <c r="L1778" s="292" t="n"/>
      <c r="M1778" s="146" t="n">
        <v>2678</v>
      </c>
      <c r="N1778" s="113" t="n"/>
      <c r="O1778" s="239" t="n"/>
      <c r="P1778" s="239" t="n"/>
      <c r="Q1778" s="240" t="n"/>
      <c r="R1778" s="241" t="n"/>
    </row>
    <row r="1779" ht="15.75" customHeight="1">
      <c r="A1779" s="113" t="n"/>
      <c r="B1779" s="146" t="n">
        <v>31</v>
      </c>
      <c r="C1779" s="350" t="n">
        <v>46015</v>
      </c>
      <c r="D1779" s="351" t="n">
        <v>2</v>
      </c>
      <c r="E1779" s="264" t="inlineStr">
        <is>
          <t>MALAGUEÑA</t>
        </is>
      </c>
      <c r="F1779" s="264" t="inlineStr">
        <is>
          <t>CARGUEROS</t>
        </is>
      </c>
      <c r="G1779" s="264" t="n">
        <v>10</v>
      </c>
      <c r="H1779" s="264" t="inlineStr">
        <is>
          <t>ALEXANDER CHAGUALA</t>
        </is>
      </c>
      <c r="I1779" s="264" t="inlineStr">
        <is>
          <t>KUS176</t>
        </is>
      </c>
      <c r="J1779" s="265" t="n">
        <v>0.8819444444444444</v>
      </c>
      <c r="K1779" s="266" t="n">
        <v>2570</v>
      </c>
      <c r="L1779" s="308" t="n"/>
      <c r="M1779" s="146" t="n">
        <v>2558</v>
      </c>
      <c r="N1779" s="113" t="n"/>
      <c r="O1779" s="239" t="n"/>
      <c r="P1779" s="239" t="n"/>
      <c r="Q1779" s="240" t="n"/>
      <c r="R1779" s="241" t="n"/>
    </row>
    <row r="1780" ht="15.75" customHeight="1">
      <c r="A1780" s="113" t="n"/>
      <c r="B1780" s="146" t="n">
        <v>31</v>
      </c>
      <c r="C1780" s="350" t="n">
        <v>46015</v>
      </c>
      <c r="D1780" s="351" t="n">
        <v>3</v>
      </c>
      <c r="E1780" s="264" t="inlineStr">
        <is>
          <t>MALAGUEÑA</t>
        </is>
      </c>
      <c r="F1780" s="264" t="inlineStr">
        <is>
          <t>CARGUEROS</t>
        </is>
      </c>
      <c r="G1780" s="264" t="n">
        <v>10</v>
      </c>
      <c r="H1780" s="264" t="inlineStr">
        <is>
          <t>ALEX GOMEZ</t>
        </is>
      </c>
      <c r="I1780" s="264" t="inlineStr">
        <is>
          <t>TLO881</t>
        </is>
      </c>
      <c r="J1780" s="265" t="n">
        <v>0.9270833333333334</v>
      </c>
      <c r="K1780" s="266" t="n">
        <v>3480</v>
      </c>
      <c r="L1780" s="308" t="n"/>
      <c r="M1780" s="146" t="n">
        <v>3466</v>
      </c>
      <c r="N1780" s="113" t="n"/>
      <c r="O1780" s="239" t="n"/>
      <c r="P1780" s="239" t="n"/>
      <c r="Q1780" s="240" t="n"/>
      <c r="R1780" s="241" t="n"/>
    </row>
    <row r="1781" ht="15.75" customHeight="1">
      <c r="A1781" s="113" t="n"/>
      <c r="B1781" s="146" t="n">
        <v>31</v>
      </c>
      <c r="C1781" s="350" t="n">
        <v>46015</v>
      </c>
      <c r="D1781" s="351" t="n">
        <v>4</v>
      </c>
      <c r="E1781" s="264" t="inlineStr">
        <is>
          <t>MALAGUEÑA</t>
        </is>
      </c>
      <c r="F1781" s="264" t="inlineStr">
        <is>
          <t>CARGUEROS</t>
        </is>
      </c>
      <c r="G1781" s="264" t="n">
        <v>10</v>
      </c>
      <c r="H1781" s="264" t="inlineStr">
        <is>
          <t xml:space="preserve">JOSE SOLER </t>
        </is>
      </c>
      <c r="I1781" s="264" t="inlineStr">
        <is>
          <t>EQY776</t>
        </is>
      </c>
      <c r="J1781" s="265" t="n">
        <v>0.9722222222222222</v>
      </c>
      <c r="K1781" s="266" t="n">
        <v>3480</v>
      </c>
      <c r="L1781" s="308" t="n"/>
      <c r="M1781" s="146" t="n">
        <v>3459</v>
      </c>
      <c r="N1781" s="113" t="n"/>
      <c r="O1781" s="239" t="n"/>
      <c r="P1781" s="239" t="n"/>
      <c r="Q1781" s="240" t="n"/>
      <c r="R1781" s="241" t="n"/>
    </row>
    <row r="1782" ht="15.75" customHeight="1">
      <c r="A1782" s="113" t="n"/>
      <c r="B1782" s="146" t="n">
        <v>31</v>
      </c>
      <c r="C1782" s="350" t="n">
        <v>46015</v>
      </c>
      <c r="D1782" s="351" t="n">
        <v>5</v>
      </c>
      <c r="E1782" s="264" t="inlineStr">
        <is>
          <t>MALAGUEÑA</t>
        </is>
      </c>
      <c r="F1782" s="264" t="inlineStr">
        <is>
          <t>CARGUEROS</t>
        </is>
      </c>
      <c r="G1782" s="264" t="n">
        <v>10</v>
      </c>
      <c r="H1782" s="264" t="inlineStr">
        <is>
          <t>YAIR RIVEROS</t>
        </is>
      </c>
      <c r="I1782" s="264" t="inlineStr">
        <is>
          <t>TLN181</t>
        </is>
      </c>
      <c r="J1782" s="265" t="n">
        <v>0</v>
      </c>
      <c r="K1782" s="266" t="n">
        <v>3480</v>
      </c>
      <c r="L1782" s="308" t="n"/>
      <c r="M1782" s="146" t="n">
        <v>3467</v>
      </c>
      <c r="N1782" s="113" t="n"/>
      <c r="O1782" s="239" t="n"/>
      <c r="P1782" s="239" t="n"/>
      <c r="Q1782" s="240" t="n"/>
      <c r="R1782" s="241" t="n"/>
    </row>
    <row r="1783" ht="15.75" customHeight="1">
      <c r="A1783" s="113" t="n"/>
      <c r="B1783" s="146" t="n">
        <v>31</v>
      </c>
      <c r="C1783" s="350" t="n">
        <v>46015</v>
      </c>
      <c r="D1783" s="351" t="n">
        <v>6</v>
      </c>
      <c r="E1783" s="264" t="inlineStr">
        <is>
          <t>MALAGUEÑA</t>
        </is>
      </c>
      <c r="F1783" s="264" t="inlineStr">
        <is>
          <t>CARGUEROS</t>
        </is>
      </c>
      <c r="G1783" s="264" t="n">
        <v>10</v>
      </c>
      <c r="H1783" s="264" t="inlineStr">
        <is>
          <t>EDWIN ROJAS</t>
        </is>
      </c>
      <c r="I1783" s="264" t="inlineStr">
        <is>
          <t>EQY780</t>
        </is>
      </c>
      <c r="J1783" s="265" t="n">
        <v>0.04513888888888889</v>
      </c>
      <c r="K1783" s="266" t="n">
        <v>3480</v>
      </c>
      <c r="L1783" s="308" t="n"/>
      <c r="M1783" s="146" t="n">
        <v>3471</v>
      </c>
      <c r="N1783" s="113" t="n"/>
      <c r="O1783" s="239" t="n"/>
      <c r="P1783" s="239" t="n"/>
      <c r="Q1783" s="240" t="n"/>
      <c r="R1783" s="241" t="n"/>
    </row>
    <row r="1784" ht="15.75" customHeight="1">
      <c r="A1784" s="113" t="n"/>
      <c r="B1784" s="146" t="n">
        <v>31</v>
      </c>
      <c r="C1784" s="350" t="n">
        <v>46015</v>
      </c>
      <c r="D1784" s="351" t="n">
        <v>7</v>
      </c>
      <c r="E1784" s="264" t="inlineStr">
        <is>
          <t>MALAGUEÑA</t>
        </is>
      </c>
      <c r="F1784" s="264" t="inlineStr">
        <is>
          <t>CARGUEROS</t>
        </is>
      </c>
      <c r="G1784" s="264" t="n">
        <v>10</v>
      </c>
      <c r="H1784" s="264" t="inlineStr">
        <is>
          <t>ROBINSON PULIDO</t>
        </is>
      </c>
      <c r="I1784" s="264" t="inlineStr">
        <is>
          <t>EQY781</t>
        </is>
      </c>
      <c r="J1784" s="265" t="n">
        <v>0.09722222222222222</v>
      </c>
      <c r="K1784" s="266" t="n">
        <v>3480</v>
      </c>
      <c r="L1784" s="308" t="n"/>
      <c r="M1784" s="146" t="n">
        <v>3426</v>
      </c>
      <c r="N1784" s="113" t="n"/>
      <c r="O1784" s="239" t="n"/>
      <c r="P1784" s="239" t="n"/>
      <c r="Q1784" s="240" t="n"/>
      <c r="R1784" s="241" t="n"/>
    </row>
    <row r="1785" ht="15.75" customHeight="1">
      <c r="A1785" s="113" t="n"/>
      <c r="B1785" s="146" t="n">
        <v>31</v>
      </c>
      <c r="C1785" s="350" t="n">
        <v>46015</v>
      </c>
      <c r="D1785" s="351" t="n">
        <v>8</v>
      </c>
      <c r="E1785" s="264" t="inlineStr">
        <is>
          <t>MALAGUEÑA</t>
        </is>
      </c>
      <c r="F1785" s="264" t="inlineStr">
        <is>
          <t>CARGUEROS</t>
        </is>
      </c>
      <c r="G1785" s="264" t="n">
        <v>10</v>
      </c>
      <c r="H1785" s="264" t="inlineStr">
        <is>
          <t>JAIRO CUBILLOS</t>
        </is>
      </c>
      <c r="I1785" s="264" t="inlineStr">
        <is>
          <t>TLO884</t>
        </is>
      </c>
      <c r="J1785" s="265" t="n">
        <v>0.1631944444444444</v>
      </c>
      <c r="K1785" s="266" t="n">
        <v>2840</v>
      </c>
      <c r="L1785" s="308" t="n"/>
      <c r="M1785" s="146" t="n">
        <v>2832</v>
      </c>
      <c r="N1785" s="113" t="n"/>
      <c r="O1785" s="239" t="n"/>
      <c r="P1785" s="239" t="n"/>
      <c r="Q1785" s="240" t="n"/>
      <c r="R1785" s="241" t="n"/>
    </row>
    <row r="1786" ht="15.75" customHeight="1">
      <c r="A1786" s="113" t="n"/>
      <c r="B1786" s="146" t="n">
        <v>31</v>
      </c>
      <c r="C1786" s="350" t="n">
        <v>46015</v>
      </c>
      <c r="D1786" s="351" t="n">
        <v>9</v>
      </c>
      <c r="E1786" s="264" t="inlineStr">
        <is>
          <t>MALAGUEÑA</t>
        </is>
      </c>
      <c r="F1786" s="264" t="inlineStr">
        <is>
          <t>CARGUEROS</t>
        </is>
      </c>
      <c r="G1786" s="264" t="n">
        <v>10</v>
      </c>
      <c r="H1786" s="264" t="inlineStr">
        <is>
          <t>WILMER PIÑEROS</t>
        </is>
      </c>
      <c r="I1786" s="264" t="inlineStr">
        <is>
          <t>KNL076</t>
        </is>
      </c>
      <c r="J1786" s="265" t="n">
        <v>0.1944444444444444</v>
      </c>
      <c r="K1786" s="266" t="n">
        <v>2840</v>
      </c>
      <c r="L1786" s="309" t="n"/>
      <c r="M1786" s="146" t="n">
        <v>2824</v>
      </c>
      <c r="N1786" s="113" t="n"/>
      <c r="O1786" s="239" t="n"/>
      <c r="P1786" s="239" t="n"/>
      <c r="Q1786" s="240" t="n"/>
      <c r="R1786" s="241" t="n"/>
    </row>
    <row r="1787" ht="15.75" customHeight="1">
      <c r="A1787" s="113" t="n"/>
      <c r="B1787" s="146" t="n">
        <v>31</v>
      </c>
      <c r="C1787" s="356" t="n">
        <v>46015</v>
      </c>
      <c r="D1787" s="357" t="n">
        <v>10</v>
      </c>
      <c r="E1787" s="271" t="inlineStr">
        <is>
          <t>MALAGUEÑA</t>
        </is>
      </c>
      <c r="F1787" s="271" t="inlineStr">
        <is>
          <t>CARGUEROS</t>
        </is>
      </c>
      <c r="G1787" s="271" t="n">
        <v>10</v>
      </c>
      <c r="H1787" s="271" t="inlineStr">
        <is>
          <t>ALBERTO LOPEZ</t>
        </is>
      </c>
      <c r="I1787" s="271" t="inlineStr">
        <is>
          <t>EQY777</t>
        </is>
      </c>
      <c r="J1787" s="272" t="n">
        <v>0.2361111111111111</v>
      </c>
      <c r="K1787" s="273" t="n">
        <v>2920</v>
      </c>
      <c r="L1787" s="378">
        <f>SUM(K1778:K1787)</f>
        <v/>
      </c>
      <c r="M1787" s="146" t="n">
        <v>2901</v>
      </c>
      <c r="N1787" s="113" t="n"/>
      <c r="O1787" s="239" t="n"/>
      <c r="P1787" s="239" t="n"/>
      <c r="Q1787" s="240" t="n"/>
      <c r="R1787" s="241" t="n"/>
    </row>
    <row r="1788" ht="15.75" customHeight="1">
      <c r="A1788" s="113" t="n"/>
      <c r="B1788" s="146" t="n">
        <v>31</v>
      </c>
      <c r="C1788" s="348" t="n">
        <v>46017</v>
      </c>
      <c r="D1788" s="349" t="n">
        <v>1</v>
      </c>
      <c r="E1788" s="258" t="inlineStr">
        <is>
          <t>MALAGUEÑA</t>
        </is>
      </c>
      <c r="F1788" s="258" t="inlineStr">
        <is>
          <t>CARGUEROS</t>
        </is>
      </c>
      <c r="G1788" s="258" t="n">
        <v>10</v>
      </c>
      <c r="H1788" s="258" t="inlineStr">
        <is>
          <t>FERNANDO OYUELA</t>
        </is>
      </c>
      <c r="I1788" s="258" t="inlineStr">
        <is>
          <t>EQY778</t>
        </is>
      </c>
      <c r="J1788" s="259" t="n">
        <v>0.05208333333333334</v>
      </c>
      <c r="K1788" s="260" t="n">
        <v>2620</v>
      </c>
      <c r="L1788" s="292" t="n"/>
      <c r="M1788" s="146" t="n">
        <v>2615</v>
      </c>
      <c r="N1788" s="113" t="n"/>
      <c r="O1788" s="239" t="n"/>
      <c r="P1788" s="239" t="n"/>
      <c r="Q1788" s="240" t="n"/>
      <c r="R1788" s="241" t="n"/>
    </row>
    <row r="1789" ht="15.75" customHeight="1">
      <c r="A1789" s="113" t="n"/>
      <c r="B1789" s="146" t="n">
        <v>31</v>
      </c>
      <c r="C1789" s="350" t="n">
        <v>46017</v>
      </c>
      <c r="D1789" s="351" t="n">
        <v>2</v>
      </c>
      <c r="E1789" s="264" t="inlineStr">
        <is>
          <t>MALAGUEÑA</t>
        </is>
      </c>
      <c r="F1789" s="264" t="inlineStr">
        <is>
          <t>CARGUEROS</t>
        </is>
      </c>
      <c r="G1789" s="264" t="n">
        <v>10</v>
      </c>
      <c r="H1789" s="282" t="inlineStr">
        <is>
          <t>FABIO ALDANA</t>
        </is>
      </c>
      <c r="I1789" s="282" t="inlineStr">
        <is>
          <t>TLO882</t>
        </is>
      </c>
      <c r="J1789" s="283" t="n">
        <v>0.08333333333333333</v>
      </c>
      <c r="K1789" s="318" t="n">
        <v>2620</v>
      </c>
      <c r="L1789" s="308" t="n"/>
      <c r="M1789" s="146" t="n">
        <v>2614</v>
      </c>
      <c r="N1789" s="113" t="n"/>
      <c r="O1789" s="239" t="n"/>
      <c r="P1789" s="239" t="n"/>
      <c r="Q1789" s="240" t="n"/>
      <c r="R1789" s="241" t="n"/>
    </row>
    <row r="1790" ht="15.75" customHeight="1">
      <c r="A1790" s="113" t="n"/>
      <c r="B1790" s="146" t="n">
        <v>31</v>
      </c>
      <c r="C1790" s="350" t="n">
        <v>46017</v>
      </c>
      <c r="D1790" s="351" t="n">
        <v>3</v>
      </c>
      <c r="E1790" s="264" t="inlineStr">
        <is>
          <t>MALAGUEÑA</t>
        </is>
      </c>
      <c r="F1790" s="264" t="inlineStr">
        <is>
          <t>CARGUEROS</t>
        </is>
      </c>
      <c r="G1790" s="264" t="n">
        <v>11</v>
      </c>
      <c r="H1790" s="264" t="inlineStr">
        <is>
          <t>JHON ARIAS</t>
        </is>
      </c>
      <c r="I1790" s="264" t="inlineStr">
        <is>
          <t>TLN248</t>
        </is>
      </c>
      <c r="J1790" s="265" t="n">
        <v>0.1111111111111111</v>
      </c>
      <c r="K1790" s="266" t="n">
        <v>2620</v>
      </c>
      <c r="L1790" s="308" t="n"/>
      <c r="M1790" s="146" t="n">
        <v>2614</v>
      </c>
      <c r="N1790" s="113" t="n"/>
      <c r="O1790" s="239" t="n"/>
      <c r="P1790" s="239" t="n"/>
      <c r="Q1790" s="240" t="n"/>
      <c r="R1790" s="241" t="n"/>
    </row>
    <row r="1791" ht="15.75" customHeight="1">
      <c r="A1791" s="113" t="n"/>
      <c r="B1791" s="146" t="n">
        <v>31</v>
      </c>
      <c r="C1791" s="350" t="n">
        <v>46017</v>
      </c>
      <c r="D1791" s="351" t="n">
        <v>4</v>
      </c>
      <c r="E1791" s="264" t="inlineStr">
        <is>
          <t>MALAGUEÑA</t>
        </is>
      </c>
      <c r="F1791" s="264" t="inlineStr">
        <is>
          <t>CARGUEROS</t>
        </is>
      </c>
      <c r="G1791" s="264" t="n">
        <v>11</v>
      </c>
      <c r="H1791" s="264" t="inlineStr">
        <is>
          <t>DIEGO NIÑO</t>
        </is>
      </c>
      <c r="I1791" s="264" t="inlineStr">
        <is>
          <t>GZZ673</t>
        </is>
      </c>
      <c r="J1791" s="265" t="n">
        <v>0.1458333333333333</v>
      </c>
      <c r="K1791" s="266" t="n">
        <v>2890</v>
      </c>
      <c r="L1791" s="308" t="n"/>
      <c r="M1791" s="146" t="n">
        <v>2888</v>
      </c>
      <c r="N1791" s="113" t="n"/>
      <c r="O1791" s="239" t="n"/>
      <c r="P1791" s="239" t="n"/>
      <c r="Q1791" s="240" t="n"/>
      <c r="R1791" s="241" t="n"/>
    </row>
    <row r="1792" ht="15.75" customHeight="1">
      <c r="A1792" s="113" t="n"/>
      <c r="B1792" s="146" t="n">
        <v>31</v>
      </c>
      <c r="C1792" s="350" t="n">
        <v>46017</v>
      </c>
      <c r="D1792" s="351" t="n">
        <v>5</v>
      </c>
      <c r="E1792" s="264" t="inlineStr">
        <is>
          <t>MALAGUEÑA</t>
        </is>
      </c>
      <c r="F1792" s="264" t="inlineStr">
        <is>
          <t>CARGUEROS</t>
        </is>
      </c>
      <c r="G1792" s="264" t="n">
        <v>11</v>
      </c>
      <c r="H1792" s="264" t="inlineStr">
        <is>
          <t>EDUAN CAVIDEZ</t>
        </is>
      </c>
      <c r="I1792" s="264" t="inlineStr">
        <is>
          <t>EDQY779</t>
        </is>
      </c>
      <c r="J1792" s="265" t="n">
        <v>0.1805555555555556</v>
      </c>
      <c r="K1792" s="266" t="n">
        <v>2890</v>
      </c>
      <c r="L1792" s="308" t="n"/>
      <c r="M1792" s="146" t="n">
        <v>2882</v>
      </c>
      <c r="N1792" s="113" t="n"/>
      <c r="O1792" s="239" t="n"/>
      <c r="P1792" s="239" t="n"/>
      <c r="Q1792" s="240" t="n"/>
      <c r="R1792" s="241" t="n"/>
    </row>
    <row r="1793" ht="15.75" customHeight="1">
      <c r="A1793" s="113" t="n"/>
      <c r="B1793" s="146" t="n">
        <v>31</v>
      </c>
      <c r="C1793" s="350" t="n">
        <v>46017</v>
      </c>
      <c r="D1793" s="351" t="n">
        <v>6</v>
      </c>
      <c r="E1793" s="264" t="inlineStr">
        <is>
          <t>MALAGUEÑA</t>
        </is>
      </c>
      <c r="F1793" s="264" t="inlineStr">
        <is>
          <t>CARGUEROS</t>
        </is>
      </c>
      <c r="G1793" s="264" t="n">
        <v>11</v>
      </c>
      <c r="H1793" s="264" t="inlineStr">
        <is>
          <t>WILMER PIÑEROS</t>
        </is>
      </c>
      <c r="I1793" s="264" t="inlineStr">
        <is>
          <t>KNL076</t>
        </is>
      </c>
      <c r="J1793" s="265" t="n">
        <v>0.21875</v>
      </c>
      <c r="K1793" s="266" t="n">
        <v>2890</v>
      </c>
      <c r="L1793" s="308" t="n"/>
      <c r="M1793" s="146" t="n">
        <v>2883</v>
      </c>
      <c r="N1793" s="113" t="n"/>
      <c r="O1793" s="239" t="n"/>
      <c r="P1793" s="239" t="n"/>
      <c r="Q1793" s="240" t="n"/>
      <c r="R1793" s="241" t="n"/>
    </row>
    <row r="1794" ht="15.75" customHeight="1">
      <c r="A1794" s="113" t="n"/>
      <c r="B1794" s="146" t="n">
        <v>31</v>
      </c>
      <c r="C1794" s="350" t="n">
        <v>46017</v>
      </c>
      <c r="D1794" s="351" t="n">
        <v>7</v>
      </c>
      <c r="E1794" s="264" t="inlineStr">
        <is>
          <t>MALAGUEÑA</t>
        </is>
      </c>
      <c r="F1794" s="264" t="inlineStr">
        <is>
          <t>CARGUEROS</t>
        </is>
      </c>
      <c r="G1794" s="264" t="n">
        <v>11</v>
      </c>
      <c r="H1794" s="264" t="inlineStr">
        <is>
          <t>JAIRO CUBILLOS</t>
        </is>
      </c>
      <c r="I1794" s="264" t="inlineStr">
        <is>
          <t>TLO882</t>
        </is>
      </c>
      <c r="J1794" s="265" t="n">
        <v>0.2638888888888889</v>
      </c>
      <c r="K1794" s="266" t="n">
        <v>3310</v>
      </c>
      <c r="L1794" s="308" t="n"/>
      <c r="M1794" s="146" t="n">
        <v>3309</v>
      </c>
      <c r="N1794" s="113" t="n"/>
      <c r="O1794" s="239" t="n"/>
      <c r="P1794" s="239" t="n"/>
      <c r="Q1794" s="240" t="n"/>
      <c r="R1794" s="241" t="n"/>
    </row>
    <row r="1795" ht="15.75" customHeight="1">
      <c r="A1795" s="113" t="n"/>
      <c r="B1795" s="146" t="n">
        <v>31</v>
      </c>
      <c r="C1795" s="350" t="n">
        <v>46017</v>
      </c>
      <c r="D1795" s="351" t="n">
        <v>8</v>
      </c>
      <c r="E1795" s="264" t="inlineStr">
        <is>
          <t>MALAGUEÑA</t>
        </is>
      </c>
      <c r="F1795" s="264" t="inlineStr">
        <is>
          <t>CARGUEROS</t>
        </is>
      </c>
      <c r="G1795" s="264" t="n">
        <v>11</v>
      </c>
      <c r="H1795" s="264" t="inlineStr">
        <is>
          <t>ALBERTO LOPEZ</t>
        </is>
      </c>
      <c r="I1795" s="264" t="inlineStr">
        <is>
          <t>EQY777</t>
        </is>
      </c>
      <c r="J1795" s="265" t="n">
        <v>0.2916666666666667</v>
      </c>
      <c r="K1795" s="266" t="n">
        <v>3310</v>
      </c>
      <c r="L1795" s="308" t="n"/>
      <c r="M1795" s="146" t="n">
        <v>3325</v>
      </c>
      <c r="N1795" s="113" t="n"/>
      <c r="O1795" s="239" t="n"/>
      <c r="P1795" s="239" t="n"/>
      <c r="Q1795" s="240" t="n"/>
      <c r="R1795" s="241" t="n"/>
    </row>
    <row r="1796" ht="15.75" customHeight="1">
      <c r="A1796" s="113" t="n"/>
      <c r="B1796" s="146" t="n">
        <v>31</v>
      </c>
      <c r="C1796" s="350" t="n">
        <v>46017</v>
      </c>
      <c r="D1796" s="351" t="n">
        <v>9</v>
      </c>
      <c r="E1796" s="264" t="inlineStr">
        <is>
          <t>SAN JOSE</t>
        </is>
      </c>
      <c r="F1796" s="264" t="inlineStr">
        <is>
          <t>ABONEROS</t>
        </is>
      </c>
      <c r="G1796" s="264" t="n">
        <v>10</v>
      </c>
      <c r="H1796" s="264" t="inlineStr">
        <is>
          <t>JHON ARIAS</t>
        </is>
      </c>
      <c r="I1796" s="264" t="inlineStr">
        <is>
          <t>TLN248</t>
        </is>
      </c>
      <c r="J1796" s="265" t="n">
        <v>0.45625</v>
      </c>
      <c r="K1796" s="266" t="n">
        <v>3090</v>
      </c>
      <c r="L1796" s="308" t="n"/>
      <c r="M1796" s="146" t="n">
        <v>3739</v>
      </c>
      <c r="N1796" s="113" t="n"/>
      <c r="O1796" s="113" t="n"/>
      <c r="P1796" s="243" t="n"/>
      <c r="Q1796" s="113" t="n"/>
      <c r="R1796" s="113" t="n"/>
    </row>
    <row r="1797" ht="15.75" customHeight="1">
      <c r="A1797" s="113" t="n"/>
      <c r="B1797" s="146" t="n">
        <v>31</v>
      </c>
      <c r="C1797" s="350" t="n">
        <v>46017</v>
      </c>
      <c r="D1797" s="351" t="n">
        <v>10</v>
      </c>
      <c r="E1797" s="264" t="inlineStr">
        <is>
          <t>SAN JOSE</t>
        </is>
      </c>
      <c r="F1797" s="264" t="inlineStr">
        <is>
          <t>ABONEROS</t>
        </is>
      </c>
      <c r="G1797" s="264" t="n">
        <v>10</v>
      </c>
      <c r="H1797" s="264" t="inlineStr">
        <is>
          <t>DIEGO NIÑO</t>
        </is>
      </c>
      <c r="I1797" s="264" t="inlineStr">
        <is>
          <t>GZZ673</t>
        </is>
      </c>
      <c r="J1797" s="265" t="n">
        <v>0.4847222222222222</v>
      </c>
      <c r="K1797" s="266" t="n">
        <v>3090</v>
      </c>
      <c r="L1797" s="308" t="n"/>
      <c r="M1797" s="146" t="n">
        <v>3082</v>
      </c>
      <c r="N1797" s="113" t="n"/>
      <c r="O1797" s="113" t="n"/>
      <c r="P1797" s="243" t="n"/>
      <c r="Q1797" s="113" t="n"/>
      <c r="R1797" s="113" t="n"/>
    </row>
    <row r="1798" ht="15.75" customHeight="1">
      <c r="A1798" s="113" t="n"/>
      <c r="B1798" s="146" t="n">
        <v>31</v>
      </c>
      <c r="C1798" s="350" t="n">
        <v>46017</v>
      </c>
      <c r="D1798" s="351" t="n">
        <v>11</v>
      </c>
      <c r="E1798" s="264" t="inlineStr">
        <is>
          <t>SAN JOSE</t>
        </is>
      </c>
      <c r="F1798" s="264" t="inlineStr">
        <is>
          <t>ABONEROS</t>
        </is>
      </c>
      <c r="G1798" s="264" t="n">
        <v>10</v>
      </c>
      <c r="H1798" s="264" t="inlineStr">
        <is>
          <t>WILMER PIÑEROS</t>
        </is>
      </c>
      <c r="I1798" s="264" t="inlineStr">
        <is>
          <t>KNL076</t>
        </is>
      </c>
      <c r="J1798" s="265" t="n">
        <v>0.5243055555555556</v>
      </c>
      <c r="K1798" s="266" t="n">
        <v>3050</v>
      </c>
      <c r="L1798" s="308" t="n"/>
      <c r="M1798" s="146" t="n">
        <v>3078</v>
      </c>
      <c r="N1798" s="113" t="n"/>
      <c r="O1798" s="113" t="n"/>
      <c r="P1798" s="243" t="n"/>
      <c r="Q1798" s="113" t="n"/>
      <c r="R1798" s="113" t="n"/>
    </row>
    <row r="1799" ht="15.75" customHeight="1">
      <c r="A1799" s="113" t="n"/>
      <c r="B1799" s="146" t="n">
        <v>31</v>
      </c>
      <c r="C1799" s="350" t="n">
        <v>46017</v>
      </c>
      <c r="D1799" s="351" t="n">
        <v>12</v>
      </c>
      <c r="E1799" s="264" t="inlineStr">
        <is>
          <t>SAN JOSE</t>
        </is>
      </c>
      <c r="F1799" s="264" t="inlineStr">
        <is>
          <t>ABONEROS</t>
        </is>
      </c>
      <c r="G1799" s="264" t="n">
        <v>10</v>
      </c>
      <c r="H1799" s="264" t="inlineStr">
        <is>
          <t>JAIRO CUBILLOS</t>
        </is>
      </c>
      <c r="I1799" s="264" t="inlineStr">
        <is>
          <t>TLO884</t>
        </is>
      </c>
      <c r="J1799" s="265" t="n">
        <v>0.5576388888888889</v>
      </c>
      <c r="K1799" s="266" t="n">
        <v>3050</v>
      </c>
      <c r="L1799" s="308" t="n"/>
      <c r="M1799" s="146" t="n">
        <v>3033</v>
      </c>
      <c r="N1799" s="113" t="n"/>
      <c r="O1799" s="113" t="n"/>
      <c r="P1799" s="243" t="n"/>
      <c r="Q1799" s="113" t="n"/>
      <c r="R1799" s="113" t="n"/>
    </row>
    <row r="1800" ht="15.75" customHeight="1">
      <c r="A1800" s="113" t="n"/>
      <c r="B1800" s="146" t="n">
        <v>31</v>
      </c>
      <c r="C1800" s="350" t="n">
        <v>46017</v>
      </c>
      <c r="D1800" s="351" t="n">
        <v>13</v>
      </c>
      <c r="E1800" s="264" t="inlineStr">
        <is>
          <t>SAN JOSE</t>
        </is>
      </c>
      <c r="F1800" s="264" t="inlineStr">
        <is>
          <t>ABONEROS</t>
        </is>
      </c>
      <c r="G1800" s="264" t="n">
        <v>10</v>
      </c>
      <c r="H1800" s="264" t="inlineStr">
        <is>
          <t xml:space="preserve">SEBASTIAN HIDALGO </t>
        </is>
      </c>
      <c r="I1800" s="264" t="inlineStr">
        <is>
          <t>EQY777</t>
        </is>
      </c>
      <c r="J1800" s="265" t="n">
        <v>0.09444444444444444</v>
      </c>
      <c r="K1800" s="266" t="n">
        <v>3050</v>
      </c>
      <c r="L1800" s="308" t="n"/>
      <c r="M1800" s="146" t="n">
        <v>3030</v>
      </c>
      <c r="N1800" s="113" t="n"/>
      <c r="O1800" s="113" t="n"/>
      <c r="P1800" s="243" t="n"/>
      <c r="Q1800" s="113" t="n"/>
      <c r="R1800" s="113" t="n"/>
    </row>
    <row r="1801" ht="15.75" customHeight="1">
      <c r="A1801" s="113" t="n"/>
      <c r="B1801" s="146" t="n">
        <v>31</v>
      </c>
      <c r="C1801" s="350" t="n">
        <v>46017</v>
      </c>
      <c r="D1801" s="351" t="n">
        <v>14</v>
      </c>
      <c r="E1801" s="264" t="inlineStr">
        <is>
          <t>SAN JOSE</t>
        </is>
      </c>
      <c r="F1801" s="264" t="inlineStr">
        <is>
          <t>ABONEROS</t>
        </is>
      </c>
      <c r="G1801" s="264" t="n">
        <v>10</v>
      </c>
      <c r="H1801" s="264" t="inlineStr">
        <is>
          <t xml:space="preserve">ALEXANDER CHAGUALA </t>
        </is>
      </c>
      <c r="I1801" s="264" t="inlineStr">
        <is>
          <t>EQY779</t>
        </is>
      </c>
      <c r="J1801" s="265" t="n">
        <v>0.6319444444444444</v>
      </c>
      <c r="K1801" s="266" t="n">
        <v>3050</v>
      </c>
      <c r="L1801" s="308" t="n"/>
      <c r="M1801" s="146" t="n">
        <v>3047</v>
      </c>
      <c r="N1801" s="113" t="n"/>
      <c r="O1801" s="113" t="n"/>
      <c r="P1801" s="243" t="n"/>
      <c r="Q1801" s="113" t="n"/>
      <c r="R1801" s="113" t="n"/>
    </row>
    <row r="1802" ht="15.75" customHeight="1">
      <c r="A1802" s="113" t="n"/>
      <c r="B1802" s="146" t="n">
        <v>31</v>
      </c>
      <c r="C1802" s="350" t="n">
        <v>46017</v>
      </c>
      <c r="D1802" s="351" t="n">
        <v>15</v>
      </c>
      <c r="E1802" s="264" t="inlineStr">
        <is>
          <t>SAN JOSE</t>
        </is>
      </c>
      <c r="F1802" s="264" t="inlineStr">
        <is>
          <t>ABONEROS</t>
        </is>
      </c>
      <c r="G1802" s="264" t="n">
        <v>10</v>
      </c>
      <c r="H1802" s="264" t="inlineStr">
        <is>
          <t xml:space="preserve">HENRY ROMERO </t>
        </is>
      </c>
      <c r="I1802" s="264" t="inlineStr">
        <is>
          <t>EQY781</t>
        </is>
      </c>
      <c r="J1802" s="265" t="n">
        <v>0.6604166666666667</v>
      </c>
      <c r="K1802" s="266" t="n">
        <v>3050</v>
      </c>
      <c r="L1802" s="309" t="n"/>
      <c r="M1802" s="146" t="n">
        <v>3043</v>
      </c>
      <c r="N1802" s="113" t="n"/>
      <c r="O1802" s="113" t="n"/>
      <c r="P1802" s="243" t="n"/>
      <c r="Q1802" s="113" t="n"/>
      <c r="R1802" s="113" t="n"/>
    </row>
    <row r="1803" ht="15.75" customHeight="1">
      <c r="A1803" s="113" t="n"/>
      <c r="B1803" s="146" t="n">
        <v>31</v>
      </c>
      <c r="C1803" s="356" t="n">
        <v>46017</v>
      </c>
      <c r="D1803" s="357" t="n">
        <v>16</v>
      </c>
      <c r="E1803" s="271" t="inlineStr">
        <is>
          <t>GARCERAS</t>
        </is>
      </c>
      <c r="F1803" s="271" t="inlineStr">
        <is>
          <t>CARGUEROS</t>
        </is>
      </c>
      <c r="G1803" s="271" t="n">
        <v>10</v>
      </c>
      <c r="H1803" s="271" t="inlineStr">
        <is>
          <t xml:space="preserve">JOSE SOLER </t>
        </is>
      </c>
      <c r="I1803" s="271" t="inlineStr">
        <is>
          <t>EQY776</t>
        </is>
      </c>
      <c r="J1803" s="272" t="n">
        <v>0.46875</v>
      </c>
      <c r="K1803" s="273" t="n">
        <v>3736</v>
      </c>
      <c r="L1803" s="378">
        <f>SUM(K1788:K1803)</f>
        <v/>
      </c>
      <c r="M1803" s="146" t="n">
        <v>3047</v>
      </c>
      <c r="N1803" s="113" t="n"/>
      <c r="O1803" s="113" t="n"/>
      <c r="P1803" s="243" t="n"/>
      <c r="Q1803" s="113" t="n"/>
      <c r="R1803" s="113" t="n"/>
    </row>
    <row r="1804" ht="15.75" customHeight="1">
      <c r="A1804" s="113" t="n"/>
      <c r="B1804" s="146" t="n">
        <v>31</v>
      </c>
      <c r="C1804" s="359" t="n">
        <v>46018</v>
      </c>
      <c r="D1804" s="360" t="n">
        <v>1</v>
      </c>
      <c r="E1804" s="293" t="inlineStr">
        <is>
          <t>SAN JOSE</t>
        </is>
      </c>
      <c r="F1804" s="293" t="inlineStr">
        <is>
          <t>CARGUEROS</t>
        </is>
      </c>
      <c r="G1804" s="293" t="n">
        <v>10</v>
      </c>
      <c r="H1804" s="293" t="inlineStr">
        <is>
          <t>MANUEL QUINTIAN</t>
        </is>
      </c>
      <c r="I1804" s="293" t="inlineStr">
        <is>
          <t>KUS176</t>
        </is>
      </c>
      <c r="J1804" s="294" t="n">
        <v>0.1458333333333333</v>
      </c>
      <c r="K1804" s="295" t="n">
        <v>3050</v>
      </c>
      <c r="L1804" s="296" t="n"/>
      <c r="M1804" s="146" t="n">
        <v>3054</v>
      </c>
      <c r="N1804" s="113" t="n"/>
      <c r="O1804" s="113" t="n"/>
      <c r="P1804" s="243" t="n"/>
      <c r="Q1804" s="113" t="n"/>
      <c r="R1804" s="113" t="n"/>
    </row>
    <row r="1805" ht="15.75" customHeight="1">
      <c r="A1805" s="113" t="n"/>
      <c r="B1805" s="146" t="n">
        <v>31</v>
      </c>
      <c r="C1805" s="350" t="n">
        <v>46018</v>
      </c>
      <c r="D1805" s="351" t="n">
        <v>2</v>
      </c>
      <c r="E1805" s="264" t="inlineStr">
        <is>
          <t>SAN JOSE</t>
        </is>
      </c>
      <c r="F1805" s="264" t="inlineStr">
        <is>
          <t>CARGUEROS</t>
        </is>
      </c>
      <c r="G1805" s="264" t="n">
        <v>10</v>
      </c>
      <c r="H1805" s="264" t="inlineStr">
        <is>
          <t>JAIRO CUBILLOS</t>
        </is>
      </c>
      <c r="I1805" s="264" t="inlineStr">
        <is>
          <t>TLO884</t>
        </is>
      </c>
      <c r="J1805" s="265" t="n">
        <v>0.1736111111111111</v>
      </c>
      <c r="K1805" s="266" t="n">
        <v>3050</v>
      </c>
      <c r="L1805" s="308" t="n"/>
      <c r="M1805" s="146" t="n">
        <v>3052</v>
      </c>
      <c r="N1805" s="113" t="n"/>
      <c r="O1805" s="113" t="n"/>
      <c r="P1805" s="243" t="n"/>
      <c r="Q1805" s="113" t="n"/>
      <c r="R1805" s="113" t="n"/>
    </row>
    <row r="1806" ht="15.75" customHeight="1">
      <c r="A1806" s="113" t="n"/>
      <c r="B1806" s="146" t="n">
        <v>31</v>
      </c>
      <c r="C1806" s="350" t="n">
        <v>46018</v>
      </c>
      <c r="D1806" s="351" t="n">
        <v>3</v>
      </c>
      <c r="E1806" s="264" t="inlineStr">
        <is>
          <t>SAN JOSE</t>
        </is>
      </c>
      <c r="F1806" s="264" t="inlineStr">
        <is>
          <t>CARGUEROS</t>
        </is>
      </c>
      <c r="G1806" s="264" t="n">
        <v>10</v>
      </c>
      <c r="H1806" s="264" t="inlineStr">
        <is>
          <t>JOSE HERRERA</t>
        </is>
      </c>
      <c r="I1806" s="264" t="inlineStr">
        <is>
          <t>LQO745</t>
        </is>
      </c>
      <c r="J1806" s="265" t="n">
        <v>0.2152777777777778</v>
      </c>
      <c r="K1806" s="266" t="n">
        <v>3512</v>
      </c>
      <c r="L1806" s="308" t="n"/>
      <c r="M1806" s="146" t="n">
        <v>3518</v>
      </c>
      <c r="N1806" s="113" t="n"/>
      <c r="O1806" s="113" t="n"/>
      <c r="P1806" s="243" t="n"/>
      <c r="Q1806" s="113" t="n"/>
      <c r="R1806" s="113" t="n"/>
    </row>
    <row r="1807" ht="15.75" customHeight="1">
      <c r="A1807" s="113" t="n"/>
      <c r="B1807" s="146" t="n">
        <v>31</v>
      </c>
      <c r="C1807" s="350" t="n">
        <v>46018</v>
      </c>
      <c r="D1807" s="351" t="n">
        <v>4</v>
      </c>
      <c r="E1807" s="264" t="inlineStr">
        <is>
          <t>SAN JOSE</t>
        </is>
      </c>
      <c r="F1807" s="264" t="inlineStr">
        <is>
          <t>CARGUEROS</t>
        </is>
      </c>
      <c r="G1807" s="264" t="n">
        <v>10</v>
      </c>
      <c r="H1807" s="264" t="inlineStr">
        <is>
          <t>ROBINSON PULIDO</t>
        </is>
      </c>
      <c r="I1807" s="264" t="inlineStr">
        <is>
          <t>EQY781</t>
        </is>
      </c>
      <c r="J1807" s="265" t="n">
        <v>0.2569444444444444</v>
      </c>
      <c r="K1807" s="266" t="n">
        <v>3512</v>
      </c>
      <c r="L1807" s="308" t="n"/>
      <c r="M1807" s="146" t="n">
        <v>3504</v>
      </c>
      <c r="N1807" s="113" t="n"/>
      <c r="O1807" s="113" t="n"/>
      <c r="P1807" s="243" t="n"/>
      <c r="Q1807" s="113" t="n"/>
      <c r="R1807" s="113" t="n"/>
    </row>
    <row r="1808" ht="15.75" customHeight="1">
      <c r="A1808" s="113" t="n"/>
      <c r="B1808" s="146" t="n">
        <v>31</v>
      </c>
      <c r="C1808" s="350" t="n">
        <v>46018</v>
      </c>
      <c r="D1808" s="351" t="n">
        <v>5</v>
      </c>
      <c r="E1808" s="264" t="inlineStr">
        <is>
          <t>SAN JOSE</t>
        </is>
      </c>
      <c r="F1808" s="264" t="inlineStr">
        <is>
          <t>CARGUEROS</t>
        </is>
      </c>
      <c r="G1808" s="264" t="n">
        <v>10</v>
      </c>
      <c r="H1808" s="264" t="inlineStr">
        <is>
          <t>WILMER PIÑEROS</t>
        </is>
      </c>
      <c r="I1808" s="264" t="inlineStr">
        <is>
          <t>KNL076</t>
        </is>
      </c>
      <c r="J1808" s="265" t="n">
        <v>0.3090277777777778</v>
      </c>
      <c r="K1808" s="266" t="n">
        <v>3510</v>
      </c>
      <c r="L1808" s="308" t="n"/>
      <c r="M1808" s="146" t="n">
        <v>3505</v>
      </c>
      <c r="N1808" s="113" t="n"/>
      <c r="O1808" s="113" t="n"/>
      <c r="P1808" s="243" t="n"/>
      <c r="Q1808" s="113" t="n"/>
      <c r="R1808" s="113" t="n"/>
    </row>
    <row r="1809" ht="15.75" customHeight="1">
      <c r="A1809" s="113" t="n"/>
      <c r="B1809" s="146" t="n">
        <v>31</v>
      </c>
      <c r="C1809" s="350" t="n">
        <v>46018</v>
      </c>
      <c r="D1809" s="351" t="n">
        <v>6</v>
      </c>
      <c r="E1809" s="264" t="inlineStr">
        <is>
          <t>SAN JOSE</t>
        </is>
      </c>
      <c r="F1809" s="264" t="inlineStr">
        <is>
          <t>CARGUEROS</t>
        </is>
      </c>
      <c r="G1809" s="264" t="n">
        <v>10</v>
      </c>
      <c r="H1809" s="264" t="inlineStr">
        <is>
          <t>YAIR RIVEROS</t>
        </is>
      </c>
      <c r="I1809" s="264" t="inlineStr">
        <is>
          <t>TLN181</t>
        </is>
      </c>
      <c r="J1809" s="265" t="n">
        <v>0.3472222222222222</v>
      </c>
      <c r="K1809" s="266" t="n">
        <v>3510</v>
      </c>
      <c r="L1809" s="309" t="n"/>
      <c r="M1809" s="146" t="n">
        <v>3500</v>
      </c>
      <c r="N1809" s="113" t="n"/>
      <c r="O1809" s="113" t="n"/>
      <c r="P1809" s="243" t="n"/>
      <c r="Q1809" s="113" t="n"/>
      <c r="R1809" s="113" t="n"/>
    </row>
    <row r="1810" ht="15.75" customHeight="1">
      <c r="A1810" s="113" t="n"/>
      <c r="B1810" s="146" t="n">
        <v>31</v>
      </c>
      <c r="C1810" s="356" t="n">
        <v>46018</v>
      </c>
      <c r="D1810" s="357" t="n">
        <v>7</v>
      </c>
      <c r="E1810" s="271" t="inlineStr">
        <is>
          <t>SAN JOSE</t>
        </is>
      </c>
      <c r="F1810" s="271" t="inlineStr">
        <is>
          <t>CARGUEROS</t>
        </is>
      </c>
      <c r="G1810" s="271" t="n">
        <v>10</v>
      </c>
      <c r="H1810" s="271" t="inlineStr">
        <is>
          <t>FABIO ALDANA</t>
        </is>
      </c>
      <c r="I1810" s="271" t="inlineStr">
        <is>
          <t>TLO882</t>
        </is>
      </c>
      <c r="J1810" s="272" t="n">
        <v>0.3888888888888889</v>
      </c>
      <c r="K1810" s="273" t="n">
        <v>3510</v>
      </c>
      <c r="L1810" s="378">
        <f>SUM(K1804:K1810)</f>
        <v/>
      </c>
      <c r="M1810" s="146" t="n">
        <v>3501</v>
      </c>
      <c r="N1810" s="113" t="n"/>
      <c r="O1810" s="113" t="n"/>
      <c r="P1810" s="243" t="n"/>
      <c r="Q1810" s="113" t="n"/>
      <c r="R1810" s="113" t="n"/>
    </row>
    <row r="1811" ht="15.75" customHeight="1">
      <c r="A1811" s="113" t="n"/>
      <c r="B1811" s="146" t="n">
        <v>32</v>
      </c>
      <c r="C1811" s="359" t="n">
        <v>46020</v>
      </c>
      <c r="D1811" s="360" t="n">
        <v>1</v>
      </c>
      <c r="E1811" s="293" t="inlineStr">
        <is>
          <t>MALAGUEÑA</t>
        </is>
      </c>
      <c r="F1811" s="293" t="inlineStr">
        <is>
          <t>ABONEROS</t>
        </is>
      </c>
      <c r="G1811" s="293" t="n">
        <v>10</v>
      </c>
      <c r="H1811" s="293" t="inlineStr">
        <is>
          <t>SEBASTIAN HIDALGO</t>
        </is>
      </c>
      <c r="I1811" s="293" t="inlineStr">
        <is>
          <t>KUS176</t>
        </is>
      </c>
      <c r="J1811" s="294" t="n">
        <v>0.03541666666666667</v>
      </c>
      <c r="K1811" s="295" t="n">
        <v>3150</v>
      </c>
      <c r="L1811" s="296" t="n"/>
      <c r="M1811" s="113" t="n"/>
      <c r="N1811" s="113" t="n"/>
      <c r="O1811" s="113" t="n"/>
      <c r="P1811" s="243" t="n"/>
      <c r="Q1811" s="113" t="n"/>
      <c r="R1811" s="113" t="n"/>
    </row>
    <row r="1812" ht="15.75" customHeight="1">
      <c r="A1812" s="113" t="n"/>
      <c r="B1812" s="146" t="n">
        <v>32</v>
      </c>
      <c r="C1812" s="350" t="n">
        <v>46020</v>
      </c>
      <c r="D1812" s="351" t="n">
        <v>2</v>
      </c>
      <c r="E1812" s="264" t="inlineStr">
        <is>
          <t>MALAGUEÑA</t>
        </is>
      </c>
      <c r="F1812" s="264" t="inlineStr">
        <is>
          <t>ABONEROS</t>
        </is>
      </c>
      <c r="G1812" s="264" t="n">
        <v>10</v>
      </c>
      <c r="H1812" s="264" t="inlineStr">
        <is>
          <t>WILMER PIÑEROS</t>
        </is>
      </c>
      <c r="I1812" s="264" t="inlineStr">
        <is>
          <t>KNL076</t>
        </is>
      </c>
      <c r="J1812" s="265" t="n">
        <v>0.07916666666666666</v>
      </c>
      <c r="K1812" s="266" t="n">
        <v>3150</v>
      </c>
      <c r="L1812" s="308" t="n"/>
      <c r="M1812" s="113" t="n"/>
      <c r="N1812" s="113" t="n"/>
      <c r="O1812" s="113" t="n"/>
      <c r="P1812" s="243" t="n"/>
      <c r="Q1812" s="113" t="n"/>
      <c r="R1812" s="113" t="n"/>
    </row>
    <row r="1813" ht="15.75" customHeight="1">
      <c r="A1813" s="113" t="n"/>
      <c r="B1813" s="146" t="n">
        <v>32</v>
      </c>
      <c r="C1813" s="350" t="n">
        <v>46020</v>
      </c>
      <c r="D1813" s="351" t="n">
        <v>3</v>
      </c>
      <c r="E1813" s="264" t="inlineStr">
        <is>
          <t>SAN JOSE</t>
        </is>
      </c>
      <c r="F1813" s="264" t="inlineStr">
        <is>
          <t>CARGUEROS</t>
        </is>
      </c>
      <c r="G1813" s="264" t="n">
        <v>10</v>
      </c>
      <c r="H1813" s="264" t="inlineStr">
        <is>
          <t>ALEXANDER CHAGUALA</t>
        </is>
      </c>
      <c r="I1813" s="264" t="inlineStr">
        <is>
          <t>TLOL882</t>
        </is>
      </c>
      <c r="J1813" s="265" t="n">
        <v>0.03472222222222222</v>
      </c>
      <c r="K1813" s="266" t="n">
        <v>3000</v>
      </c>
      <c r="L1813" s="308" t="n"/>
      <c r="M1813" s="113" t="n"/>
      <c r="N1813" s="113" t="n"/>
      <c r="O1813" s="113" t="n"/>
      <c r="P1813" s="243" t="n"/>
      <c r="Q1813" s="113" t="n"/>
      <c r="R1813" s="113" t="n"/>
    </row>
    <row r="1814" ht="15.75" customHeight="1">
      <c r="A1814" s="113" t="n"/>
      <c r="B1814" s="146" t="n">
        <v>32</v>
      </c>
      <c r="C1814" s="350" t="n">
        <v>46020</v>
      </c>
      <c r="D1814" s="351" t="n">
        <v>4</v>
      </c>
      <c r="E1814" s="264" t="inlineStr">
        <is>
          <t>SAN JOSE</t>
        </is>
      </c>
      <c r="F1814" s="264" t="inlineStr">
        <is>
          <t>CARGUEROS</t>
        </is>
      </c>
      <c r="G1814" s="264" t="n">
        <v>10</v>
      </c>
      <c r="H1814" s="264" t="inlineStr">
        <is>
          <t>EDWIN ROJAS</t>
        </is>
      </c>
      <c r="I1814" s="264" t="inlineStr">
        <is>
          <t>EQY780</t>
        </is>
      </c>
      <c r="J1814" s="265" t="n">
        <v>0.06944444444444445</v>
      </c>
      <c r="K1814" s="266" t="n">
        <v>3000</v>
      </c>
      <c r="L1814" s="308" t="n"/>
      <c r="M1814" s="113" t="n"/>
      <c r="N1814" s="113" t="n"/>
      <c r="O1814" s="113" t="n"/>
      <c r="P1814" s="243" t="n"/>
      <c r="Q1814" s="113" t="n"/>
      <c r="R1814" s="113" t="n"/>
    </row>
    <row r="1815" ht="15.75" customHeight="1">
      <c r="A1815" s="113" t="n"/>
      <c r="B1815" s="146" t="n">
        <v>32</v>
      </c>
      <c r="C1815" s="350" t="n">
        <v>46020</v>
      </c>
      <c r="D1815" s="351" t="n">
        <v>5</v>
      </c>
      <c r="E1815" s="264" t="inlineStr">
        <is>
          <t>SAN JOSE</t>
        </is>
      </c>
      <c r="F1815" s="264" t="inlineStr">
        <is>
          <t>CARGUEROS</t>
        </is>
      </c>
      <c r="G1815" s="264" t="n">
        <v>10</v>
      </c>
      <c r="H1815" s="264" t="inlineStr">
        <is>
          <t xml:space="preserve">FERNANDO OYEULA </t>
        </is>
      </c>
      <c r="I1815" s="264" t="inlineStr">
        <is>
          <t>EQY778</t>
        </is>
      </c>
      <c r="J1815" s="265" t="n">
        <v>0.09722222222222222</v>
      </c>
      <c r="K1815" s="266" t="n">
        <v>3000</v>
      </c>
      <c r="L1815" s="308" t="n"/>
      <c r="M1815" s="113" t="n"/>
      <c r="N1815" s="113" t="n"/>
      <c r="O1815" s="113" t="n"/>
      <c r="P1815" s="243" t="n"/>
      <c r="Q1815" s="113" t="n"/>
      <c r="R1815" s="113" t="n"/>
    </row>
    <row r="1816" ht="15.75" customHeight="1">
      <c r="A1816" s="113" t="n"/>
      <c r="B1816" s="146" t="n">
        <v>32</v>
      </c>
      <c r="C1816" s="350" t="n">
        <v>46020</v>
      </c>
      <c r="D1816" s="351" t="n">
        <v>6</v>
      </c>
      <c r="E1816" s="264" t="inlineStr">
        <is>
          <t>SAN JOSE</t>
        </is>
      </c>
      <c r="F1816" s="264" t="inlineStr">
        <is>
          <t>CARGUEROS</t>
        </is>
      </c>
      <c r="G1816" s="264" t="n">
        <v>10</v>
      </c>
      <c r="H1816" s="264" t="inlineStr">
        <is>
          <t>ROBINSON PULIDO</t>
        </is>
      </c>
      <c r="I1816" s="264" t="inlineStr">
        <is>
          <t>TLN181</t>
        </is>
      </c>
      <c r="J1816" s="265" t="n">
        <v>0.13125</v>
      </c>
      <c r="K1816" s="266" t="n">
        <v>3000</v>
      </c>
      <c r="L1816" s="308" t="n"/>
      <c r="M1816" s="113" t="n"/>
      <c r="N1816" s="113" t="n"/>
      <c r="O1816" s="113" t="n"/>
      <c r="P1816" s="243" t="n"/>
      <c r="Q1816" s="113" t="n"/>
      <c r="R1816" s="113" t="n"/>
    </row>
    <row r="1817" ht="15.75" customHeight="1">
      <c r="A1817" s="113" t="n"/>
      <c r="B1817" s="146" t="n">
        <v>32</v>
      </c>
      <c r="C1817" s="350" t="n">
        <v>46020</v>
      </c>
      <c r="D1817" s="351" t="n">
        <v>7</v>
      </c>
      <c r="E1817" s="264" t="inlineStr">
        <is>
          <t>SAN JOSE</t>
        </is>
      </c>
      <c r="F1817" s="264" t="inlineStr">
        <is>
          <t>CARGUEROS</t>
        </is>
      </c>
      <c r="G1817" s="264" t="n">
        <v>10</v>
      </c>
      <c r="H1817" s="264" t="inlineStr">
        <is>
          <t>SEBASTIAN HIDALGO</t>
        </is>
      </c>
      <c r="I1817" s="264" t="inlineStr">
        <is>
          <t>KUS176</t>
        </is>
      </c>
      <c r="J1817" s="265" t="n">
        <v>0.1631944444444444</v>
      </c>
      <c r="K1817" s="266" t="n">
        <v>3000</v>
      </c>
      <c r="L1817" s="308" t="n"/>
      <c r="M1817" s="113" t="n"/>
      <c r="N1817" s="113" t="n"/>
      <c r="O1817" s="113" t="n"/>
      <c r="P1817" s="243" t="n"/>
      <c r="Q1817" s="113" t="n"/>
      <c r="R1817" s="113" t="n"/>
    </row>
    <row r="1818" ht="15.75" customHeight="1">
      <c r="A1818" s="113" t="n"/>
      <c r="B1818" s="146" t="n">
        <v>32</v>
      </c>
      <c r="C1818" s="350" t="n">
        <v>46020</v>
      </c>
      <c r="D1818" s="351" t="n">
        <v>8</v>
      </c>
      <c r="E1818" s="264" t="inlineStr">
        <is>
          <t>SAN JOSE</t>
        </is>
      </c>
      <c r="F1818" s="264" t="inlineStr">
        <is>
          <t>CARGUEROS</t>
        </is>
      </c>
      <c r="G1818" s="264" t="n">
        <v>10</v>
      </c>
      <c r="H1818" s="264" t="inlineStr">
        <is>
          <t>ALEXANDER CHAGUALA</t>
        </is>
      </c>
      <c r="I1818" s="264" t="inlineStr">
        <is>
          <t>TLO882</t>
        </is>
      </c>
      <c r="J1818" s="265" t="n">
        <v>0.2013888888888889</v>
      </c>
      <c r="K1818" s="266" t="n">
        <v>3000</v>
      </c>
      <c r="L1818" s="308" t="n"/>
      <c r="M1818" s="113" t="n"/>
      <c r="N1818" s="113" t="n"/>
      <c r="O1818" s="113" t="n"/>
      <c r="P1818" s="243" t="n"/>
      <c r="Q1818" s="113" t="n"/>
      <c r="R1818" s="113" t="n"/>
    </row>
    <row r="1819" ht="15.75" customHeight="1">
      <c r="A1819" s="113" t="n"/>
      <c r="B1819" s="146" t="n">
        <v>32</v>
      </c>
      <c r="C1819" s="350" t="n">
        <v>46020</v>
      </c>
      <c r="D1819" s="351" t="n">
        <v>9</v>
      </c>
      <c r="E1819" s="264" t="inlineStr">
        <is>
          <t>SAN JOSE</t>
        </is>
      </c>
      <c r="F1819" s="264" t="inlineStr">
        <is>
          <t>CARGUEROS</t>
        </is>
      </c>
      <c r="G1819" s="264" t="n">
        <v>10</v>
      </c>
      <c r="H1819" s="264" t="inlineStr">
        <is>
          <t>FERNNADO OYUELA</t>
        </is>
      </c>
      <c r="I1819" s="264" t="inlineStr">
        <is>
          <t>EQY780</t>
        </is>
      </c>
      <c r="J1819" s="265" t="n">
        <v>0.2916666666666667</v>
      </c>
      <c r="K1819" s="266" t="n">
        <v>3080</v>
      </c>
      <c r="L1819" s="309" t="n"/>
      <c r="M1819" s="113" t="n"/>
      <c r="N1819" s="113" t="n"/>
      <c r="O1819" s="113" t="n"/>
      <c r="P1819" s="243" t="n"/>
      <c r="Q1819" s="113" t="n"/>
      <c r="R1819" s="113" t="n"/>
    </row>
    <row r="1820" ht="15.75" customHeight="1">
      <c r="A1820" s="113" t="n"/>
      <c r="B1820" s="146" t="n">
        <v>32</v>
      </c>
      <c r="C1820" s="352" t="n">
        <v>46020</v>
      </c>
      <c r="D1820" s="347" t="n">
        <v>10</v>
      </c>
      <c r="E1820" s="282" t="inlineStr">
        <is>
          <t>SAN JOSE</t>
        </is>
      </c>
      <c r="F1820" s="282" t="inlineStr">
        <is>
          <t>CARGUEROS</t>
        </is>
      </c>
      <c r="G1820" s="282" t="n">
        <v>10</v>
      </c>
      <c r="H1820" s="282" t="inlineStr">
        <is>
          <t>ROBINSON PULIDO</t>
        </is>
      </c>
      <c r="I1820" s="282" t="inlineStr">
        <is>
          <t>TLN181</t>
        </is>
      </c>
      <c r="J1820" s="283" t="n">
        <v>0.3090277777777778</v>
      </c>
      <c r="K1820" s="284" t="n">
        <v>3080</v>
      </c>
      <c r="L1820" s="353">
        <f>SUM(K1811:K1820)</f>
        <v/>
      </c>
      <c r="M1820" s="113" t="n"/>
      <c r="N1820" s="113" t="n"/>
      <c r="O1820" s="113" t="n"/>
      <c r="P1820" s="243" t="n"/>
      <c r="Q1820" s="113" t="n"/>
      <c r="R1820" s="113" t="n"/>
    </row>
    <row r="1821" ht="15.75" customHeight="1">
      <c r="A1821" s="113" t="n"/>
      <c r="B1821" s="146" t="n">
        <v>32</v>
      </c>
      <c r="C1821" s="348" t="n">
        <v>46021</v>
      </c>
      <c r="D1821" s="349" t="n">
        <v>1</v>
      </c>
      <c r="E1821" s="258" t="inlineStr">
        <is>
          <t>MALAGUEÑA</t>
        </is>
      </c>
      <c r="F1821" s="258" t="inlineStr">
        <is>
          <t>CARGUEROS</t>
        </is>
      </c>
      <c r="G1821" s="258" t="n">
        <v>11</v>
      </c>
      <c r="H1821" s="258" t="inlineStr">
        <is>
          <t xml:space="preserve">ALBERTO LOPEZ </t>
        </is>
      </c>
      <c r="I1821" s="258" t="inlineStr">
        <is>
          <t>EQY777</t>
        </is>
      </c>
      <c r="J1821" s="259" t="n">
        <v>0.9166666666666666</v>
      </c>
      <c r="K1821" s="260" t="n">
        <v>3620</v>
      </c>
      <c r="L1821" s="292" t="n"/>
      <c r="M1821" s="113" t="n"/>
      <c r="N1821" s="113" t="n"/>
      <c r="O1821" s="113" t="n"/>
      <c r="P1821" s="243" t="n"/>
      <c r="Q1821" s="113" t="n"/>
      <c r="R1821" s="113" t="n"/>
    </row>
    <row r="1822" ht="15.75" customHeight="1">
      <c r="A1822" s="113" t="n"/>
      <c r="B1822" s="146" t="n">
        <v>32</v>
      </c>
      <c r="C1822" s="350" t="n">
        <v>46021</v>
      </c>
      <c r="D1822" s="351" t="n">
        <v>2</v>
      </c>
      <c r="E1822" s="264" t="inlineStr">
        <is>
          <t>MALAGUEÑA</t>
        </is>
      </c>
      <c r="F1822" s="264" t="inlineStr">
        <is>
          <t>CARGUEROS</t>
        </is>
      </c>
      <c r="G1822" s="264" t="n">
        <v>11</v>
      </c>
      <c r="H1822" s="264" t="inlineStr">
        <is>
          <t xml:space="preserve">JAIRO CUBILLOS </t>
        </is>
      </c>
      <c r="I1822" s="264" t="inlineStr">
        <is>
          <t>TLO884</t>
        </is>
      </c>
      <c r="J1822" s="265" t="n">
        <v>0.9583333333333334</v>
      </c>
      <c r="K1822" s="266" t="n">
        <v>3620</v>
      </c>
      <c r="L1822" s="308" t="n"/>
      <c r="M1822" s="113" t="n"/>
      <c r="N1822" s="113" t="n"/>
      <c r="O1822" s="113" t="n"/>
      <c r="P1822" s="243" t="n"/>
      <c r="Q1822" s="113" t="n"/>
      <c r="R1822" s="113" t="n"/>
    </row>
    <row r="1823" ht="15.75" customHeight="1">
      <c r="A1823" s="113" t="n"/>
      <c r="B1823" s="146" t="n">
        <v>32</v>
      </c>
      <c r="C1823" s="350" t="n">
        <v>46021</v>
      </c>
      <c r="D1823" s="351" t="n">
        <v>3</v>
      </c>
      <c r="E1823" s="264" t="inlineStr">
        <is>
          <t>MALAGUEÑA</t>
        </is>
      </c>
      <c r="F1823" s="264" t="inlineStr">
        <is>
          <t>CARGUEROS</t>
        </is>
      </c>
      <c r="G1823" s="264" t="n">
        <v>11</v>
      </c>
      <c r="H1823" s="264" t="inlineStr">
        <is>
          <t xml:space="preserve">JHON ARIAS </t>
        </is>
      </c>
      <c r="I1823" s="264" t="inlineStr">
        <is>
          <t>TLN248</t>
        </is>
      </c>
      <c r="J1823" s="265" t="n">
        <v>0.01736111111111111</v>
      </c>
      <c r="K1823" s="266" t="n">
        <v>2620</v>
      </c>
      <c r="L1823" s="308" t="n"/>
      <c r="M1823" s="113" t="n"/>
      <c r="N1823" s="113" t="n"/>
      <c r="O1823" s="113" t="n"/>
      <c r="P1823" s="243" t="n"/>
      <c r="Q1823" s="113" t="n"/>
      <c r="R1823" s="113" t="n"/>
    </row>
    <row r="1824" ht="15.75" customHeight="1">
      <c r="A1824" s="113" t="n"/>
      <c r="B1824" s="146" t="n">
        <v>32</v>
      </c>
      <c r="C1824" s="350" t="n">
        <v>46021</v>
      </c>
      <c r="D1824" s="351" t="n">
        <v>4</v>
      </c>
      <c r="E1824" s="264" t="inlineStr">
        <is>
          <t>MALAGUEÑA</t>
        </is>
      </c>
      <c r="F1824" s="264" t="inlineStr">
        <is>
          <t>CARGUEROS</t>
        </is>
      </c>
      <c r="G1824" s="264" t="n">
        <v>11</v>
      </c>
      <c r="H1824" s="264" t="inlineStr">
        <is>
          <t>DIEGO NIÑO</t>
        </is>
      </c>
      <c r="I1824" s="264" t="inlineStr">
        <is>
          <t>GZZ673</t>
        </is>
      </c>
      <c r="J1824" s="265" t="n">
        <v>0.0625</v>
      </c>
      <c r="K1824" s="266" t="n">
        <v>3640</v>
      </c>
      <c r="L1824" s="308" t="n"/>
      <c r="M1824" s="113" t="n"/>
      <c r="N1824" s="113" t="n"/>
      <c r="O1824" s="113" t="n"/>
      <c r="P1824" s="243" t="n"/>
      <c r="Q1824" s="113" t="n"/>
      <c r="R1824" s="113" t="n"/>
    </row>
    <row r="1825" ht="15.75" customHeight="1">
      <c r="A1825" s="113" t="n"/>
      <c r="B1825" s="146" t="n">
        <v>32</v>
      </c>
      <c r="C1825" s="350" t="n">
        <v>46021</v>
      </c>
      <c r="D1825" s="351" t="n">
        <v>5</v>
      </c>
      <c r="E1825" s="264" t="inlineStr">
        <is>
          <t>SAN JOSE</t>
        </is>
      </c>
      <c r="F1825" s="264" t="inlineStr">
        <is>
          <t>CARGUEROS</t>
        </is>
      </c>
      <c r="G1825" s="264" t="n">
        <v>11</v>
      </c>
      <c r="H1825" s="264" t="inlineStr">
        <is>
          <t>EDUAN CAVIEDES</t>
        </is>
      </c>
      <c r="I1825" s="264" t="inlineStr">
        <is>
          <t>EQY779</t>
        </is>
      </c>
      <c r="J1825" s="265" t="n">
        <v>0.1666666666666667</v>
      </c>
      <c r="K1825" s="266" t="n">
        <v>3888</v>
      </c>
      <c r="L1825" s="308" t="n"/>
      <c r="M1825" s="113" t="n"/>
      <c r="N1825" s="113" t="n"/>
      <c r="O1825" s="113" t="n"/>
      <c r="P1825" s="243" t="n"/>
      <c r="Q1825" s="113" t="n"/>
      <c r="R1825" s="113" t="n"/>
    </row>
    <row r="1826" ht="15.75" customHeight="1">
      <c r="A1826" s="113" t="n"/>
      <c r="B1826" s="146" t="n">
        <v>32</v>
      </c>
      <c r="C1826" s="350" t="n">
        <v>46021</v>
      </c>
      <c r="D1826" s="351" t="n">
        <v>6</v>
      </c>
      <c r="E1826" s="264" t="inlineStr">
        <is>
          <t>sAN JOSE</t>
        </is>
      </c>
      <c r="F1826" s="264" t="inlineStr">
        <is>
          <t>CARGUEROS</t>
        </is>
      </c>
      <c r="G1826" s="264" t="n">
        <v>11</v>
      </c>
      <c r="H1826" s="264" t="inlineStr">
        <is>
          <t xml:space="preserve">ALBERTO LOPEZ </t>
        </is>
      </c>
      <c r="I1826" s="264" t="inlineStr">
        <is>
          <t>EQY777</t>
        </is>
      </c>
      <c r="J1826" s="265" t="n">
        <v>0.2013888888888889</v>
      </c>
      <c r="K1826" s="266" t="n">
        <v>3888</v>
      </c>
      <c r="L1826" s="309" t="n"/>
      <c r="M1826" s="113" t="n"/>
      <c r="N1826" s="113" t="n"/>
      <c r="O1826" s="113" t="n"/>
      <c r="P1826" s="243" t="n"/>
      <c r="Q1826" s="113" t="n"/>
      <c r="R1826" s="113" t="n"/>
    </row>
    <row r="1827" ht="15.75" customHeight="1">
      <c r="A1827" s="113" t="n"/>
      <c r="B1827" s="146" t="n">
        <v>32</v>
      </c>
      <c r="C1827" s="352" t="n">
        <v>46021</v>
      </c>
      <c r="D1827" s="347" t="n">
        <v>7</v>
      </c>
      <c r="E1827" s="282" t="inlineStr">
        <is>
          <t>SAN JOSE</t>
        </is>
      </c>
      <c r="F1827" s="282" t="inlineStr">
        <is>
          <t>CARGUEROS</t>
        </is>
      </c>
      <c r="G1827" s="282" t="n">
        <v>11</v>
      </c>
      <c r="H1827" s="282" t="inlineStr">
        <is>
          <t xml:space="preserve">JAIRO CUBILLOS </t>
        </is>
      </c>
      <c r="I1827" s="282" t="inlineStr">
        <is>
          <t>TLO884</t>
        </is>
      </c>
      <c r="J1827" s="283" t="n">
        <v>0.25</v>
      </c>
      <c r="K1827" s="284" t="n">
        <v>3888</v>
      </c>
      <c r="L1827" s="353">
        <f>SUM(K1821:K1827)</f>
        <v/>
      </c>
      <c r="M1827" s="113" t="n"/>
      <c r="N1827" s="113" t="n"/>
      <c r="O1827" s="113" t="n"/>
      <c r="P1827" s="243" t="n"/>
      <c r="Q1827" s="113" t="n"/>
      <c r="R1827" s="113" t="n"/>
    </row>
    <row r="1828" ht="15.75" customHeight="1">
      <c r="A1828" s="113" t="n"/>
      <c r="B1828" s="146" t="n">
        <v>32</v>
      </c>
      <c r="C1828" s="348" t="n">
        <v>46022</v>
      </c>
      <c r="D1828" s="349" t="n">
        <v>1</v>
      </c>
      <c r="E1828" s="258" t="inlineStr">
        <is>
          <t>MALAGUEÑA</t>
        </is>
      </c>
      <c r="F1828" s="258" t="inlineStr">
        <is>
          <t>CARGUEROS</t>
        </is>
      </c>
      <c r="G1828" s="258" t="n">
        <v>11</v>
      </c>
      <c r="H1828" s="258" t="inlineStr">
        <is>
          <t xml:space="preserve">ALBERTO LOPEZ </t>
        </is>
      </c>
      <c r="I1828" s="258" t="inlineStr">
        <is>
          <t>EQY777</t>
        </is>
      </c>
      <c r="J1828" s="259" t="n">
        <v>0.7465277777777778</v>
      </c>
      <c r="K1828" s="260" t="n">
        <v>3330</v>
      </c>
      <c r="L1828" s="292" t="n"/>
      <c r="M1828" s="113" t="n"/>
      <c r="N1828" s="113" t="n"/>
      <c r="O1828" s="113" t="n"/>
      <c r="P1828" s="243" t="n"/>
      <c r="Q1828" s="113" t="n"/>
      <c r="R1828" s="113" t="n"/>
    </row>
    <row r="1829" ht="15.75" customHeight="1">
      <c r="A1829" s="113" t="n"/>
      <c r="B1829" s="146" t="n">
        <v>32</v>
      </c>
      <c r="C1829" s="350" t="n">
        <v>46022</v>
      </c>
      <c r="D1829" s="351" t="n">
        <v>2</v>
      </c>
      <c r="E1829" s="264" t="inlineStr">
        <is>
          <t>MALAGUEÑA</t>
        </is>
      </c>
      <c r="F1829" s="264" t="inlineStr">
        <is>
          <t>CARGUEROS</t>
        </is>
      </c>
      <c r="G1829" s="264" t="n">
        <v>11</v>
      </c>
      <c r="H1829" s="264" t="inlineStr">
        <is>
          <t>EDWIN CAVIEDES</t>
        </is>
      </c>
      <c r="I1829" s="264" t="inlineStr">
        <is>
          <t>EQY779</t>
        </is>
      </c>
      <c r="J1829" s="265" t="n">
        <v>0.7881944444444444</v>
      </c>
      <c r="K1829" s="266" t="n">
        <v>3507</v>
      </c>
      <c r="L1829" s="308" t="n"/>
      <c r="M1829" s="113" t="n"/>
      <c r="N1829" s="113" t="n"/>
      <c r="O1829" s="113" t="n"/>
      <c r="P1829" s="243" t="n"/>
      <c r="Q1829" s="113" t="n"/>
      <c r="R1829" s="113" t="n"/>
    </row>
    <row r="1830" ht="15.75" customHeight="1">
      <c r="A1830" s="113" t="n"/>
      <c r="B1830" s="146" t="n">
        <v>32</v>
      </c>
      <c r="C1830" s="350" t="n">
        <v>46022</v>
      </c>
      <c r="D1830" s="351" t="n">
        <v>3</v>
      </c>
      <c r="E1830" s="264" t="inlineStr">
        <is>
          <t>MALAGUEÑA</t>
        </is>
      </c>
      <c r="F1830" s="264" t="inlineStr">
        <is>
          <t>CARGUEROS</t>
        </is>
      </c>
      <c r="G1830" s="264" t="n">
        <v>11</v>
      </c>
      <c r="H1830" s="264" t="inlineStr">
        <is>
          <t>SERGIO ALDANA</t>
        </is>
      </c>
      <c r="I1830" s="264" t="inlineStr">
        <is>
          <t>TLO882</t>
        </is>
      </c>
      <c r="J1830" s="265" t="n">
        <v>0.8194444444444444</v>
      </c>
      <c r="K1830" s="266" t="n">
        <v>2550</v>
      </c>
      <c r="L1830" s="308" t="n"/>
      <c r="M1830" s="113" t="n"/>
      <c r="N1830" s="113" t="n"/>
      <c r="O1830" s="113" t="n"/>
      <c r="P1830" s="243" t="n"/>
      <c r="Q1830" s="113" t="n"/>
      <c r="R1830" s="113" t="n"/>
    </row>
    <row r="1831" ht="15.75" customHeight="1">
      <c r="A1831" s="113" t="n"/>
      <c r="B1831" s="146" t="n">
        <v>32</v>
      </c>
      <c r="C1831" s="350" t="n">
        <v>46022</v>
      </c>
      <c r="D1831" s="351" t="n">
        <v>4</v>
      </c>
      <c r="E1831" s="264" t="inlineStr">
        <is>
          <t>MALAGUEÑA</t>
        </is>
      </c>
      <c r="F1831" s="264" t="inlineStr">
        <is>
          <t>CARGUEROS</t>
        </is>
      </c>
      <c r="G1831" s="264" t="n">
        <v>11</v>
      </c>
      <c r="H1831" s="264" t="inlineStr">
        <is>
          <t xml:space="preserve">SEBASTIAN HIDALGO </t>
        </is>
      </c>
      <c r="I1831" s="264" t="inlineStr">
        <is>
          <t>TLN181</t>
        </is>
      </c>
      <c r="J1831" s="265" t="n">
        <v>0.8472222222222222</v>
      </c>
      <c r="K1831" s="266" t="n">
        <v>2550</v>
      </c>
      <c r="L1831" s="308" t="n"/>
      <c r="M1831" s="113" t="n"/>
      <c r="N1831" s="113" t="n"/>
      <c r="O1831" s="113" t="n"/>
      <c r="P1831" s="243" t="n"/>
      <c r="Q1831" s="113" t="n"/>
      <c r="R1831" s="113" t="n"/>
    </row>
    <row r="1832" ht="15.75" customHeight="1">
      <c r="A1832" s="113" t="n"/>
      <c r="B1832" s="146" t="n">
        <v>32</v>
      </c>
      <c r="C1832" s="350" t="n">
        <v>46022</v>
      </c>
      <c r="D1832" s="351" t="n">
        <v>5</v>
      </c>
      <c r="E1832" s="264" t="inlineStr">
        <is>
          <t>MALAGUEÑA</t>
        </is>
      </c>
      <c r="F1832" s="264" t="inlineStr">
        <is>
          <t>CARGUEROS</t>
        </is>
      </c>
      <c r="G1832" s="264" t="n">
        <v>11</v>
      </c>
      <c r="H1832" s="264" t="inlineStr">
        <is>
          <t>JOSE SOLER</t>
        </is>
      </c>
      <c r="I1832" s="264" t="inlineStr">
        <is>
          <t>EQY776</t>
        </is>
      </c>
      <c r="J1832" s="265" t="n">
        <v>0.875</v>
      </c>
      <c r="K1832" s="266" t="n">
        <v>2550</v>
      </c>
      <c r="L1832" s="308" t="n"/>
      <c r="M1832" s="113" t="n"/>
      <c r="N1832" s="113" t="n"/>
      <c r="O1832" s="113" t="n"/>
      <c r="P1832" s="243" t="n"/>
      <c r="Q1832" s="113" t="n"/>
      <c r="R1832" s="113" t="n"/>
    </row>
    <row r="1833" ht="15.75" customHeight="1">
      <c r="A1833" s="113" t="n"/>
      <c r="B1833" s="146" t="n">
        <v>32</v>
      </c>
      <c r="C1833" s="350" t="n">
        <v>46022</v>
      </c>
      <c r="D1833" s="351" t="n">
        <v>6</v>
      </c>
      <c r="E1833" s="264" t="inlineStr">
        <is>
          <t>MALAGUEÑA</t>
        </is>
      </c>
      <c r="F1833" s="264" t="inlineStr">
        <is>
          <t>CARGUEROS</t>
        </is>
      </c>
      <c r="G1833" s="264" t="n">
        <v>11</v>
      </c>
      <c r="H1833" s="264" t="inlineStr">
        <is>
          <t xml:space="preserve">JAIR RIVEROS </t>
        </is>
      </c>
      <c r="I1833" s="264" t="inlineStr">
        <is>
          <t>TLN181</t>
        </is>
      </c>
      <c r="J1833" s="265" t="n">
        <v>0.9131944444444444</v>
      </c>
      <c r="K1833" s="266" t="n">
        <v>3300</v>
      </c>
      <c r="L1833" s="308" t="n"/>
      <c r="M1833" s="113" t="n"/>
      <c r="N1833" s="113" t="n"/>
      <c r="O1833" s="113" t="n"/>
      <c r="P1833" s="243" t="n"/>
      <c r="Q1833" s="113" t="n"/>
      <c r="R1833" s="113" t="n"/>
    </row>
    <row r="1834" ht="15.75" customHeight="1">
      <c r="A1834" s="113" t="n"/>
      <c r="B1834" s="146" t="n">
        <v>32</v>
      </c>
      <c r="C1834" s="350" t="n">
        <v>46022</v>
      </c>
      <c r="D1834" s="351" t="n">
        <v>7</v>
      </c>
      <c r="E1834" s="264" t="inlineStr">
        <is>
          <t>MALAGUEÑA</t>
        </is>
      </c>
      <c r="F1834" s="264" t="inlineStr">
        <is>
          <t>CARGUEROS</t>
        </is>
      </c>
      <c r="G1834" s="264" t="n">
        <v>11</v>
      </c>
      <c r="H1834" s="264" t="inlineStr">
        <is>
          <t>FERNANDO HOYUELA</t>
        </is>
      </c>
      <c r="I1834" s="264" t="inlineStr">
        <is>
          <t>EQY778</t>
        </is>
      </c>
      <c r="J1834" s="265" t="n">
        <v>0.9513888888888888</v>
      </c>
      <c r="K1834" s="266" t="n">
        <v>2950</v>
      </c>
      <c r="L1834" s="308" t="n"/>
      <c r="M1834" s="113" t="n"/>
      <c r="N1834" s="113" t="n"/>
      <c r="O1834" s="113" t="n"/>
      <c r="P1834" s="243" t="n"/>
      <c r="Q1834" s="113" t="n"/>
      <c r="R1834" s="113" t="n"/>
    </row>
    <row r="1835" ht="15.75" customHeight="1">
      <c r="A1835" s="113" t="n"/>
      <c r="B1835" s="146" t="n">
        <v>32</v>
      </c>
      <c r="C1835" s="356" t="n">
        <v>46022</v>
      </c>
      <c r="D1835" s="357" t="n">
        <v>8</v>
      </c>
      <c r="E1835" s="271" t="inlineStr">
        <is>
          <t>SAN JOSE</t>
        </is>
      </c>
      <c r="F1835" s="271" t="inlineStr">
        <is>
          <t>CARGUEROS</t>
        </is>
      </c>
      <c r="G1835" s="271" t="n">
        <v>11</v>
      </c>
      <c r="H1835" s="271" t="inlineStr">
        <is>
          <t xml:space="preserve">ALBERTO LOPEZ </t>
        </is>
      </c>
      <c r="I1835" s="271" t="inlineStr">
        <is>
          <t>EQY777</t>
        </is>
      </c>
      <c r="J1835" s="272" t="n">
        <v>0.1597222222222222</v>
      </c>
      <c r="K1835" s="286" t="n">
        <v>2180</v>
      </c>
      <c r="L1835" s="385">
        <f>SUBTOTAL(9,K1828:K1835)</f>
        <v/>
      </c>
      <c r="M1835" s="113" t="n"/>
      <c r="N1835" s="113" t="n"/>
      <c r="O1835" s="113" t="n"/>
      <c r="P1835" s="243" t="n"/>
      <c r="Q1835" s="113" t="n"/>
      <c r="R1835" s="113" t="n"/>
    </row>
  </sheetData>
  <pageMargins left="0.7" right="0.7" top="0.75" bottom="0.75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72"/>
  <sheetViews>
    <sheetView workbookViewId="0">
      <selection activeCell="A1" sqref="A1"/>
    </sheetView>
  </sheetViews>
  <sheetFormatPr baseColWidth="8" defaultRowHeight="15"/>
  <cols>
    <col width="10.71" customWidth="1" min="1" max="1"/>
    <col width="6.14" customWidth="1" min="2" max="2"/>
    <col width="13.43" customWidth="1" min="3" max="3"/>
    <col width="21.57" customWidth="1" min="4" max="4"/>
    <col width="13.43" customWidth="1" min="5" max="5"/>
    <col width="18.71" customWidth="1" min="6" max="6"/>
    <col width="13.43" customWidth="1" min="7" max="7"/>
    <col width="14" customWidth="1" min="9" max="9"/>
    <col width="17.71" customWidth="1" min="10" max="10"/>
    <col width="14.71" customWidth="1" min="11" max="11"/>
    <col width="16.71" customWidth="1" min="12" max="12"/>
    <col width="19.86" customWidth="1" min="13" max="13"/>
    <col width="17.43" customWidth="1" min="14" max="14"/>
    <col width="13.14" customWidth="1" min="15" max="15"/>
    <col width="10.71" customWidth="1" min="16" max="16"/>
    <col width="13.86" customWidth="1" min="17" max="17"/>
    <col width="11.43" customWidth="1" min="18" max="18"/>
    <col width="10.71" customWidth="1" min="19" max="19"/>
  </cols>
  <sheetData>
    <row r="1">
      <c r="A1" s="113" t="n"/>
      <c r="B1" s="244" t="inlineStr">
        <is>
          <t xml:space="preserve">                             REPORTE DIARIO DE CARGUE  POLLOS SAVICOL SA</t>
        </is>
      </c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397" t="n"/>
      <c r="M1" s="113" t="n"/>
      <c r="N1" s="113" t="n"/>
      <c r="O1" s="113" t="n"/>
      <c r="P1" s="398" t="n"/>
      <c r="Q1" s="398" t="n"/>
      <c r="R1" s="113" t="n"/>
      <c r="S1" s="113" t="n"/>
      <c r="T1" s="113" t="n"/>
      <c r="U1" s="113" t="n"/>
      <c r="V1" s="113" t="n"/>
    </row>
    <row r="2">
      <c r="A2" s="113" t="n"/>
      <c r="B2" s="238" t="n"/>
      <c r="C2" s="399" t="n"/>
      <c r="D2" s="113" t="n"/>
      <c r="E2" s="113" t="n"/>
      <c r="F2" s="113" t="n"/>
      <c r="G2" s="395" t="n"/>
      <c r="H2" s="395" t="n"/>
      <c r="I2" s="395" t="n"/>
      <c r="J2" s="395" t="n"/>
      <c r="K2" s="395" t="n"/>
      <c r="L2" s="397" t="n"/>
      <c r="M2" s="113" t="n"/>
      <c r="N2" s="113" t="n"/>
      <c r="O2" s="113" t="n"/>
      <c r="P2" s="398" t="n"/>
      <c r="Q2" s="398" t="n"/>
      <c r="R2" s="113" t="n"/>
      <c r="S2" s="113" t="n"/>
      <c r="T2" s="113" t="n"/>
      <c r="U2" s="113" t="n"/>
      <c r="V2" s="113" t="n"/>
    </row>
    <row r="3" ht="69" customHeight="1">
      <c r="A3" s="113" t="n"/>
      <c r="B3" s="400" t="inlineStr">
        <is>
          <t>ITEM</t>
        </is>
      </c>
      <c r="C3" s="401" t="inlineStr">
        <is>
          <t>FECHA</t>
        </is>
      </c>
      <c r="D3" s="170" t="inlineStr">
        <is>
          <t>Nombre Granja</t>
        </is>
      </c>
      <c r="E3" s="169" t="inlineStr">
        <is>
          <t>PLANILLA</t>
        </is>
      </c>
      <c r="F3" s="170" t="inlineStr">
        <is>
          <t>CONDUCTOR</t>
        </is>
      </c>
      <c r="G3" s="402" t="inlineStr">
        <is>
          <t>ENVIADOS</t>
        </is>
      </c>
      <c r="H3" s="403" t="inlineStr">
        <is>
          <t>RECIBIDOS</t>
        </is>
      </c>
      <c r="I3" s="404" t="inlineStr">
        <is>
          <t>AHOGADOS</t>
        </is>
      </c>
      <c r="J3" s="403" t="inlineStr">
        <is>
          <t>DESCARTADOS</t>
        </is>
      </c>
      <c r="K3" s="405" t="inlineStr">
        <is>
          <t xml:space="preserve">DIFERENCIA </t>
        </is>
      </c>
      <c r="L3" s="406" t="inlineStr">
        <is>
          <t xml:space="preserve">serviagro </t>
        </is>
      </c>
      <c r="M3" s="407" t="n"/>
      <c r="N3" s="408" t="inlineStr">
        <is>
          <t xml:space="preserve">RECIBIDOS </t>
        </is>
      </c>
      <c r="O3" s="409" t="inlineStr">
        <is>
          <t xml:space="preserve">CARGADOS SERVIAGRO </t>
        </is>
      </c>
      <c r="P3" s="410" t="inlineStr">
        <is>
          <t>DIF. CARGADOS Y RECBIDOS</t>
        </is>
      </c>
      <c r="Q3" s="410" t="inlineStr">
        <is>
          <t>AHOGADOS -DESCARGADOS-DIFERENCIA</t>
        </is>
      </c>
      <c r="R3" s="411" t="inlineStr">
        <is>
          <t xml:space="preserve">DIFERENCIA </t>
        </is>
      </c>
      <c r="S3" s="113" t="n"/>
      <c r="T3" s="113" t="n"/>
      <c r="U3" s="113" t="n"/>
      <c r="V3" s="113" t="n"/>
    </row>
    <row r="4">
      <c r="A4" s="146" t="n">
        <v>1</v>
      </c>
      <c r="B4" s="238" t="n">
        <v>1</v>
      </c>
      <c r="C4" s="412" t="n">
        <v>45809</v>
      </c>
      <c r="D4" s="225" t="inlineStr">
        <is>
          <t>221 G. MALAGUEÑA</t>
        </is>
      </c>
      <c r="E4" s="225" t="n">
        <v>41333</v>
      </c>
      <c r="F4" s="225" t="inlineStr">
        <is>
          <t>JOSE SOLER</t>
        </is>
      </c>
      <c r="G4" s="413" t="n">
        <v>3564</v>
      </c>
      <c r="H4" s="413" t="n">
        <v>3524</v>
      </c>
      <c r="I4" s="413" t="n">
        <v>3</v>
      </c>
      <c r="J4" s="413" t="n">
        <v>36</v>
      </c>
      <c r="K4" s="413" t="n">
        <v>1</v>
      </c>
      <c r="L4" s="414" t="n">
        <v>2640</v>
      </c>
      <c r="M4" s="415" t="inlineStr">
        <is>
          <t xml:space="preserve">ALEX GOMEZ </t>
        </is>
      </c>
      <c r="N4" s="113" t="n"/>
      <c r="O4" s="113" t="n"/>
      <c r="P4" s="398" t="n"/>
      <c r="Q4" s="398" t="n"/>
      <c r="R4" s="113" t="n"/>
      <c r="S4" s="113" t="n"/>
      <c r="T4" s="113" t="n"/>
      <c r="U4" s="113" t="n"/>
      <c r="V4" s="113" t="n"/>
    </row>
    <row r="5">
      <c r="A5" s="146" t="n">
        <v>1</v>
      </c>
      <c r="B5" s="238" t="n">
        <v>2</v>
      </c>
      <c r="C5" s="416" t="n">
        <v>45809</v>
      </c>
      <c r="D5" s="165" t="inlineStr">
        <is>
          <t>221 G. MALAGUEÑA</t>
        </is>
      </c>
      <c r="E5" s="165" t="n">
        <v>41334</v>
      </c>
      <c r="F5" s="165" t="inlineStr">
        <is>
          <t>DIEGO NIÑO</t>
        </is>
      </c>
      <c r="G5" s="417" t="n">
        <v>3600</v>
      </c>
      <c r="H5" s="417" t="n">
        <v>3561</v>
      </c>
      <c r="I5" s="417" t="n">
        <v>2</v>
      </c>
      <c r="J5" s="417" t="n">
        <v>35</v>
      </c>
      <c r="K5" s="417" t="n">
        <v>2</v>
      </c>
      <c r="L5" s="397" t="n">
        <v>2640</v>
      </c>
      <c r="M5" s="418" t="inlineStr">
        <is>
          <t xml:space="preserve">JHON ARIAS </t>
        </is>
      </c>
      <c r="N5" s="113" t="n"/>
      <c r="O5" s="113" t="n"/>
      <c r="P5" s="398" t="n"/>
      <c r="Q5" s="398" t="n"/>
      <c r="R5" s="113" t="n"/>
      <c r="S5" s="113" t="n"/>
      <c r="T5" s="113" t="n"/>
      <c r="U5" s="113" t="n"/>
      <c r="V5" s="113" t="n"/>
    </row>
    <row r="6">
      <c r="A6" s="146" t="n">
        <v>1</v>
      </c>
      <c r="B6" s="238" t="n">
        <v>3</v>
      </c>
      <c r="C6" s="416" t="n">
        <v>45809</v>
      </c>
      <c r="D6" s="165" t="inlineStr">
        <is>
          <t>200 G.GARCERAS</t>
        </is>
      </c>
      <c r="E6" s="165" t="n">
        <v>41335</v>
      </c>
      <c r="F6" s="165" t="inlineStr">
        <is>
          <t>ALEX GOMEZ</t>
        </is>
      </c>
      <c r="G6" s="417" t="n">
        <v>2640</v>
      </c>
      <c r="H6" s="417" t="n">
        <v>2623</v>
      </c>
      <c r="I6" s="417" t="n">
        <v>6</v>
      </c>
      <c r="J6" s="417" t="n">
        <v>15</v>
      </c>
      <c r="K6" s="417" t="n">
        <v>-4</v>
      </c>
      <c r="L6" s="397" t="n">
        <v>1848</v>
      </c>
      <c r="M6" s="418" t="inlineStr">
        <is>
          <t xml:space="preserve">DUMAR ANGARITA </t>
        </is>
      </c>
      <c r="N6" s="113" t="n"/>
      <c r="O6" s="113" t="n"/>
      <c r="P6" s="398" t="n"/>
      <c r="Q6" s="398" t="n"/>
      <c r="R6" s="113" t="n"/>
      <c r="S6" s="113" t="n"/>
      <c r="T6" s="113" t="n"/>
      <c r="U6" s="113" t="n"/>
      <c r="V6" s="113" t="n"/>
    </row>
    <row r="7">
      <c r="A7" s="146" t="n">
        <v>1</v>
      </c>
      <c r="B7" s="238" t="n">
        <v>4</v>
      </c>
      <c r="C7" s="416" t="n">
        <v>45809</v>
      </c>
      <c r="D7" s="165" t="inlineStr">
        <is>
          <t>201 G.GARCERAS</t>
        </is>
      </c>
      <c r="E7" s="165" t="n">
        <v>41336</v>
      </c>
      <c r="F7" s="165" t="inlineStr">
        <is>
          <t>JHON ARIAS</t>
        </is>
      </c>
      <c r="G7" s="417" t="n">
        <v>2640</v>
      </c>
      <c r="H7" s="417" t="n">
        <v>2628</v>
      </c>
      <c r="I7" s="417" t="n">
        <v>5</v>
      </c>
      <c r="J7" s="417" t="n">
        <v>10</v>
      </c>
      <c r="K7" s="417" t="n">
        <v>-3</v>
      </c>
      <c r="L7" s="397" t="n">
        <v>3305</v>
      </c>
      <c r="M7" s="418" t="inlineStr">
        <is>
          <t xml:space="preserve">ALBERTO LOPEZ </t>
        </is>
      </c>
      <c r="N7" s="113" t="n"/>
      <c r="O7" s="113" t="n"/>
      <c r="P7" s="398" t="n"/>
      <c r="Q7" s="398" t="n"/>
      <c r="R7" s="113" t="n"/>
      <c r="S7" s="113" t="n"/>
      <c r="T7" s="113" t="n"/>
      <c r="U7" s="113" t="n"/>
      <c r="V7" s="113" t="n"/>
    </row>
    <row r="8">
      <c r="A8" s="146" t="n">
        <v>1</v>
      </c>
      <c r="B8" s="238" t="n">
        <v>5</v>
      </c>
      <c r="C8" s="416" t="n">
        <v>45809</v>
      </c>
      <c r="D8" s="165" t="inlineStr">
        <is>
          <t>202 G.GARCERAS</t>
        </is>
      </c>
      <c r="E8" s="165" t="n">
        <v>41337</v>
      </c>
      <c r="F8" s="165" t="inlineStr">
        <is>
          <t>DUMAR ANGARITA</t>
        </is>
      </c>
      <c r="G8" s="417" t="n">
        <v>1848</v>
      </c>
      <c r="H8" s="417" t="n">
        <v>1853</v>
      </c>
      <c r="I8" s="417" t="n">
        <v>4</v>
      </c>
      <c r="J8" s="417" t="n">
        <v>10</v>
      </c>
      <c r="K8" s="417" t="n">
        <v>-19</v>
      </c>
      <c r="L8" s="397" t="n">
        <v>3670</v>
      </c>
      <c r="M8" s="418" t="inlineStr">
        <is>
          <t>JHON AGUIRRE</t>
        </is>
      </c>
      <c r="N8" s="113" t="n"/>
      <c r="O8" s="113" t="n"/>
      <c r="P8" s="398" t="n"/>
      <c r="Q8" s="398" t="n"/>
      <c r="R8" s="113" t="n"/>
      <c r="S8" s="113" t="n"/>
      <c r="T8" s="113" t="n"/>
      <c r="U8" s="113" t="n"/>
      <c r="V8" s="113" t="n"/>
    </row>
    <row r="9">
      <c r="A9" s="146" t="n">
        <v>1</v>
      </c>
      <c r="B9" s="238" t="n">
        <v>6</v>
      </c>
      <c r="C9" s="416" t="n">
        <v>45809</v>
      </c>
      <c r="D9" s="165" t="inlineStr">
        <is>
          <t>203 G.GARCERAS</t>
        </is>
      </c>
      <c r="E9" s="165" t="n">
        <v>41338</v>
      </c>
      <c r="F9" s="165" t="inlineStr">
        <is>
          <t>ALBERTO LOPEZ</t>
        </is>
      </c>
      <c r="G9" s="417" t="n">
        <v>3305</v>
      </c>
      <c r="H9" s="417" t="n">
        <v>3274</v>
      </c>
      <c r="I9" s="417" t="n">
        <v>4</v>
      </c>
      <c r="J9" s="417" t="n">
        <v>6</v>
      </c>
      <c r="K9" s="417" t="n">
        <v>21</v>
      </c>
      <c r="L9" s="397" t="n">
        <v>2916</v>
      </c>
      <c r="M9" s="418" t="inlineStr">
        <is>
          <t xml:space="preserve">JOSE HERRERA </t>
        </is>
      </c>
      <c r="N9" s="113" t="n"/>
      <c r="O9" s="113" t="n"/>
      <c r="P9" s="398" t="n"/>
      <c r="Q9" s="398" t="n"/>
      <c r="R9" s="113" t="n"/>
      <c r="S9" s="113" t="n"/>
      <c r="T9" s="113" t="n"/>
      <c r="U9" s="113" t="n"/>
      <c r="V9" s="113" t="n"/>
    </row>
    <row r="10">
      <c r="A10" s="146" t="n">
        <v>1</v>
      </c>
      <c r="B10" s="238" t="n">
        <v>7</v>
      </c>
      <c r="C10" s="416" t="n">
        <v>45809</v>
      </c>
      <c r="D10" s="165" t="inlineStr">
        <is>
          <t>204 G.GARCERAS</t>
        </is>
      </c>
      <c r="E10" s="165" t="n">
        <v>41339</v>
      </c>
      <c r="F10" s="165" t="inlineStr">
        <is>
          <t>JHON AGUIRRE</t>
        </is>
      </c>
      <c r="G10" s="417" t="n">
        <v>3670</v>
      </c>
      <c r="H10" s="417" t="n">
        <v>3653</v>
      </c>
      <c r="I10" s="417" t="n">
        <v>7</v>
      </c>
      <c r="J10" s="417" t="n">
        <v>2</v>
      </c>
      <c r="K10" s="417" t="n">
        <v>8</v>
      </c>
      <c r="L10" s="397" t="n">
        <v>2916</v>
      </c>
      <c r="M10" s="418" t="inlineStr">
        <is>
          <t xml:space="preserve">JOSE SOLER </t>
        </is>
      </c>
      <c r="N10" s="113" t="n"/>
      <c r="O10" s="113" t="n"/>
      <c r="P10" s="398" t="n"/>
      <c r="Q10" s="398" t="n"/>
      <c r="R10" s="113" t="n"/>
      <c r="S10" s="113" t="n"/>
      <c r="T10" s="113" t="n"/>
      <c r="U10" s="113" t="n"/>
      <c r="V10" s="113" t="n"/>
    </row>
    <row r="11">
      <c r="A11" s="146" t="n">
        <v>1</v>
      </c>
      <c r="B11" s="238" t="n">
        <v>8</v>
      </c>
      <c r="C11" s="416" t="n">
        <v>45809</v>
      </c>
      <c r="D11" s="165" t="inlineStr">
        <is>
          <t>205 G.GARCERAS</t>
        </is>
      </c>
      <c r="E11" s="165" t="n">
        <v>41347</v>
      </c>
      <c r="F11" s="165" t="inlineStr">
        <is>
          <t>ALBERTTO HERRERA</t>
        </is>
      </c>
      <c r="G11" s="417" t="n">
        <v>2910</v>
      </c>
      <c r="H11" s="417" t="n">
        <v>2921</v>
      </c>
      <c r="I11" s="417" t="n">
        <v>2</v>
      </c>
      <c r="J11" s="417" t="n">
        <v>4</v>
      </c>
      <c r="K11" s="417" t="n">
        <v>-17</v>
      </c>
      <c r="L11" s="397" t="n">
        <v>2916</v>
      </c>
      <c r="M11" s="418" t="inlineStr">
        <is>
          <t xml:space="preserve">DIEGO NIÑO </t>
        </is>
      </c>
      <c r="N11" s="113" t="n"/>
      <c r="O11" s="113" t="n"/>
      <c r="P11" s="398" t="n"/>
      <c r="Q11" s="398" t="n"/>
      <c r="R11" s="113" t="n"/>
      <c r="S11" s="113" t="n"/>
      <c r="T11" s="113" t="n"/>
      <c r="U11" s="113" t="n"/>
      <c r="V11" s="113" t="n"/>
    </row>
    <row r="12">
      <c r="A12" s="146" t="n">
        <v>1</v>
      </c>
      <c r="B12" s="238" t="n">
        <v>9</v>
      </c>
      <c r="C12" s="416" t="n">
        <v>45809</v>
      </c>
      <c r="D12" s="165" t="inlineStr">
        <is>
          <t>206 G.GARCERAS</t>
        </is>
      </c>
      <c r="E12" s="165" t="n">
        <v>41348</v>
      </c>
      <c r="F12" s="165" t="inlineStr">
        <is>
          <t>JOSE SOLER</t>
        </is>
      </c>
      <c r="G12" s="417" t="n">
        <v>2910</v>
      </c>
      <c r="H12" s="417" t="n">
        <v>2908</v>
      </c>
      <c r="I12" s="417" t="n">
        <v>5</v>
      </c>
      <c r="J12" s="417" t="n">
        <v>6</v>
      </c>
      <c r="K12" s="417" t="n">
        <v>-9</v>
      </c>
      <c r="L12" s="397" t="n">
        <v>2352</v>
      </c>
      <c r="M12" s="418" t="inlineStr">
        <is>
          <t xml:space="preserve">ALEX GOMEZ </t>
        </is>
      </c>
      <c r="N12" s="113" t="n"/>
      <c r="O12" s="113" t="n"/>
      <c r="P12" s="398" t="n"/>
      <c r="Q12" s="398" t="n"/>
      <c r="R12" s="113" t="n"/>
      <c r="S12" s="113" t="n"/>
      <c r="T12" s="113" t="n"/>
      <c r="U12" s="113" t="n"/>
      <c r="V12" s="113" t="n"/>
    </row>
    <row r="13">
      <c r="A13" s="146" t="n">
        <v>1</v>
      </c>
      <c r="B13" s="238" t="n">
        <v>10</v>
      </c>
      <c r="C13" s="416" t="n">
        <v>45809</v>
      </c>
      <c r="D13" s="165" t="inlineStr">
        <is>
          <t>207 G.GARCERAS</t>
        </is>
      </c>
      <c r="E13" s="165" t="n">
        <v>41349</v>
      </c>
      <c r="F13" s="165" t="inlineStr">
        <is>
          <t>DIEGO NIÑO</t>
        </is>
      </c>
      <c r="G13" s="417" t="n">
        <v>2910</v>
      </c>
      <c r="H13" s="417" t="n">
        <v>2910</v>
      </c>
      <c r="I13" s="417" t="n">
        <v>5</v>
      </c>
      <c r="J13" s="417" t="n">
        <v>5</v>
      </c>
      <c r="K13" s="417" t="n">
        <v>-10</v>
      </c>
      <c r="L13" s="397" t="n">
        <v>3564</v>
      </c>
      <c r="M13" s="418" t="inlineStr">
        <is>
          <t xml:space="preserve">JOSE SOLER </t>
        </is>
      </c>
      <c r="N13" s="113" t="n"/>
      <c r="O13" s="113" t="n"/>
      <c r="P13" s="398" t="n"/>
      <c r="Q13" s="398" t="n"/>
      <c r="R13" s="113" t="n"/>
      <c r="S13" s="113" t="n"/>
      <c r="T13" s="113" t="n"/>
      <c r="U13" s="113" t="n"/>
      <c r="V13" s="113" t="n"/>
    </row>
    <row r="14">
      <c r="A14" s="146" t="n">
        <v>1</v>
      </c>
      <c r="B14" s="238" t="n">
        <v>11</v>
      </c>
      <c r="C14" s="419" t="n">
        <v>45809</v>
      </c>
      <c r="D14" s="229" t="inlineStr">
        <is>
          <t>208 G.GARCERAS</t>
        </is>
      </c>
      <c r="E14" s="229" t="n">
        <v>41350</v>
      </c>
      <c r="F14" s="229" t="inlineStr">
        <is>
          <t>ALEX GOMEZ</t>
        </is>
      </c>
      <c r="G14" s="420" t="n">
        <v>2352</v>
      </c>
      <c r="H14" s="420" t="n">
        <v>2363</v>
      </c>
      <c r="I14" s="420" t="n">
        <v>4</v>
      </c>
      <c r="J14" s="420" t="n">
        <v>4</v>
      </c>
      <c r="K14" s="420" t="n">
        <v>-19</v>
      </c>
      <c r="L14" s="421" t="n">
        <v>3600</v>
      </c>
      <c r="M14" s="422" t="inlineStr">
        <is>
          <t xml:space="preserve">DIEGO NIÑO </t>
        </is>
      </c>
      <c r="N14" s="423">
        <f>SUM(H4:H14)</f>
        <v/>
      </c>
      <c r="O14" s="424">
        <f>SUM(L4:L14)</f>
        <v/>
      </c>
      <c r="P14" s="425">
        <f>+O14-N14</f>
        <v/>
      </c>
      <c r="Q14" s="425">
        <f>SUM(I4:K14)</f>
        <v/>
      </c>
      <c r="R14" s="426">
        <f>+P14-Q14</f>
        <v/>
      </c>
      <c r="S14" s="113" t="n"/>
      <c r="T14" s="113" t="n"/>
      <c r="U14" s="113" t="n"/>
      <c r="V14" s="113" t="n"/>
    </row>
    <row r="15">
      <c r="A15" s="146" t="n">
        <v>1</v>
      </c>
      <c r="B15" s="238" t="n">
        <v>12</v>
      </c>
      <c r="C15" s="412" t="n">
        <v>45811</v>
      </c>
      <c r="D15" s="427" t="inlineStr">
        <is>
          <t>200 G.GARCERAS</t>
        </is>
      </c>
      <c r="E15" s="427" t="n">
        <v>41351</v>
      </c>
      <c r="F15" s="427" t="inlineStr">
        <is>
          <t>JHON ARIAS</t>
        </is>
      </c>
      <c r="G15" s="428" t="n">
        <v>3276</v>
      </c>
      <c r="H15" s="428" t="n">
        <v>3265</v>
      </c>
      <c r="I15" s="428" t="n">
        <v>1</v>
      </c>
      <c r="J15" s="428" t="n">
        <v>8</v>
      </c>
      <c r="K15" s="428" t="n">
        <v>2</v>
      </c>
      <c r="L15" s="414" t="n">
        <v>3276</v>
      </c>
      <c r="M15" s="415" t="inlineStr">
        <is>
          <t xml:space="preserve">JHON ARIAS </t>
        </is>
      </c>
      <c r="N15" s="113" t="n"/>
      <c r="O15" s="113" t="n"/>
      <c r="P15" s="398" t="n"/>
      <c r="Q15" s="398" t="n"/>
      <c r="R15" s="113" t="n"/>
      <c r="S15" s="113" t="n"/>
      <c r="T15" s="113" t="n"/>
      <c r="U15" s="113" t="n"/>
      <c r="V15" s="113" t="n"/>
    </row>
    <row r="16">
      <c r="A16" s="146" t="n">
        <v>1</v>
      </c>
      <c r="B16" s="238" t="n">
        <v>13</v>
      </c>
      <c r="C16" s="416" t="n">
        <v>45811</v>
      </c>
      <c r="D16" s="166" t="inlineStr">
        <is>
          <t>200 G.GARCERAS</t>
        </is>
      </c>
      <c r="E16" s="166" t="n">
        <v>41352</v>
      </c>
      <c r="F16" s="166" t="inlineStr">
        <is>
          <t>ALBERTO HERRERA</t>
        </is>
      </c>
      <c r="G16" s="429" t="n">
        <v>2820</v>
      </c>
      <c r="H16" s="429" t="n">
        <v>2806</v>
      </c>
      <c r="I16" s="429" t="n">
        <v>2</v>
      </c>
      <c r="J16" s="429" t="n">
        <v>12</v>
      </c>
      <c r="K16" s="429" t="n">
        <v>0</v>
      </c>
      <c r="L16" s="397" t="n">
        <v>2820</v>
      </c>
      <c r="M16" s="418" t="inlineStr">
        <is>
          <t xml:space="preserve">JOSE HERRERA </t>
        </is>
      </c>
      <c r="N16" s="113" t="n"/>
      <c r="O16" s="113" t="n"/>
      <c r="P16" s="398" t="n"/>
      <c r="Q16" s="398" t="n"/>
      <c r="R16" s="113" t="n"/>
      <c r="S16" s="113" t="n"/>
      <c r="T16" s="113" t="n"/>
      <c r="U16" s="113" t="n"/>
      <c r="V16" s="113" t="n"/>
    </row>
    <row r="17">
      <c r="A17" s="146" t="n">
        <v>1</v>
      </c>
      <c r="B17" s="238" t="n">
        <v>14</v>
      </c>
      <c r="C17" s="416" t="n">
        <v>45811</v>
      </c>
      <c r="D17" s="166" t="inlineStr">
        <is>
          <t>200 G.GARCERAS</t>
        </is>
      </c>
      <c r="E17" s="166" t="n">
        <v>41353</v>
      </c>
      <c r="F17" s="166" t="inlineStr">
        <is>
          <t>WILMER PIÑEROS</t>
        </is>
      </c>
      <c r="G17" s="429" t="n">
        <v>3605</v>
      </c>
      <c r="H17" s="429" t="n">
        <v>3586</v>
      </c>
      <c r="I17" s="429" t="n">
        <v>5</v>
      </c>
      <c r="J17" s="429" t="n">
        <v>9</v>
      </c>
      <c r="K17" s="429" t="n">
        <v>5</v>
      </c>
      <c r="L17" s="397" t="n">
        <v>3605</v>
      </c>
      <c r="M17" s="418" t="inlineStr">
        <is>
          <t xml:space="preserve">ALEX GOMEZ </t>
        </is>
      </c>
      <c r="N17" s="113" t="n"/>
      <c r="O17" s="113" t="n"/>
      <c r="P17" s="398" t="n"/>
      <c r="Q17" s="398" t="n"/>
      <c r="R17" s="113" t="n"/>
      <c r="S17" s="113" t="n"/>
      <c r="T17" s="113" t="n"/>
      <c r="U17" s="113" t="n"/>
      <c r="V17" s="113" t="n"/>
    </row>
    <row r="18">
      <c r="A18" s="146" t="n">
        <v>1</v>
      </c>
      <c r="B18" s="238" t="n">
        <v>15</v>
      </c>
      <c r="C18" s="416" t="n">
        <v>45811</v>
      </c>
      <c r="D18" s="166" t="inlineStr">
        <is>
          <t>200 G.GARCERAS</t>
        </is>
      </c>
      <c r="E18" s="166" t="n">
        <v>41354</v>
      </c>
      <c r="F18" s="166" t="inlineStr">
        <is>
          <t>JAIRO CUBILLOS</t>
        </is>
      </c>
      <c r="G18" s="429" t="n">
        <v>3605</v>
      </c>
      <c r="H18" s="429" t="n">
        <v>3584</v>
      </c>
      <c r="I18" s="429" t="n">
        <v>3</v>
      </c>
      <c r="J18" s="429" t="n">
        <v>11</v>
      </c>
      <c r="K18" s="429" t="n">
        <v>7</v>
      </c>
      <c r="L18" s="397" t="n">
        <v>3605</v>
      </c>
      <c r="M18" s="418" t="inlineStr">
        <is>
          <t xml:space="preserve">WILMER PIÑEROS </t>
        </is>
      </c>
      <c r="N18" s="113" t="n"/>
      <c r="O18" s="113" t="n"/>
      <c r="P18" s="398" t="n"/>
      <c r="Q18" s="398" t="n"/>
      <c r="R18" s="113" t="n"/>
      <c r="S18" s="113" t="n"/>
      <c r="T18" s="113" t="n"/>
      <c r="U18" s="113" t="n"/>
      <c r="V18" s="113" t="n"/>
    </row>
    <row r="19">
      <c r="A19" s="146" t="n">
        <v>1</v>
      </c>
      <c r="B19" s="238" t="n">
        <v>16</v>
      </c>
      <c r="C19" s="416" t="n">
        <v>45811</v>
      </c>
      <c r="D19" s="166" t="inlineStr">
        <is>
          <t>200 G.GARCERAS</t>
        </is>
      </c>
      <c r="E19" s="166" t="n">
        <v>41355</v>
      </c>
      <c r="F19" s="166" t="inlineStr">
        <is>
          <t>EDUAN CAVIEDES</t>
        </is>
      </c>
      <c r="G19" s="429" t="n">
        <v>3216</v>
      </c>
      <c r="H19" s="429" t="n">
        <v>3195</v>
      </c>
      <c r="I19" s="429" t="n">
        <v>2</v>
      </c>
      <c r="J19" s="429" t="n">
        <v>11</v>
      </c>
      <c r="K19" s="429" t="n">
        <v>8</v>
      </c>
      <c r="L19" s="397" t="n">
        <v>3605</v>
      </c>
      <c r="M19" s="418" t="inlineStr">
        <is>
          <t xml:space="preserve">JAIRO CUBILLOS </t>
        </is>
      </c>
      <c r="N19" s="113" t="n"/>
      <c r="O19" s="113" t="n"/>
      <c r="P19" s="398" t="n"/>
      <c r="Q19" s="398" t="n"/>
      <c r="R19" s="113" t="n"/>
      <c r="S19" s="113" t="n"/>
      <c r="T19" s="113" t="n"/>
      <c r="U19" s="113" t="n"/>
      <c r="V19" s="113" t="n"/>
    </row>
    <row r="20">
      <c r="A20" s="146" t="n">
        <v>1</v>
      </c>
      <c r="B20" s="238" t="n">
        <v>17</v>
      </c>
      <c r="C20" s="416" t="n">
        <v>45811</v>
      </c>
      <c r="D20" s="166" t="inlineStr">
        <is>
          <t>200 G.GARCERAS</t>
        </is>
      </c>
      <c r="E20" s="166" t="n">
        <v>41356</v>
      </c>
      <c r="F20" s="166" t="inlineStr">
        <is>
          <t>FERNANDO OYUELA</t>
        </is>
      </c>
      <c r="G20" s="429" t="n">
        <v>3240</v>
      </c>
      <c r="H20" s="429" t="n">
        <v>3219</v>
      </c>
      <c r="I20" s="429" t="n">
        <v>3</v>
      </c>
      <c r="J20" s="429" t="n">
        <v>10</v>
      </c>
      <c r="K20" s="429" t="n">
        <v>8</v>
      </c>
      <c r="L20" s="397" t="n">
        <v>3216</v>
      </c>
      <c r="M20" s="418" t="inlineStr">
        <is>
          <t xml:space="preserve">EDUAN CAVIEDEZ </t>
        </is>
      </c>
      <c r="N20" s="113" t="n"/>
      <c r="O20" s="113" t="n"/>
      <c r="P20" s="398" t="n"/>
      <c r="Q20" s="398" t="n"/>
      <c r="R20" s="113" t="n"/>
      <c r="S20" s="113" t="n"/>
      <c r="T20" s="113" t="n"/>
      <c r="U20" s="113" t="n"/>
      <c r="V20" s="113" t="n"/>
    </row>
    <row r="21" ht="15.75" customHeight="1">
      <c r="A21" s="146" t="n">
        <v>1</v>
      </c>
      <c r="B21" s="238" t="n">
        <v>18</v>
      </c>
      <c r="C21" s="416" t="n">
        <v>45811</v>
      </c>
      <c r="D21" s="166" t="inlineStr">
        <is>
          <t>200 G.GARCERAS</t>
        </is>
      </c>
      <c r="E21" s="166" t="n">
        <v>41357</v>
      </c>
      <c r="F21" s="166" t="inlineStr">
        <is>
          <t>ALEX GOMEZ</t>
        </is>
      </c>
      <c r="G21" s="429" t="n">
        <v>3605</v>
      </c>
      <c r="H21" s="429" t="n">
        <v>3583</v>
      </c>
      <c r="I21" s="429" t="n">
        <v>3</v>
      </c>
      <c r="J21" s="429" t="n">
        <v>8</v>
      </c>
      <c r="K21" s="429" t="n">
        <v>11</v>
      </c>
      <c r="L21" s="397" t="n">
        <v>3240</v>
      </c>
      <c r="M21" s="418" t="inlineStr">
        <is>
          <t xml:space="preserve">FERNANDO OYUELA </t>
        </is>
      </c>
      <c r="N21" s="113" t="n"/>
      <c r="O21" s="113" t="n"/>
      <c r="P21" s="398" t="n"/>
      <c r="Q21" s="398" t="n"/>
      <c r="R21" s="113" t="n"/>
      <c r="S21" s="113" t="n"/>
      <c r="T21" s="113" t="n"/>
      <c r="U21" s="113" t="n"/>
      <c r="V21" s="113" t="n"/>
    </row>
    <row r="22" ht="15.75" customHeight="1">
      <c r="A22" s="146" t="n">
        <v>1</v>
      </c>
      <c r="B22" s="238" t="n">
        <v>19</v>
      </c>
      <c r="C22" s="416" t="n">
        <v>45811</v>
      </c>
      <c r="D22" s="166" t="inlineStr">
        <is>
          <t>221 G. MALAGUEÑA</t>
        </is>
      </c>
      <c r="E22" s="166" t="n">
        <v>41366</v>
      </c>
      <c r="F22" s="166" t="inlineStr">
        <is>
          <t>FABIO ALDANA</t>
        </is>
      </c>
      <c r="G22" s="429" t="n">
        <v>3431</v>
      </c>
      <c r="H22" s="429" t="n">
        <v>3398</v>
      </c>
      <c r="I22" s="429" t="n">
        <v>7</v>
      </c>
      <c r="J22" s="429" t="n">
        <v>27</v>
      </c>
      <c r="K22" s="429" t="n">
        <v>-1</v>
      </c>
      <c r="L22" s="397" t="n">
        <v>3432</v>
      </c>
      <c r="M22" s="418" t="inlineStr">
        <is>
          <t xml:space="preserve">FABIO ALDANA </t>
        </is>
      </c>
      <c r="N22" s="113" t="n"/>
      <c r="O22" s="113" t="n"/>
      <c r="P22" s="398" t="n"/>
      <c r="Q22" s="398" t="n"/>
      <c r="R22" s="113" t="n"/>
      <c r="S22" s="113" t="n"/>
      <c r="T22" s="113" t="n"/>
      <c r="U22" s="113" t="n"/>
      <c r="V22" s="113" t="n"/>
    </row>
    <row r="23" ht="15.75" customHeight="1">
      <c r="A23" s="146" t="n">
        <v>1</v>
      </c>
      <c r="B23" s="238" t="n">
        <v>20</v>
      </c>
      <c r="C23" s="416" t="n">
        <v>45811</v>
      </c>
      <c r="D23" s="166" t="inlineStr">
        <is>
          <t>221 G. MALAGUEÑA</t>
        </is>
      </c>
      <c r="E23" s="166" t="n">
        <v>41367</v>
      </c>
      <c r="F23" s="166" t="inlineStr">
        <is>
          <t>JHON ARIAS</t>
        </is>
      </c>
      <c r="G23" s="429" t="n">
        <v>3431</v>
      </c>
      <c r="H23" s="429" t="n">
        <v>3392</v>
      </c>
      <c r="I23" s="429" t="n">
        <v>7</v>
      </c>
      <c r="J23" s="429" t="n">
        <v>33</v>
      </c>
      <c r="K23" s="429" t="n">
        <v>-1</v>
      </c>
      <c r="L23" s="397" t="n">
        <v>3432</v>
      </c>
      <c r="M23" s="418" t="inlineStr">
        <is>
          <t xml:space="preserve">JHON ARIAS </t>
        </is>
      </c>
      <c r="N23" s="113" t="n"/>
      <c r="O23" s="113" t="n"/>
      <c r="P23" s="398" t="n"/>
      <c r="Q23" s="398" t="n"/>
      <c r="R23" s="113" t="n"/>
      <c r="S23" s="113" t="n"/>
      <c r="T23" s="113" t="n"/>
      <c r="U23" s="113" t="n"/>
      <c r="V23" s="113" t="n"/>
    </row>
    <row r="24" ht="15.75" customHeight="1">
      <c r="A24" s="146" t="n">
        <v>1</v>
      </c>
      <c r="B24" s="238" t="n">
        <v>21</v>
      </c>
      <c r="C24" s="416" t="n">
        <v>45811</v>
      </c>
      <c r="D24" s="166" t="inlineStr">
        <is>
          <t>221 G. MALAGUEÑA</t>
        </is>
      </c>
      <c r="E24" s="166" t="n">
        <v>41368</v>
      </c>
      <c r="F24" s="166" t="inlineStr">
        <is>
          <t>ALEX GOMEZ</t>
        </is>
      </c>
      <c r="G24" s="429" t="n">
        <v>3370</v>
      </c>
      <c r="H24" s="429" t="n">
        <v>3347</v>
      </c>
      <c r="I24" s="429" t="n">
        <v>2</v>
      </c>
      <c r="J24" s="429" t="n">
        <v>27</v>
      </c>
      <c r="K24" s="429" t="n">
        <v>-6</v>
      </c>
      <c r="L24" s="397" t="n">
        <v>3370</v>
      </c>
      <c r="M24" s="418" t="inlineStr">
        <is>
          <t xml:space="preserve">ALEX GOMEZ </t>
        </is>
      </c>
      <c r="N24" s="113" t="n"/>
      <c r="O24" s="113" t="n"/>
      <c r="P24" s="398" t="n"/>
      <c r="Q24" s="398" t="n"/>
      <c r="R24" s="113" t="n"/>
      <c r="S24" s="113" t="n"/>
      <c r="T24" s="113" t="n"/>
      <c r="U24" s="113" t="n"/>
      <c r="V24" s="113" t="n"/>
    </row>
    <row r="25" ht="15.75" customHeight="1">
      <c r="A25" s="146" t="n">
        <v>1</v>
      </c>
      <c r="B25" s="238" t="n">
        <v>22</v>
      </c>
      <c r="C25" s="416" t="n">
        <v>45811</v>
      </c>
      <c r="D25" s="166" t="inlineStr">
        <is>
          <t>221 G. MALAGUEÑA</t>
        </is>
      </c>
      <c r="E25" s="166" t="n">
        <v>41369</v>
      </c>
      <c r="F25" s="166" t="inlineStr">
        <is>
          <t>JAIRO CUBILLOS</t>
        </is>
      </c>
      <c r="G25" s="429" t="n">
        <v>3258</v>
      </c>
      <c r="H25" s="429" t="n">
        <v>3244</v>
      </c>
      <c r="I25" s="429" t="n">
        <v>2</v>
      </c>
      <c r="J25" s="429" t="n">
        <v>10</v>
      </c>
      <c r="K25" s="429" t="n">
        <v>2</v>
      </c>
      <c r="L25" s="397" t="n">
        <v>3258</v>
      </c>
      <c r="M25" s="418" t="inlineStr">
        <is>
          <t xml:space="preserve">JAIRO CUBILLOS </t>
        </is>
      </c>
      <c r="N25" s="113" t="n"/>
      <c r="O25" s="113" t="n"/>
      <c r="P25" s="398" t="n"/>
      <c r="Q25" s="398" t="n"/>
      <c r="R25" s="113" t="n"/>
      <c r="S25" s="113" t="n"/>
      <c r="T25" s="113" t="n"/>
      <c r="U25" s="113" t="n"/>
      <c r="V25" s="113" t="n"/>
    </row>
    <row r="26" ht="15.75" customHeight="1">
      <c r="A26" s="146" t="n">
        <v>1</v>
      </c>
      <c r="B26" s="238" t="n">
        <v>23</v>
      </c>
      <c r="C26" s="416" t="n">
        <v>45811</v>
      </c>
      <c r="D26" s="166" t="inlineStr">
        <is>
          <t>221 G. MALAGUEÑA</t>
        </is>
      </c>
      <c r="E26" s="166" t="n">
        <v>41370</v>
      </c>
      <c r="F26" s="166" t="inlineStr">
        <is>
          <t>FERNANDO OYUELA</t>
        </is>
      </c>
      <c r="G26" s="429" t="n">
        <v>3258</v>
      </c>
      <c r="H26" s="429" t="n">
        <v>3244</v>
      </c>
      <c r="I26" s="429" t="n">
        <v>1</v>
      </c>
      <c r="J26" s="429" t="n">
        <v>10</v>
      </c>
      <c r="K26" s="429" t="n">
        <v>3</v>
      </c>
      <c r="L26" s="397" t="n">
        <v>3258</v>
      </c>
      <c r="M26" s="418" t="inlineStr">
        <is>
          <t xml:space="preserve">FERNANDO OYUELA </t>
        </is>
      </c>
      <c r="N26" s="113" t="n"/>
      <c r="O26" s="113" t="n"/>
      <c r="P26" s="398" t="n"/>
      <c r="Q26" s="398" t="n"/>
      <c r="R26" s="113" t="n"/>
      <c r="S26" s="113" t="n"/>
      <c r="T26" s="113" t="n"/>
      <c r="U26" s="113" t="n"/>
      <c r="V26" s="113" t="n"/>
    </row>
    <row r="27" ht="15.75" customHeight="1">
      <c r="A27" s="146" t="n">
        <v>1</v>
      </c>
      <c r="B27" s="238" t="n">
        <v>24</v>
      </c>
      <c r="C27" s="416" t="n">
        <v>45811</v>
      </c>
      <c r="D27" s="166" t="inlineStr">
        <is>
          <t>221 G. MALAGUEÑA</t>
        </is>
      </c>
      <c r="E27" s="166" t="n">
        <v>41371</v>
      </c>
      <c r="F27" s="166" t="inlineStr">
        <is>
          <t>DIEGO NIÑO</t>
        </is>
      </c>
      <c r="G27" s="429" t="n">
        <v>3258</v>
      </c>
      <c r="H27" s="429" t="n">
        <v>3255</v>
      </c>
      <c r="I27" s="429" t="n">
        <v>1</v>
      </c>
      <c r="J27" s="429" t="n">
        <v>7</v>
      </c>
      <c r="K27" s="429" t="n">
        <v>-5</v>
      </c>
      <c r="L27" s="397" t="n">
        <v>3258</v>
      </c>
      <c r="M27" s="418" t="inlineStr">
        <is>
          <t xml:space="preserve">DIEGO NIÑO </t>
        </is>
      </c>
      <c r="N27" s="113" t="n"/>
      <c r="O27" s="113" t="n"/>
      <c r="P27" s="398" t="n"/>
      <c r="Q27" s="398" t="n"/>
      <c r="R27" s="113" t="n"/>
      <c r="S27" s="113" t="n"/>
      <c r="T27" s="113" t="n"/>
      <c r="U27" s="113" t="n"/>
      <c r="V27" s="113" t="n"/>
    </row>
    <row r="28" ht="15.75" customHeight="1">
      <c r="A28" s="146" t="n">
        <v>1</v>
      </c>
      <c r="B28" s="238" t="n">
        <v>25</v>
      </c>
      <c r="C28" s="416" t="n">
        <v>45811</v>
      </c>
      <c r="D28" s="166" t="inlineStr">
        <is>
          <t>221 G. MALAGUEÑA</t>
        </is>
      </c>
      <c r="E28" s="166" t="n">
        <v>41379</v>
      </c>
      <c r="F28" s="166" t="inlineStr">
        <is>
          <t>YAIR RIVEROS</t>
        </is>
      </c>
      <c r="G28" s="429" t="n">
        <v>3258</v>
      </c>
      <c r="H28" s="429" t="n">
        <v>3256</v>
      </c>
      <c r="I28" s="429" t="n">
        <v>3</v>
      </c>
      <c r="J28" s="429" t="n">
        <v>7</v>
      </c>
      <c r="K28" s="429" t="n">
        <v>-8</v>
      </c>
      <c r="L28" s="397" t="n">
        <v>3258</v>
      </c>
      <c r="M28" s="418" t="inlineStr">
        <is>
          <t xml:space="preserve">JAIR RIVEROS </t>
        </is>
      </c>
      <c r="N28" s="113" t="n"/>
      <c r="O28" s="113" t="n"/>
      <c r="P28" s="398" t="n"/>
      <c r="Q28" s="398" t="n"/>
      <c r="R28" s="113" t="n"/>
      <c r="S28" s="113" t="n"/>
      <c r="T28" s="113" t="n"/>
      <c r="U28" s="113" t="n"/>
      <c r="V28" s="113" t="n"/>
    </row>
    <row r="29" ht="15.75" customHeight="1">
      <c r="A29" s="146" t="n">
        <v>1</v>
      </c>
      <c r="B29" s="238" t="n">
        <v>26</v>
      </c>
      <c r="C29" s="416" t="n">
        <v>45811</v>
      </c>
      <c r="D29" s="166" t="inlineStr">
        <is>
          <t>221 G. MALAGUEÑA</t>
        </is>
      </c>
      <c r="E29" s="166" t="n">
        <v>41380</v>
      </c>
      <c r="F29" s="166" t="inlineStr">
        <is>
          <t>ALBERTO LOPEZ</t>
        </is>
      </c>
      <c r="G29" s="429" t="n">
        <v>3258</v>
      </c>
      <c r="H29" s="429" t="n">
        <v>3250</v>
      </c>
      <c r="I29" s="429" t="n">
        <v>3</v>
      </c>
      <c r="J29" s="429" t="n">
        <v>9</v>
      </c>
      <c r="K29" s="429" t="n">
        <v>-4</v>
      </c>
      <c r="L29" s="397" t="n">
        <v>3258</v>
      </c>
      <c r="M29" s="418" t="inlineStr">
        <is>
          <t xml:space="preserve">ALBERTO LOPEZ </t>
        </is>
      </c>
      <c r="N29" s="113" t="n"/>
      <c r="O29" s="113" t="n"/>
      <c r="P29" s="398" t="n"/>
      <c r="Q29" s="398" t="n"/>
      <c r="R29" s="113" t="n"/>
      <c r="S29" s="113" t="n"/>
      <c r="T29" s="113" t="n"/>
      <c r="U29" s="113" t="n"/>
      <c r="V29" s="113" t="n"/>
    </row>
    <row r="30" ht="15.75" customHeight="1">
      <c r="A30" s="146" t="n">
        <v>1</v>
      </c>
      <c r="B30" s="238" t="n">
        <v>27</v>
      </c>
      <c r="C30" s="416" t="n">
        <v>45811</v>
      </c>
      <c r="D30" s="166" t="inlineStr">
        <is>
          <t>221 G. MALAGUEÑA</t>
        </is>
      </c>
      <c r="E30" s="166" t="n">
        <v>41381</v>
      </c>
      <c r="F30" s="166" t="inlineStr">
        <is>
          <t>JHON AGUIRRE</t>
        </is>
      </c>
      <c r="G30" s="429" t="n">
        <v>3258</v>
      </c>
      <c r="H30" s="429" t="n">
        <v>3243</v>
      </c>
      <c r="I30" s="429" t="n">
        <v>3</v>
      </c>
      <c r="J30" s="429" t="n">
        <v>8</v>
      </c>
      <c r="K30" s="429" t="n">
        <v>4</v>
      </c>
      <c r="L30" s="397" t="n">
        <v>3258</v>
      </c>
      <c r="M30" s="418" t="inlineStr">
        <is>
          <t>JHON AGUIRRE</t>
        </is>
      </c>
      <c r="N30" s="113" t="n"/>
      <c r="O30" s="113" t="n"/>
      <c r="P30" s="398" t="n"/>
      <c r="Q30" s="398" t="n"/>
      <c r="R30" s="113" t="n"/>
      <c r="S30" s="113" t="n"/>
      <c r="T30" s="113" t="n"/>
      <c r="U30" s="113" t="n"/>
      <c r="V30" s="113" t="n"/>
    </row>
    <row r="31" ht="15.75" customHeight="1">
      <c r="A31" s="146" t="n">
        <v>1</v>
      </c>
      <c r="B31" s="238" t="n">
        <v>28</v>
      </c>
      <c r="C31" s="419" t="n">
        <v>45811</v>
      </c>
      <c r="D31" s="229" t="inlineStr">
        <is>
          <t>221 G. MALAGUEÑA</t>
        </is>
      </c>
      <c r="E31" s="229" t="n">
        <v>41382</v>
      </c>
      <c r="F31" s="229" t="inlineStr">
        <is>
          <t>JHON AIRIAS</t>
        </is>
      </c>
      <c r="G31" s="430" t="n">
        <v>2800</v>
      </c>
      <c r="H31" s="430" t="n">
        <v>2838</v>
      </c>
      <c r="I31" s="420" t="n">
        <v>4</v>
      </c>
      <c r="J31" s="420" t="n">
        <v>9</v>
      </c>
      <c r="K31" s="431" t="n">
        <v>-51</v>
      </c>
      <c r="L31" s="432" t="n">
        <v>2848</v>
      </c>
      <c r="M31" s="422" t="inlineStr">
        <is>
          <t xml:space="preserve">JHON ARIAS </t>
        </is>
      </c>
      <c r="N31" s="423">
        <f>SUM(H15:H31)</f>
        <v/>
      </c>
      <c r="O31" s="424">
        <f>SUM(L15:L31)</f>
        <v/>
      </c>
      <c r="P31" s="425">
        <f>+O31-N31</f>
        <v/>
      </c>
      <c r="Q31" s="425">
        <f>SUM(I15:K31)</f>
        <v/>
      </c>
      <c r="R31" s="426">
        <f>+P31-Q31</f>
        <v/>
      </c>
      <c r="S31" s="113" t="n"/>
      <c r="T31" s="113" t="n"/>
      <c r="U31" s="113" t="n"/>
      <c r="V31" s="113" t="n"/>
    </row>
    <row r="32" ht="15.75" customHeight="1">
      <c r="A32" s="146" t="n">
        <v>1</v>
      </c>
      <c r="B32" s="238" t="n">
        <v>29</v>
      </c>
      <c r="C32" s="412" t="n">
        <v>45812</v>
      </c>
      <c r="D32" s="427" t="inlineStr">
        <is>
          <t>200 G.GARCERAS</t>
        </is>
      </c>
      <c r="E32" s="427" t="n">
        <v>41383</v>
      </c>
      <c r="F32" s="427" t="inlineStr">
        <is>
          <t>EDUAN CAVIEDES</t>
        </is>
      </c>
      <c r="G32" s="428" t="n">
        <v>3225</v>
      </c>
      <c r="H32" s="428" t="n">
        <v>3213</v>
      </c>
      <c r="I32" s="428" t="n">
        <v>2</v>
      </c>
      <c r="J32" s="428" t="n">
        <v>7</v>
      </c>
      <c r="K32" s="428" t="n">
        <v>3</v>
      </c>
      <c r="L32" s="414" t="n">
        <v>3225</v>
      </c>
      <c r="M32" s="415" t="inlineStr">
        <is>
          <t xml:space="preserve">EDUAN CAVIEDEZ </t>
        </is>
      </c>
      <c r="N32" s="113" t="n"/>
      <c r="O32" s="113" t="n"/>
      <c r="P32" s="398" t="n"/>
      <c r="Q32" s="398" t="n"/>
      <c r="R32" s="113" t="n"/>
      <c r="S32" s="113" t="n"/>
      <c r="T32" s="113" t="n"/>
      <c r="U32" s="113" t="n"/>
      <c r="V32" s="113" t="n"/>
    </row>
    <row r="33" ht="15.75" customHeight="1">
      <c r="A33" s="146" t="n">
        <v>1</v>
      </c>
      <c r="B33" s="238" t="n">
        <v>30</v>
      </c>
      <c r="C33" s="416" t="n">
        <v>45812</v>
      </c>
      <c r="D33" s="166" t="inlineStr">
        <is>
          <t>200 G.GARCERAS</t>
        </is>
      </c>
      <c r="E33" s="166" t="n">
        <v>41384</v>
      </c>
      <c r="F33" s="166" t="inlineStr">
        <is>
          <t>DIEGO NIÑO</t>
        </is>
      </c>
      <c r="G33" s="429" t="n">
        <v>3225</v>
      </c>
      <c r="H33" s="429" t="n">
        <v>3213</v>
      </c>
      <c r="I33" s="429" t="n">
        <v>2</v>
      </c>
      <c r="J33" s="429" t="n">
        <v>6</v>
      </c>
      <c r="K33" s="429" t="n">
        <v>4</v>
      </c>
      <c r="L33" s="397" t="n">
        <v>3225</v>
      </c>
      <c r="M33" s="418" t="inlineStr">
        <is>
          <t xml:space="preserve">DIEGO NIÑO </t>
        </is>
      </c>
      <c r="N33" s="113" t="n"/>
      <c r="O33" s="113" t="n"/>
      <c r="P33" s="398" t="n"/>
      <c r="Q33" s="398" t="n"/>
      <c r="R33" s="113" t="n"/>
      <c r="S33" s="113" t="n"/>
      <c r="T33" s="113" t="n"/>
      <c r="U33" s="113" t="n"/>
      <c r="V33" s="113" t="n"/>
    </row>
    <row r="34" ht="15.75" customHeight="1">
      <c r="A34" s="146" t="n">
        <v>1</v>
      </c>
      <c r="B34" s="238" t="n">
        <v>31</v>
      </c>
      <c r="C34" s="416" t="n">
        <v>45812</v>
      </c>
      <c r="D34" s="166" t="inlineStr">
        <is>
          <t>200 G.GARCERAS</t>
        </is>
      </c>
      <c r="E34" s="166" t="n">
        <v>41385</v>
      </c>
      <c r="F34" s="166" t="inlineStr">
        <is>
          <t>WILMER PIÑEROS</t>
        </is>
      </c>
      <c r="G34" s="429" t="n">
        <v>3225</v>
      </c>
      <c r="H34" s="429" t="n">
        <v>3212</v>
      </c>
      <c r="I34" s="429" t="n">
        <v>1</v>
      </c>
      <c r="J34" s="429" t="n">
        <v>9</v>
      </c>
      <c r="K34" s="429" t="n">
        <v>3</v>
      </c>
      <c r="L34" s="397" t="n">
        <v>3225</v>
      </c>
      <c r="M34" s="418" t="inlineStr">
        <is>
          <t xml:space="preserve">WILMER PIÑEROS </t>
        </is>
      </c>
      <c r="N34" s="113" t="n"/>
      <c r="O34" s="113" t="n"/>
      <c r="P34" s="398" t="n"/>
      <c r="Q34" s="398" t="n"/>
      <c r="R34" s="113" t="n"/>
      <c r="S34" s="113" t="n"/>
      <c r="T34" s="113" t="n"/>
      <c r="U34" s="113" t="n"/>
      <c r="V34" s="113" t="n"/>
    </row>
    <row r="35" ht="15.75" customHeight="1">
      <c r="A35" s="146" t="n">
        <v>1</v>
      </c>
      <c r="B35" s="238" t="n">
        <v>32</v>
      </c>
      <c r="C35" s="416" t="n">
        <v>45812</v>
      </c>
      <c r="D35" s="166" t="inlineStr">
        <is>
          <t>200 G.GARCERAS</t>
        </is>
      </c>
      <c r="E35" s="166" t="n">
        <v>41386</v>
      </c>
      <c r="F35" s="166" t="inlineStr">
        <is>
          <t>ALEX GOMEZ</t>
        </is>
      </c>
      <c r="G35" s="429" t="n">
        <v>3225</v>
      </c>
      <c r="H35" s="429" t="n">
        <v>3214</v>
      </c>
      <c r="I35" s="429" t="n">
        <v>1</v>
      </c>
      <c r="J35" s="429" t="n">
        <v>7</v>
      </c>
      <c r="K35" s="429" t="n">
        <v>3</v>
      </c>
      <c r="L35" s="397" t="n">
        <v>3225</v>
      </c>
      <c r="M35" s="418" t="inlineStr">
        <is>
          <t xml:space="preserve">ALEX GOMEZ </t>
        </is>
      </c>
      <c r="N35" s="113" t="n"/>
      <c r="O35" s="113" t="n"/>
      <c r="P35" s="398" t="n"/>
      <c r="Q35" s="398" t="n"/>
      <c r="R35" s="113" t="n"/>
      <c r="S35" s="113" t="n"/>
      <c r="T35" s="113" t="n"/>
      <c r="U35" s="113" t="n"/>
      <c r="V35" s="113" t="n"/>
    </row>
    <row r="36" ht="15.75" customHeight="1">
      <c r="A36" s="146" t="n">
        <v>1</v>
      </c>
      <c r="B36" s="238" t="n">
        <v>33</v>
      </c>
      <c r="C36" s="416" t="n">
        <v>45812</v>
      </c>
      <c r="D36" s="166" t="inlineStr">
        <is>
          <t>200 G.GARCERAS</t>
        </is>
      </c>
      <c r="E36" s="166" t="n">
        <v>41387</v>
      </c>
      <c r="F36" s="166" t="inlineStr">
        <is>
          <t>EDWIN ROJAS</t>
        </is>
      </c>
      <c r="G36" s="429" t="n">
        <v>2620</v>
      </c>
      <c r="H36" s="429" t="n">
        <v>2621</v>
      </c>
      <c r="I36" s="429" t="n">
        <v>3</v>
      </c>
      <c r="J36" s="429" t="n">
        <v>3</v>
      </c>
      <c r="K36" s="429" t="n">
        <v>-7</v>
      </c>
      <c r="L36" s="397" t="n">
        <v>2620</v>
      </c>
      <c r="M36" s="418" t="inlineStr">
        <is>
          <t>EDWIN ROJAS</t>
        </is>
      </c>
      <c r="N36" s="113" t="n"/>
      <c r="O36" s="113" t="n"/>
      <c r="P36" s="398" t="n"/>
      <c r="Q36" s="398" t="n"/>
      <c r="R36" s="113" t="n"/>
      <c r="S36" s="113" t="n"/>
      <c r="T36" s="113" t="n"/>
      <c r="U36" s="113" t="n"/>
      <c r="V36" s="113" t="n"/>
    </row>
    <row r="37" ht="15.75" customHeight="1">
      <c r="A37" s="146" t="n">
        <v>1</v>
      </c>
      <c r="B37" s="238" t="n">
        <v>34</v>
      </c>
      <c r="C37" s="416" t="n">
        <v>45812</v>
      </c>
      <c r="D37" s="166" t="inlineStr">
        <is>
          <t>200 G.GARCERAS</t>
        </is>
      </c>
      <c r="E37" s="166" t="n">
        <v>41388</v>
      </c>
      <c r="F37" s="166" t="inlineStr">
        <is>
          <t>HENRY ROMERO</t>
        </is>
      </c>
      <c r="G37" s="429" t="n">
        <v>2800</v>
      </c>
      <c r="H37" s="429" t="n">
        <v>2814</v>
      </c>
      <c r="I37" s="429" t="n">
        <v>2</v>
      </c>
      <c r="J37" s="429" t="n">
        <v>4</v>
      </c>
      <c r="K37" s="429" t="n">
        <v>-20</v>
      </c>
      <c r="L37" s="397" t="n">
        <v>2800</v>
      </c>
      <c r="M37" s="418" t="inlineStr">
        <is>
          <t>HENRY ROMERO</t>
        </is>
      </c>
      <c r="N37" s="113" t="n"/>
      <c r="O37" s="113" t="n"/>
      <c r="P37" s="398" t="n"/>
      <c r="Q37" s="398" t="n"/>
      <c r="R37" s="113" t="n"/>
      <c r="S37" s="113" t="n"/>
      <c r="T37" s="113" t="n"/>
      <c r="U37" s="113" t="n"/>
      <c r="V37" s="113" t="n"/>
    </row>
    <row r="38" ht="15.75" customHeight="1">
      <c r="A38" s="146" t="n">
        <v>1</v>
      </c>
      <c r="B38" s="238" t="n">
        <v>35</v>
      </c>
      <c r="C38" s="416" t="n">
        <v>45812</v>
      </c>
      <c r="D38" s="166" t="inlineStr">
        <is>
          <t>200 G.GARCERAS</t>
        </is>
      </c>
      <c r="E38" s="166" t="n">
        <v>41389</v>
      </c>
      <c r="F38" s="166" t="inlineStr">
        <is>
          <t>JAIRO CUBILLOS</t>
        </is>
      </c>
      <c r="G38" s="429" t="n">
        <v>2800</v>
      </c>
      <c r="H38" s="429" t="n">
        <v>2808</v>
      </c>
      <c r="I38" s="429" t="n">
        <v>1</v>
      </c>
      <c r="J38" s="429" t="n">
        <v>3</v>
      </c>
      <c r="K38" s="429" t="n">
        <v>-12</v>
      </c>
      <c r="L38" s="397" t="n">
        <v>2800</v>
      </c>
      <c r="M38" s="418" t="inlineStr">
        <is>
          <t xml:space="preserve">JAIRO CUBILLOS </t>
        </is>
      </c>
      <c r="N38" s="113" t="n"/>
      <c r="O38" s="113" t="n"/>
      <c r="P38" s="398" t="n"/>
      <c r="Q38" s="398" t="n"/>
      <c r="R38" s="113" t="n"/>
      <c r="S38" s="113" t="n"/>
      <c r="T38" s="113" t="n"/>
      <c r="U38" s="113" t="n"/>
      <c r="V38" s="113" t="n"/>
    </row>
    <row r="39" ht="15.75" customHeight="1">
      <c r="A39" s="146" t="n">
        <v>1</v>
      </c>
      <c r="B39" s="238" t="n">
        <v>36</v>
      </c>
      <c r="C39" s="416" t="n">
        <v>45812</v>
      </c>
      <c r="D39" s="166" t="inlineStr">
        <is>
          <t>221 G. MALAGUEÑA</t>
        </is>
      </c>
      <c r="E39" s="166" t="n">
        <v>41397</v>
      </c>
      <c r="F39" s="166" t="inlineStr">
        <is>
          <t>JOSE SOLER</t>
        </is>
      </c>
      <c r="G39" s="429" t="n">
        <v>3298</v>
      </c>
      <c r="H39" s="429" t="n">
        <v>3268</v>
      </c>
      <c r="I39" s="429" t="n">
        <v>7</v>
      </c>
      <c r="J39" s="429" t="n">
        <v>15</v>
      </c>
      <c r="K39" s="429" t="n">
        <v>8</v>
      </c>
      <c r="L39" s="397" t="n">
        <v>3298</v>
      </c>
      <c r="M39" s="418" t="inlineStr">
        <is>
          <t xml:space="preserve">JOSE SOLER </t>
        </is>
      </c>
      <c r="N39" s="113" t="n"/>
      <c r="O39" s="113" t="n"/>
      <c r="P39" s="398" t="n"/>
      <c r="Q39" s="398" t="n"/>
      <c r="R39" s="113" t="n"/>
      <c r="S39" s="113" t="n"/>
      <c r="T39" s="113" t="n"/>
      <c r="U39" s="113" t="n"/>
      <c r="V39" s="113" t="n"/>
    </row>
    <row r="40" ht="15.75" customHeight="1">
      <c r="A40" s="146" t="n">
        <v>1</v>
      </c>
      <c r="B40" s="238" t="n">
        <v>37</v>
      </c>
      <c r="C40" s="416" t="n">
        <v>45812</v>
      </c>
      <c r="D40" s="166" t="inlineStr">
        <is>
          <t>221 G. MALAGUEÑA</t>
        </is>
      </c>
      <c r="E40" s="166" t="n">
        <v>41398</v>
      </c>
      <c r="F40" s="166" t="inlineStr">
        <is>
          <t>EDUAN CAVIEDES</t>
        </is>
      </c>
      <c r="G40" s="429" t="n">
        <v>3298</v>
      </c>
      <c r="H40" s="429" t="n">
        <v>3271</v>
      </c>
      <c r="I40" s="429" t="n">
        <v>7</v>
      </c>
      <c r="J40" s="429" t="n">
        <v>12</v>
      </c>
      <c r="K40" s="429" t="n">
        <v>8</v>
      </c>
      <c r="L40" s="397" t="n">
        <v>3298</v>
      </c>
      <c r="M40" s="418" t="inlineStr">
        <is>
          <t xml:space="preserve">EDUAN CAVIEDEZ </t>
        </is>
      </c>
      <c r="N40" s="113" t="n"/>
      <c r="O40" s="113" t="n"/>
      <c r="P40" s="398" t="n"/>
      <c r="Q40" s="398" t="n"/>
      <c r="R40" s="113" t="n"/>
      <c r="S40" s="113" t="n"/>
      <c r="T40" s="113" t="n"/>
      <c r="U40" s="113" t="n"/>
      <c r="V40" s="113" t="n"/>
    </row>
    <row r="41" ht="15.75" customHeight="1">
      <c r="A41" s="146" t="n">
        <v>1</v>
      </c>
      <c r="B41" s="238" t="n">
        <v>38</v>
      </c>
      <c r="C41" s="416" t="n">
        <v>45812</v>
      </c>
      <c r="D41" s="166" t="inlineStr">
        <is>
          <t>221 G. MALAGUEÑA</t>
        </is>
      </c>
      <c r="E41" s="166" t="n">
        <v>41399</v>
      </c>
      <c r="F41" s="166" t="inlineStr">
        <is>
          <t>DIEGO NIÑO</t>
        </is>
      </c>
      <c r="G41" s="429" t="n">
        <v>3298</v>
      </c>
      <c r="H41" s="429" t="n">
        <v>3255</v>
      </c>
      <c r="I41" s="429" t="n">
        <v>8</v>
      </c>
      <c r="J41" s="429" t="n">
        <v>56</v>
      </c>
      <c r="K41" s="429" t="n">
        <v>-21</v>
      </c>
      <c r="L41" s="397" t="n">
        <v>3298</v>
      </c>
      <c r="M41" s="418" t="inlineStr">
        <is>
          <t xml:space="preserve">DIEGO NIÑO </t>
        </is>
      </c>
      <c r="N41" s="113" t="n"/>
      <c r="O41" s="113" t="n"/>
      <c r="P41" s="398" t="n"/>
      <c r="Q41" s="398" t="n"/>
      <c r="R41" s="113" t="n"/>
      <c r="S41" s="113" t="n"/>
      <c r="T41" s="113" t="n"/>
      <c r="U41" s="113" t="n"/>
      <c r="V41" s="113" t="n"/>
    </row>
    <row r="42" ht="15.75" customHeight="1">
      <c r="A42" s="146" t="n">
        <v>1</v>
      </c>
      <c r="B42" s="238" t="n">
        <v>39</v>
      </c>
      <c r="C42" s="416" t="n">
        <v>45812</v>
      </c>
      <c r="D42" s="166" t="inlineStr">
        <is>
          <t>221 G. MALAGUEÑA</t>
        </is>
      </c>
      <c r="E42" s="166" t="n">
        <v>41400</v>
      </c>
      <c r="F42" s="166" t="inlineStr">
        <is>
          <t>WILMER PIÑEROS</t>
        </is>
      </c>
      <c r="G42" s="429" t="n">
        <v>3298</v>
      </c>
      <c r="H42" s="429" t="n">
        <v>3241</v>
      </c>
      <c r="I42" s="429" t="n">
        <v>4</v>
      </c>
      <c r="J42" s="429" t="n">
        <v>55</v>
      </c>
      <c r="K42" s="429" t="n">
        <v>-2</v>
      </c>
      <c r="L42" s="397" t="n">
        <v>3298</v>
      </c>
      <c r="M42" s="418" t="inlineStr">
        <is>
          <t xml:space="preserve">WILMER PIÑEROS </t>
        </is>
      </c>
      <c r="N42" s="113" t="n"/>
      <c r="O42" s="113" t="n"/>
      <c r="P42" s="398" t="n"/>
      <c r="Q42" s="398" t="n"/>
      <c r="R42" s="113" t="n"/>
      <c r="S42" s="113" t="n"/>
      <c r="T42" s="113" t="n"/>
      <c r="U42" s="113" t="n"/>
      <c r="V42" s="113" t="n"/>
    </row>
    <row r="43" ht="15.75" customHeight="1">
      <c r="A43" s="146" t="n">
        <v>1</v>
      </c>
      <c r="B43" s="238" t="n">
        <v>40</v>
      </c>
      <c r="C43" s="416" t="n">
        <v>45812</v>
      </c>
      <c r="D43" s="166" t="inlineStr">
        <is>
          <t>221 G. MALAGUEÑA</t>
        </is>
      </c>
      <c r="E43" s="166" t="n">
        <v>41401</v>
      </c>
      <c r="F43" s="166" t="inlineStr">
        <is>
          <t>ALEX GOMEZ</t>
        </is>
      </c>
      <c r="G43" s="429" t="n">
        <v>3298</v>
      </c>
      <c r="H43" s="429" t="n">
        <v>3244</v>
      </c>
      <c r="I43" s="429" t="n">
        <v>5</v>
      </c>
      <c r="J43" s="429" t="n">
        <v>53</v>
      </c>
      <c r="K43" s="429" t="n">
        <v>-4</v>
      </c>
      <c r="L43" s="397" t="n">
        <v>3298</v>
      </c>
      <c r="M43" s="418" t="inlineStr">
        <is>
          <t xml:space="preserve">ALEX GOMEZ </t>
        </is>
      </c>
      <c r="N43" s="113" t="n"/>
      <c r="O43" s="113" t="n"/>
      <c r="P43" s="398" t="n"/>
      <c r="Q43" s="398" t="n"/>
      <c r="R43" s="113" t="n"/>
      <c r="S43" s="113" t="n"/>
      <c r="T43" s="113" t="n"/>
      <c r="U43" s="113" t="n"/>
      <c r="V43" s="113" t="n"/>
    </row>
    <row r="44" ht="15.75" customHeight="1">
      <c r="A44" s="146" t="n">
        <v>1</v>
      </c>
      <c r="B44" s="238" t="n">
        <v>41</v>
      </c>
      <c r="C44" s="416" t="n">
        <v>45812</v>
      </c>
      <c r="D44" s="166" t="inlineStr">
        <is>
          <t>221 G. MALAGUEÑA</t>
        </is>
      </c>
      <c r="E44" s="166" t="n">
        <v>41402</v>
      </c>
      <c r="F44" s="166" t="inlineStr">
        <is>
          <t>EDWIN ROJAS</t>
        </is>
      </c>
      <c r="G44" s="429" t="n">
        <v>3298</v>
      </c>
      <c r="H44" s="429" t="n">
        <v>3240</v>
      </c>
      <c r="I44" s="429" t="n">
        <v>9</v>
      </c>
      <c r="J44" s="429" t="n">
        <v>47</v>
      </c>
      <c r="K44" s="429" t="n">
        <v>2</v>
      </c>
      <c r="L44" s="397" t="n">
        <v>3298</v>
      </c>
      <c r="M44" s="418" t="inlineStr">
        <is>
          <t>EDWIN ROJAS</t>
        </is>
      </c>
      <c r="N44" s="113" t="n"/>
      <c r="O44" s="113" t="n"/>
      <c r="P44" s="398" t="n"/>
      <c r="Q44" s="398" t="n"/>
      <c r="R44" s="113" t="n"/>
      <c r="S44" s="113" t="n"/>
      <c r="T44" s="113" t="n"/>
      <c r="U44" s="113" t="n"/>
      <c r="V44" s="113" t="n"/>
    </row>
    <row r="45" ht="15.75" customHeight="1">
      <c r="A45" s="146" t="n">
        <v>1</v>
      </c>
      <c r="B45" s="238" t="n">
        <v>42</v>
      </c>
      <c r="C45" s="419" t="n">
        <v>45812</v>
      </c>
      <c r="D45" s="229" t="inlineStr">
        <is>
          <t>221 G. MALAGUEÑA</t>
        </is>
      </c>
      <c r="E45" s="229" t="n">
        <v>41403</v>
      </c>
      <c r="F45" s="229" t="inlineStr">
        <is>
          <t>HENRY ROMERO</t>
        </is>
      </c>
      <c r="G45" s="433" t="n">
        <v>2628</v>
      </c>
      <c r="H45" s="433" t="n">
        <v>2527</v>
      </c>
      <c r="I45" s="420" t="n">
        <v>3</v>
      </c>
      <c r="J45" s="420" t="n">
        <v>22</v>
      </c>
      <c r="K45" s="433" t="n">
        <v>76</v>
      </c>
      <c r="L45" s="421" t="n">
        <v>2641</v>
      </c>
      <c r="M45" s="422" t="inlineStr">
        <is>
          <t>HENRY ROMERO</t>
        </is>
      </c>
      <c r="N45" s="423">
        <f>SUM(H32:H45)</f>
        <v/>
      </c>
      <c r="O45" s="424">
        <f>SUM(L32:L45)</f>
        <v/>
      </c>
      <c r="P45" s="425">
        <f>+O45-N45</f>
        <v/>
      </c>
      <c r="Q45" s="425">
        <f>SUM(I32:K45)</f>
        <v/>
      </c>
      <c r="R45" s="426">
        <f>+P45-Q45</f>
        <v/>
      </c>
      <c r="S45" s="113" t="n"/>
      <c r="T45" s="113" t="n"/>
      <c r="U45" s="113" t="n"/>
      <c r="V45" s="113" t="n"/>
    </row>
    <row r="46" ht="15.75" customHeight="1">
      <c r="A46" s="146" t="n">
        <v>1</v>
      </c>
      <c r="B46" s="238" t="n">
        <v>43</v>
      </c>
      <c r="C46" s="412" t="n">
        <v>45813</v>
      </c>
      <c r="D46" s="427" t="inlineStr">
        <is>
          <t>200 G.GARCERAS</t>
        </is>
      </c>
      <c r="E46" s="427" t="n">
        <v>41404</v>
      </c>
      <c r="F46" s="427" t="inlineStr">
        <is>
          <t>HENRY ROMERO</t>
        </is>
      </c>
      <c r="G46" s="428" t="n">
        <v>3564</v>
      </c>
      <c r="H46" s="428" t="n">
        <v>3554</v>
      </c>
      <c r="I46" s="428" t="n">
        <v>4</v>
      </c>
      <c r="J46" s="428" t="n">
        <v>4</v>
      </c>
      <c r="K46" s="428" t="n">
        <v>2</v>
      </c>
      <c r="L46" s="414" t="n">
        <v>3564</v>
      </c>
      <c r="M46" s="415" t="inlineStr">
        <is>
          <t>HENRY ROMERO</t>
        </is>
      </c>
      <c r="N46" s="113" t="n"/>
      <c r="O46" s="113" t="n"/>
      <c r="P46" s="398" t="n"/>
      <c r="Q46" s="398" t="n"/>
      <c r="R46" s="113" t="n"/>
      <c r="S46" s="113" t="n"/>
      <c r="T46" s="113" t="n"/>
      <c r="U46" s="113" t="n"/>
      <c r="V46" s="113" t="n"/>
    </row>
    <row r="47" ht="15.75" customHeight="1">
      <c r="A47" s="146" t="n">
        <v>1</v>
      </c>
      <c r="B47" s="238" t="n">
        <v>44</v>
      </c>
      <c r="C47" s="416" t="n">
        <v>45813</v>
      </c>
      <c r="D47" s="166" t="inlineStr">
        <is>
          <t>200 G.GARCERAS</t>
        </is>
      </c>
      <c r="E47" s="166" t="n">
        <v>41405</v>
      </c>
      <c r="F47" s="166" t="inlineStr">
        <is>
          <t>JOSE SOLER</t>
        </is>
      </c>
      <c r="G47" s="429" t="n">
        <v>3323</v>
      </c>
      <c r="H47" s="429" t="n">
        <v>3310</v>
      </c>
      <c r="I47" s="429" t="n">
        <v>5</v>
      </c>
      <c r="J47" s="429" t="n">
        <v>4</v>
      </c>
      <c r="K47" s="429" t="n">
        <v>4</v>
      </c>
      <c r="L47" s="397" t="n">
        <v>3333</v>
      </c>
      <c r="M47" s="418" t="inlineStr">
        <is>
          <t xml:space="preserve">JOSE SOLER </t>
        </is>
      </c>
      <c r="N47" s="113" t="n"/>
      <c r="O47" s="113" t="n"/>
      <c r="P47" s="398" t="n"/>
      <c r="Q47" s="398" t="n"/>
      <c r="R47" s="113" t="n"/>
      <c r="S47" s="113" t="n"/>
      <c r="T47" s="113" t="n"/>
      <c r="U47" s="113" t="n"/>
      <c r="V47" s="113" t="n"/>
    </row>
    <row r="48" ht="15.75" customHeight="1">
      <c r="A48" s="146" t="n">
        <v>1</v>
      </c>
      <c r="B48" s="238" t="n">
        <v>45</v>
      </c>
      <c r="C48" s="416" t="n">
        <v>45813</v>
      </c>
      <c r="D48" s="166" t="inlineStr">
        <is>
          <t>200 G.GARCERAS</t>
        </is>
      </c>
      <c r="E48" s="166" t="n">
        <v>40406</v>
      </c>
      <c r="F48" s="166" t="inlineStr">
        <is>
          <t>JHON ARIAS</t>
        </is>
      </c>
      <c r="G48" s="429" t="n">
        <v>3600</v>
      </c>
      <c r="H48" s="429" t="n">
        <v>3587</v>
      </c>
      <c r="I48" s="429" t="n">
        <v>5</v>
      </c>
      <c r="J48" s="429" t="n">
        <v>7</v>
      </c>
      <c r="K48" s="429" t="n">
        <v>1</v>
      </c>
      <c r="L48" s="397" t="n">
        <v>3600</v>
      </c>
      <c r="M48" s="418" t="inlineStr">
        <is>
          <t xml:space="preserve">JHON ARIAS </t>
        </is>
      </c>
      <c r="N48" s="113" t="n"/>
      <c r="O48" s="113" t="n"/>
      <c r="P48" s="398" t="n"/>
      <c r="Q48" s="398" t="n"/>
      <c r="R48" s="113" t="n"/>
      <c r="S48" s="113" t="n"/>
      <c r="T48" s="113" t="n"/>
      <c r="U48" s="113" t="n"/>
      <c r="V48" s="113" t="n"/>
    </row>
    <row r="49" ht="15.75" customHeight="1">
      <c r="A49" s="146" t="n">
        <v>1</v>
      </c>
      <c r="B49" s="238" t="n">
        <v>46</v>
      </c>
      <c r="C49" s="416" t="n">
        <v>45813</v>
      </c>
      <c r="D49" s="166" t="inlineStr">
        <is>
          <t>200 G.GARCERAS</t>
        </is>
      </c>
      <c r="E49" s="166" t="n">
        <v>40407</v>
      </c>
      <c r="F49" s="166" t="inlineStr">
        <is>
          <t>ALBERTO HERRERA</t>
        </is>
      </c>
      <c r="G49" s="429" t="n">
        <v>3564</v>
      </c>
      <c r="H49" s="429" t="n">
        <v>3552</v>
      </c>
      <c r="I49" s="429" t="n">
        <v>4</v>
      </c>
      <c r="J49" s="429" t="n">
        <v>5</v>
      </c>
      <c r="K49" s="429" t="n">
        <v>3</v>
      </c>
      <c r="L49" s="397" t="n">
        <v>3564</v>
      </c>
      <c r="M49" s="418" t="inlineStr">
        <is>
          <t xml:space="preserve">JOSE HERRERA </t>
        </is>
      </c>
      <c r="N49" s="113" t="n"/>
      <c r="O49" s="113" t="n"/>
      <c r="P49" s="398" t="n"/>
      <c r="Q49" s="398" t="n"/>
      <c r="R49" s="113" t="n"/>
      <c r="S49" s="113" t="n"/>
      <c r="T49" s="113" t="n"/>
      <c r="U49" s="113" t="n"/>
      <c r="V49" s="113" t="n"/>
    </row>
    <row r="50" ht="15.75" customHeight="1">
      <c r="A50" s="146" t="n">
        <v>1</v>
      </c>
      <c r="B50" s="238" t="n">
        <v>47</v>
      </c>
      <c r="C50" s="416" t="n">
        <v>45813</v>
      </c>
      <c r="D50" s="166" t="inlineStr">
        <is>
          <t>200 G.GARCERAS</t>
        </is>
      </c>
      <c r="E50" s="166" t="n">
        <v>40408</v>
      </c>
      <c r="F50" s="166" t="inlineStr">
        <is>
          <t>FERNANDO OYUELA</t>
        </is>
      </c>
      <c r="G50" s="434" t="n">
        <v>3564</v>
      </c>
      <c r="H50" s="434" t="n">
        <v>3512</v>
      </c>
      <c r="I50" s="429" t="n">
        <v>6</v>
      </c>
      <c r="J50" s="429" t="n">
        <v>4</v>
      </c>
      <c r="K50" s="434" t="n">
        <v>42</v>
      </c>
      <c r="L50" s="397" t="n">
        <v>3564</v>
      </c>
      <c r="M50" s="418" t="inlineStr">
        <is>
          <t xml:space="preserve">FERNANDO OYUELA </t>
        </is>
      </c>
      <c r="N50" s="113" t="n"/>
      <c r="O50" s="113" t="n"/>
      <c r="P50" s="398" t="n"/>
      <c r="Q50" s="398" t="n"/>
      <c r="R50" s="113" t="n"/>
      <c r="S50" s="113" t="n"/>
      <c r="T50" s="113" t="n"/>
      <c r="U50" s="113" t="n"/>
      <c r="V50" s="113" t="n"/>
    </row>
    <row r="51" ht="15.75" customHeight="1">
      <c r="A51" s="146" t="n">
        <v>1</v>
      </c>
      <c r="B51" s="238" t="n">
        <v>48</v>
      </c>
      <c r="C51" s="416" t="n">
        <v>45813</v>
      </c>
      <c r="D51" s="166" t="inlineStr">
        <is>
          <t>200 G.GARCERAS</t>
        </is>
      </c>
      <c r="E51" s="166" t="n">
        <v>40409</v>
      </c>
      <c r="F51" s="166" t="inlineStr">
        <is>
          <t>ALBERTO LOPEZ</t>
        </is>
      </c>
      <c r="G51" s="429" t="n">
        <v>3599</v>
      </c>
      <c r="H51" s="429" t="n">
        <v>3584</v>
      </c>
      <c r="I51" s="429" t="n">
        <v>7</v>
      </c>
      <c r="J51" s="429" t="n">
        <v>4</v>
      </c>
      <c r="K51" s="429" t="n">
        <v>4</v>
      </c>
      <c r="L51" s="397" t="n">
        <v>3600</v>
      </c>
      <c r="M51" s="418" t="inlineStr">
        <is>
          <t xml:space="preserve">ALBERTO LOPEZ </t>
        </is>
      </c>
      <c r="N51" s="113" t="n"/>
      <c r="O51" s="113" t="n"/>
      <c r="P51" s="398" t="n"/>
      <c r="Q51" s="398" t="n"/>
      <c r="R51" s="113" t="n"/>
      <c r="S51" s="113" t="n"/>
      <c r="T51" s="113" t="n"/>
      <c r="U51" s="113" t="n"/>
      <c r="V51" s="113" t="n"/>
    </row>
    <row r="52" ht="15.75" customHeight="1">
      <c r="A52" s="146" t="n">
        <v>1</v>
      </c>
      <c r="B52" s="238" t="n">
        <v>49</v>
      </c>
      <c r="C52" s="416" t="n">
        <v>45813</v>
      </c>
      <c r="D52" s="166" t="inlineStr">
        <is>
          <t>221 G. MALAGUEÑA</t>
        </is>
      </c>
      <c r="E52" s="166" t="n">
        <v>40417</v>
      </c>
      <c r="F52" s="166" t="inlineStr">
        <is>
          <t>EDUAN CAVIEDES</t>
        </is>
      </c>
      <c r="G52" s="429" t="n">
        <v>3225</v>
      </c>
      <c r="H52" s="429" t="n">
        <v>3213</v>
      </c>
      <c r="I52" s="429" t="n">
        <v>3</v>
      </c>
      <c r="J52" s="429" t="n">
        <v>11</v>
      </c>
      <c r="K52" s="429" t="n">
        <v>-2</v>
      </c>
      <c r="L52" s="397" t="n">
        <v>3225</v>
      </c>
      <c r="M52" s="418" t="inlineStr">
        <is>
          <t xml:space="preserve">EDUAN CAVIEDEZ </t>
        </is>
      </c>
      <c r="N52" s="113" t="n"/>
      <c r="O52" s="113" t="n"/>
      <c r="P52" s="398" t="n"/>
      <c r="Q52" s="398" t="n"/>
      <c r="R52" s="113" t="n"/>
      <c r="S52" s="113" t="n"/>
      <c r="T52" s="113" t="n"/>
      <c r="U52" s="113" t="n"/>
      <c r="V52" s="113" t="n"/>
    </row>
    <row r="53" ht="15.75" customHeight="1">
      <c r="A53" s="146" t="n">
        <v>1</v>
      </c>
      <c r="B53" s="238" t="n">
        <v>50</v>
      </c>
      <c r="C53" s="416" t="n">
        <v>45813</v>
      </c>
      <c r="D53" s="166" t="inlineStr">
        <is>
          <t>221 G. MALAGUEÑA</t>
        </is>
      </c>
      <c r="E53" s="166" t="n">
        <v>40418</v>
      </c>
      <c r="F53" s="166" t="inlineStr">
        <is>
          <t>DUMAR ANGARITA</t>
        </is>
      </c>
      <c r="G53" s="429" t="n">
        <v>3225</v>
      </c>
      <c r="H53" s="429" t="n">
        <v>3212</v>
      </c>
      <c r="I53" s="429" t="n">
        <v>3</v>
      </c>
      <c r="J53" s="429" t="n">
        <v>13</v>
      </c>
      <c r="K53" s="429" t="n">
        <v>-3</v>
      </c>
      <c r="L53" s="397" t="n">
        <v>3225</v>
      </c>
      <c r="M53" s="418" t="inlineStr">
        <is>
          <t xml:space="preserve">DUMAR ANGARITA </t>
        </is>
      </c>
      <c r="N53" s="113" t="n"/>
      <c r="O53" s="113" t="n"/>
      <c r="P53" s="398" t="n"/>
      <c r="Q53" s="398" t="n"/>
      <c r="R53" s="113" t="n"/>
      <c r="S53" s="113" t="n"/>
      <c r="T53" s="113" t="n"/>
      <c r="U53" s="113" t="n"/>
      <c r="V53" s="113" t="n"/>
    </row>
    <row r="54" ht="15.75" customHeight="1">
      <c r="A54" s="146" t="n">
        <v>1</v>
      </c>
      <c r="B54" s="238" t="n">
        <v>51</v>
      </c>
      <c r="C54" s="419" t="n">
        <v>45813</v>
      </c>
      <c r="D54" s="229" t="inlineStr">
        <is>
          <t>221 G. MALAGUEÑA</t>
        </is>
      </c>
      <c r="E54" s="229" t="n">
        <v>40419</v>
      </c>
      <c r="F54" s="229" t="inlineStr">
        <is>
          <t>HENRY ROMERO</t>
        </is>
      </c>
      <c r="G54" s="420" t="n">
        <v>3225</v>
      </c>
      <c r="H54" s="420" t="n">
        <v>3203</v>
      </c>
      <c r="I54" s="420" t="n">
        <v>4</v>
      </c>
      <c r="J54" s="420" t="n">
        <v>22</v>
      </c>
      <c r="K54" s="420" t="n">
        <v>-4</v>
      </c>
      <c r="L54" s="421" t="n">
        <v>3225</v>
      </c>
      <c r="M54" s="422" t="inlineStr">
        <is>
          <t>HENRY ROMERO</t>
        </is>
      </c>
      <c r="N54" s="423">
        <f>SUM(H46:H54)</f>
        <v/>
      </c>
      <c r="O54" s="424">
        <f>SUM(L46:L54)</f>
        <v/>
      </c>
      <c r="P54" s="425">
        <f>+O54-N54</f>
        <v/>
      </c>
      <c r="Q54" s="425">
        <f>SUM(I46:K54)</f>
        <v/>
      </c>
      <c r="R54" s="426">
        <f>+P54-Q54</f>
        <v/>
      </c>
      <c r="S54" s="113" t="n"/>
      <c r="T54" s="113" t="n"/>
      <c r="U54" s="113" t="n"/>
      <c r="V54" s="113" t="n"/>
    </row>
    <row r="55" ht="15.75" customHeight="1">
      <c r="A55" s="146" t="n">
        <v>1</v>
      </c>
      <c r="B55" s="238" t="n">
        <v>52</v>
      </c>
      <c r="C55" s="412" t="n">
        <v>45814</v>
      </c>
      <c r="D55" s="427" t="inlineStr">
        <is>
          <t>221 G. MALAGUEÑA</t>
        </is>
      </c>
      <c r="E55" s="427" t="n">
        <v>41420</v>
      </c>
      <c r="F55" s="427" t="inlineStr">
        <is>
          <t>DUMAR ANGARITA</t>
        </is>
      </c>
      <c r="G55" s="428" t="n">
        <v>2775</v>
      </c>
      <c r="H55" s="428" t="n">
        <v>2748</v>
      </c>
      <c r="I55" s="428" t="n">
        <v>4</v>
      </c>
      <c r="J55" s="428" t="n">
        <v>29</v>
      </c>
      <c r="K55" s="428">
        <f>+G55-H55-I55-J55</f>
        <v/>
      </c>
      <c r="L55" s="414" t="n">
        <v>2775</v>
      </c>
      <c r="M55" s="415" t="inlineStr">
        <is>
          <t xml:space="preserve">DUMAR ANGARITA </t>
        </is>
      </c>
      <c r="N55" s="113" t="n"/>
      <c r="O55" s="113" t="n"/>
      <c r="P55" s="398" t="n"/>
      <c r="Q55" s="398" t="n"/>
      <c r="R55" s="113" t="n"/>
      <c r="S55" s="113" t="n"/>
      <c r="T55" s="113" t="n"/>
      <c r="U55" s="113" t="n"/>
      <c r="V55" s="113" t="n"/>
    </row>
    <row r="56" ht="15.75" customHeight="1">
      <c r="A56" s="146" t="n">
        <v>1</v>
      </c>
      <c r="B56" s="238" t="n">
        <v>53</v>
      </c>
      <c r="C56" s="416" t="n">
        <v>45814</v>
      </c>
      <c r="D56" s="166" t="inlineStr">
        <is>
          <t>221 G. MALAGUEÑA</t>
        </is>
      </c>
      <c r="E56" s="166" t="n">
        <v>41421</v>
      </c>
      <c r="F56" s="166" t="inlineStr">
        <is>
          <t>FERNANDO OYUELA</t>
        </is>
      </c>
      <c r="G56" s="429" t="n">
        <v>2775</v>
      </c>
      <c r="H56" s="429" t="n">
        <v>2754</v>
      </c>
      <c r="I56" s="429" t="n">
        <v>5</v>
      </c>
      <c r="J56" s="429" t="n">
        <v>21</v>
      </c>
      <c r="K56" s="429">
        <f>+G56-H56-I56-J56</f>
        <v/>
      </c>
      <c r="L56" s="397" t="n">
        <v>2775</v>
      </c>
      <c r="M56" s="418" t="inlineStr">
        <is>
          <t xml:space="preserve">FERNANDO OYUELA </t>
        </is>
      </c>
      <c r="N56" s="113" t="n"/>
      <c r="O56" s="113" t="n"/>
      <c r="P56" s="398" t="n"/>
      <c r="Q56" s="398" t="n"/>
      <c r="R56" s="113" t="n"/>
      <c r="S56" s="113" t="n"/>
      <c r="T56" s="113" t="n"/>
      <c r="U56" s="113" t="n"/>
      <c r="V56" s="113" t="n"/>
    </row>
    <row r="57" ht="15.75" customHeight="1">
      <c r="A57" s="146" t="n">
        <v>1</v>
      </c>
      <c r="B57" s="238" t="n">
        <v>54</v>
      </c>
      <c r="C57" s="416" t="n">
        <v>45814</v>
      </c>
      <c r="D57" s="166" t="inlineStr">
        <is>
          <t>221 G. MALAGUEÑA</t>
        </is>
      </c>
      <c r="E57" s="166" t="n">
        <v>41422</v>
      </c>
      <c r="F57" s="166" t="inlineStr">
        <is>
          <t>ALEX GOMEZ</t>
        </is>
      </c>
      <c r="G57" s="434" t="n">
        <v>2775</v>
      </c>
      <c r="H57" s="434" t="n">
        <v>2673</v>
      </c>
      <c r="I57" s="429" t="n">
        <v>2</v>
      </c>
      <c r="J57" s="429" t="n">
        <v>19</v>
      </c>
      <c r="K57" s="434">
        <f>+G57-H57-I57-J57</f>
        <v/>
      </c>
      <c r="L57" s="397" t="n">
        <v>2775</v>
      </c>
      <c r="M57" s="418" t="inlineStr">
        <is>
          <t xml:space="preserve">ALEX GOMEZ </t>
        </is>
      </c>
      <c r="N57" s="113" t="n"/>
      <c r="O57" s="113" t="n"/>
      <c r="P57" s="398" t="n"/>
      <c r="Q57" s="398" t="n"/>
      <c r="R57" s="113" t="n"/>
      <c r="S57" s="113" t="n"/>
      <c r="T57" s="113" t="n"/>
      <c r="U57" s="113" t="n"/>
      <c r="V57" s="113" t="n"/>
    </row>
    <row r="58" ht="15.75" customHeight="1">
      <c r="A58" s="146" t="n">
        <v>1</v>
      </c>
      <c r="B58" s="238" t="n">
        <v>55</v>
      </c>
      <c r="C58" s="416" t="n">
        <v>45814</v>
      </c>
      <c r="D58" s="166" t="inlineStr">
        <is>
          <t>221 G. MALAGUEÑA</t>
        </is>
      </c>
      <c r="E58" s="166" t="n">
        <v>41423</v>
      </c>
      <c r="F58" s="166" t="inlineStr">
        <is>
          <t>MANUEL QUITIAN</t>
        </is>
      </c>
      <c r="G58" s="429" t="n">
        <v>2692</v>
      </c>
      <c r="H58" s="429" t="n">
        <v>2677</v>
      </c>
      <c r="I58" s="429" t="n">
        <v>3</v>
      </c>
      <c r="J58" s="429" t="n">
        <v>22</v>
      </c>
      <c r="K58" s="429">
        <f>+G58-H58-I58-J58</f>
        <v/>
      </c>
      <c r="L58" s="397" t="n">
        <v>2692</v>
      </c>
      <c r="M58" s="418" t="inlineStr">
        <is>
          <t>MANUEL QUINDIAN</t>
        </is>
      </c>
      <c r="N58" s="113" t="n"/>
      <c r="O58" s="113" t="n"/>
      <c r="P58" s="398" t="n"/>
      <c r="Q58" s="398" t="n"/>
      <c r="R58" s="113" t="n"/>
      <c r="S58" s="113" t="n"/>
      <c r="T58" s="113" t="n"/>
      <c r="U58" s="113" t="n"/>
      <c r="V58" s="113" t="n"/>
    </row>
    <row r="59" ht="15.75" customHeight="1">
      <c r="A59" s="146" t="n">
        <v>1</v>
      </c>
      <c r="B59" s="238" t="n">
        <v>56</v>
      </c>
      <c r="C59" s="416" t="n">
        <v>45814</v>
      </c>
      <c r="D59" s="166" t="inlineStr">
        <is>
          <t>221 G. MALAGUEÑA</t>
        </is>
      </c>
      <c r="E59" s="166" t="n">
        <v>41424</v>
      </c>
      <c r="F59" s="166" t="inlineStr">
        <is>
          <t>HENRY ROMERO</t>
        </is>
      </c>
      <c r="G59" s="429" t="n">
        <v>3200</v>
      </c>
      <c r="H59" s="429" t="n">
        <v>3185</v>
      </c>
      <c r="I59" s="429" t="n">
        <v>3</v>
      </c>
      <c r="J59" s="429" t="n">
        <v>13</v>
      </c>
      <c r="K59" s="429">
        <f>+G59-H59-I59-J59</f>
        <v/>
      </c>
      <c r="L59" s="397" t="n">
        <v>3200</v>
      </c>
      <c r="M59" s="418" t="inlineStr">
        <is>
          <t>HENRY ROMERO</t>
        </is>
      </c>
      <c r="N59" s="113" t="n"/>
      <c r="O59" s="113" t="n"/>
      <c r="P59" s="398" t="n"/>
      <c r="Q59" s="398" t="n"/>
      <c r="R59" s="113" t="n"/>
      <c r="S59" s="113" t="n"/>
      <c r="T59" s="113" t="n"/>
      <c r="U59" s="113" t="n"/>
      <c r="V59" s="113" t="n"/>
    </row>
    <row r="60" ht="15.75" customHeight="1">
      <c r="A60" s="146" t="n">
        <v>1</v>
      </c>
      <c r="B60" s="238" t="n">
        <v>57</v>
      </c>
      <c r="C60" s="416" t="n">
        <v>45814</v>
      </c>
      <c r="D60" s="166" t="inlineStr">
        <is>
          <t>218 G. SAN JOSE 1</t>
        </is>
      </c>
      <c r="E60" s="166" t="n">
        <v>41425</v>
      </c>
      <c r="F60" s="166" t="inlineStr">
        <is>
          <t>EDUAN CAVIEDES</t>
        </is>
      </c>
      <c r="G60" s="429" t="n">
        <v>3500</v>
      </c>
      <c r="H60" s="429" t="n">
        <v>3492</v>
      </c>
      <c r="I60" s="429" t="n">
        <v>3</v>
      </c>
      <c r="J60" s="429" t="n">
        <v>10</v>
      </c>
      <c r="K60" s="429">
        <f>+G60-H60-I60-J60</f>
        <v/>
      </c>
      <c r="L60" s="397" t="n">
        <v>3500</v>
      </c>
      <c r="M60" s="418" t="inlineStr">
        <is>
          <t xml:space="preserve">EDUAN CAVIEDEZ </t>
        </is>
      </c>
      <c r="N60" s="113" t="n"/>
      <c r="O60" s="113" t="n"/>
      <c r="P60" s="398" t="n"/>
      <c r="Q60" s="398" t="n"/>
      <c r="R60" s="113" t="n"/>
      <c r="S60" s="113" t="n"/>
      <c r="T60" s="113" t="n"/>
      <c r="U60" s="113" t="n"/>
      <c r="V60" s="113" t="n"/>
    </row>
    <row r="61" ht="15.75" customHeight="1">
      <c r="A61" s="146" t="n">
        <v>1</v>
      </c>
      <c r="B61" s="238" t="n">
        <v>58</v>
      </c>
      <c r="C61" s="419" t="n">
        <v>45814</v>
      </c>
      <c r="D61" s="229" t="inlineStr">
        <is>
          <t>218 G. SAN JOSE 1</t>
        </is>
      </c>
      <c r="E61" s="229" t="n">
        <v>41426</v>
      </c>
      <c r="F61" s="229" t="inlineStr">
        <is>
          <t>JAIRO CUBILLOS</t>
        </is>
      </c>
      <c r="G61" s="420" t="n">
        <v>3500</v>
      </c>
      <c r="H61" s="420" t="n">
        <v>3492</v>
      </c>
      <c r="I61" s="420" t="n">
        <v>4</v>
      </c>
      <c r="J61" s="420" t="n">
        <v>3</v>
      </c>
      <c r="K61" s="420">
        <f>+G61-H61-I61-J61</f>
        <v/>
      </c>
      <c r="L61" s="421" t="n">
        <v>3500</v>
      </c>
      <c r="M61" s="422" t="inlineStr">
        <is>
          <t xml:space="preserve">JAIRO CUBILLOS </t>
        </is>
      </c>
      <c r="N61" s="423">
        <f>SUM(H55:H61)</f>
        <v/>
      </c>
      <c r="O61" s="424">
        <f>SUM(L55:L61)</f>
        <v/>
      </c>
      <c r="P61" s="425">
        <f>+O61-N61</f>
        <v/>
      </c>
      <c r="Q61" s="425">
        <f>SUM(I55:K61)</f>
        <v/>
      </c>
      <c r="R61" s="435">
        <f>+P61-Q61</f>
        <v/>
      </c>
      <c r="S61" s="113" t="n"/>
      <c r="T61" s="113" t="n"/>
      <c r="U61" s="113" t="n"/>
      <c r="V61" s="113" t="n"/>
    </row>
    <row r="62" ht="15.75" customHeight="1">
      <c r="A62" s="146" t="n">
        <v>1</v>
      </c>
      <c r="B62" s="238" t="n">
        <v>59</v>
      </c>
      <c r="C62" s="412" t="n">
        <v>45815</v>
      </c>
      <c r="D62" s="427" t="inlineStr">
        <is>
          <t>221 G. MALAGUEÑA</t>
        </is>
      </c>
      <c r="E62" s="427" t="n">
        <v>45815</v>
      </c>
      <c r="F62" s="427" t="inlineStr">
        <is>
          <t>FABIO ALDANA</t>
        </is>
      </c>
      <c r="G62" s="428" t="n">
        <v>3425</v>
      </c>
      <c r="H62" s="428" t="n">
        <v>3421</v>
      </c>
      <c r="I62" s="428" t="n">
        <v>2</v>
      </c>
      <c r="J62" s="428" t="n">
        <v>7</v>
      </c>
      <c r="K62" s="428" t="n">
        <v>-5</v>
      </c>
      <c r="L62" s="414" t="n">
        <v>3442</v>
      </c>
      <c r="M62" s="415" t="inlineStr">
        <is>
          <t xml:space="preserve">FERNANDO OYUELA </t>
        </is>
      </c>
      <c r="N62" s="113" t="n"/>
      <c r="O62" s="113" t="n"/>
      <c r="P62" s="398" t="n"/>
      <c r="Q62" s="398" t="n"/>
      <c r="R62" s="113" t="n"/>
      <c r="S62" s="113" t="n"/>
      <c r="T62" s="113" t="n"/>
      <c r="U62" s="113" t="n"/>
      <c r="V62" s="113" t="n"/>
    </row>
    <row r="63" ht="15.75" customHeight="1">
      <c r="A63" s="146" t="n">
        <v>1</v>
      </c>
      <c r="B63" s="238" t="n">
        <v>60</v>
      </c>
      <c r="C63" s="416" t="n">
        <v>45815</v>
      </c>
      <c r="D63" s="166" t="inlineStr">
        <is>
          <t>221 G. MALAGUEÑA</t>
        </is>
      </c>
      <c r="E63" s="166" t="n">
        <v>45815</v>
      </c>
      <c r="F63" s="166" t="inlineStr">
        <is>
          <t>FERNANDO OYUELA</t>
        </is>
      </c>
      <c r="G63" s="429" t="n">
        <v>3425</v>
      </c>
      <c r="H63" s="429" t="n">
        <v>3422</v>
      </c>
      <c r="I63" s="429" t="n">
        <v>4</v>
      </c>
      <c r="J63" s="429" t="n">
        <v>7</v>
      </c>
      <c r="K63" s="429" t="n">
        <v>-8</v>
      </c>
      <c r="L63" s="397" t="n">
        <v>3442</v>
      </c>
      <c r="M63" s="418" t="inlineStr">
        <is>
          <t xml:space="preserve">FABIO ALDANA </t>
        </is>
      </c>
      <c r="N63" s="113" t="n"/>
      <c r="O63" s="113" t="n"/>
      <c r="P63" s="113" t="n"/>
      <c r="Q63" s="398" t="n"/>
      <c r="R63" s="113" t="n"/>
      <c r="S63" s="113" t="n"/>
      <c r="T63" s="113" t="n"/>
      <c r="U63" s="113" t="n"/>
      <c r="V63" s="113" t="n"/>
    </row>
    <row r="64" ht="15.75" customHeight="1">
      <c r="A64" s="146" t="n">
        <v>1</v>
      </c>
      <c r="B64" s="238" t="n">
        <v>61</v>
      </c>
      <c r="C64" s="416" t="n">
        <v>45815</v>
      </c>
      <c r="D64" s="166" t="inlineStr">
        <is>
          <t>221 G. MALAGUEÑA</t>
        </is>
      </c>
      <c r="E64" s="166" t="n">
        <v>45815</v>
      </c>
      <c r="F64" s="166" t="inlineStr">
        <is>
          <t>ALBERTO HERRERA</t>
        </is>
      </c>
      <c r="G64" s="429" t="n">
        <v>3425</v>
      </c>
      <c r="H64" s="429" t="n">
        <v>3422</v>
      </c>
      <c r="I64" s="429" t="n">
        <v>1</v>
      </c>
      <c r="J64" s="429" t="n">
        <v>8</v>
      </c>
      <c r="K64" s="429" t="n">
        <v>-6</v>
      </c>
      <c r="L64" s="397" t="n">
        <v>3442</v>
      </c>
      <c r="M64" s="418" t="inlineStr">
        <is>
          <t xml:space="preserve">JOSE HERRERA </t>
        </is>
      </c>
      <c r="N64" s="113" t="n"/>
      <c r="O64" s="113" t="n"/>
      <c r="P64" s="398" t="n"/>
      <c r="Q64" s="398" t="n"/>
      <c r="R64" s="113" t="n"/>
      <c r="S64" s="113" t="n"/>
      <c r="T64" s="113" t="n"/>
      <c r="U64" s="113" t="n"/>
      <c r="V64" s="113" t="n"/>
    </row>
    <row r="65" ht="15.75" customHeight="1">
      <c r="A65" s="146" t="n">
        <v>1</v>
      </c>
      <c r="B65" s="238" t="n">
        <v>62</v>
      </c>
      <c r="C65" s="416" t="n">
        <v>45815</v>
      </c>
      <c r="D65" s="166" t="inlineStr">
        <is>
          <t>221 G. MALAGUEÑA</t>
        </is>
      </c>
      <c r="E65" s="166" t="n">
        <v>45815</v>
      </c>
      <c r="F65" s="166" t="inlineStr">
        <is>
          <t>JOSE SOLER</t>
        </is>
      </c>
      <c r="G65" s="436" t="n">
        <v>3095</v>
      </c>
      <c r="H65" s="436" t="n">
        <v>3134</v>
      </c>
      <c r="I65" s="429" t="n">
        <v>1</v>
      </c>
      <c r="J65" s="429" t="n">
        <v>6</v>
      </c>
      <c r="K65" s="436" t="n">
        <v>-46</v>
      </c>
      <c r="L65" s="437" t="n">
        <v>3138</v>
      </c>
      <c r="M65" s="418" t="inlineStr">
        <is>
          <t xml:space="preserve">JOSE SOLER </t>
        </is>
      </c>
      <c r="N65" s="395" t="n"/>
      <c r="O65" s="113" t="n"/>
      <c r="P65" s="398" t="n"/>
      <c r="Q65" s="398" t="n"/>
      <c r="R65" s="113" t="n"/>
      <c r="S65" s="113" t="n"/>
      <c r="T65" s="113" t="n"/>
      <c r="U65" s="113" t="n"/>
      <c r="V65" s="113" t="n"/>
    </row>
    <row r="66" ht="15.75" customHeight="1">
      <c r="A66" s="146" t="n">
        <v>1</v>
      </c>
      <c r="B66" s="238" t="n">
        <v>63</v>
      </c>
      <c r="C66" s="416" t="n">
        <v>45815</v>
      </c>
      <c r="D66" s="166" t="inlineStr">
        <is>
          <t>218 G. SAN JOSE 1</t>
        </is>
      </c>
      <c r="E66" s="166" t="n">
        <v>45815</v>
      </c>
      <c r="F66" s="166" t="inlineStr">
        <is>
          <t>DUMAR ANGARITA</t>
        </is>
      </c>
      <c r="G66" s="429" t="n">
        <v>3605</v>
      </c>
      <c r="H66" s="429" t="n">
        <v>3583</v>
      </c>
      <c r="I66" s="429" t="n">
        <v>2</v>
      </c>
      <c r="J66" s="429" t="n">
        <v>20</v>
      </c>
      <c r="K66" s="429" t="n">
        <v>0</v>
      </c>
      <c r="L66" s="397" t="n">
        <v>3605</v>
      </c>
      <c r="M66" s="418" t="inlineStr">
        <is>
          <t xml:space="preserve">DUMAR ANGARITA </t>
        </is>
      </c>
      <c r="N66" s="113" t="n"/>
      <c r="O66" s="113" t="n"/>
      <c r="P66" s="398" t="n"/>
      <c r="Q66" s="398" t="n"/>
      <c r="R66" s="113" t="n"/>
      <c r="S66" s="113" t="n"/>
      <c r="T66" s="113" t="n"/>
      <c r="U66" s="113" t="n"/>
      <c r="V66" s="113" t="n"/>
    </row>
    <row r="67" ht="15.75" customHeight="1">
      <c r="A67" s="146" t="n">
        <v>1</v>
      </c>
      <c r="B67" s="238" t="n">
        <v>64</v>
      </c>
      <c r="C67" s="419" t="n">
        <v>45815</v>
      </c>
      <c r="D67" s="229" t="inlineStr">
        <is>
          <t>218 G. SAN JOSE 1</t>
        </is>
      </c>
      <c r="E67" s="229" t="n">
        <v>45815</v>
      </c>
      <c r="F67" s="229" t="inlineStr">
        <is>
          <t>FERNANDO OYUELA</t>
        </is>
      </c>
      <c r="G67" s="420" t="n">
        <v>3605</v>
      </c>
      <c r="H67" s="420" t="n">
        <v>3590</v>
      </c>
      <c r="I67" s="420" t="n">
        <v>4</v>
      </c>
      <c r="J67" s="420" t="n">
        <v>6</v>
      </c>
      <c r="K67" s="420" t="n">
        <v>5</v>
      </c>
      <c r="L67" s="421" t="n">
        <v>3605</v>
      </c>
      <c r="M67" s="422" t="inlineStr">
        <is>
          <t xml:space="preserve">FERNANDO OYUELA </t>
        </is>
      </c>
      <c r="N67" s="423">
        <f>SUM(H62:H67)</f>
        <v/>
      </c>
      <c r="O67" s="424">
        <f>SUM(L62:L67)</f>
        <v/>
      </c>
      <c r="P67" s="425">
        <f>+O67-N67</f>
        <v/>
      </c>
      <c r="Q67" s="425">
        <f>SUM(I62:K67)</f>
        <v/>
      </c>
      <c r="R67" s="426">
        <f>+P67-Q67</f>
        <v/>
      </c>
      <c r="S67" s="423">
        <f>+N67+N61+N54+N45+N31+N14</f>
        <v/>
      </c>
      <c r="T67" s="424">
        <f>+O67+O61+O54+O45+O31+O14</f>
        <v/>
      </c>
      <c r="U67" s="425">
        <f>+T67-S67</f>
        <v/>
      </c>
      <c r="V67" s="426">
        <f>+U67-Q67</f>
        <v/>
      </c>
    </row>
    <row r="68" ht="15.75" customHeight="1">
      <c r="A68" s="146" t="n">
        <v>1</v>
      </c>
      <c r="B68" s="238" t="n"/>
      <c r="C68" s="399" t="n"/>
      <c r="D68" s="113" t="n"/>
      <c r="E68" s="113" t="n"/>
      <c r="F68" s="113" t="n"/>
      <c r="G68" s="426">
        <f>SUM(G4:G67)</f>
        <v/>
      </c>
      <c r="H68" s="426">
        <f>SUM(H4:H67)</f>
        <v/>
      </c>
      <c r="I68" s="426">
        <f>SUM(I4:I67)</f>
        <v/>
      </c>
      <c r="J68" s="426">
        <f>SUM(J4:J67)</f>
        <v/>
      </c>
      <c r="K68" s="426">
        <f>SUM(K4:K67)</f>
        <v/>
      </c>
      <c r="L68" s="438">
        <f>SUM(L4:L67)</f>
        <v/>
      </c>
      <c r="M68" s="395">
        <f>+L68-H68</f>
        <v/>
      </c>
      <c r="N68" s="395">
        <f>+M68*120</f>
        <v/>
      </c>
      <c r="O68" s="113" t="n"/>
      <c r="P68" s="407">
        <f>SUM(P4:P67)</f>
        <v/>
      </c>
      <c r="Q68" s="407">
        <f>SUM(Q4:Q67)</f>
        <v/>
      </c>
      <c r="R68" s="407">
        <f>SUM(R4:R67)</f>
        <v/>
      </c>
      <c r="S68" s="113" t="n"/>
      <c r="T68" s="113" t="n"/>
      <c r="U68" s="113" t="n"/>
      <c r="V68" s="113" t="n"/>
    </row>
    <row r="69" ht="15.75" customHeight="1">
      <c r="A69" s="146" t="n">
        <v>1</v>
      </c>
      <c r="B69" s="238" t="n"/>
      <c r="C69" s="399" t="n"/>
      <c r="D69" s="113" t="n"/>
      <c r="E69" s="113" t="n"/>
      <c r="F69" s="113" t="n"/>
      <c r="G69" s="395" t="n"/>
      <c r="H69" s="395" t="n"/>
      <c r="I69" s="395" t="n"/>
      <c r="J69" s="395" t="n"/>
      <c r="K69" s="395" t="n"/>
      <c r="L69" s="397" t="n"/>
      <c r="M69" s="395" t="n"/>
      <c r="N69" s="113" t="n"/>
      <c r="O69" s="113" t="n"/>
      <c r="P69" s="398" t="n"/>
      <c r="Q69" s="398" t="n"/>
      <c r="R69" s="113" t="n"/>
      <c r="S69" s="113" t="n"/>
      <c r="T69" s="113" t="n"/>
      <c r="U69" s="113" t="n"/>
      <c r="V69" s="113" t="n"/>
    </row>
    <row r="70" ht="15.75" customHeight="1">
      <c r="A70" s="146" t="n">
        <v>2</v>
      </c>
      <c r="B70" s="238" t="n">
        <v>65</v>
      </c>
      <c r="C70" s="412" t="n">
        <v>45817</v>
      </c>
      <c r="D70" s="225" t="inlineStr">
        <is>
          <t>219 G. SAN JOSE 2</t>
        </is>
      </c>
      <c r="E70" s="225" t="n">
        <v>41469</v>
      </c>
      <c r="F70" s="225" t="inlineStr">
        <is>
          <t>JOSE SOLER</t>
        </is>
      </c>
      <c r="G70" s="225" t="n">
        <v>3564</v>
      </c>
      <c r="H70" s="225" t="n">
        <v>3527</v>
      </c>
      <c r="I70" s="225" t="n">
        <v>6</v>
      </c>
      <c r="J70" s="225" t="n">
        <v>23</v>
      </c>
      <c r="K70" s="225" t="n">
        <v>8</v>
      </c>
      <c r="L70" s="439" t="n">
        <v>3082</v>
      </c>
      <c r="M70" s="440" t="inlineStr">
        <is>
          <t xml:space="preserve">FERNANDO OYUELA </t>
        </is>
      </c>
      <c r="N70" s="113" t="n"/>
      <c r="O70" s="113" t="n"/>
      <c r="P70" s="398" t="n"/>
      <c r="Q70" s="398" t="n"/>
      <c r="R70" s="113" t="n"/>
      <c r="S70" s="113" t="n"/>
      <c r="T70" s="113" t="n"/>
      <c r="U70" s="113" t="n"/>
      <c r="V70" s="113" t="n"/>
    </row>
    <row r="71" ht="15.75" customHeight="1">
      <c r="A71" s="146" t="n">
        <v>2</v>
      </c>
      <c r="B71" s="238" t="n">
        <v>66</v>
      </c>
      <c r="C71" s="416" t="n">
        <v>45817</v>
      </c>
      <c r="D71" s="165" t="inlineStr">
        <is>
          <t>219 G. SAN JOSE 2</t>
        </is>
      </c>
      <c r="E71" s="165" t="n">
        <v>41470</v>
      </c>
      <c r="F71" s="165" t="inlineStr">
        <is>
          <t>DUMAR ANGARITA</t>
        </is>
      </c>
      <c r="G71" s="165" t="n">
        <v>3564</v>
      </c>
      <c r="H71" s="165" t="n">
        <v>3527</v>
      </c>
      <c r="I71" s="165" t="n">
        <v>3</v>
      </c>
      <c r="J71" s="165" t="n">
        <v>23</v>
      </c>
      <c r="K71" s="165" t="n">
        <v>11</v>
      </c>
      <c r="L71" s="441" t="n">
        <v>3564</v>
      </c>
      <c r="M71" s="442" t="inlineStr">
        <is>
          <t xml:space="preserve">JOSE SOLER </t>
        </is>
      </c>
      <c r="N71" s="113" t="n"/>
      <c r="O71" s="113" t="n"/>
      <c r="P71" s="398" t="n"/>
      <c r="Q71" s="398" t="n"/>
      <c r="R71" s="113" t="n"/>
      <c r="S71" s="113" t="n"/>
      <c r="T71" s="113" t="n"/>
      <c r="U71" s="113" t="n"/>
      <c r="V71" s="113" t="n"/>
    </row>
    <row r="72" ht="15.75" customHeight="1">
      <c r="A72" s="146" t="n">
        <v>2</v>
      </c>
      <c r="B72" s="238" t="n">
        <v>67</v>
      </c>
      <c r="C72" s="416" t="n">
        <v>45817</v>
      </c>
      <c r="D72" s="165" t="inlineStr">
        <is>
          <t>219 G. SAN JOSE 2</t>
        </is>
      </c>
      <c r="E72" s="165" t="n">
        <v>41471</v>
      </c>
      <c r="F72" s="165" t="inlineStr">
        <is>
          <t>FERNANDO OYUELA</t>
        </is>
      </c>
      <c r="G72" s="165" t="n">
        <v>3444</v>
      </c>
      <c r="H72" s="165" t="n">
        <v>3067</v>
      </c>
      <c r="I72" s="165" t="n">
        <v>2</v>
      </c>
      <c r="J72" s="165" t="n">
        <v>16</v>
      </c>
      <c r="K72" s="443" t="n">
        <v>359</v>
      </c>
      <c r="L72" s="441" t="n">
        <v>3564</v>
      </c>
      <c r="M72" s="442" t="inlineStr">
        <is>
          <t xml:space="preserve">DUMAR ANGARITA </t>
        </is>
      </c>
      <c r="N72" s="113" t="n"/>
      <c r="O72" s="113" t="n"/>
      <c r="P72" s="398" t="n"/>
      <c r="Q72" s="398" t="n"/>
      <c r="R72" s="113" t="n"/>
      <c r="S72" s="113" t="n"/>
      <c r="T72" s="113" t="n"/>
      <c r="U72" s="113" t="n"/>
      <c r="V72" s="113" t="n"/>
    </row>
    <row r="73" ht="15.75" customHeight="1">
      <c r="A73" s="146" t="n">
        <v>2</v>
      </c>
      <c r="B73" s="238" t="n">
        <v>68</v>
      </c>
      <c r="C73" s="416" t="n">
        <v>45817</v>
      </c>
      <c r="D73" s="165" t="inlineStr">
        <is>
          <t>219 G. SAN JOSE 2</t>
        </is>
      </c>
      <c r="E73" s="165" t="n">
        <v>41472</v>
      </c>
      <c r="F73" s="165" t="inlineStr">
        <is>
          <t>FERNANDO OYUELA</t>
        </is>
      </c>
      <c r="G73" s="165" t="n">
        <v>3564</v>
      </c>
      <c r="H73" s="165" t="n">
        <v>3540</v>
      </c>
      <c r="I73" s="165" t="n">
        <v>5</v>
      </c>
      <c r="J73" s="165" t="n">
        <v>12</v>
      </c>
      <c r="K73" s="165" t="n">
        <v>7</v>
      </c>
      <c r="L73" s="441" t="n">
        <v>3564</v>
      </c>
      <c r="M73" s="442" t="inlineStr">
        <is>
          <t xml:space="preserve">FERNANDO OYUELA </t>
        </is>
      </c>
      <c r="N73" s="113" t="n"/>
      <c r="O73" s="113" t="n"/>
      <c r="P73" s="398" t="n"/>
      <c r="Q73" s="398" t="n"/>
      <c r="R73" s="113" t="n"/>
      <c r="S73" s="113" t="n"/>
      <c r="T73" s="113" t="n"/>
      <c r="U73" s="113" t="n"/>
      <c r="V73" s="113" t="n"/>
    </row>
    <row r="74" ht="15.75" customHeight="1">
      <c r="A74" s="146" t="n">
        <v>2</v>
      </c>
      <c r="B74" s="238" t="n">
        <v>69</v>
      </c>
      <c r="C74" s="416" t="n">
        <v>45817</v>
      </c>
      <c r="D74" s="165" t="inlineStr">
        <is>
          <t>219 G. SAN JOSE 2</t>
        </is>
      </c>
      <c r="E74" s="165" t="n">
        <v>41473</v>
      </c>
      <c r="F74" s="165" t="inlineStr">
        <is>
          <t>JOSE SOLER</t>
        </is>
      </c>
      <c r="G74" s="165" t="n">
        <v>3444</v>
      </c>
      <c r="H74" s="165" t="n">
        <v>3427</v>
      </c>
      <c r="I74" s="165" t="n">
        <v>3</v>
      </c>
      <c r="J74" s="165" t="n">
        <v>10</v>
      </c>
      <c r="K74" s="165" t="n">
        <v>4</v>
      </c>
      <c r="L74" s="441" t="n">
        <v>3444</v>
      </c>
      <c r="M74" s="442" t="inlineStr">
        <is>
          <t xml:space="preserve">JOSE SOLER </t>
        </is>
      </c>
      <c r="N74" s="113" t="n"/>
      <c r="O74" s="113" t="n"/>
      <c r="P74" s="398" t="n"/>
      <c r="Q74" s="398" t="n"/>
      <c r="R74" s="113" t="n"/>
      <c r="S74" s="113" t="n"/>
      <c r="T74" s="113" t="n"/>
      <c r="U74" s="113" t="n"/>
      <c r="V74" s="113" t="n"/>
    </row>
    <row r="75" ht="15.75" customHeight="1">
      <c r="A75" s="146" t="n">
        <v>2</v>
      </c>
      <c r="B75" s="238" t="n">
        <v>70</v>
      </c>
      <c r="C75" s="416" t="n">
        <v>45817</v>
      </c>
      <c r="D75" s="165" t="inlineStr">
        <is>
          <t>219 G. SAN JOSE 2</t>
        </is>
      </c>
      <c r="E75" s="165" t="n">
        <v>41481</v>
      </c>
      <c r="F75" s="165" t="inlineStr">
        <is>
          <t>DUMAR ANGARITA</t>
        </is>
      </c>
      <c r="G75" s="165" t="n">
        <v>3444</v>
      </c>
      <c r="H75" s="165" t="n">
        <v>3432</v>
      </c>
      <c r="I75" s="165" t="n">
        <v>1</v>
      </c>
      <c r="J75" s="165" t="n">
        <v>10</v>
      </c>
      <c r="K75" s="165" t="n">
        <v>1</v>
      </c>
      <c r="L75" s="441" t="n">
        <v>3444</v>
      </c>
      <c r="M75" s="442" t="inlineStr">
        <is>
          <t xml:space="preserve">DUMAR ANGARITA </t>
        </is>
      </c>
      <c r="N75" s="113" t="n"/>
      <c r="O75" s="113" t="n"/>
      <c r="P75" s="398" t="n"/>
      <c r="Q75" s="398" t="n"/>
      <c r="R75" s="113" t="n"/>
      <c r="S75" s="113" t="n"/>
      <c r="T75" s="113" t="n"/>
      <c r="U75" s="113" t="n"/>
      <c r="V75" s="113" t="n"/>
    </row>
    <row r="76" ht="15.75" customHeight="1">
      <c r="A76" s="146" t="n">
        <v>2</v>
      </c>
      <c r="B76" s="238" t="n">
        <v>71</v>
      </c>
      <c r="C76" s="416" t="n">
        <v>45817</v>
      </c>
      <c r="D76" s="165" t="inlineStr">
        <is>
          <t>219 G. SAN JOSE 2</t>
        </is>
      </c>
      <c r="E76" s="165" t="n">
        <v>41482</v>
      </c>
      <c r="F76" s="165" t="inlineStr">
        <is>
          <t>FERNANDO OYUELA</t>
        </is>
      </c>
      <c r="G76" s="165" t="n">
        <v>3444</v>
      </c>
      <c r="H76" s="165" t="n">
        <v>3429</v>
      </c>
      <c r="I76" s="165" t="n">
        <v>6</v>
      </c>
      <c r="J76" s="165" t="n">
        <v>11</v>
      </c>
      <c r="K76" s="165" t="n">
        <v>-2</v>
      </c>
      <c r="L76" s="441" t="n">
        <v>3444</v>
      </c>
      <c r="M76" s="442" t="inlineStr">
        <is>
          <t xml:space="preserve">FERNANDO OYUELA </t>
        </is>
      </c>
      <c r="N76" s="113" t="n"/>
      <c r="O76" s="113" t="n"/>
      <c r="P76" s="398" t="n"/>
      <c r="Q76" s="398" t="n"/>
      <c r="R76" s="113" t="n"/>
      <c r="S76" s="113" t="n"/>
      <c r="T76" s="113" t="n"/>
      <c r="U76" s="113" t="n"/>
      <c r="V76" s="113" t="n"/>
    </row>
    <row r="77" ht="15.75" customHeight="1">
      <c r="A77" s="146" t="n">
        <v>2</v>
      </c>
      <c r="B77" s="238" t="n">
        <v>72</v>
      </c>
      <c r="C77" s="416" t="n">
        <v>45817</v>
      </c>
      <c r="D77" s="165" t="inlineStr">
        <is>
          <t>219 G. SAN JOSE 2</t>
        </is>
      </c>
      <c r="E77" s="165" t="n">
        <v>41483</v>
      </c>
      <c r="F77" s="165" t="inlineStr">
        <is>
          <t>JOSE SOLER</t>
        </is>
      </c>
      <c r="G77" s="165" t="n">
        <v>3500</v>
      </c>
      <c r="H77" s="165" t="n">
        <v>3454</v>
      </c>
      <c r="I77" s="165" t="n">
        <v>5</v>
      </c>
      <c r="J77" s="165" t="n">
        <v>11</v>
      </c>
      <c r="K77" s="165" t="n">
        <v>30</v>
      </c>
      <c r="L77" s="441" t="n">
        <v>3500</v>
      </c>
      <c r="M77" s="442" t="inlineStr">
        <is>
          <t xml:space="preserve">JOSE SOLER </t>
        </is>
      </c>
      <c r="N77" s="113" t="n"/>
      <c r="O77" s="113" t="n"/>
      <c r="P77" s="398" t="n"/>
      <c r="Q77" s="398" t="n"/>
      <c r="R77" s="113" t="n"/>
      <c r="S77" s="113" t="n"/>
      <c r="T77" s="113" t="n"/>
      <c r="U77" s="113" t="n"/>
      <c r="V77" s="113" t="n"/>
    </row>
    <row r="78" ht="15.75" customHeight="1">
      <c r="A78" s="146" t="n">
        <v>2</v>
      </c>
      <c r="B78" s="238" t="n">
        <v>73</v>
      </c>
      <c r="C78" s="419" t="n">
        <v>45817</v>
      </c>
      <c r="D78" s="444" t="inlineStr">
        <is>
          <t>219 G. SAN JOSE 2</t>
        </is>
      </c>
      <c r="E78" s="444" t="n">
        <v>41484</v>
      </c>
      <c r="F78" s="444" t="inlineStr">
        <is>
          <t>JAIRO CUBILLOS</t>
        </is>
      </c>
      <c r="G78" s="444" t="n">
        <v>3444</v>
      </c>
      <c r="H78" s="444" t="n">
        <v>3431</v>
      </c>
      <c r="I78" s="444" t="n">
        <v>6</v>
      </c>
      <c r="J78" s="444" t="n">
        <v>10</v>
      </c>
      <c r="K78" s="444" t="n">
        <v>-3</v>
      </c>
      <c r="L78" s="445" t="n">
        <v>3444</v>
      </c>
      <c r="M78" s="446" t="inlineStr">
        <is>
          <t xml:space="preserve">JAIRO CUBILLOS </t>
        </is>
      </c>
      <c r="N78" s="407">
        <f>SUM(H70:H78)</f>
        <v/>
      </c>
      <c r="O78" s="447">
        <f>SUM(L70:L78)</f>
        <v/>
      </c>
      <c r="P78" s="425">
        <f>O78-N78</f>
        <v/>
      </c>
      <c r="Q78" s="448">
        <f>SUM(I70:K78)</f>
        <v/>
      </c>
      <c r="R78" s="113" t="n"/>
      <c r="S78" s="113" t="n"/>
      <c r="T78" s="113" t="n"/>
      <c r="U78" s="113" t="n"/>
      <c r="V78" s="113" t="n"/>
    </row>
    <row r="79" ht="15.75" customHeight="1">
      <c r="A79" s="146" t="n">
        <v>2</v>
      </c>
      <c r="B79" s="238" t="n">
        <v>74</v>
      </c>
      <c r="C79" s="412" t="n">
        <v>45818</v>
      </c>
      <c r="D79" s="225" t="inlineStr">
        <is>
          <t>221 G. MALAGUEÑA</t>
        </is>
      </c>
      <c r="E79" s="225" t="n">
        <v>41489</v>
      </c>
      <c r="F79" s="225" t="inlineStr">
        <is>
          <t>MIGUEL HERRERA</t>
        </is>
      </c>
      <c r="G79" s="225" t="n">
        <v>2950</v>
      </c>
      <c r="H79" s="225" t="n">
        <v>2889</v>
      </c>
      <c r="I79" s="225" t="n">
        <v>7</v>
      </c>
      <c r="J79" s="225" t="n">
        <v>63</v>
      </c>
      <c r="K79" s="225" t="n">
        <v>-9</v>
      </c>
      <c r="L79" s="439" t="n">
        <v>2950</v>
      </c>
      <c r="M79" s="440" t="inlineStr">
        <is>
          <t xml:space="preserve">MIGUEL HERRERA </t>
        </is>
      </c>
      <c r="N79" s="113" t="n"/>
      <c r="O79" s="113" t="n"/>
      <c r="P79" s="398" t="n"/>
      <c r="Q79" s="398" t="n"/>
      <c r="R79" s="113" t="n"/>
      <c r="S79" s="113" t="n"/>
      <c r="T79" s="113" t="n"/>
      <c r="U79" s="113" t="n"/>
      <c r="V79" s="113" t="n"/>
    </row>
    <row r="80" ht="15.75" customHeight="1">
      <c r="A80" s="146" t="n">
        <v>2</v>
      </c>
      <c r="B80" s="238" t="n">
        <v>75</v>
      </c>
      <c r="C80" s="416" t="n">
        <v>45818</v>
      </c>
      <c r="D80" s="166" t="inlineStr">
        <is>
          <t>221 G. MALAGUEÑA</t>
        </is>
      </c>
      <c r="E80" s="166" t="n">
        <v>41499</v>
      </c>
      <c r="F80" s="166" t="inlineStr">
        <is>
          <t>JAIRO GARZON</t>
        </is>
      </c>
      <c r="G80" s="166" t="n">
        <v>2950</v>
      </c>
      <c r="H80" s="166" t="n">
        <v>2891</v>
      </c>
      <c r="I80" s="166" t="n">
        <v>8</v>
      </c>
      <c r="J80" s="166" t="n">
        <v>62</v>
      </c>
      <c r="K80" s="166" t="n">
        <v>-11</v>
      </c>
      <c r="L80" s="441" t="n">
        <v>2950</v>
      </c>
      <c r="M80" s="442" t="inlineStr">
        <is>
          <t xml:space="preserve">JAVIER GARZON </t>
        </is>
      </c>
      <c r="N80" s="113" t="n"/>
      <c r="O80" s="113" t="n"/>
      <c r="P80" s="398" t="n"/>
      <c r="Q80" s="398" t="n"/>
      <c r="R80" s="113" t="n"/>
      <c r="S80" s="113" t="n"/>
      <c r="T80" s="113" t="n"/>
      <c r="U80" s="113" t="n"/>
      <c r="V80" s="113" t="n"/>
    </row>
    <row r="81" ht="15.75" customHeight="1">
      <c r="A81" s="146" t="n">
        <v>2</v>
      </c>
      <c r="B81" s="238" t="n">
        <v>76</v>
      </c>
      <c r="C81" s="416" t="n">
        <v>45818</v>
      </c>
      <c r="D81" s="166" t="inlineStr">
        <is>
          <t>221 G. MALAGUEÑA</t>
        </is>
      </c>
      <c r="E81" s="166" t="n">
        <v>41500</v>
      </c>
      <c r="F81" s="166" t="inlineStr">
        <is>
          <t>MANUEL QUITIAN</t>
        </is>
      </c>
      <c r="G81" s="166" t="n">
        <v>2950</v>
      </c>
      <c r="H81" s="166" t="n">
        <v>2908</v>
      </c>
      <c r="I81" s="166" t="n">
        <v>4</v>
      </c>
      <c r="J81" s="166" t="n">
        <v>39</v>
      </c>
      <c r="K81" s="166" t="n">
        <v>-1</v>
      </c>
      <c r="L81" s="441" t="n">
        <v>2950</v>
      </c>
      <c r="M81" s="442" t="inlineStr">
        <is>
          <t xml:space="preserve">MANUEL QUITIAN </t>
        </is>
      </c>
      <c r="N81" s="113" t="n"/>
      <c r="O81" s="113" t="n"/>
      <c r="P81" s="398" t="n"/>
      <c r="Q81" s="398" t="n"/>
      <c r="R81" s="113" t="n"/>
      <c r="S81" s="113" t="n"/>
      <c r="T81" s="113" t="n"/>
      <c r="U81" s="113" t="n"/>
      <c r="V81" s="113" t="n"/>
    </row>
    <row r="82" ht="15.75" customHeight="1">
      <c r="A82" s="146" t="n">
        <v>2</v>
      </c>
      <c r="B82" s="238" t="n">
        <v>77</v>
      </c>
      <c r="C82" s="416" t="n">
        <v>45818</v>
      </c>
      <c r="D82" s="166" t="inlineStr">
        <is>
          <t>221 G. MALAGUEÑA</t>
        </is>
      </c>
      <c r="E82" s="166" t="n">
        <v>41501</v>
      </c>
      <c r="F82" s="166" t="inlineStr">
        <is>
          <t>JAIRO CUBILLOS</t>
        </is>
      </c>
      <c r="G82" s="166" t="n">
        <v>2950</v>
      </c>
      <c r="H82" s="166" t="n">
        <v>2910</v>
      </c>
      <c r="I82" s="166" t="n">
        <v>4</v>
      </c>
      <c r="J82" s="166" t="n">
        <v>37</v>
      </c>
      <c r="K82" s="166" t="n">
        <v>-1</v>
      </c>
      <c r="L82" s="441" t="n">
        <v>2950</v>
      </c>
      <c r="M82" s="442" t="inlineStr">
        <is>
          <t xml:space="preserve">JAIRO CUBILLOS </t>
        </is>
      </c>
      <c r="N82" s="113" t="n"/>
      <c r="O82" s="113" t="n"/>
      <c r="P82" s="398" t="n"/>
      <c r="Q82" s="398" t="n"/>
      <c r="R82" s="113" t="n"/>
      <c r="S82" s="113" t="n"/>
      <c r="T82" s="113" t="n"/>
      <c r="U82" s="113" t="n"/>
      <c r="V82" s="113" t="n"/>
    </row>
    <row r="83" ht="15.75" customHeight="1">
      <c r="A83" s="146" t="n">
        <v>2</v>
      </c>
      <c r="B83" s="238" t="n">
        <v>78</v>
      </c>
      <c r="C83" s="416" t="n">
        <v>45818</v>
      </c>
      <c r="D83" s="166" t="inlineStr">
        <is>
          <t>221 G. MALAGUEÑA</t>
        </is>
      </c>
      <c r="E83" s="166" t="n">
        <v>41502</v>
      </c>
      <c r="F83" s="166" t="inlineStr">
        <is>
          <t>JHON ARIAS</t>
        </is>
      </c>
      <c r="G83" s="166" t="n">
        <v>2878</v>
      </c>
      <c r="H83" s="166" t="n">
        <v>2879</v>
      </c>
      <c r="I83" s="166" t="n">
        <v>2</v>
      </c>
      <c r="J83" s="166" t="n">
        <v>15</v>
      </c>
      <c r="K83" s="166" t="n">
        <v>-18</v>
      </c>
      <c r="L83" s="441" t="n">
        <v>2880</v>
      </c>
      <c r="M83" s="442" t="inlineStr">
        <is>
          <t xml:space="preserve">JHON ARIAS </t>
        </is>
      </c>
      <c r="N83" s="113" t="n"/>
      <c r="O83" s="113" t="n"/>
      <c r="P83" s="398" t="n"/>
      <c r="Q83" s="398" t="n"/>
      <c r="R83" s="113" t="n"/>
      <c r="S83" s="113" t="n"/>
      <c r="T83" s="113" t="n"/>
      <c r="U83" s="113" t="n"/>
      <c r="V83" s="113" t="n"/>
    </row>
    <row r="84" ht="15.75" customHeight="1">
      <c r="A84" s="146" t="n">
        <v>2</v>
      </c>
      <c r="B84" s="238" t="n">
        <v>79</v>
      </c>
      <c r="C84" s="416" t="n">
        <v>45818</v>
      </c>
      <c r="D84" s="166" t="inlineStr">
        <is>
          <t>221 G. MALAGUEÑA</t>
        </is>
      </c>
      <c r="E84" s="166" t="n">
        <v>41503</v>
      </c>
      <c r="F84" s="166" t="inlineStr">
        <is>
          <t>ALEX GOMEZ</t>
        </is>
      </c>
      <c r="G84" s="166" t="n">
        <v>2880</v>
      </c>
      <c r="H84" s="166" t="n">
        <v>2877</v>
      </c>
      <c r="I84" s="166" t="n">
        <v>2</v>
      </c>
      <c r="J84" s="166" t="n">
        <v>17</v>
      </c>
      <c r="K84" s="166" t="n">
        <v>-16</v>
      </c>
      <c r="L84" s="441" t="n">
        <v>2880</v>
      </c>
      <c r="M84" s="442" t="inlineStr">
        <is>
          <t xml:space="preserve">ALEX GOMEZ </t>
        </is>
      </c>
      <c r="N84" s="113" t="n"/>
      <c r="O84" s="113" t="n"/>
      <c r="P84" s="398" t="n"/>
      <c r="Q84" s="398" t="n"/>
      <c r="R84" s="113" t="n"/>
      <c r="S84" s="113" t="n"/>
      <c r="T84" s="113" t="n"/>
      <c r="U84" s="113" t="n"/>
      <c r="V84" s="113" t="n"/>
    </row>
    <row r="85" ht="15.75" customHeight="1">
      <c r="A85" s="146" t="n">
        <v>2</v>
      </c>
      <c r="B85" s="238" t="n">
        <v>80</v>
      </c>
      <c r="C85" s="416" t="n">
        <v>45818</v>
      </c>
      <c r="D85" s="166" t="inlineStr">
        <is>
          <t>221 G. MALAGUEÑA</t>
        </is>
      </c>
      <c r="E85" s="166" t="n">
        <v>41509</v>
      </c>
      <c r="F85" s="166" t="inlineStr">
        <is>
          <t>HENRY ROMERO</t>
        </is>
      </c>
      <c r="G85" s="166" t="n">
        <v>2878</v>
      </c>
      <c r="H85" s="166" t="n">
        <v>2873</v>
      </c>
      <c r="I85" s="166" t="n">
        <v>1</v>
      </c>
      <c r="J85" s="166" t="n">
        <v>7</v>
      </c>
      <c r="K85" s="166" t="n">
        <v>-3</v>
      </c>
      <c r="L85" s="441" t="n">
        <v>2878</v>
      </c>
      <c r="M85" s="442" t="inlineStr">
        <is>
          <t>HENRY ROMERO</t>
        </is>
      </c>
      <c r="N85" s="113" t="n"/>
      <c r="O85" s="113" t="n"/>
      <c r="P85" s="398" t="n"/>
      <c r="Q85" s="398" t="n"/>
      <c r="R85" s="113" t="n"/>
      <c r="S85" s="113" t="n"/>
      <c r="T85" s="113" t="n"/>
      <c r="U85" s="113" t="n"/>
      <c r="V85" s="113" t="n"/>
    </row>
    <row r="86" ht="15.75" customHeight="1">
      <c r="A86" s="146" t="n">
        <v>2</v>
      </c>
      <c r="B86" s="238" t="n">
        <v>81</v>
      </c>
      <c r="C86" s="416" t="n">
        <v>45818</v>
      </c>
      <c r="D86" s="166" t="inlineStr">
        <is>
          <t>221 G. MALAGUEÑA</t>
        </is>
      </c>
      <c r="E86" s="166" t="n">
        <v>41510</v>
      </c>
      <c r="F86" s="166" t="inlineStr">
        <is>
          <t>ALBERTO HERRERA</t>
        </is>
      </c>
      <c r="G86" s="166" t="n">
        <v>2880</v>
      </c>
      <c r="H86" s="166" t="n">
        <v>2874</v>
      </c>
      <c r="I86" s="166" t="n">
        <v>1</v>
      </c>
      <c r="J86" s="166" t="n">
        <v>7</v>
      </c>
      <c r="K86" s="166" t="n">
        <v>-2</v>
      </c>
      <c r="L86" s="441" t="n">
        <v>2880</v>
      </c>
      <c r="M86" s="442" t="inlineStr">
        <is>
          <t xml:space="preserve">ALBERTO HERRERA </t>
        </is>
      </c>
      <c r="N86" s="113" t="n"/>
      <c r="O86" s="113" t="n"/>
      <c r="P86" s="398" t="n"/>
      <c r="Q86" s="398" t="n"/>
      <c r="R86" s="113" t="n"/>
      <c r="S86" s="113" t="n"/>
      <c r="T86" s="113" t="n"/>
      <c r="U86" s="113" t="n"/>
      <c r="V86" s="113" t="n"/>
    </row>
    <row r="87" ht="15.75" customHeight="1">
      <c r="A87" s="146" t="n">
        <v>2</v>
      </c>
      <c r="B87" s="238" t="n">
        <v>82</v>
      </c>
      <c r="C87" s="416" t="n">
        <v>45818</v>
      </c>
      <c r="D87" s="166" t="inlineStr">
        <is>
          <t>221 G. MALAGUEÑA</t>
        </is>
      </c>
      <c r="E87" s="166" t="n">
        <v>41511</v>
      </c>
      <c r="F87" s="166" t="inlineStr">
        <is>
          <t>DUMAR ANGARITA</t>
        </is>
      </c>
      <c r="G87" s="166" t="n">
        <v>2878</v>
      </c>
      <c r="H87" s="166" t="n">
        <v>2871</v>
      </c>
      <c r="I87" s="166" t="n">
        <v>1</v>
      </c>
      <c r="J87" s="166" t="n">
        <v>9</v>
      </c>
      <c r="K87" s="166" t="n">
        <v>-3</v>
      </c>
      <c r="L87" s="441" t="n">
        <v>2878</v>
      </c>
      <c r="M87" s="442" t="inlineStr">
        <is>
          <t xml:space="preserve">DUMAR ANGARITA </t>
        </is>
      </c>
      <c r="N87" s="113" t="n"/>
      <c r="O87" s="113" t="n"/>
      <c r="P87" s="398" t="n"/>
      <c r="Q87" s="398" t="n"/>
      <c r="R87" s="113" t="n"/>
      <c r="S87" s="113" t="n"/>
      <c r="T87" s="113" t="n"/>
      <c r="U87" s="113" t="n"/>
      <c r="V87" s="113" t="n"/>
    </row>
    <row r="88" ht="15.75" customHeight="1">
      <c r="A88" s="146" t="n">
        <v>2</v>
      </c>
      <c r="B88" s="238" t="n">
        <v>83</v>
      </c>
      <c r="C88" s="419" t="n">
        <v>45818</v>
      </c>
      <c r="D88" s="229" t="inlineStr">
        <is>
          <t>221 G. MALAGUEÑA</t>
        </is>
      </c>
      <c r="E88" s="229" t="n">
        <v>41512</v>
      </c>
      <c r="F88" s="229" t="inlineStr">
        <is>
          <t>FERNANDO OYUELA</t>
        </is>
      </c>
      <c r="G88" s="229" t="n">
        <v>2878</v>
      </c>
      <c r="H88" s="229" t="n">
        <v>2870</v>
      </c>
      <c r="I88" s="229" t="n">
        <v>3</v>
      </c>
      <c r="J88" s="229" t="n">
        <v>11</v>
      </c>
      <c r="K88" s="229" t="n">
        <v>-6</v>
      </c>
      <c r="L88" s="445" t="n">
        <v>2878</v>
      </c>
      <c r="M88" s="449" t="inlineStr">
        <is>
          <t xml:space="preserve">FERNANDO OYUELA </t>
        </is>
      </c>
      <c r="N88" s="450">
        <f>SUM(H79:H88)</f>
        <v/>
      </c>
      <c r="O88" s="426">
        <f>SUM(L79:L88)</f>
        <v/>
      </c>
      <c r="P88" s="425">
        <f>O88-N88</f>
        <v/>
      </c>
      <c r="Q88" s="448">
        <f>SUM(I79:K88)</f>
        <v/>
      </c>
      <c r="R88" s="113" t="n"/>
      <c r="S88" s="113" t="n"/>
      <c r="T88" s="113" t="n"/>
      <c r="U88" s="113" t="n"/>
      <c r="V88" s="113" t="n"/>
    </row>
    <row r="89" ht="15.75" customHeight="1">
      <c r="A89" s="146" t="n">
        <v>2</v>
      </c>
      <c r="B89" s="238" t="n">
        <v>84</v>
      </c>
      <c r="C89" s="412" t="n">
        <v>45819</v>
      </c>
      <c r="D89" s="427" t="inlineStr">
        <is>
          <t>221 G. MALAGUEÑA</t>
        </is>
      </c>
      <c r="E89" s="427" t="n">
        <v>41521</v>
      </c>
      <c r="F89" s="427" t="inlineStr">
        <is>
          <t>FABIO ALDANA</t>
        </is>
      </c>
      <c r="G89" s="427" t="n">
        <v>3543</v>
      </c>
      <c r="H89" s="427" t="n">
        <v>3488</v>
      </c>
      <c r="I89" s="427" t="n">
        <v>7</v>
      </c>
      <c r="J89" s="427" t="n">
        <v>30</v>
      </c>
      <c r="K89" s="427" t="n">
        <v>18</v>
      </c>
      <c r="L89" s="439" t="n">
        <v>3543</v>
      </c>
      <c r="M89" s="440" t="inlineStr">
        <is>
          <t xml:space="preserve">FABIO ALDANA </t>
        </is>
      </c>
      <c r="N89" s="113" t="n"/>
      <c r="O89" s="113" t="n"/>
      <c r="P89" s="398" t="n"/>
      <c r="Q89" s="398" t="n"/>
      <c r="R89" s="113" t="n"/>
      <c r="S89" s="113" t="n"/>
      <c r="T89" s="113" t="n"/>
      <c r="U89" s="113" t="n"/>
      <c r="V89" s="113" t="n"/>
    </row>
    <row r="90" ht="15.75" customHeight="1">
      <c r="A90" s="146" t="n">
        <v>2</v>
      </c>
      <c r="B90" s="238" t="n">
        <v>85</v>
      </c>
      <c r="C90" s="416" t="n">
        <v>45819</v>
      </c>
      <c r="D90" s="166" t="inlineStr">
        <is>
          <t>221 G. MALAGUEÑA</t>
        </is>
      </c>
      <c r="E90" s="166" t="n">
        <v>41522</v>
      </c>
      <c r="F90" s="166" t="inlineStr">
        <is>
          <t>ALEX GOMEZ</t>
        </is>
      </c>
      <c r="G90" s="166" t="n">
        <v>3543</v>
      </c>
      <c r="H90" s="166" t="n">
        <v>3489</v>
      </c>
      <c r="I90" s="166" t="n">
        <v>7</v>
      </c>
      <c r="J90" s="166" t="n">
        <v>29</v>
      </c>
      <c r="K90" s="166" t="n">
        <v>18</v>
      </c>
      <c r="L90" s="451" t="n">
        <v>3543</v>
      </c>
      <c r="M90" s="452" t="inlineStr">
        <is>
          <t xml:space="preserve">ALEX GOMEZ </t>
        </is>
      </c>
      <c r="N90" s="113" t="n"/>
      <c r="O90" s="113" t="n"/>
      <c r="P90" s="398" t="n"/>
      <c r="Q90" s="398" t="n"/>
      <c r="R90" s="113" t="n"/>
      <c r="S90" s="113" t="n"/>
      <c r="T90" s="113" t="n"/>
      <c r="U90" s="113" t="n"/>
      <c r="V90" s="113" t="n"/>
    </row>
    <row r="91" ht="15.75" customHeight="1">
      <c r="A91" s="146" t="n">
        <v>2</v>
      </c>
      <c r="B91" s="238" t="n">
        <v>86</v>
      </c>
      <c r="C91" s="416" t="n">
        <v>45819</v>
      </c>
      <c r="D91" s="166" t="inlineStr">
        <is>
          <t>221 G. MALAGUEÑA</t>
        </is>
      </c>
      <c r="E91" s="166" t="n">
        <v>41523</v>
      </c>
      <c r="F91" s="166" t="inlineStr">
        <is>
          <t>ALBERTO LOPEZ</t>
        </is>
      </c>
      <c r="G91" s="166" t="n">
        <v>3543</v>
      </c>
      <c r="H91" s="166" t="n">
        <v>3499</v>
      </c>
      <c r="I91" s="166" t="n">
        <v>7</v>
      </c>
      <c r="J91" s="166" t="n">
        <v>36</v>
      </c>
      <c r="K91" s="166" t="n">
        <v>1</v>
      </c>
      <c r="L91" s="451" t="n">
        <v>3543</v>
      </c>
      <c r="M91" s="452" t="inlineStr">
        <is>
          <t xml:space="preserve">ALBERTO LOPEZ </t>
        </is>
      </c>
      <c r="N91" s="113" t="n"/>
      <c r="O91" s="113" t="n"/>
      <c r="P91" s="398" t="n"/>
      <c r="Q91" s="398" t="n"/>
      <c r="R91" s="113" t="n"/>
      <c r="S91" s="113" t="n"/>
      <c r="T91" s="113" t="n"/>
      <c r="U91" s="113" t="n"/>
      <c r="V91" s="113" t="n"/>
    </row>
    <row r="92" ht="15.75" customHeight="1">
      <c r="A92" s="146" t="n">
        <v>2</v>
      </c>
      <c r="B92" s="238" t="n">
        <v>87</v>
      </c>
      <c r="C92" s="416" t="n">
        <v>45819</v>
      </c>
      <c r="D92" s="166" t="inlineStr">
        <is>
          <t>221 G. MALAGUEÑA</t>
        </is>
      </c>
      <c r="E92" s="166" t="n">
        <v>41524</v>
      </c>
      <c r="F92" s="166" t="inlineStr">
        <is>
          <t>HENRY ROMERO</t>
        </is>
      </c>
      <c r="G92" s="166" t="n">
        <v>3169</v>
      </c>
      <c r="H92" s="166" t="n">
        <v>3087</v>
      </c>
      <c r="I92" s="166" t="n">
        <v>7</v>
      </c>
      <c r="J92" s="166" t="n">
        <v>36</v>
      </c>
      <c r="K92" s="166" t="n">
        <v>39</v>
      </c>
      <c r="L92" s="451" t="n">
        <v>3114</v>
      </c>
      <c r="M92" s="452" t="inlineStr">
        <is>
          <t>HENRY ROMERO</t>
        </is>
      </c>
      <c r="N92" s="113" t="n"/>
      <c r="O92" s="113" t="n"/>
      <c r="P92" s="398" t="n"/>
      <c r="Q92" s="398" t="n"/>
      <c r="R92" s="113" t="n"/>
      <c r="S92" s="113" t="n"/>
      <c r="T92" s="113" t="n"/>
      <c r="U92" s="113" t="n"/>
      <c r="V92" s="113" t="n"/>
    </row>
    <row r="93" ht="15.75" customHeight="1">
      <c r="A93" s="146" t="n">
        <v>2</v>
      </c>
      <c r="B93" s="238" t="n">
        <v>88</v>
      </c>
      <c r="C93" s="416" t="n">
        <v>45819</v>
      </c>
      <c r="D93" s="166" t="inlineStr">
        <is>
          <t>221 G. MALAGUEÑA</t>
        </is>
      </c>
      <c r="E93" s="166" t="n">
        <v>41525</v>
      </c>
      <c r="F93" s="166" t="inlineStr">
        <is>
          <t>MANUEL QUITIAN</t>
        </is>
      </c>
      <c r="G93" s="166" t="n">
        <v>3240</v>
      </c>
      <c r="H93" s="166" t="n">
        <v>3203</v>
      </c>
      <c r="I93" s="166" t="n">
        <v>8</v>
      </c>
      <c r="J93" s="166" t="n">
        <v>19</v>
      </c>
      <c r="K93" s="166" t="n">
        <v>10</v>
      </c>
      <c r="L93" s="451" t="n">
        <v>3238</v>
      </c>
      <c r="M93" s="452" t="inlineStr">
        <is>
          <t>MANUEL QUINDIAN</t>
        </is>
      </c>
      <c r="N93" s="113" t="n"/>
      <c r="O93" s="113" t="n"/>
      <c r="P93" s="398" t="n"/>
      <c r="Q93" s="398" t="n"/>
      <c r="R93" s="113" t="n"/>
      <c r="S93" s="113" t="n"/>
      <c r="T93" s="113" t="n"/>
      <c r="U93" s="113" t="n"/>
      <c r="V93" s="113" t="n"/>
    </row>
    <row r="94" ht="15.75" customHeight="1">
      <c r="A94" s="146" t="n">
        <v>2</v>
      </c>
      <c r="B94" s="238" t="n">
        <v>89</v>
      </c>
      <c r="C94" s="419" t="n">
        <v>45819</v>
      </c>
      <c r="D94" s="229" t="inlineStr">
        <is>
          <t>221 G. MALAGUEÑA</t>
        </is>
      </c>
      <c r="E94" s="229" t="n">
        <v>41526</v>
      </c>
      <c r="F94" s="229" t="inlineStr">
        <is>
          <t>JHON AGUIRRE</t>
        </is>
      </c>
      <c r="G94" s="229" t="n">
        <v>3240</v>
      </c>
      <c r="H94" s="229" t="n">
        <v>3205</v>
      </c>
      <c r="I94" s="229" t="n">
        <v>8</v>
      </c>
      <c r="J94" s="229" t="n">
        <v>17</v>
      </c>
      <c r="K94" s="229" t="n">
        <v>10</v>
      </c>
      <c r="L94" s="453" t="n">
        <v>3238</v>
      </c>
      <c r="M94" s="454" t="inlineStr">
        <is>
          <t>JHON AGUIRRE</t>
        </is>
      </c>
      <c r="N94" s="450">
        <f>SUM(H89:H94)</f>
        <v/>
      </c>
      <c r="O94" s="426">
        <f>SUM(L89:L94)</f>
        <v/>
      </c>
      <c r="P94" s="425">
        <f>O94-N94</f>
        <v/>
      </c>
      <c r="Q94" s="448">
        <f>SUM(I89:K94)</f>
        <v/>
      </c>
      <c r="R94" s="113" t="n"/>
      <c r="S94" s="113" t="n"/>
      <c r="T94" s="113" t="n"/>
      <c r="U94" s="113" t="n"/>
      <c r="V94" s="113" t="n"/>
    </row>
    <row r="95" ht="15.75" customHeight="1">
      <c r="A95" s="146" t="n">
        <v>2</v>
      </c>
      <c r="B95" s="238" t="n">
        <v>90</v>
      </c>
      <c r="C95" s="412" t="n">
        <v>45820</v>
      </c>
      <c r="D95" s="427" t="inlineStr">
        <is>
          <t>221 G. MALAGUEÑA</t>
        </is>
      </c>
      <c r="E95" s="427" t="n">
        <v>41540</v>
      </c>
      <c r="F95" s="427" t="inlineStr">
        <is>
          <t>MIGUEL HERRERA</t>
        </is>
      </c>
      <c r="G95" s="427" t="n">
        <v>3157</v>
      </c>
      <c r="H95" s="427" t="n">
        <v>3132</v>
      </c>
      <c r="I95" s="427" t="n">
        <v>6</v>
      </c>
      <c r="J95" s="427" t="n">
        <v>8</v>
      </c>
      <c r="K95" s="427" t="n">
        <v>11</v>
      </c>
      <c r="L95" s="439" t="n">
        <v>3157</v>
      </c>
      <c r="M95" s="440" t="inlineStr">
        <is>
          <t xml:space="preserve">MIGUEL HERRERA </t>
        </is>
      </c>
      <c r="N95" s="113" t="n"/>
      <c r="O95" s="113" t="n"/>
      <c r="P95" s="398" t="n"/>
      <c r="Q95" s="398" t="n"/>
      <c r="R95" s="113" t="n"/>
      <c r="S95" s="113" t="n"/>
      <c r="T95" s="113" t="n"/>
      <c r="U95" s="113" t="n"/>
      <c r="V95" s="113" t="n"/>
    </row>
    <row r="96" ht="15.75" customHeight="1">
      <c r="A96" s="146" t="n">
        <v>2</v>
      </c>
      <c r="B96" s="238" t="n">
        <v>91</v>
      </c>
      <c r="C96" s="416" t="n">
        <v>45820</v>
      </c>
      <c r="D96" s="166" t="inlineStr">
        <is>
          <t>221 G. MALAGUEÑA</t>
        </is>
      </c>
      <c r="E96" s="166" t="n">
        <v>41541</v>
      </c>
      <c r="F96" s="166" t="inlineStr">
        <is>
          <t>MANUEL QUITIAN</t>
        </is>
      </c>
      <c r="G96" s="166" t="n">
        <v>3157</v>
      </c>
      <c r="H96" s="166" t="n">
        <v>3149</v>
      </c>
      <c r="I96" s="166" t="n">
        <v>5</v>
      </c>
      <c r="J96" s="166" t="n">
        <v>6</v>
      </c>
      <c r="K96" s="166" t="n">
        <v>-3</v>
      </c>
      <c r="L96" s="441" t="n">
        <v>3157</v>
      </c>
      <c r="M96" s="442" t="inlineStr">
        <is>
          <t xml:space="preserve">MANUEL QUITIAN </t>
        </is>
      </c>
      <c r="N96" s="113" t="n"/>
      <c r="O96" s="113" t="n"/>
      <c r="P96" s="398" t="n"/>
      <c r="Q96" s="398" t="n"/>
      <c r="R96" s="113" t="n"/>
      <c r="S96" s="113" t="n"/>
      <c r="T96" s="113" t="n"/>
      <c r="U96" s="113" t="n"/>
      <c r="V96" s="113" t="n"/>
    </row>
    <row r="97" ht="15.75" customHeight="1">
      <c r="A97" s="146" t="n">
        <v>2</v>
      </c>
      <c r="B97" s="238" t="n">
        <v>92</v>
      </c>
      <c r="C97" s="416" t="n">
        <v>45820</v>
      </c>
      <c r="D97" s="166" t="inlineStr">
        <is>
          <t>221 G. MALAGUEÑA</t>
        </is>
      </c>
      <c r="E97" s="166" t="n">
        <v>41542</v>
      </c>
      <c r="F97" s="166" t="inlineStr">
        <is>
          <t>EDUAN CAVIEDES</t>
        </is>
      </c>
      <c r="G97" s="166" t="n">
        <v>3157</v>
      </c>
      <c r="H97" s="166" t="n">
        <v>3148</v>
      </c>
      <c r="I97" s="166" t="n">
        <v>5</v>
      </c>
      <c r="J97" s="166" t="n">
        <v>7</v>
      </c>
      <c r="K97" s="166" t="n">
        <v>-3</v>
      </c>
      <c r="L97" s="441" t="n">
        <v>3157</v>
      </c>
      <c r="M97" s="442" t="inlineStr">
        <is>
          <t xml:space="preserve">EDUAN CAVIEDEZ </t>
        </is>
      </c>
      <c r="N97" s="113" t="n"/>
      <c r="O97" s="113" t="n"/>
      <c r="P97" s="398" t="n"/>
      <c r="Q97" s="398" t="n"/>
      <c r="R97" s="113" t="n"/>
      <c r="S97" s="113" t="n"/>
      <c r="T97" s="113" t="n"/>
      <c r="U97" s="113" t="n"/>
      <c r="V97" s="113" t="n"/>
    </row>
    <row r="98" ht="15.75" customHeight="1">
      <c r="A98" s="146" t="n">
        <v>2</v>
      </c>
      <c r="B98" s="238" t="n">
        <v>93</v>
      </c>
      <c r="C98" s="416" t="n">
        <v>45820</v>
      </c>
      <c r="D98" s="166" t="inlineStr">
        <is>
          <t>221 G. MALAGUEÑA</t>
        </is>
      </c>
      <c r="E98" s="166" t="n">
        <v>41543</v>
      </c>
      <c r="F98" s="166" t="inlineStr">
        <is>
          <t>EDWIN ROJAS</t>
        </is>
      </c>
      <c r="G98" s="166" t="n">
        <v>3157</v>
      </c>
      <c r="H98" s="166" t="n">
        <v>3143</v>
      </c>
      <c r="I98" s="166" t="n">
        <v>5</v>
      </c>
      <c r="J98" s="166" t="n">
        <v>12</v>
      </c>
      <c r="K98" s="166" t="n">
        <v>-3</v>
      </c>
      <c r="L98" s="441" t="n">
        <v>3157</v>
      </c>
      <c r="M98" s="442" t="inlineStr">
        <is>
          <t>EDWIN ROJAS</t>
        </is>
      </c>
      <c r="N98" s="113" t="n"/>
      <c r="O98" s="113" t="n"/>
      <c r="P98" s="398" t="n"/>
      <c r="Q98" s="398" t="n"/>
      <c r="R98" s="113" t="n"/>
      <c r="S98" s="113" t="n"/>
      <c r="T98" s="113" t="n"/>
      <c r="U98" s="113" t="n"/>
      <c r="V98" s="113" t="n"/>
    </row>
    <row r="99" ht="15.75" customHeight="1">
      <c r="A99" s="146" t="n">
        <v>2</v>
      </c>
      <c r="B99" s="238" t="n">
        <v>94</v>
      </c>
      <c r="C99" s="416" t="n">
        <v>45820</v>
      </c>
      <c r="D99" s="166" t="inlineStr">
        <is>
          <t>221 G. MALAGUEÑA</t>
        </is>
      </c>
      <c r="E99" s="166" t="n">
        <v>41544</v>
      </c>
      <c r="F99" s="166" t="inlineStr">
        <is>
          <t>FERNANDO OYUELA</t>
        </is>
      </c>
      <c r="G99" s="166" t="n">
        <v>3157</v>
      </c>
      <c r="H99" s="166" t="n">
        <v>3141</v>
      </c>
      <c r="I99" s="166" t="n">
        <v>2</v>
      </c>
      <c r="J99" s="166" t="n">
        <v>9</v>
      </c>
      <c r="K99" s="166" t="n">
        <v>5</v>
      </c>
      <c r="L99" s="441" t="n">
        <v>3157</v>
      </c>
      <c r="M99" s="442" t="inlineStr">
        <is>
          <t xml:space="preserve">FERNANDO OYUELA </t>
        </is>
      </c>
      <c r="N99" s="113" t="n"/>
      <c r="O99" s="113" t="n"/>
      <c r="P99" s="398" t="n"/>
      <c r="Q99" s="398" t="n"/>
      <c r="R99" s="113" t="n"/>
      <c r="S99" s="113" t="n"/>
      <c r="T99" s="113" t="n"/>
      <c r="U99" s="113" t="n"/>
      <c r="V99" s="113" t="n"/>
    </row>
    <row r="100" ht="15.75" customHeight="1">
      <c r="A100" s="146" t="n">
        <v>2</v>
      </c>
      <c r="B100" s="238" t="n">
        <v>95</v>
      </c>
      <c r="C100" s="416" t="n">
        <v>45820</v>
      </c>
      <c r="D100" s="166" t="inlineStr">
        <is>
          <t>221 G. MALAGUEÑA</t>
        </is>
      </c>
      <c r="E100" s="166" t="n">
        <v>41545</v>
      </c>
      <c r="F100" s="166" t="inlineStr">
        <is>
          <t>JHON ARIAS</t>
        </is>
      </c>
      <c r="G100" s="166" t="n">
        <v>3157</v>
      </c>
      <c r="H100" s="166" t="n">
        <v>3138</v>
      </c>
      <c r="I100" s="166" t="n">
        <v>3</v>
      </c>
      <c r="J100" s="166" t="n">
        <v>12</v>
      </c>
      <c r="K100" s="166" t="n">
        <v>4</v>
      </c>
      <c r="L100" s="441" t="n">
        <v>3157</v>
      </c>
      <c r="M100" s="442" t="inlineStr">
        <is>
          <t xml:space="preserve">JHOR ARIAS </t>
        </is>
      </c>
      <c r="N100" s="113" t="n"/>
      <c r="O100" s="113" t="n"/>
      <c r="P100" s="398" t="n"/>
      <c r="Q100" s="398" t="n"/>
      <c r="R100" s="113" t="n"/>
      <c r="S100" s="113" t="n"/>
      <c r="T100" s="113" t="n"/>
      <c r="U100" s="113" t="n"/>
      <c r="V100" s="113" t="n"/>
    </row>
    <row r="101" ht="15.75" customHeight="1">
      <c r="A101" s="146" t="n">
        <v>2</v>
      </c>
      <c r="B101" s="238" t="n">
        <v>96</v>
      </c>
      <c r="C101" s="416" t="n">
        <v>45820</v>
      </c>
      <c r="D101" s="166" t="inlineStr">
        <is>
          <t>221 G. MALAGUEÑA</t>
        </is>
      </c>
      <c r="E101" s="166" t="n">
        <v>41546</v>
      </c>
      <c r="F101" s="166" t="inlineStr">
        <is>
          <t>DUMAR ANGARITA</t>
        </is>
      </c>
      <c r="G101" s="166" t="n">
        <v>3157</v>
      </c>
      <c r="H101" s="166" t="n">
        <v>3135</v>
      </c>
      <c r="I101" s="166" t="n">
        <v>6</v>
      </c>
      <c r="J101" s="166" t="n">
        <v>10</v>
      </c>
      <c r="K101" s="166" t="n">
        <v>6</v>
      </c>
      <c r="L101" s="441" t="n">
        <v>3153</v>
      </c>
      <c r="M101" s="442" t="inlineStr">
        <is>
          <t xml:space="preserve">DUMAR ANGARITA </t>
        </is>
      </c>
      <c r="N101" s="113" t="n"/>
      <c r="O101" s="113" t="n"/>
      <c r="P101" s="398" t="n"/>
      <c r="Q101" s="398" t="n"/>
      <c r="R101" s="113" t="n"/>
      <c r="S101" s="113" t="n"/>
      <c r="T101" s="113" t="n"/>
      <c r="U101" s="113" t="n"/>
      <c r="V101" s="113" t="n"/>
    </row>
    <row r="102" ht="15.75" customHeight="1">
      <c r="A102" s="146" t="n">
        <v>2</v>
      </c>
      <c r="B102" s="238" t="n">
        <v>97</v>
      </c>
      <c r="C102" s="416" t="n">
        <v>45820</v>
      </c>
      <c r="D102" s="166" t="inlineStr">
        <is>
          <t>221 G. MALAGUEÑA</t>
        </is>
      </c>
      <c r="E102" s="166" t="n">
        <v>41547</v>
      </c>
      <c r="F102" s="166" t="inlineStr">
        <is>
          <t>JAIRO CUBILLOS</t>
        </is>
      </c>
      <c r="G102" s="166" t="n">
        <v>3200</v>
      </c>
      <c r="H102" s="166" t="n">
        <v>3214</v>
      </c>
      <c r="I102" s="166" t="n">
        <v>6</v>
      </c>
      <c r="J102" s="166" t="n">
        <v>12</v>
      </c>
      <c r="K102" s="166" t="n">
        <v>-32</v>
      </c>
      <c r="L102" s="441" t="n">
        <v>3240</v>
      </c>
      <c r="M102" s="442" t="inlineStr">
        <is>
          <t xml:space="preserve">JAIRO CUBILLOS </t>
        </is>
      </c>
      <c r="N102" s="113" t="n"/>
      <c r="O102" s="113" t="n"/>
      <c r="P102" s="398" t="n"/>
      <c r="Q102" s="398" t="n"/>
      <c r="R102" s="113" t="n"/>
      <c r="S102" s="113" t="n"/>
      <c r="T102" s="113" t="n"/>
      <c r="U102" s="113" t="n"/>
      <c r="V102" s="113" t="n"/>
    </row>
    <row r="103" ht="15.75" customHeight="1">
      <c r="A103" s="146" t="n">
        <v>2</v>
      </c>
      <c r="B103" s="238" t="n">
        <v>98</v>
      </c>
      <c r="C103" s="416" t="n">
        <v>45820</v>
      </c>
      <c r="D103" s="166" t="inlineStr">
        <is>
          <t>221 G. MALAGUEÑA</t>
        </is>
      </c>
      <c r="E103" s="166" t="n">
        <v>41556</v>
      </c>
      <c r="F103" s="166" t="inlineStr">
        <is>
          <t>JAVIER GARZON</t>
        </is>
      </c>
      <c r="G103" s="166" t="n">
        <v>3200</v>
      </c>
      <c r="H103" s="166" t="n">
        <v>3195</v>
      </c>
      <c r="I103" s="166" t="n">
        <v>5</v>
      </c>
      <c r="J103" s="166" t="n">
        <v>26</v>
      </c>
      <c r="K103" s="166" t="n">
        <v>-26</v>
      </c>
      <c r="L103" s="441" t="n">
        <v>3240</v>
      </c>
      <c r="M103" s="442" t="inlineStr">
        <is>
          <t xml:space="preserve">JAVIER GARZON </t>
        </is>
      </c>
      <c r="N103" s="113" t="n"/>
      <c r="O103" s="113" t="n"/>
      <c r="P103" s="398" t="n"/>
      <c r="Q103" s="398" t="n"/>
      <c r="R103" s="113" t="n"/>
      <c r="S103" s="113" t="n"/>
      <c r="T103" s="113" t="n"/>
      <c r="U103" s="113" t="n"/>
      <c r="V103" s="113" t="n"/>
    </row>
    <row r="104" ht="15.75" customHeight="1">
      <c r="A104" s="146" t="n">
        <v>2</v>
      </c>
      <c r="B104" s="238" t="n">
        <v>99</v>
      </c>
      <c r="C104" s="416" t="n">
        <v>45820</v>
      </c>
      <c r="D104" s="166" t="inlineStr">
        <is>
          <t>221 G. MALAGUEÑA</t>
        </is>
      </c>
      <c r="E104" s="166" t="n">
        <v>41557</v>
      </c>
      <c r="F104" s="166" t="inlineStr">
        <is>
          <t>WILMER PIÑEROS</t>
        </is>
      </c>
      <c r="G104" s="166" t="n">
        <v>3200</v>
      </c>
      <c r="H104" s="166" t="n">
        <v>3200</v>
      </c>
      <c r="I104" s="166" t="n">
        <v>6</v>
      </c>
      <c r="J104" s="166" t="n">
        <v>22</v>
      </c>
      <c r="K104" s="166" t="n">
        <v>-28</v>
      </c>
      <c r="L104" s="441" t="n">
        <v>3240</v>
      </c>
      <c r="M104" s="442" t="inlineStr">
        <is>
          <t xml:space="preserve">WILMER PIÑEROS </t>
        </is>
      </c>
      <c r="N104" s="113" t="n"/>
      <c r="O104" s="113" t="n"/>
      <c r="P104" s="398" t="n"/>
      <c r="Q104" s="398" t="n"/>
      <c r="R104" s="113" t="n"/>
      <c r="S104" s="113" t="n"/>
      <c r="T104" s="113" t="n"/>
      <c r="U104" s="113" t="n"/>
      <c r="V104" s="113" t="n"/>
    </row>
    <row r="105" ht="15.75" customHeight="1">
      <c r="A105" s="146" t="n">
        <v>2</v>
      </c>
      <c r="B105" s="238" t="n">
        <v>100</v>
      </c>
      <c r="C105" s="416" t="n">
        <v>45820</v>
      </c>
      <c r="D105" s="166" t="inlineStr">
        <is>
          <t>221 G. MALAGUEÑA</t>
        </is>
      </c>
      <c r="E105" s="166" t="n">
        <v>41558</v>
      </c>
      <c r="F105" s="166" t="inlineStr">
        <is>
          <t>MANUEL QUITIAN</t>
        </is>
      </c>
      <c r="G105" s="166" t="n">
        <v>3200</v>
      </c>
      <c r="H105" s="166" t="n">
        <v>3210</v>
      </c>
      <c r="I105" s="166" t="n">
        <v>4</v>
      </c>
      <c r="J105" s="166" t="n">
        <v>10</v>
      </c>
      <c r="K105" s="166" t="n">
        <v>-24</v>
      </c>
      <c r="L105" s="441" t="n">
        <v>3240</v>
      </c>
      <c r="M105" s="442" t="inlineStr">
        <is>
          <t xml:space="preserve">MANUEL QUITIAN </t>
        </is>
      </c>
      <c r="N105" s="113" t="n"/>
      <c r="O105" s="113" t="n"/>
      <c r="P105" s="398" t="n"/>
      <c r="Q105" s="398" t="n"/>
      <c r="R105" s="113" t="n"/>
      <c r="S105" s="113" t="n"/>
      <c r="T105" s="113" t="n"/>
      <c r="U105" s="113" t="n"/>
      <c r="V105" s="113" t="n"/>
    </row>
    <row r="106" ht="15.75" customHeight="1">
      <c r="A106" s="146" t="n">
        <v>2</v>
      </c>
      <c r="B106" s="238" t="n">
        <v>101</v>
      </c>
      <c r="C106" s="416" t="n">
        <v>45820</v>
      </c>
      <c r="D106" s="166" t="inlineStr">
        <is>
          <t>221 G. MALAGUEÑA</t>
        </is>
      </c>
      <c r="E106" s="166" t="n">
        <v>41559</v>
      </c>
      <c r="F106" s="166" t="inlineStr">
        <is>
          <t>EDUAN CAVIEDES</t>
        </is>
      </c>
      <c r="G106" s="166" t="n">
        <v>2330</v>
      </c>
      <c r="H106" s="166" t="n">
        <v>2316</v>
      </c>
      <c r="I106" s="166" t="n">
        <v>5</v>
      </c>
      <c r="J106" s="166" t="n">
        <v>9</v>
      </c>
      <c r="K106" s="166" t="n">
        <v>0</v>
      </c>
      <c r="L106" s="441" t="n">
        <v>2330</v>
      </c>
      <c r="M106" s="442" t="inlineStr">
        <is>
          <t xml:space="preserve">EDUAN CAVIEDEZ </t>
        </is>
      </c>
      <c r="N106" s="113" t="n"/>
      <c r="O106" s="113" t="n"/>
      <c r="P106" s="398" t="n"/>
      <c r="Q106" s="398" t="n"/>
      <c r="R106" s="113" t="n"/>
      <c r="S106" s="113" t="n"/>
      <c r="T106" s="113" t="n"/>
      <c r="U106" s="113" t="n"/>
      <c r="V106" s="113" t="n"/>
    </row>
    <row r="107" ht="15.75" customHeight="1">
      <c r="A107" s="146" t="n">
        <v>2</v>
      </c>
      <c r="B107" s="238" t="n">
        <v>102</v>
      </c>
      <c r="C107" s="416" t="n">
        <v>45820</v>
      </c>
      <c r="D107" s="166" t="inlineStr">
        <is>
          <t>219 G. SAN JOSE 2</t>
        </is>
      </c>
      <c r="E107" s="166" t="n">
        <v>41560</v>
      </c>
      <c r="F107" s="166" t="inlineStr">
        <is>
          <t>EDWIN ROJAS</t>
        </is>
      </c>
      <c r="G107" s="166" t="n">
        <v>3617</v>
      </c>
      <c r="H107" s="166" t="n">
        <v>3607</v>
      </c>
      <c r="I107" s="166" t="n">
        <v>1</v>
      </c>
      <c r="J107" s="166" t="n">
        <v>6</v>
      </c>
      <c r="K107" s="166" t="n">
        <v>3</v>
      </c>
      <c r="L107" s="441" t="n">
        <v>3617</v>
      </c>
      <c r="M107" s="442" t="inlineStr">
        <is>
          <t>EDWIN ROJAS</t>
        </is>
      </c>
      <c r="N107" s="113" t="n"/>
      <c r="O107" s="113" t="n"/>
      <c r="P107" s="398" t="n"/>
      <c r="Q107" s="398" t="n"/>
      <c r="R107" s="113" t="n"/>
      <c r="S107" s="113" t="n"/>
      <c r="T107" s="113" t="n"/>
      <c r="U107" s="113" t="n"/>
      <c r="V107" s="113" t="n"/>
    </row>
    <row r="108" ht="15.75" customHeight="1">
      <c r="A108" s="146" t="n">
        <v>2</v>
      </c>
      <c r="B108" s="238" t="n">
        <v>103</v>
      </c>
      <c r="C108" s="416" t="n">
        <v>45820</v>
      </c>
      <c r="D108" s="166" t="inlineStr">
        <is>
          <t>221 G. MALAGUEÑA 1</t>
        </is>
      </c>
      <c r="E108" s="166" t="n">
        <v>201791</v>
      </c>
      <c r="F108" s="166" t="inlineStr">
        <is>
          <t>MARCO OSPINA</t>
        </is>
      </c>
      <c r="G108" s="166" t="n">
        <v>3240</v>
      </c>
      <c r="H108" s="166" t="n">
        <v>3159</v>
      </c>
      <c r="I108" s="166" t="n">
        <v>40</v>
      </c>
      <c r="J108" s="166" t="n">
        <v>32</v>
      </c>
      <c r="K108" s="166" t="n">
        <v>9</v>
      </c>
      <c r="L108" s="451" t="n">
        <v>3240</v>
      </c>
      <c r="M108" s="452" t="inlineStr">
        <is>
          <t xml:space="preserve">MARCOS OSPINA </t>
        </is>
      </c>
      <c r="N108" s="113" t="n"/>
      <c r="O108" s="113" t="n"/>
      <c r="P108" s="398" t="n"/>
      <c r="Q108" s="398" t="n"/>
      <c r="R108" s="113" t="n"/>
      <c r="S108" s="113" t="n"/>
      <c r="T108" s="113" t="n"/>
      <c r="U108" s="113" t="n"/>
      <c r="V108" s="113" t="n"/>
    </row>
    <row r="109" ht="15.75" customHeight="1">
      <c r="A109" s="146" t="n">
        <v>2</v>
      </c>
      <c r="B109" s="238" t="n">
        <v>104</v>
      </c>
      <c r="C109" s="416" t="n">
        <v>45820</v>
      </c>
      <c r="D109" s="166" t="inlineStr">
        <is>
          <t>221 G. MALAGUEÑA 1</t>
        </is>
      </c>
      <c r="E109" s="166" t="n">
        <v>201792</v>
      </c>
      <c r="F109" s="166" t="inlineStr">
        <is>
          <t>CUCAITA EDWIN ALEJANDRO</t>
        </is>
      </c>
      <c r="G109" s="166" t="n">
        <v>3240</v>
      </c>
      <c r="H109" s="166" t="n">
        <v>3190</v>
      </c>
      <c r="I109" s="166" t="n">
        <v>11</v>
      </c>
      <c r="J109" s="166" t="n">
        <v>51</v>
      </c>
      <c r="K109" s="166" t="n">
        <v>-12</v>
      </c>
      <c r="L109" s="451" t="n">
        <v>3240</v>
      </c>
      <c r="M109" s="452" t="inlineStr">
        <is>
          <t>ALEJANDRO TOCAITA</t>
        </is>
      </c>
      <c r="N109" s="113" t="n"/>
      <c r="O109" s="113" t="n"/>
      <c r="P109" s="398" t="n"/>
      <c r="Q109" s="398" t="n"/>
      <c r="R109" s="113" t="n"/>
      <c r="S109" s="113" t="n"/>
      <c r="T109" s="113" t="n"/>
      <c r="U109" s="113" t="n"/>
      <c r="V109" s="113" t="n"/>
    </row>
    <row r="110" ht="15.75" customHeight="1">
      <c r="A110" s="146" t="n">
        <v>2</v>
      </c>
      <c r="B110" s="238" t="n">
        <v>105</v>
      </c>
      <c r="C110" s="416" t="n">
        <v>45820</v>
      </c>
      <c r="D110" s="166" t="inlineStr">
        <is>
          <t>221 G. MALAGUEÑA 1</t>
        </is>
      </c>
      <c r="E110" s="166" t="n">
        <v>201793</v>
      </c>
      <c r="F110" s="166" t="inlineStr">
        <is>
          <t>MARCOS LOPEZ CASTAÑEDA</t>
        </is>
      </c>
      <c r="G110" s="166" t="n">
        <v>3240</v>
      </c>
      <c r="H110" s="166" t="n">
        <v>3205</v>
      </c>
      <c r="I110" s="166" t="n">
        <v>7</v>
      </c>
      <c r="J110" s="166" t="n">
        <v>27</v>
      </c>
      <c r="K110" s="166" t="n">
        <v>1</v>
      </c>
      <c r="L110" s="451" t="n">
        <v>3240</v>
      </c>
      <c r="M110" s="452" t="inlineStr">
        <is>
          <t xml:space="preserve">MARCOS LOPEZ </t>
        </is>
      </c>
      <c r="N110" s="113" t="n"/>
      <c r="O110" s="113" t="n"/>
      <c r="P110" s="398" t="n"/>
      <c r="Q110" s="398" t="n"/>
      <c r="R110" s="113" t="n"/>
      <c r="S110" s="113" t="n"/>
      <c r="T110" s="113" t="n"/>
      <c r="U110" s="113" t="n"/>
      <c r="V110" s="113" t="n"/>
    </row>
    <row r="111" ht="15.75" customHeight="1">
      <c r="A111" s="146" t="n">
        <v>2</v>
      </c>
      <c r="B111" s="238" t="n">
        <v>106</v>
      </c>
      <c r="C111" s="419" t="n">
        <v>45821</v>
      </c>
      <c r="D111" s="229" t="inlineStr">
        <is>
          <t>221 G. MALAGUEÑA 1</t>
        </is>
      </c>
      <c r="E111" s="229" t="n">
        <v>201795</v>
      </c>
      <c r="F111" s="229" t="inlineStr">
        <is>
          <t>MERVIN STIVEN CORTES</t>
        </is>
      </c>
      <c r="G111" s="229" t="n">
        <v>3240</v>
      </c>
      <c r="H111" s="229" t="n">
        <v>3194</v>
      </c>
      <c r="I111" s="229" t="n">
        <v>6</v>
      </c>
      <c r="J111" s="229" t="n">
        <v>46</v>
      </c>
      <c r="K111" s="229" t="n">
        <v>-6</v>
      </c>
      <c r="L111" s="453" t="n">
        <v>3240</v>
      </c>
      <c r="M111" s="454" t="inlineStr">
        <is>
          <t xml:space="preserve">MERVIN CORTEZ </t>
        </is>
      </c>
      <c r="N111" s="450">
        <f>SUM(H95:H111)</f>
        <v/>
      </c>
      <c r="O111" s="426">
        <f>SUM(L95:L111)</f>
        <v/>
      </c>
      <c r="P111" s="455">
        <f>O111-N111</f>
        <v/>
      </c>
      <c r="Q111" s="456">
        <f>SUM(I95:K111)</f>
        <v/>
      </c>
      <c r="R111" s="113" t="n"/>
      <c r="S111" s="113" t="n"/>
      <c r="T111" s="113" t="n"/>
      <c r="U111" s="113" t="n"/>
      <c r="V111" s="113" t="n"/>
    </row>
    <row r="112" ht="15.75" customHeight="1">
      <c r="A112" s="146" t="n">
        <v>2</v>
      </c>
      <c r="B112" s="238" t="n">
        <v>107</v>
      </c>
      <c r="C112" s="412" t="n">
        <v>45821</v>
      </c>
      <c r="D112" s="427" t="inlineStr">
        <is>
          <t>219 G. SAN JOSE 2</t>
        </is>
      </c>
      <c r="E112" s="427" t="n">
        <v>41571</v>
      </c>
      <c r="F112" s="427" t="inlineStr">
        <is>
          <t>FABIO ALDANA</t>
        </is>
      </c>
      <c r="G112" s="427" t="n">
        <v>3660</v>
      </c>
      <c r="H112" s="427" t="n">
        <v>3639</v>
      </c>
      <c r="I112" s="427" t="n">
        <v>7</v>
      </c>
      <c r="J112" s="427" t="n">
        <v>12</v>
      </c>
      <c r="K112" s="427" t="n">
        <v>2</v>
      </c>
      <c r="L112" s="439" t="n">
        <v>3660</v>
      </c>
      <c r="M112" s="440" t="inlineStr">
        <is>
          <t xml:space="preserve">FABIO ALDANA </t>
        </is>
      </c>
      <c r="N112" s="113" t="n"/>
      <c r="O112" s="113" t="n"/>
      <c r="P112" s="398" t="n"/>
      <c r="Q112" s="398" t="n"/>
      <c r="R112" s="113" t="n"/>
      <c r="S112" s="113" t="n"/>
      <c r="T112" s="113" t="n"/>
      <c r="U112" s="113" t="n"/>
      <c r="V112" s="113" t="n"/>
    </row>
    <row r="113" ht="15.75" customHeight="1">
      <c r="A113" s="146" t="n">
        <v>2</v>
      </c>
      <c r="B113" s="238" t="n">
        <v>108</v>
      </c>
      <c r="C113" s="416" t="n">
        <v>45821</v>
      </c>
      <c r="D113" s="166" t="inlineStr">
        <is>
          <t>219 G. SAN JOSE 2</t>
        </is>
      </c>
      <c r="E113" s="166" t="n">
        <v>41572</v>
      </c>
      <c r="F113" s="166" t="inlineStr">
        <is>
          <t>ALEX GOMEZ</t>
        </is>
      </c>
      <c r="G113" s="166" t="n">
        <v>3660</v>
      </c>
      <c r="H113" s="166" t="n">
        <v>3634</v>
      </c>
      <c r="I113" s="166" t="n">
        <v>7</v>
      </c>
      <c r="J113" s="166" t="n">
        <v>16</v>
      </c>
      <c r="K113" s="166" t="n">
        <v>3</v>
      </c>
      <c r="L113" s="441" t="n">
        <v>3660</v>
      </c>
      <c r="M113" s="442" t="inlineStr">
        <is>
          <t xml:space="preserve">ALEX GOMEZ </t>
        </is>
      </c>
      <c r="N113" s="113" t="n"/>
      <c r="O113" s="113" t="n"/>
      <c r="P113" s="398" t="n"/>
      <c r="Q113" s="398" t="n"/>
      <c r="R113" s="113" t="n"/>
      <c r="S113" s="113" t="n"/>
      <c r="T113" s="113" t="n"/>
      <c r="U113" s="113" t="n"/>
      <c r="V113" s="113" t="n"/>
    </row>
    <row r="114" ht="15.75" customHeight="1">
      <c r="A114" s="146" t="n">
        <v>2</v>
      </c>
      <c r="B114" s="238" t="n">
        <v>109</v>
      </c>
      <c r="C114" s="416" t="n">
        <v>45821</v>
      </c>
      <c r="D114" s="166" t="inlineStr">
        <is>
          <t>219 G. SAN JOSE 2</t>
        </is>
      </c>
      <c r="E114" s="166" t="n">
        <v>41573</v>
      </c>
      <c r="F114" s="166" t="inlineStr">
        <is>
          <t>FERNANDO OYUELA</t>
        </is>
      </c>
      <c r="G114" s="166" t="n">
        <v>3672</v>
      </c>
      <c r="H114" s="166" t="n">
        <v>3643</v>
      </c>
      <c r="I114" s="166" t="n">
        <v>2</v>
      </c>
      <c r="J114" s="166" t="n">
        <v>17</v>
      </c>
      <c r="K114" s="166" t="n">
        <v>10</v>
      </c>
      <c r="L114" s="441" t="n">
        <v>3672</v>
      </c>
      <c r="M114" s="442" t="inlineStr">
        <is>
          <t xml:space="preserve">FERNANDO OYUELA </t>
        </is>
      </c>
      <c r="N114" s="113" t="n"/>
      <c r="O114" s="113" t="n"/>
      <c r="P114" s="398" t="n"/>
      <c r="Q114" s="398" t="n"/>
      <c r="R114" s="113" t="n"/>
      <c r="S114" s="113" t="n"/>
      <c r="T114" s="113" t="n"/>
      <c r="U114" s="113" t="n"/>
      <c r="V114" s="113" t="n"/>
    </row>
    <row r="115" ht="15.75" customHeight="1">
      <c r="A115" s="146" t="n">
        <v>2</v>
      </c>
      <c r="B115" s="238" t="n">
        <v>110</v>
      </c>
      <c r="C115" s="416" t="n">
        <v>45821</v>
      </c>
      <c r="D115" s="166" t="inlineStr">
        <is>
          <t>219 G. SAN JOSE 2</t>
        </is>
      </c>
      <c r="E115" s="166" t="n">
        <v>41574</v>
      </c>
      <c r="F115" s="166" t="inlineStr">
        <is>
          <t>JOSE SOLER</t>
        </is>
      </c>
      <c r="G115" s="166" t="n">
        <v>3672</v>
      </c>
      <c r="H115" s="166" t="n">
        <v>3615</v>
      </c>
      <c r="I115" s="166" t="n">
        <v>2</v>
      </c>
      <c r="J115" s="166" t="n">
        <v>14</v>
      </c>
      <c r="K115" s="166" t="n">
        <v>41</v>
      </c>
      <c r="L115" s="441" t="n">
        <v>3672</v>
      </c>
      <c r="M115" s="442" t="inlineStr">
        <is>
          <t xml:space="preserve">JOSE SOLER </t>
        </is>
      </c>
      <c r="N115" s="113" t="n"/>
      <c r="O115" s="113" t="n"/>
      <c r="P115" s="398" t="n"/>
      <c r="Q115" s="398" t="n"/>
      <c r="R115" s="113" t="n"/>
      <c r="S115" s="113" t="n"/>
      <c r="T115" s="113" t="n"/>
      <c r="U115" s="113" t="n"/>
      <c r="V115" s="113" t="n"/>
    </row>
    <row r="116" ht="15.75" customHeight="1">
      <c r="A116" s="146" t="n">
        <v>2</v>
      </c>
      <c r="B116" s="238" t="n">
        <v>111</v>
      </c>
      <c r="C116" s="416" t="n">
        <v>45821</v>
      </c>
      <c r="D116" s="166" t="inlineStr">
        <is>
          <t>219 G. SAN JOSE 2</t>
        </is>
      </c>
      <c r="E116" s="166" t="n">
        <v>41582</v>
      </c>
      <c r="F116" s="166" t="inlineStr">
        <is>
          <t>DUMAR ANGARITA</t>
        </is>
      </c>
      <c r="G116" s="166" t="n">
        <v>3672</v>
      </c>
      <c r="H116" s="166" t="n">
        <v>3651</v>
      </c>
      <c r="I116" s="166" t="n">
        <v>4</v>
      </c>
      <c r="J116" s="166" t="n">
        <v>8</v>
      </c>
      <c r="K116" s="166" t="n">
        <v>9</v>
      </c>
      <c r="L116" s="441" t="n">
        <v>3672</v>
      </c>
      <c r="M116" s="442" t="inlineStr">
        <is>
          <t xml:space="preserve">DUMAR ANGARITA </t>
        </is>
      </c>
      <c r="N116" s="113" t="n"/>
      <c r="O116" s="113" t="n"/>
      <c r="P116" s="398" t="n"/>
      <c r="Q116" s="398" t="n"/>
      <c r="R116" s="113" t="n"/>
      <c r="S116" s="113" t="n"/>
      <c r="T116" s="113" t="n"/>
      <c r="U116" s="113" t="n"/>
      <c r="V116" s="113" t="n"/>
    </row>
    <row r="117" ht="15.75" customHeight="1">
      <c r="A117" s="146" t="n">
        <v>2</v>
      </c>
      <c r="B117" s="238" t="n">
        <v>112</v>
      </c>
      <c r="C117" s="416" t="n">
        <v>45821</v>
      </c>
      <c r="D117" s="166" t="inlineStr">
        <is>
          <t>219 G. SAN JOSE 2</t>
        </is>
      </c>
      <c r="E117" s="166" t="n">
        <v>41583</v>
      </c>
      <c r="F117" s="166" t="inlineStr">
        <is>
          <t>ALBERTO HERRERA</t>
        </is>
      </c>
      <c r="G117" s="166" t="n">
        <v>3672</v>
      </c>
      <c r="H117" s="166" t="n">
        <v>3649</v>
      </c>
      <c r="I117" s="166" t="n">
        <v>5</v>
      </c>
      <c r="J117" s="166" t="n">
        <v>4</v>
      </c>
      <c r="K117" s="166" t="n">
        <v>14</v>
      </c>
      <c r="L117" s="441" t="n">
        <v>3672</v>
      </c>
      <c r="M117" s="442" t="inlineStr">
        <is>
          <t xml:space="preserve">MIGUEL HERRERA </t>
        </is>
      </c>
      <c r="N117" s="113" t="n"/>
      <c r="O117" s="113" t="n"/>
      <c r="P117" s="398" t="n"/>
      <c r="Q117" s="398" t="n"/>
      <c r="R117" s="113" t="n"/>
      <c r="S117" s="113" t="n"/>
      <c r="T117" s="113" t="n"/>
      <c r="U117" s="113" t="n"/>
      <c r="V117" s="113" t="n"/>
    </row>
    <row r="118" ht="15.75" customHeight="1">
      <c r="A118" s="146" t="n">
        <v>2</v>
      </c>
      <c r="B118" s="238" t="n">
        <v>113</v>
      </c>
      <c r="C118" s="416" t="n">
        <v>45821</v>
      </c>
      <c r="D118" s="166" t="inlineStr">
        <is>
          <t>219 G. SAN JOSE 2</t>
        </is>
      </c>
      <c r="E118" s="166" t="n">
        <v>41584</v>
      </c>
      <c r="F118" s="166" t="inlineStr">
        <is>
          <t>JAVIER GARZON</t>
        </is>
      </c>
      <c r="G118" s="166" t="n">
        <v>3672</v>
      </c>
      <c r="H118" s="166" t="n">
        <v>3648</v>
      </c>
      <c r="I118" s="166" t="n">
        <v>5</v>
      </c>
      <c r="J118" s="166" t="n">
        <v>5</v>
      </c>
      <c r="K118" s="166" t="n">
        <v>14</v>
      </c>
      <c r="L118" s="441" t="n">
        <v>3672</v>
      </c>
      <c r="M118" s="442" t="inlineStr">
        <is>
          <t xml:space="preserve">JAVIER GARZON </t>
        </is>
      </c>
      <c r="N118" s="113" t="n"/>
      <c r="O118" s="113" t="n"/>
      <c r="P118" s="398" t="n"/>
      <c r="Q118" s="398" t="n"/>
      <c r="R118" s="113" t="n"/>
      <c r="S118" s="113" t="n"/>
      <c r="T118" s="113" t="n"/>
      <c r="U118" s="113" t="n"/>
      <c r="V118" s="113" t="n"/>
    </row>
    <row r="119" ht="15.75" customHeight="1">
      <c r="A119" s="146" t="n">
        <v>2</v>
      </c>
      <c r="B119" s="238" t="n">
        <v>114</v>
      </c>
      <c r="C119" s="416" t="n">
        <v>45821</v>
      </c>
      <c r="D119" s="166" t="inlineStr">
        <is>
          <t>219 G. SAN JOSE 2</t>
        </is>
      </c>
      <c r="E119" s="166" t="n">
        <v>41585</v>
      </c>
      <c r="F119" s="166" t="inlineStr">
        <is>
          <t>EDUAN CAVIEDES</t>
        </is>
      </c>
      <c r="G119" s="166" t="n">
        <v>3672</v>
      </c>
      <c r="H119" s="166" t="n">
        <v>3638</v>
      </c>
      <c r="I119" s="166" t="n">
        <v>5</v>
      </c>
      <c r="J119" s="166" t="n">
        <v>7</v>
      </c>
      <c r="K119" s="166" t="n">
        <v>22</v>
      </c>
      <c r="L119" s="441" t="n">
        <v>3672</v>
      </c>
      <c r="M119" s="442" t="inlineStr">
        <is>
          <t xml:space="preserve">EDUAN CAVIEDEZ </t>
        </is>
      </c>
      <c r="N119" s="113" t="n"/>
      <c r="O119" s="113" t="n"/>
      <c r="P119" s="398" t="n"/>
      <c r="Q119" s="398" t="n"/>
      <c r="R119" s="113" t="n"/>
      <c r="S119" s="113" t="n"/>
      <c r="T119" s="113" t="n"/>
      <c r="U119" s="113" t="n"/>
      <c r="V119" s="113" t="n"/>
    </row>
    <row r="120" ht="15.75" customHeight="1">
      <c r="A120" s="146" t="n">
        <v>2</v>
      </c>
      <c r="B120" s="238" t="n">
        <v>115</v>
      </c>
      <c r="C120" s="416" t="n">
        <v>45821</v>
      </c>
      <c r="D120" s="166" t="inlineStr">
        <is>
          <t>219 G. SAN JOSE 2</t>
        </is>
      </c>
      <c r="E120" s="166" t="n">
        <v>41586</v>
      </c>
      <c r="F120" s="166" t="inlineStr">
        <is>
          <t>ALBERTO LOPEZ</t>
        </is>
      </c>
      <c r="G120" s="166" t="n">
        <v>3673</v>
      </c>
      <c r="H120" s="166" t="n">
        <v>3650</v>
      </c>
      <c r="I120" s="166" t="n">
        <v>4</v>
      </c>
      <c r="J120" s="166" t="n">
        <v>7</v>
      </c>
      <c r="K120" s="166" t="n">
        <v>12</v>
      </c>
      <c r="L120" s="441" t="n">
        <v>3672</v>
      </c>
      <c r="M120" s="442" t="inlineStr">
        <is>
          <t xml:space="preserve">ALBERTO LOPEZ </t>
        </is>
      </c>
      <c r="N120" s="113" t="n"/>
      <c r="O120" s="113" t="n"/>
      <c r="P120" s="398" t="n"/>
      <c r="Q120" s="398" t="n"/>
      <c r="R120" s="113" t="n"/>
      <c r="S120" s="113" t="n"/>
      <c r="T120" s="113" t="n"/>
      <c r="U120" s="113" t="n"/>
      <c r="V120" s="113" t="n"/>
    </row>
    <row r="121" ht="15.75" customHeight="1">
      <c r="A121" s="146" t="n">
        <v>2</v>
      </c>
      <c r="B121" s="238" t="n">
        <v>116</v>
      </c>
      <c r="C121" s="416" t="n">
        <v>45821</v>
      </c>
      <c r="D121" s="166" t="inlineStr">
        <is>
          <t>219 G. SAN JOSE 2</t>
        </is>
      </c>
      <c r="E121" s="166" t="n">
        <v>41587</v>
      </c>
      <c r="F121" s="166" t="inlineStr">
        <is>
          <t>ALEX GOMEZ</t>
        </is>
      </c>
      <c r="G121" s="166" t="n">
        <v>3835</v>
      </c>
      <c r="H121" s="166" t="n">
        <v>3827</v>
      </c>
      <c r="I121" s="166" t="n">
        <v>4</v>
      </c>
      <c r="J121" s="166" t="n">
        <v>6</v>
      </c>
      <c r="K121" s="166" t="n">
        <v>-2</v>
      </c>
      <c r="L121" s="441" t="n">
        <v>3432</v>
      </c>
      <c r="M121" s="442" t="inlineStr">
        <is>
          <t xml:space="preserve">MIGUEL HERRERA </t>
        </is>
      </c>
      <c r="N121" s="113" t="n"/>
      <c r="O121" s="113" t="n"/>
      <c r="P121" s="398" t="n"/>
      <c r="Q121" s="398" t="n"/>
      <c r="R121" s="113" t="n"/>
      <c r="S121" s="113" t="n"/>
      <c r="T121" s="113" t="n"/>
      <c r="U121" s="113" t="n"/>
      <c r="V121" s="113" t="n"/>
    </row>
    <row r="122" ht="15.75" customHeight="1">
      <c r="A122" s="146" t="n">
        <v>2</v>
      </c>
      <c r="B122" s="238" t="n">
        <v>117</v>
      </c>
      <c r="C122" s="416" t="n">
        <v>45821</v>
      </c>
      <c r="D122" s="166" t="inlineStr">
        <is>
          <t>219 G. SAN JOSE 2</t>
        </is>
      </c>
      <c r="E122" s="166" t="n">
        <v>41588</v>
      </c>
      <c r="F122" s="166" t="inlineStr">
        <is>
          <t>FABIO ALDANA</t>
        </is>
      </c>
      <c r="G122" s="166" t="n">
        <v>3260</v>
      </c>
      <c r="H122" s="166" t="n">
        <v>3248</v>
      </c>
      <c r="I122" s="166" t="n">
        <v>8</v>
      </c>
      <c r="J122" s="166" t="n">
        <v>4</v>
      </c>
      <c r="K122" s="166" t="n">
        <v>0</v>
      </c>
      <c r="L122" s="441" t="n">
        <v>3835</v>
      </c>
      <c r="M122" s="442" t="inlineStr">
        <is>
          <t xml:space="preserve">ALEX GOMEZ </t>
        </is>
      </c>
      <c r="N122" s="113" t="n"/>
      <c r="O122" s="113" t="n"/>
      <c r="P122" s="398" t="n"/>
      <c r="Q122" s="398" t="n"/>
      <c r="R122" s="113" t="n"/>
      <c r="S122" s="113" t="n"/>
      <c r="T122" s="113" t="n"/>
      <c r="U122" s="113" t="n"/>
      <c r="V122" s="113" t="n"/>
    </row>
    <row r="123" ht="15.75" customHeight="1">
      <c r="A123" s="146" t="n">
        <v>2</v>
      </c>
      <c r="B123" s="238" t="n">
        <v>118</v>
      </c>
      <c r="C123" s="416" t="n">
        <v>45821</v>
      </c>
      <c r="D123" s="166" t="inlineStr">
        <is>
          <t>219 G. SAN JOSE 2</t>
        </is>
      </c>
      <c r="E123" s="166" t="n">
        <v>41589</v>
      </c>
      <c r="F123" s="166" t="inlineStr">
        <is>
          <t>MIGUEL HERRERA</t>
        </is>
      </c>
      <c r="G123" s="166" t="n">
        <v>3432</v>
      </c>
      <c r="H123" s="166" t="n">
        <v>3423</v>
      </c>
      <c r="I123" s="166" t="n">
        <v>9</v>
      </c>
      <c r="J123" s="166" t="n">
        <v>3</v>
      </c>
      <c r="K123" s="166" t="n">
        <v>-3</v>
      </c>
      <c r="L123" s="441" t="n">
        <v>3260</v>
      </c>
      <c r="M123" s="442" t="inlineStr">
        <is>
          <t xml:space="preserve">FABIO ALDANA </t>
        </is>
      </c>
      <c r="N123" s="113" t="n"/>
      <c r="O123" s="113" t="n"/>
      <c r="P123" s="398" t="n"/>
      <c r="Q123" s="398" t="n"/>
      <c r="R123" s="113" t="n"/>
      <c r="S123" s="113" t="n"/>
      <c r="T123" s="113" t="n"/>
      <c r="U123" s="113" t="n"/>
      <c r="V123" s="113" t="n"/>
    </row>
    <row r="124" ht="15.75" customHeight="1">
      <c r="A124" s="146" t="n">
        <v>2</v>
      </c>
      <c r="B124" s="238" t="n">
        <v>119</v>
      </c>
      <c r="C124" s="416" t="n">
        <v>45821</v>
      </c>
      <c r="D124" s="166" t="inlineStr">
        <is>
          <t>219 G. SAN JOSE 2</t>
        </is>
      </c>
      <c r="E124" s="166" t="n">
        <v>41590</v>
      </c>
      <c r="F124" s="166" t="inlineStr">
        <is>
          <t>MANUEL QUITIAN</t>
        </is>
      </c>
      <c r="G124" s="166" t="n">
        <v>3260</v>
      </c>
      <c r="H124" s="166" t="n">
        <v>3240</v>
      </c>
      <c r="I124" s="166" t="n">
        <v>18</v>
      </c>
      <c r="J124" s="166" t="n">
        <v>3</v>
      </c>
      <c r="K124" s="166" t="n">
        <v>-1</v>
      </c>
      <c r="L124" s="441" t="n">
        <v>3260</v>
      </c>
      <c r="M124" s="442" t="inlineStr">
        <is>
          <t>MANUEL QUINDIAN</t>
        </is>
      </c>
      <c r="N124" s="113" t="n"/>
      <c r="O124" s="113" t="n"/>
      <c r="P124" s="398" t="n"/>
      <c r="Q124" s="398" t="n"/>
      <c r="R124" s="113" t="n"/>
      <c r="S124" s="113" t="n"/>
      <c r="T124" s="113" t="n"/>
      <c r="U124" s="113" t="n"/>
      <c r="V124" s="113" t="n"/>
    </row>
    <row r="125" ht="15.75" customHeight="1">
      <c r="A125" s="146" t="n">
        <v>2</v>
      </c>
      <c r="B125" s="238" t="n">
        <v>120</v>
      </c>
      <c r="C125" s="419" t="n">
        <v>45822</v>
      </c>
      <c r="D125" s="229" t="inlineStr">
        <is>
          <t>221 G. MALAGUEÑA 1</t>
        </is>
      </c>
      <c r="E125" s="229" t="n">
        <v>201821</v>
      </c>
      <c r="F125" s="229" t="inlineStr">
        <is>
          <t>MARCO OSPINA</t>
        </is>
      </c>
      <c r="G125" s="229" t="n">
        <v>3300</v>
      </c>
      <c r="H125" s="229" t="n">
        <v>3272</v>
      </c>
      <c r="I125" s="229" t="n">
        <v>8</v>
      </c>
      <c r="J125" s="229" t="n">
        <v>16</v>
      </c>
      <c r="K125" s="229" t="n">
        <v>4</v>
      </c>
      <c r="L125" s="453" t="n">
        <v>3300</v>
      </c>
      <c r="M125" s="454" t="inlineStr">
        <is>
          <t xml:space="preserve">MARCOS OSPINA </t>
        </is>
      </c>
      <c r="N125" s="450">
        <f>SUM(H112:H125)</f>
        <v/>
      </c>
      <c r="O125" s="426">
        <f>SUM(L112:L125)</f>
        <v/>
      </c>
      <c r="P125" s="425">
        <f>O125-N125</f>
        <v/>
      </c>
      <c r="Q125" s="448">
        <f>SUM(I112:K125)</f>
        <v/>
      </c>
      <c r="R125" s="113" t="n"/>
      <c r="S125" s="113" t="n"/>
      <c r="T125" s="113" t="n"/>
      <c r="U125" s="113" t="n"/>
      <c r="V125" s="113" t="n"/>
    </row>
    <row r="126" ht="15.75" customHeight="1">
      <c r="A126" s="146" t="n">
        <v>2</v>
      </c>
      <c r="B126" s="238" t="n">
        <v>121</v>
      </c>
      <c r="C126" s="412" t="n">
        <v>45822</v>
      </c>
      <c r="D126" s="427" t="inlineStr">
        <is>
          <t>221 G. MALAGUEÑA</t>
        </is>
      </c>
      <c r="E126" s="427" t="n">
        <v>41599</v>
      </c>
      <c r="F126" s="427" t="inlineStr">
        <is>
          <t>JAVIER GARZON</t>
        </is>
      </c>
      <c r="G126" s="427" t="n">
        <v>3000</v>
      </c>
      <c r="H126" s="427" t="n">
        <v>2999</v>
      </c>
      <c r="I126" s="427" t="n">
        <v>3</v>
      </c>
      <c r="J126" s="427" t="n">
        <v>11</v>
      </c>
      <c r="K126" s="427" t="n">
        <v>-13</v>
      </c>
      <c r="L126" s="439" t="n">
        <v>3000</v>
      </c>
      <c r="M126" s="440" t="inlineStr">
        <is>
          <t xml:space="preserve">JAVIER GARZON </t>
        </is>
      </c>
      <c r="N126" s="113" t="n"/>
      <c r="O126" s="113" t="n"/>
      <c r="P126" s="398" t="n"/>
      <c r="Q126" s="398" t="n"/>
      <c r="R126" s="113" t="n"/>
      <c r="S126" s="113" t="n"/>
      <c r="T126" s="113" t="n"/>
      <c r="U126" s="113" t="n"/>
      <c r="V126" s="113" t="n"/>
    </row>
    <row r="127" ht="15.75" customHeight="1">
      <c r="A127" s="146" t="n">
        <v>2</v>
      </c>
      <c r="B127" s="238" t="n">
        <v>122</v>
      </c>
      <c r="C127" s="416" t="n">
        <v>45822</v>
      </c>
      <c r="D127" s="166" t="inlineStr">
        <is>
          <t>221 G. MALAGUEÑA</t>
        </is>
      </c>
      <c r="E127" s="166" t="n">
        <v>41600</v>
      </c>
      <c r="F127" s="166" t="inlineStr">
        <is>
          <t>FERNANDO OYUELA</t>
        </is>
      </c>
      <c r="G127" s="166" t="n">
        <v>3557</v>
      </c>
      <c r="H127" s="166" t="n">
        <v>3566</v>
      </c>
      <c r="I127" s="166" t="n">
        <v>2</v>
      </c>
      <c r="J127" s="166" t="n">
        <v>9</v>
      </c>
      <c r="K127" s="166" t="n">
        <v>-20</v>
      </c>
      <c r="L127" s="451" t="n">
        <v>3557</v>
      </c>
      <c r="M127" s="452" t="inlineStr">
        <is>
          <t xml:space="preserve">FERNANDO OYUELA </t>
        </is>
      </c>
      <c r="N127" s="113" t="n"/>
      <c r="O127" s="113" t="n"/>
      <c r="P127" s="398" t="n"/>
      <c r="Q127" s="398" t="n"/>
      <c r="R127" s="113" t="n"/>
      <c r="S127" s="113" t="n"/>
      <c r="T127" s="113" t="n"/>
      <c r="U127" s="113" t="n"/>
      <c r="V127" s="113" t="n"/>
    </row>
    <row r="128" ht="15.75" customHeight="1">
      <c r="A128" s="146" t="n">
        <v>2</v>
      </c>
      <c r="B128" s="238" t="n">
        <v>123</v>
      </c>
      <c r="C128" s="416" t="n">
        <v>45822</v>
      </c>
      <c r="D128" s="166" t="inlineStr">
        <is>
          <t>221 G. MALAGUEÑA</t>
        </is>
      </c>
      <c r="E128" s="166" t="n">
        <v>41602</v>
      </c>
      <c r="F128" s="166" t="inlineStr">
        <is>
          <t>FABIO ALDANA</t>
        </is>
      </c>
      <c r="G128" s="166" t="n">
        <v>3557</v>
      </c>
      <c r="H128" s="166" t="n">
        <v>3537</v>
      </c>
      <c r="I128" s="166" t="n">
        <v>3</v>
      </c>
      <c r="J128" s="166" t="n">
        <v>5</v>
      </c>
      <c r="K128" s="166" t="n">
        <v>12</v>
      </c>
      <c r="L128" s="451" t="n">
        <v>3557</v>
      </c>
      <c r="M128" s="452" t="inlineStr">
        <is>
          <t xml:space="preserve">FABIO ALDANA </t>
        </is>
      </c>
      <c r="N128" s="113" t="n"/>
      <c r="O128" s="113" t="n"/>
      <c r="P128" s="398" t="n"/>
      <c r="Q128" s="398" t="n"/>
      <c r="R128" s="113" t="n"/>
      <c r="S128" s="113" t="n"/>
      <c r="T128" s="113" t="n"/>
      <c r="U128" s="113" t="n"/>
      <c r="V128" s="113" t="n"/>
    </row>
    <row r="129" ht="15.75" customHeight="1">
      <c r="A129" s="146" t="n">
        <v>2</v>
      </c>
      <c r="B129" s="238" t="n">
        <v>124</v>
      </c>
      <c r="C129" s="416" t="n">
        <v>45822</v>
      </c>
      <c r="D129" s="166" t="inlineStr">
        <is>
          <t>219 G. SAN JOSE 2</t>
        </is>
      </c>
      <c r="E129" s="166" t="n">
        <v>41614</v>
      </c>
      <c r="F129" s="166" t="inlineStr">
        <is>
          <t>JOSE SOLER</t>
        </is>
      </c>
      <c r="G129" s="166" t="n">
        <v>3683</v>
      </c>
      <c r="H129" s="166" t="n">
        <v>3655</v>
      </c>
      <c r="I129" s="166" t="n">
        <v>9</v>
      </c>
      <c r="J129" s="166" t="n">
        <v>9</v>
      </c>
      <c r="K129" s="166" t="n">
        <v>10</v>
      </c>
      <c r="L129" s="451" t="n">
        <v>3686</v>
      </c>
      <c r="M129" s="452" t="inlineStr">
        <is>
          <t xml:space="preserve">JOSE SOLER </t>
        </is>
      </c>
      <c r="N129" s="113" t="n"/>
      <c r="O129" s="113" t="n"/>
      <c r="P129" s="398" t="n"/>
      <c r="Q129" s="398" t="n"/>
      <c r="R129" s="113" t="n"/>
      <c r="S129" s="113" t="n"/>
      <c r="T129" s="113" t="n"/>
      <c r="U129" s="113" t="n"/>
      <c r="V129" s="113" t="n"/>
    </row>
    <row r="130" ht="15.75" customHeight="1">
      <c r="A130" s="146" t="n">
        <v>2</v>
      </c>
      <c r="B130" s="238" t="n">
        <v>125</v>
      </c>
      <c r="C130" s="416" t="n">
        <v>45822</v>
      </c>
      <c r="D130" s="166" t="inlineStr">
        <is>
          <t>219 G. SAN JOSE 2</t>
        </is>
      </c>
      <c r="E130" s="166" t="n">
        <v>41615</v>
      </c>
      <c r="F130" s="166" t="inlineStr">
        <is>
          <t>HENRY ROMERO</t>
        </is>
      </c>
      <c r="G130" s="166" t="n">
        <v>3683</v>
      </c>
      <c r="H130" s="166" t="n">
        <v>3653</v>
      </c>
      <c r="I130" s="166" t="n">
        <v>9</v>
      </c>
      <c r="J130" s="166" t="n">
        <v>11</v>
      </c>
      <c r="K130" s="166" t="n">
        <v>10</v>
      </c>
      <c r="L130" s="451" t="n">
        <v>3686</v>
      </c>
      <c r="M130" s="452" t="inlineStr">
        <is>
          <t>HENRY ROMERO</t>
        </is>
      </c>
      <c r="N130" s="113" t="n"/>
      <c r="O130" s="113" t="n"/>
      <c r="P130" s="398" t="n"/>
      <c r="Q130" s="398" t="n"/>
      <c r="R130" s="113" t="n"/>
      <c r="S130" s="113" t="n"/>
      <c r="T130" s="113" t="n"/>
      <c r="U130" s="113" t="n"/>
      <c r="V130" s="113" t="n"/>
    </row>
    <row r="131" ht="15.75" customHeight="1">
      <c r="A131" s="146" t="n">
        <v>2</v>
      </c>
      <c r="B131" s="238" t="n">
        <v>126</v>
      </c>
      <c r="C131" s="416" t="n">
        <v>45822</v>
      </c>
      <c r="D131" s="166" t="inlineStr">
        <is>
          <t>219 G. SAN JOSE 2</t>
        </is>
      </c>
      <c r="E131" s="166" t="n">
        <v>41616</v>
      </c>
      <c r="F131" s="166" t="inlineStr">
        <is>
          <t>EDUAN CAVIEDES</t>
        </is>
      </c>
      <c r="G131" s="166" t="n">
        <v>3683</v>
      </c>
      <c r="H131" s="166" t="n">
        <v>3654</v>
      </c>
      <c r="I131" s="166" t="n">
        <v>6</v>
      </c>
      <c r="J131" s="166" t="n">
        <v>10</v>
      </c>
      <c r="K131" s="166" t="n">
        <v>13</v>
      </c>
      <c r="L131" s="451" t="n">
        <v>3686</v>
      </c>
      <c r="M131" s="452" t="inlineStr">
        <is>
          <t xml:space="preserve">EDUAN CAVIEDEZ </t>
        </is>
      </c>
      <c r="N131" s="113" t="n"/>
      <c r="O131" s="113" t="n"/>
      <c r="P131" s="398" t="n"/>
      <c r="Q131" s="398" t="n"/>
      <c r="R131" s="113" t="n"/>
      <c r="S131" s="113" t="n"/>
      <c r="T131" s="113" t="n"/>
      <c r="U131" s="113" t="n"/>
      <c r="V131" s="113" t="n"/>
    </row>
    <row r="132" ht="15.75" customHeight="1">
      <c r="A132" s="146" t="n">
        <v>2</v>
      </c>
      <c r="B132" s="238" t="n">
        <v>127</v>
      </c>
      <c r="C132" s="416" t="n">
        <v>45822</v>
      </c>
      <c r="D132" s="166" t="inlineStr">
        <is>
          <t>219 G. SAN JOSE 2</t>
        </is>
      </c>
      <c r="E132" s="166" t="n">
        <v>41617</v>
      </c>
      <c r="F132" s="166" t="inlineStr">
        <is>
          <t>JAVIER GARZON</t>
        </is>
      </c>
      <c r="G132" s="166" t="n">
        <v>3000</v>
      </c>
      <c r="H132" s="166" t="n">
        <v>2951</v>
      </c>
      <c r="I132" s="166" t="n">
        <v>0</v>
      </c>
      <c r="J132" s="166" t="n">
        <v>11</v>
      </c>
      <c r="K132" s="166" t="n">
        <v>38</v>
      </c>
      <c r="L132" s="451" t="n">
        <v>3000</v>
      </c>
      <c r="M132" s="452" t="inlineStr">
        <is>
          <t xml:space="preserve">JAVIER GARZON </t>
        </is>
      </c>
      <c r="N132" s="113" t="n"/>
      <c r="O132" s="113" t="n"/>
      <c r="P132" s="398" t="n"/>
      <c r="Q132" s="398" t="n"/>
      <c r="R132" s="113" t="n"/>
      <c r="S132" s="113" t="n"/>
      <c r="T132" s="113" t="n"/>
      <c r="U132" s="113" t="n"/>
      <c r="V132" s="113" t="n"/>
    </row>
    <row r="133" ht="15.75" customHeight="1">
      <c r="A133" s="146" t="n">
        <v>2</v>
      </c>
      <c r="B133" s="238" t="n">
        <v>128</v>
      </c>
      <c r="C133" s="416" t="n">
        <v>45822</v>
      </c>
      <c r="D133" s="166" t="inlineStr">
        <is>
          <t>219 G. SAN JOSE 2</t>
        </is>
      </c>
      <c r="E133" s="166" t="n">
        <v>41618</v>
      </c>
      <c r="F133" s="166" t="inlineStr">
        <is>
          <t>FABIO ALDANA</t>
        </is>
      </c>
      <c r="G133" s="166" t="n">
        <v>3683</v>
      </c>
      <c r="H133" s="166" t="n">
        <v>3648</v>
      </c>
      <c r="I133" s="166" t="n">
        <v>10</v>
      </c>
      <c r="J133" s="166" t="n">
        <v>12</v>
      </c>
      <c r="K133" s="166" t="n">
        <v>13</v>
      </c>
      <c r="L133" s="451" t="n">
        <v>3686</v>
      </c>
      <c r="M133" s="452" t="inlineStr">
        <is>
          <t xml:space="preserve">FABIO ALDANA </t>
        </is>
      </c>
      <c r="N133" s="113" t="n"/>
      <c r="O133" s="113" t="n"/>
      <c r="P133" s="398" t="n"/>
      <c r="Q133" s="398" t="n"/>
      <c r="R133" s="113" t="n"/>
      <c r="S133" s="113" t="n"/>
      <c r="T133" s="113" t="n"/>
      <c r="U133" s="113" t="n"/>
      <c r="V133" s="113" t="n"/>
    </row>
    <row r="134" ht="15.75" customHeight="1">
      <c r="A134" s="146" t="n">
        <v>2</v>
      </c>
      <c r="B134" s="238" t="n">
        <v>129</v>
      </c>
      <c r="C134" s="416" t="n">
        <v>45822</v>
      </c>
      <c r="D134" s="166" t="inlineStr">
        <is>
          <t>219 G. SAN JOSE 2</t>
        </is>
      </c>
      <c r="E134" s="166" t="n">
        <v>41619</v>
      </c>
      <c r="F134" s="166" t="inlineStr">
        <is>
          <t>ALBERTO HERRERA</t>
        </is>
      </c>
      <c r="G134" s="166" t="n">
        <v>3683</v>
      </c>
      <c r="H134" s="166" t="n">
        <v>3632</v>
      </c>
      <c r="I134" s="166" t="n">
        <v>11</v>
      </c>
      <c r="J134" s="166" t="n">
        <v>13</v>
      </c>
      <c r="K134" s="166" t="n">
        <v>27</v>
      </c>
      <c r="L134" s="451" t="n">
        <v>3686</v>
      </c>
      <c r="M134" s="452" t="inlineStr">
        <is>
          <t xml:space="preserve">JOSE HERRERA </t>
        </is>
      </c>
      <c r="N134" s="113" t="n"/>
      <c r="O134" s="113" t="n"/>
      <c r="P134" s="398" t="n"/>
      <c r="Q134" s="398" t="n"/>
      <c r="R134" s="113" t="n"/>
      <c r="S134" s="113" t="n"/>
      <c r="T134" s="113" t="n"/>
      <c r="U134" s="113" t="n"/>
      <c r="V134" s="113" t="n"/>
    </row>
    <row r="135" ht="15.75" customHeight="1">
      <c r="A135" s="146" t="n">
        <v>2</v>
      </c>
      <c r="B135" s="238" t="n">
        <v>130</v>
      </c>
      <c r="C135" s="416" t="n">
        <v>45822</v>
      </c>
      <c r="D135" s="166" t="inlineStr">
        <is>
          <t>219 G. SAN JOSE 2</t>
        </is>
      </c>
      <c r="E135" s="166" t="n">
        <v>41620</v>
      </c>
      <c r="F135" s="166" t="inlineStr">
        <is>
          <t>EDWIN ROJAS</t>
        </is>
      </c>
      <c r="G135" s="166" t="n">
        <v>3683</v>
      </c>
      <c r="H135" s="166" t="n">
        <v>3635</v>
      </c>
      <c r="I135" s="166" t="n">
        <v>14</v>
      </c>
      <c r="J135" s="166" t="n">
        <v>11</v>
      </c>
      <c r="K135" s="166" t="n">
        <v>23</v>
      </c>
      <c r="L135" s="451" t="n">
        <v>3686</v>
      </c>
      <c r="M135" s="452" t="inlineStr">
        <is>
          <t>EDWIN ROJAS</t>
        </is>
      </c>
      <c r="N135" s="113" t="n"/>
      <c r="O135" s="113" t="n"/>
      <c r="P135" s="398" t="n"/>
      <c r="Q135" s="398" t="n"/>
      <c r="R135" s="113" t="n"/>
      <c r="S135" s="113" t="n"/>
      <c r="T135" s="113" t="n"/>
      <c r="U135" s="113" t="n"/>
      <c r="V135" s="113" t="n"/>
    </row>
    <row r="136" ht="15.75" customHeight="1">
      <c r="A136" s="146" t="n">
        <v>2</v>
      </c>
      <c r="B136" s="238" t="n">
        <v>131</v>
      </c>
      <c r="C136" s="419" t="n">
        <v>45822</v>
      </c>
      <c r="D136" s="229" t="inlineStr">
        <is>
          <t>219 G. SAN JOSE 2</t>
        </is>
      </c>
      <c r="E136" s="229" t="n">
        <v>41621</v>
      </c>
      <c r="F136" s="229" t="inlineStr">
        <is>
          <t>DIEGO NIÑO</t>
        </is>
      </c>
      <c r="G136" s="229" t="n">
        <v>3000</v>
      </c>
      <c r="H136" s="229" t="n">
        <v>2948</v>
      </c>
      <c r="I136" s="229" t="n">
        <v>3</v>
      </c>
      <c r="J136" s="229" t="n">
        <v>48</v>
      </c>
      <c r="K136" s="229" t="n">
        <v>1</v>
      </c>
      <c r="L136" s="453" t="n">
        <v>3000</v>
      </c>
      <c r="M136" s="454" t="inlineStr">
        <is>
          <t xml:space="preserve">DIEGO NIÑO </t>
        </is>
      </c>
      <c r="N136" s="450">
        <f>SUM(H126:H136)</f>
        <v/>
      </c>
      <c r="O136" s="426">
        <f>SUM(L126:L136)</f>
        <v/>
      </c>
      <c r="P136" s="455">
        <f>O136-N136</f>
        <v/>
      </c>
      <c r="Q136" s="456">
        <f>SUM(I126:K136)</f>
        <v/>
      </c>
      <c r="R136" s="113" t="n"/>
      <c r="S136" s="113" t="n"/>
      <c r="T136" s="113" t="n"/>
      <c r="U136" s="113" t="n"/>
      <c r="V136" s="113" t="n"/>
    </row>
    <row r="137" ht="15.75" customHeight="1">
      <c r="A137" s="146" t="n">
        <v>2</v>
      </c>
      <c r="B137" s="238" t="n"/>
      <c r="C137" s="399" t="n"/>
      <c r="D137" s="113" t="n"/>
      <c r="E137" s="113" t="n"/>
      <c r="F137" s="113" t="n"/>
      <c r="G137" s="457">
        <f>SUM(G70:G136)</f>
        <v/>
      </c>
      <c r="H137" s="426">
        <f>SUM(H70:H136)</f>
        <v/>
      </c>
      <c r="I137" s="447">
        <f>SUM(I70:I136)</f>
        <v/>
      </c>
      <c r="J137" s="426">
        <f>SUM(J70:J136)</f>
        <v/>
      </c>
      <c r="K137" s="458">
        <f>SUM(K70:K136)</f>
        <v/>
      </c>
      <c r="L137" s="438">
        <f>SUM(L70:L136)</f>
        <v/>
      </c>
      <c r="M137" s="459">
        <f>+H137-L137</f>
        <v/>
      </c>
      <c r="N137" s="113" t="n"/>
      <c r="O137" s="113" t="n"/>
      <c r="P137" s="398">
        <f>SUM(P70:P136)</f>
        <v/>
      </c>
      <c r="Q137" s="398">
        <f>SUM(Q70:Q136)</f>
        <v/>
      </c>
      <c r="R137" s="146">
        <f>+Q137-P137</f>
        <v/>
      </c>
      <c r="S137" s="113" t="n"/>
      <c r="T137" s="113" t="n"/>
      <c r="U137" s="113" t="n"/>
      <c r="V137" s="113" t="n"/>
    </row>
    <row r="138" ht="15.75" customHeight="1">
      <c r="A138" s="146" t="n">
        <v>2</v>
      </c>
      <c r="B138" s="238" t="n"/>
      <c r="C138" s="399" t="n"/>
      <c r="D138" s="113" t="n"/>
      <c r="E138" s="113" t="n"/>
      <c r="F138" s="113" t="n"/>
      <c r="G138" s="395" t="n"/>
      <c r="H138" s="395" t="n"/>
      <c r="I138" s="395" t="n"/>
      <c r="J138" s="395" t="n"/>
      <c r="K138" s="395" t="n"/>
      <c r="L138" s="397" t="n"/>
      <c r="M138" s="113" t="n"/>
      <c r="N138" s="113" t="n"/>
      <c r="O138" s="113" t="n"/>
      <c r="P138" s="398" t="n"/>
      <c r="Q138" s="398" t="n"/>
      <c r="R138" s="113" t="n"/>
      <c r="S138" s="113" t="n"/>
      <c r="T138" s="113" t="n"/>
      <c r="U138" s="113" t="n"/>
      <c r="V138" s="113" t="n"/>
    </row>
    <row r="139" ht="15.75" customHeight="1">
      <c r="A139" s="146" t="n">
        <v>3</v>
      </c>
      <c r="B139" s="238" t="n"/>
      <c r="C139" s="460" t="n">
        <v>45824</v>
      </c>
      <c r="D139" s="461" t="inlineStr">
        <is>
          <t>221 G. MALAGUEÑA-LA MANIGUA</t>
        </is>
      </c>
      <c r="E139" s="461" t="n">
        <v>41622</v>
      </c>
      <c r="F139" s="461" t="inlineStr">
        <is>
          <t>MANUEL QUITIAN</t>
        </is>
      </c>
      <c r="G139" s="462" t="n">
        <v>3536</v>
      </c>
      <c r="H139" s="462" t="n">
        <v>3519</v>
      </c>
      <c r="I139" s="462" t="n">
        <v>4</v>
      </c>
      <c r="J139" s="462" t="n">
        <v>18</v>
      </c>
      <c r="K139" s="463" t="n">
        <v>-5</v>
      </c>
      <c r="L139" s="464" t="n">
        <v>3536</v>
      </c>
      <c r="M139" s="232" t="inlineStr">
        <is>
          <t xml:space="preserve">MANUEL QUITIAN </t>
        </is>
      </c>
      <c r="N139" s="113" t="n"/>
      <c r="O139" s="113" t="n"/>
      <c r="P139" s="398" t="n"/>
      <c r="Q139" s="398" t="n"/>
      <c r="R139" s="113" t="n"/>
      <c r="S139" s="113" t="n"/>
      <c r="T139" s="113" t="n"/>
      <c r="U139" s="113" t="n"/>
      <c r="V139" s="113" t="n"/>
    </row>
    <row r="140" ht="15.75" customHeight="1">
      <c r="A140" s="146" t="n">
        <v>3</v>
      </c>
      <c r="B140" s="238" t="n"/>
      <c r="C140" s="465" t="n">
        <v>45824</v>
      </c>
      <c r="D140" s="146" t="inlineStr">
        <is>
          <t>221 G. MALAGUEÑA-LA MANIGUA</t>
        </is>
      </c>
      <c r="E140" s="146" t="n">
        <v>41623</v>
      </c>
      <c r="F140" s="146" t="inlineStr">
        <is>
          <t>HENRY ROMERO</t>
        </is>
      </c>
      <c r="G140" s="395" t="n">
        <v>3536</v>
      </c>
      <c r="H140" s="395" t="n">
        <v>3519</v>
      </c>
      <c r="I140" s="395" t="n">
        <v>4</v>
      </c>
      <c r="J140" s="395" t="n">
        <v>18</v>
      </c>
      <c r="K140" s="466" t="n">
        <v>-5</v>
      </c>
      <c r="L140" s="467" t="n">
        <v>3536</v>
      </c>
      <c r="M140" s="233" t="inlineStr">
        <is>
          <t>HENRY ROMERO</t>
        </is>
      </c>
      <c r="N140" s="113" t="n"/>
      <c r="O140" s="113" t="n"/>
      <c r="P140" s="398" t="n"/>
      <c r="Q140" s="398" t="n"/>
      <c r="R140" s="113" t="n"/>
      <c r="S140" s="113" t="n"/>
      <c r="T140" s="113" t="n"/>
      <c r="U140" s="113" t="n"/>
      <c r="V140" s="113" t="n"/>
    </row>
    <row r="141" ht="15.75" customHeight="1">
      <c r="A141" s="146" t="n">
        <v>3</v>
      </c>
      <c r="B141" s="238" t="n"/>
      <c r="C141" s="465" t="n">
        <v>45824</v>
      </c>
      <c r="D141" s="146" t="inlineStr">
        <is>
          <t>221 G. MALAGUEÑA-LA MANIGUA</t>
        </is>
      </c>
      <c r="E141" s="146" t="n">
        <v>41624</v>
      </c>
      <c r="F141" s="146" t="inlineStr">
        <is>
          <t>FERNANDO OYUELA</t>
        </is>
      </c>
      <c r="G141" s="395" t="n">
        <v>3536</v>
      </c>
      <c r="H141" s="395" t="n">
        <v>3521</v>
      </c>
      <c r="I141" s="395" t="n">
        <v>1</v>
      </c>
      <c r="J141" s="395" t="n">
        <v>17</v>
      </c>
      <c r="K141" s="466" t="n">
        <v>-3</v>
      </c>
      <c r="L141" s="467" t="n">
        <v>3536</v>
      </c>
      <c r="M141" s="233" t="inlineStr">
        <is>
          <t xml:space="preserve">FERNANDO OYUELA </t>
        </is>
      </c>
      <c r="N141" s="113" t="n"/>
      <c r="O141" s="113" t="n"/>
      <c r="P141" s="398" t="n"/>
      <c r="Q141" s="398" t="n"/>
      <c r="R141" s="113" t="n"/>
      <c r="S141" s="113" t="n"/>
      <c r="T141" s="113" t="n"/>
      <c r="U141" s="113" t="n"/>
      <c r="V141" s="113" t="n"/>
    </row>
    <row r="142" ht="15.75" customHeight="1">
      <c r="A142" s="146" t="n">
        <v>3</v>
      </c>
      <c r="B142" s="238" t="n"/>
      <c r="C142" s="465" t="n">
        <v>45824</v>
      </c>
      <c r="D142" s="146" t="inlineStr">
        <is>
          <t>221 G. MALAGUEÑA-LA MANIGUA</t>
        </is>
      </c>
      <c r="E142" s="146" t="n">
        <v>41625</v>
      </c>
      <c r="F142" s="146" t="inlineStr">
        <is>
          <t>EDWIN ROJAS</t>
        </is>
      </c>
      <c r="G142" s="395" t="n">
        <v>3596</v>
      </c>
      <c r="H142" s="395" t="n">
        <v>3585</v>
      </c>
      <c r="I142" s="395" t="n">
        <v>1</v>
      </c>
      <c r="J142" s="395" t="n">
        <v>18</v>
      </c>
      <c r="K142" s="466" t="n">
        <v>-8</v>
      </c>
      <c r="L142" s="467" t="n">
        <v>3598</v>
      </c>
      <c r="M142" s="233" t="inlineStr">
        <is>
          <t>EDWIN ROJAS</t>
        </is>
      </c>
      <c r="N142" s="113" t="n"/>
      <c r="O142" s="113" t="n"/>
      <c r="P142" s="398" t="n"/>
      <c r="Q142" s="398" t="n"/>
      <c r="R142" s="113" t="n"/>
      <c r="S142" s="113" t="n"/>
      <c r="T142" s="113" t="n"/>
      <c r="U142" s="113" t="n"/>
      <c r="V142" s="113" t="n"/>
    </row>
    <row r="143" ht="15.75" customHeight="1">
      <c r="A143" s="146" t="n">
        <v>3</v>
      </c>
      <c r="B143" s="238" t="n"/>
      <c r="C143" s="465" t="n">
        <v>45824</v>
      </c>
      <c r="D143" s="146" t="inlineStr">
        <is>
          <t>219 G. SAN JOSE 2</t>
        </is>
      </c>
      <c r="E143" s="146" t="n">
        <v>41626</v>
      </c>
      <c r="F143" s="146" t="inlineStr">
        <is>
          <t>DIEGO NIÑO</t>
        </is>
      </c>
      <c r="G143" s="395" t="n">
        <v>3167</v>
      </c>
      <c r="H143" s="395" t="n">
        <v>3151</v>
      </c>
      <c r="I143" s="395" t="n">
        <v>2</v>
      </c>
      <c r="J143" s="395" t="n">
        <v>6</v>
      </c>
      <c r="K143" s="466" t="n">
        <v>8</v>
      </c>
      <c r="L143" s="467" t="n">
        <v>3163</v>
      </c>
      <c r="M143" s="233" t="inlineStr">
        <is>
          <t xml:space="preserve">DIEGO NIÑO </t>
        </is>
      </c>
      <c r="N143" s="113" t="n"/>
      <c r="O143" s="113" t="n"/>
      <c r="P143" s="398" t="n"/>
      <c r="Q143" s="398" t="n"/>
      <c r="R143" s="113" t="n"/>
      <c r="S143" s="113" t="n"/>
      <c r="T143" s="113" t="n"/>
      <c r="U143" s="113" t="n"/>
      <c r="V143" s="113" t="n"/>
    </row>
    <row r="144" ht="15.75" customHeight="1">
      <c r="A144" s="146" t="n">
        <v>3</v>
      </c>
      <c r="B144" s="238" t="n"/>
      <c r="C144" s="465" t="n">
        <v>45824</v>
      </c>
      <c r="D144" s="146" t="inlineStr">
        <is>
          <t>219 G. SAN JOSE 2</t>
        </is>
      </c>
      <c r="E144" s="146" t="n">
        <v>41627</v>
      </c>
      <c r="F144" s="146" t="inlineStr">
        <is>
          <t>ALEX GOMEZ</t>
        </is>
      </c>
      <c r="G144" s="395" t="n">
        <v>3164</v>
      </c>
      <c r="H144" s="395" t="n">
        <v>3147</v>
      </c>
      <c r="I144" s="395" t="n">
        <v>1</v>
      </c>
      <c r="J144" s="395" t="n">
        <v>8</v>
      </c>
      <c r="K144" s="466" t="n">
        <v>8</v>
      </c>
      <c r="L144" s="467" t="n">
        <v>3163</v>
      </c>
      <c r="M144" s="233" t="inlineStr">
        <is>
          <t xml:space="preserve">ALEX GOMEZ </t>
        </is>
      </c>
      <c r="N144" s="113" t="n"/>
      <c r="O144" s="113" t="n"/>
      <c r="P144" s="398" t="n"/>
      <c r="Q144" s="398" t="n"/>
      <c r="R144" s="113" t="n"/>
      <c r="S144" s="113" t="n"/>
      <c r="T144" s="113" t="n"/>
      <c r="U144" s="113" t="n"/>
      <c r="V144" s="113" t="n"/>
    </row>
    <row r="145" ht="15.75" customHeight="1">
      <c r="A145" s="146" t="n">
        <v>3</v>
      </c>
      <c r="B145" s="238" t="n"/>
      <c r="C145" s="465" t="n">
        <v>45824</v>
      </c>
      <c r="D145" s="146" t="inlineStr">
        <is>
          <t>219 G. SAN JOSE 2</t>
        </is>
      </c>
      <c r="E145" s="146" t="n">
        <v>41628</v>
      </c>
      <c r="F145" s="146" t="inlineStr">
        <is>
          <t>DUMAR ANGARITA</t>
        </is>
      </c>
      <c r="G145" s="395" t="n">
        <v>3167</v>
      </c>
      <c r="H145" s="395" t="n">
        <v>3150</v>
      </c>
      <c r="I145" s="395" t="n">
        <v>1</v>
      </c>
      <c r="J145" s="395" t="n">
        <v>9</v>
      </c>
      <c r="K145" s="466" t="n">
        <v>7</v>
      </c>
      <c r="L145" s="467" t="n">
        <v>3163</v>
      </c>
      <c r="M145" s="233" t="inlineStr">
        <is>
          <t xml:space="preserve">DUMAR ANGARITA </t>
        </is>
      </c>
      <c r="N145" s="113" t="n"/>
      <c r="O145" s="113" t="n"/>
      <c r="P145" s="398" t="n"/>
      <c r="Q145" s="398" t="n"/>
      <c r="R145" s="113" t="n"/>
      <c r="S145" s="113" t="n"/>
      <c r="T145" s="113" t="n"/>
      <c r="U145" s="113" t="n"/>
      <c r="V145" s="113" t="n"/>
    </row>
    <row r="146" ht="15.75" customHeight="1">
      <c r="A146" s="146" t="n">
        <v>3</v>
      </c>
      <c r="B146" s="238" t="n"/>
      <c r="C146" s="465" t="n">
        <v>45824</v>
      </c>
      <c r="D146" s="146" t="inlineStr">
        <is>
          <t>219 G. SAN JOSE 2</t>
        </is>
      </c>
      <c r="E146" s="146" t="n">
        <v>41632</v>
      </c>
      <c r="F146" s="146" t="inlineStr">
        <is>
          <t>JAIRO CUBILLOS</t>
        </is>
      </c>
      <c r="G146" s="395" t="n">
        <v>3775</v>
      </c>
      <c r="H146" s="395" t="n">
        <v>3697</v>
      </c>
      <c r="I146" s="395" t="n">
        <v>6</v>
      </c>
      <c r="J146" s="395" t="n">
        <v>22</v>
      </c>
      <c r="K146" s="466" t="n">
        <v>50</v>
      </c>
      <c r="L146" s="467" t="n">
        <v>3725</v>
      </c>
      <c r="M146" s="233" t="inlineStr">
        <is>
          <t xml:space="preserve">JAIRO CUBILLOS </t>
        </is>
      </c>
      <c r="N146" s="113" t="n"/>
      <c r="O146" s="113" t="n"/>
      <c r="P146" s="398" t="n"/>
      <c r="Q146" s="398" t="n"/>
      <c r="R146" s="113" t="n"/>
      <c r="S146" s="113" t="n"/>
      <c r="T146" s="113" t="n"/>
      <c r="U146" s="113" t="n"/>
      <c r="V146" s="113" t="n"/>
    </row>
    <row r="147" ht="15.75" customHeight="1">
      <c r="A147" s="146" t="n">
        <v>3</v>
      </c>
      <c r="B147" s="238" t="n"/>
      <c r="C147" s="465" t="n">
        <v>45824</v>
      </c>
      <c r="D147" s="146" t="inlineStr">
        <is>
          <t>219 G. SAN JOSE 2</t>
        </is>
      </c>
      <c r="E147" s="146" t="n">
        <v>41633</v>
      </c>
      <c r="F147" s="146" t="inlineStr">
        <is>
          <t>EDUAN CAVIEDES</t>
        </is>
      </c>
      <c r="G147" s="395" t="n">
        <v>3753</v>
      </c>
      <c r="H147" s="395" t="n">
        <v>3754</v>
      </c>
      <c r="I147" s="395" t="n">
        <v>2</v>
      </c>
      <c r="J147" s="395" t="n">
        <v>18</v>
      </c>
      <c r="K147" s="466" t="n">
        <v>-21</v>
      </c>
      <c r="L147" s="467" t="n">
        <v>3725</v>
      </c>
      <c r="M147" s="233" t="inlineStr">
        <is>
          <t xml:space="preserve">FABIO ALDANA </t>
        </is>
      </c>
      <c r="N147" s="113" t="n"/>
      <c r="O147" s="113" t="n"/>
      <c r="P147" s="398" t="n"/>
      <c r="Q147" s="398" t="n"/>
      <c r="R147" s="113" t="n"/>
      <c r="S147" s="113" t="n"/>
      <c r="T147" s="113" t="n"/>
      <c r="U147" s="113" t="n"/>
      <c r="V147" s="113" t="n"/>
    </row>
    <row r="148" ht="15.75" customHeight="1">
      <c r="A148" s="146" t="n">
        <v>3</v>
      </c>
      <c r="B148" s="238" t="n"/>
      <c r="C148" s="465" t="n">
        <v>45824</v>
      </c>
      <c r="D148" s="146" t="inlineStr">
        <is>
          <t>219 G. SAN JOSE 2</t>
        </is>
      </c>
      <c r="E148" s="146" t="n">
        <v>41634</v>
      </c>
      <c r="F148" s="146" t="inlineStr">
        <is>
          <t>FABIO ALDANA</t>
        </is>
      </c>
      <c r="G148" s="395" t="n">
        <v>2725</v>
      </c>
      <c r="H148" s="395" t="n">
        <v>3625</v>
      </c>
      <c r="I148" s="395" t="n">
        <v>2</v>
      </c>
      <c r="J148" s="395" t="n">
        <v>14</v>
      </c>
      <c r="K148" s="466" t="n">
        <v>-916</v>
      </c>
      <c r="L148" s="467" t="n">
        <v>3753</v>
      </c>
      <c r="M148" s="233" t="inlineStr">
        <is>
          <t xml:space="preserve">EDUAN CAVIEDEZ </t>
        </is>
      </c>
      <c r="N148" s="113" t="n"/>
      <c r="O148" s="113" t="n"/>
      <c r="P148" s="398" t="n"/>
      <c r="Q148" s="398" t="n"/>
      <c r="R148" s="113" t="n"/>
      <c r="S148" s="113" t="n"/>
      <c r="T148" s="113" t="n"/>
      <c r="U148" s="113" t="n"/>
      <c r="V148" s="113" t="n"/>
    </row>
    <row r="149" ht="15.75" customHeight="1">
      <c r="A149" s="146" t="n">
        <v>3</v>
      </c>
      <c r="B149" s="238" t="n"/>
      <c r="C149" s="465" t="n">
        <v>45824</v>
      </c>
      <c r="D149" s="146" t="inlineStr">
        <is>
          <t>219 G. SAN JOSE 2</t>
        </is>
      </c>
      <c r="E149" s="146" t="n">
        <v>41635</v>
      </c>
      <c r="F149" s="146" t="inlineStr">
        <is>
          <t>ALBERTO HERRERA</t>
        </is>
      </c>
      <c r="G149" s="395" t="n">
        <v>3675</v>
      </c>
      <c r="H149" s="395" t="n">
        <v>3688</v>
      </c>
      <c r="I149" s="395" t="n">
        <v>2</v>
      </c>
      <c r="J149" s="395" t="n">
        <v>10</v>
      </c>
      <c r="K149" s="466" t="n">
        <v>-25</v>
      </c>
      <c r="L149" s="467" t="n">
        <v>3675</v>
      </c>
      <c r="M149" s="234" t="inlineStr">
        <is>
          <t xml:space="preserve">JOSE HERRERA </t>
        </is>
      </c>
      <c r="N149" s="113" t="n"/>
      <c r="O149" s="113" t="n"/>
      <c r="P149" s="398" t="n"/>
      <c r="Q149" s="398" t="n"/>
      <c r="R149" s="113" t="n"/>
      <c r="S149" s="113" t="n"/>
      <c r="T149" s="113" t="n"/>
      <c r="U149" s="113" t="n"/>
      <c r="V149" s="113" t="n"/>
    </row>
    <row r="150" ht="15.75" customHeight="1">
      <c r="A150" s="146" t="n">
        <v>3</v>
      </c>
      <c r="B150" s="238" t="n"/>
      <c r="C150" s="465" t="n">
        <v>45824</v>
      </c>
      <c r="D150" s="146" t="inlineStr">
        <is>
          <t>219 G. SAN JOSE 2</t>
        </is>
      </c>
      <c r="E150" s="146" t="n">
        <v>41636</v>
      </c>
      <c r="F150" s="146" t="inlineStr">
        <is>
          <t>ALBERTO LOPEZ</t>
        </is>
      </c>
      <c r="G150" s="395" t="n">
        <v>3725</v>
      </c>
      <c r="H150" s="395" t="n">
        <v>3646</v>
      </c>
      <c r="I150" s="395" t="n">
        <v>8</v>
      </c>
      <c r="J150" s="395" t="n">
        <v>14</v>
      </c>
      <c r="K150" s="466" t="n">
        <v>57</v>
      </c>
      <c r="L150" s="467" t="n">
        <v>3725</v>
      </c>
      <c r="M150" s="234" t="inlineStr">
        <is>
          <t xml:space="preserve">ALBERTO LOPEZ </t>
        </is>
      </c>
      <c r="N150" s="113" t="n"/>
      <c r="O150" s="113" t="n"/>
      <c r="P150" s="398" t="n"/>
      <c r="Q150" s="398" t="n"/>
      <c r="R150" s="113" t="n"/>
      <c r="S150" s="113" t="n"/>
      <c r="T150" s="113" t="n"/>
      <c r="U150" s="113" t="n"/>
      <c r="V150" s="113" t="n"/>
    </row>
    <row r="151" ht="15.75" customHeight="1">
      <c r="A151" s="146" t="n">
        <v>3</v>
      </c>
      <c r="B151" s="238" t="n"/>
      <c r="C151" s="465" t="n">
        <v>45824</v>
      </c>
      <c r="D151" s="146" t="inlineStr">
        <is>
          <t>219 G. SAN JOSE 2</t>
        </is>
      </c>
      <c r="E151" s="146" t="n">
        <v>41637</v>
      </c>
      <c r="F151" s="146" t="inlineStr">
        <is>
          <t>MANUEL QUITIAN</t>
        </is>
      </c>
      <c r="G151" s="395" t="n">
        <v>3675</v>
      </c>
      <c r="H151" s="395" t="n">
        <v>3590</v>
      </c>
      <c r="I151" s="395" t="n">
        <v>6</v>
      </c>
      <c r="J151" s="395" t="n">
        <v>30</v>
      </c>
      <c r="K151" s="466" t="n">
        <v>49</v>
      </c>
      <c r="L151" s="467" t="n">
        <v>3600</v>
      </c>
      <c r="M151" s="234" t="inlineStr">
        <is>
          <t xml:space="preserve">MANUEL QUITIAN </t>
        </is>
      </c>
      <c r="N151" s="113" t="n"/>
      <c r="O151" s="113" t="n"/>
      <c r="P151" s="398" t="n"/>
      <c r="Q151" s="398" t="n"/>
      <c r="R151" s="113" t="n"/>
      <c r="S151" s="113" t="n"/>
      <c r="T151" s="113" t="n"/>
      <c r="U151" s="113" t="n"/>
      <c r="V151" s="113" t="n"/>
    </row>
    <row r="152" ht="15.75" customHeight="1">
      <c r="A152" s="146" t="n">
        <v>3</v>
      </c>
      <c r="B152" s="238" t="n"/>
      <c r="C152" s="465" t="n">
        <v>45824</v>
      </c>
      <c r="D152" s="146" t="inlineStr">
        <is>
          <t>219 G. SAN JOSE 2</t>
        </is>
      </c>
      <c r="E152" s="146" t="n">
        <v>41638</v>
      </c>
      <c r="F152" s="146" t="inlineStr">
        <is>
          <t>HENRY ROMERO</t>
        </is>
      </c>
      <c r="G152" s="395" t="n">
        <v>3600</v>
      </c>
      <c r="H152" s="395" t="n">
        <v>3524</v>
      </c>
      <c r="I152" s="395" t="n">
        <v>3</v>
      </c>
      <c r="J152" s="395" t="n">
        <v>31</v>
      </c>
      <c r="K152" s="466" t="n">
        <v>42</v>
      </c>
      <c r="L152" s="467" t="n">
        <v>3555</v>
      </c>
      <c r="M152" s="234" t="inlineStr">
        <is>
          <t>HENRY ROMERO</t>
        </is>
      </c>
      <c r="N152" s="113" t="n"/>
      <c r="O152" s="113" t="n"/>
      <c r="P152" s="398" t="n"/>
      <c r="Q152" s="398" t="n"/>
      <c r="R152" s="113" t="n"/>
      <c r="S152" s="113" t="n"/>
      <c r="T152" s="113" t="n"/>
      <c r="U152" s="113" t="n"/>
      <c r="V152" s="113" t="n"/>
    </row>
    <row r="153" ht="15.75" customHeight="1">
      <c r="A153" s="146" t="n">
        <v>3</v>
      </c>
      <c r="B153" s="238" t="n"/>
      <c r="C153" s="465" t="n">
        <v>45824</v>
      </c>
      <c r="D153" s="146" t="inlineStr">
        <is>
          <t>219 G. SAN JOSE 2</t>
        </is>
      </c>
      <c r="E153" s="146" t="n">
        <v>41639</v>
      </c>
      <c r="F153" s="146" t="inlineStr">
        <is>
          <t>FERNANDO OYUELA</t>
        </is>
      </c>
      <c r="G153" s="395" t="n">
        <v>3675</v>
      </c>
      <c r="H153" s="395" t="n">
        <v>3659</v>
      </c>
      <c r="I153" s="395" t="n">
        <v>5</v>
      </c>
      <c r="J153" s="395" t="n">
        <v>16</v>
      </c>
      <c r="K153" s="466" t="n">
        <v>-5</v>
      </c>
      <c r="L153" s="467" t="n">
        <v>3675</v>
      </c>
      <c r="M153" s="234" t="inlineStr">
        <is>
          <t xml:space="preserve">FERNANDO OYUELA </t>
        </is>
      </c>
      <c r="N153" s="113" t="n"/>
      <c r="O153" s="113" t="n"/>
      <c r="P153" s="398" t="n"/>
      <c r="Q153" s="398" t="n"/>
      <c r="R153" s="113" t="n"/>
      <c r="S153" s="113" t="n"/>
      <c r="T153" s="113" t="n"/>
      <c r="U153" s="113" t="n"/>
      <c r="V153" s="113" t="n"/>
    </row>
    <row r="154" ht="15.75" customHeight="1">
      <c r="A154" s="146" t="n">
        <v>3</v>
      </c>
      <c r="B154" s="238" t="n"/>
      <c r="C154" s="465" t="n">
        <v>45824</v>
      </c>
      <c r="D154" s="146" t="inlineStr">
        <is>
          <t>219 G. SAN JOSE 2</t>
        </is>
      </c>
      <c r="E154" s="146" t="n">
        <v>41640</v>
      </c>
      <c r="F154" s="146" t="inlineStr">
        <is>
          <t>EDWIN ROJAS</t>
        </is>
      </c>
      <c r="G154" s="395" t="n">
        <v>3600</v>
      </c>
      <c r="H154" s="395" t="n">
        <v>3587</v>
      </c>
      <c r="I154" s="395" t="n">
        <v>4</v>
      </c>
      <c r="J154" s="395" t="n">
        <v>18</v>
      </c>
      <c r="K154" s="466" t="n">
        <v>-9</v>
      </c>
      <c r="L154" s="467" t="n">
        <v>3600</v>
      </c>
      <c r="M154" s="234" t="inlineStr">
        <is>
          <t>EDWIN ROJAS</t>
        </is>
      </c>
      <c r="N154" s="113" t="n"/>
      <c r="O154" s="113" t="n"/>
      <c r="P154" s="398" t="n"/>
      <c r="Q154" s="398" t="n"/>
      <c r="R154" s="113" t="n"/>
      <c r="S154" s="113" t="n"/>
      <c r="T154" s="113" t="n"/>
      <c r="U154" s="113" t="n"/>
      <c r="V154" s="113" t="n"/>
    </row>
    <row r="155" ht="15.75" customHeight="1">
      <c r="A155" s="146" t="n">
        <v>3</v>
      </c>
      <c r="B155" s="238" t="n"/>
      <c r="C155" s="468" t="n">
        <v>45824</v>
      </c>
      <c r="D155" s="469" t="inlineStr">
        <is>
          <t>219 G. SAN JOSE 2</t>
        </is>
      </c>
      <c r="E155" s="469" t="n">
        <v>41641</v>
      </c>
      <c r="F155" s="469" t="inlineStr">
        <is>
          <t>DIEGO NIÑO</t>
        </is>
      </c>
      <c r="G155" s="470" t="n">
        <v>3600</v>
      </c>
      <c r="H155" s="470" t="n">
        <v>3591</v>
      </c>
      <c r="I155" s="470" t="n">
        <v>4</v>
      </c>
      <c r="J155" s="470" t="n">
        <v>36</v>
      </c>
      <c r="K155" s="471" t="n">
        <v>-31</v>
      </c>
      <c r="L155" s="472" t="n">
        <v>3600</v>
      </c>
      <c r="M155" s="235" t="inlineStr">
        <is>
          <t xml:space="preserve">DIEGO NIÑO </t>
        </is>
      </c>
      <c r="N155" s="113" t="n"/>
      <c r="O155" s="113" t="n"/>
      <c r="P155" s="398" t="n"/>
      <c r="Q155" s="398" t="n"/>
      <c r="R155" s="113" t="n"/>
      <c r="S155" s="113" t="n"/>
      <c r="T155" s="113" t="n"/>
      <c r="U155" s="113" t="n"/>
      <c r="V155" s="113" t="n"/>
    </row>
    <row r="156" ht="15.75" customHeight="1">
      <c r="A156" s="146" t="n">
        <v>3</v>
      </c>
      <c r="B156" s="238" t="n"/>
      <c r="C156" s="460" t="n">
        <v>45825</v>
      </c>
      <c r="D156" s="461" t="inlineStr">
        <is>
          <t>221 G. MALAGUEÑA-LA MANIGUA</t>
        </is>
      </c>
      <c r="E156" s="461" t="n">
        <v>41642</v>
      </c>
      <c r="F156" s="461" t="inlineStr">
        <is>
          <t>JHON ARIAs</t>
        </is>
      </c>
      <c r="G156" s="462" t="n">
        <v>3600</v>
      </c>
      <c r="H156" s="462" t="n">
        <v>3574</v>
      </c>
      <c r="I156" s="462" t="n">
        <v>4</v>
      </c>
      <c r="J156" s="462" t="n">
        <v>19</v>
      </c>
      <c r="K156" s="463" t="n">
        <v>3</v>
      </c>
      <c r="L156" s="464" t="n">
        <v>3600</v>
      </c>
      <c r="M156" s="473" t="inlineStr">
        <is>
          <t xml:space="preserve">JHON ARIAS </t>
        </is>
      </c>
      <c r="N156" s="113" t="n"/>
      <c r="O156" s="113" t="n"/>
      <c r="P156" s="398" t="n"/>
      <c r="Q156" s="398" t="n"/>
      <c r="R156" s="113" t="n"/>
      <c r="S156" s="113" t="n"/>
      <c r="T156" s="113" t="n"/>
      <c r="U156" s="113" t="n"/>
      <c r="V156" s="113" t="n"/>
    </row>
    <row r="157" ht="15.75" customHeight="1">
      <c r="A157" s="146" t="n">
        <v>3</v>
      </c>
      <c r="B157" s="238" t="n"/>
      <c r="C157" s="465" t="n">
        <v>45825</v>
      </c>
      <c r="D157" s="146" t="inlineStr">
        <is>
          <t>221 G. MALAGUEÑA-LA MANIGUA</t>
        </is>
      </c>
      <c r="E157" s="146" t="n">
        <v>41643</v>
      </c>
      <c r="F157" s="146" t="inlineStr">
        <is>
          <t>ALBERTO HERRERA</t>
        </is>
      </c>
      <c r="G157" s="395" t="n">
        <v>3600</v>
      </c>
      <c r="H157" s="395" t="n">
        <v>3577</v>
      </c>
      <c r="I157" s="395" t="n">
        <v>4</v>
      </c>
      <c r="J157" s="395" t="n">
        <v>17</v>
      </c>
      <c r="K157" s="466" t="n">
        <v>2</v>
      </c>
      <c r="L157" s="467" t="n">
        <v>3600</v>
      </c>
      <c r="M157" s="234" t="inlineStr">
        <is>
          <t xml:space="preserve">JOSE HERRERA </t>
        </is>
      </c>
      <c r="N157" s="113" t="n"/>
      <c r="O157" s="113" t="n"/>
      <c r="P157" s="398" t="n"/>
      <c r="Q157" s="398" t="n"/>
      <c r="R157" s="113" t="n"/>
      <c r="S157" s="113" t="n"/>
      <c r="T157" s="113" t="n"/>
      <c r="U157" s="113" t="n"/>
      <c r="V157" s="113" t="n"/>
    </row>
    <row r="158" ht="15.75" customHeight="1">
      <c r="A158" s="146" t="n">
        <v>3</v>
      </c>
      <c r="B158" s="238" t="n"/>
      <c r="C158" s="465" t="n">
        <v>45825</v>
      </c>
      <c r="D158" s="146" t="inlineStr">
        <is>
          <t>221 G. MALAGUEÑA-LA MANIGUA</t>
        </is>
      </c>
      <c r="E158" s="146" t="n">
        <v>41644</v>
      </c>
      <c r="F158" s="146" t="inlineStr">
        <is>
          <t>DIEGO NIÑO</t>
        </is>
      </c>
      <c r="G158" s="395" t="n">
        <v>3600</v>
      </c>
      <c r="H158" s="395" t="n">
        <v>3601</v>
      </c>
      <c r="I158" s="395" t="n">
        <v>2</v>
      </c>
      <c r="J158" s="395" t="n">
        <v>12</v>
      </c>
      <c r="K158" s="466" t="n">
        <v>-15</v>
      </c>
      <c r="L158" s="467" t="n">
        <v>3600</v>
      </c>
      <c r="M158" s="234" t="inlineStr">
        <is>
          <t xml:space="preserve">DIEGO NIÑO </t>
        </is>
      </c>
      <c r="N158" s="113" t="n"/>
      <c r="O158" s="113" t="n"/>
      <c r="P158" s="398" t="n"/>
      <c r="Q158" s="398" t="n"/>
      <c r="R158" s="113" t="n"/>
      <c r="S158" s="113" t="n"/>
      <c r="T158" s="113" t="n"/>
      <c r="U158" s="113" t="n"/>
      <c r="V158" s="113" t="n"/>
    </row>
    <row r="159" ht="15.75" customHeight="1">
      <c r="A159" s="146" t="n">
        <v>3</v>
      </c>
      <c r="B159" s="238" t="n"/>
      <c r="C159" s="465" t="n">
        <v>45825</v>
      </c>
      <c r="D159" s="146" t="inlineStr">
        <is>
          <t>221 G. MALAGUEÑA-LA MANIGUA</t>
        </is>
      </c>
      <c r="E159" s="146" t="n">
        <v>41645</v>
      </c>
      <c r="F159" s="146" t="inlineStr">
        <is>
          <t>DUMAR ANGARITA</t>
        </is>
      </c>
      <c r="G159" s="395" t="n">
        <v>3600</v>
      </c>
      <c r="H159" s="395" t="n">
        <v>3588</v>
      </c>
      <c r="I159" s="395" t="n">
        <v>10</v>
      </c>
      <c r="J159" s="395" t="n">
        <v>14</v>
      </c>
      <c r="K159" s="466" t="n">
        <v>-12</v>
      </c>
      <c r="L159" s="467" t="n">
        <v>3600</v>
      </c>
      <c r="M159" s="234" t="inlineStr">
        <is>
          <t xml:space="preserve">DUMAR ANGARITA </t>
        </is>
      </c>
      <c r="N159" s="113" t="n"/>
      <c r="O159" s="113" t="n"/>
      <c r="P159" s="398" t="n"/>
      <c r="Q159" s="398" t="n"/>
      <c r="R159" s="113" t="n"/>
      <c r="S159" s="113" t="n"/>
      <c r="T159" s="113" t="n"/>
      <c r="U159" s="113" t="n"/>
      <c r="V159" s="113" t="n"/>
    </row>
    <row r="160" ht="15.75" customHeight="1">
      <c r="A160" s="146" t="n">
        <v>3</v>
      </c>
      <c r="B160" s="238" t="n"/>
      <c r="C160" s="465" t="n">
        <v>45825</v>
      </c>
      <c r="D160" s="146" t="inlineStr">
        <is>
          <t>221 G. MALAGUEÑA-LA MANIGUA</t>
        </is>
      </c>
      <c r="E160" s="146" t="n">
        <v>41646</v>
      </c>
      <c r="F160" s="146" t="inlineStr">
        <is>
          <t>JAIRO CUBILLOS</t>
        </is>
      </c>
      <c r="G160" s="395" t="n">
        <v>3600</v>
      </c>
      <c r="H160" s="395" t="n">
        <v>3591</v>
      </c>
      <c r="I160" s="395" t="n">
        <v>4</v>
      </c>
      <c r="J160" s="395" t="n">
        <v>13</v>
      </c>
      <c r="K160" s="466" t="n">
        <v>-8</v>
      </c>
      <c r="L160" s="467" t="n">
        <v>3600</v>
      </c>
      <c r="M160" s="234" t="inlineStr">
        <is>
          <t xml:space="preserve">JAIRO CUBILLOS </t>
        </is>
      </c>
      <c r="N160" s="113" t="n"/>
      <c r="O160" s="113" t="n"/>
      <c r="P160" s="398" t="n"/>
      <c r="Q160" s="398" t="n"/>
      <c r="R160" s="113" t="n"/>
      <c r="S160" s="113" t="n"/>
      <c r="T160" s="113" t="n"/>
      <c r="U160" s="113" t="n"/>
      <c r="V160" s="113" t="n"/>
    </row>
    <row r="161" ht="15.75" customHeight="1">
      <c r="A161" s="146" t="n">
        <v>3</v>
      </c>
      <c r="B161" s="238" t="n"/>
      <c r="C161" s="465" t="n">
        <v>45825</v>
      </c>
      <c r="D161" s="146" t="inlineStr">
        <is>
          <t>221 G. MALAGUEÑA-LA MANIGUA</t>
        </is>
      </c>
      <c r="E161" s="146" t="n">
        <v>41647</v>
      </c>
      <c r="F161" s="146" t="inlineStr">
        <is>
          <t>EDUAN CAVIEDES</t>
        </is>
      </c>
      <c r="G161" s="395" t="n">
        <v>3600</v>
      </c>
      <c r="H161" s="395" t="n">
        <v>3591</v>
      </c>
      <c r="I161" s="395" t="n">
        <v>4</v>
      </c>
      <c r="J161" s="395" t="n">
        <v>18</v>
      </c>
      <c r="K161" s="466" t="n">
        <v>-13</v>
      </c>
      <c r="L161" s="467" t="n">
        <v>3600</v>
      </c>
      <c r="M161" s="234" t="inlineStr">
        <is>
          <t xml:space="preserve">EDUAN CAVIEDEZ </t>
        </is>
      </c>
      <c r="N161" s="113" t="n"/>
      <c r="O161" s="113" t="n"/>
      <c r="P161" s="398" t="n"/>
      <c r="Q161" s="398" t="n"/>
      <c r="R161" s="113" t="n"/>
      <c r="S161" s="113" t="n"/>
      <c r="T161" s="113" t="n"/>
      <c r="U161" s="113" t="n"/>
      <c r="V161" s="113" t="n"/>
    </row>
    <row r="162" ht="15.75" customHeight="1">
      <c r="A162" s="146" t="n">
        <v>3</v>
      </c>
      <c r="B162" s="238" t="n"/>
      <c r="C162" s="468" t="n">
        <v>45825</v>
      </c>
      <c r="D162" s="469" t="inlineStr">
        <is>
          <t>221 G. MALAGUEÑA-LA MANIGUA</t>
        </is>
      </c>
      <c r="E162" s="469" t="n">
        <v>41649</v>
      </c>
      <c r="F162" s="469" t="inlineStr">
        <is>
          <t>FABIO ALDANA</t>
        </is>
      </c>
      <c r="G162" s="470" t="n">
        <v>2720</v>
      </c>
      <c r="H162" s="470" t="n">
        <v>2680</v>
      </c>
      <c r="I162" s="470" t="n">
        <v>3</v>
      </c>
      <c r="J162" s="470" t="n">
        <v>14</v>
      </c>
      <c r="K162" s="471" t="n">
        <v>23</v>
      </c>
      <c r="L162" s="472" t="n">
        <v>2684</v>
      </c>
      <c r="M162" s="235" t="inlineStr">
        <is>
          <t xml:space="preserve">FABIO ALDANA </t>
        </is>
      </c>
      <c r="N162" s="113" t="n"/>
      <c r="O162" s="113" t="n"/>
      <c r="P162" s="398" t="n"/>
      <c r="Q162" s="398" t="n"/>
      <c r="R162" s="113" t="n"/>
      <c r="S162" s="113" t="n"/>
      <c r="T162" s="113" t="n"/>
      <c r="U162" s="113" t="n"/>
      <c r="V162" s="113" t="n"/>
    </row>
    <row r="163" ht="15.75" customHeight="1">
      <c r="A163" s="146" t="n">
        <v>3</v>
      </c>
      <c r="B163" s="238" t="n"/>
      <c r="C163" s="460" t="n">
        <v>45826</v>
      </c>
      <c r="D163" s="461" t="inlineStr">
        <is>
          <t>221 G. MALAGUEÑA-LA MANIGUA</t>
        </is>
      </c>
      <c r="E163" s="461" t="n">
        <v>41655</v>
      </c>
      <c r="F163" s="461" t="inlineStr">
        <is>
          <t>JHON AGUIRRE</t>
        </is>
      </c>
      <c r="G163" s="462" t="n">
        <v>2650</v>
      </c>
      <c r="H163" s="462" t="n">
        <v>2624</v>
      </c>
      <c r="I163" s="462" t="n">
        <v>2</v>
      </c>
      <c r="J163" s="462" t="n">
        <v>36</v>
      </c>
      <c r="K163" s="463" t="n">
        <v>-12</v>
      </c>
      <c r="L163" s="464" t="n">
        <v>2651</v>
      </c>
      <c r="M163" s="473" t="inlineStr">
        <is>
          <t>JHON AGUIRRE</t>
        </is>
      </c>
      <c r="N163" s="113" t="n"/>
      <c r="O163" s="113" t="n"/>
      <c r="P163" s="398" t="n"/>
      <c r="Q163" s="398" t="n"/>
      <c r="R163" s="113" t="n"/>
      <c r="S163" s="113" t="n"/>
      <c r="T163" s="113" t="n"/>
      <c r="U163" s="113" t="n"/>
      <c r="V163" s="113" t="n"/>
    </row>
    <row r="164" ht="15.75" customHeight="1">
      <c r="A164" s="146" t="n">
        <v>3</v>
      </c>
      <c r="B164" s="238" t="n"/>
      <c r="C164" s="468" t="n">
        <v>45826</v>
      </c>
      <c r="D164" s="469" t="inlineStr">
        <is>
          <t>221 G. MALAGUEÑA-LA MANIGUA</t>
        </is>
      </c>
      <c r="E164" s="469" t="n">
        <v>41656</v>
      </c>
      <c r="F164" s="469" t="inlineStr">
        <is>
          <t>HENRY ROMERO</t>
        </is>
      </c>
      <c r="G164" s="470" t="n">
        <v>2602</v>
      </c>
      <c r="H164" s="470" t="n">
        <v>2574</v>
      </c>
      <c r="I164" s="470" t="n">
        <v>2</v>
      </c>
      <c r="J164" s="470" t="n">
        <v>36</v>
      </c>
      <c r="K164" s="471" t="n">
        <v>-10</v>
      </c>
      <c r="L164" s="472" t="n">
        <v>2603</v>
      </c>
      <c r="M164" s="235" t="inlineStr">
        <is>
          <t>HENRY ROMERO</t>
        </is>
      </c>
      <c r="N164" s="113" t="n"/>
      <c r="O164" s="113" t="n"/>
      <c r="P164" s="398" t="n"/>
      <c r="Q164" s="398" t="n"/>
      <c r="R164" s="113" t="n"/>
      <c r="S164" s="113" t="n"/>
      <c r="T164" s="113" t="n"/>
      <c r="U164" s="113" t="n"/>
      <c r="V164" s="113" t="n"/>
    </row>
    <row r="165" ht="15.75" customHeight="1">
      <c r="A165" s="146" t="n">
        <v>3</v>
      </c>
      <c r="B165" s="238" t="n"/>
      <c r="C165" s="460" t="n">
        <v>45827</v>
      </c>
      <c r="D165" s="461" t="inlineStr">
        <is>
          <t>219 G. SAN JOSE 2</t>
        </is>
      </c>
      <c r="E165" s="461" t="n">
        <v>41667</v>
      </c>
      <c r="F165" s="461" t="inlineStr">
        <is>
          <t>JAIRO CUBILLOS</t>
        </is>
      </c>
      <c r="G165" s="462" t="n">
        <v>3200</v>
      </c>
      <c r="H165" s="462" t="n">
        <v>3184</v>
      </c>
      <c r="I165" s="462" t="n">
        <v>2</v>
      </c>
      <c r="J165" s="462" t="n">
        <v>14</v>
      </c>
      <c r="K165" s="463" t="n">
        <v>0</v>
      </c>
      <c r="L165" s="464" t="n">
        <v>3200</v>
      </c>
      <c r="M165" s="473" t="inlineStr">
        <is>
          <t xml:space="preserve">JAIRO CUBILLOS </t>
        </is>
      </c>
      <c r="N165" s="113" t="n"/>
      <c r="O165" s="113" t="n"/>
      <c r="P165" s="398" t="n"/>
      <c r="Q165" s="398" t="n"/>
      <c r="R165" s="113" t="n"/>
      <c r="S165" s="113" t="n"/>
      <c r="T165" s="113" t="n"/>
      <c r="U165" s="113" t="n"/>
      <c r="V165" s="113" t="n"/>
    </row>
    <row r="166" ht="15.75" customHeight="1">
      <c r="A166" s="146" t="n">
        <v>3</v>
      </c>
      <c r="B166" s="238" t="n"/>
      <c r="C166" s="465" t="n">
        <v>45827</v>
      </c>
      <c r="D166" s="146" t="inlineStr">
        <is>
          <t>219 G. SAN JOSE 2</t>
        </is>
      </c>
      <c r="E166" s="146" t="n">
        <v>41668</v>
      </c>
      <c r="F166" s="146" t="inlineStr">
        <is>
          <t>FABIO ALDANA</t>
        </is>
      </c>
      <c r="G166" s="395" t="n">
        <v>3200</v>
      </c>
      <c r="H166" s="395" t="n">
        <v>3182</v>
      </c>
      <c r="I166" s="395" t="n">
        <v>2</v>
      </c>
      <c r="J166" s="395" t="n">
        <v>11</v>
      </c>
      <c r="K166" s="466" t="n">
        <v>5</v>
      </c>
      <c r="L166" s="467" t="n">
        <v>3200</v>
      </c>
      <c r="M166" s="234" t="inlineStr">
        <is>
          <t xml:space="preserve">FABIO ALDANA </t>
        </is>
      </c>
      <c r="N166" s="113" t="n"/>
      <c r="O166" s="113" t="n"/>
      <c r="P166" s="398" t="n"/>
      <c r="Q166" s="398" t="n"/>
      <c r="R166" s="113" t="n"/>
      <c r="S166" s="113" t="n"/>
      <c r="T166" s="113" t="n"/>
      <c r="U166" s="113" t="n"/>
      <c r="V166" s="113" t="n"/>
    </row>
    <row r="167" ht="15.75" customHeight="1">
      <c r="A167" s="146" t="n">
        <v>3</v>
      </c>
      <c r="B167" s="238" t="n"/>
      <c r="C167" s="465" t="n">
        <v>45827</v>
      </c>
      <c r="D167" s="146" t="inlineStr">
        <is>
          <t>219 G. SAN JOSE 2</t>
        </is>
      </c>
      <c r="E167" s="146" t="n">
        <v>41669</v>
      </c>
      <c r="F167" s="146" t="inlineStr">
        <is>
          <t>ALBERTO LOPEZ</t>
        </is>
      </c>
      <c r="G167" s="395" t="n">
        <v>3200</v>
      </c>
      <c r="H167" s="395" t="n">
        <v>3190</v>
      </c>
      <c r="I167" s="395" t="n">
        <v>3</v>
      </c>
      <c r="J167" s="395" t="n">
        <v>8</v>
      </c>
      <c r="K167" s="466" t="n">
        <v>-1</v>
      </c>
      <c r="L167" s="467" t="n">
        <v>3200</v>
      </c>
      <c r="M167" s="234" t="inlineStr">
        <is>
          <t xml:space="preserve">ALBERTO LOPEZ </t>
        </is>
      </c>
      <c r="N167" s="113" t="n"/>
      <c r="O167" s="113" t="n"/>
      <c r="P167" s="398" t="n"/>
      <c r="Q167" s="398" t="n"/>
      <c r="R167" s="113" t="n"/>
      <c r="S167" s="113" t="n"/>
      <c r="T167" s="113" t="n"/>
      <c r="U167" s="113" t="n"/>
      <c r="V167" s="113" t="n"/>
    </row>
    <row r="168" ht="15.75" customHeight="1">
      <c r="A168" s="146" t="n">
        <v>3</v>
      </c>
      <c r="B168" s="238" t="n"/>
      <c r="C168" s="465" t="n">
        <v>45827</v>
      </c>
      <c r="D168" s="146" t="inlineStr">
        <is>
          <t>219 G. SAN JOSE 2</t>
        </is>
      </c>
      <c r="E168" s="146" t="n">
        <v>41670</v>
      </c>
      <c r="F168" s="146" t="inlineStr">
        <is>
          <t>EDUAN CAVIEDES</t>
        </is>
      </c>
      <c r="G168" s="395" t="n">
        <v>3200</v>
      </c>
      <c r="H168" s="395" t="n">
        <v>3192</v>
      </c>
      <c r="I168" s="395" t="n">
        <v>3</v>
      </c>
      <c r="J168" s="395" t="n">
        <v>7</v>
      </c>
      <c r="K168" s="466" t="n">
        <v>-2</v>
      </c>
      <c r="L168" s="467" t="n">
        <v>3200</v>
      </c>
      <c r="M168" s="234" t="inlineStr">
        <is>
          <t xml:space="preserve">EDUAN CAVIEDEZ </t>
        </is>
      </c>
      <c r="N168" s="113" t="n"/>
      <c r="O168" s="113" t="n"/>
      <c r="P168" s="398" t="n"/>
      <c r="Q168" s="398" t="n"/>
      <c r="R168" s="113" t="n"/>
      <c r="S168" s="113" t="n"/>
      <c r="T168" s="113" t="n"/>
      <c r="U168" s="113" t="n"/>
      <c r="V168" s="113" t="n"/>
    </row>
    <row r="169" ht="15.75" customHeight="1">
      <c r="A169" s="146" t="n">
        <v>3</v>
      </c>
      <c r="B169" s="238" t="n"/>
      <c r="C169" s="465" t="n">
        <v>45827</v>
      </c>
      <c r="D169" s="146" t="inlineStr">
        <is>
          <t>219 G. SAN JOSE 2</t>
        </is>
      </c>
      <c r="E169" s="146" t="n">
        <v>41671</v>
      </c>
      <c r="F169" s="146" t="inlineStr">
        <is>
          <t>EDWIN ROJAS</t>
        </is>
      </c>
      <c r="G169" s="395" t="n">
        <v>3200</v>
      </c>
      <c r="H169" s="395" t="n">
        <v>3194</v>
      </c>
      <c r="I169" s="395" t="n">
        <v>3</v>
      </c>
      <c r="J169" s="395" t="n">
        <v>5</v>
      </c>
      <c r="K169" s="466" t="n">
        <v>-2</v>
      </c>
      <c r="L169" s="467" t="n">
        <v>3200</v>
      </c>
      <c r="M169" s="234" t="inlineStr">
        <is>
          <t>EDWIN ROJAS</t>
        </is>
      </c>
      <c r="N169" s="113" t="n"/>
      <c r="O169" s="113" t="n"/>
      <c r="P169" s="398" t="n"/>
      <c r="Q169" s="398" t="n"/>
      <c r="R169" s="113" t="n"/>
      <c r="S169" s="113" t="n"/>
      <c r="T169" s="113" t="n"/>
      <c r="U169" s="113" t="n"/>
      <c r="V169" s="113" t="n"/>
    </row>
    <row r="170" ht="15.75" customHeight="1">
      <c r="A170" s="146" t="n">
        <v>3</v>
      </c>
      <c r="B170" s="238" t="n"/>
      <c r="C170" s="468" t="n">
        <v>45827</v>
      </c>
      <c r="D170" s="469" t="inlineStr">
        <is>
          <t>221 G. MALAGUEÑA</t>
        </is>
      </c>
      <c r="E170" s="469" t="n">
        <v>41672</v>
      </c>
      <c r="F170" s="469" t="inlineStr">
        <is>
          <t>ALEX GOMEZ</t>
        </is>
      </c>
      <c r="G170" s="470" t="n">
        <v>3638</v>
      </c>
      <c r="H170" s="470" t="n">
        <v>3613</v>
      </c>
      <c r="I170" s="470" t="n">
        <v>2</v>
      </c>
      <c r="J170" s="470" t="n">
        <v>28</v>
      </c>
      <c r="K170" s="471" t="n">
        <v>-5</v>
      </c>
      <c r="L170" s="472" t="n">
        <v>3638</v>
      </c>
      <c r="M170" s="235" t="inlineStr">
        <is>
          <t xml:space="preserve">ALEX GOMEZ </t>
        </is>
      </c>
      <c r="N170" s="113" t="n"/>
      <c r="O170" s="113" t="n"/>
      <c r="P170" s="398" t="n"/>
      <c r="Q170" s="398" t="n"/>
      <c r="R170" s="113" t="n"/>
      <c r="S170" s="113" t="n"/>
      <c r="T170" s="113" t="n"/>
      <c r="U170" s="113" t="n"/>
      <c r="V170" s="113" t="n"/>
    </row>
    <row r="171" ht="15.75" customHeight="1">
      <c r="A171" s="146" t="n">
        <v>3</v>
      </c>
      <c r="B171" s="238" t="n"/>
      <c r="C171" s="460" t="n">
        <v>45828</v>
      </c>
      <c r="D171" s="461" t="inlineStr">
        <is>
          <t>219 G. SAN JOSE 2</t>
        </is>
      </c>
      <c r="E171" s="461" t="n">
        <v>41688</v>
      </c>
      <c r="F171" s="461" t="inlineStr">
        <is>
          <t>ALBERTO HERRERA</t>
        </is>
      </c>
      <c r="G171" s="462" t="n">
        <v>3350</v>
      </c>
      <c r="H171" s="462" t="n">
        <v>3348</v>
      </c>
      <c r="I171" s="462" t="n">
        <v>1</v>
      </c>
      <c r="J171" s="462" t="n">
        <v>10</v>
      </c>
      <c r="K171" s="463" t="n">
        <v>-9</v>
      </c>
      <c r="L171" s="464" t="n">
        <v>3350</v>
      </c>
      <c r="M171" s="473" t="inlineStr">
        <is>
          <t xml:space="preserve">JOSE HERRERA </t>
        </is>
      </c>
      <c r="N171" s="113" t="n"/>
      <c r="O171" s="113" t="n"/>
      <c r="P171" s="398" t="n"/>
      <c r="Q171" s="398" t="n"/>
      <c r="R171" s="113" t="n"/>
      <c r="S171" s="113" t="n"/>
      <c r="T171" s="113" t="n"/>
      <c r="U171" s="113" t="n"/>
      <c r="V171" s="113" t="n"/>
    </row>
    <row r="172" ht="15.75" customHeight="1">
      <c r="A172" s="146" t="n">
        <v>3</v>
      </c>
      <c r="B172" s="238" t="n"/>
      <c r="C172" s="465" t="n">
        <v>45828</v>
      </c>
      <c r="D172" s="146" t="inlineStr">
        <is>
          <t>219 G. SAN JOSE 2</t>
        </is>
      </c>
      <c r="E172" s="146" t="n">
        <v>41689</v>
      </c>
      <c r="F172" s="146" t="inlineStr">
        <is>
          <t>DIEGO NIÑO</t>
        </is>
      </c>
      <c r="G172" s="395" t="n">
        <v>3350</v>
      </c>
      <c r="H172" s="395" t="n">
        <v>3352</v>
      </c>
      <c r="I172" s="395" t="n">
        <v>2</v>
      </c>
      <c r="J172" s="395" t="n">
        <v>7</v>
      </c>
      <c r="K172" s="466" t="n">
        <v>-11</v>
      </c>
      <c r="L172" s="467" t="n">
        <v>3350</v>
      </c>
      <c r="M172" s="234" t="inlineStr">
        <is>
          <t xml:space="preserve">DIEGO NIÑO </t>
        </is>
      </c>
      <c r="N172" s="113" t="n"/>
      <c r="O172" s="113" t="n"/>
      <c r="P172" s="398" t="n"/>
      <c r="Q172" s="398" t="n"/>
      <c r="R172" s="113" t="n"/>
      <c r="S172" s="113" t="n"/>
      <c r="T172" s="113" t="n"/>
      <c r="U172" s="113" t="n"/>
      <c r="V172" s="113" t="n"/>
    </row>
    <row r="173" ht="15.75" customHeight="1">
      <c r="A173" s="146" t="n">
        <v>3</v>
      </c>
      <c r="B173" s="238" t="n"/>
      <c r="C173" s="465" t="n">
        <v>45828</v>
      </c>
      <c r="D173" s="146" t="inlineStr">
        <is>
          <t>219 G. SAN JOSE 2</t>
        </is>
      </c>
      <c r="E173" s="146" t="n">
        <v>41690</v>
      </c>
      <c r="F173" s="146" t="inlineStr">
        <is>
          <t>JHON ARIAs</t>
        </is>
      </c>
      <c r="G173" s="395" t="n">
        <v>3350</v>
      </c>
      <c r="H173" s="395" t="n">
        <v>3336</v>
      </c>
      <c r="I173" s="395" t="n">
        <v>2</v>
      </c>
      <c r="J173" s="395" t="n">
        <v>6</v>
      </c>
      <c r="K173" s="466" t="n">
        <v>6</v>
      </c>
      <c r="L173" s="467" t="n">
        <v>3350</v>
      </c>
      <c r="M173" s="234" t="inlineStr">
        <is>
          <t xml:space="preserve">JHON ARIAS </t>
        </is>
      </c>
      <c r="N173" s="113" t="n"/>
      <c r="O173" s="113" t="n"/>
      <c r="P173" s="398" t="n"/>
      <c r="Q173" s="398" t="n"/>
      <c r="R173" s="113" t="n"/>
      <c r="S173" s="113" t="n"/>
      <c r="T173" s="113" t="n"/>
      <c r="U173" s="113" t="n"/>
      <c r="V173" s="113" t="n"/>
    </row>
    <row r="174" ht="15.75" customHeight="1">
      <c r="A174" s="146" t="n">
        <v>3</v>
      </c>
      <c r="B174" s="238" t="n"/>
      <c r="C174" s="465" t="n">
        <v>45828</v>
      </c>
      <c r="D174" s="146" t="inlineStr">
        <is>
          <t>219 G. SAN JOSE 2</t>
        </is>
      </c>
      <c r="E174" s="146" t="n">
        <v>41691</v>
      </c>
      <c r="F174" s="146" t="inlineStr">
        <is>
          <t>FERNANDO OYUELA</t>
        </is>
      </c>
      <c r="G174" s="395" t="n">
        <v>3350</v>
      </c>
      <c r="H174" s="395" t="n">
        <v>3316</v>
      </c>
      <c r="I174" s="395" t="n">
        <v>2</v>
      </c>
      <c r="J174" s="395" t="n">
        <v>27</v>
      </c>
      <c r="K174" s="466" t="n">
        <v>5</v>
      </c>
      <c r="L174" s="467" t="n">
        <v>3350</v>
      </c>
      <c r="M174" s="234" t="inlineStr">
        <is>
          <t xml:space="preserve">FERNANDO OYUELA </t>
        </is>
      </c>
      <c r="N174" s="113" t="n"/>
      <c r="O174" s="113" t="n"/>
      <c r="P174" s="398" t="n"/>
      <c r="Q174" s="398" t="n"/>
      <c r="R174" s="113" t="n"/>
      <c r="S174" s="113" t="n"/>
      <c r="T174" s="113" t="n"/>
      <c r="U174" s="113" t="n"/>
      <c r="V174" s="113" t="n"/>
    </row>
    <row r="175" ht="15.75" customHeight="1">
      <c r="A175" s="146" t="n">
        <v>3</v>
      </c>
      <c r="B175" s="238" t="n"/>
      <c r="C175" s="465" t="n">
        <v>45828</v>
      </c>
      <c r="D175" s="146" t="inlineStr">
        <is>
          <t>219 G. SAN JOSE 2</t>
        </is>
      </c>
      <c r="E175" s="146" t="n">
        <v>41692</v>
      </c>
      <c r="F175" s="146" t="inlineStr">
        <is>
          <t>MANUEL QUITIAN</t>
        </is>
      </c>
      <c r="G175" s="395" t="n">
        <v>3375</v>
      </c>
      <c r="H175" s="395" t="n">
        <v>3347</v>
      </c>
      <c r="I175" s="395" t="n">
        <v>4</v>
      </c>
      <c r="J175" s="395" t="n">
        <v>19</v>
      </c>
      <c r="K175" s="466" t="n">
        <v>5</v>
      </c>
      <c r="L175" s="467" t="n">
        <v>3375</v>
      </c>
      <c r="M175" s="234" t="inlineStr">
        <is>
          <t>MANUEL QUINDIAN</t>
        </is>
      </c>
      <c r="N175" s="113" t="n"/>
      <c r="O175" s="113" t="n"/>
      <c r="P175" s="398" t="n"/>
      <c r="Q175" s="398" t="n"/>
      <c r="R175" s="113" t="n"/>
      <c r="S175" s="113" t="n"/>
      <c r="T175" s="113" t="n"/>
      <c r="U175" s="113" t="n"/>
      <c r="V175" s="113" t="n"/>
    </row>
    <row r="176" ht="15.75" customHeight="1">
      <c r="A176" s="146" t="n">
        <v>3</v>
      </c>
      <c r="B176" s="238" t="n"/>
      <c r="C176" s="465" t="n">
        <v>45828</v>
      </c>
      <c r="D176" s="146" t="inlineStr">
        <is>
          <t>219 G. SAN JOSE 2</t>
        </is>
      </c>
      <c r="E176" s="146" t="n">
        <v>41693</v>
      </c>
      <c r="F176" s="146" t="inlineStr">
        <is>
          <t>HENRY ROMERO</t>
        </is>
      </c>
      <c r="G176" s="395" t="n">
        <v>3375</v>
      </c>
      <c r="H176" s="395" t="n">
        <v>3344</v>
      </c>
      <c r="I176" s="395" t="n">
        <v>2</v>
      </c>
      <c r="J176" s="395" t="n">
        <v>17</v>
      </c>
      <c r="K176" s="466" t="n">
        <v>12</v>
      </c>
      <c r="L176" s="474" t="n">
        <v>3375</v>
      </c>
      <c r="M176" s="234" t="inlineStr">
        <is>
          <t>HENRY ROMERO</t>
        </is>
      </c>
      <c r="N176" s="113" t="n"/>
      <c r="O176" s="113" t="n"/>
      <c r="P176" s="398" t="n"/>
      <c r="Q176" s="398" t="n"/>
      <c r="R176" s="113" t="n"/>
      <c r="S176" s="113" t="n"/>
      <c r="T176" s="113" t="n"/>
      <c r="U176" s="113" t="n"/>
      <c r="V176" s="113" t="n"/>
    </row>
    <row r="177" ht="15.75" customHeight="1">
      <c r="A177" s="146" t="n">
        <v>3</v>
      </c>
      <c r="B177" s="238" t="n"/>
      <c r="C177" s="468" t="n">
        <v>45828</v>
      </c>
      <c r="D177" s="469" t="inlineStr">
        <is>
          <t>219 G. SAN JOSE 2</t>
        </is>
      </c>
      <c r="E177" s="469" t="n">
        <v>41694</v>
      </c>
      <c r="F177" s="469" t="inlineStr">
        <is>
          <t>JOSE SOLER</t>
        </is>
      </c>
      <c r="G177" s="470" t="n">
        <v>3375</v>
      </c>
      <c r="H177" s="470" t="n">
        <v>3365</v>
      </c>
      <c r="I177" s="470" t="n">
        <v>3</v>
      </c>
      <c r="J177" s="470" t="n">
        <v>14</v>
      </c>
      <c r="K177" s="471" t="n">
        <v>-7</v>
      </c>
      <c r="L177" s="472" t="n">
        <v>3375</v>
      </c>
      <c r="M177" s="235" t="inlineStr">
        <is>
          <t xml:space="preserve">JOSE SOLER </t>
        </is>
      </c>
      <c r="N177" s="113" t="n"/>
      <c r="O177" s="113" t="n"/>
      <c r="P177" s="398" t="n"/>
      <c r="Q177" s="398" t="n"/>
      <c r="R177" s="113" t="n"/>
      <c r="S177" s="113" t="n"/>
      <c r="T177" s="113" t="n"/>
      <c r="U177" s="113" t="n"/>
      <c r="V177" s="113" t="n"/>
    </row>
    <row r="178" ht="15.75" customHeight="1">
      <c r="A178" s="146" t="n">
        <v>3</v>
      </c>
      <c r="B178" s="238" t="n"/>
      <c r="C178" s="465" t="n">
        <v>45829</v>
      </c>
      <c r="D178" s="146" t="inlineStr">
        <is>
          <t>219 G. SAN JOSE 2</t>
        </is>
      </c>
      <c r="E178" s="146" t="n">
        <v>41713</v>
      </c>
      <c r="F178" s="146" t="inlineStr">
        <is>
          <t>FABIO ALDANA</t>
        </is>
      </c>
      <c r="G178" s="395" t="n">
        <v>2692</v>
      </c>
      <c r="H178" s="395" t="n">
        <v>2602</v>
      </c>
      <c r="I178" s="395" t="n">
        <v>3</v>
      </c>
      <c r="J178" s="395" t="n">
        <v>40</v>
      </c>
      <c r="K178" s="466" t="n">
        <v>47</v>
      </c>
      <c r="L178" s="475" t="n">
        <v>2692</v>
      </c>
      <c r="M178" s="476" t="inlineStr">
        <is>
          <t xml:space="preserve">FABIO ALDANA </t>
        </is>
      </c>
      <c r="N178" s="113" t="n"/>
      <c r="O178" s="113" t="n"/>
      <c r="P178" s="398" t="n"/>
      <c r="Q178" s="398" t="n"/>
      <c r="R178" s="113" t="n"/>
      <c r="S178" s="113" t="n"/>
      <c r="T178" s="113" t="n"/>
      <c r="U178" s="113" t="n"/>
      <c r="V178" s="113" t="n"/>
    </row>
    <row r="179" ht="15.75" customHeight="1">
      <c r="A179" s="146" t="n">
        <v>3</v>
      </c>
      <c r="B179" s="238" t="n"/>
      <c r="C179" s="465" t="n">
        <v>45829</v>
      </c>
      <c r="D179" s="146" t="inlineStr">
        <is>
          <t>219 G. SAN JOSE 2</t>
        </is>
      </c>
      <c r="E179" s="146" t="n">
        <v>41714</v>
      </c>
      <c r="F179" s="146" t="inlineStr">
        <is>
          <t>JAIRO CUBILLOS</t>
        </is>
      </c>
      <c r="G179" s="395" t="n">
        <v>2692</v>
      </c>
      <c r="H179" s="395" t="n">
        <v>2640</v>
      </c>
      <c r="I179" s="395" t="n">
        <v>4</v>
      </c>
      <c r="J179" s="395" t="n">
        <v>22</v>
      </c>
      <c r="K179" s="466" t="n">
        <v>26</v>
      </c>
      <c r="L179" s="467" t="n">
        <v>2695</v>
      </c>
      <c r="M179" s="234" t="inlineStr">
        <is>
          <t xml:space="preserve">JAIRO CUBILLOS </t>
        </is>
      </c>
      <c r="N179" s="113" t="n"/>
      <c r="O179" s="113" t="n"/>
      <c r="P179" s="398" t="n"/>
      <c r="Q179" s="398" t="n"/>
      <c r="R179" s="113" t="n"/>
      <c r="S179" s="113" t="n"/>
      <c r="T179" s="113" t="n"/>
      <c r="U179" s="113" t="n"/>
      <c r="V179" s="113" t="n"/>
    </row>
    <row r="180" ht="15.75" customHeight="1">
      <c r="A180" s="146" t="n">
        <v>3</v>
      </c>
      <c r="B180" s="238" t="n"/>
      <c r="C180" s="465" t="n">
        <v>45829</v>
      </c>
      <c r="D180" s="146" t="inlineStr">
        <is>
          <t>219 G. SAN JOSE 2</t>
        </is>
      </c>
      <c r="E180" s="146" t="n">
        <v>41715</v>
      </c>
      <c r="F180" s="146" t="inlineStr">
        <is>
          <t>ALBERTO LOPEZ</t>
        </is>
      </c>
      <c r="G180" s="395" t="n">
        <v>3240</v>
      </c>
      <c r="H180" s="395" t="n">
        <v>3201</v>
      </c>
      <c r="I180" s="395" t="n">
        <v>5</v>
      </c>
      <c r="J180" s="395" t="n">
        <v>21</v>
      </c>
      <c r="K180" s="466" t="n">
        <v>13</v>
      </c>
      <c r="L180" s="467" t="n">
        <v>3240</v>
      </c>
      <c r="M180" s="234" t="inlineStr">
        <is>
          <t xml:space="preserve">ALBERTO LOPEZ </t>
        </is>
      </c>
      <c r="N180" s="113" t="n"/>
      <c r="O180" s="113" t="n"/>
      <c r="P180" s="398" t="n"/>
      <c r="Q180" s="398" t="n"/>
      <c r="R180" s="113" t="n"/>
      <c r="S180" s="113" t="n"/>
      <c r="T180" s="113" t="n"/>
      <c r="U180" s="113" t="n"/>
      <c r="V180" s="113" t="n"/>
    </row>
    <row r="181" ht="15.75" customHeight="1">
      <c r="A181" s="146" t="n">
        <v>3</v>
      </c>
      <c r="B181" s="238" t="n"/>
      <c r="C181" s="465" t="n">
        <v>45829</v>
      </c>
      <c r="D181" s="146" t="inlineStr">
        <is>
          <t>219 G. SAN JOSE 2</t>
        </is>
      </c>
      <c r="E181" s="146" t="n">
        <v>41716</v>
      </c>
      <c r="F181" s="146" t="inlineStr">
        <is>
          <t>ALEX GOMEZ</t>
        </is>
      </c>
      <c r="G181" s="395" t="n">
        <v>3385</v>
      </c>
      <c r="H181" s="395" t="n">
        <v>3411</v>
      </c>
      <c r="I181" s="395" t="n">
        <v>9</v>
      </c>
      <c r="J181" s="395" t="n">
        <v>6</v>
      </c>
      <c r="K181" s="466" t="n">
        <v>-41</v>
      </c>
      <c r="L181" s="467" t="n">
        <v>3385</v>
      </c>
      <c r="M181" s="234" t="inlineStr">
        <is>
          <t xml:space="preserve">ALEX GOMEZ </t>
        </is>
      </c>
      <c r="N181" s="113" t="n"/>
      <c r="O181" s="113" t="n"/>
      <c r="P181" s="398" t="n"/>
      <c r="Q181" s="398" t="n"/>
      <c r="R181" s="113" t="n"/>
      <c r="S181" s="113" t="n"/>
      <c r="T181" s="113" t="n"/>
      <c r="U181" s="113" t="n"/>
      <c r="V181" s="113" t="n"/>
    </row>
    <row r="182" ht="15.75" customHeight="1">
      <c r="A182" s="146" t="n">
        <v>3</v>
      </c>
      <c r="B182" s="238" t="n"/>
      <c r="C182" s="465" t="n">
        <v>45829</v>
      </c>
      <c r="D182" s="146" t="inlineStr">
        <is>
          <t>219 G. SAN JOSE 2</t>
        </is>
      </c>
      <c r="E182" s="146" t="n">
        <v>41717</v>
      </c>
      <c r="F182" s="146" t="inlineStr">
        <is>
          <t>ALBERTO HERRERA</t>
        </is>
      </c>
      <c r="G182" s="395" t="n">
        <v>3385</v>
      </c>
      <c r="H182" s="395" t="n">
        <v>3410</v>
      </c>
      <c r="I182" s="395" t="n">
        <v>3</v>
      </c>
      <c r="J182" s="395" t="n">
        <v>7</v>
      </c>
      <c r="K182" s="466" t="n">
        <v>-35</v>
      </c>
      <c r="L182" s="467" t="n">
        <v>3385</v>
      </c>
      <c r="M182" s="234" t="inlineStr">
        <is>
          <t xml:space="preserve">JOSE HERRERA </t>
        </is>
      </c>
      <c r="N182" s="113" t="n"/>
      <c r="O182" s="113" t="n"/>
      <c r="P182" s="398" t="n"/>
      <c r="Q182" s="398" t="n"/>
      <c r="R182" s="113" t="n"/>
      <c r="S182" s="113" t="n"/>
      <c r="T182" s="113" t="n"/>
      <c r="U182" s="113" t="n"/>
      <c r="V182" s="113" t="n"/>
    </row>
    <row r="183" ht="15.75" customHeight="1">
      <c r="A183" s="146" t="n">
        <v>3</v>
      </c>
      <c r="B183" s="238" t="n"/>
      <c r="C183" s="465" t="n">
        <v>45829</v>
      </c>
      <c r="D183" s="146" t="inlineStr">
        <is>
          <t>219 G. SAN JOSE 2</t>
        </is>
      </c>
      <c r="E183" s="146" t="n">
        <v>41725</v>
      </c>
      <c r="F183" s="146" t="inlineStr">
        <is>
          <t>EDWIN ROJAS</t>
        </is>
      </c>
      <c r="G183" s="395" t="n">
        <v>3050</v>
      </c>
      <c r="H183" s="395" t="n">
        <v>3035</v>
      </c>
      <c r="I183" s="395" t="n">
        <v>2</v>
      </c>
      <c r="J183" s="395" t="n">
        <v>4</v>
      </c>
      <c r="K183" s="466" t="n">
        <v>9</v>
      </c>
      <c r="L183" s="474" t="n">
        <v>3050</v>
      </c>
      <c r="M183" s="234" t="inlineStr">
        <is>
          <t>EDWIN ROJAS</t>
        </is>
      </c>
      <c r="N183" s="113" t="n"/>
      <c r="O183" s="113" t="n"/>
      <c r="P183" s="398" t="n"/>
      <c r="Q183" s="398" t="n"/>
      <c r="R183" s="113" t="n"/>
      <c r="S183" s="113" t="n"/>
      <c r="T183" s="113" t="n"/>
      <c r="U183" s="113" t="n"/>
      <c r="V183" s="113" t="n"/>
    </row>
    <row r="184" ht="15.75" customHeight="1">
      <c r="A184" s="146" t="n">
        <v>3</v>
      </c>
      <c r="B184" s="238" t="n"/>
      <c r="C184" s="465" t="n">
        <v>45829</v>
      </c>
      <c r="D184" s="146" t="inlineStr">
        <is>
          <t>219 G. SAN JOSE 2</t>
        </is>
      </c>
      <c r="E184" s="146" t="n">
        <v>41726</v>
      </c>
      <c r="F184" s="146" t="inlineStr">
        <is>
          <t>JAIRO CUBILLOS</t>
        </is>
      </c>
      <c r="G184" s="395" t="n">
        <v>3050</v>
      </c>
      <c r="H184" s="395" t="n">
        <v>3031</v>
      </c>
      <c r="I184" s="395" t="n">
        <v>1</v>
      </c>
      <c r="J184" s="395" t="n">
        <v>8</v>
      </c>
      <c r="K184" s="466" t="n">
        <v>10</v>
      </c>
      <c r="L184" s="474" t="n">
        <v>3050</v>
      </c>
      <c r="M184" s="234" t="inlineStr">
        <is>
          <t xml:space="preserve">JAIRO CUBILLOS </t>
        </is>
      </c>
      <c r="N184" s="113" t="n"/>
      <c r="O184" s="113" t="n"/>
      <c r="P184" s="398" t="n"/>
      <c r="Q184" s="398" t="n"/>
      <c r="R184" s="113" t="n"/>
      <c r="S184" s="113" t="n"/>
      <c r="T184" s="113" t="n"/>
      <c r="U184" s="113" t="n"/>
      <c r="V184" s="113" t="n"/>
    </row>
    <row r="185" ht="15.75" customHeight="1">
      <c r="A185" s="146" t="n">
        <v>3</v>
      </c>
      <c r="B185" s="238" t="n"/>
      <c r="C185" s="465" t="n">
        <v>45829</v>
      </c>
      <c r="D185" s="146" t="inlineStr">
        <is>
          <t>219 G. SAN JOSE 2</t>
        </is>
      </c>
      <c r="E185" s="146" t="n">
        <v>41727</v>
      </c>
      <c r="F185" s="146" t="inlineStr">
        <is>
          <t>ALEX GOMEZ</t>
        </is>
      </c>
      <c r="G185" s="395" t="n">
        <v>3050</v>
      </c>
      <c r="H185" s="395" t="n">
        <v>3049</v>
      </c>
      <c r="I185" s="395" t="n">
        <v>1</v>
      </c>
      <c r="J185" s="395" t="n">
        <v>4</v>
      </c>
      <c r="K185" s="466" t="n">
        <v>-4</v>
      </c>
      <c r="L185" s="474" t="n">
        <v>3050</v>
      </c>
      <c r="M185" s="234" t="inlineStr">
        <is>
          <t xml:space="preserve">JOSE HERRERA </t>
        </is>
      </c>
      <c r="N185" s="113" t="n"/>
      <c r="O185" s="113" t="n"/>
      <c r="P185" s="398" t="n"/>
      <c r="Q185" s="398" t="n"/>
      <c r="R185" s="113" t="n"/>
      <c r="S185" s="113" t="n"/>
      <c r="T185" s="113" t="n"/>
      <c r="U185" s="113" t="n"/>
      <c r="V185" s="113" t="n"/>
    </row>
    <row r="186" ht="15.75" customHeight="1">
      <c r="A186" s="146" t="n">
        <v>3</v>
      </c>
      <c r="B186" s="238" t="n"/>
      <c r="C186" s="468" t="n">
        <v>45829</v>
      </c>
      <c r="D186" s="469" t="inlineStr">
        <is>
          <t>219 G. SAN JOSE 2</t>
        </is>
      </c>
      <c r="E186" s="469" t="n">
        <v>41728</v>
      </c>
      <c r="F186" s="469" t="inlineStr">
        <is>
          <t>ALBERTO HERRERA</t>
        </is>
      </c>
      <c r="G186" s="470" t="n">
        <v>3050</v>
      </c>
      <c r="H186" s="470" t="n">
        <v>3087</v>
      </c>
      <c r="I186" s="470" t="n">
        <v>2</v>
      </c>
      <c r="J186" s="470" t="n">
        <v>4</v>
      </c>
      <c r="K186" s="471" t="n">
        <v>-43</v>
      </c>
      <c r="L186" s="472" t="n">
        <v>3050</v>
      </c>
      <c r="M186" s="235" t="inlineStr">
        <is>
          <t xml:space="preserve">ALEX GOMEZ </t>
        </is>
      </c>
      <c r="N186" s="113" t="n"/>
      <c r="O186" s="113" t="n"/>
      <c r="P186" s="398" t="n"/>
      <c r="Q186" s="398" t="n"/>
      <c r="R186" s="113" t="n"/>
      <c r="S186" s="113" t="n"/>
      <c r="T186" s="113" t="n"/>
      <c r="U186" s="113" t="n"/>
      <c r="V186" s="113" t="n"/>
    </row>
    <row r="187" ht="15.75" customHeight="1">
      <c r="A187" s="146" t="n">
        <v>3</v>
      </c>
      <c r="B187" s="238" t="n"/>
      <c r="C187" s="399" t="n"/>
      <c r="D187" s="113" t="n"/>
      <c r="E187" s="113" t="n"/>
      <c r="F187" s="113" t="n"/>
      <c r="G187" s="395">
        <f>SUM(G139:G186)</f>
        <v/>
      </c>
      <c r="H187" s="395">
        <f>SUM(H139:H186)</f>
        <v/>
      </c>
      <c r="I187" s="395">
        <f>SUM(I139:I186)</f>
        <v/>
      </c>
      <c r="J187" s="395">
        <f>SUM(J139:J186)</f>
        <v/>
      </c>
      <c r="K187" s="395">
        <f>SUM(K139:K186)</f>
        <v/>
      </c>
      <c r="L187" s="397">
        <f>SUM(L139:L186)</f>
        <v/>
      </c>
      <c r="M187" s="113" t="n"/>
      <c r="N187" s="113" t="n"/>
      <c r="O187" s="113" t="n"/>
      <c r="P187" s="398" t="n"/>
      <c r="Q187" s="398" t="n"/>
      <c r="R187" s="113" t="n"/>
      <c r="S187" s="113" t="n"/>
      <c r="T187" s="113" t="n"/>
      <c r="U187" s="113" t="n"/>
      <c r="V187" s="113" t="n"/>
    </row>
    <row r="188" ht="15.75" customHeight="1">
      <c r="A188" s="146" t="n">
        <v>3</v>
      </c>
      <c r="B188" s="238" t="n"/>
      <c r="C188" s="399" t="n"/>
      <c r="D188" s="113" t="n"/>
      <c r="E188" s="113" t="n"/>
      <c r="F188" s="113" t="n"/>
      <c r="G188" s="395" t="n"/>
      <c r="H188" s="395" t="n"/>
      <c r="I188" s="395" t="n"/>
      <c r="J188" s="395" t="n"/>
      <c r="K188" s="395" t="n"/>
      <c r="L188" s="397" t="n"/>
      <c r="M188" s="113" t="n"/>
      <c r="N188" s="113" t="n"/>
      <c r="O188" s="113" t="n"/>
      <c r="P188" s="398" t="n"/>
      <c r="Q188" s="398" t="n"/>
      <c r="R188" s="113" t="n"/>
      <c r="S188" s="113" t="n"/>
      <c r="T188" s="113" t="n"/>
      <c r="U188" s="113" t="n"/>
      <c r="V188" s="113" t="n"/>
    </row>
    <row r="189" ht="15.75" customHeight="1">
      <c r="A189" s="146" t="n">
        <v>3</v>
      </c>
      <c r="B189" s="238" t="n"/>
      <c r="C189" s="399" t="n"/>
      <c r="D189" s="113" t="n"/>
      <c r="E189" s="113" t="n"/>
      <c r="F189" s="113" t="n"/>
      <c r="G189" s="395" t="n"/>
      <c r="H189" s="395" t="n"/>
      <c r="I189" s="395" t="n"/>
      <c r="J189" s="395" t="n"/>
      <c r="K189" s="395" t="n"/>
      <c r="L189" s="397" t="n"/>
      <c r="M189" s="113" t="n"/>
      <c r="N189" s="113" t="n"/>
      <c r="O189" s="113" t="n"/>
      <c r="P189" s="398" t="n"/>
      <c r="Q189" s="398" t="n"/>
      <c r="R189" s="113" t="n"/>
      <c r="S189" s="113" t="n"/>
      <c r="T189" s="113" t="n"/>
      <c r="U189" s="113" t="n"/>
      <c r="V189" s="113" t="n"/>
    </row>
    <row r="190" ht="15.75" customHeight="1">
      <c r="A190" s="146" t="n">
        <v>4</v>
      </c>
      <c r="B190" s="238" t="n"/>
      <c r="C190" s="164" t="n">
        <v>45830</v>
      </c>
      <c r="D190" s="165" t="inlineStr">
        <is>
          <t>219 G. SAN JOSE 2</t>
        </is>
      </c>
      <c r="E190" s="165" t="n">
        <v>41748</v>
      </c>
      <c r="F190" s="165" t="inlineStr">
        <is>
          <t>WILMER PIÑEROS</t>
        </is>
      </c>
      <c r="G190" s="165" t="n">
        <v>2615</v>
      </c>
      <c r="H190" s="165" t="n">
        <v>2614</v>
      </c>
      <c r="I190" s="165" t="n">
        <v>2</v>
      </c>
      <c r="J190" s="165" t="n">
        <v>6</v>
      </c>
      <c r="K190" s="165" t="n">
        <v>-7</v>
      </c>
      <c r="L190" s="397" t="n">
        <v>2615</v>
      </c>
      <c r="M190" s="146" t="inlineStr">
        <is>
          <t xml:space="preserve">JOSE SOLER </t>
        </is>
      </c>
      <c r="N190" s="113" t="n"/>
      <c r="O190" s="113" t="n"/>
      <c r="P190" s="398" t="n"/>
      <c r="Q190" s="398" t="n"/>
      <c r="R190" s="113" t="n"/>
      <c r="S190" s="113" t="n"/>
      <c r="T190" s="113" t="n"/>
      <c r="U190" s="113" t="n"/>
      <c r="V190" s="113" t="n"/>
    </row>
    <row r="191" ht="15.75" customHeight="1">
      <c r="A191" s="146" t="n">
        <v>4</v>
      </c>
      <c r="B191" s="238" t="n"/>
      <c r="C191" s="164" t="n">
        <v>45830</v>
      </c>
      <c r="D191" s="165" t="inlineStr">
        <is>
          <t>219 G. SAN JOSE 2</t>
        </is>
      </c>
      <c r="E191" s="165" t="n">
        <v>41749</v>
      </c>
      <c r="F191" s="165" t="inlineStr">
        <is>
          <t>JOSE SOLER</t>
        </is>
      </c>
      <c r="G191" s="165" t="n">
        <v>2615</v>
      </c>
      <c r="H191" s="165" t="n">
        <v>2620</v>
      </c>
      <c r="I191" s="165" t="n">
        <v>1</v>
      </c>
      <c r="J191" s="165" t="n">
        <v>7</v>
      </c>
      <c r="K191" s="165" t="n">
        <v>-13</v>
      </c>
      <c r="L191" s="397" t="n">
        <v>2615</v>
      </c>
      <c r="M191" s="146" t="inlineStr">
        <is>
          <t xml:space="preserve">WILMER PIÑEROS </t>
        </is>
      </c>
      <c r="N191" s="113" t="n"/>
      <c r="O191" s="113" t="n"/>
      <c r="P191" s="398" t="n"/>
      <c r="Q191" s="398" t="n"/>
      <c r="R191" s="113" t="n"/>
      <c r="S191" s="113" t="n"/>
      <c r="T191" s="113" t="n"/>
      <c r="U191" s="113" t="n"/>
      <c r="V191" s="113" t="n"/>
    </row>
    <row r="192" ht="15.75" customHeight="1">
      <c r="A192" s="146" t="n">
        <v>4</v>
      </c>
      <c r="B192" s="238" t="n"/>
      <c r="C192" s="164" t="n">
        <v>45830</v>
      </c>
      <c r="D192" s="165" t="inlineStr">
        <is>
          <t>219 G. SAN JOSE 2</t>
        </is>
      </c>
      <c r="E192" s="165" t="n">
        <v>41750</v>
      </c>
      <c r="F192" s="165" t="inlineStr">
        <is>
          <t>EDWIN ROJAS</t>
        </is>
      </c>
      <c r="G192" s="165" t="n">
        <v>3000</v>
      </c>
      <c r="H192" s="165" t="n">
        <v>3001</v>
      </c>
      <c r="I192" s="165" t="n">
        <v>1</v>
      </c>
      <c r="J192" s="165" t="n">
        <v>7</v>
      </c>
      <c r="K192" s="165" t="n">
        <v>-9</v>
      </c>
      <c r="L192" s="397" t="n">
        <v>3000</v>
      </c>
      <c r="M192" s="146" t="inlineStr">
        <is>
          <t>EDWIN ROJAS</t>
        </is>
      </c>
      <c r="N192" s="113" t="n"/>
      <c r="O192" s="113" t="n"/>
      <c r="P192" s="398" t="n"/>
      <c r="Q192" s="398" t="n"/>
      <c r="R192" s="113" t="n"/>
      <c r="S192" s="113" t="n"/>
      <c r="T192" s="113" t="n"/>
      <c r="U192" s="113" t="n"/>
      <c r="V192" s="113" t="n"/>
    </row>
    <row r="193" ht="15.75" customHeight="1">
      <c r="A193" s="146" t="n">
        <v>4</v>
      </c>
      <c r="B193" s="238" t="n"/>
      <c r="C193" s="164" t="n">
        <v>45830</v>
      </c>
      <c r="D193" s="165" t="inlineStr">
        <is>
          <t>219 G. SAN JOSE 2</t>
        </is>
      </c>
      <c r="E193" s="165" t="n">
        <v>41751</v>
      </c>
      <c r="F193" s="165" t="inlineStr">
        <is>
          <t>FABIO ALDANA</t>
        </is>
      </c>
      <c r="G193" s="165" t="n">
        <v>3385</v>
      </c>
      <c r="H193" s="165" t="n">
        <v>3387</v>
      </c>
      <c r="I193" s="165" t="n">
        <v>3</v>
      </c>
      <c r="J193" s="165" t="n">
        <v>6</v>
      </c>
      <c r="K193" s="165" t="n">
        <v>-11</v>
      </c>
      <c r="L193" s="397" t="n">
        <v>3385</v>
      </c>
      <c r="M193" s="146" t="inlineStr">
        <is>
          <t xml:space="preserve">FABIO ALDANA </t>
        </is>
      </c>
      <c r="N193" s="113" t="n"/>
      <c r="O193" s="113" t="n"/>
      <c r="P193" s="398" t="n"/>
      <c r="Q193" s="398" t="n"/>
      <c r="R193" s="113" t="n"/>
      <c r="S193" s="113" t="n"/>
      <c r="T193" s="113" t="n"/>
      <c r="U193" s="113" t="n"/>
      <c r="V193" s="113" t="n"/>
    </row>
    <row r="194" ht="15.75" customHeight="1">
      <c r="A194" s="146" t="n">
        <v>4</v>
      </c>
      <c r="B194" s="238" t="n"/>
      <c r="C194" s="164" t="n">
        <v>45830</v>
      </c>
      <c r="D194" s="165" t="inlineStr">
        <is>
          <t>219 G. SAN JOSE 2</t>
        </is>
      </c>
      <c r="E194" s="165" t="n">
        <v>41759</v>
      </c>
      <c r="F194" s="165" t="inlineStr">
        <is>
          <t>JAIRO CUBILLOS</t>
        </is>
      </c>
      <c r="G194" s="165" t="n">
        <v>3385</v>
      </c>
      <c r="H194" s="165" t="n">
        <v>3355</v>
      </c>
      <c r="I194" s="165" t="n">
        <v>2</v>
      </c>
      <c r="J194" s="165" t="n">
        <v>5</v>
      </c>
      <c r="K194" s="165" t="n">
        <v>23</v>
      </c>
      <c r="L194" s="397" t="n">
        <v>3385</v>
      </c>
      <c r="M194" s="146" t="inlineStr">
        <is>
          <t xml:space="preserve">JAIRO CUBILLOS </t>
        </is>
      </c>
      <c r="N194" s="113" t="n"/>
      <c r="O194" s="113" t="n"/>
      <c r="P194" s="398" t="n"/>
      <c r="Q194" s="398" t="n"/>
      <c r="R194" s="113" t="n"/>
      <c r="S194" s="113" t="n"/>
      <c r="T194" s="113" t="n"/>
      <c r="U194" s="113" t="n"/>
      <c r="V194" s="113" t="n"/>
    </row>
    <row r="195" ht="15.75" customHeight="1">
      <c r="A195" s="146" t="n">
        <v>4</v>
      </c>
      <c r="B195" s="238" t="n"/>
      <c r="C195" s="164" t="n">
        <v>45830</v>
      </c>
      <c r="D195" s="165" t="inlineStr">
        <is>
          <t>219 G. SAN JOSE 2</t>
        </is>
      </c>
      <c r="E195" s="165" t="n">
        <v>41760</v>
      </c>
      <c r="F195" s="165" t="inlineStr">
        <is>
          <t>ALBERTO LOPEZ</t>
        </is>
      </c>
      <c r="G195" s="165" t="n">
        <v>3728</v>
      </c>
      <c r="H195" s="165" t="n">
        <v>3690</v>
      </c>
      <c r="I195" s="165" t="n">
        <v>3</v>
      </c>
      <c r="J195" s="165" t="n">
        <v>10</v>
      </c>
      <c r="K195" s="165" t="n">
        <v>25</v>
      </c>
      <c r="L195" s="397" t="n">
        <v>3728</v>
      </c>
      <c r="M195" s="146" t="inlineStr">
        <is>
          <t xml:space="preserve">ALBERTO LOPEZ </t>
        </is>
      </c>
      <c r="N195" s="113" t="n"/>
      <c r="O195" s="113" t="n"/>
      <c r="P195" s="398" t="n"/>
      <c r="Q195" s="398" t="n"/>
      <c r="R195" s="113" t="n"/>
      <c r="S195" s="113" t="n"/>
      <c r="T195" s="113" t="n"/>
      <c r="U195" s="113" t="n"/>
      <c r="V195" s="113" t="n"/>
    </row>
    <row r="196" ht="15.75" customHeight="1">
      <c r="A196" s="146" t="n">
        <v>4</v>
      </c>
      <c r="B196" s="238" t="n"/>
      <c r="C196" s="164" t="n">
        <v>45830</v>
      </c>
      <c r="D196" s="165" t="inlineStr">
        <is>
          <t>219 G. SAN JOSE 2</t>
        </is>
      </c>
      <c r="E196" s="165" t="n">
        <v>41761</v>
      </c>
      <c r="F196" s="165" t="inlineStr">
        <is>
          <t>DUMAR ANGARITA</t>
        </is>
      </c>
      <c r="G196" s="165" t="n">
        <v>3728</v>
      </c>
      <c r="H196" s="165" t="n">
        <v>3692</v>
      </c>
      <c r="I196" s="165" t="n">
        <v>3</v>
      </c>
      <c r="J196" s="165" t="n">
        <v>12</v>
      </c>
      <c r="K196" s="165" t="n">
        <v>21</v>
      </c>
      <c r="L196" s="397" t="n">
        <v>3728</v>
      </c>
      <c r="M196" s="146" t="inlineStr">
        <is>
          <t xml:space="preserve">DUMAR ANGARITA </t>
        </is>
      </c>
      <c r="N196" s="113" t="n"/>
      <c r="O196" s="113" t="n"/>
      <c r="P196" s="398" t="n"/>
      <c r="Q196" s="398" t="n"/>
      <c r="R196" s="113" t="n"/>
      <c r="S196" s="113" t="n"/>
      <c r="T196" s="113" t="n"/>
      <c r="U196" s="113" t="n"/>
      <c r="V196" s="113" t="n"/>
    </row>
    <row r="197" ht="15.75" customHeight="1">
      <c r="A197" s="146" t="n">
        <v>4</v>
      </c>
      <c r="B197" s="238" t="n"/>
      <c r="C197" s="164" t="n">
        <v>45830</v>
      </c>
      <c r="D197" s="165" t="inlineStr">
        <is>
          <t>219 G. SAN JOSE 2</t>
        </is>
      </c>
      <c r="E197" s="165" t="n">
        <v>41762</v>
      </c>
      <c r="F197" s="165" t="inlineStr">
        <is>
          <t>FERNANDO OYUELA</t>
        </is>
      </c>
      <c r="G197" s="165" t="n">
        <v>3728</v>
      </c>
      <c r="H197" s="165" t="n">
        <v>3681</v>
      </c>
      <c r="I197" s="165" t="n">
        <v>8</v>
      </c>
      <c r="J197" s="165" t="n">
        <v>22</v>
      </c>
      <c r="K197" s="165" t="n">
        <v>17</v>
      </c>
      <c r="L197" s="397" t="n">
        <v>3728</v>
      </c>
      <c r="M197" s="146" t="inlineStr">
        <is>
          <t xml:space="preserve">FERNANDO OYUELA </t>
        </is>
      </c>
      <c r="N197" s="113" t="n"/>
      <c r="O197" s="113" t="n"/>
      <c r="P197" s="398" t="n"/>
      <c r="Q197" s="398" t="n"/>
      <c r="R197" s="113" t="n"/>
      <c r="S197" s="113" t="n"/>
      <c r="T197" s="113" t="n"/>
      <c r="U197" s="113" t="n"/>
      <c r="V197" s="113" t="n"/>
    </row>
    <row r="198" ht="15.75" customHeight="1">
      <c r="A198" s="146" t="n">
        <v>4</v>
      </c>
      <c r="B198" s="238" t="n"/>
      <c r="C198" s="164" t="n">
        <v>45830</v>
      </c>
      <c r="D198" s="165" t="inlineStr">
        <is>
          <t>219 G. SAN JOSE 2</t>
        </is>
      </c>
      <c r="E198" s="165" t="n">
        <v>41763</v>
      </c>
      <c r="F198" s="165" t="inlineStr">
        <is>
          <t>JHON ARIAS</t>
        </is>
      </c>
      <c r="G198" s="165" t="n">
        <v>3728</v>
      </c>
      <c r="H198" s="165" t="n">
        <v>3679</v>
      </c>
      <c r="I198" s="165" t="n">
        <v>3</v>
      </c>
      <c r="J198" s="165" t="n">
        <v>24</v>
      </c>
      <c r="K198" s="165" t="n">
        <v>22</v>
      </c>
      <c r="L198" s="397" t="n">
        <v>3728</v>
      </c>
      <c r="M198" s="146" t="inlineStr">
        <is>
          <t xml:space="preserve">JHON ARIAS </t>
        </is>
      </c>
      <c r="N198" s="113" t="n"/>
      <c r="O198" s="113" t="n"/>
      <c r="P198" s="398" t="n"/>
      <c r="Q198" s="398" t="n"/>
      <c r="R198" s="113" t="n"/>
      <c r="S198" s="113" t="n"/>
      <c r="T198" s="113" t="n"/>
      <c r="U198" s="113" t="n"/>
      <c r="V198" s="113" t="n"/>
    </row>
    <row r="199" ht="15.75" customHeight="1">
      <c r="A199" s="146" t="n">
        <v>4</v>
      </c>
      <c r="B199" s="238" t="n"/>
      <c r="C199" s="164" t="n">
        <v>45830</v>
      </c>
      <c r="D199" s="165" t="inlineStr">
        <is>
          <t>219 G. SAN JOSE 2</t>
        </is>
      </c>
      <c r="E199" s="165" t="n">
        <v>41764</v>
      </c>
      <c r="F199" s="165" t="inlineStr">
        <is>
          <t>JOSE SOLER</t>
        </is>
      </c>
      <c r="G199" s="165" t="n">
        <v>2800</v>
      </c>
      <c r="H199" s="165" t="n">
        <v>2804</v>
      </c>
      <c r="I199" s="165" t="n">
        <v>2</v>
      </c>
      <c r="J199" s="165" t="n">
        <v>11</v>
      </c>
      <c r="K199" s="165" t="n">
        <v>-17</v>
      </c>
      <c r="L199" s="397" t="n">
        <v>2800</v>
      </c>
      <c r="M199" s="146" t="inlineStr">
        <is>
          <t xml:space="preserve">JOSE SOLER </t>
        </is>
      </c>
      <c r="N199" s="113" t="n"/>
      <c r="O199" s="113" t="n"/>
      <c r="P199" s="398" t="n"/>
      <c r="Q199" s="398" t="n"/>
      <c r="R199" s="113" t="n"/>
      <c r="S199" s="113" t="n"/>
      <c r="T199" s="113" t="n"/>
      <c r="U199" s="113" t="n"/>
      <c r="V199" s="113" t="n"/>
    </row>
    <row r="200" ht="15.75" customHeight="1">
      <c r="A200" s="146" t="n">
        <v>4</v>
      </c>
      <c r="B200" s="238" t="n"/>
      <c r="C200" s="164" t="n">
        <v>45830</v>
      </c>
      <c r="D200" s="166" t="inlineStr">
        <is>
          <t>219 G. SAN JOSE 2</t>
        </is>
      </c>
      <c r="E200" s="166" t="n">
        <v>41765</v>
      </c>
      <c r="F200" s="166" t="inlineStr">
        <is>
          <t>EDWIN ROJAS</t>
        </is>
      </c>
      <c r="G200" s="166" t="n">
        <v>2800</v>
      </c>
      <c r="H200" s="166" t="n">
        <v>2800</v>
      </c>
      <c r="I200" s="166" t="n">
        <v>3</v>
      </c>
      <c r="J200" s="166" t="n">
        <v>10</v>
      </c>
      <c r="K200" s="166" t="n">
        <v>-13</v>
      </c>
      <c r="L200" s="397" t="n">
        <v>2800</v>
      </c>
      <c r="M200" s="146" t="inlineStr">
        <is>
          <t>EDWIN ROJAS</t>
        </is>
      </c>
      <c r="N200" s="113" t="n"/>
      <c r="O200" s="113" t="n"/>
      <c r="P200" s="398" t="n"/>
      <c r="Q200" s="398" t="n"/>
      <c r="R200" s="113" t="n"/>
      <c r="S200" s="113" t="n"/>
      <c r="T200" s="113" t="n"/>
      <c r="U200" s="113" t="n"/>
      <c r="V200" s="113" t="n"/>
    </row>
    <row r="201" ht="15.75" customHeight="1">
      <c r="A201" s="146" t="n">
        <v>4</v>
      </c>
      <c r="B201" s="238" t="n"/>
      <c r="C201" s="164" t="n">
        <v>45830</v>
      </c>
      <c r="D201" s="166" t="inlineStr">
        <is>
          <t>219 G. SAN JOSE 2</t>
        </is>
      </c>
      <c r="E201" s="166" t="n">
        <v>41766</v>
      </c>
      <c r="F201" s="166" t="inlineStr">
        <is>
          <t>FABIO ALDANA</t>
        </is>
      </c>
      <c r="G201" s="166" t="n">
        <v>3050</v>
      </c>
      <c r="H201" s="166" t="n">
        <v>3075</v>
      </c>
      <c r="I201" s="166" t="n">
        <v>2</v>
      </c>
      <c r="J201" s="166" t="n">
        <v>11</v>
      </c>
      <c r="K201" s="166" t="n">
        <v>-38</v>
      </c>
      <c r="L201" s="397" t="n">
        <v>3050</v>
      </c>
      <c r="M201" s="146" t="inlineStr">
        <is>
          <t xml:space="preserve">FABIO ALDANA </t>
        </is>
      </c>
      <c r="N201" s="113" t="n"/>
      <c r="O201" s="113" t="n"/>
      <c r="P201" s="398" t="n"/>
      <c r="Q201" s="398" t="n"/>
      <c r="R201" s="113" t="n"/>
      <c r="S201" s="113" t="n"/>
      <c r="T201" s="113" t="n"/>
      <c r="U201" s="113" t="n"/>
      <c r="V201" s="113" t="n"/>
    </row>
    <row r="202" ht="15.75" customHeight="1">
      <c r="A202" s="146" t="n">
        <v>4</v>
      </c>
      <c r="B202" s="238" t="n"/>
      <c r="C202" s="164" t="n">
        <v>45832</v>
      </c>
      <c r="D202" s="166" t="inlineStr">
        <is>
          <t>219 G. SAN JOSE 2</t>
        </is>
      </c>
      <c r="E202" s="166" t="n">
        <v>41777</v>
      </c>
      <c r="F202" s="166" t="inlineStr">
        <is>
          <t>DUMAR ANGARITA</t>
        </is>
      </c>
      <c r="G202" s="166" t="n">
        <v>3000</v>
      </c>
      <c r="H202" s="166" t="n">
        <v>2989</v>
      </c>
      <c r="I202" s="166" t="n">
        <v>2</v>
      </c>
      <c r="J202" s="166" t="n">
        <v>11</v>
      </c>
      <c r="K202" s="166" t="n">
        <v>-2</v>
      </c>
      <c r="L202" s="397" t="n">
        <v>3000</v>
      </c>
      <c r="M202" s="146" t="inlineStr">
        <is>
          <t xml:space="preserve">DUMAR ANGARITA </t>
        </is>
      </c>
      <c r="N202" s="113" t="n"/>
      <c r="O202" s="113" t="n"/>
      <c r="P202" s="398" t="n"/>
      <c r="Q202" s="398" t="n"/>
      <c r="R202" s="113" t="n"/>
      <c r="S202" s="113" t="n"/>
      <c r="T202" s="113" t="n"/>
      <c r="U202" s="113" t="n"/>
      <c r="V202" s="113" t="n"/>
    </row>
    <row r="203" ht="15.75" customHeight="1">
      <c r="A203" s="146" t="n">
        <v>4</v>
      </c>
      <c r="B203" s="238" t="n"/>
      <c r="C203" s="164" t="n">
        <v>45832</v>
      </c>
      <c r="D203" s="166" t="inlineStr">
        <is>
          <t>219 G. SAN JOSE 2</t>
        </is>
      </c>
      <c r="E203" s="166" t="n">
        <v>41778</v>
      </c>
      <c r="F203" s="166" t="inlineStr">
        <is>
          <t>EDUAN CAVIEDES</t>
        </is>
      </c>
      <c r="G203" s="166" t="n">
        <v>3000</v>
      </c>
      <c r="H203" s="166" t="n">
        <v>2986</v>
      </c>
      <c r="I203" s="166" t="n">
        <v>2</v>
      </c>
      <c r="J203" s="166" t="n">
        <v>13</v>
      </c>
      <c r="K203" s="166" t="n">
        <v>-1</v>
      </c>
      <c r="L203" s="397" t="n">
        <v>3000</v>
      </c>
      <c r="M203" s="146" t="inlineStr">
        <is>
          <t>PEDRO CAVIEDESS</t>
        </is>
      </c>
      <c r="N203" s="113" t="n"/>
      <c r="O203" s="113" t="n"/>
      <c r="P203" s="398" t="n"/>
      <c r="Q203" s="398" t="n"/>
      <c r="R203" s="113" t="n"/>
      <c r="S203" s="113" t="n"/>
      <c r="T203" s="113" t="n"/>
      <c r="U203" s="113" t="n"/>
      <c r="V203" s="113" t="n"/>
    </row>
    <row r="204" ht="15.75" customHeight="1">
      <c r="A204" s="146" t="n">
        <v>4</v>
      </c>
      <c r="B204" s="238" t="n"/>
      <c r="C204" s="164" t="n">
        <v>45832</v>
      </c>
      <c r="D204" s="166" t="inlineStr">
        <is>
          <t>219 G. SAN JOSE 2</t>
        </is>
      </c>
      <c r="E204" s="166" t="n">
        <v>41779</v>
      </c>
      <c r="F204" s="166" t="inlineStr">
        <is>
          <t>FABIO ALDANA</t>
        </is>
      </c>
      <c r="G204" s="166" t="n">
        <v>3000</v>
      </c>
      <c r="H204" s="166" t="n">
        <v>2991</v>
      </c>
      <c r="I204" s="166" t="n">
        <v>2</v>
      </c>
      <c r="J204" s="166" t="n">
        <v>9</v>
      </c>
      <c r="K204" s="166" t="n">
        <v>-2</v>
      </c>
      <c r="L204" s="397" t="n">
        <v>3000</v>
      </c>
      <c r="M204" s="146" t="inlineStr">
        <is>
          <t xml:space="preserve">FABIO ALDANA </t>
        </is>
      </c>
      <c r="N204" s="113" t="n"/>
      <c r="O204" s="113" t="n"/>
      <c r="P204" s="398" t="n"/>
      <c r="Q204" s="398" t="n"/>
      <c r="R204" s="113" t="n"/>
      <c r="S204" s="113" t="n"/>
      <c r="T204" s="113" t="n"/>
      <c r="U204" s="113" t="n"/>
      <c r="V204" s="113" t="n"/>
    </row>
    <row r="205" ht="15.75" customHeight="1">
      <c r="A205" s="146" t="n">
        <v>4</v>
      </c>
      <c r="B205" s="238" t="n"/>
      <c r="C205" s="164" t="n">
        <v>45832</v>
      </c>
      <c r="D205" s="166" t="inlineStr">
        <is>
          <t>219 G. SAN JOSE 2</t>
        </is>
      </c>
      <c r="E205" s="166" t="n">
        <v>41780</v>
      </c>
      <c r="F205" s="166" t="inlineStr">
        <is>
          <t>JAIRO CUBILLOS</t>
        </is>
      </c>
      <c r="G205" s="166" t="n">
        <v>3700</v>
      </c>
      <c r="H205" s="166" t="n">
        <v>3687</v>
      </c>
      <c r="I205" s="166" t="n">
        <v>2</v>
      </c>
      <c r="J205" s="166" t="n">
        <v>12</v>
      </c>
      <c r="K205" s="166" t="n">
        <v>-1</v>
      </c>
      <c r="L205" s="397" t="n">
        <v>3700</v>
      </c>
      <c r="M205" s="146" t="inlineStr">
        <is>
          <t xml:space="preserve">JAIRO CUBILLOS </t>
        </is>
      </c>
      <c r="N205" s="113" t="n"/>
      <c r="O205" s="113" t="n"/>
      <c r="P205" s="398" t="n"/>
      <c r="Q205" s="398" t="n"/>
      <c r="R205" s="113" t="n"/>
      <c r="S205" s="113" t="n"/>
      <c r="T205" s="113" t="n"/>
      <c r="U205" s="113" t="n"/>
      <c r="V205" s="113" t="n"/>
    </row>
    <row r="206" ht="15.75" customHeight="1">
      <c r="A206" s="146" t="n">
        <v>4</v>
      </c>
      <c r="B206" s="238" t="n"/>
      <c r="C206" s="164" t="n">
        <v>45832</v>
      </c>
      <c r="D206" s="166" t="inlineStr">
        <is>
          <t>219 G. SAN JOSE 2</t>
        </is>
      </c>
      <c r="E206" s="166" t="n">
        <v>41786</v>
      </c>
      <c r="F206" s="166" t="inlineStr">
        <is>
          <t>DIEGO NIÑO</t>
        </is>
      </c>
      <c r="G206" s="166" t="n">
        <v>3600</v>
      </c>
      <c r="H206" s="166" t="n">
        <v>3593</v>
      </c>
      <c r="I206" s="166" t="n">
        <v>4</v>
      </c>
      <c r="J206" s="166" t="n">
        <v>7</v>
      </c>
      <c r="K206" s="166" t="n">
        <v>-4</v>
      </c>
      <c r="L206" s="397" t="n">
        <v>3600</v>
      </c>
      <c r="M206" s="146" t="inlineStr">
        <is>
          <t xml:space="preserve">DIEGO NIÑO </t>
        </is>
      </c>
      <c r="N206" s="113" t="n"/>
      <c r="O206" s="113" t="n"/>
      <c r="P206" s="398" t="n"/>
      <c r="Q206" s="398" t="n"/>
      <c r="R206" s="113" t="n"/>
      <c r="S206" s="113" t="n"/>
      <c r="T206" s="113" t="n"/>
      <c r="U206" s="113" t="n"/>
      <c r="V206" s="113" t="n"/>
    </row>
    <row r="207" ht="15.75" customHeight="1">
      <c r="A207" s="146" t="n">
        <v>4</v>
      </c>
      <c r="B207" s="238" t="n"/>
      <c r="C207" s="164" t="n">
        <v>45832</v>
      </c>
      <c r="D207" s="166" t="inlineStr">
        <is>
          <t>219 G. SAN JOSE 2</t>
        </is>
      </c>
      <c r="E207" s="166" t="n">
        <v>41787</v>
      </c>
      <c r="F207" s="166" t="inlineStr">
        <is>
          <t>HENRY ROMERO</t>
        </is>
      </c>
      <c r="G207" s="166" t="n">
        <v>2800</v>
      </c>
      <c r="H207" s="163" t="n">
        <v>2794</v>
      </c>
      <c r="I207" s="166" t="n">
        <v>5</v>
      </c>
      <c r="J207" s="166" t="n">
        <v>11</v>
      </c>
      <c r="K207" s="166" t="n">
        <v>-10</v>
      </c>
      <c r="L207" s="477" t="n">
        <v>2800</v>
      </c>
      <c r="M207" s="146" t="inlineStr">
        <is>
          <t>HENRY ROMERO</t>
        </is>
      </c>
      <c r="N207" s="113" t="n"/>
      <c r="O207" s="113" t="n"/>
      <c r="P207" s="398" t="n"/>
      <c r="Q207" s="398" t="n"/>
      <c r="R207" s="113" t="n"/>
      <c r="S207" s="113" t="n"/>
      <c r="T207" s="113" t="n"/>
      <c r="U207" s="113" t="n"/>
      <c r="V207" s="113" t="n"/>
    </row>
    <row r="208" ht="15.75" customHeight="1">
      <c r="A208" s="146" t="n">
        <v>4</v>
      </c>
      <c r="B208" s="238" t="n"/>
      <c r="C208" s="164" t="n">
        <v>45832</v>
      </c>
      <c r="D208" s="166" t="inlineStr">
        <is>
          <t>219 G. SAN JOSE 2</t>
        </is>
      </c>
      <c r="E208" s="166" t="n">
        <v>41788</v>
      </c>
      <c r="F208" s="166" t="inlineStr">
        <is>
          <t>WILMER PIÑEROS</t>
        </is>
      </c>
      <c r="G208" s="166" t="n">
        <v>2800</v>
      </c>
      <c r="H208" s="166" t="n">
        <v>2798</v>
      </c>
      <c r="I208" s="166" t="n">
        <v>5</v>
      </c>
      <c r="J208" s="166" t="n">
        <v>11</v>
      </c>
      <c r="K208" s="166" t="n">
        <v>-14</v>
      </c>
      <c r="L208" s="397" t="n">
        <v>2800</v>
      </c>
      <c r="M208" s="146" t="inlineStr">
        <is>
          <t xml:space="preserve">WILMER PIÑEROS </t>
        </is>
      </c>
      <c r="N208" s="113" t="n"/>
      <c r="O208" s="113" t="n"/>
      <c r="P208" s="398" t="n"/>
      <c r="Q208" s="398" t="n"/>
      <c r="R208" s="113" t="n"/>
      <c r="S208" s="113" t="n"/>
      <c r="T208" s="113" t="n"/>
      <c r="U208" s="113" t="n"/>
      <c r="V208" s="113" t="n"/>
    </row>
    <row r="209" ht="15.75" customHeight="1">
      <c r="A209" s="146" t="n">
        <v>4</v>
      </c>
      <c r="B209" s="238" t="n"/>
      <c r="C209" s="164" t="n">
        <v>45832</v>
      </c>
      <c r="D209" s="166" t="inlineStr">
        <is>
          <t>219 G. SAN JOSE 2</t>
        </is>
      </c>
      <c r="E209" s="166" t="n">
        <v>41789</v>
      </c>
      <c r="F209" s="166" t="inlineStr">
        <is>
          <t>JHON AGUIRRE</t>
        </is>
      </c>
      <c r="G209" s="166" t="n">
        <v>3190</v>
      </c>
      <c r="H209" s="166" t="n">
        <v>3148</v>
      </c>
      <c r="I209" s="166" t="n">
        <v>6</v>
      </c>
      <c r="J209" s="166" t="n">
        <v>35</v>
      </c>
      <c r="K209" s="166" t="n">
        <v>1</v>
      </c>
      <c r="L209" s="397" t="n">
        <v>3190</v>
      </c>
      <c r="M209" s="146" t="inlineStr">
        <is>
          <t>JHON AGUIRRE</t>
        </is>
      </c>
      <c r="N209" s="113" t="n"/>
      <c r="O209" s="113" t="n"/>
      <c r="P209" s="398" t="n"/>
      <c r="Q209" s="398" t="n"/>
      <c r="R209" s="113" t="n"/>
      <c r="S209" s="113" t="n"/>
      <c r="T209" s="113" t="n"/>
      <c r="U209" s="113" t="n"/>
      <c r="V209" s="113" t="n"/>
    </row>
    <row r="210" ht="15.75" customHeight="1">
      <c r="A210" s="146" t="n">
        <v>4</v>
      </c>
      <c r="B210" s="238" t="n"/>
      <c r="C210" s="164" t="n">
        <v>45832</v>
      </c>
      <c r="D210" s="166" t="inlineStr">
        <is>
          <t>219 G. SAN JOSE 2</t>
        </is>
      </c>
      <c r="E210" s="166" t="n">
        <v>41790</v>
      </c>
      <c r="F210" s="166" t="inlineStr">
        <is>
          <t>EDWIN ROJAS</t>
        </is>
      </c>
      <c r="G210" s="166" t="n">
        <v>3564</v>
      </c>
      <c r="H210" s="166" t="n">
        <v>3524</v>
      </c>
      <c r="I210" s="166" t="n">
        <v>5</v>
      </c>
      <c r="J210" s="166" t="n">
        <v>34</v>
      </c>
      <c r="K210" s="166" t="n">
        <v>1</v>
      </c>
      <c r="L210" s="397" t="n">
        <v>3564</v>
      </c>
      <c r="M210" s="146" t="inlineStr">
        <is>
          <t>EDWIN ROJAS</t>
        </is>
      </c>
      <c r="N210" s="113" t="n"/>
      <c r="O210" s="113" t="n"/>
      <c r="P210" s="398" t="n"/>
      <c r="Q210" s="398" t="n"/>
      <c r="R210" s="113" t="n"/>
      <c r="S210" s="113" t="n"/>
      <c r="T210" s="113" t="n"/>
      <c r="U210" s="113" t="n"/>
      <c r="V210" s="113" t="n"/>
    </row>
    <row r="211" ht="15.75" customHeight="1">
      <c r="A211" s="146" t="n">
        <v>4</v>
      </c>
      <c r="B211" s="238" t="n"/>
      <c r="C211" s="164" t="n">
        <v>45832</v>
      </c>
      <c r="D211" s="166" t="inlineStr">
        <is>
          <t>219 G. SAN JOSE 2</t>
        </is>
      </c>
      <c r="E211" s="166" t="n">
        <v>41791</v>
      </c>
      <c r="F211" s="166" t="inlineStr">
        <is>
          <t>JOSE SOLER</t>
        </is>
      </c>
      <c r="G211" s="166" t="n">
        <v>3240</v>
      </c>
      <c r="H211" s="166" t="n">
        <v>3206</v>
      </c>
      <c r="I211" s="166" t="n">
        <v>3</v>
      </c>
      <c r="J211" s="166" t="n">
        <v>43</v>
      </c>
      <c r="K211" s="166" t="n">
        <v>-12</v>
      </c>
      <c r="L211" s="397" t="n">
        <v>3240</v>
      </c>
      <c r="M211" s="146" t="inlineStr">
        <is>
          <t xml:space="preserve">JOSE SOLER </t>
        </is>
      </c>
      <c r="N211" s="113" t="n"/>
      <c r="O211" s="113" t="n"/>
      <c r="P211" s="398" t="n"/>
      <c r="Q211" s="398" t="n"/>
      <c r="R211" s="113" t="n"/>
      <c r="S211" s="113" t="n"/>
      <c r="T211" s="113" t="n"/>
      <c r="U211" s="113" t="n"/>
      <c r="V211" s="113" t="n"/>
    </row>
    <row r="212" ht="15.75" customHeight="1">
      <c r="A212" s="146" t="n">
        <v>4</v>
      </c>
      <c r="B212" s="238" t="n"/>
      <c r="C212" s="164" t="n">
        <v>45832</v>
      </c>
      <c r="D212" s="166" t="inlineStr">
        <is>
          <t>219 G. SAN JOSE 2</t>
        </is>
      </c>
      <c r="E212" s="166" t="n">
        <v>41792</v>
      </c>
      <c r="F212" s="166" t="inlineStr">
        <is>
          <t>DUMAR ANGARITA</t>
        </is>
      </c>
      <c r="G212" s="166" t="n">
        <v>3888</v>
      </c>
      <c r="H212" s="166" t="n">
        <v>3814</v>
      </c>
      <c r="I212" s="166" t="n">
        <v>4</v>
      </c>
      <c r="J212" s="166" t="n">
        <v>36</v>
      </c>
      <c r="K212" s="166" t="n">
        <v>34</v>
      </c>
      <c r="L212" s="397" t="n">
        <v>3888</v>
      </c>
      <c r="M212" s="146" t="inlineStr">
        <is>
          <t xml:space="preserve">DUMAR ANGARITA </t>
        </is>
      </c>
      <c r="N212" s="113" t="n"/>
      <c r="O212" s="113" t="n"/>
      <c r="P212" s="398" t="n"/>
      <c r="Q212" s="398" t="n"/>
      <c r="R212" s="113" t="n"/>
      <c r="S212" s="113" t="n"/>
      <c r="T212" s="113" t="n"/>
      <c r="U212" s="113" t="n"/>
      <c r="V212" s="113" t="n"/>
    </row>
    <row r="213" ht="15.75" customHeight="1">
      <c r="A213" s="146" t="n">
        <v>4</v>
      </c>
      <c r="B213" s="238" t="n"/>
      <c r="C213" s="164" t="n">
        <v>45832</v>
      </c>
      <c r="D213" s="166" t="inlineStr">
        <is>
          <t>219 G. SAN JOSE 2</t>
        </is>
      </c>
      <c r="E213" s="166" t="n">
        <v>41793</v>
      </c>
      <c r="F213" s="166" t="inlineStr">
        <is>
          <t>EDUAN CAVIEDES</t>
        </is>
      </c>
      <c r="G213" s="166" t="n">
        <v>3432</v>
      </c>
      <c r="H213" s="166" t="n">
        <v>3390</v>
      </c>
      <c r="I213" s="166" t="n">
        <v>3</v>
      </c>
      <c r="J213" s="166" t="n">
        <v>18</v>
      </c>
      <c r="K213" s="166" t="n">
        <v>21</v>
      </c>
      <c r="L213" s="397" t="n">
        <v>3432</v>
      </c>
      <c r="M213" s="146" t="inlineStr">
        <is>
          <t xml:space="preserve">EDUAN CAVIEDEZ </t>
        </is>
      </c>
      <c r="N213" s="113" t="n"/>
      <c r="O213" s="113" t="n"/>
      <c r="P213" s="398" t="n"/>
      <c r="Q213" s="398" t="n"/>
      <c r="R213" s="113" t="n"/>
      <c r="S213" s="113" t="n"/>
      <c r="T213" s="113" t="n"/>
      <c r="U213" s="113" t="n"/>
      <c r="V213" s="113" t="n"/>
    </row>
    <row r="214" ht="15.75" customHeight="1">
      <c r="A214" s="146" t="n">
        <v>4</v>
      </c>
      <c r="B214" s="238" t="n"/>
      <c r="C214" s="164" t="n">
        <v>45833</v>
      </c>
      <c r="D214" s="166" t="inlineStr">
        <is>
          <t>219 G. SAN JOSE 2</t>
        </is>
      </c>
      <c r="E214" s="166" t="n">
        <v>41794</v>
      </c>
      <c r="F214" s="166" t="inlineStr">
        <is>
          <t>MANUEL QUITIAN</t>
        </is>
      </c>
      <c r="G214" s="166" t="n">
        <v>3140</v>
      </c>
      <c r="H214" s="166" t="n">
        <v>3124</v>
      </c>
      <c r="I214" s="166" t="n">
        <v>4</v>
      </c>
      <c r="J214" s="166" t="n">
        <v>11</v>
      </c>
      <c r="K214" s="166" t="n">
        <v>1</v>
      </c>
      <c r="L214" s="397" t="n">
        <v>3140</v>
      </c>
      <c r="M214" s="146" t="inlineStr">
        <is>
          <t>MANUEL QUINDIAN</t>
        </is>
      </c>
      <c r="N214" s="113" t="n"/>
      <c r="O214" s="113" t="n"/>
      <c r="P214" s="398" t="n"/>
      <c r="Q214" s="398" t="n"/>
      <c r="R214" s="113" t="n"/>
      <c r="S214" s="113" t="n"/>
      <c r="T214" s="113" t="n"/>
      <c r="U214" s="113" t="n"/>
      <c r="V214" s="113" t="n"/>
    </row>
    <row r="215" ht="15.75" customHeight="1">
      <c r="A215" s="146" t="n">
        <v>4</v>
      </c>
      <c r="B215" s="238" t="n"/>
      <c r="C215" s="164" t="n">
        <v>45835</v>
      </c>
      <c r="D215" s="166" t="inlineStr">
        <is>
          <t>218 G. SAN JOSE 1</t>
        </is>
      </c>
      <c r="E215" s="166" t="n">
        <v>41842</v>
      </c>
      <c r="F215" s="166" t="inlineStr">
        <is>
          <t>FABIO ALDANA</t>
        </is>
      </c>
      <c r="G215" s="166" t="n">
        <v>2876</v>
      </c>
      <c r="H215" s="166" t="n">
        <v>2866</v>
      </c>
      <c r="I215" s="166" t="n">
        <v>3</v>
      </c>
      <c r="J215" s="166" t="n">
        <v>12</v>
      </c>
      <c r="K215" s="166" t="n">
        <v>-5</v>
      </c>
      <c r="L215" s="397" t="n">
        <v>2876</v>
      </c>
      <c r="M215" s="146" t="inlineStr">
        <is>
          <t xml:space="preserve">JOSE HERRERA </t>
        </is>
      </c>
      <c r="N215" s="113" t="n"/>
      <c r="O215" s="113" t="n"/>
      <c r="P215" s="398" t="n"/>
      <c r="Q215" s="398" t="n"/>
      <c r="R215" s="113" t="n"/>
      <c r="S215" s="113" t="n"/>
      <c r="T215" s="113" t="n"/>
      <c r="U215" s="113" t="n"/>
      <c r="V215" s="113" t="n"/>
    </row>
    <row r="216" ht="15.75" customHeight="1">
      <c r="A216" s="146" t="n">
        <v>4</v>
      </c>
      <c r="B216" s="238" t="n"/>
      <c r="C216" s="164" t="n">
        <v>45835</v>
      </c>
      <c r="D216" s="166" t="inlineStr">
        <is>
          <t>218 G. SAN JOSE 1</t>
        </is>
      </c>
      <c r="E216" s="166" t="n">
        <v>41843</v>
      </c>
      <c r="F216" s="166" t="inlineStr">
        <is>
          <t>JAIRO CUBILLOS</t>
        </is>
      </c>
      <c r="G216" s="166" t="n">
        <v>2876</v>
      </c>
      <c r="H216" s="166" t="n">
        <v>2865</v>
      </c>
      <c r="I216" s="166" t="n">
        <v>5</v>
      </c>
      <c r="J216" s="166" t="n">
        <v>14</v>
      </c>
      <c r="K216" s="166" t="n">
        <v>-8</v>
      </c>
      <c r="L216" s="397" t="n">
        <v>2887</v>
      </c>
      <c r="M216" s="146" t="inlineStr">
        <is>
          <t xml:space="preserve">FABIO ALDANA </t>
        </is>
      </c>
      <c r="N216" s="113" t="n"/>
      <c r="O216" s="113" t="n"/>
      <c r="P216" s="398" t="n"/>
      <c r="Q216" s="398" t="n"/>
      <c r="R216" s="113" t="n"/>
      <c r="S216" s="113" t="n"/>
      <c r="T216" s="113" t="n"/>
      <c r="U216" s="113" t="n"/>
      <c r="V216" s="113" t="n"/>
    </row>
    <row r="217" ht="15.75" customHeight="1">
      <c r="A217" s="146" t="n">
        <v>4</v>
      </c>
      <c r="B217" s="238" t="n"/>
      <c r="C217" s="164" t="n">
        <v>45835</v>
      </c>
      <c r="D217" s="166" t="inlineStr">
        <is>
          <t>218 G. SAN JOSE 1</t>
        </is>
      </c>
      <c r="E217" s="166" t="n">
        <v>41844</v>
      </c>
      <c r="F217" s="166" t="inlineStr">
        <is>
          <t>JHON ARIAS</t>
        </is>
      </c>
      <c r="G217" s="166" t="n">
        <v>2876</v>
      </c>
      <c r="H217" s="166" t="n">
        <v>2865</v>
      </c>
      <c r="I217" s="166" t="n">
        <v>5</v>
      </c>
      <c r="J217" s="166" t="n">
        <v>13</v>
      </c>
      <c r="K217" s="166" t="n">
        <v>-7</v>
      </c>
      <c r="L217" s="397" t="n">
        <v>2887</v>
      </c>
      <c r="M217" s="146" t="inlineStr">
        <is>
          <t xml:space="preserve">JAIRO CUBILLOS </t>
        </is>
      </c>
      <c r="N217" s="113" t="n"/>
      <c r="O217" s="113" t="n"/>
      <c r="P217" s="398" t="n"/>
      <c r="Q217" s="398" t="n"/>
      <c r="R217" s="113" t="n"/>
      <c r="S217" s="113" t="n"/>
      <c r="T217" s="113" t="n"/>
      <c r="U217" s="113" t="n"/>
      <c r="V217" s="113" t="n"/>
    </row>
    <row r="218" ht="15.75" customHeight="1">
      <c r="A218" s="146" t="n">
        <v>4</v>
      </c>
      <c r="B218" s="238" t="n"/>
      <c r="C218" s="164" t="n">
        <v>45835</v>
      </c>
      <c r="D218" s="166" t="inlineStr">
        <is>
          <t>218 G. SAN JOSE 1</t>
        </is>
      </c>
      <c r="E218" s="166" t="n">
        <v>41845</v>
      </c>
      <c r="F218" s="166" t="inlineStr">
        <is>
          <t>ALEX GOMEZ</t>
        </is>
      </c>
      <c r="G218" s="166" t="n">
        <v>2876</v>
      </c>
      <c r="H218" s="166" t="n">
        <v>2867</v>
      </c>
      <c r="I218" s="166" t="n">
        <v>6</v>
      </c>
      <c r="J218" s="166" t="n">
        <v>12</v>
      </c>
      <c r="K218" s="166" t="n">
        <v>-9</v>
      </c>
      <c r="L218" s="397" t="n">
        <v>2887</v>
      </c>
      <c r="M218" s="146" t="inlineStr">
        <is>
          <t xml:space="preserve">JHON ARIAS </t>
        </is>
      </c>
      <c r="N218" s="113" t="n"/>
      <c r="O218" s="113" t="n"/>
      <c r="P218" s="398" t="n"/>
      <c r="Q218" s="398" t="n"/>
      <c r="R218" s="113" t="n"/>
      <c r="S218" s="113" t="n"/>
      <c r="T218" s="113" t="n"/>
      <c r="U218" s="113" t="n"/>
      <c r="V218" s="113" t="n"/>
    </row>
    <row r="219" ht="15.75" customHeight="1">
      <c r="A219" s="146" t="n">
        <v>4</v>
      </c>
      <c r="B219" s="238" t="n"/>
      <c r="C219" s="164" t="n">
        <v>45835</v>
      </c>
      <c r="D219" s="166" t="inlineStr">
        <is>
          <t>218 G. SAN JOSE 1</t>
        </is>
      </c>
      <c r="E219" s="166" t="n">
        <v>41846</v>
      </c>
      <c r="F219" s="166" t="inlineStr">
        <is>
          <t>YAIR RIVEROS</t>
        </is>
      </c>
      <c r="G219" s="166" t="n">
        <v>2552</v>
      </c>
      <c r="H219" s="166" t="n">
        <v>2543</v>
      </c>
      <c r="I219" s="166" t="n">
        <v>5</v>
      </c>
      <c r="J219" s="166" t="n">
        <v>14</v>
      </c>
      <c r="K219" s="166" t="n">
        <v>-10</v>
      </c>
      <c r="L219" s="397" t="n">
        <v>2552</v>
      </c>
      <c r="M219" s="146" t="inlineStr">
        <is>
          <t xml:space="preserve">ALEX GOMEZ </t>
        </is>
      </c>
      <c r="N219" s="113" t="n"/>
      <c r="O219" s="113" t="n"/>
      <c r="P219" s="398" t="n"/>
      <c r="Q219" s="398" t="n"/>
      <c r="R219" s="113" t="n"/>
      <c r="S219" s="113" t="n"/>
      <c r="T219" s="113" t="n"/>
      <c r="U219" s="113" t="n"/>
      <c r="V219" s="113" t="n"/>
    </row>
    <row r="220" ht="15.75" customHeight="1">
      <c r="A220" s="146" t="n">
        <v>4</v>
      </c>
      <c r="B220" s="238" t="n"/>
      <c r="C220" s="164" t="n">
        <v>45835</v>
      </c>
      <c r="D220" s="166" t="inlineStr">
        <is>
          <t>218 G. SAN JOSE 1</t>
        </is>
      </c>
      <c r="E220" s="166" t="n">
        <v>41847</v>
      </c>
      <c r="F220" s="166" t="inlineStr">
        <is>
          <t>EDUAN CAVIEDES</t>
        </is>
      </c>
      <c r="G220" s="166" t="n">
        <v>3474</v>
      </c>
      <c r="H220" s="166" t="n">
        <v>3466</v>
      </c>
      <c r="I220" s="166" t="n">
        <v>2</v>
      </c>
      <c r="J220" s="166" t="n">
        <v>8</v>
      </c>
      <c r="K220" s="166" t="n">
        <v>-2</v>
      </c>
      <c r="L220" s="397" t="n">
        <v>3474</v>
      </c>
      <c r="M220" s="146" t="inlineStr">
        <is>
          <t xml:space="preserve">JAIR RIVEROS </t>
        </is>
      </c>
      <c r="N220" s="113" t="n"/>
      <c r="O220" s="113" t="n"/>
      <c r="P220" s="398" t="n"/>
      <c r="Q220" s="398" t="n"/>
      <c r="R220" s="113" t="n"/>
      <c r="S220" s="113" t="n"/>
      <c r="T220" s="113" t="n"/>
      <c r="U220" s="113" t="n"/>
      <c r="V220" s="113" t="n"/>
    </row>
    <row r="221" ht="15.75" customHeight="1">
      <c r="A221" s="146" t="n">
        <v>4</v>
      </c>
      <c r="B221" s="238" t="n"/>
      <c r="C221" s="164" t="n">
        <v>45835</v>
      </c>
      <c r="D221" s="166" t="inlineStr">
        <is>
          <t>218 G. SAN JOSE 1</t>
        </is>
      </c>
      <c r="E221" s="166" t="n">
        <v>41848</v>
      </c>
      <c r="F221" s="166" t="inlineStr">
        <is>
          <t>ALBERTO HERRERA</t>
        </is>
      </c>
      <c r="G221" s="166" t="n">
        <v>3474</v>
      </c>
      <c r="H221" s="166" t="n">
        <v>3466</v>
      </c>
      <c r="I221" s="166" t="n">
        <v>2</v>
      </c>
      <c r="J221" s="166" t="n">
        <v>8</v>
      </c>
      <c r="K221" s="166" t="n">
        <v>-2</v>
      </c>
      <c r="L221" s="397" t="n">
        <v>3474</v>
      </c>
      <c r="M221" s="146" t="inlineStr">
        <is>
          <t xml:space="preserve">EDUAN CAVIEDEZ </t>
        </is>
      </c>
      <c r="N221" s="113" t="n"/>
      <c r="O221" s="113" t="n"/>
      <c r="P221" s="398" t="n"/>
      <c r="Q221" s="398" t="n"/>
      <c r="R221" s="113" t="n"/>
      <c r="S221" s="113" t="n"/>
      <c r="T221" s="113" t="n"/>
      <c r="U221" s="113" t="n"/>
      <c r="V221" s="113" t="n"/>
    </row>
    <row r="222" ht="15.75" customHeight="1">
      <c r="A222" s="146" t="n">
        <v>4</v>
      </c>
      <c r="B222" s="238" t="n"/>
      <c r="C222" s="164" t="n">
        <v>45835</v>
      </c>
      <c r="D222" s="166" t="inlineStr">
        <is>
          <t>218 G. SAN JOSE 1</t>
        </is>
      </c>
      <c r="E222" s="166" t="n">
        <v>41849</v>
      </c>
      <c r="F222" s="166" t="inlineStr">
        <is>
          <t>JAIRO CUBILLOS</t>
        </is>
      </c>
      <c r="G222" s="166" t="n">
        <v>3564</v>
      </c>
      <c r="H222" s="166" t="n">
        <v>3566</v>
      </c>
      <c r="I222" s="166" t="n">
        <v>2</v>
      </c>
      <c r="J222" s="166" t="n">
        <v>7</v>
      </c>
      <c r="K222" s="166" t="n">
        <v>-11</v>
      </c>
      <c r="L222" s="397" t="n">
        <v>3564</v>
      </c>
      <c r="M222" s="146" t="inlineStr">
        <is>
          <t xml:space="preserve">JOSE HERRERA </t>
        </is>
      </c>
      <c r="N222" s="113" t="n"/>
      <c r="O222" s="113" t="n"/>
      <c r="P222" s="398" t="n"/>
      <c r="Q222" s="398" t="n"/>
      <c r="R222" s="113" t="n"/>
      <c r="S222" s="113" t="n"/>
      <c r="T222" s="113" t="n"/>
      <c r="U222" s="113" t="n"/>
      <c r="V222" s="113" t="n"/>
    </row>
    <row r="223" ht="15.75" customHeight="1">
      <c r="A223" s="146" t="n">
        <v>4</v>
      </c>
      <c r="B223" s="238" t="n"/>
      <c r="C223" s="164" t="n">
        <v>45835</v>
      </c>
      <c r="D223" s="166" t="inlineStr">
        <is>
          <t>218 G. SAN JOSE 1</t>
        </is>
      </c>
      <c r="E223" s="166" t="n">
        <v>41850</v>
      </c>
      <c r="F223" s="166" t="inlineStr">
        <is>
          <t>ALBERTO HERRERA</t>
        </is>
      </c>
      <c r="G223" s="166" t="n">
        <v>3355</v>
      </c>
      <c r="H223" s="166" t="n">
        <v>3357</v>
      </c>
      <c r="I223" s="166" t="n">
        <v>2</v>
      </c>
      <c r="J223" s="166" t="n">
        <v>6</v>
      </c>
      <c r="K223" s="166" t="n">
        <v>-10</v>
      </c>
      <c r="L223" s="397" t="n">
        <v>3355</v>
      </c>
      <c r="M223" s="146" t="inlineStr">
        <is>
          <t xml:space="preserve">JAIRO CUBILLOS </t>
        </is>
      </c>
      <c r="N223" s="113" t="n"/>
      <c r="O223" s="113" t="n"/>
      <c r="P223" s="398" t="n"/>
      <c r="Q223" s="398" t="n"/>
      <c r="R223" s="113" t="n"/>
      <c r="S223" s="113" t="n"/>
      <c r="T223" s="113" t="n"/>
      <c r="U223" s="113" t="n"/>
      <c r="V223" s="113" t="n"/>
    </row>
    <row r="224" ht="15.75" customHeight="1">
      <c r="A224" s="146" t="n">
        <v>4</v>
      </c>
      <c r="B224" s="238" t="n"/>
      <c r="C224" s="399" t="n"/>
      <c r="D224" s="113" t="n"/>
      <c r="E224" s="113" t="n"/>
      <c r="F224" s="113" t="n"/>
      <c r="G224" s="395" t="n"/>
      <c r="H224" s="395">
        <f>SUBTOTAL(9,H190:H223)</f>
        <v/>
      </c>
      <c r="I224" s="395" t="n"/>
      <c r="J224" s="395" t="n"/>
      <c r="K224" s="395" t="n"/>
      <c r="L224" s="397">
        <f>SUBTOTAL(9,L190:L223)</f>
        <v/>
      </c>
      <c r="M224" s="395">
        <f>+L224-H224</f>
        <v/>
      </c>
      <c r="N224" s="146">
        <f>SUBTOTAL(9,I190:K223)</f>
        <v/>
      </c>
      <c r="O224" s="113" t="n"/>
      <c r="P224" s="398" t="n"/>
      <c r="Q224" s="398" t="n"/>
      <c r="R224" s="113" t="n"/>
      <c r="S224" s="113" t="n"/>
      <c r="T224" s="113" t="n"/>
      <c r="U224" s="113" t="n"/>
      <c r="V224" s="113" t="n"/>
    </row>
    <row r="225" ht="15.75" customHeight="1">
      <c r="A225" s="146" t="n">
        <v>4</v>
      </c>
      <c r="B225" s="238" t="n"/>
      <c r="C225" s="399" t="n"/>
      <c r="D225" s="113" t="n"/>
      <c r="E225" s="113" t="n"/>
      <c r="F225" s="113" t="n"/>
      <c r="G225" s="395" t="n"/>
      <c r="H225" s="395" t="n"/>
      <c r="I225" s="395" t="n"/>
      <c r="J225" s="395" t="n"/>
      <c r="K225" s="395" t="n"/>
      <c r="L225" s="397" t="n"/>
      <c r="M225" s="113" t="n"/>
      <c r="N225" s="113" t="n"/>
      <c r="O225" s="113" t="n"/>
      <c r="P225" s="398" t="n"/>
      <c r="Q225" s="398" t="n"/>
      <c r="R225" s="113" t="n"/>
      <c r="S225" s="113" t="n"/>
      <c r="T225" s="113" t="n"/>
      <c r="U225" s="113" t="n"/>
      <c r="V225" s="113" t="n"/>
    </row>
    <row r="226" ht="15.75" customHeight="1">
      <c r="A226" s="146" t="n">
        <v>5</v>
      </c>
      <c r="B226" s="238" t="n"/>
      <c r="C226" s="399" t="n">
        <v>45837</v>
      </c>
      <c r="D226" s="146" t="inlineStr">
        <is>
          <t>202 G. HUERTAS-LA MANIGUA</t>
        </is>
      </c>
      <c r="E226" s="146" t="n">
        <v>41868</v>
      </c>
      <c r="F226" s="146" t="inlineStr">
        <is>
          <t>ALBERTO HERRERA</t>
        </is>
      </c>
      <c r="G226" s="395" t="n">
        <v>2916</v>
      </c>
      <c r="H226" s="395" t="n">
        <v>2849</v>
      </c>
      <c r="I226" s="395" t="n">
        <v>3</v>
      </c>
      <c r="J226" s="478" t="n">
        <v>63</v>
      </c>
      <c r="K226" s="395" t="n">
        <v>1</v>
      </c>
      <c r="L226" s="397" t="n">
        <v>3140</v>
      </c>
      <c r="M226" s="146" t="inlineStr">
        <is>
          <t xml:space="preserve">ALBERTO LOPEZ </t>
        </is>
      </c>
      <c r="N226" s="113" t="n"/>
      <c r="O226" s="113" t="n"/>
      <c r="P226" s="398" t="n"/>
      <c r="Q226" s="398" t="n"/>
      <c r="R226" s="113" t="n"/>
      <c r="S226" s="113" t="n"/>
      <c r="T226" s="113" t="n"/>
      <c r="U226" s="113" t="n"/>
      <c r="V226" s="113" t="n"/>
    </row>
    <row r="227" ht="15.75" customHeight="1">
      <c r="A227" s="146" t="n">
        <v>5</v>
      </c>
      <c r="B227" s="238" t="n"/>
      <c r="C227" s="399" t="n">
        <v>45837</v>
      </c>
      <c r="D227" s="146" t="inlineStr">
        <is>
          <t>202 G. HUERTAS-LA MANIGUA</t>
        </is>
      </c>
      <c r="E227" s="146" t="n">
        <v>41869</v>
      </c>
      <c r="F227" s="146" t="inlineStr">
        <is>
          <t>YAIR RIVEROS</t>
        </is>
      </c>
      <c r="G227" s="395" t="n">
        <v>2880</v>
      </c>
      <c r="H227" s="395" t="n">
        <v>2812</v>
      </c>
      <c r="I227" s="395" t="n">
        <v>3</v>
      </c>
      <c r="J227" s="478" t="n">
        <v>64</v>
      </c>
      <c r="K227" s="395" t="n">
        <v>1</v>
      </c>
      <c r="L227" s="397" t="n">
        <v>3140</v>
      </c>
      <c r="M227" s="146" t="inlineStr">
        <is>
          <t xml:space="preserve">MANUEL QUITIAN </t>
        </is>
      </c>
      <c r="N227" s="113" t="n"/>
      <c r="O227" s="113" t="n"/>
      <c r="P227" s="398" t="n"/>
      <c r="Q227" s="398" t="n"/>
      <c r="R227" s="113" t="n"/>
      <c r="S227" s="113" t="n"/>
      <c r="T227" s="113" t="n"/>
      <c r="U227" s="113" t="n"/>
      <c r="V227" s="113" t="n"/>
    </row>
    <row r="228" ht="15.75" customHeight="1">
      <c r="A228" s="146" t="n">
        <v>5</v>
      </c>
      <c r="B228" s="238" t="n"/>
      <c r="C228" s="399" t="n">
        <v>45839</v>
      </c>
      <c r="D228" s="146" t="inlineStr">
        <is>
          <t>202 G. HUERTAS-LA MANIGUA</t>
        </is>
      </c>
      <c r="E228" s="146" t="n">
        <v>41877</v>
      </c>
      <c r="F228" s="146" t="inlineStr">
        <is>
          <t>FERNANDO SANDOVAL</t>
        </is>
      </c>
      <c r="G228" s="395" t="n">
        <v>2614</v>
      </c>
      <c r="H228" s="395" t="n">
        <v>2602</v>
      </c>
      <c r="I228" s="395" t="n">
        <v>3</v>
      </c>
      <c r="J228" s="395" t="n">
        <v>7</v>
      </c>
      <c r="K228" s="395" t="n">
        <v>2</v>
      </c>
      <c r="L228" s="397" t="n">
        <v>3140</v>
      </c>
      <c r="M228" s="146" t="inlineStr">
        <is>
          <t xml:space="preserve">JHON ARIAS </t>
        </is>
      </c>
      <c r="N228" s="113" t="n"/>
      <c r="O228" s="113" t="n"/>
      <c r="P228" s="398" t="n"/>
      <c r="Q228" s="398" t="n"/>
      <c r="R228" s="113" t="n"/>
      <c r="S228" s="113" t="n"/>
      <c r="T228" s="113" t="n"/>
      <c r="U228" s="113" t="n"/>
      <c r="V228" s="113" t="n"/>
    </row>
    <row r="229" ht="15.75" customHeight="1">
      <c r="A229" s="146" t="n">
        <v>5</v>
      </c>
      <c r="B229" s="238" t="n"/>
      <c r="C229" s="399" t="n">
        <v>45839</v>
      </c>
      <c r="D229" s="146" t="inlineStr">
        <is>
          <t>202 G. HUERTAS-LA MANIGUA</t>
        </is>
      </c>
      <c r="E229" s="146" t="n">
        <v>41879</v>
      </c>
      <c r="F229" s="146" t="inlineStr">
        <is>
          <t>FABIO ALDANA</t>
        </is>
      </c>
      <c r="G229" s="395" t="n">
        <v>2614</v>
      </c>
      <c r="H229" s="395" t="n">
        <v>2598</v>
      </c>
      <c r="I229" s="395" t="n">
        <v>4</v>
      </c>
      <c r="J229" s="395" t="n">
        <v>14</v>
      </c>
      <c r="K229" s="395" t="n">
        <v>-2</v>
      </c>
      <c r="L229" s="397" t="n">
        <v>3140</v>
      </c>
      <c r="M229" s="146" t="inlineStr">
        <is>
          <t xml:space="preserve">DIEGO NIÑO </t>
        </is>
      </c>
      <c r="N229" s="113" t="n"/>
      <c r="O229" s="113" t="n"/>
      <c r="P229" s="398" t="n"/>
      <c r="Q229" s="398" t="n"/>
      <c r="R229" s="113" t="n"/>
      <c r="S229" s="113" t="n"/>
      <c r="T229" s="113" t="n"/>
      <c r="U229" s="113" t="n"/>
      <c r="V229" s="113" t="n"/>
    </row>
    <row r="230" ht="15.75" customHeight="1">
      <c r="A230" s="146" t="n">
        <v>5</v>
      </c>
      <c r="B230" s="238" t="n"/>
      <c r="C230" s="399" t="n">
        <v>45839</v>
      </c>
      <c r="D230" s="146" t="inlineStr">
        <is>
          <t>202 G. HUERTAS-LA MANIGUA</t>
        </is>
      </c>
      <c r="E230" s="146" t="n">
        <v>41880</v>
      </c>
      <c r="F230" s="146" t="inlineStr">
        <is>
          <t>JAIRO CUBILLOS</t>
        </is>
      </c>
      <c r="G230" s="395" t="n">
        <v>3400</v>
      </c>
      <c r="H230" s="395" t="n">
        <v>3387</v>
      </c>
      <c r="I230" s="395" t="n">
        <v>5</v>
      </c>
      <c r="J230" s="395" t="n">
        <v>11</v>
      </c>
      <c r="K230" s="395" t="n">
        <v>-3</v>
      </c>
      <c r="L230" s="397" t="n">
        <v>2700</v>
      </c>
      <c r="M230" s="146" t="inlineStr">
        <is>
          <t>HENRY ROMERO</t>
        </is>
      </c>
      <c r="N230" s="113" t="n"/>
      <c r="O230" s="113" t="n"/>
      <c r="P230" s="398" t="n"/>
      <c r="Q230" s="398" t="n"/>
      <c r="R230" s="113" t="n"/>
      <c r="S230" s="113" t="n"/>
      <c r="T230" s="113" t="n"/>
      <c r="U230" s="113" t="n"/>
      <c r="V230" s="113" t="n"/>
    </row>
    <row r="231" ht="15.75" customHeight="1">
      <c r="A231" s="146" t="n">
        <v>5</v>
      </c>
      <c r="B231" s="238" t="n"/>
      <c r="C231" s="399" t="n">
        <v>45839</v>
      </c>
      <c r="D231" s="146" t="inlineStr">
        <is>
          <t>202 G. HUERTAS-LA MANIGUA</t>
        </is>
      </c>
      <c r="E231" s="146" t="n">
        <v>41883</v>
      </c>
      <c r="F231" s="146" t="inlineStr">
        <is>
          <t>ALEX GOMEZ</t>
        </is>
      </c>
      <c r="G231" s="395" t="n">
        <v>3400</v>
      </c>
      <c r="H231" s="395" t="n">
        <v>3413</v>
      </c>
      <c r="I231" s="395" t="n">
        <v>3</v>
      </c>
      <c r="J231" s="395" t="n">
        <v>10</v>
      </c>
      <c r="K231" s="477" t="n">
        <v>-26</v>
      </c>
      <c r="L231" s="397" t="n">
        <v>3600</v>
      </c>
      <c r="M231" s="146" t="inlineStr">
        <is>
          <t xml:space="preserve">EDUAN CAVIEDEZ </t>
        </is>
      </c>
      <c r="N231" s="113" t="n"/>
      <c r="O231" s="113" t="n"/>
      <c r="P231" s="398" t="n"/>
      <c r="Q231" s="398" t="n"/>
      <c r="R231" s="113" t="n"/>
      <c r="S231" s="113" t="n"/>
      <c r="T231" s="113" t="n"/>
      <c r="U231" s="113" t="n"/>
      <c r="V231" s="113" t="n"/>
    </row>
    <row r="232" ht="15.75" customHeight="1">
      <c r="A232" s="146" t="n">
        <v>5</v>
      </c>
      <c r="B232" s="238" t="n"/>
      <c r="C232" s="399" t="n">
        <v>45840</v>
      </c>
      <c r="D232" s="146" t="inlineStr">
        <is>
          <t>202 G. HUERTAS-LA MANIGUA</t>
        </is>
      </c>
      <c r="E232" s="146" t="n">
        <v>41901</v>
      </c>
      <c r="F232" s="146" t="inlineStr">
        <is>
          <t>DUMAR ANGARITA</t>
        </is>
      </c>
      <c r="G232" s="395" t="n">
        <v>3040</v>
      </c>
      <c r="H232" s="395" t="n">
        <v>2937</v>
      </c>
      <c r="I232" s="395" t="n">
        <v>4</v>
      </c>
      <c r="J232" s="478" t="n">
        <v>99</v>
      </c>
      <c r="K232" s="395" t="n">
        <v>0</v>
      </c>
      <c r="L232" s="397" t="n">
        <v>3600</v>
      </c>
      <c r="M232" s="146" t="inlineStr">
        <is>
          <t>JHON AGUIRRE</t>
        </is>
      </c>
      <c r="N232" s="113" t="n"/>
      <c r="O232" s="113" t="n"/>
      <c r="P232" s="398" t="n"/>
      <c r="Q232" s="398" t="n"/>
      <c r="R232" s="113" t="n"/>
      <c r="S232" s="113" t="n"/>
      <c r="T232" s="113" t="n"/>
      <c r="U232" s="113" t="n"/>
      <c r="V232" s="113" t="n"/>
    </row>
    <row r="233" ht="15.75" customHeight="1">
      <c r="A233" s="146" t="n">
        <v>5</v>
      </c>
      <c r="B233" s="238" t="n"/>
      <c r="C233" s="399" t="n">
        <v>45840</v>
      </c>
      <c r="D233" s="146" t="inlineStr">
        <is>
          <t>202 G. HUERTAS-LA MANIGUA</t>
        </is>
      </c>
      <c r="E233" s="146" t="n">
        <v>41902</v>
      </c>
      <c r="F233" s="146" t="inlineStr">
        <is>
          <t>YAIR RIVEROS</t>
        </is>
      </c>
      <c r="G233" s="395" t="n">
        <v>3600</v>
      </c>
      <c r="H233" s="395" t="n">
        <v>3493</v>
      </c>
      <c r="I233" s="395" t="n">
        <v>5</v>
      </c>
      <c r="J233" s="478" t="n">
        <v>100</v>
      </c>
      <c r="K233" s="395" t="n">
        <v>2</v>
      </c>
      <c r="L233" s="397" t="n">
        <v>2916</v>
      </c>
      <c r="M233" s="146" t="inlineStr">
        <is>
          <t xml:space="preserve">JOSE HERRERA </t>
        </is>
      </c>
      <c r="N233" s="113" t="n"/>
      <c r="O233" s="113" t="n"/>
      <c r="P233" s="398" t="n"/>
      <c r="Q233" s="398" t="n"/>
      <c r="R233" s="113" t="n"/>
      <c r="S233" s="113" t="n"/>
      <c r="T233" s="113" t="n"/>
      <c r="U233" s="113" t="n"/>
      <c r="V233" s="113" t="n"/>
    </row>
    <row r="234" ht="15.75" customHeight="1">
      <c r="A234" s="146" t="n">
        <v>5</v>
      </c>
      <c r="B234" s="238" t="n"/>
      <c r="C234" s="399" t="n">
        <v>45840</v>
      </c>
      <c r="D234" s="146" t="inlineStr">
        <is>
          <t>202 G. HUERTAS-LA MANIGUA</t>
        </is>
      </c>
      <c r="E234" s="146" t="n">
        <v>41903</v>
      </c>
      <c r="F234" s="146" t="inlineStr">
        <is>
          <t>HENRY ROMERO</t>
        </is>
      </c>
      <c r="G234" s="395" t="n">
        <v>3240</v>
      </c>
      <c r="H234" s="395" t="n">
        <v>3216</v>
      </c>
      <c r="I234" s="395" t="n">
        <v>3</v>
      </c>
      <c r="J234" s="395" t="n">
        <v>24</v>
      </c>
      <c r="K234" s="395" t="n">
        <v>-3</v>
      </c>
      <c r="L234" s="397" t="n">
        <v>2880</v>
      </c>
      <c r="M234" s="146" t="inlineStr">
        <is>
          <t xml:space="preserve">JAIR RIVEROS </t>
        </is>
      </c>
      <c r="N234" s="113" t="n"/>
      <c r="O234" s="113" t="n"/>
      <c r="P234" s="398" t="n"/>
      <c r="Q234" s="398" t="n"/>
      <c r="R234" s="113" t="n"/>
      <c r="S234" s="113" t="n"/>
      <c r="T234" s="113" t="n"/>
      <c r="U234" s="113" t="n"/>
      <c r="V234" s="113" t="n"/>
    </row>
    <row r="235" ht="15.75" customHeight="1">
      <c r="A235" s="146" t="n">
        <v>5</v>
      </c>
      <c r="B235" s="238" t="n"/>
      <c r="C235" s="399" t="n">
        <v>45840</v>
      </c>
      <c r="D235" s="146" t="inlineStr">
        <is>
          <t>202 G. HUERTAS-LA MANIGUA</t>
        </is>
      </c>
      <c r="E235" s="146" t="n">
        <v>41904</v>
      </c>
      <c r="F235" s="146" t="inlineStr">
        <is>
          <t>JHON AGUIRRE</t>
        </is>
      </c>
      <c r="G235" s="395" t="n">
        <v>2916</v>
      </c>
      <c r="H235" s="395" t="n">
        <v>2894</v>
      </c>
      <c r="I235" s="395" t="n">
        <v>2</v>
      </c>
      <c r="J235" s="395" t="n">
        <v>22</v>
      </c>
      <c r="K235" s="395" t="n">
        <v>-2</v>
      </c>
      <c r="L235" s="397" t="n">
        <v>2612</v>
      </c>
      <c r="M235" s="146" t="inlineStr">
        <is>
          <t xml:space="preserve">FERNANDO OYUELA </t>
        </is>
      </c>
      <c r="N235" s="113" t="n"/>
      <c r="O235" s="113" t="n"/>
      <c r="P235" s="398" t="n"/>
      <c r="Q235" s="398" t="n"/>
      <c r="R235" s="113" t="n"/>
      <c r="S235" s="113" t="n"/>
      <c r="T235" s="113" t="n"/>
      <c r="U235" s="113" t="n"/>
      <c r="V235" s="113" t="n"/>
    </row>
    <row r="236" ht="15.75" customHeight="1">
      <c r="A236" s="146" t="n">
        <v>5</v>
      </c>
      <c r="B236" s="238" t="n"/>
      <c r="C236" s="399" t="n">
        <v>45840</v>
      </c>
      <c r="D236" s="146" t="inlineStr">
        <is>
          <t>202 G. HUERTAS-LA MANIGUA</t>
        </is>
      </c>
      <c r="E236" s="146" t="n">
        <v>41905</v>
      </c>
      <c r="F236" s="146" t="inlineStr">
        <is>
          <t>MANUEL QUITIAN</t>
        </is>
      </c>
      <c r="G236" s="395" t="n">
        <v>2592</v>
      </c>
      <c r="H236" s="395" t="n">
        <v>2584</v>
      </c>
      <c r="I236" s="395" t="n">
        <v>3</v>
      </c>
      <c r="J236" s="395" t="n">
        <v>8</v>
      </c>
      <c r="K236" s="395" t="n">
        <v>-3</v>
      </c>
      <c r="L236" s="397" t="n">
        <v>2614</v>
      </c>
      <c r="M236" s="146" t="inlineStr">
        <is>
          <t xml:space="preserve">FABIO ALDANA </t>
        </is>
      </c>
      <c r="N236" s="113" t="n"/>
      <c r="O236" s="113" t="n"/>
      <c r="P236" s="398" t="n"/>
      <c r="Q236" s="398" t="n"/>
      <c r="R236" s="113" t="n"/>
      <c r="S236" s="113" t="n"/>
      <c r="T236" s="113" t="n"/>
      <c r="U236" s="113" t="n"/>
      <c r="V236" s="113" t="n"/>
    </row>
    <row r="237" ht="15.75" customHeight="1">
      <c r="A237" s="146" t="n">
        <v>5</v>
      </c>
      <c r="B237" s="238" t="n"/>
      <c r="C237" s="399" t="n">
        <v>45840</v>
      </c>
      <c r="D237" s="146" t="inlineStr">
        <is>
          <t>202 G. HUERTAS-LA MANIGUA</t>
        </is>
      </c>
      <c r="E237" s="146" t="n">
        <v>41906</v>
      </c>
      <c r="F237" s="146" t="inlineStr">
        <is>
          <t>ALBERTO LOPEZ</t>
        </is>
      </c>
      <c r="G237" s="395" t="n">
        <v>1952</v>
      </c>
      <c r="H237" s="395" t="n">
        <v>1953</v>
      </c>
      <c r="I237" s="395" t="n">
        <v>2</v>
      </c>
      <c r="J237" s="395" t="n">
        <v>9</v>
      </c>
      <c r="K237" s="395" t="n">
        <v>-12</v>
      </c>
      <c r="L237" s="397" t="n">
        <v>3400</v>
      </c>
      <c r="M237" s="146" t="inlineStr">
        <is>
          <t xml:space="preserve">JAIRO CUBILLOS </t>
        </is>
      </c>
      <c r="N237" s="113" t="n"/>
      <c r="O237" s="113" t="n"/>
      <c r="P237" s="398" t="n"/>
      <c r="Q237" s="398" t="n"/>
      <c r="R237" s="113" t="n"/>
      <c r="S237" s="113" t="n"/>
      <c r="T237" s="113" t="n"/>
      <c r="U237" s="113" t="n"/>
      <c r="V237" s="113" t="n"/>
    </row>
    <row r="238" ht="15.75" customHeight="1">
      <c r="A238" s="146" t="n">
        <v>5</v>
      </c>
      <c r="B238" s="238" t="n"/>
      <c r="C238" s="399" t="n">
        <v>45840</v>
      </c>
      <c r="D238" s="146" t="inlineStr">
        <is>
          <t>202 G. HUERTAS-LA MANIGUA</t>
        </is>
      </c>
      <c r="E238" s="146" t="n">
        <v>41907</v>
      </c>
      <c r="F238" s="146" t="inlineStr">
        <is>
          <t>ALBERTO HERRERA</t>
        </is>
      </c>
      <c r="G238" s="395" t="n">
        <v>3174</v>
      </c>
      <c r="H238" s="395" t="n">
        <v>3165</v>
      </c>
      <c r="I238" s="395" t="n">
        <v>1</v>
      </c>
      <c r="J238" s="395" t="n">
        <v>7</v>
      </c>
      <c r="K238" s="395" t="n">
        <v>1</v>
      </c>
      <c r="L238" s="397" t="n">
        <v>3400</v>
      </c>
      <c r="M238" s="146" t="inlineStr">
        <is>
          <t xml:space="preserve">ALEX GOMEZ </t>
        </is>
      </c>
      <c r="N238" s="113" t="n"/>
      <c r="O238" s="113" t="n"/>
      <c r="P238" s="398" t="n"/>
      <c r="Q238" s="398" t="n"/>
      <c r="R238" s="113" t="n"/>
      <c r="S238" s="113" t="n"/>
      <c r="T238" s="113" t="n"/>
      <c r="U238" s="113" t="n"/>
      <c r="V238" s="113" t="n"/>
    </row>
    <row r="239" ht="15.75" customHeight="1">
      <c r="A239" s="146" t="n">
        <v>5</v>
      </c>
      <c r="B239" s="238" t="n"/>
      <c r="C239" s="399" t="n">
        <v>45840</v>
      </c>
      <c r="D239" s="146" t="inlineStr">
        <is>
          <t>202 G. HUERTAS-LA MANIGUA</t>
        </is>
      </c>
      <c r="E239" s="146" t="n">
        <v>41908</v>
      </c>
      <c r="F239" s="146" t="inlineStr">
        <is>
          <t>EDUAN CAVIEDES</t>
        </is>
      </c>
      <c r="G239" s="395" t="n">
        <v>2592</v>
      </c>
      <c r="H239" s="395" t="n">
        <v>2588</v>
      </c>
      <c r="I239" s="395" t="n">
        <v>1</v>
      </c>
      <c r="J239" s="395" t="n">
        <v>4</v>
      </c>
      <c r="K239" s="395" t="n">
        <v>-1</v>
      </c>
      <c r="L239" s="397" t="n">
        <v>3600</v>
      </c>
      <c r="M239" s="146" t="inlineStr">
        <is>
          <t xml:space="preserve">JOSE HERRERA </t>
        </is>
      </c>
      <c r="N239" s="113" t="n"/>
      <c r="O239" s="113" t="n"/>
      <c r="P239" s="398" t="n"/>
      <c r="Q239" s="398" t="n"/>
      <c r="R239" s="113" t="n"/>
      <c r="S239" s="113" t="n"/>
      <c r="T239" s="113" t="n"/>
      <c r="U239" s="113" t="n"/>
      <c r="V239" s="113" t="n"/>
    </row>
    <row r="240" ht="15.75" customHeight="1">
      <c r="A240" s="146" t="n">
        <v>5</v>
      </c>
      <c r="B240" s="238" t="n"/>
      <c r="C240" s="399" t="n">
        <v>45840</v>
      </c>
      <c r="D240" s="146" t="inlineStr">
        <is>
          <t>202 G. HUERTAS-LA MANIGUA</t>
        </is>
      </c>
      <c r="E240" s="146" t="n">
        <v>41918</v>
      </c>
      <c r="F240" s="146" t="inlineStr">
        <is>
          <t>EDUAN CAVIEDES</t>
        </is>
      </c>
      <c r="G240" s="395" t="n">
        <v>3174</v>
      </c>
      <c r="H240" s="395" t="n">
        <v>3161</v>
      </c>
      <c r="I240" s="395" t="n">
        <v>4</v>
      </c>
      <c r="J240" s="395" t="n">
        <v>4</v>
      </c>
      <c r="K240" s="395" t="n">
        <v>5</v>
      </c>
      <c r="L240" s="397" t="n">
        <v>3600</v>
      </c>
      <c r="M240" s="146" t="inlineStr">
        <is>
          <t xml:space="preserve">MANUEL QUITIAN </t>
        </is>
      </c>
      <c r="N240" s="113" t="n"/>
      <c r="O240" s="113" t="n"/>
      <c r="P240" s="398" t="n"/>
      <c r="Q240" s="398" t="n"/>
      <c r="R240" s="113" t="n"/>
      <c r="S240" s="113" t="n"/>
      <c r="T240" s="113" t="n"/>
      <c r="U240" s="113" t="n"/>
      <c r="V240" s="113" t="n"/>
    </row>
    <row r="241" ht="15.75" customHeight="1">
      <c r="A241" s="146" t="n">
        <v>5</v>
      </c>
      <c r="B241" s="238" t="n"/>
      <c r="C241" s="399" t="n">
        <v>45840</v>
      </c>
      <c r="D241" s="146" t="inlineStr">
        <is>
          <t>202 G. HUERTAS-LA MANIGUA</t>
        </is>
      </c>
      <c r="E241" s="146" t="n">
        <v>41919</v>
      </c>
      <c r="F241" s="146" t="inlineStr">
        <is>
          <t>DUMAR ANGARITA</t>
        </is>
      </c>
      <c r="G241" s="395" t="n">
        <v>3174</v>
      </c>
      <c r="H241" s="395" t="n">
        <v>3159</v>
      </c>
      <c r="I241" s="395" t="n">
        <v>5</v>
      </c>
      <c r="J241" s="395" t="n">
        <v>6</v>
      </c>
      <c r="K241" s="395" t="n">
        <v>4</v>
      </c>
      <c r="L241" s="397" t="n">
        <v>3212</v>
      </c>
      <c r="M241" s="146" t="inlineStr">
        <is>
          <t>JHON AGUIRRE</t>
        </is>
      </c>
      <c r="N241" s="113" t="n"/>
      <c r="O241" s="113" t="n"/>
      <c r="P241" s="398" t="n"/>
      <c r="Q241" s="398" t="n"/>
      <c r="R241" s="113" t="n"/>
      <c r="S241" s="113" t="n"/>
      <c r="T241" s="113" t="n"/>
      <c r="U241" s="113" t="n"/>
      <c r="V241" s="113" t="n"/>
    </row>
    <row r="242" ht="15.75" customHeight="1">
      <c r="A242" s="146" t="n">
        <v>5</v>
      </c>
      <c r="B242" s="238" t="n"/>
      <c r="C242" s="399" t="n">
        <v>45840</v>
      </c>
      <c r="D242" s="146" t="inlineStr">
        <is>
          <t>202 G. HUERTAS-LA MANIGUA</t>
        </is>
      </c>
      <c r="E242" s="146" t="n">
        <v>41920</v>
      </c>
      <c r="F242" s="146" t="inlineStr">
        <is>
          <t>HENRY ROMERO</t>
        </is>
      </c>
      <c r="G242" s="395" t="n">
        <v>3420</v>
      </c>
      <c r="H242" s="395" t="n">
        <v>3418</v>
      </c>
      <c r="I242" s="395" t="n">
        <v>5</v>
      </c>
      <c r="J242" s="395" t="n">
        <v>3</v>
      </c>
      <c r="K242" s="395" t="n">
        <v>-6</v>
      </c>
      <c r="L242" s="397" t="n">
        <v>2592</v>
      </c>
      <c r="M242" s="146" t="inlineStr">
        <is>
          <t xml:space="preserve">EDUAN CAVIEDEZ </t>
        </is>
      </c>
      <c r="N242" s="113" t="n"/>
      <c r="O242" s="113" t="n"/>
      <c r="P242" s="398" t="n"/>
      <c r="Q242" s="398" t="n"/>
      <c r="R242" s="113" t="n"/>
      <c r="S242" s="113" t="n"/>
      <c r="T242" s="113" t="n"/>
      <c r="U242" s="113" t="n"/>
      <c r="V242" s="113" t="n"/>
    </row>
    <row r="243" ht="15.75" customHeight="1">
      <c r="A243" s="146" t="n">
        <v>5</v>
      </c>
      <c r="B243" s="238" t="n"/>
      <c r="C243" s="399" t="n">
        <v>45840</v>
      </c>
      <c r="D243" s="146" t="inlineStr">
        <is>
          <t>202 G. HUERTAS-LA MANIGUA</t>
        </is>
      </c>
      <c r="E243" s="146" t="n">
        <v>41921</v>
      </c>
      <c r="F243" s="146" t="inlineStr">
        <is>
          <t>MANUEL QUITIAN</t>
        </is>
      </c>
      <c r="G243" s="395" t="n">
        <v>3174</v>
      </c>
      <c r="H243" s="395" t="n">
        <v>3140</v>
      </c>
      <c r="I243" s="395" t="n">
        <v>9</v>
      </c>
      <c r="J243" s="395" t="n">
        <v>16</v>
      </c>
      <c r="K243" s="395" t="n">
        <v>9</v>
      </c>
      <c r="L243" s="397" t="n">
        <v>3040</v>
      </c>
      <c r="M243" s="146" t="inlineStr">
        <is>
          <t>DUMAR ANGARITA</t>
        </is>
      </c>
      <c r="N243" s="113" t="n"/>
      <c r="O243" s="113" t="n"/>
      <c r="P243" s="398" t="n"/>
      <c r="Q243" s="398" t="n"/>
      <c r="R243" s="113" t="n"/>
      <c r="S243" s="113" t="n"/>
      <c r="T243" s="113" t="n"/>
      <c r="U243" s="113" t="n"/>
      <c r="V243" s="113" t="n"/>
    </row>
    <row r="244" ht="15.75" customHeight="1">
      <c r="A244" s="146" t="n">
        <v>5</v>
      </c>
      <c r="B244" s="238" t="n"/>
      <c r="C244" s="399" t="n">
        <v>45840</v>
      </c>
      <c r="D244" s="146" t="inlineStr">
        <is>
          <t>202 G. HUERTAS-LA MANIGUA</t>
        </is>
      </c>
      <c r="E244" s="146" t="n">
        <v>41927</v>
      </c>
      <c r="F244" s="146" t="inlineStr">
        <is>
          <t>ALBERTO HERRERA</t>
        </is>
      </c>
      <c r="G244" s="395" t="n">
        <v>3174</v>
      </c>
      <c r="H244" s="395" t="n">
        <v>3094</v>
      </c>
      <c r="I244" s="395" t="n">
        <v>1</v>
      </c>
      <c r="J244" s="395" t="n">
        <v>11</v>
      </c>
      <c r="K244" s="477" t="n">
        <v>68</v>
      </c>
      <c r="L244" s="397" t="n">
        <v>3600</v>
      </c>
      <c r="M244" s="146" t="inlineStr">
        <is>
          <t xml:space="preserve">JAIR RIVEROS </t>
        </is>
      </c>
      <c r="N244" s="113" t="n"/>
      <c r="O244" s="113" t="n"/>
      <c r="P244" s="398" t="n"/>
      <c r="Q244" s="398" t="n"/>
      <c r="R244" s="113" t="n"/>
      <c r="S244" s="113" t="n"/>
      <c r="T244" s="113" t="n"/>
      <c r="U244" s="113" t="n"/>
      <c r="V244" s="113" t="n"/>
    </row>
    <row r="245" ht="15.75" customHeight="1">
      <c r="A245" s="146" t="n">
        <v>5</v>
      </c>
      <c r="B245" s="238" t="n"/>
      <c r="C245" s="399" t="n">
        <v>45840</v>
      </c>
      <c r="D245" s="146" t="inlineStr">
        <is>
          <t>202 G. HUERTAS-LA MANIGUA</t>
        </is>
      </c>
      <c r="E245" s="146" t="n">
        <v>41928</v>
      </c>
      <c r="F245" s="146" t="inlineStr">
        <is>
          <t>FERNANDO OYUELA</t>
        </is>
      </c>
      <c r="G245" s="395" t="n">
        <v>2919</v>
      </c>
      <c r="H245" s="395" t="n">
        <v>2896</v>
      </c>
      <c r="I245" s="395" t="n">
        <v>1</v>
      </c>
      <c r="J245" s="395" t="n">
        <v>10</v>
      </c>
      <c r="K245" s="395" t="n">
        <v>12</v>
      </c>
      <c r="L245" s="397" t="n">
        <v>3240</v>
      </c>
      <c r="M245" s="146" t="inlineStr">
        <is>
          <t>HENRY ROMERO</t>
        </is>
      </c>
      <c r="N245" s="113" t="n"/>
      <c r="O245" s="113" t="n"/>
      <c r="P245" s="398" t="n"/>
      <c r="Q245" s="398" t="n"/>
      <c r="R245" s="113" t="n"/>
      <c r="S245" s="113" t="n"/>
      <c r="T245" s="113" t="n"/>
      <c r="U245" s="113" t="n"/>
      <c r="V245" s="113" t="n"/>
    </row>
    <row r="246" ht="15.75" customHeight="1">
      <c r="A246" s="146" t="n">
        <v>5</v>
      </c>
      <c r="B246" s="238" t="n"/>
      <c r="C246" s="399" t="n">
        <v>45840</v>
      </c>
      <c r="D246" s="146" t="inlineStr">
        <is>
          <t>202 G. HUERTAS-LA MANIGUA</t>
        </is>
      </c>
      <c r="E246" s="146" t="n">
        <v>41929</v>
      </c>
      <c r="F246" s="146" t="inlineStr">
        <is>
          <t>FABIO ALDANA</t>
        </is>
      </c>
      <c r="G246" s="395" t="n">
        <v>3174</v>
      </c>
      <c r="H246" s="395" t="n">
        <v>3207</v>
      </c>
      <c r="I246" s="395" t="n">
        <v>2</v>
      </c>
      <c r="J246" s="395" t="n">
        <v>6</v>
      </c>
      <c r="K246" s="477" t="n">
        <v>-41</v>
      </c>
      <c r="L246" s="397" t="n">
        <v>2916</v>
      </c>
      <c r="M246" s="146" t="inlineStr">
        <is>
          <t>JHON AGUIRRE</t>
        </is>
      </c>
      <c r="N246" s="113" t="n"/>
      <c r="O246" s="113" t="n"/>
      <c r="P246" s="398" t="n"/>
      <c r="Q246" s="398" t="n"/>
      <c r="R246" s="113" t="n"/>
      <c r="S246" s="113" t="n"/>
      <c r="T246" s="113" t="n"/>
      <c r="U246" s="113" t="n"/>
      <c r="V246" s="113" t="n"/>
    </row>
    <row r="247" ht="15.75" customHeight="1">
      <c r="A247" s="146" t="n">
        <v>5</v>
      </c>
      <c r="B247" s="238" t="n"/>
      <c r="C247" s="399" t="n">
        <v>45840</v>
      </c>
      <c r="D247" s="146" t="inlineStr">
        <is>
          <t>202 G. HUERTAS-LA MANIGUA</t>
        </is>
      </c>
      <c r="E247" s="146" t="n">
        <v>41930</v>
      </c>
      <c r="F247" s="146" t="inlineStr">
        <is>
          <t>EDWIN ROJAS</t>
        </is>
      </c>
      <c r="G247" s="395" t="n">
        <v>3186</v>
      </c>
      <c r="H247" s="395" t="n">
        <v>3186</v>
      </c>
      <c r="I247" s="395" t="n">
        <v>7</v>
      </c>
      <c r="J247" s="395" t="n">
        <v>5</v>
      </c>
      <c r="K247" s="395" t="n">
        <v>-12</v>
      </c>
      <c r="L247" s="397" t="n">
        <v>2592</v>
      </c>
      <c r="M247" s="146" t="inlineStr">
        <is>
          <t xml:space="preserve">MANUEL QUITIAN </t>
        </is>
      </c>
      <c r="N247" s="113" t="n"/>
      <c r="O247" s="113" t="n"/>
      <c r="P247" s="398" t="n"/>
      <c r="Q247" s="398" t="n"/>
      <c r="R247" s="113" t="n"/>
      <c r="S247" s="113" t="n"/>
      <c r="T247" s="113" t="n"/>
      <c r="U247" s="113" t="n"/>
      <c r="V247" s="113" t="n"/>
    </row>
    <row r="248" ht="15.75" customHeight="1">
      <c r="A248" s="146" t="n">
        <v>5</v>
      </c>
      <c r="B248" s="238" t="n"/>
      <c r="C248" s="399" t="n">
        <v>45841</v>
      </c>
      <c r="D248" s="146" t="inlineStr">
        <is>
          <t>202 G. HUERTAS-LA MANIGUA</t>
        </is>
      </c>
      <c r="E248" s="146" t="n">
        <v>41931</v>
      </c>
      <c r="F248" s="146" t="inlineStr">
        <is>
          <t>ALEX GOMEZ</t>
        </is>
      </c>
      <c r="G248" s="395" t="n">
        <v>3300</v>
      </c>
      <c r="H248" s="395" t="n">
        <v>3288</v>
      </c>
      <c r="I248" s="395" t="n">
        <v>4</v>
      </c>
      <c r="J248" s="395" t="n">
        <v>12</v>
      </c>
      <c r="K248" s="395" t="n">
        <v>-4</v>
      </c>
      <c r="L248" s="397" t="n">
        <v>1952</v>
      </c>
      <c r="M248" s="146" t="inlineStr">
        <is>
          <t xml:space="preserve">ALBERTO LOPEZ </t>
        </is>
      </c>
      <c r="N248" s="113" t="n"/>
      <c r="O248" s="113" t="n"/>
      <c r="P248" s="398" t="n"/>
      <c r="Q248" s="398" t="n"/>
      <c r="R248" s="113" t="n"/>
      <c r="S248" s="113" t="n"/>
      <c r="T248" s="113" t="n"/>
      <c r="U248" s="113" t="n"/>
      <c r="V248" s="113" t="n"/>
    </row>
    <row r="249" ht="15.75" customHeight="1">
      <c r="A249" s="146" t="n">
        <v>5</v>
      </c>
      <c r="B249" s="238" t="n"/>
      <c r="C249" s="399" t="n">
        <v>45841</v>
      </c>
      <c r="D249" s="146" t="inlineStr">
        <is>
          <t>202 G. HUERTAS-LA MANIGUA</t>
        </is>
      </c>
      <c r="E249" s="146" t="n">
        <v>41932</v>
      </c>
      <c r="F249" s="146" t="inlineStr">
        <is>
          <t>JAIRO CUBILLOS</t>
        </is>
      </c>
      <c r="G249" s="395" t="n">
        <v>3300</v>
      </c>
      <c r="H249" s="395" t="n">
        <v>3291</v>
      </c>
      <c r="I249" s="395" t="n">
        <v>5</v>
      </c>
      <c r="J249" s="395" t="n">
        <v>10</v>
      </c>
      <c r="K249" s="395" t="n">
        <v>-6</v>
      </c>
      <c r="L249" s="397" t="n">
        <v>3174</v>
      </c>
      <c r="M249" s="146" t="inlineStr">
        <is>
          <t xml:space="preserve">JOSE HERRERA </t>
        </is>
      </c>
      <c r="N249" s="113" t="n"/>
      <c r="O249" s="113" t="n"/>
      <c r="P249" s="398" t="n"/>
      <c r="Q249" s="398" t="n"/>
      <c r="R249" s="113" t="n"/>
      <c r="S249" s="113" t="n"/>
      <c r="T249" s="113" t="n"/>
      <c r="U249" s="113" t="n"/>
      <c r="V249" s="113" t="n"/>
    </row>
    <row r="250" ht="15.75" customHeight="1">
      <c r="A250" s="146" t="n">
        <v>5</v>
      </c>
      <c r="B250" s="238" t="n"/>
      <c r="C250" s="399" t="n">
        <v>45841</v>
      </c>
      <c r="D250" s="146" t="inlineStr">
        <is>
          <t>202 G. HUERTAS-LA MANIGUA</t>
        </is>
      </c>
      <c r="E250" s="146" t="n">
        <v>41933</v>
      </c>
      <c r="F250" s="146" t="inlineStr">
        <is>
          <t>FABIO ALDANA</t>
        </is>
      </c>
      <c r="G250" s="395" t="n">
        <v>3300</v>
      </c>
      <c r="H250" s="395" t="n">
        <v>3292</v>
      </c>
      <c r="I250" s="395" t="n">
        <v>4</v>
      </c>
      <c r="J250" s="395" t="n">
        <v>9</v>
      </c>
      <c r="K250" s="395" t="n">
        <v>-5</v>
      </c>
      <c r="L250" s="397" t="n">
        <v>3174</v>
      </c>
      <c r="M250" s="146" t="inlineStr">
        <is>
          <t xml:space="preserve">EDUAN CAVIEDEZ </t>
        </is>
      </c>
      <c r="N250" s="113" t="n"/>
      <c r="O250" s="113" t="n"/>
      <c r="P250" s="398" t="n"/>
      <c r="Q250" s="398" t="n"/>
      <c r="R250" s="113" t="n"/>
      <c r="S250" s="113" t="n"/>
      <c r="T250" s="113" t="n"/>
      <c r="U250" s="113" t="n"/>
      <c r="V250" s="113" t="n"/>
    </row>
    <row r="251" ht="15.75" customHeight="1">
      <c r="A251" s="146" t="n">
        <v>5</v>
      </c>
      <c r="B251" s="238" t="n"/>
      <c r="C251" s="399" t="n">
        <v>45841</v>
      </c>
      <c r="D251" s="146" t="inlineStr">
        <is>
          <t>202 G. HUERTAS-LA MANIGUA</t>
        </is>
      </c>
      <c r="E251" s="146" t="n">
        <v>41934</v>
      </c>
      <c r="F251" s="146" t="inlineStr">
        <is>
          <t>DIEGO NIÑO</t>
        </is>
      </c>
      <c r="G251" s="395" t="n">
        <v>3300</v>
      </c>
      <c r="H251" s="395" t="n">
        <v>3292</v>
      </c>
      <c r="I251" s="395" t="n">
        <v>5</v>
      </c>
      <c r="J251" s="395" t="n">
        <v>9</v>
      </c>
      <c r="K251" s="395" t="n">
        <v>-6</v>
      </c>
      <c r="L251" s="397" t="n">
        <v>3174</v>
      </c>
      <c r="M251" s="146" t="inlineStr">
        <is>
          <t>DUMAR ANGARITA</t>
        </is>
      </c>
      <c r="N251" s="113" t="n"/>
      <c r="O251" s="113" t="n"/>
      <c r="P251" s="398" t="n"/>
      <c r="Q251" s="398" t="n"/>
      <c r="R251" s="113" t="n"/>
      <c r="S251" s="113" t="n"/>
      <c r="T251" s="113" t="n"/>
      <c r="U251" s="113" t="n"/>
      <c r="V251" s="113" t="n"/>
    </row>
    <row r="252" ht="15.75" customHeight="1">
      <c r="A252" s="146" t="n">
        <v>5</v>
      </c>
      <c r="B252" s="238" t="n"/>
      <c r="C252" s="399" t="n">
        <v>45841</v>
      </c>
      <c r="D252" s="146" t="inlineStr">
        <is>
          <t>202 G. HUERTAS-LA MANIGUA</t>
        </is>
      </c>
      <c r="E252" s="146" t="n">
        <v>41935</v>
      </c>
      <c r="F252" s="146" t="inlineStr">
        <is>
          <t>EDWIN ROJAS</t>
        </is>
      </c>
      <c r="G252" s="395" t="n">
        <v>3300</v>
      </c>
      <c r="H252" s="395" t="n">
        <v>3289</v>
      </c>
      <c r="I252" s="395" t="n">
        <v>4</v>
      </c>
      <c r="J252" s="395" t="n">
        <v>5</v>
      </c>
      <c r="K252" s="395" t="n">
        <v>2</v>
      </c>
      <c r="L252" s="397" t="n">
        <v>3420</v>
      </c>
      <c r="M252" s="146" t="inlineStr">
        <is>
          <t>HENRY ROMERO</t>
        </is>
      </c>
      <c r="N252" s="113" t="n"/>
      <c r="O252" s="113" t="n"/>
      <c r="P252" s="398" t="n"/>
      <c r="Q252" s="398" t="n"/>
      <c r="R252" s="113" t="n"/>
      <c r="S252" s="113" t="n"/>
      <c r="T252" s="113" t="n"/>
      <c r="U252" s="113" t="n"/>
      <c r="V252" s="113" t="n"/>
    </row>
    <row r="253" ht="15.75" customHeight="1">
      <c r="A253" s="146" t="n">
        <v>5</v>
      </c>
      <c r="B253" s="238" t="n"/>
      <c r="C253" s="399" t="n">
        <v>45841</v>
      </c>
      <c r="D253" s="146" t="inlineStr">
        <is>
          <t>202 G. HUERTAS-LA MANIGUA</t>
        </is>
      </c>
      <c r="E253" s="146" t="n">
        <v>41936</v>
      </c>
      <c r="F253" s="146" t="inlineStr">
        <is>
          <t>FERNANDO OYUELA</t>
        </is>
      </c>
      <c r="G253" s="395" t="n">
        <v>3300</v>
      </c>
      <c r="H253" s="395" t="n">
        <v>3283</v>
      </c>
      <c r="I253" s="395" t="n">
        <v>2</v>
      </c>
      <c r="J253" s="395" t="n">
        <v>11</v>
      </c>
      <c r="K253" s="395" t="n">
        <v>4</v>
      </c>
      <c r="L253" s="397" t="n">
        <v>3174</v>
      </c>
      <c r="M253" s="146" t="inlineStr">
        <is>
          <t xml:space="preserve">MANUEL QUITIAN </t>
        </is>
      </c>
      <c r="N253" s="113" t="n"/>
      <c r="O253" s="113" t="n"/>
      <c r="P253" s="398" t="n"/>
      <c r="Q253" s="398" t="n"/>
      <c r="R253" s="113" t="n"/>
      <c r="S253" s="113" t="n"/>
      <c r="T253" s="113" t="n"/>
      <c r="U253" s="113" t="n"/>
      <c r="V253" s="113" t="n"/>
    </row>
    <row r="254" ht="15.75" customHeight="1">
      <c r="A254" s="146" t="n">
        <v>5</v>
      </c>
      <c r="B254" s="238" t="n"/>
      <c r="C254" s="399" t="n">
        <v>45841</v>
      </c>
      <c r="D254" s="146" t="inlineStr">
        <is>
          <t>202 G. HUERTAS-LA MANIGUA</t>
        </is>
      </c>
      <c r="E254" s="146" t="n">
        <v>41937</v>
      </c>
      <c r="F254" s="146" t="inlineStr">
        <is>
          <t>JHON ARIAS</t>
        </is>
      </c>
      <c r="G254" s="395" t="n">
        <v>3300</v>
      </c>
      <c r="H254" s="395" t="n">
        <v>3288</v>
      </c>
      <c r="I254" s="395" t="n">
        <v>3</v>
      </c>
      <c r="J254" s="395" t="n">
        <v>6</v>
      </c>
      <c r="K254" s="395" t="n">
        <v>3</v>
      </c>
      <c r="L254" s="397" t="n">
        <v>3174</v>
      </c>
      <c r="M254" s="146" t="inlineStr">
        <is>
          <t xml:space="preserve">JOSE HERRERA </t>
        </is>
      </c>
      <c r="N254" s="113" t="n"/>
      <c r="O254" s="113" t="n"/>
      <c r="P254" s="398" t="n"/>
      <c r="Q254" s="398" t="n"/>
      <c r="R254" s="113" t="n"/>
      <c r="S254" s="113" t="n"/>
      <c r="T254" s="113" t="n"/>
      <c r="U254" s="113" t="n"/>
      <c r="V254" s="113" t="n"/>
    </row>
    <row r="255" ht="15.75" customHeight="1">
      <c r="A255" s="146" t="n">
        <v>5</v>
      </c>
      <c r="B255" s="238" t="n"/>
      <c r="C255" s="399" t="n">
        <v>45841</v>
      </c>
      <c r="D255" s="146" t="inlineStr">
        <is>
          <t>202 G. HUERTAS-LA MANIGUA</t>
        </is>
      </c>
      <c r="E255" s="146" t="n">
        <v>41938</v>
      </c>
      <c r="F255" s="146" t="inlineStr">
        <is>
          <t>JHON ARIAS</t>
        </is>
      </c>
      <c r="G255" s="395" t="n">
        <v>3300</v>
      </c>
      <c r="H255" s="395" t="n">
        <v>3289</v>
      </c>
      <c r="I255" s="395" t="n">
        <v>4</v>
      </c>
      <c r="J255" s="395" t="n">
        <v>5</v>
      </c>
      <c r="K255" s="395" t="n">
        <v>2</v>
      </c>
      <c r="L255" s="397" t="n">
        <v>2916</v>
      </c>
      <c r="M255" s="146" t="inlineStr">
        <is>
          <t xml:space="preserve">FERNANDO OYUELA </t>
        </is>
      </c>
      <c r="N255" s="113" t="n"/>
      <c r="O255" s="113" t="n"/>
      <c r="P255" s="398" t="n"/>
      <c r="Q255" s="398" t="n"/>
      <c r="R255" s="113" t="n"/>
      <c r="S255" s="113" t="n"/>
      <c r="T255" s="113" t="n"/>
      <c r="U255" s="113" t="n"/>
      <c r="V255" s="113" t="n"/>
    </row>
    <row r="256" ht="15.75" customHeight="1">
      <c r="A256" s="146" t="n">
        <v>5</v>
      </c>
      <c r="B256" s="238" t="n"/>
      <c r="C256" s="399" t="n">
        <v>45841</v>
      </c>
      <c r="D256" s="146" t="inlineStr">
        <is>
          <t>202 G. HUERTAS-LA MANIGUA</t>
        </is>
      </c>
      <c r="E256" s="146" t="n">
        <v>41946</v>
      </c>
      <c r="F256" s="146" t="inlineStr">
        <is>
          <t>EDWIN ROJAS</t>
        </is>
      </c>
      <c r="G256" s="395" t="n">
        <v>3300</v>
      </c>
      <c r="H256" s="395" t="n">
        <v>3276</v>
      </c>
      <c r="I256" s="395" t="n">
        <v>12</v>
      </c>
      <c r="J256" s="395" t="n">
        <v>7</v>
      </c>
      <c r="K256" s="395" t="n">
        <v>5</v>
      </c>
      <c r="L256" s="397" t="n">
        <v>3157</v>
      </c>
      <c r="M256" s="146" t="inlineStr">
        <is>
          <t xml:space="preserve">FABIO ALDANA </t>
        </is>
      </c>
      <c r="N256" s="113" t="n"/>
      <c r="O256" s="113" t="n"/>
      <c r="P256" s="398" t="n"/>
      <c r="Q256" s="398" t="n"/>
      <c r="R256" s="113" t="n"/>
      <c r="S256" s="113" t="n"/>
      <c r="T256" s="113" t="n"/>
      <c r="U256" s="113" t="n"/>
      <c r="V256" s="113" t="n"/>
    </row>
    <row r="257" ht="15.75" customHeight="1">
      <c r="A257" s="146" t="n">
        <v>5</v>
      </c>
      <c r="B257" s="238" t="n"/>
      <c r="C257" s="399" t="n">
        <v>45841</v>
      </c>
      <c r="D257" s="146" t="inlineStr">
        <is>
          <t>202 G. HUERTAS-LA MANIGUA</t>
        </is>
      </c>
      <c r="E257" s="146" t="n">
        <v>41947</v>
      </c>
      <c r="F257" s="146" t="inlineStr">
        <is>
          <t>ALEX GOMEZ</t>
        </is>
      </c>
      <c r="G257" s="395" t="n">
        <v>3300</v>
      </c>
      <c r="H257" s="395" t="n">
        <v>3280</v>
      </c>
      <c r="I257" s="395" t="n">
        <v>6</v>
      </c>
      <c r="J257" s="395" t="n">
        <v>7</v>
      </c>
      <c r="K257" s="395" t="n">
        <v>7</v>
      </c>
      <c r="L257" s="397" t="n">
        <v>3174</v>
      </c>
      <c r="M257" s="146" t="inlineStr">
        <is>
          <t>EDWIN ROJAS</t>
        </is>
      </c>
      <c r="N257" s="113" t="n"/>
      <c r="O257" s="113" t="n"/>
      <c r="P257" s="398" t="n"/>
      <c r="Q257" s="398" t="n"/>
      <c r="R257" s="113" t="n"/>
      <c r="S257" s="113" t="n"/>
      <c r="T257" s="113" t="n"/>
      <c r="U257" s="113" t="n"/>
      <c r="V257" s="113" t="n"/>
    </row>
    <row r="258" ht="15.75" customHeight="1">
      <c r="A258" s="146" t="n">
        <v>5</v>
      </c>
      <c r="B258" s="238" t="n"/>
      <c r="C258" s="399" t="n">
        <v>45841</v>
      </c>
      <c r="D258" s="146" t="inlineStr">
        <is>
          <t>202 G. HUERTAS-LA MANIGUA</t>
        </is>
      </c>
      <c r="E258" s="146" t="n">
        <v>41948</v>
      </c>
      <c r="F258" s="146" t="inlineStr">
        <is>
          <t>JAIRO CUBILLOS</t>
        </is>
      </c>
      <c r="G258" s="395" t="n">
        <v>3350</v>
      </c>
      <c r="H258" s="395" t="n">
        <v>3327</v>
      </c>
      <c r="I258" s="395" t="n">
        <v>6</v>
      </c>
      <c r="J258" s="395" t="n">
        <v>6</v>
      </c>
      <c r="K258" s="395" t="n">
        <v>11</v>
      </c>
      <c r="L258" s="397" t="n">
        <v>3300</v>
      </c>
      <c r="M258" s="146" t="inlineStr">
        <is>
          <t xml:space="preserve">JHON ARIAS </t>
        </is>
      </c>
      <c r="N258" s="113" t="n"/>
      <c r="O258" s="113" t="n"/>
      <c r="P258" s="398" t="n"/>
      <c r="Q258" s="398" t="n"/>
      <c r="R258" s="113" t="n"/>
      <c r="S258" s="113" t="n"/>
      <c r="T258" s="113" t="n"/>
      <c r="U258" s="113" t="n"/>
      <c r="V258" s="113" t="n"/>
    </row>
    <row r="259" ht="15.75" customHeight="1">
      <c r="A259" s="146" t="n">
        <v>5</v>
      </c>
      <c r="B259" s="238" t="n"/>
      <c r="C259" s="399" t="n">
        <v>45841</v>
      </c>
      <c r="D259" s="146" t="inlineStr">
        <is>
          <t>202 G. HUERTAS</t>
        </is>
      </c>
      <c r="E259" s="146" t="n">
        <v>202205</v>
      </c>
      <c r="F259" s="146" t="inlineStr">
        <is>
          <t>JUAN DAVID GOMEZ</t>
        </is>
      </c>
      <c r="G259" s="395" t="n">
        <v>3000</v>
      </c>
      <c r="H259" s="395" t="n">
        <v>2965</v>
      </c>
      <c r="I259" s="395" t="n">
        <v>4</v>
      </c>
      <c r="J259" s="395" t="n">
        <v>15</v>
      </c>
      <c r="K259" s="395" t="n">
        <v>16</v>
      </c>
      <c r="L259" s="397" t="n">
        <v>3300</v>
      </c>
      <c r="M259" s="146" t="inlineStr">
        <is>
          <t xml:space="preserve">DIEGO NIÑO </t>
        </is>
      </c>
      <c r="N259" s="113" t="n"/>
      <c r="O259" s="113" t="n"/>
      <c r="P259" s="398" t="n"/>
      <c r="Q259" s="398" t="n"/>
      <c r="R259" s="113" t="n"/>
      <c r="S259" s="113" t="n"/>
      <c r="T259" s="113" t="n"/>
      <c r="U259" s="113" t="n"/>
      <c r="V259" s="113" t="n"/>
    </row>
    <row r="260" ht="15.75" customHeight="1">
      <c r="A260" s="146" t="n">
        <v>5</v>
      </c>
      <c r="B260" s="238" t="n"/>
      <c r="C260" s="399" t="n">
        <v>45841</v>
      </c>
      <c r="D260" s="146" t="inlineStr">
        <is>
          <t>202 G. HUERTAS</t>
        </is>
      </c>
      <c r="E260" s="146" t="n">
        <v>202207</v>
      </c>
      <c r="F260" s="146" t="inlineStr">
        <is>
          <t>GUSTAVO MONROY FONSECA</t>
        </is>
      </c>
      <c r="G260" s="395" t="n">
        <v>2925</v>
      </c>
      <c r="H260" s="395" t="n">
        <v>2892</v>
      </c>
      <c r="I260" s="395" t="n">
        <v>3</v>
      </c>
      <c r="J260" s="395" t="n">
        <v>36</v>
      </c>
      <c r="K260" s="395" t="n">
        <v>-6</v>
      </c>
      <c r="L260" s="397" t="n">
        <v>3300</v>
      </c>
      <c r="M260" s="146" t="inlineStr">
        <is>
          <t xml:space="preserve">ALEX GOMEZ </t>
        </is>
      </c>
      <c r="N260" s="113" t="n"/>
      <c r="O260" s="113" t="n"/>
      <c r="P260" s="398" t="n"/>
      <c r="Q260" s="398" t="n"/>
      <c r="R260" s="113" t="n"/>
      <c r="S260" s="113" t="n"/>
      <c r="T260" s="113" t="n"/>
      <c r="U260" s="113" t="n"/>
      <c r="V260" s="113" t="n"/>
    </row>
    <row r="261" ht="15.75" customHeight="1">
      <c r="A261" s="146" t="n">
        <v>5</v>
      </c>
      <c r="B261" s="238" t="n"/>
      <c r="C261" s="399" t="n">
        <v>45842</v>
      </c>
      <c r="D261" s="146" t="inlineStr">
        <is>
          <t>202 G. HUERTAS</t>
        </is>
      </c>
      <c r="E261" s="146" t="n">
        <v>202211</v>
      </c>
      <c r="F261" s="146" t="inlineStr">
        <is>
          <t>FERNANDO SANDOVAL</t>
        </is>
      </c>
      <c r="G261" s="395" t="n">
        <v>2916</v>
      </c>
      <c r="H261" s="395" t="n">
        <v>2903</v>
      </c>
      <c r="I261" s="395" t="n">
        <v>5</v>
      </c>
      <c r="J261" s="395" t="n">
        <v>17</v>
      </c>
      <c r="K261" s="395" t="n">
        <v>-9</v>
      </c>
      <c r="L261" s="397" t="n">
        <v>3300</v>
      </c>
      <c r="M261" s="146" t="inlineStr">
        <is>
          <t xml:space="preserve">JAIRO CUBILLOS </t>
        </is>
      </c>
      <c r="N261" s="113" t="n"/>
      <c r="O261" s="113" t="n"/>
      <c r="P261" s="398" t="n"/>
      <c r="Q261" s="398" t="n"/>
      <c r="R261" s="113" t="n"/>
      <c r="S261" s="113" t="n"/>
      <c r="T261" s="113" t="n"/>
      <c r="U261" s="113" t="n"/>
      <c r="V261" s="113" t="n"/>
    </row>
    <row r="262" ht="15.75" customHeight="1">
      <c r="A262" s="146" t="n">
        <v>5</v>
      </c>
      <c r="B262" s="238" t="n"/>
      <c r="C262" s="399" t="n">
        <v>45842</v>
      </c>
      <c r="D262" s="146" t="inlineStr">
        <is>
          <t>202 G. HUERTAS</t>
        </is>
      </c>
      <c r="E262" s="146" t="n">
        <v>202216</v>
      </c>
      <c r="F262" s="146" t="inlineStr">
        <is>
          <t>JHON FREDY ECHEVERRIA</t>
        </is>
      </c>
      <c r="G262" s="395" t="n">
        <v>2916</v>
      </c>
      <c r="H262" s="395" t="n">
        <v>2889</v>
      </c>
      <c r="I262" s="395" t="n">
        <v>6</v>
      </c>
      <c r="J262" s="395" t="n">
        <v>7</v>
      </c>
      <c r="K262" s="395" t="n">
        <v>14</v>
      </c>
      <c r="L262" s="397" t="n">
        <v>3300</v>
      </c>
      <c r="M262" s="146" t="inlineStr">
        <is>
          <t xml:space="preserve">FABIO ALDANA </t>
        </is>
      </c>
      <c r="N262" s="113" t="n"/>
      <c r="O262" s="113" t="n"/>
      <c r="P262" s="398" t="n"/>
      <c r="Q262" s="398" t="n"/>
      <c r="R262" s="113" t="n"/>
      <c r="S262" s="113" t="n"/>
      <c r="T262" s="113" t="n"/>
      <c r="U262" s="113" t="n"/>
      <c r="V262" s="113" t="n"/>
    </row>
    <row r="263" ht="15.75" customHeight="1">
      <c r="A263" s="146" t="n">
        <v>5</v>
      </c>
      <c r="B263" s="238" t="n"/>
      <c r="C263" s="399" t="n">
        <v>45842</v>
      </c>
      <c r="D263" s="146" t="inlineStr">
        <is>
          <t>202 G. HUERTAS</t>
        </is>
      </c>
      <c r="E263" s="146" t="n">
        <v>202219</v>
      </c>
      <c r="F263" s="146" t="inlineStr">
        <is>
          <t>JORGE LUIS OVIEDO BARRIOS</t>
        </is>
      </c>
      <c r="G263" s="395" t="n">
        <v>2916</v>
      </c>
      <c r="H263" s="395" t="n">
        <v>2887</v>
      </c>
      <c r="I263" s="395" t="n">
        <v>11</v>
      </c>
      <c r="J263" s="395" t="n">
        <v>18</v>
      </c>
      <c r="K263" s="395" t="n">
        <v>0</v>
      </c>
      <c r="L263" s="397" t="n">
        <v>3300</v>
      </c>
      <c r="M263" s="146" t="inlineStr">
        <is>
          <t>EDWIN ROJAS</t>
        </is>
      </c>
      <c r="N263" s="113" t="n"/>
      <c r="O263" s="113" t="n"/>
      <c r="P263" s="398" t="n"/>
      <c r="Q263" s="398" t="n"/>
      <c r="R263" s="113" t="n"/>
      <c r="S263" s="113" t="n"/>
      <c r="T263" s="113" t="n"/>
      <c r="U263" s="113" t="n"/>
      <c r="V263" s="113" t="n"/>
    </row>
    <row r="264" ht="15.75" customHeight="1">
      <c r="A264" s="146" t="n">
        <v>5</v>
      </c>
      <c r="B264" s="238" t="n"/>
      <c r="C264" s="399" t="n">
        <v>45842</v>
      </c>
      <c r="D264" s="146" t="inlineStr">
        <is>
          <t>202 G. HUERTAS-LA MANIGUA</t>
        </is>
      </c>
      <c r="E264" s="146" t="n">
        <v>41956</v>
      </c>
      <c r="F264" s="146" t="inlineStr">
        <is>
          <t>DUMAR ANGARITA</t>
        </is>
      </c>
      <c r="G264" s="395" t="n">
        <v>2592</v>
      </c>
      <c r="H264" s="395" t="n">
        <v>2586</v>
      </c>
      <c r="I264" s="395" t="n">
        <v>3</v>
      </c>
      <c r="J264" s="395" t="n">
        <v>3</v>
      </c>
      <c r="K264" s="395" t="n">
        <v>0</v>
      </c>
      <c r="L264" s="397" t="n">
        <v>3300</v>
      </c>
      <c r="M264" s="146" t="inlineStr">
        <is>
          <t xml:space="preserve">FERNANDO OYUELA </t>
        </is>
      </c>
      <c r="N264" s="113" t="n"/>
      <c r="O264" s="113" t="n"/>
      <c r="P264" s="398" t="n"/>
      <c r="Q264" s="398" t="n"/>
      <c r="R264" s="113" t="n"/>
      <c r="S264" s="113" t="n"/>
      <c r="T264" s="113" t="n"/>
      <c r="U264" s="113" t="n"/>
      <c r="V264" s="113" t="n"/>
    </row>
    <row r="265" ht="15.75" customHeight="1">
      <c r="A265" s="146" t="n">
        <v>5</v>
      </c>
      <c r="B265" s="238" t="n"/>
      <c r="C265" s="399" t="n">
        <v>45842</v>
      </c>
      <c r="D265" s="146" t="inlineStr">
        <is>
          <t>202 G. HUERTAS-LA MANIGUA</t>
        </is>
      </c>
      <c r="E265" s="146" t="n">
        <v>41957</v>
      </c>
      <c r="F265" s="146" t="inlineStr">
        <is>
          <t>EDUAN CAVIEDES</t>
        </is>
      </c>
      <c r="G265" s="395" t="n">
        <v>2240</v>
      </c>
      <c r="H265" s="395" t="n">
        <v>2231</v>
      </c>
      <c r="I265" s="395" t="n">
        <v>2</v>
      </c>
      <c r="J265" s="395" t="n">
        <v>7</v>
      </c>
      <c r="K265" s="395" t="n">
        <v>0</v>
      </c>
      <c r="L265" s="397" t="n">
        <v>3300</v>
      </c>
      <c r="M265" s="146" t="inlineStr">
        <is>
          <t xml:space="preserve">JHON ARIAS </t>
        </is>
      </c>
      <c r="N265" s="113" t="n"/>
      <c r="O265" s="113" t="n"/>
      <c r="P265" s="398" t="n"/>
      <c r="Q265" s="398" t="n"/>
      <c r="R265" s="113" t="n"/>
      <c r="S265" s="113" t="n"/>
      <c r="T265" s="113" t="n"/>
      <c r="U265" s="113" t="n"/>
      <c r="V265" s="113" t="n"/>
    </row>
    <row r="266" ht="15.75" customHeight="1">
      <c r="A266" s="146" t="n">
        <v>5</v>
      </c>
      <c r="B266" s="238" t="n"/>
      <c r="C266" s="399" t="n">
        <v>45842</v>
      </c>
      <c r="D266" s="146" t="inlineStr">
        <is>
          <t>202 G. HUERTAS-LA MANIGUA</t>
        </is>
      </c>
      <c r="E266" s="146" t="n">
        <v>41958</v>
      </c>
      <c r="F266" s="146" t="inlineStr">
        <is>
          <t>JHON AGUIRRE</t>
        </is>
      </c>
      <c r="G266" s="395" t="n">
        <v>2916</v>
      </c>
      <c r="H266" s="395" t="n">
        <v>2914</v>
      </c>
      <c r="I266" s="395" t="n">
        <v>3</v>
      </c>
      <c r="J266" s="395" t="n">
        <v>9</v>
      </c>
      <c r="K266" s="395" t="n">
        <v>-10</v>
      </c>
      <c r="L266" s="397" t="n">
        <v>3300</v>
      </c>
      <c r="M266" s="146" t="inlineStr">
        <is>
          <t>EDWIN ROJAS</t>
        </is>
      </c>
      <c r="N266" s="113" t="n"/>
      <c r="O266" s="113" t="n"/>
      <c r="P266" s="398" t="n"/>
      <c r="Q266" s="398" t="n"/>
      <c r="R266" s="113" t="n"/>
      <c r="S266" s="113" t="n"/>
      <c r="T266" s="113" t="n"/>
      <c r="U266" s="113" t="n"/>
      <c r="V266" s="113" t="n"/>
    </row>
    <row r="267" ht="15.75" customHeight="1">
      <c r="A267" s="146" t="n">
        <v>5</v>
      </c>
      <c r="B267" s="238" t="n"/>
      <c r="C267" s="399" t="n">
        <v>45842</v>
      </c>
      <c r="D267" s="146" t="inlineStr">
        <is>
          <t>202 G. HUERTAS-LA MANIGUA</t>
        </is>
      </c>
      <c r="E267" s="146" t="n">
        <v>41959</v>
      </c>
      <c r="F267" s="146" t="inlineStr">
        <is>
          <t>ALBERTO HERRERA</t>
        </is>
      </c>
      <c r="G267" s="395" t="n">
        <v>2916</v>
      </c>
      <c r="H267" s="395" t="n">
        <v>2908</v>
      </c>
      <c r="I267" s="395" t="n">
        <v>2</v>
      </c>
      <c r="J267" s="395" t="n">
        <v>6</v>
      </c>
      <c r="K267" s="395" t="n">
        <v>0</v>
      </c>
      <c r="L267" s="397" t="n">
        <v>3300</v>
      </c>
      <c r="M267" s="146" t="inlineStr">
        <is>
          <t xml:space="preserve">ALEX GOMEZ </t>
        </is>
      </c>
      <c r="N267" s="113" t="n"/>
      <c r="O267" s="113" t="n"/>
      <c r="P267" s="398" t="n"/>
      <c r="Q267" s="398" t="n"/>
      <c r="R267" s="113" t="n"/>
      <c r="S267" s="113" t="n"/>
      <c r="T267" s="113" t="n"/>
      <c r="U267" s="113" t="n"/>
      <c r="V267" s="113" t="n"/>
    </row>
    <row r="268" ht="15.75" customHeight="1">
      <c r="A268" s="146" t="n">
        <v>5</v>
      </c>
      <c r="B268" s="238" t="n"/>
      <c r="C268" s="399" t="n">
        <v>45842</v>
      </c>
      <c r="D268" s="146" t="inlineStr">
        <is>
          <t>202 G. HUERTAS-LA MANIGUA</t>
        </is>
      </c>
      <c r="E268" s="146" t="n">
        <v>41960</v>
      </c>
      <c r="F268" s="146" t="inlineStr">
        <is>
          <t>MANUEL QUITIAN</t>
        </is>
      </c>
      <c r="G268" s="395" t="n">
        <v>3231</v>
      </c>
      <c r="H268" s="395" t="n">
        <v>3222</v>
      </c>
      <c r="I268" s="395" t="n">
        <v>2</v>
      </c>
      <c r="J268" s="395" t="n">
        <v>7</v>
      </c>
      <c r="K268" s="395" t="n">
        <v>0</v>
      </c>
      <c r="L268" s="397" t="n">
        <v>3420</v>
      </c>
      <c r="M268" s="146" t="inlineStr">
        <is>
          <t xml:space="preserve">JAIRO CUBILLOS </t>
        </is>
      </c>
      <c r="N268" s="113" t="n"/>
      <c r="O268" s="113" t="n"/>
      <c r="P268" s="398" t="n"/>
      <c r="Q268" s="398" t="n"/>
      <c r="R268" s="113" t="n"/>
      <c r="S268" s="113" t="n"/>
      <c r="T268" s="113" t="n"/>
      <c r="U268" s="113" t="n"/>
      <c r="V268" s="113" t="n"/>
    </row>
    <row r="269" ht="15.75" customHeight="1">
      <c r="A269" s="146" t="n">
        <v>5</v>
      </c>
      <c r="B269" s="238" t="n"/>
      <c r="C269" s="399" t="n">
        <v>45837</v>
      </c>
      <c r="D269" s="146" t="inlineStr">
        <is>
          <t>218 G. SAN JOSE 1</t>
        </is>
      </c>
      <c r="E269" s="146" t="n">
        <v>41870</v>
      </c>
      <c r="F269" s="146" t="inlineStr">
        <is>
          <t>ALBERTO LOPEZ</t>
        </is>
      </c>
      <c r="G269" s="395" t="n">
        <v>3140</v>
      </c>
      <c r="H269" s="395" t="n">
        <v>3136</v>
      </c>
      <c r="I269" s="395" t="n">
        <v>3</v>
      </c>
      <c r="J269" s="395" t="n">
        <v>17</v>
      </c>
      <c r="K269" s="395" t="n">
        <v>-16</v>
      </c>
      <c r="L269" s="397" t="n">
        <v>3000</v>
      </c>
      <c r="M269" s="146" t="inlineStr">
        <is>
          <t>JUAN DAVID GOMEZ</t>
        </is>
      </c>
      <c r="N269" s="113" t="n"/>
      <c r="O269" s="113" t="n"/>
      <c r="P269" s="398" t="n"/>
      <c r="Q269" s="398" t="n"/>
      <c r="R269" s="113" t="n"/>
      <c r="S269" s="113" t="n"/>
      <c r="T269" s="113" t="n"/>
      <c r="U269" s="113" t="n"/>
      <c r="V269" s="113" t="n"/>
    </row>
    <row r="270" ht="15.75" customHeight="1">
      <c r="A270" s="146" t="n">
        <v>5</v>
      </c>
      <c r="B270" s="238" t="n"/>
      <c r="C270" s="399" t="n">
        <v>45837</v>
      </c>
      <c r="D270" s="146" t="inlineStr">
        <is>
          <t>218 G. SAN JOSE 1</t>
        </is>
      </c>
      <c r="E270" s="146" t="n">
        <v>41871</v>
      </c>
      <c r="F270" s="146" t="inlineStr">
        <is>
          <t>MANUEL QUITIAN</t>
        </is>
      </c>
      <c r="G270" s="395" t="n">
        <v>3140</v>
      </c>
      <c r="H270" s="395" t="n">
        <v>3137</v>
      </c>
      <c r="I270" s="395" t="n">
        <v>1</v>
      </c>
      <c r="J270" s="395" t="n">
        <v>17</v>
      </c>
      <c r="K270" s="395" t="n">
        <v>-15</v>
      </c>
      <c r="L270" s="397" t="n">
        <v>2925</v>
      </c>
      <c r="M270" s="146" t="inlineStr">
        <is>
          <t>GUSTAVO MONROY</t>
        </is>
      </c>
      <c r="N270" s="113" t="n"/>
      <c r="O270" s="113" t="n"/>
      <c r="P270" s="398" t="n"/>
      <c r="Q270" s="398" t="n"/>
      <c r="R270" s="113" t="n"/>
      <c r="S270" s="113" t="n"/>
      <c r="T270" s="113" t="n"/>
      <c r="U270" s="113" t="n"/>
      <c r="V270" s="113" t="n"/>
    </row>
    <row r="271" ht="15.75" customHeight="1">
      <c r="A271" s="146" t="n">
        <v>5</v>
      </c>
      <c r="B271" s="238" t="n"/>
      <c r="C271" s="399" t="n">
        <v>45837</v>
      </c>
      <c r="D271" s="146" t="inlineStr">
        <is>
          <t>218 G. SAN JOSE 1</t>
        </is>
      </c>
      <c r="E271" s="146" t="n">
        <v>41872</v>
      </c>
      <c r="F271" s="146" t="inlineStr">
        <is>
          <t>JHON AIRAS</t>
        </is>
      </c>
      <c r="G271" s="395" t="n">
        <v>3140</v>
      </c>
      <c r="H271" s="395" t="n">
        <v>3139</v>
      </c>
      <c r="I271" s="395" t="n">
        <v>3</v>
      </c>
      <c r="J271" s="395" t="n">
        <v>14</v>
      </c>
      <c r="K271" s="395" t="n">
        <v>-16</v>
      </c>
      <c r="L271" s="397" t="n">
        <v>2925</v>
      </c>
      <c r="M271" s="146" t="inlineStr">
        <is>
          <t>FERNANDO SABOGAL</t>
        </is>
      </c>
      <c r="N271" s="113" t="n"/>
      <c r="O271" s="113" t="n"/>
      <c r="P271" s="398" t="n"/>
      <c r="Q271" s="398" t="n"/>
      <c r="R271" s="113" t="n"/>
      <c r="S271" s="113" t="n"/>
      <c r="T271" s="113" t="n"/>
      <c r="U271" s="113" t="n"/>
      <c r="V271" s="113" t="n"/>
    </row>
    <row r="272" ht="15.75" customHeight="1">
      <c r="A272" s="146" t="n">
        <v>5</v>
      </c>
      <c r="B272" s="238" t="n"/>
      <c r="C272" s="399" t="n">
        <v>45837</v>
      </c>
      <c r="D272" s="146" t="inlineStr">
        <is>
          <t>218 G. SAN JOSE 1</t>
        </is>
      </c>
      <c r="E272" s="146" t="n">
        <v>41873</v>
      </c>
      <c r="F272" s="146" t="inlineStr">
        <is>
          <t>DIEGO NIÑO</t>
        </is>
      </c>
      <c r="G272" s="395" t="n">
        <v>3140</v>
      </c>
      <c r="H272" s="395" t="n">
        <v>3129</v>
      </c>
      <c r="I272" s="395" t="n">
        <v>2</v>
      </c>
      <c r="J272" s="395" t="n">
        <v>24</v>
      </c>
      <c r="K272" s="395" t="n">
        <v>-15</v>
      </c>
      <c r="L272" s="397" t="n">
        <v>2925</v>
      </c>
      <c r="M272" s="146" t="inlineStr">
        <is>
          <t>CRISTIAN ROJAS</t>
        </is>
      </c>
      <c r="N272" s="113" t="n"/>
      <c r="O272" s="113" t="n"/>
      <c r="P272" s="398" t="n"/>
      <c r="Q272" s="398" t="n"/>
      <c r="R272" s="113" t="n"/>
      <c r="S272" s="113" t="n"/>
      <c r="T272" s="113" t="n"/>
      <c r="U272" s="113" t="n"/>
      <c r="V272" s="113" t="n"/>
    </row>
    <row r="273" ht="15.75" customHeight="1">
      <c r="A273" s="146" t="n">
        <v>5</v>
      </c>
      <c r="B273" s="238" t="n"/>
      <c r="C273" s="399" t="n">
        <v>45837</v>
      </c>
      <c r="D273" s="146" t="inlineStr">
        <is>
          <t>218 G. SAN JOSE 1</t>
        </is>
      </c>
      <c r="E273" s="146" t="n">
        <v>41874</v>
      </c>
      <c r="F273" s="146" t="inlineStr">
        <is>
          <t>HENRY ROMERO</t>
        </is>
      </c>
      <c r="G273" s="395" t="n">
        <v>2700</v>
      </c>
      <c r="H273" s="395" t="n">
        <v>2680</v>
      </c>
      <c r="I273" s="395" t="n">
        <v>4</v>
      </c>
      <c r="J273" s="395" t="n">
        <v>20</v>
      </c>
      <c r="K273" s="395" t="n">
        <v>-4</v>
      </c>
      <c r="L273" s="397" t="n">
        <v>2925</v>
      </c>
      <c r="M273" s="146" t="inlineStr">
        <is>
          <t>JORGE OVIEDO</t>
        </is>
      </c>
      <c r="N273" s="113" t="n"/>
      <c r="O273" s="113" t="n"/>
      <c r="P273" s="398" t="n"/>
      <c r="Q273" s="398" t="n"/>
      <c r="R273" s="113" t="n"/>
      <c r="S273" s="113" t="n"/>
      <c r="T273" s="113" t="n"/>
      <c r="U273" s="113" t="n"/>
      <c r="V273" s="113" t="n"/>
    </row>
    <row r="274" ht="15.75" customHeight="1">
      <c r="A274" s="146" t="n">
        <v>5</v>
      </c>
      <c r="B274" s="238" t="n"/>
      <c r="C274" s="399" t="n">
        <v>45837</v>
      </c>
      <c r="D274" s="146" t="inlineStr">
        <is>
          <t>218 G. SAN JOSE 1</t>
        </is>
      </c>
      <c r="E274" s="146" t="n">
        <v>41875</v>
      </c>
      <c r="F274" s="146" t="inlineStr">
        <is>
          <t>EDUAN CAVIEDES</t>
        </is>
      </c>
      <c r="G274" s="395" t="n">
        <v>3600</v>
      </c>
      <c r="H274" s="395" t="n">
        <v>3587</v>
      </c>
      <c r="I274" s="395" t="n">
        <v>3</v>
      </c>
      <c r="J274" s="395" t="n">
        <v>15</v>
      </c>
      <c r="K274" s="395" t="n">
        <v>-5</v>
      </c>
      <c r="L274" s="397" t="n">
        <v>2542</v>
      </c>
      <c r="M274" s="146" t="inlineStr">
        <is>
          <t xml:space="preserve">DUMAR ANGARITA </t>
        </is>
      </c>
      <c r="N274" s="113" t="n"/>
      <c r="O274" s="113" t="n"/>
      <c r="P274" s="398" t="n"/>
      <c r="Q274" s="398" t="n"/>
      <c r="R274" s="113" t="n"/>
      <c r="S274" s="113" t="n"/>
      <c r="T274" s="113" t="n"/>
      <c r="U274" s="113" t="n"/>
      <c r="V274" s="113" t="n"/>
    </row>
    <row r="275" ht="15.75" customHeight="1">
      <c r="A275" s="146" t="n">
        <v>5</v>
      </c>
      <c r="B275" s="238" t="n"/>
      <c r="C275" s="399" t="n">
        <v>45837</v>
      </c>
      <c r="D275" s="146" t="inlineStr">
        <is>
          <t>218 G. SAN JOSE 1</t>
        </is>
      </c>
      <c r="E275" s="146" t="n">
        <v>41876</v>
      </c>
      <c r="F275" s="146" t="inlineStr">
        <is>
          <t>JHON AGUIRRE</t>
        </is>
      </c>
      <c r="G275" s="395" t="n">
        <v>3600</v>
      </c>
      <c r="H275" s="395" t="n">
        <v>3588</v>
      </c>
      <c r="I275" s="395" t="n">
        <v>2</v>
      </c>
      <c r="J275" s="395" t="n">
        <v>16</v>
      </c>
      <c r="K275" s="395" t="n">
        <v>-6</v>
      </c>
      <c r="L275" s="397" t="n">
        <v>2224</v>
      </c>
      <c r="M275" s="146" t="inlineStr">
        <is>
          <t xml:space="preserve">EDUAN CAVIEDEZ </t>
        </is>
      </c>
      <c r="N275" s="113" t="n"/>
      <c r="O275" s="113" t="n"/>
      <c r="P275" s="398" t="n"/>
      <c r="Q275" s="398" t="n"/>
      <c r="R275" s="113" t="n"/>
      <c r="S275" s="113" t="n"/>
      <c r="T275" s="113" t="n"/>
      <c r="U275" s="113" t="n"/>
      <c r="V275" s="113" t="n"/>
    </row>
    <row r="276" ht="15.75" customHeight="1">
      <c r="A276" s="146" t="n">
        <v>5</v>
      </c>
      <c r="B276" s="238" t="n"/>
      <c r="C276" s="399" t="n">
        <v>45839</v>
      </c>
      <c r="D276" s="146" t="inlineStr">
        <is>
          <t>218 G. SAN JOSE 1</t>
        </is>
      </c>
      <c r="E276" s="146" t="n">
        <v>41878</v>
      </c>
      <c r="F276" s="146" t="inlineStr">
        <is>
          <t>ALBERTO HERRERA</t>
        </is>
      </c>
      <c r="G276" s="395" t="n">
        <v>3600</v>
      </c>
      <c r="H276" s="395" t="n">
        <v>3590</v>
      </c>
      <c r="I276" s="395" t="n">
        <v>2</v>
      </c>
      <c r="J276" s="395" t="n">
        <v>15</v>
      </c>
      <c r="K276" s="395" t="n">
        <v>-7</v>
      </c>
      <c r="L276" s="397" t="n">
        <v>2916</v>
      </c>
      <c r="M276" s="146" t="inlineStr">
        <is>
          <t>JHON AGUIRRE</t>
        </is>
      </c>
      <c r="N276" s="113" t="n"/>
      <c r="O276" s="113" t="n"/>
      <c r="P276" s="398" t="n"/>
      <c r="Q276" s="398" t="n"/>
      <c r="R276" s="113" t="n"/>
      <c r="S276" s="113" t="n"/>
      <c r="T276" s="113" t="n"/>
      <c r="U276" s="113" t="n"/>
      <c r="V276" s="113" t="n"/>
    </row>
    <row r="277" ht="15.75" customHeight="1">
      <c r="A277" s="146" t="n">
        <v>5</v>
      </c>
      <c r="B277" s="238" t="n"/>
      <c r="C277" s="399" t="n">
        <v>45839</v>
      </c>
      <c r="D277" s="146" t="inlineStr">
        <is>
          <t>218 G. SAN JOSE 1</t>
        </is>
      </c>
      <c r="E277" s="146" t="n">
        <v>41881</v>
      </c>
      <c r="F277" s="146" t="inlineStr">
        <is>
          <t>MANUEL QUITIAN</t>
        </is>
      </c>
      <c r="G277" s="395" t="n">
        <v>3600</v>
      </c>
      <c r="H277" s="395" t="n">
        <v>3588</v>
      </c>
      <c r="I277" s="395" t="n">
        <v>1</v>
      </c>
      <c r="J277" s="395" t="n">
        <v>9</v>
      </c>
      <c r="K277" s="395" t="n">
        <v>2</v>
      </c>
      <c r="L277" s="397" t="n">
        <v>2916</v>
      </c>
      <c r="M277" s="146" t="inlineStr">
        <is>
          <t xml:space="preserve">JOSE HERRERA </t>
        </is>
      </c>
      <c r="N277" s="113" t="n"/>
      <c r="O277" s="113" t="n"/>
      <c r="P277" s="398" t="n"/>
      <c r="Q277" s="398" t="n"/>
      <c r="R277" s="113" t="n"/>
      <c r="S277" s="113" t="n"/>
      <c r="T277" s="113" t="n"/>
      <c r="U277" s="113" t="n"/>
      <c r="V277" s="113" t="n"/>
    </row>
    <row r="278" ht="15.75" customHeight="1">
      <c r="A278" s="146" t="n">
        <v>5</v>
      </c>
      <c r="B278" s="238" t="n"/>
      <c r="C278" s="399" t="n">
        <v>45839</v>
      </c>
      <c r="D278" s="146" t="inlineStr">
        <is>
          <t>218 G. SAN JOSE 1</t>
        </is>
      </c>
      <c r="E278" s="146" t="n">
        <v>41882</v>
      </c>
      <c r="F278" s="146" t="inlineStr">
        <is>
          <t>JHON AGUIRRE</t>
        </is>
      </c>
      <c r="G278" s="395" t="n">
        <v>3212</v>
      </c>
      <c r="H278" s="395" t="n">
        <v>3204</v>
      </c>
      <c r="I278" s="395" t="n">
        <v>1</v>
      </c>
      <c r="J278" s="395" t="n">
        <v>6</v>
      </c>
      <c r="K278" s="395" t="n">
        <v>1</v>
      </c>
      <c r="L278" s="397" t="n">
        <v>3231</v>
      </c>
      <c r="M278" s="146" t="inlineStr">
        <is>
          <t xml:space="preserve">MANUEL QUITIAN </t>
        </is>
      </c>
      <c r="N278" s="113" t="n"/>
      <c r="O278" s="113" t="n"/>
      <c r="P278" s="398" t="n"/>
      <c r="Q278" s="398" t="n"/>
      <c r="R278" s="113" t="n"/>
      <c r="S278" s="113" t="n"/>
      <c r="T278" s="113" t="n"/>
      <c r="U278" s="113" t="n"/>
      <c r="V278" s="113" t="n"/>
    </row>
    <row r="279" ht="15.75" customHeight="1">
      <c r="A279" s="146" t="n">
        <v>5</v>
      </c>
      <c r="B279" s="238" t="n"/>
      <c r="C279" s="399" t="n">
        <v>45843</v>
      </c>
      <c r="D279" s="146" t="inlineStr">
        <is>
          <t>218 G. SAN JOSE 1</t>
        </is>
      </c>
      <c r="E279" s="146" t="n">
        <v>41975</v>
      </c>
      <c r="F279" s="146" t="inlineStr">
        <is>
          <t>ALBERTO HERRERA</t>
        </is>
      </c>
      <c r="G279" s="395" t="n">
        <v>3160</v>
      </c>
      <c r="H279" s="395" t="n">
        <v>3148</v>
      </c>
      <c r="I279" s="395" t="n">
        <v>6</v>
      </c>
      <c r="J279" s="395" t="n">
        <v>7</v>
      </c>
      <c r="K279" s="395" t="n">
        <v>-1</v>
      </c>
      <c r="L279" s="397" t="n">
        <v>3160</v>
      </c>
      <c r="M279" s="146" t="inlineStr">
        <is>
          <t xml:space="preserve">JOSE HERRERA </t>
        </is>
      </c>
      <c r="N279" s="113" t="n"/>
      <c r="O279" s="113" t="n"/>
      <c r="P279" s="398" t="n"/>
      <c r="Q279" s="398" t="n"/>
      <c r="R279" s="113" t="n"/>
      <c r="S279" s="113" t="n"/>
      <c r="T279" s="113" t="n"/>
      <c r="U279" s="113" t="n"/>
      <c r="V279" s="113" t="n"/>
    </row>
    <row r="280" ht="15.75" customHeight="1">
      <c r="A280" s="146" t="n">
        <v>5</v>
      </c>
      <c r="B280" s="238" t="n"/>
      <c r="C280" s="399" t="n">
        <v>45843</v>
      </c>
      <c r="D280" s="146" t="inlineStr">
        <is>
          <t>218 G. SAN JOSE 1</t>
        </is>
      </c>
      <c r="E280" s="146" t="n">
        <v>41976</v>
      </c>
      <c r="F280" s="146" t="inlineStr">
        <is>
          <t>MANUEL QUITIAN</t>
        </is>
      </c>
      <c r="G280" s="395" t="n">
        <v>3160</v>
      </c>
      <c r="H280" s="395" t="n">
        <v>3146</v>
      </c>
      <c r="I280" s="395" t="n">
        <v>9</v>
      </c>
      <c r="J280" s="395" t="n">
        <v>9</v>
      </c>
      <c r="K280" s="395" t="n">
        <v>-4</v>
      </c>
      <c r="L280" s="397" t="n">
        <v>3160</v>
      </c>
      <c r="M280" s="146" t="inlineStr">
        <is>
          <t xml:space="preserve">MANUEL QUITIAN </t>
        </is>
      </c>
      <c r="N280" s="113" t="n"/>
      <c r="O280" s="113" t="n"/>
      <c r="P280" s="398" t="n"/>
      <c r="Q280" s="398" t="n"/>
      <c r="R280" s="113" t="n"/>
      <c r="S280" s="113" t="n"/>
      <c r="T280" s="113" t="n"/>
      <c r="U280" s="113" t="n"/>
      <c r="V280" s="113" t="n"/>
    </row>
    <row r="281" ht="15.75" customHeight="1">
      <c r="A281" s="146" t="n">
        <v>5</v>
      </c>
      <c r="B281" s="238" t="n"/>
      <c r="C281" s="399" t="n">
        <v>45843</v>
      </c>
      <c r="D281" s="146" t="inlineStr">
        <is>
          <t>218 G. SAN JOSE 1</t>
        </is>
      </c>
      <c r="E281" s="146" t="n">
        <v>41977</v>
      </c>
      <c r="F281" s="146" t="inlineStr">
        <is>
          <t>DUMAR ANGARITA</t>
        </is>
      </c>
      <c r="G281" s="395" t="n">
        <v>3160</v>
      </c>
      <c r="H281" s="395" t="n">
        <v>3149</v>
      </c>
      <c r="I281" s="395" t="n">
        <v>7</v>
      </c>
      <c r="J281" s="395" t="n">
        <v>6</v>
      </c>
      <c r="K281" s="395" t="n">
        <v>-2</v>
      </c>
      <c r="L281" s="397" t="n">
        <v>3160</v>
      </c>
      <c r="M281" s="146" t="inlineStr">
        <is>
          <t xml:space="preserve">DUMAR ANGARITA </t>
        </is>
      </c>
      <c r="N281" s="113" t="n"/>
      <c r="O281" s="113" t="n"/>
      <c r="P281" s="398" t="n"/>
      <c r="Q281" s="398" t="n"/>
      <c r="R281" s="113" t="n"/>
      <c r="S281" s="113" t="n"/>
      <c r="T281" s="113" t="n"/>
      <c r="U281" s="113" t="n"/>
      <c r="V281" s="113" t="n"/>
    </row>
    <row r="282" ht="15.75" customHeight="1">
      <c r="A282" s="146" t="n">
        <v>5</v>
      </c>
      <c r="B282" s="238" t="n"/>
      <c r="C282" s="399" t="n">
        <v>45843</v>
      </c>
      <c r="D282" s="146" t="inlineStr">
        <is>
          <t>218 G. SAN JOSE 1</t>
        </is>
      </c>
      <c r="E282" s="146" t="n">
        <v>41978</v>
      </c>
      <c r="F282" s="146" t="inlineStr">
        <is>
          <t>EDUAN CAVIEDES</t>
        </is>
      </c>
      <c r="G282" s="395" t="n">
        <v>3160</v>
      </c>
      <c r="H282" s="395" t="n">
        <v>3147</v>
      </c>
      <c r="I282" s="395" t="n">
        <v>6</v>
      </c>
      <c r="J282" s="395" t="n">
        <v>3</v>
      </c>
      <c r="K282" s="395" t="n">
        <v>4</v>
      </c>
      <c r="L282" s="397" t="n">
        <v>3160</v>
      </c>
      <c r="M282" s="146" t="inlineStr">
        <is>
          <t>EDUAN CAVIEDEZ</t>
        </is>
      </c>
      <c r="N282" s="113" t="n"/>
      <c r="O282" s="113" t="n"/>
      <c r="P282" s="398" t="n"/>
      <c r="Q282" s="398" t="n"/>
      <c r="R282" s="113" t="n"/>
      <c r="S282" s="113" t="n"/>
      <c r="T282" s="113" t="n"/>
      <c r="U282" s="113" t="n"/>
      <c r="V282" s="113" t="n"/>
    </row>
    <row r="283" ht="15.75" customHeight="1">
      <c r="A283" s="146" t="n">
        <v>5</v>
      </c>
      <c r="B283" s="238" t="n"/>
      <c r="C283" s="399" t="n">
        <v>45843</v>
      </c>
      <c r="D283" s="146" t="inlineStr">
        <is>
          <t>218 G. SAN JOSE 1</t>
        </is>
      </c>
      <c r="E283" s="146" t="n">
        <v>41979</v>
      </c>
      <c r="F283" s="146" t="inlineStr">
        <is>
          <t>FERNANDO OYUELA</t>
        </is>
      </c>
      <c r="G283" s="395" t="n">
        <v>2680</v>
      </c>
      <c r="H283" s="395" t="n">
        <v>2667</v>
      </c>
      <c r="I283" s="395" t="n">
        <v>5</v>
      </c>
      <c r="J283" s="395" t="n">
        <v>3</v>
      </c>
      <c r="K283" s="395" t="n">
        <v>5</v>
      </c>
      <c r="L283" s="397" t="n">
        <v>2680</v>
      </c>
      <c r="M283" s="146" t="inlineStr">
        <is>
          <t xml:space="preserve">FERNANDO OYUELA </t>
        </is>
      </c>
      <c r="N283" s="113" t="n"/>
      <c r="O283" s="113" t="n"/>
      <c r="P283" s="398" t="n"/>
      <c r="Q283" s="398" t="n"/>
      <c r="R283" s="113" t="n"/>
      <c r="S283" s="113" t="n"/>
      <c r="T283" s="113" t="n"/>
      <c r="U283" s="113" t="n"/>
      <c r="V283" s="113" t="n"/>
    </row>
    <row r="284" ht="15.75" customHeight="1">
      <c r="A284" s="146" t="n">
        <v>5</v>
      </c>
      <c r="B284" s="238" t="n"/>
      <c r="C284" s="399" t="n">
        <v>45843</v>
      </c>
      <c r="D284" s="146" t="inlineStr">
        <is>
          <t>218 G. SAN JOSE 1</t>
        </is>
      </c>
      <c r="E284" s="146" t="n">
        <v>41980</v>
      </c>
      <c r="F284" s="146" t="inlineStr">
        <is>
          <t>JHON AGUIRRE</t>
        </is>
      </c>
      <c r="G284" s="395" t="n">
        <v>3180</v>
      </c>
      <c r="H284" s="395" t="n">
        <v>3158</v>
      </c>
      <c r="I284" s="395" t="n">
        <v>2</v>
      </c>
      <c r="J284" s="395" t="n">
        <v>5</v>
      </c>
      <c r="K284" s="395" t="n">
        <v>15</v>
      </c>
      <c r="L284" s="397" t="n">
        <v>3180</v>
      </c>
      <c r="M284" s="146" t="inlineStr">
        <is>
          <t>JHON AGUIRRE</t>
        </is>
      </c>
      <c r="N284" s="113" t="n"/>
      <c r="O284" s="113" t="n"/>
      <c r="P284" s="398" t="n"/>
      <c r="Q284" s="398" t="n"/>
      <c r="R284" s="113" t="n"/>
      <c r="S284" s="113" t="n"/>
      <c r="T284" s="113" t="n"/>
      <c r="U284" s="113" t="n"/>
      <c r="V284" s="113" t="n"/>
    </row>
    <row r="285" ht="15.75" customHeight="1">
      <c r="A285" s="146" t="n">
        <v>5</v>
      </c>
      <c r="B285" s="238" t="n"/>
      <c r="C285" s="399" t="n">
        <v>45843</v>
      </c>
      <c r="D285" s="146" t="inlineStr">
        <is>
          <t>218 G. SAN JOSE 1</t>
        </is>
      </c>
      <c r="E285" s="146" t="n">
        <v>41981</v>
      </c>
      <c r="F285" s="146" t="inlineStr">
        <is>
          <t>DIEGO NIÑO</t>
        </is>
      </c>
      <c r="G285" s="395" t="n">
        <v>3180</v>
      </c>
      <c r="H285" s="395" t="n">
        <v>3160</v>
      </c>
      <c r="I285" s="395" t="n">
        <v>2</v>
      </c>
      <c r="J285" s="395" t="n">
        <v>2</v>
      </c>
      <c r="K285" s="395" t="n">
        <v>16</v>
      </c>
      <c r="L285" s="397" t="n">
        <v>3180</v>
      </c>
      <c r="M285" s="146" t="inlineStr">
        <is>
          <t xml:space="preserve">DIEGO NIÑO </t>
        </is>
      </c>
      <c r="N285" s="113" t="n"/>
      <c r="O285" s="113" t="n"/>
      <c r="P285" s="398" t="n"/>
      <c r="Q285" s="398" t="n"/>
      <c r="R285" s="113" t="n"/>
      <c r="S285" s="113" t="n"/>
      <c r="T285" s="113" t="n"/>
      <c r="U285" s="113" t="n"/>
      <c r="V285" s="113" t="n"/>
    </row>
    <row r="286" ht="15.75" customHeight="1">
      <c r="A286" s="146" t="n">
        <v>5</v>
      </c>
      <c r="B286" s="238" t="n"/>
      <c r="C286" s="399" t="n">
        <v>45843</v>
      </c>
      <c r="D286" s="146" t="inlineStr">
        <is>
          <t>218 G. SAN JOSE 1</t>
        </is>
      </c>
      <c r="E286" s="146" t="n">
        <v>41982</v>
      </c>
      <c r="F286" s="146" t="inlineStr">
        <is>
          <t>FABIO ALDANA</t>
        </is>
      </c>
      <c r="G286" s="395" t="n">
        <v>3180</v>
      </c>
      <c r="H286" s="395" t="n">
        <v>3153</v>
      </c>
      <c r="I286" s="395" t="n">
        <v>3</v>
      </c>
      <c r="J286" s="395" t="n">
        <v>3</v>
      </c>
      <c r="K286" s="477" t="n">
        <v>21</v>
      </c>
      <c r="L286" s="397" t="n">
        <v>3180</v>
      </c>
      <c r="M286" s="146" t="inlineStr">
        <is>
          <t xml:space="preserve">FABIO ALDANA </t>
        </is>
      </c>
      <c r="N286" s="113" t="n"/>
      <c r="O286" s="113" t="n"/>
      <c r="P286" s="398" t="n"/>
      <c r="Q286" s="398" t="n"/>
      <c r="R286" s="113" t="n"/>
      <c r="S286" s="113" t="n"/>
      <c r="T286" s="113" t="n"/>
      <c r="U286" s="113" t="n"/>
      <c r="V286" s="113" t="n"/>
    </row>
    <row r="287" ht="15.75" customHeight="1">
      <c r="A287" s="146" t="n">
        <v>5</v>
      </c>
      <c r="B287" s="238" t="n"/>
      <c r="C287" s="399" t="n"/>
      <c r="D287" s="113" t="n"/>
      <c r="E287" s="113" t="n"/>
      <c r="F287" s="113" t="n"/>
      <c r="G287" s="395">
        <f>SUBTOTAL(9,G226:G286)</f>
        <v/>
      </c>
      <c r="H287" s="395">
        <f>SUBTOTAL(9,H226:H286)</f>
        <v/>
      </c>
      <c r="I287" s="395">
        <f>SUBTOTAL(9,I226:I286)</f>
        <v/>
      </c>
      <c r="J287" s="395">
        <f>SUBTOTAL(9,J226:J286)</f>
        <v/>
      </c>
      <c r="K287" s="477">
        <f>SUBTOTAL(9,K226:K286)</f>
        <v/>
      </c>
      <c r="L287" s="395">
        <f>SUBTOTAL(9,L226:L286)</f>
        <v/>
      </c>
      <c r="M287" s="113" t="n"/>
      <c r="N287" s="395">
        <f>+H287-L287</f>
        <v/>
      </c>
      <c r="O287" s="395">
        <f>+I287+J287+K287</f>
        <v/>
      </c>
      <c r="P287" s="398" t="n"/>
      <c r="Q287" s="398" t="n"/>
      <c r="R287" s="113" t="n"/>
      <c r="S287" s="113" t="n"/>
      <c r="T287" s="113" t="n"/>
      <c r="U287" s="113" t="n"/>
      <c r="V287" s="113" t="n"/>
    </row>
    <row r="288" ht="15.75" customHeight="1">
      <c r="A288" s="146" t="n">
        <v>5</v>
      </c>
      <c r="B288" s="238" t="n"/>
      <c r="C288" s="399" t="n"/>
      <c r="D288" s="113" t="n"/>
      <c r="E288" s="113" t="n"/>
      <c r="F288" s="113" t="n"/>
      <c r="G288" s="395" t="n"/>
      <c r="H288" s="395" t="n"/>
      <c r="I288" s="395" t="n"/>
      <c r="J288" s="395" t="n"/>
      <c r="K288" s="395" t="n"/>
      <c r="L288" s="397" t="n"/>
      <c r="M288" s="113" t="n"/>
      <c r="N288" s="113" t="n"/>
      <c r="O288" s="113" t="n"/>
      <c r="P288" s="398" t="n"/>
      <c r="Q288" s="398" t="n"/>
      <c r="R288" s="113" t="n"/>
      <c r="S288" s="113" t="n"/>
      <c r="T288" s="113" t="n"/>
      <c r="U288" s="113" t="n"/>
      <c r="V288" s="113" t="n"/>
    </row>
    <row r="289" ht="15.75" customHeight="1">
      <c r="A289" s="146" t="n">
        <v>6</v>
      </c>
      <c r="B289" s="238" t="n"/>
      <c r="C289" s="399" t="n">
        <v>45845</v>
      </c>
      <c r="D289" s="146" t="inlineStr">
        <is>
          <t>218 G. SAN JOSE 1</t>
        </is>
      </c>
      <c r="E289" s="146" t="n">
        <v>41990</v>
      </c>
      <c r="F289" s="146" t="inlineStr">
        <is>
          <t>EDWIN ROJAS</t>
        </is>
      </c>
      <c r="G289" s="395" t="n">
        <v>2230</v>
      </c>
      <c r="H289" s="395" t="n">
        <v>2218</v>
      </c>
      <c r="I289" s="395" t="n">
        <v>3</v>
      </c>
      <c r="J289" s="395" t="n">
        <v>12</v>
      </c>
      <c r="K289" s="395" t="n">
        <v>-3</v>
      </c>
      <c r="L289" s="397" t="n">
        <v>2246</v>
      </c>
      <c r="M289" s="146" t="inlineStr">
        <is>
          <t>EDWIN ROJAS</t>
        </is>
      </c>
      <c r="N289" s="113" t="n"/>
      <c r="O289" s="113" t="n"/>
      <c r="P289" s="398" t="n"/>
      <c r="Q289" s="398" t="n"/>
      <c r="R289" s="113" t="n"/>
      <c r="S289" s="113" t="n"/>
      <c r="T289" s="113" t="n"/>
      <c r="U289" s="113" t="n"/>
      <c r="V289" s="113" t="n"/>
    </row>
    <row r="290" ht="15.75" customHeight="1">
      <c r="A290" s="146" t="n">
        <v>6</v>
      </c>
      <c r="B290" s="238" t="n"/>
      <c r="C290" s="399" t="n">
        <v>45845</v>
      </c>
      <c r="D290" s="146" t="inlineStr">
        <is>
          <t>218 G. SAN JOSE 1</t>
        </is>
      </c>
      <c r="E290" s="146" t="n">
        <v>41991</v>
      </c>
      <c r="F290" s="146" t="inlineStr">
        <is>
          <t>ALBERTO HERRERA</t>
        </is>
      </c>
      <c r="G290" s="395" t="n">
        <v>3564</v>
      </c>
      <c r="H290" s="395" t="n">
        <v>3552</v>
      </c>
      <c r="I290" s="395" t="n">
        <v>3</v>
      </c>
      <c r="J290" s="395" t="n">
        <v>12</v>
      </c>
      <c r="K290" s="395" t="n">
        <v>-3</v>
      </c>
      <c r="L290" s="397" t="n">
        <v>2664</v>
      </c>
      <c r="M290" s="146" t="inlineStr">
        <is>
          <t xml:space="preserve">JAIRO CUBILLOS </t>
        </is>
      </c>
      <c r="N290" s="113" t="n"/>
      <c r="O290" s="113" t="n"/>
      <c r="P290" s="398" t="n"/>
      <c r="Q290" s="398" t="n"/>
      <c r="R290" s="113" t="n"/>
      <c r="S290" s="113" t="n"/>
      <c r="T290" s="113" t="n"/>
      <c r="U290" s="113" t="n"/>
      <c r="V290" s="113" t="n"/>
    </row>
    <row r="291" ht="15.75" customHeight="1">
      <c r="A291" s="146" t="n">
        <v>6</v>
      </c>
      <c r="B291" s="238" t="n"/>
      <c r="C291" s="399" t="n">
        <v>45845</v>
      </c>
      <c r="D291" s="146" t="inlineStr">
        <is>
          <t>218 G. SAN JOSE 1</t>
        </is>
      </c>
      <c r="E291" s="146" t="n">
        <v>41992</v>
      </c>
      <c r="F291" s="146" t="inlineStr">
        <is>
          <t>JAIRO CUBILLOS</t>
        </is>
      </c>
      <c r="G291" s="395" t="n">
        <v>2662</v>
      </c>
      <c r="H291" s="395" t="n">
        <v>2668</v>
      </c>
      <c r="I291" s="395" t="n">
        <v>7</v>
      </c>
      <c r="J291" s="395" t="n">
        <v>4</v>
      </c>
      <c r="K291" s="395" t="n">
        <v>-17</v>
      </c>
      <c r="L291" s="397" t="n">
        <v>3564</v>
      </c>
      <c r="M291" s="146" t="inlineStr">
        <is>
          <t xml:space="preserve">JOSE HERRERA </t>
        </is>
      </c>
      <c r="N291" s="113" t="n"/>
      <c r="O291" s="113" t="n"/>
      <c r="P291" s="398" t="n"/>
      <c r="Q291" s="398" t="n"/>
      <c r="R291" s="113" t="n"/>
      <c r="S291" s="113" t="n"/>
      <c r="T291" s="113" t="n"/>
      <c r="U291" s="113" t="n"/>
      <c r="V291" s="113" t="n"/>
    </row>
    <row r="292" ht="15.75" customHeight="1">
      <c r="A292" s="146" t="n">
        <v>6</v>
      </c>
      <c r="B292" s="238" t="n"/>
      <c r="C292" s="399" t="n">
        <v>45845</v>
      </c>
      <c r="D292" s="146" t="inlineStr">
        <is>
          <t>218 G. SAN JOSE 1</t>
        </is>
      </c>
      <c r="E292" s="146" t="n">
        <v>41993</v>
      </c>
      <c r="F292" s="146" t="inlineStr">
        <is>
          <t>YAIR RIVEROS</t>
        </is>
      </c>
      <c r="G292" s="395" t="n">
        <v>3560</v>
      </c>
      <c r="H292" s="395" t="n">
        <v>3562</v>
      </c>
      <c r="I292" s="395" t="n">
        <v>5</v>
      </c>
      <c r="J292" s="395" t="n">
        <v>8</v>
      </c>
      <c r="K292" s="395" t="n">
        <v>-15</v>
      </c>
      <c r="L292" s="397" t="n">
        <v>3560</v>
      </c>
      <c r="M292" s="146" t="inlineStr">
        <is>
          <t>YAIR RIVEROS</t>
        </is>
      </c>
      <c r="N292" s="113" t="n"/>
      <c r="O292" s="113" t="n"/>
      <c r="P292" s="398" t="n"/>
      <c r="Q292" s="398" t="n"/>
      <c r="R292" s="113" t="n"/>
      <c r="S292" s="113" t="n"/>
      <c r="T292" s="113" t="n"/>
      <c r="U292" s="113" t="n"/>
      <c r="V292" s="113" t="n"/>
    </row>
    <row r="293" ht="15.75" customHeight="1">
      <c r="A293" s="146" t="n">
        <v>6</v>
      </c>
      <c r="B293" s="238" t="n"/>
      <c r="C293" s="399" t="n">
        <v>45845</v>
      </c>
      <c r="D293" s="146" t="inlineStr">
        <is>
          <t>218 G. SAN JOSE 1</t>
        </is>
      </c>
      <c r="E293" s="146" t="n">
        <v>41994</v>
      </c>
      <c r="F293" s="146" t="inlineStr">
        <is>
          <t>HENRY ROMERO</t>
        </is>
      </c>
      <c r="G293" s="395" t="n">
        <v>3564</v>
      </c>
      <c r="H293" s="395" t="n">
        <v>3562</v>
      </c>
      <c r="I293" s="395" t="n">
        <v>7</v>
      </c>
      <c r="J293" s="395" t="n">
        <v>7</v>
      </c>
      <c r="K293" s="395" t="n">
        <v>-12</v>
      </c>
      <c r="L293" s="397" t="n">
        <v>3564</v>
      </c>
      <c r="M293" s="146" t="inlineStr">
        <is>
          <t xml:space="preserve">ALBERTO LOPEZ </t>
        </is>
      </c>
      <c r="N293" s="113" t="n"/>
      <c r="O293" s="113" t="n"/>
      <c r="P293" s="398" t="n"/>
      <c r="Q293" s="398" t="n"/>
      <c r="R293" s="113" t="n"/>
      <c r="S293" s="113" t="n"/>
      <c r="T293" s="113" t="n"/>
      <c r="U293" s="113" t="n"/>
      <c r="V293" s="113" t="n"/>
    </row>
    <row r="294" ht="15.75" customHeight="1">
      <c r="A294" s="146" t="n">
        <v>6</v>
      </c>
      <c r="B294" s="238" t="n"/>
      <c r="C294" s="399" t="n">
        <v>45845</v>
      </c>
      <c r="D294" s="146" t="inlineStr">
        <is>
          <t>218 G. SAN JOSE 1</t>
        </is>
      </c>
      <c r="E294" s="146" t="n">
        <v>41995</v>
      </c>
      <c r="F294" s="146" t="inlineStr">
        <is>
          <t>ALBERTO LOPEZ</t>
        </is>
      </c>
      <c r="G294" s="395" t="n">
        <v>3564</v>
      </c>
      <c r="H294" s="395" t="n">
        <v>3546</v>
      </c>
      <c r="I294" s="395" t="n">
        <v>5</v>
      </c>
      <c r="J294" s="395" t="n">
        <v>13</v>
      </c>
      <c r="K294" s="395" t="n">
        <v>0</v>
      </c>
      <c r="L294" s="397" t="n">
        <v>3564</v>
      </c>
      <c r="M294" s="146" t="inlineStr">
        <is>
          <t>HENRY ROMERO</t>
        </is>
      </c>
      <c r="N294" s="113" t="n"/>
      <c r="O294" s="113" t="n"/>
      <c r="P294" s="398" t="n"/>
      <c r="Q294" s="398" t="n"/>
      <c r="R294" s="113" t="n"/>
      <c r="S294" s="113" t="n"/>
      <c r="T294" s="113" t="n"/>
      <c r="U294" s="113" t="n"/>
      <c r="V294" s="113" t="n"/>
    </row>
    <row r="295" ht="15.75" customHeight="1">
      <c r="A295" s="146" t="n">
        <v>6</v>
      </c>
      <c r="B295" s="238" t="n"/>
      <c r="C295" s="399" t="n">
        <v>45845</v>
      </c>
      <c r="D295" s="146" t="inlineStr">
        <is>
          <t>218 G. SAN JOSE 1</t>
        </is>
      </c>
      <c r="E295" s="146" t="n">
        <v>41996</v>
      </c>
      <c r="F295" s="146" t="inlineStr">
        <is>
          <t>ALEX GOMEZ</t>
        </is>
      </c>
      <c r="G295" s="395" t="n">
        <v>3560</v>
      </c>
      <c r="H295" s="395" t="n">
        <v>3545</v>
      </c>
      <c r="I295" s="395" t="n">
        <v>3</v>
      </c>
      <c r="J295" s="395" t="n">
        <v>10</v>
      </c>
      <c r="K295" s="395" t="n">
        <v>2</v>
      </c>
      <c r="L295" s="397" t="n">
        <v>3564</v>
      </c>
      <c r="M295" s="146" t="inlineStr">
        <is>
          <t xml:space="preserve">JHON ARIAS </t>
        </is>
      </c>
      <c r="N295" s="113" t="n"/>
      <c r="O295" s="113" t="n"/>
      <c r="P295" s="398" t="n"/>
      <c r="Q295" s="398" t="n"/>
      <c r="R295" s="113" t="n"/>
      <c r="S295" s="113" t="n"/>
      <c r="T295" s="113" t="n"/>
      <c r="U295" s="113" t="n"/>
      <c r="V295" s="113" t="n"/>
    </row>
    <row r="296" ht="15.75" customHeight="1">
      <c r="A296" s="146" t="n">
        <v>6</v>
      </c>
      <c r="B296" s="238" t="n"/>
      <c r="C296" s="399" t="n">
        <v>45845</v>
      </c>
      <c r="D296" s="146" t="inlineStr">
        <is>
          <t>218 G. SAN JOSE 1</t>
        </is>
      </c>
      <c r="E296" s="146" t="n">
        <v>41997</v>
      </c>
      <c r="F296" s="146" t="inlineStr">
        <is>
          <t>JHON ARIAS</t>
        </is>
      </c>
      <c r="G296" s="395" t="n">
        <v>3564</v>
      </c>
      <c r="H296" s="395" t="n">
        <v>3551</v>
      </c>
      <c r="I296" s="395" t="n">
        <v>4</v>
      </c>
      <c r="J296" s="395" t="n">
        <v>8</v>
      </c>
      <c r="K296" s="395" t="n">
        <v>1</v>
      </c>
      <c r="L296" s="397" t="n">
        <v>3560</v>
      </c>
      <c r="M296" s="146" t="inlineStr">
        <is>
          <t xml:space="preserve">ALEX GOMEZ </t>
        </is>
      </c>
      <c r="N296" s="113" t="n"/>
      <c r="O296" s="113" t="n"/>
      <c r="P296" s="398" t="n"/>
      <c r="Q296" s="398" t="n"/>
      <c r="R296" s="113" t="n"/>
      <c r="S296" s="113" t="n"/>
      <c r="T296" s="113" t="n"/>
      <c r="U296" s="113" t="n"/>
      <c r="V296" s="113" t="n"/>
    </row>
    <row r="297" ht="15.75" customHeight="1">
      <c r="A297" s="146" t="n">
        <v>6</v>
      </c>
      <c r="B297" s="238" t="n"/>
      <c r="C297" s="399" t="n">
        <v>45845</v>
      </c>
      <c r="D297" s="146" t="inlineStr">
        <is>
          <t>218 G. SAN JOSE 1</t>
        </is>
      </c>
      <c r="E297" s="146" t="n">
        <v>41998</v>
      </c>
      <c r="F297" s="146" t="inlineStr">
        <is>
          <t>FABIO ALDANA</t>
        </is>
      </c>
      <c r="G297" s="395" t="n">
        <v>3267</v>
      </c>
      <c r="H297" s="395" t="n">
        <v>3257</v>
      </c>
      <c r="I297" s="395" t="n">
        <v>3</v>
      </c>
      <c r="J297" s="395" t="n">
        <v>5</v>
      </c>
      <c r="K297" s="395" t="n">
        <v>2</v>
      </c>
      <c r="L297" s="397" t="n">
        <v>3267</v>
      </c>
      <c r="M297" s="146" t="inlineStr">
        <is>
          <t xml:space="preserve">FABIO ALDANA </t>
        </is>
      </c>
      <c r="N297" s="113" t="n"/>
      <c r="O297" s="113" t="n"/>
      <c r="P297" s="398" t="n"/>
      <c r="Q297" s="398" t="n"/>
      <c r="R297" s="113" t="n"/>
      <c r="S297" s="113" t="n"/>
      <c r="T297" s="113" t="n"/>
      <c r="U297" s="113" t="n"/>
      <c r="V297" s="113" t="n"/>
    </row>
    <row r="298" ht="15.75" customHeight="1">
      <c r="A298" s="146" t="n">
        <v>6</v>
      </c>
      <c r="B298" s="238" t="n"/>
      <c r="C298" s="399" t="n">
        <v>45845</v>
      </c>
      <c r="D298" s="146" t="inlineStr">
        <is>
          <t>218 G. SAN JOSE 1</t>
        </is>
      </c>
      <c r="E298" s="146" t="n">
        <v>41999</v>
      </c>
      <c r="F298" s="146" t="inlineStr">
        <is>
          <t>DIEGO NIÑO</t>
        </is>
      </c>
      <c r="G298" s="479" t="n">
        <v>2904</v>
      </c>
      <c r="H298" s="479" t="n">
        <v>2640</v>
      </c>
      <c r="I298" s="395" t="n">
        <v>5</v>
      </c>
      <c r="J298" s="395" t="n">
        <v>7</v>
      </c>
      <c r="K298" s="479" t="n">
        <v>252</v>
      </c>
      <c r="L298" s="397" t="n">
        <v>2590</v>
      </c>
      <c r="M298" s="146" t="inlineStr">
        <is>
          <t xml:space="preserve">DIEGO NIÑO </t>
        </is>
      </c>
      <c r="N298" s="113" t="n"/>
      <c r="O298" s="113" t="n"/>
      <c r="P298" s="398" t="n"/>
      <c r="Q298" s="398" t="n"/>
      <c r="R298" s="113" t="n"/>
      <c r="S298" s="113" t="n"/>
      <c r="T298" s="113" t="n"/>
      <c r="U298" s="113" t="n"/>
      <c r="V298" s="113" t="n"/>
    </row>
    <row r="299" ht="15.75" customHeight="1">
      <c r="A299" s="146" t="n">
        <v>6</v>
      </c>
      <c r="B299" s="238" t="n"/>
      <c r="C299" s="399" t="n">
        <v>45845</v>
      </c>
      <c r="D299" s="146" t="inlineStr">
        <is>
          <t>218 G. SAN JOSE 1</t>
        </is>
      </c>
      <c r="E299" s="146" t="n">
        <v>42000</v>
      </c>
      <c r="F299" s="146" t="inlineStr">
        <is>
          <t>JHON AGUIRRE</t>
        </is>
      </c>
      <c r="G299" s="395" t="n">
        <v>3285</v>
      </c>
      <c r="H299" s="395" t="n">
        <v>3250</v>
      </c>
      <c r="I299" s="395" t="n">
        <v>5</v>
      </c>
      <c r="J299" s="395" t="n">
        <v>27</v>
      </c>
      <c r="K299" s="395" t="n">
        <v>3</v>
      </c>
      <c r="L299" s="397" t="n">
        <v>3285</v>
      </c>
      <c r="M299" s="146" t="inlineStr">
        <is>
          <t>DUMAR ANGARITA</t>
        </is>
      </c>
      <c r="N299" s="113" t="n"/>
      <c r="O299" s="113" t="n"/>
      <c r="P299" s="398" t="n"/>
      <c r="Q299" s="398" t="n"/>
      <c r="R299" s="113" t="n"/>
      <c r="S299" s="113" t="n"/>
      <c r="T299" s="113" t="n"/>
      <c r="U299" s="113" t="n"/>
      <c r="V299" s="113" t="n"/>
    </row>
    <row r="300" ht="15.75" customHeight="1">
      <c r="A300" s="146" t="n">
        <v>6</v>
      </c>
      <c r="B300" s="238" t="n"/>
      <c r="C300" s="399" t="n">
        <v>45845</v>
      </c>
      <c r="D300" s="146" t="inlineStr">
        <is>
          <t>218 G. SAN JOSE 1</t>
        </is>
      </c>
      <c r="E300" s="146" t="n">
        <v>42001</v>
      </c>
      <c r="F300" s="146" t="inlineStr">
        <is>
          <t>MANUEL QUITIAN</t>
        </is>
      </c>
      <c r="G300" s="395" t="n">
        <v>3285</v>
      </c>
      <c r="H300" s="395" t="n">
        <v>3252</v>
      </c>
      <c r="I300" s="395" t="n">
        <v>5</v>
      </c>
      <c r="J300" s="395" t="n">
        <v>25</v>
      </c>
      <c r="K300" s="395" t="n">
        <v>3</v>
      </c>
      <c r="L300" s="397" t="n">
        <v>3285</v>
      </c>
      <c r="M300" s="146" t="inlineStr">
        <is>
          <t>JHON AGUIRRE</t>
        </is>
      </c>
      <c r="N300" s="113" t="n"/>
      <c r="O300" s="113" t="n"/>
      <c r="P300" s="398" t="n"/>
      <c r="Q300" s="398" t="n"/>
      <c r="R300" s="113" t="n"/>
      <c r="S300" s="113" t="n"/>
      <c r="T300" s="113" t="n"/>
      <c r="U300" s="113" t="n"/>
      <c r="V300" s="113" t="n"/>
    </row>
    <row r="301" ht="15.75" customHeight="1">
      <c r="A301" s="146" t="n">
        <v>6</v>
      </c>
      <c r="B301" s="238" t="n"/>
      <c r="C301" s="399" t="n">
        <v>45845</v>
      </c>
      <c r="D301" s="146" t="inlineStr">
        <is>
          <t>218 G. SAN JOSE 1</t>
        </is>
      </c>
      <c r="E301" s="146" t="n">
        <v>42002</v>
      </c>
      <c r="F301" s="146" t="inlineStr">
        <is>
          <t>DUMAR ANGARITA</t>
        </is>
      </c>
      <c r="G301" s="395" t="n">
        <v>3285</v>
      </c>
      <c r="H301" s="395" t="n">
        <v>3251</v>
      </c>
      <c r="I301" s="395" t="n">
        <v>5</v>
      </c>
      <c r="J301" s="395" t="n">
        <v>26</v>
      </c>
      <c r="K301" s="395" t="n">
        <v>3</v>
      </c>
      <c r="L301" s="397" t="n">
        <v>3285</v>
      </c>
      <c r="M301" s="146" t="inlineStr">
        <is>
          <t xml:space="preserve">MANUEL QUITIAN </t>
        </is>
      </c>
      <c r="N301" s="113" t="n"/>
      <c r="O301" s="113" t="n"/>
      <c r="P301" s="398" t="n"/>
      <c r="Q301" s="398" t="n"/>
      <c r="R301" s="113" t="n"/>
      <c r="S301" s="113" t="n"/>
      <c r="T301" s="113" t="n"/>
      <c r="U301" s="113" t="n"/>
      <c r="V301" s="113" t="n"/>
    </row>
    <row r="302" ht="15.75" customHeight="1">
      <c r="A302" s="146" t="n">
        <v>6</v>
      </c>
      <c r="B302" s="238" t="n"/>
      <c r="C302" s="399" t="n">
        <v>45845</v>
      </c>
      <c r="D302" s="146" t="inlineStr">
        <is>
          <t>218 G. SAN JOSE 1</t>
        </is>
      </c>
      <c r="E302" s="146" t="n">
        <v>42003</v>
      </c>
      <c r="F302" s="146" t="inlineStr">
        <is>
          <t>EDUAN CAVIEDES</t>
        </is>
      </c>
      <c r="G302" s="395" t="n">
        <v>3285</v>
      </c>
      <c r="H302" s="395" t="n">
        <v>3253</v>
      </c>
      <c r="I302" s="395" t="n">
        <v>3</v>
      </c>
      <c r="J302" s="395" t="n">
        <v>27</v>
      </c>
      <c r="K302" s="395" t="n">
        <v>2</v>
      </c>
      <c r="L302" s="397" t="n">
        <v>3285</v>
      </c>
      <c r="M302" s="146" t="inlineStr">
        <is>
          <t>EDUAN CAVIEDEZ</t>
        </is>
      </c>
      <c r="N302" s="113" t="n"/>
      <c r="O302" s="113" t="n"/>
      <c r="P302" s="398" t="n"/>
      <c r="Q302" s="398" t="n"/>
      <c r="R302" s="113" t="n"/>
      <c r="S302" s="113" t="n"/>
      <c r="T302" s="113" t="n"/>
      <c r="U302" s="113" t="n"/>
      <c r="V302" s="113" t="n"/>
    </row>
    <row r="303" ht="15.75" customHeight="1">
      <c r="A303" s="146" t="n">
        <v>6</v>
      </c>
      <c r="B303" s="238" t="n"/>
      <c r="C303" s="399" t="n">
        <v>45845</v>
      </c>
      <c r="D303" s="146" t="inlineStr">
        <is>
          <t>218 G. SAN JOSE 1</t>
        </is>
      </c>
      <c r="E303" s="146" t="n">
        <v>42004</v>
      </c>
      <c r="F303" s="146" t="inlineStr">
        <is>
          <t>FERNANDO OYUELA</t>
        </is>
      </c>
      <c r="G303" s="395" t="n">
        <v>3267</v>
      </c>
      <c r="H303" s="395" t="n">
        <v>3232</v>
      </c>
      <c r="I303" s="395" t="n">
        <v>3</v>
      </c>
      <c r="J303" s="395" t="n">
        <v>28</v>
      </c>
      <c r="K303" s="395" t="n">
        <v>4</v>
      </c>
      <c r="L303" s="397" t="n">
        <v>3278</v>
      </c>
      <c r="M303" s="146" t="inlineStr">
        <is>
          <t xml:space="preserve">FERNANDO OYUELA </t>
        </is>
      </c>
      <c r="N303" s="113" t="n"/>
      <c r="O303" s="113" t="n"/>
      <c r="P303" s="398" t="n"/>
      <c r="Q303" s="398" t="n"/>
      <c r="R303" s="113" t="n"/>
      <c r="S303" s="113" t="n"/>
      <c r="T303" s="113" t="n"/>
      <c r="U303" s="113" t="n"/>
      <c r="V303" s="113" t="n"/>
    </row>
    <row r="304" ht="15.75" customHeight="1">
      <c r="A304" s="146" t="n">
        <v>6</v>
      </c>
      <c r="B304" s="238" t="n"/>
      <c r="C304" s="399" t="n">
        <v>45846</v>
      </c>
      <c r="D304" s="146" t="inlineStr">
        <is>
          <t>218 G. SAN JOSE 1</t>
        </is>
      </c>
      <c r="E304" s="146" t="n">
        <v>42005</v>
      </c>
      <c r="F304" s="146" t="inlineStr">
        <is>
          <t>EDWIN ROJAS</t>
        </is>
      </c>
      <c r="G304" s="395" t="n">
        <v>3119</v>
      </c>
      <c r="H304" s="395" t="n">
        <v>3100</v>
      </c>
      <c r="I304" s="395" t="n">
        <v>5</v>
      </c>
      <c r="J304" s="395" t="n">
        <v>13</v>
      </c>
      <c r="K304" s="395" t="n">
        <v>1</v>
      </c>
      <c r="L304" s="397" t="n">
        <v>3119</v>
      </c>
      <c r="M304" s="146" t="inlineStr">
        <is>
          <t>FERNANDO OYUELA</t>
        </is>
      </c>
      <c r="N304" s="113" t="n"/>
      <c r="O304" s="113" t="n"/>
      <c r="P304" s="398" t="n"/>
      <c r="Q304" s="398" t="n"/>
      <c r="R304" s="113" t="n"/>
      <c r="S304" s="113" t="n"/>
      <c r="T304" s="113" t="n"/>
      <c r="U304" s="113" t="n"/>
      <c r="V304" s="113" t="n"/>
    </row>
    <row r="305" ht="15.75" customHeight="1">
      <c r="A305" s="146" t="n">
        <v>6</v>
      </c>
      <c r="B305" s="238" t="n"/>
      <c r="C305" s="399" t="n">
        <v>45846</v>
      </c>
      <c r="D305" s="146" t="inlineStr">
        <is>
          <t>218 G. SAN JOSE 1</t>
        </is>
      </c>
      <c r="E305" s="146" t="n">
        <v>42006</v>
      </c>
      <c r="F305" s="146" t="inlineStr">
        <is>
          <t>ALBERTO HERRERA</t>
        </is>
      </c>
      <c r="G305" s="395" t="n">
        <v>3119</v>
      </c>
      <c r="H305" s="395" t="n">
        <v>3100</v>
      </c>
      <c r="I305" s="395" t="n">
        <v>4</v>
      </c>
      <c r="J305" s="395" t="n">
        <v>14</v>
      </c>
      <c r="K305" s="395" t="n">
        <v>1</v>
      </c>
      <c r="L305" s="397" t="n">
        <v>3119</v>
      </c>
      <c r="M305" s="146" t="inlineStr">
        <is>
          <t>EDUAN CAVIEDEZ</t>
        </is>
      </c>
      <c r="N305" s="113" t="n"/>
      <c r="O305" s="113" t="n"/>
      <c r="P305" s="398" t="n"/>
      <c r="Q305" s="398" t="n"/>
      <c r="R305" s="113" t="n"/>
      <c r="S305" s="113" t="n"/>
      <c r="T305" s="113" t="n"/>
      <c r="U305" s="113" t="n"/>
      <c r="V305" s="113" t="n"/>
    </row>
    <row r="306" ht="15.75" customHeight="1">
      <c r="A306" s="146" t="n">
        <v>6</v>
      </c>
      <c r="B306" s="238" t="n"/>
      <c r="C306" s="399" t="n">
        <v>45846</v>
      </c>
      <c r="D306" s="146" t="inlineStr">
        <is>
          <t>218 G. SAN JOSE 1</t>
        </is>
      </c>
      <c r="E306" s="146" t="n">
        <v>42007</v>
      </c>
      <c r="F306" s="146" t="inlineStr">
        <is>
          <t>JAIRO CUBILLOS</t>
        </is>
      </c>
      <c r="G306" s="395" t="n">
        <v>3119</v>
      </c>
      <c r="H306" s="395" t="n">
        <v>3116</v>
      </c>
      <c r="I306" s="395" t="n">
        <v>2</v>
      </c>
      <c r="J306" s="395" t="n">
        <v>14</v>
      </c>
      <c r="K306" s="395" t="n">
        <v>-13</v>
      </c>
      <c r="L306" s="397" t="n">
        <v>3119</v>
      </c>
      <c r="M306" s="146" t="inlineStr">
        <is>
          <t>DUMAR ANGARITA</t>
        </is>
      </c>
      <c r="N306" s="113" t="n"/>
      <c r="O306" s="113" t="n"/>
      <c r="P306" s="398" t="n"/>
      <c r="Q306" s="398" t="n"/>
      <c r="R306" s="113" t="n"/>
      <c r="S306" s="113" t="n"/>
      <c r="T306" s="113" t="n"/>
      <c r="U306" s="113" t="n"/>
      <c r="V306" s="113" t="n"/>
    </row>
    <row r="307" ht="15.75" customHeight="1">
      <c r="A307" s="146" t="n">
        <v>6</v>
      </c>
      <c r="B307" s="238" t="n"/>
      <c r="C307" s="399" t="n">
        <v>45846</v>
      </c>
      <c r="D307" s="146" t="inlineStr">
        <is>
          <t>218 G. SAN JOSE 1</t>
        </is>
      </c>
      <c r="E307" s="146" t="n">
        <v>42008</v>
      </c>
      <c r="F307" s="146" t="inlineStr">
        <is>
          <t>YAIR RIVEROS</t>
        </is>
      </c>
      <c r="G307" s="395" t="n">
        <v>3119</v>
      </c>
      <c r="H307" s="395" t="n">
        <v>3116</v>
      </c>
      <c r="I307" s="395" t="n">
        <v>2</v>
      </c>
      <c r="J307" s="395" t="n">
        <v>15</v>
      </c>
      <c r="K307" s="395" t="n">
        <v>-14</v>
      </c>
      <c r="L307" s="397" t="n">
        <v>3119</v>
      </c>
      <c r="M307" s="146" t="inlineStr">
        <is>
          <t xml:space="preserve">MANUEL QUITIAN </t>
        </is>
      </c>
      <c r="N307" s="113" t="n"/>
      <c r="O307" s="113" t="n"/>
      <c r="P307" s="398" t="n"/>
      <c r="Q307" s="398" t="n"/>
      <c r="R307" s="113" t="n"/>
      <c r="S307" s="113" t="n"/>
      <c r="T307" s="113" t="n"/>
      <c r="U307" s="113" t="n"/>
      <c r="V307" s="113" t="n"/>
    </row>
    <row r="308" ht="15.75" customHeight="1">
      <c r="A308" s="146" t="n">
        <v>6</v>
      </c>
      <c r="B308" s="238" t="n"/>
      <c r="C308" s="399" t="n">
        <v>45846</v>
      </c>
      <c r="D308" s="146" t="inlineStr">
        <is>
          <t>218 G. SAN JOSE 1</t>
        </is>
      </c>
      <c r="E308" s="146" t="n">
        <v>42009</v>
      </c>
      <c r="F308" s="146" t="inlineStr">
        <is>
          <t>HENRY ROMERO</t>
        </is>
      </c>
      <c r="G308" s="395" t="n">
        <v>3580</v>
      </c>
      <c r="H308" s="395" t="n">
        <v>3551</v>
      </c>
      <c r="I308" s="395" t="n">
        <v>3</v>
      </c>
      <c r="J308" s="395" t="n">
        <v>10</v>
      </c>
      <c r="K308" s="395" t="n">
        <v>16</v>
      </c>
      <c r="L308" s="397" t="n">
        <v>3580</v>
      </c>
      <c r="M308" s="146" t="inlineStr">
        <is>
          <t>DIEGO NIÑO</t>
        </is>
      </c>
      <c r="N308" s="113" t="n"/>
      <c r="O308" s="113" t="n"/>
      <c r="P308" s="398" t="n"/>
      <c r="Q308" s="398" t="n"/>
      <c r="R308" s="113" t="n"/>
      <c r="S308" s="113" t="n"/>
      <c r="T308" s="113" t="n"/>
      <c r="U308" s="113" t="n"/>
      <c r="V308" s="113" t="n"/>
    </row>
    <row r="309" ht="15.75" customHeight="1">
      <c r="A309" s="146" t="n">
        <v>6</v>
      </c>
      <c r="B309" s="238" t="n"/>
      <c r="C309" s="399" t="n">
        <v>45846</v>
      </c>
      <c r="D309" s="146" t="inlineStr">
        <is>
          <t>218 G. SAN JOSE 1</t>
        </is>
      </c>
      <c r="E309" s="146" t="n">
        <v>42010</v>
      </c>
      <c r="F309" s="146" t="inlineStr">
        <is>
          <t>ALBERTO LOPEZ</t>
        </is>
      </c>
      <c r="G309" s="395" t="n">
        <v>3277</v>
      </c>
      <c r="H309" s="395" t="n">
        <v>3241</v>
      </c>
      <c r="I309" s="395" t="n">
        <v>4</v>
      </c>
      <c r="J309" s="395" t="n">
        <v>10</v>
      </c>
      <c r="K309" s="395" t="n">
        <v>22</v>
      </c>
      <c r="L309" s="397" t="n">
        <v>3277</v>
      </c>
      <c r="M309" s="146" t="inlineStr">
        <is>
          <t>FABIO ALDANA</t>
        </is>
      </c>
      <c r="N309" s="113" t="n"/>
      <c r="O309" s="113" t="n"/>
      <c r="P309" s="398" t="n"/>
      <c r="Q309" s="398" t="n"/>
      <c r="R309" s="113" t="n"/>
      <c r="S309" s="113" t="n"/>
      <c r="T309" s="113" t="n"/>
      <c r="U309" s="113" t="n"/>
      <c r="V309" s="113" t="n"/>
    </row>
    <row r="310" ht="15.75" customHeight="1">
      <c r="A310" s="146" t="n">
        <v>6</v>
      </c>
      <c r="B310" s="238" t="n"/>
      <c r="C310" s="399" t="n">
        <v>45846</v>
      </c>
      <c r="D310" s="146" t="inlineStr">
        <is>
          <t>218 G. SAN JOSE 1</t>
        </is>
      </c>
      <c r="E310" s="146" t="n">
        <v>42011</v>
      </c>
      <c r="F310" s="146" t="inlineStr">
        <is>
          <t>ALEX GOMEZ</t>
        </is>
      </c>
      <c r="G310" s="395" t="n">
        <v>3277</v>
      </c>
      <c r="H310" s="395" t="n">
        <v>3257</v>
      </c>
      <c r="I310" s="395" t="n">
        <v>2</v>
      </c>
      <c r="J310" s="395" t="n">
        <v>8</v>
      </c>
      <c r="K310" s="395" t="n">
        <v>10</v>
      </c>
      <c r="L310" s="397" t="n">
        <v>3277</v>
      </c>
      <c r="M310" s="146" t="inlineStr">
        <is>
          <t>ALEX GOMEZ</t>
        </is>
      </c>
      <c r="N310" s="113" t="n"/>
      <c r="O310" s="113" t="n"/>
      <c r="P310" s="398" t="n"/>
      <c r="Q310" s="398" t="n"/>
      <c r="R310" s="113" t="n"/>
      <c r="S310" s="113" t="n"/>
      <c r="T310" s="113" t="n"/>
      <c r="U310" s="113" t="n"/>
      <c r="V310" s="113" t="n"/>
    </row>
    <row r="311" ht="15.75" customHeight="1">
      <c r="A311" s="146" t="n">
        <v>6</v>
      </c>
      <c r="B311" s="238" t="n"/>
      <c r="C311" s="399" t="n">
        <v>45846</v>
      </c>
      <c r="D311" s="146" t="inlineStr">
        <is>
          <t>218 G. SAN JOSE 1</t>
        </is>
      </c>
      <c r="E311" s="146" t="n">
        <v>42012</v>
      </c>
      <c r="F311" s="146" t="inlineStr">
        <is>
          <t>JHON ARIAS</t>
        </is>
      </c>
      <c r="G311" s="395" t="n">
        <v>3277</v>
      </c>
      <c r="H311" s="395" t="n">
        <v>3258</v>
      </c>
      <c r="I311" s="395" t="n">
        <v>2</v>
      </c>
      <c r="J311" s="395" t="n">
        <v>9</v>
      </c>
      <c r="K311" s="395" t="n">
        <v>8</v>
      </c>
      <c r="L311" s="397" t="n">
        <v>1277</v>
      </c>
      <c r="M311" s="146" t="inlineStr">
        <is>
          <t>HENRY ROMERO</t>
        </is>
      </c>
      <c r="N311" s="113" t="n"/>
      <c r="O311" s="113" t="n"/>
      <c r="P311" s="398" t="n"/>
      <c r="Q311" s="398" t="n"/>
      <c r="R311" s="113" t="n"/>
      <c r="S311" s="113" t="n"/>
      <c r="T311" s="113" t="n"/>
      <c r="U311" s="113" t="n"/>
      <c r="V311" s="113" t="n"/>
    </row>
    <row r="312" ht="15.75" customHeight="1">
      <c r="A312" s="146" t="n">
        <v>6</v>
      </c>
      <c r="B312" s="238" t="n"/>
      <c r="C312" s="399" t="n">
        <v>45846</v>
      </c>
      <c r="D312" s="146" t="inlineStr">
        <is>
          <t>218 G. SAN JOSE 1</t>
        </is>
      </c>
      <c r="E312" s="146" t="n">
        <v>42013</v>
      </c>
      <c r="F312" s="146" t="inlineStr">
        <is>
          <t>FABIO ALDANA</t>
        </is>
      </c>
      <c r="G312" s="395" t="n">
        <v>3277</v>
      </c>
      <c r="H312" s="395" t="n">
        <v>3257</v>
      </c>
      <c r="I312" s="395" t="n">
        <v>2</v>
      </c>
      <c r="J312" s="395" t="n">
        <v>8</v>
      </c>
      <c r="K312" s="395" t="n">
        <v>10</v>
      </c>
      <c r="L312" s="397" t="n">
        <v>3277</v>
      </c>
      <c r="M312" s="146" t="inlineStr">
        <is>
          <t xml:space="preserve">YAIR RIVEROS </t>
        </is>
      </c>
      <c r="N312" s="113" t="n"/>
      <c r="O312" s="113" t="n"/>
      <c r="P312" s="398" t="n"/>
      <c r="Q312" s="398" t="n"/>
      <c r="R312" s="113" t="n"/>
      <c r="S312" s="113" t="n"/>
      <c r="T312" s="113" t="n"/>
      <c r="U312" s="113" t="n"/>
      <c r="V312" s="113" t="n"/>
    </row>
    <row r="313" ht="15.75" customHeight="1">
      <c r="A313" s="146" t="n">
        <v>6</v>
      </c>
      <c r="B313" s="238" t="n"/>
      <c r="C313" s="399" t="n">
        <v>45846</v>
      </c>
      <c r="D313" s="146" t="inlineStr">
        <is>
          <t>218 G. SAN JOSE 1</t>
        </is>
      </c>
      <c r="E313" s="146" t="n">
        <v>42014</v>
      </c>
      <c r="F313" s="146" t="inlineStr">
        <is>
          <t>DIEGO NIÑO</t>
        </is>
      </c>
      <c r="G313" s="395" t="n">
        <v>3277</v>
      </c>
      <c r="H313" s="395" t="n">
        <v>3257</v>
      </c>
      <c r="I313" s="395" t="n">
        <v>2</v>
      </c>
      <c r="J313" s="395" t="n">
        <v>5</v>
      </c>
      <c r="K313" s="395" t="n">
        <v>13</v>
      </c>
      <c r="L313" s="397" t="n">
        <v>3277</v>
      </c>
      <c r="M313" s="146" t="inlineStr">
        <is>
          <t xml:space="preserve">ALBERTO LOPEZ </t>
        </is>
      </c>
      <c r="N313" s="113" t="n"/>
      <c r="O313" s="113" t="n"/>
      <c r="P313" s="398" t="n"/>
      <c r="Q313" s="398" t="n"/>
      <c r="R313" s="113" t="n"/>
      <c r="S313" s="113" t="n"/>
      <c r="T313" s="113" t="n"/>
      <c r="U313" s="113" t="n"/>
      <c r="V313" s="113" t="n"/>
    </row>
    <row r="314" ht="15.75" customHeight="1">
      <c r="A314" s="146" t="n">
        <v>6</v>
      </c>
      <c r="B314" s="238" t="n"/>
      <c r="C314" s="399" t="n">
        <v>45846</v>
      </c>
      <c r="D314" s="146" t="inlineStr">
        <is>
          <t>218 G. SAN JOSE 1</t>
        </is>
      </c>
      <c r="E314" s="146" t="n">
        <v>42015</v>
      </c>
      <c r="F314" s="146" t="inlineStr">
        <is>
          <t>JHON AGUIRRE</t>
        </is>
      </c>
      <c r="G314" s="395" t="n">
        <v>3277</v>
      </c>
      <c r="H314" s="395" t="n">
        <v>3257</v>
      </c>
      <c r="I314" s="395" t="n">
        <v>1</v>
      </c>
      <c r="J314" s="395" t="n">
        <v>5</v>
      </c>
      <c r="K314" s="395" t="n">
        <v>14</v>
      </c>
      <c r="L314" s="397" t="n">
        <v>3277</v>
      </c>
      <c r="M314" s="146" t="inlineStr">
        <is>
          <t>JAIRO CUBUILLOS</t>
        </is>
      </c>
      <c r="N314" s="113" t="n"/>
      <c r="O314" s="113" t="n"/>
      <c r="P314" s="398" t="n"/>
      <c r="Q314" s="398" t="n"/>
      <c r="R314" s="113" t="n"/>
      <c r="S314" s="113" t="n"/>
      <c r="T314" s="113" t="n"/>
      <c r="U314" s="113" t="n"/>
      <c r="V314" s="113" t="n"/>
    </row>
    <row r="315" ht="15.75" customHeight="1">
      <c r="A315" s="146" t="n">
        <v>6</v>
      </c>
      <c r="B315" s="238" t="n"/>
      <c r="C315" s="399" t="n">
        <v>45846</v>
      </c>
      <c r="D315" s="146" t="inlineStr">
        <is>
          <t>218 G. SAN JOSE 1</t>
        </is>
      </c>
      <c r="E315" s="146" t="n">
        <v>42016</v>
      </c>
      <c r="F315" s="146" t="inlineStr">
        <is>
          <t>MANUEL QUITIAN</t>
        </is>
      </c>
      <c r="G315" s="395" t="n">
        <v>3277</v>
      </c>
      <c r="H315" s="395" t="n">
        <v>3257</v>
      </c>
      <c r="I315" s="395" t="n">
        <v>1</v>
      </c>
      <c r="J315" s="395" t="n">
        <v>10</v>
      </c>
      <c r="K315" s="395" t="n">
        <v>9</v>
      </c>
      <c r="L315" s="397" t="n">
        <v>3277</v>
      </c>
      <c r="M315" s="146" t="inlineStr">
        <is>
          <t>JOSE HERRERA</t>
        </is>
      </c>
      <c r="N315" s="113" t="n"/>
      <c r="O315" s="113" t="n"/>
      <c r="P315" s="398" t="n"/>
      <c r="Q315" s="398" t="n"/>
      <c r="R315" s="113" t="n"/>
      <c r="S315" s="113" t="n"/>
      <c r="T315" s="113" t="n"/>
      <c r="U315" s="113" t="n"/>
      <c r="V315" s="113" t="n"/>
    </row>
    <row r="316" ht="15.75" customHeight="1">
      <c r="A316" s="146" t="n">
        <v>6</v>
      </c>
      <c r="B316" s="238" t="n"/>
      <c r="C316" s="399" t="n">
        <v>45847</v>
      </c>
      <c r="D316" s="146" t="inlineStr">
        <is>
          <t>218 G. SAN JOSE 1</t>
        </is>
      </c>
      <c r="E316" s="146" t="n">
        <v>42023</v>
      </c>
      <c r="F316" s="146" t="inlineStr">
        <is>
          <t>EDUAN CAVIEDES</t>
        </is>
      </c>
      <c r="G316" s="395" t="n">
        <v>3340</v>
      </c>
      <c r="H316" s="395" t="n">
        <v>3325</v>
      </c>
      <c r="I316" s="395" t="n">
        <v>3</v>
      </c>
      <c r="J316" s="395" t="n">
        <v>12</v>
      </c>
      <c r="K316" s="395" t="n">
        <v>0</v>
      </c>
      <c r="L316" s="397" t="n">
        <v>2916</v>
      </c>
      <c r="M316" s="146" t="inlineStr">
        <is>
          <t>EDWIN ROJAS</t>
        </is>
      </c>
      <c r="N316" s="113" t="n"/>
      <c r="O316" s="113" t="n"/>
      <c r="P316" s="398" t="n"/>
      <c r="Q316" s="398" t="n"/>
      <c r="R316" s="113" t="n"/>
      <c r="S316" s="113" t="n"/>
      <c r="T316" s="113" t="n"/>
      <c r="U316" s="113" t="n"/>
      <c r="V316" s="113" t="n"/>
    </row>
    <row r="317" ht="15.75" customHeight="1">
      <c r="A317" s="146" t="n">
        <v>6</v>
      </c>
      <c r="B317" s="238" t="n"/>
      <c r="C317" s="399" t="n">
        <v>45847</v>
      </c>
      <c r="D317" s="146" t="inlineStr">
        <is>
          <t>218 G. SAN JOSE 1</t>
        </is>
      </c>
      <c r="E317" s="146" t="n">
        <v>42024</v>
      </c>
      <c r="F317" s="146" t="inlineStr">
        <is>
          <t>DIEGO NIÑO</t>
        </is>
      </c>
      <c r="G317" s="395" t="n">
        <v>3470</v>
      </c>
      <c r="H317" s="395" t="n">
        <v>3455</v>
      </c>
      <c r="I317" s="395" t="n">
        <v>3</v>
      </c>
      <c r="J317" s="395" t="n">
        <v>13</v>
      </c>
      <c r="K317" s="395" t="n">
        <v>-1</v>
      </c>
      <c r="L317" s="397" t="n">
        <v>2916</v>
      </c>
      <c r="M317" s="146" t="inlineStr">
        <is>
          <t>JHON AGUIRRE</t>
        </is>
      </c>
      <c r="N317" s="113" t="n"/>
      <c r="O317" s="113" t="n"/>
      <c r="P317" s="398" t="n"/>
      <c r="Q317" s="398" t="n"/>
      <c r="R317" s="113" t="n"/>
      <c r="S317" s="113" t="n"/>
      <c r="T317" s="113" t="n"/>
      <c r="U317" s="113" t="n"/>
      <c r="V317" s="113" t="n"/>
    </row>
    <row r="318" ht="15.75" customHeight="1">
      <c r="A318" s="146" t="n">
        <v>6</v>
      </c>
      <c r="B318" s="238" t="n"/>
      <c r="C318" s="399" t="n">
        <v>45848</v>
      </c>
      <c r="D318" s="146" t="inlineStr">
        <is>
          <t>218 G. SAN JOSE 1</t>
        </is>
      </c>
      <c r="E318" s="146" t="n">
        <v>42046</v>
      </c>
      <c r="F318" s="146" t="inlineStr">
        <is>
          <t>MANUEL QUITIAN</t>
        </is>
      </c>
      <c r="G318" s="395" t="n">
        <v>2787</v>
      </c>
      <c r="H318" s="395" t="n">
        <v>2769</v>
      </c>
      <c r="I318" s="395" t="n">
        <v>4</v>
      </c>
      <c r="J318" s="395" t="n">
        <v>4</v>
      </c>
      <c r="K318" s="395" t="n">
        <v>10</v>
      </c>
      <c r="L318" s="397" t="n">
        <v>2916</v>
      </c>
      <c r="M318" s="146" t="inlineStr">
        <is>
          <t>JHON ARIAS</t>
        </is>
      </c>
      <c r="N318" s="113" t="n"/>
      <c r="O318" s="113" t="n"/>
      <c r="P318" s="398" t="n"/>
      <c r="Q318" s="398" t="n"/>
      <c r="R318" s="113" t="n"/>
      <c r="S318" s="113" t="n"/>
      <c r="T318" s="113" t="n"/>
      <c r="U318" s="113" t="n"/>
      <c r="V318" s="113" t="n"/>
    </row>
    <row r="319" ht="15.75" customHeight="1">
      <c r="A319" s="146" t="n">
        <v>6</v>
      </c>
      <c r="B319" s="238" t="n"/>
      <c r="C319" s="399" t="n">
        <v>45848</v>
      </c>
      <c r="D319" s="146" t="inlineStr">
        <is>
          <t>218 G. SAN JOSE 1</t>
        </is>
      </c>
      <c r="E319" s="146" t="n">
        <v>42047</v>
      </c>
      <c r="F319" s="146" t="inlineStr">
        <is>
          <t>ALBERTO HERRERA</t>
        </is>
      </c>
      <c r="G319" s="395" t="n">
        <v>2787</v>
      </c>
      <c r="H319" s="395" t="n">
        <v>2768</v>
      </c>
      <c r="I319" s="395" t="n">
        <v>6</v>
      </c>
      <c r="J319" s="395" t="n">
        <v>4</v>
      </c>
      <c r="K319" s="395" t="n">
        <v>9</v>
      </c>
      <c r="L319" s="397" t="n">
        <v>2916</v>
      </c>
      <c r="M319" s="146" t="inlineStr">
        <is>
          <t xml:space="preserve">HENRY ROMERO </t>
        </is>
      </c>
      <c r="N319" s="113" t="n"/>
      <c r="O319" s="113" t="n"/>
      <c r="P319" s="398" t="n"/>
      <c r="Q319" s="398" t="n"/>
      <c r="R319" s="113" t="n"/>
      <c r="S319" s="113" t="n"/>
      <c r="T319" s="113" t="n"/>
      <c r="U319" s="113" t="n"/>
      <c r="V319" s="113" t="n"/>
    </row>
    <row r="320" ht="15.75" customHeight="1">
      <c r="A320" s="146" t="n">
        <v>6</v>
      </c>
      <c r="B320" s="238" t="n"/>
      <c r="C320" s="399" t="n">
        <v>45849</v>
      </c>
      <c r="D320" s="146" t="inlineStr">
        <is>
          <t>218 G. SAN JOSE 1</t>
        </is>
      </c>
      <c r="E320" s="146" t="n">
        <v>42054</v>
      </c>
      <c r="F320" s="146" t="inlineStr">
        <is>
          <t>EDWIN ROJAS</t>
        </is>
      </c>
      <c r="G320" s="395" t="n">
        <v>2700</v>
      </c>
      <c r="H320" s="395" t="n">
        <v>2683</v>
      </c>
      <c r="I320" s="395" t="n">
        <v>5</v>
      </c>
      <c r="J320" s="395" t="n">
        <v>28</v>
      </c>
      <c r="K320" s="395" t="n">
        <v>-16</v>
      </c>
      <c r="L320" s="397" t="n">
        <v>3240</v>
      </c>
      <c r="M320" s="146" t="inlineStr">
        <is>
          <t xml:space="preserve">MANUEL QUITIAN </t>
        </is>
      </c>
      <c r="N320" s="113" t="n"/>
      <c r="O320" s="113" t="n"/>
      <c r="P320" s="398" t="n"/>
      <c r="Q320" s="398" t="n"/>
      <c r="R320" s="113" t="n"/>
      <c r="S320" s="113" t="n"/>
      <c r="T320" s="113" t="n"/>
      <c r="U320" s="113" t="n"/>
      <c r="V320" s="113" t="n"/>
    </row>
    <row r="321" ht="15.75" customHeight="1">
      <c r="A321" s="146" t="n">
        <v>6</v>
      </c>
      <c r="B321" s="238" t="n"/>
      <c r="C321" s="399" t="n">
        <v>45849</v>
      </c>
      <c r="D321" s="146" t="inlineStr">
        <is>
          <t>218 G. SAN JOSE 1</t>
        </is>
      </c>
      <c r="E321" s="146" t="n">
        <v>42055</v>
      </c>
      <c r="F321" s="146" t="inlineStr">
        <is>
          <t>JHON ROJAS</t>
        </is>
      </c>
      <c r="G321" s="395" t="n">
        <v>2667</v>
      </c>
      <c r="H321" s="395" t="n">
        <v>2661</v>
      </c>
      <c r="I321" s="395" t="n">
        <v>1</v>
      </c>
      <c r="J321" s="395" t="n">
        <v>11</v>
      </c>
      <c r="K321" s="395" t="n">
        <v>-6</v>
      </c>
      <c r="L321" s="397" t="n">
        <v>3050</v>
      </c>
      <c r="M321" s="146" t="inlineStr">
        <is>
          <t xml:space="preserve">YAIR RIVEROS </t>
        </is>
      </c>
      <c r="N321" s="113" t="n"/>
      <c r="O321" s="113" t="n"/>
      <c r="P321" s="398" t="n"/>
      <c r="Q321" s="398" t="n"/>
      <c r="R321" s="113" t="n"/>
      <c r="S321" s="113" t="n"/>
      <c r="T321" s="113" t="n"/>
      <c r="U321" s="113" t="n"/>
      <c r="V321" s="113" t="n"/>
    </row>
    <row r="322" ht="15.75" customHeight="1">
      <c r="A322" s="146" t="n">
        <v>6</v>
      </c>
      <c r="B322" s="238" t="n"/>
      <c r="C322" s="399" t="n">
        <v>45849</v>
      </c>
      <c r="D322" s="146" t="inlineStr">
        <is>
          <t>218 G. SAN JOSE 1</t>
        </is>
      </c>
      <c r="E322" s="146" t="n">
        <v>42056</v>
      </c>
      <c r="F322" s="146" t="inlineStr">
        <is>
          <t>HENRY ROMERO</t>
        </is>
      </c>
      <c r="G322" s="395" t="n">
        <v>2667</v>
      </c>
      <c r="H322" s="395" t="n">
        <v>2654</v>
      </c>
      <c r="I322" s="395" t="n">
        <v>2</v>
      </c>
      <c r="J322" s="395" t="n">
        <v>16</v>
      </c>
      <c r="K322" s="395" t="n">
        <v>-5</v>
      </c>
      <c r="L322" s="397" t="n">
        <v>3340</v>
      </c>
      <c r="M322" s="146" t="inlineStr">
        <is>
          <t>EDUAN CAVIEDEZ</t>
        </is>
      </c>
      <c r="N322" s="113" t="n"/>
      <c r="O322" s="113" t="n"/>
      <c r="P322" s="398" t="n"/>
      <c r="Q322" s="398" t="n"/>
      <c r="R322" s="113" t="n"/>
      <c r="S322" s="113" t="n"/>
      <c r="T322" s="113" t="n"/>
      <c r="U322" s="113" t="n"/>
      <c r="V322" s="113" t="n"/>
    </row>
    <row r="323" ht="15.75" customHeight="1">
      <c r="A323" s="146" t="n">
        <v>6</v>
      </c>
      <c r="B323" s="238" t="n"/>
      <c r="C323" s="399" t="n">
        <v>45849</v>
      </c>
      <c r="D323" s="146" t="inlineStr">
        <is>
          <t>218 G. SAN JOSE 1</t>
        </is>
      </c>
      <c r="E323" s="146" t="n">
        <v>42057</v>
      </c>
      <c r="F323" s="146" t="inlineStr">
        <is>
          <t>MANUEL QUITIAN</t>
        </is>
      </c>
      <c r="G323" s="395" t="n">
        <v>2667</v>
      </c>
      <c r="H323" s="395" t="n">
        <v>2660</v>
      </c>
      <c r="I323" s="395" t="n">
        <v>2</v>
      </c>
      <c r="J323" s="395" t="n">
        <v>10</v>
      </c>
      <c r="K323" s="395" t="n">
        <v>-5</v>
      </c>
      <c r="L323" s="397" t="n">
        <v>3470</v>
      </c>
      <c r="M323" s="146" t="inlineStr">
        <is>
          <t>DIEGO NIÑO</t>
        </is>
      </c>
      <c r="N323" s="113" t="n"/>
      <c r="O323" s="113" t="n"/>
      <c r="P323" s="398" t="n"/>
      <c r="Q323" s="398" t="n"/>
      <c r="R323" s="113" t="n"/>
      <c r="S323" s="113" t="n"/>
      <c r="T323" s="113" t="n"/>
      <c r="U323" s="113" t="n"/>
      <c r="V323" s="113" t="n"/>
    </row>
    <row r="324" ht="15.75" customHeight="1">
      <c r="A324" s="146" t="n">
        <v>6</v>
      </c>
      <c r="B324" s="238" t="n"/>
      <c r="C324" s="399" t="n">
        <v>45849</v>
      </c>
      <c r="D324" s="146" t="inlineStr">
        <is>
          <t>218 G. SAN JOSE 1</t>
        </is>
      </c>
      <c r="E324" s="146" t="n">
        <v>42060</v>
      </c>
      <c r="F324" s="146" t="inlineStr">
        <is>
          <t>ALBERTO HERRERA</t>
        </is>
      </c>
      <c r="G324" s="395" t="n">
        <v>3240</v>
      </c>
      <c r="H324" s="395" t="n">
        <v>3160</v>
      </c>
      <c r="I324" s="395" t="n">
        <v>1</v>
      </c>
      <c r="J324" s="395" t="n">
        <v>71</v>
      </c>
      <c r="K324" s="395" t="n">
        <v>8</v>
      </c>
      <c r="L324" s="397" t="n">
        <v>2816</v>
      </c>
      <c r="M324" s="146" t="inlineStr">
        <is>
          <t xml:space="preserve">ALBERTO HERRERA </t>
        </is>
      </c>
      <c r="N324" s="113" t="n"/>
      <c r="O324" s="113" t="n"/>
      <c r="P324" s="398" t="n"/>
      <c r="Q324" s="398" t="n"/>
      <c r="R324" s="113" t="n"/>
      <c r="S324" s="113" t="n"/>
      <c r="T324" s="113" t="n"/>
      <c r="U324" s="113" t="n"/>
      <c r="V324" s="113" t="n"/>
    </row>
    <row r="325" ht="15.75" customHeight="1">
      <c r="A325" s="146" t="n">
        <v>6</v>
      </c>
      <c r="B325" s="238" t="n"/>
      <c r="C325" s="399" t="n">
        <v>45849</v>
      </c>
      <c r="D325" s="146" t="inlineStr">
        <is>
          <t>218 G. SAN JOSE 1</t>
        </is>
      </c>
      <c r="E325" s="146" t="n">
        <v>42062</v>
      </c>
      <c r="F325" s="146" t="inlineStr">
        <is>
          <t>FABIO ALDANA</t>
        </is>
      </c>
      <c r="G325" s="395" t="n">
        <v>3240</v>
      </c>
      <c r="H325" s="395" t="n">
        <v>3226</v>
      </c>
      <c r="I325" s="395" t="n">
        <v>1</v>
      </c>
      <c r="J325" s="395" t="n">
        <v>10</v>
      </c>
      <c r="K325" s="395" t="n">
        <v>3</v>
      </c>
      <c r="L325" s="397" t="n">
        <v>2816</v>
      </c>
      <c r="M325" s="146" t="inlineStr">
        <is>
          <t xml:space="preserve">FABIO ALDANA </t>
        </is>
      </c>
      <c r="N325" s="113" t="n"/>
      <c r="O325" s="113" t="n"/>
      <c r="P325" s="398" t="n"/>
      <c r="Q325" s="398" t="n"/>
      <c r="R325" s="113" t="n"/>
      <c r="S325" s="113" t="n"/>
      <c r="T325" s="113" t="n"/>
      <c r="U325" s="113" t="n"/>
      <c r="V325" s="113" t="n"/>
    </row>
    <row r="326" ht="15.75" customHeight="1">
      <c r="A326" s="146" t="n">
        <v>6</v>
      </c>
      <c r="B326" s="238" t="n"/>
      <c r="C326" s="399" t="n">
        <v>45849</v>
      </c>
      <c r="D326" s="146" t="inlineStr">
        <is>
          <t>218 G. SAN JOSE 1</t>
        </is>
      </c>
      <c r="E326" s="146" t="n">
        <v>42064</v>
      </c>
      <c r="F326" s="146" t="inlineStr">
        <is>
          <t>DUMAR ANGARITA</t>
        </is>
      </c>
      <c r="G326" s="395" t="n">
        <v>3240</v>
      </c>
      <c r="H326" s="395" t="n">
        <v>3225</v>
      </c>
      <c r="I326" s="395" t="n">
        <v>3</v>
      </c>
      <c r="J326" s="395" t="n">
        <v>11</v>
      </c>
      <c r="K326" s="395" t="n">
        <v>1</v>
      </c>
      <c r="L326" s="397" t="n">
        <v>2816</v>
      </c>
      <c r="M326" s="146" t="inlineStr">
        <is>
          <t xml:space="preserve">JAIRO CUBILLOS </t>
        </is>
      </c>
      <c r="N326" s="113" t="n"/>
      <c r="O326" s="113" t="n"/>
      <c r="P326" s="398" t="n"/>
      <c r="Q326" s="398" t="n"/>
      <c r="R326" s="113" t="n"/>
      <c r="S326" s="113" t="n"/>
      <c r="T326" s="113" t="n"/>
      <c r="U326" s="113" t="n"/>
      <c r="V326" s="113" t="n"/>
    </row>
    <row r="327" ht="15.75" customHeight="1">
      <c r="A327" s="146" t="n">
        <v>6</v>
      </c>
      <c r="B327" s="238" t="n"/>
      <c r="C327" s="399" t="n">
        <v>45849</v>
      </c>
      <c r="D327" s="146" t="inlineStr">
        <is>
          <t>200 G. GARCERAS</t>
        </is>
      </c>
      <c r="E327" s="146" t="n">
        <v>42065</v>
      </c>
      <c r="F327" s="146" t="inlineStr">
        <is>
          <t>JAIRO CUBILLOS</t>
        </is>
      </c>
      <c r="G327" s="395" t="n">
        <v>3097</v>
      </c>
      <c r="H327" s="395" t="n">
        <v>3064</v>
      </c>
      <c r="I327" s="395" t="n">
        <v>1</v>
      </c>
      <c r="J327" s="395" t="n">
        <v>10</v>
      </c>
      <c r="K327" s="395" t="n">
        <v>22</v>
      </c>
      <c r="L327" s="397" t="n">
        <v>2728</v>
      </c>
      <c r="M327" s="146" t="inlineStr">
        <is>
          <t xml:space="preserve">ALEX GOMEZ </t>
        </is>
      </c>
      <c r="N327" s="113" t="n"/>
      <c r="O327" s="113" t="n"/>
      <c r="P327" s="398" t="n"/>
      <c r="Q327" s="398" t="n"/>
      <c r="R327" s="113" t="n"/>
      <c r="S327" s="113" t="n"/>
      <c r="T327" s="113" t="n"/>
      <c r="U327" s="113" t="n"/>
      <c r="V327" s="113" t="n"/>
    </row>
    <row r="328" ht="15.75" customHeight="1">
      <c r="A328" s="146" t="n">
        <v>6</v>
      </c>
      <c r="B328" s="238" t="n"/>
      <c r="C328" s="399" t="n">
        <v>45849</v>
      </c>
      <c r="D328" s="146" t="inlineStr">
        <is>
          <t>200 G. GARCERAS</t>
        </is>
      </c>
      <c r="E328" s="146" t="n">
        <v>42066</v>
      </c>
      <c r="F328" s="146" t="inlineStr">
        <is>
          <t>ALBERTO CUBILLOS</t>
        </is>
      </c>
      <c r="G328" s="395" t="n">
        <v>3097</v>
      </c>
      <c r="H328" s="395" t="n">
        <v>3084</v>
      </c>
      <c r="I328" s="395" t="n">
        <v>1</v>
      </c>
      <c r="J328" s="395" t="n">
        <v>6</v>
      </c>
      <c r="K328" s="395" t="n">
        <v>6</v>
      </c>
      <c r="L328" s="397" t="n">
        <v>2692</v>
      </c>
      <c r="M328" s="146" t="inlineStr">
        <is>
          <t xml:space="preserve">ALBERTO LOPEZ </t>
        </is>
      </c>
      <c r="N328" s="113" t="n"/>
      <c r="O328" s="113" t="n"/>
      <c r="P328" s="398" t="n"/>
      <c r="Q328" s="398" t="n"/>
      <c r="R328" s="113" t="n"/>
      <c r="S328" s="113" t="n"/>
      <c r="T328" s="113" t="n"/>
      <c r="U328" s="113" t="n"/>
      <c r="V328" s="113" t="n"/>
    </row>
    <row r="329" ht="15.75" customHeight="1">
      <c r="A329" s="146" t="n">
        <v>6</v>
      </c>
      <c r="B329" s="238" t="n"/>
      <c r="C329" s="399" t="n">
        <v>45850</v>
      </c>
      <c r="D329" s="146" t="inlineStr">
        <is>
          <t>218 G. SAN JOSE 1</t>
        </is>
      </c>
      <c r="E329" s="146" t="n">
        <v>42072</v>
      </c>
      <c r="F329" s="146" t="inlineStr">
        <is>
          <t>JHON AGUIRRE</t>
        </is>
      </c>
      <c r="G329" s="395" t="n">
        <v>3240</v>
      </c>
      <c r="H329" s="395" t="n">
        <v>3230</v>
      </c>
      <c r="I329" s="395" t="n">
        <v>3</v>
      </c>
      <c r="J329" s="395" t="n">
        <v>10</v>
      </c>
      <c r="K329" s="395" t="n">
        <v>-3</v>
      </c>
      <c r="L329" s="397" t="n">
        <v>2692</v>
      </c>
      <c r="M329" s="146" t="inlineStr">
        <is>
          <t>FERNANDO OYUELA</t>
        </is>
      </c>
      <c r="N329" s="113" t="n"/>
      <c r="O329" s="113" t="n"/>
      <c r="P329" s="398" t="n"/>
      <c r="Q329" s="398" t="n"/>
      <c r="R329" s="113" t="n"/>
      <c r="S329" s="113" t="n"/>
      <c r="T329" s="113" t="n"/>
      <c r="U329" s="113" t="n"/>
      <c r="V329" s="113" t="n"/>
    </row>
    <row r="330" ht="15.75" customHeight="1">
      <c r="A330" s="146" t="n">
        <v>6</v>
      </c>
      <c r="B330" s="238" t="n"/>
      <c r="C330" s="399" t="n">
        <v>45850</v>
      </c>
      <c r="D330" s="146" t="inlineStr">
        <is>
          <t>218 G. SAN JOSE 1</t>
        </is>
      </c>
      <c r="E330" s="146" t="n">
        <v>42073</v>
      </c>
      <c r="F330" s="146" t="inlineStr">
        <is>
          <t>FABIO ALDANA</t>
        </is>
      </c>
      <c r="G330" s="395" t="n">
        <v>3240</v>
      </c>
      <c r="H330" s="395" t="n">
        <v>3233</v>
      </c>
      <c r="I330" s="395" t="n">
        <v>4</v>
      </c>
      <c r="J330" s="395" t="n">
        <v>7</v>
      </c>
      <c r="K330" s="395" t="n">
        <v>-4</v>
      </c>
      <c r="L330" s="397" t="n">
        <v>2692</v>
      </c>
      <c r="M330" s="146" t="inlineStr">
        <is>
          <t xml:space="preserve">DUMAR ANGARITA </t>
        </is>
      </c>
      <c r="N330" s="113" t="n"/>
      <c r="O330" s="113" t="n"/>
      <c r="P330" s="398" t="n"/>
      <c r="Q330" s="398" t="n"/>
      <c r="R330" s="113" t="n"/>
      <c r="S330" s="113" t="n"/>
      <c r="T330" s="113" t="n"/>
      <c r="U330" s="113" t="n"/>
      <c r="V330" s="113" t="n"/>
    </row>
    <row r="331" ht="15.75" customHeight="1">
      <c r="A331" s="146" t="n">
        <v>6</v>
      </c>
      <c r="B331" s="238" t="n"/>
      <c r="C331" s="399" t="n">
        <v>45850</v>
      </c>
      <c r="D331" s="146" t="inlineStr">
        <is>
          <t>218 G. SAN JOSE 1</t>
        </is>
      </c>
      <c r="E331" s="146" t="n">
        <v>42074</v>
      </c>
      <c r="F331" s="146" t="inlineStr">
        <is>
          <t>JAIRO CUBILLOS</t>
        </is>
      </c>
      <c r="G331" s="395" t="n">
        <v>2340</v>
      </c>
      <c r="H331" s="395" t="n">
        <v>2325</v>
      </c>
      <c r="I331" s="395" t="n">
        <v>3</v>
      </c>
      <c r="J331" s="395" t="n">
        <v>18</v>
      </c>
      <c r="K331" s="395" t="n">
        <v>-6</v>
      </c>
      <c r="L331" s="397" t="n">
        <v>2787</v>
      </c>
      <c r="M331" s="146" t="inlineStr">
        <is>
          <t xml:space="preserve">MANUEL QUITIAN </t>
        </is>
      </c>
      <c r="N331" s="113" t="n"/>
      <c r="O331" s="113" t="n"/>
      <c r="P331" s="398" t="n"/>
      <c r="Q331" s="398" t="n"/>
      <c r="R331" s="113" t="n"/>
      <c r="S331" s="113" t="n"/>
      <c r="T331" s="113" t="n"/>
      <c r="U331" s="113" t="n"/>
      <c r="V331" s="113" t="n"/>
    </row>
    <row r="332" ht="15.75" customHeight="1">
      <c r="A332" s="146" t="n">
        <v>6</v>
      </c>
      <c r="B332" s="238" t="n"/>
      <c r="C332" s="399" t="n">
        <v>45847</v>
      </c>
      <c r="D332" s="146" t="inlineStr">
        <is>
          <t>202 G. HUERTAS-LA MANIGUA</t>
        </is>
      </c>
      <c r="E332" s="146" t="n">
        <v>42017</v>
      </c>
      <c r="F332" s="146" t="inlineStr">
        <is>
          <t>EDWIN ROJAS</t>
        </is>
      </c>
      <c r="G332" s="395" t="n">
        <v>2916</v>
      </c>
      <c r="H332" s="395" t="n">
        <v>2898</v>
      </c>
      <c r="I332" s="395" t="n">
        <v>2</v>
      </c>
      <c r="J332" s="395" t="n">
        <v>17</v>
      </c>
      <c r="K332" s="395" t="n">
        <v>-1</v>
      </c>
      <c r="L332" s="397" t="n">
        <v>2787</v>
      </c>
      <c r="M332" s="146" t="inlineStr">
        <is>
          <t xml:space="preserve">ALBERTO HERRERA </t>
        </is>
      </c>
      <c r="N332" s="113" t="n"/>
      <c r="O332" s="113" t="n"/>
      <c r="P332" s="398" t="n"/>
      <c r="Q332" s="398" t="n"/>
      <c r="R332" s="113" t="n"/>
      <c r="S332" s="113" t="n"/>
      <c r="T332" s="113" t="n"/>
      <c r="U332" s="113" t="n"/>
      <c r="V332" s="113" t="n"/>
    </row>
    <row r="333" ht="15.75" customHeight="1">
      <c r="A333" s="146" t="n">
        <v>6</v>
      </c>
      <c r="B333" s="238" t="n"/>
      <c r="C333" s="399" t="n">
        <v>45847</v>
      </c>
      <c r="D333" s="146" t="inlineStr">
        <is>
          <t>202 G. HUERTAS-LA MANIGUA</t>
        </is>
      </c>
      <c r="E333" s="146" t="n">
        <v>42018</v>
      </c>
      <c r="F333" s="146" t="inlineStr">
        <is>
          <t>JHON AGUIRRE</t>
        </is>
      </c>
      <c r="G333" s="395" t="n">
        <v>2916</v>
      </c>
      <c r="H333" s="395" t="n">
        <v>2897</v>
      </c>
      <c r="I333" s="395" t="n">
        <v>2</v>
      </c>
      <c r="J333" s="395" t="n">
        <v>18</v>
      </c>
      <c r="K333" s="395" t="n">
        <v>-1</v>
      </c>
      <c r="L333" s="397" t="n">
        <v>2700</v>
      </c>
      <c r="M333" s="146" t="inlineStr">
        <is>
          <t xml:space="preserve">EDWIN ROJAS </t>
        </is>
      </c>
      <c r="N333" s="113" t="n"/>
      <c r="O333" s="113" t="n"/>
      <c r="P333" s="398" t="n"/>
      <c r="Q333" s="398" t="n"/>
      <c r="R333" s="113" t="n"/>
      <c r="S333" s="113" t="n"/>
      <c r="T333" s="113" t="n"/>
      <c r="U333" s="113" t="n"/>
      <c r="V333" s="113" t="n"/>
    </row>
    <row r="334" ht="15.75" customHeight="1">
      <c r="A334" s="146" t="n">
        <v>6</v>
      </c>
      <c r="B334" s="238" t="n"/>
      <c r="C334" s="399" t="n">
        <v>45847</v>
      </c>
      <c r="D334" s="146" t="inlineStr">
        <is>
          <t>202 G. HUERTAS-LA MANIGUA</t>
        </is>
      </c>
      <c r="E334" s="146" t="n">
        <v>42019</v>
      </c>
      <c r="F334" s="146" t="inlineStr">
        <is>
          <t>JHON ARIAS</t>
        </is>
      </c>
      <c r="G334" s="395" t="n">
        <v>2916</v>
      </c>
      <c r="H334" s="395" t="n">
        <v>2900</v>
      </c>
      <c r="I334" s="395" t="n">
        <v>1</v>
      </c>
      <c r="J334" s="395" t="n">
        <v>16</v>
      </c>
      <c r="K334" s="395" t="n">
        <v>-1</v>
      </c>
      <c r="L334" s="397" t="n">
        <v>2667</v>
      </c>
      <c r="M334" s="146" t="inlineStr">
        <is>
          <t xml:space="preserve">MANUEL QUITIAN </t>
        </is>
      </c>
      <c r="N334" s="113" t="n"/>
      <c r="O334" s="113" t="n"/>
      <c r="P334" s="398" t="n"/>
      <c r="Q334" s="398" t="n"/>
      <c r="R334" s="113" t="n"/>
      <c r="S334" s="113" t="n"/>
      <c r="T334" s="113" t="n"/>
      <c r="U334" s="113" t="n"/>
      <c r="V334" s="113" t="n"/>
    </row>
    <row r="335" ht="15.75" customHeight="1">
      <c r="A335" s="146" t="n">
        <v>6</v>
      </c>
      <c r="B335" s="238" t="n"/>
      <c r="C335" s="399" t="n">
        <v>45847</v>
      </c>
      <c r="D335" s="146" t="inlineStr">
        <is>
          <t>202 G. HUERTAS-LA MANIGUA</t>
        </is>
      </c>
      <c r="E335" s="146" t="n">
        <v>42020</v>
      </c>
      <c r="F335" s="146" t="inlineStr">
        <is>
          <t>HENRY ROMERO</t>
        </is>
      </c>
      <c r="G335" s="395" t="n">
        <v>2916</v>
      </c>
      <c r="H335" s="395" t="n">
        <v>2873</v>
      </c>
      <c r="I335" s="395" t="n">
        <v>3</v>
      </c>
      <c r="J335" s="395" t="n">
        <v>40</v>
      </c>
      <c r="K335" s="395" t="n">
        <v>0</v>
      </c>
      <c r="L335" s="397" t="n">
        <v>2667</v>
      </c>
      <c r="M335" s="146" t="inlineStr">
        <is>
          <t>HENRY ROMERO</t>
        </is>
      </c>
      <c r="N335" s="113" t="n"/>
      <c r="O335" s="113" t="n"/>
      <c r="P335" s="398" t="n"/>
      <c r="Q335" s="398" t="n"/>
      <c r="R335" s="113" t="n"/>
      <c r="S335" s="113" t="n"/>
      <c r="T335" s="113" t="n"/>
      <c r="U335" s="113" t="n"/>
      <c r="V335" s="113" t="n"/>
    </row>
    <row r="336" ht="15.75" customHeight="1">
      <c r="A336" s="146" t="n">
        <v>6</v>
      </c>
      <c r="B336" s="238" t="n"/>
      <c r="C336" s="399" t="n">
        <v>45847</v>
      </c>
      <c r="D336" s="146" t="inlineStr">
        <is>
          <t>202 G. HUERTAS-LA MANIGUA</t>
        </is>
      </c>
      <c r="E336" s="146" t="n">
        <v>42021</v>
      </c>
      <c r="F336" s="146" t="inlineStr">
        <is>
          <t>MANUEL QUITIAN</t>
        </is>
      </c>
      <c r="G336" s="395" t="n">
        <v>3240</v>
      </c>
      <c r="H336" s="395" t="n">
        <v>3193</v>
      </c>
      <c r="I336" s="395" t="n">
        <v>3</v>
      </c>
      <c r="J336" s="395" t="n">
        <v>42</v>
      </c>
      <c r="K336" s="395" t="n">
        <v>2</v>
      </c>
      <c r="L336" s="397" t="n">
        <v>2667</v>
      </c>
      <c r="M336" s="146" t="inlineStr">
        <is>
          <t xml:space="preserve">JHON ARIAS </t>
        </is>
      </c>
      <c r="N336" s="113" t="n"/>
      <c r="O336" s="113" t="n"/>
      <c r="P336" s="398" t="n"/>
      <c r="Q336" s="398" t="n"/>
      <c r="R336" s="113" t="n"/>
      <c r="S336" s="113" t="n"/>
      <c r="T336" s="113" t="n"/>
      <c r="U336" s="113" t="n"/>
      <c r="V336" s="113" t="n"/>
    </row>
    <row r="337" ht="15.75" customHeight="1">
      <c r="A337" s="146" t="n">
        <v>6</v>
      </c>
      <c r="B337" s="238" t="n"/>
      <c r="C337" s="399" t="n">
        <v>45847</v>
      </c>
      <c r="D337" s="146" t="inlineStr">
        <is>
          <t>202 G. HUERTAS-LA MANIGUA</t>
        </is>
      </c>
      <c r="E337" s="146" t="n">
        <v>42022</v>
      </c>
      <c r="F337" s="146" t="inlineStr">
        <is>
          <t>YAIR RIVEROS</t>
        </is>
      </c>
      <c r="G337" s="395" t="n">
        <v>3050</v>
      </c>
      <c r="H337" s="395" t="n">
        <v>3004</v>
      </c>
      <c r="I337" s="395" t="n">
        <v>3</v>
      </c>
      <c r="J337" s="395" t="n">
        <v>43</v>
      </c>
      <c r="K337" s="395" t="n">
        <v>0</v>
      </c>
      <c r="L337" s="397" t="n">
        <v>3240</v>
      </c>
      <c r="M337" s="146" t="inlineStr">
        <is>
          <t xml:space="preserve">JOSE HERRERA </t>
        </is>
      </c>
      <c r="N337" s="113" t="n"/>
      <c r="O337" s="113" t="n"/>
      <c r="P337" s="398" t="n"/>
      <c r="Q337" s="398" t="n"/>
      <c r="R337" s="113" t="n"/>
      <c r="S337" s="113" t="n"/>
      <c r="T337" s="113" t="n"/>
      <c r="U337" s="113" t="n"/>
      <c r="V337" s="113" t="n"/>
    </row>
    <row r="338" ht="15.75" customHeight="1">
      <c r="A338" s="146" t="n">
        <v>6</v>
      </c>
      <c r="B338" s="238" t="n"/>
      <c r="C338" s="399" t="n">
        <v>45848</v>
      </c>
      <c r="D338" s="146" t="inlineStr">
        <is>
          <t>202 G. HUERTAS-LA MANIGUA</t>
        </is>
      </c>
      <c r="E338" s="146" t="n">
        <v>42032</v>
      </c>
      <c r="F338" s="146" t="inlineStr">
        <is>
          <t>ALBERTO HERRERA</t>
        </is>
      </c>
      <c r="G338" s="395" t="n">
        <v>2816</v>
      </c>
      <c r="H338" s="395" t="n">
        <v>2790</v>
      </c>
      <c r="I338" s="395" t="n">
        <v>3</v>
      </c>
      <c r="J338" s="395" t="n">
        <v>27</v>
      </c>
      <c r="K338" s="395" t="n">
        <v>-4</v>
      </c>
      <c r="L338" s="397" t="n">
        <v>3240</v>
      </c>
      <c r="M338" s="146" t="inlineStr">
        <is>
          <t xml:space="preserve">FABIO ALDANA </t>
        </is>
      </c>
      <c r="N338" s="113" t="n"/>
      <c r="O338" s="113" t="n"/>
      <c r="P338" s="398" t="n"/>
      <c r="Q338" s="398" t="n"/>
      <c r="R338" s="113" t="n"/>
      <c r="S338" s="113" t="n"/>
      <c r="T338" s="113" t="n"/>
      <c r="U338" s="113" t="n"/>
      <c r="V338" s="113" t="n"/>
    </row>
    <row r="339" ht="15.75" customHeight="1">
      <c r="A339" s="146" t="n">
        <v>6</v>
      </c>
      <c r="B339" s="238" t="n"/>
      <c r="C339" s="399" t="n">
        <v>45848</v>
      </c>
      <c r="D339" s="146" t="inlineStr">
        <is>
          <t>202 G. HUERTAS-LA MANIGUA</t>
        </is>
      </c>
      <c r="E339" s="146" t="n">
        <v>42033</v>
      </c>
      <c r="F339" s="146" t="inlineStr">
        <is>
          <t>FABIO ALDANA</t>
        </is>
      </c>
      <c r="G339" s="395" t="n">
        <v>2816</v>
      </c>
      <c r="H339" s="395" t="n">
        <v>2788</v>
      </c>
      <c r="I339" s="395" t="n">
        <v>4</v>
      </c>
      <c r="J339" s="395" t="n">
        <v>24</v>
      </c>
      <c r="K339" s="395" t="n">
        <v>0</v>
      </c>
      <c r="L339" s="397" t="n">
        <v>3240</v>
      </c>
      <c r="M339" s="146" t="inlineStr">
        <is>
          <t xml:space="preserve">DUMAR ANGARITA </t>
        </is>
      </c>
      <c r="N339" s="113" t="n"/>
      <c r="O339" s="113" t="n"/>
      <c r="P339" s="398" t="n"/>
      <c r="Q339" s="398" t="n"/>
      <c r="R339" s="113" t="n"/>
      <c r="S339" s="113" t="n"/>
      <c r="T339" s="113" t="n"/>
      <c r="U339" s="113" t="n"/>
      <c r="V339" s="113" t="n"/>
    </row>
    <row r="340" ht="15.75" customHeight="1">
      <c r="A340" s="146" t="n">
        <v>6</v>
      </c>
      <c r="B340" s="238" t="n"/>
      <c r="C340" s="399" t="n">
        <v>45848</v>
      </c>
      <c r="D340" s="146" t="inlineStr">
        <is>
          <t>202 G. HUERTAS-LA MANIGUA</t>
        </is>
      </c>
      <c r="E340" s="146" t="n">
        <v>42034</v>
      </c>
      <c r="F340" s="146" t="inlineStr">
        <is>
          <t>JAIRO CUBILLOS</t>
        </is>
      </c>
      <c r="G340" s="395" t="n">
        <v>2816</v>
      </c>
      <c r="H340" s="395" t="n">
        <v>2789</v>
      </c>
      <c r="I340" s="395" t="n">
        <v>3</v>
      </c>
      <c r="J340" s="395" t="n">
        <v>22</v>
      </c>
      <c r="K340" s="395" t="n">
        <v>2</v>
      </c>
      <c r="L340" s="397" t="n">
        <v>3240</v>
      </c>
      <c r="M340" s="146" t="inlineStr">
        <is>
          <t xml:space="preserve">YADIR RIVEROS </t>
        </is>
      </c>
      <c r="N340" s="113" t="n"/>
      <c r="O340" s="113" t="n"/>
      <c r="P340" s="398" t="n"/>
      <c r="Q340" s="398" t="n"/>
      <c r="R340" s="113" t="n"/>
      <c r="S340" s="113" t="n"/>
      <c r="T340" s="113" t="n"/>
      <c r="U340" s="113" t="n"/>
      <c r="V340" s="113" t="n"/>
    </row>
    <row r="341" ht="15.75" customHeight="1">
      <c r="A341" s="146" t="n">
        <v>6</v>
      </c>
      <c r="B341" s="238" t="n"/>
      <c r="C341" s="399" t="n">
        <v>45848</v>
      </c>
      <c r="D341" s="146" t="inlineStr">
        <is>
          <t>202 G. HUERTAS-LA MANIGUA</t>
        </is>
      </c>
      <c r="E341" s="146" t="n">
        <v>42035</v>
      </c>
      <c r="F341" s="146" t="inlineStr">
        <is>
          <t>ALEX GOMEZ</t>
        </is>
      </c>
      <c r="G341" s="395" t="n">
        <v>2728</v>
      </c>
      <c r="H341" s="395" t="n">
        <v>2698</v>
      </c>
      <c r="I341" s="395" t="n">
        <v>2</v>
      </c>
      <c r="J341" s="395" t="n">
        <v>24</v>
      </c>
      <c r="K341" s="395" t="n">
        <v>4</v>
      </c>
      <c r="L341" s="397" t="n">
        <v>3166</v>
      </c>
      <c r="M341" s="146" t="inlineStr">
        <is>
          <t xml:space="preserve">EDUAN CAVIEDEZ </t>
        </is>
      </c>
      <c r="N341" s="113" t="n"/>
      <c r="O341" s="113" t="n"/>
      <c r="P341" s="398" t="n"/>
      <c r="Q341" s="398" t="n"/>
      <c r="R341" s="113" t="n"/>
      <c r="S341" s="113" t="n"/>
      <c r="T341" s="113" t="n"/>
      <c r="U341" s="113" t="n"/>
      <c r="V341" s="113" t="n"/>
    </row>
    <row r="342" ht="15.75" customHeight="1">
      <c r="A342" s="146" t="n">
        <v>6</v>
      </c>
      <c r="B342" s="238" t="n"/>
      <c r="C342" s="399" t="n">
        <v>45848</v>
      </c>
      <c r="D342" s="146" t="inlineStr">
        <is>
          <t>202 G. HUERTAS-LA MANIGUA</t>
        </is>
      </c>
      <c r="E342" s="146" t="n">
        <v>42036</v>
      </c>
      <c r="F342" s="146" t="inlineStr">
        <is>
          <t>ALBERTO LOPEZ</t>
        </is>
      </c>
      <c r="G342" s="395" t="n">
        <v>2692</v>
      </c>
      <c r="H342" s="395" t="n">
        <v>2664</v>
      </c>
      <c r="I342" s="395" t="n">
        <v>4</v>
      </c>
      <c r="J342" s="395" t="n">
        <v>5</v>
      </c>
      <c r="K342" s="395" t="n">
        <v>19</v>
      </c>
      <c r="L342" s="397" t="n">
        <v>2520</v>
      </c>
      <c r="M342" s="146" t="inlineStr">
        <is>
          <t xml:space="preserve">DIEGO NIÑO </t>
        </is>
      </c>
      <c r="N342" s="113" t="n"/>
      <c r="O342" s="113" t="n"/>
      <c r="P342" s="398" t="n"/>
      <c r="Q342" s="398" t="n"/>
      <c r="R342" s="113" t="n"/>
      <c r="S342" s="113" t="n"/>
      <c r="T342" s="113" t="n"/>
      <c r="U342" s="113" t="n"/>
      <c r="V342" s="113" t="n"/>
    </row>
    <row r="343" ht="15.75" customHeight="1">
      <c r="A343" s="146" t="n">
        <v>6</v>
      </c>
      <c r="B343" s="238" t="n"/>
      <c r="C343" s="399" t="n">
        <v>45848</v>
      </c>
      <c r="D343" s="146" t="inlineStr">
        <is>
          <t>202 G. HUERTAS-LA MANIGUA</t>
        </is>
      </c>
      <c r="E343" s="146" t="n">
        <v>42037</v>
      </c>
      <c r="F343" s="146" t="inlineStr">
        <is>
          <t>FERNANDO OYUELA</t>
        </is>
      </c>
      <c r="G343" s="395" t="n">
        <v>2664</v>
      </c>
      <c r="H343" s="395" t="n">
        <v>2664</v>
      </c>
      <c r="I343" s="395" t="n">
        <v>3</v>
      </c>
      <c r="J343" s="395" t="n">
        <v>5</v>
      </c>
      <c r="K343" s="395" t="n">
        <v>-8</v>
      </c>
      <c r="L343" s="397" t="n">
        <v>2592</v>
      </c>
      <c r="M343" s="146" t="inlineStr">
        <is>
          <t>JHON AGUIERRE</t>
        </is>
      </c>
      <c r="N343" s="113" t="n"/>
      <c r="O343" s="113" t="n"/>
      <c r="P343" s="398" t="n"/>
      <c r="Q343" s="398" t="n"/>
      <c r="R343" s="113" t="n"/>
      <c r="S343" s="113" t="n"/>
      <c r="T343" s="113" t="n"/>
      <c r="U343" s="113" t="n"/>
      <c r="V343" s="113" t="n"/>
    </row>
    <row r="344" ht="15.75" customHeight="1">
      <c r="A344" s="146" t="n">
        <v>6</v>
      </c>
      <c r="B344" s="238" t="n"/>
      <c r="C344" s="399" t="n">
        <v>45848</v>
      </c>
      <c r="D344" s="146" t="inlineStr">
        <is>
          <t>202 G. HUERTAS-LA MANIGUA</t>
        </is>
      </c>
      <c r="E344" s="146" t="n">
        <v>42038</v>
      </c>
      <c r="F344" s="146" t="inlineStr">
        <is>
          <t>DUMAR ANGARITA</t>
        </is>
      </c>
      <c r="G344" s="395" t="n">
        <v>2692</v>
      </c>
      <c r="H344" s="395" t="n">
        <v>2662</v>
      </c>
      <c r="I344" s="395" t="n">
        <v>2</v>
      </c>
      <c r="J344" s="395" t="n">
        <v>3</v>
      </c>
      <c r="K344" s="395" t="n">
        <v>25</v>
      </c>
      <c r="L344" s="397" t="n">
        <v>3092</v>
      </c>
      <c r="M344" s="146" t="inlineStr">
        <is>
          <t xml:space="preserve">JAIRO CUBILLOS </t>
        </is>
      </c>
      <c r="N344" s="113" t="n"/>
      <c r="O344" s="113" t="n"/>
      <c r="P344" s="398" t="n"/>
      <c r="Q344" s="398" t="n"/>
      <c r="R344" s="113" t="n"/>
      <c r="S344" s="113" t="n"/>
      <c r="T344" s="113" t="n"/>
      <c r="U344" s="113" t="n"/>
      <c r="V344" s="113" t="n"/>
    </row>
    <row r="345" ht="15.75" customHeight="1">
      <c r="A345" s="146" t="n">
        <v>6</v>
      </c>
      <c r="B345" s="238" t="n"/>
      <c r="C345" s="399" t="n">
        <v>45849</v>
      </c>
      <c r="D345" s="146" t="inlineStr">
        <is>
          <t>202 G. HUERTAS-LA MANIGUA</t>
        </is>
      </c>
      <c r="E345" s="146" t="n">
        <v>42058</v>
      </c>
      <c r="F345" s="146" t="inlineStr">
        <is>
          <t>YAIR RIVEROS</t>
        </is>
      </c>
      <c r="G345" s="395" t="n">
        <v>3240</v>
      </c>
      <c r="H345" s="395" t="n">
        <v>3179</v>
      </c>
      <c r="I345" s="395" t="n">
        <v>8</v>
      </c>
      <c r="J345" s="395" t="n">
        <v>64</v>
      </c>
      <c r="K345" s="395" t="n">
        <v>-11</v>
      </c>
      <c r="L345" s="397" t="n">
        <v>3092</v>
      </c>
      <c r="M345" s="146" t="inlineStr">
        <is>
          <t xml:space="preserve">ALBERTO LOPEZ </t>
        </is>
      </c>
      <c r="N345" s="113" t="n"/>
      <c r="O345" s="113" t="n"/>
      <c r="P345" s="398" t="n"/>
      <c r="Q345" s="398" t="n"/>
      <c r="R345" s="113" t="n"/>
      <c r="S345" s="113" t="n"/>
      <c r="T345" s="113" t="n"/>
      <c r="U345" s="113" t="n"/>
      <c r="V345" s="113" t="n"/>
    </row>
    <row r="346" ht="15.75" customHeight="1">
      <c r="A346" s="146" t="n">
        <v>6</v>
      </c>
      <c r="B346" s="238" t="n"/>
      <c r="C346" s="399" t="n">
        <v>45849</v>
      </c>
      <c r="D346" s="146" t="inlineStr">
        <is>
          <t>202 G. HUERTAS-LA MANIGUA</t>
        </is>
      </c>
      <c r="E346" s="146" t="n">
        <v>42059</v>
      </c>
      <c r="F346" s="146" t="inlineStr">
        <is>
          <t>EDUAN CAVIEDES</t>
        </is>
      </c>
      <c r="G346" s="395" t="n">
        <v>3166</v>
      </c>
      <c r="H346" s="395" t="n">
        <v>3120</v>
      </c>
      <c r="I346" s="395" t="n">
        <v>9</v>
      </c>
      <c r="J346" s="395" t="n">
        <v>54</v>
      </c>
      <c r="K346" s="395" t="n">
        <v>-17</v>
      </c>
      <c r="L346" s="397" t="n">
        <v>3240</v>
      </c>
      <c r="M346" s="146" t="inlineStr">
        <is>
          <t xml:space="preserve">JHON AGUIRRE </t>
        </is>
      </c>
      <c r="N346" s="113" t="n"/>
      <c r="O346" s="113" t="n"/>
      <c r="P346" s="398" t="n"/>
      <c r="Q346" s="398" t="n"/>
      <c r="R346" s="113" t="n"/>
      <c r="S346" s="113" t="n"/>
      <c r="T346" s="113" t="n"/>
      <c r="U346" s="113" t="n"/>
      <c r="V346" s="113" t="n"/>
    </row>
    <row r="347" ht="15.75" customHeight="1">
      <c r="A347" s="146" t="n">
        <v>6</v>
      </c>
      <c r="B347" s="238" t="n"/>
      <c r="C347" s="399" t="n">
        <v>45849</v>
      </c>
      <c r="D347" s="146" t="inlineStr">
        <is>
          <t>202 G. HUERTAS-LA MANIGUA</t>
        </is>
      </c>
      <c r="E347" s="146" t="n">
        <v>42061</v>
      </c>
      <c r="F347" s="146" t="inlineStr">
        <is>
          <t>DIEGO NIÑO</t>
        </is>
      </c>
      <c r="G347" s="395" t="n">
        <v>2520</v>
      </c>
      <c r="H347" s="395" t="n">
        <v>2516</v>
      </c>
      <c r="I347" s="395" t="n">
        <v>2</v>
      </c>
      <c r="J347" s="395" t="n">
        <v>7</v>
      </c>
      <c r="K347" s="395" t="n">
        <v>-5</v>
      </c>
      <c r="L347" s="397" t="n">
        <v>3240</v>
      </c>
      <c r="M347" s="146" t="inlineStr">
        <is>
          <t>FABIO ALDANA</t>
        </is>
      </c>
      <c r="N347" s="113" t="n"/>
      <c r="O347" s="113" t="n"/>
      <c r="P347" s="398" t="n"/>
      <c r="Q347" s="398" t="n"/>
      <c r="R347" s="113" t="n"/>
      <c r="S347" s="113" t="n"/>
      <c r="T347" s="113" t="n"/>
      <c r="U347" s="113" t="n"/>
      <c r="V347" s="113" t="n"/>
    </row>
    <row r="348" ht="15.75" customHeight="1">
      <c r="A348" s="146" t="n">
        <v>6</v>
      </c>
      <c r="B348" s="238" t="n"/>
      <c r="C348" s="399" t="n">
        <v>45849</v>
      </c>
      <c r="D348" s="146" t="inlineStr">
        <is>
          <t>202 G. HUERTAS-LA MANIGUA</t>
        </is>
      </c>
      <c r="E348" s="146" t="n">
        <v>42063</v>
      </c>
      <c r="F348" s="146" t="inlineStr">
        <is>
          <t>JHON AGUIRRE</t>
        </is>
      </c>
      <c r="G348" s="395" t="n">
        <v>2592</v>
      </c>
      <c r="H348" s="395" t="n">
        <v>2586</v>
      </c>
      <c r="I348" s="395" t="n">
        <v>2</v>
      </c>
      <c r="J348" s="395" t="n">
        <v>6</v>
      </c>
      <c r="K348" s="395" t="n">
        <v>-2</v>
      </c>
      <c r="L348" s="397" t="n">
        <v>2340</v>
      </c>
      <c r="M348" s="146" t="inlineStr">
        <is>
          <t xml:space="preserve">JAIRO CUBILLOS </t>
        </is>
      </c>
      <c r="N348" s="113" t="n"/>
      <c r="O348" s="113" t="n"/>
      <c r="P348" s="398" t="n"/>
      <c r="Q348" s="398" t="n"/>
      <c r="R348" s="113" t="n"/>
      <c r="S348" s="113" t="n"/>
      <c r="T348" s="113" t="n"/>
      <c r="U348" s="113" t="n"/>
      <c r="V348" s="113" t="n"/>
    </row>
    <row r="349" ht="15.75" customHeight="1">
      <c r="A349" s="113" t="n"/>
      <c r="B349" s="238" t="n"/>
      <c r="C349" s="399" t="n"/>
      <c r="D349" s="113" t="n"/>
      <c r="E349" s="113" t="n"/>
      <c r="F349" s="113" t="n"/>
      <c r="G349" s="395">
        <f>SUBTOTAL(9,G289:G348)</f>
        <v/>
      </c>
      <c r="H349" s="395">
        <f>SUBTOTAL(9,H289:H348)</f>
        <v/>
      </c>
      <c r="I349" s="395">
        <f>SUBTOTAL(9,I289:I348)</f>
        <v/>
      </c>
      <c r="J349" s="395">
        <f>SUBTOTAL(9,J289:J348)</f>
        <v/>
      </c>
      <c r="K349" s="395">
        <f>SUBTOTAL(9,K289:K348)</f>
        <v/>
      </c>
      <c r="L349" s="395">
        <f>SUBTOTAL(9,L289:L348)</f>
        <v/>
      </c>
      <c r="M349" s="113" t="n"/>
      <c r="N349" s="113" t="n"/>
      <c r="O349" s="113" t="n"/>
      <c r="P349" s="398" t="n"/>
      <c r="Q349" s="398" t="n"/>
      <c r="R349" s="113" t="n"/>
      <c r="S349" s="113" t="n"/>
      <c r="T349" s="113" t="n"/>
      <c r="U349" s="113" t="n"/>
      <c r="V349" s="113" t="n"/>
    </row>
    <row r="350" ht="15.75" customHeight="1">
      <c r="A350" s="113" t="n"/>
      <c r="B350" s="238" t="n"/>
      <c r="C350" s="399" t="n"/>
      <c r="D350" s="113" t="n"/>
      <c r="E350" s="113" t="n"/>
      <c r="F350" s="113" t="n"/>
      <c r="G350" s="395" t="n"/>
      <c r="H350" s="395" t="n"/>
      <c r="I350" s="395" t="n"/>
      <c r="J350" s="395" t="n"/>
      <c r="K350" s="395" t="n"/>
      <c r="L350" s="397" t="n"/>
      <c r="M350" s="113" t="n"/>
      <c r="N350" s="113" t="n"/>
      <c r="O350" s="113" t="n"/>
      <c r="P350" s="398" t="n"/>
      <c r="Q350" s="398" t="n"/>
      <c r="R350" s="113" t="n"/>
      <c r="S350" s="113" t="n"/>
      <c r="T350" s="113" t="n"/>
      <c r="U350" s="113" t="n"/>
      <c r="V350" s="113" t="n"/>
    </row>
    <row r="351" ht="15.75" customHeight="1">
      <c r="A351" s="398" t="n">
        <v>7</v>
      </c>
      <c r="B351" s="480" t="n"/>
      <c r="C351" s="481" t="n">
        <v>45851</v>
      </c>
      <c r="D351" s="482" t="inlineStr">
        <is>
          <t>202 G. HUERTAS</t>
        </is>
      </c>
      <c r="E351" s="482" t="n">
        <v>202367</v>
      </c>
      <c r="F351" s="482" t="inlineStr">
        <is>
          <t>MARCOS LOPEZ CASTAÑEDA</t>
        </is>
      </c>
      <c r="G351" s="482" t="n">
        <v>2860</v>
      </c>
      <c r="H351" s="482" t="n">
        <v>2815</v>
      </c>
      <c r="I351" s="482" t="n">
        <v>27</v>
      </c>
      <c r="J351" s="482" t="n">
        <v>6</v>
      </c>
      <c r="K351" s="482" t="n">
        <v>12</v>
      </c>
      <c r="L351" s="483" t="n">
        <v>2860</v>
      </c>
      <c r="M351" s="484" t="inlineStr">
        <is>
          <t>EDISON DUQUE</t>
        </is>
      </c>
      <c r="N351" s="398" t="n"/>
      <c r="O351" s="398" t="n"/>
      <c r="P351" s="398" t="n"/>
      <c r="Q351" s="398" t="n"/>
      <c r="R351" s="398" t="n"/>
      <c r="S351" s="398" t="n"/>
      <c r="T351" s="398" t="n"/>
      <c r="U351" s="398" t="n"/>
      <c r="V351" s="398" t="n"/>
    </row>
    <row r="352" ht="15.75" customHeight="1">
      <c r="A352" s="398" t="n">
        <v>7</v>
      </c>
      <c r="B352" s="480" t="n"/>
      <c r="C352" s="481" t="n">
        <v>45851</v>
      </c>
      <c r="D352" s="482" t="inlineStr">
        <is>
          <t>202 G. HUERTAS</t>
        </is>
      </c>
      <c r="E352" s="482" t="n">
        <v>202368</v>
      </c>
      <c r="F352" s="482" t="inlineStr">
        <is>
          <t>CARLOS PORRAS</t>
        </is>
      </c>
      <c r="G352" s="482" t="n">
        <v>2718</v>
      </c>
      <c r="H352" s="482" t="n">
        <v>2694</v>
      </c>
      <c r="I352" s="482" t="n">
        <v>11</v>
      </c>
      <c r="J352" s="482" t="n">
        <v>19</v>
      </c>
      <c r="K352" s="482" t="n">
        <v>-6</v>
      </c>
      <c r="L352" s="483" t="n">
        <v>2718</v>
      </c>
      <c r="M352" s="484" t="inlineStr">
        <is>
          <t>ANDRES PORRAS</t>
        </is>
      </c>
      <c r="N352" s="398" t="n"/>
      <c r="O352" s="398" t="n"/>
      <c r="P352" s="398" t="n"/>
      <c r="Q352" s="398" t="n"/>
      <c r="R352" s="398" t="n"/>
      <c r="S352" s="398" t="n"/>
      <c r="T352" s="398" t="n"/>
      <c r="U352" s="398" t="n"/>
      <c r="V352" s="398" t="n"/>
    </row>
    <row r="353" ht="15.75" customHeight="1">
      <c r="A353" s="398" t="n">
        <v>7</v>
      </c>
      <c r="B353" s="480" t="n"/>
      <c r="C353" s="481" t="n">
        <v>45852</v>
      </c>
      <c r="D353" s="482" t="inlineStr">
        <is>
          <t>202 G. HUERTAS</t>
        </is>
      </c>
      <c r="E353" s="482" t="n">
        <v>202371</v>
      </c>
      <c r="F353" s="482" t="inlineStr">
        <is>
          <t>FERNANDO SANDOVAL</t>
        </is>
      </c>
      <c r="G353" s="482" t="n">
        <v>2530</v>
      </c>
      <c r="H353" s="482" t="n">
        <v>2487</v>
      </c>
      <c r="I353" s="482" t="n">
        <v>24</v>
      </c>
      <c r="J353" s="482" t="n">
        <v>14</v>
      </c>
      <c r="K353" s="482" t="n">
        <v>5</v>
      </c>
      <c r="L353" s="483" t="n">
        <v>2530</v>
      </c>
      <c r="M353" s="484" t="inlineStr">
        <is>
          <t>FERNANDO SANDOVAL</t>
        </is>
      </c>
      <c r="N353" s="398" t="n"/>
      <c r="O353" s="398" t="n"/>
      <c r="P353" s="398" t="n"/>
      <c r="Q353" s="398" t="n"/>
      <c r="R353" s="398" t="n"/>
      <c r="S353" s="398" t="n"/>
      <c r="T353" s="398" t="n"/>
      <c r="U353" s="398" t="n"/>
      <c r="V353" s="398" t="n"/>
    </row>
    <row r="354" ht="15.75" customHeight="1">
      <c r="A354" s="398" t="n">
        <v>7</v>
      </c>
      <c r="B354" s="480" t="n"/>
      <c r="C354" s="481" t="n">
        <v>45852</v>
      </c>
      <c r="D354" s="482" t="inlineStr">
        <is>
          <t>202 G. HUERTAS-LA MANIGUA</t>
        </is>
      </c>
      <c r="E354" s="482" t="n">
        <v>42075</v>
      </c>
      <c r="F354" s="482" t="inlineStr">
        <is>
          <t>HENRY ROMERO</t>
        </is>
      </c>
      <c r="G354" s="482" t="n">
        <v>2916</v>
      </c>
      <c r="H354" s="482" t="n">
        <v>2893</v>
      </c>
      <c r="I354" s="482" t="n">
        <v>3</v>
      </c>
      <c r="J354" s="482" t="n">
        <v>19</v>
      </c>
      <c r="K354" s="482" t="n">
        <v>1</v>
      </c>
      <c r="L354" s="483" t="n">
        <v>2916</v>
      </c>
      <c r="M354" s="484" t="inlineStr">
        <is>
          <t>HENRY ROMERO</t>
        </is>
      </c>
      <c r="N354" s="398" t="n"/>
      <c r="O354" s="398" t="n"/>
      <c r="P354" s="398" t="n"/>
      <c r="Q354" s="398" t="n"/>
      <c r="R354" s="398" t="n"/>
      <c r="S354" s="398" t="n"/>
      <c r="T354" s="398" t="n"/>
      <c r="U354" s="398" t="n"/>
      <c r="V354" s="398" t="n"/>
    </row>
    <row r="355" ht="15.75" customHeight="1">
      <c r="A355" s="398" t="n">
        <v>7</v>
      </c>
      <c r="B355" s="480" t="n"/>
      <c r="C355" s="481" t="n">
        <v>45852</v>
      </c>
      <c r="D355" s="482" t="inlineStr">
        <is>
          <t>202 G. HUERTAS-LA MANIGUA</t>
        </is>
      </c>
      <c r="E355" s="482" t="n">
        <v>42076</v>
      </c>
      <c r="F355" s="482" t="inlineStr">
        <is>
          <t>MANUEL QUITIAN</t>
        </is>
      </c>
      <c r="G355" s="482" t="n">
        <v>2916</v>
      </c>
      <c r="H355" s="482" t="n">
        <v>2898</v>
      </c>
      <c r="I355" s="482" t="n">
        <v>4</v>
      </c>
      <c r="J355" s="482" t="n">
        <v>15</v>
      </c>
      <c r="K355" s="482" t="n">
        <v>-1</v>
      </c>
      <c r="L355" s="483" t="n">
        <v>2880</v>
      </c>
      <c r="M355" s="484" t="inlineStr">
        <is>
          <t>MANUEL QUITIAN</t>
        </is>
      </c>
      <c r="N355" s="398" t="n"/>
      <c r="O355" s="398" t="n"/>
      <c r="P355" s="398" t="n"/>
      <c r="Q355" s="398" t="n"/>
      <c r="R355" s="398" t="n"/>
      <c r="S355" s="398" t="n"/>
      <c r="T355" s="398" t="n"/>
      <c r="U355" s="398" t="n"/>
      <c r="V355" s="398" t="n"/>
    </row>
    <row r="356" ht="15.75" customHeight="1">
      <c r="A356" s="398" t="n">
        <v>7</v>
      </c>
      <c r="B356" s="480" t="n"/>
      <c r="C356" s="481" t="n">
        <v>45852</v>
      </c>
      <c r="D356" s="482" t="inlineStr">
        <is>
          <t>202 G. HUERTAS-LA MANIGUA</t>
        </is>
      </c>
      <c r="E356" s="482" t="n">
        <v>42081</v>
      </c>
      <c r="F356" s="482" t="inlineStr">
        <is>
          <t>DIEGO NIÑO</t>
        </is>
      </c>
      <c r="G356" s="482" t="n">
        <v>2880</v>
      </c>
      <c r="H356" s="482" t="n">
        <v>2864</v>
      </c>
      <c r="I356" s="482" t="n">
        <v>5</v>
      </c>
      <c r="J356" s="482" t="n">
        <v>7</v>
      </c>
      <c r="K356" s="482" t="n">
        <v>4</v>
      </c>
      <c r="L356" s="483" t="n">
        <v>2916</v>
      </c>
      <c r="M356" s="484" t="inlineStr">
        <is>
          <t>DIEGO NIÑO</t>
        </is>
      </c>
      <c r="N356" s="398" t="n"/>
      <c r="O356" s="398" t="n"/>
      <c r="P356" s="398" t="n"/>
      <c r="Q356" s="398" t="n"/>
      <c r="R356" s="398" t="n"/>
      <c r="S356" s="398" t="n"/>
      <c r="T356" s="398" t="n"/>
      <c r="U356" s="398" t="n"/>
      <c r="V356" s="398" t="n"/>
    </row>
    <row r="357" ht="15.75" customHeight="1">
      <c r="A357" s="398" t="n">
        <v>7</v>
      </c>
      <c r="B357" s="480" t="n"/>
      <c r="C357" s="481" t="n">
        <v>45852</v>
      </c>
      <c r="D357" s="482" t="inlineStr">
        <is>
          <t>202 G. HUERTAS</t>
        </is>
      </c>
      <c r="E357" s="482" t="n">
        <v>202386</v>
      </c>
      <c r="F357" s="482" t="inlineStr">
        <is>
          <t>CARLOS PORRAS</t>
        </is>
      </c>
      <c r="G357" s="482" t="n">
        <v>3060</v>
      </c>
      <c r="H357" s="482" t="n">
        <v>3029</v>
      </c>
      <c r="I357" s="482" t="n">
        <v>10</v>
      </c>
      <c r="J357" s="482" t="n">
        <v>19</v>
      </c>
      <c r="K357" s="482" t="n">
        <v>2</v>
      </c>
      <c r="L357" s="483" t="n">
        <v>2853</v>
      </c>
      <c r="M357" s="484" t="n"/>
      <c r="N357" s="398" t="n"/>
      <c r="O357" s="398" t="n"/>
      <c r="P357" s="398" t="n"/>
      <c r="Q357" s="398" t="n"/>
      <c r="R357" s="398" t="n"/>
      <c r="S357" s="398" t="n"/>
      <c r="T357" s="398" t="n"/>
      <c r="U357" s="398" t="n"/>
      <c r="V357" s="398" t="n"/>
    </row>
    <row r="358" ht="15.75" customHeight="1">
      <c r="A358" s="146" t="n">
        <v>7</v>
      </c>
      <c r="B358" s="238" t="n"/>
      <c r="C358" s="399" t="n">
        <v>45852</v>
      </c>
      <c r="D358" s="162" t="inlineStr">
        <is>
          <t>200 G. GARCERAS</t>
        </is>
      </c>
      <c r="E358" s="162" t="n">
        <v>42077</v>
      </c>
      <c r="F358" s="162" t="inlineStr">
        <is>
          <t>EDWIN ROJAS</t>
        </is>
      </c>
      <c r="G358" s="162" t="n">
        <v>2853</v>
      </c>
      <c r="H358" s="162" t="n">
        <v>2844</v>
      </c>
      <c r="I358" s="162" t="n">
        <v>2</v>
      </c>
      <c r="J358" s="162" t="n">
        <v>10</v>
      </c>
      <c r="K358" s="162" t="n">
        <v>-3</v>
      </c>
      <c r="L358" s="397" t="n">
        <v>2853</v>
      </c>
      <c r="M358" s="146" t="inlineStr">
        <is>
          <t>EDWIN ROJAS</t>
        </is>
      </c>
      <c r="N358" s="395">
        <f>+H358-L358</f>
        <v/>
      </c>
      <c r="O358" s="395">
        <f>+I358+J358+K358</f>
        <v/>
      </c>
      <c r="P358" s="398" t="n"/>
      <c r="Q358" s="398" t="n"/>
      <c r="R358" s="113" t="n"/>
      <c r="S358" s="113" t="n"/>
      <c r="T358" s="113" t="n"/>
      <c r="U358" s="113" t="n"/>
      <c r="V358" s="113" t="n"/>
    </row>
    <row r="359" ht="15.75" customHeight="1">
      <c r="A359" s="146" t="n">
        <v>7</v>
      </c>
      <c r="B359" s="238" t="n"/>
      <c r="C359" s="399" t="n">
        <v>45852</v>
      </c>
      <c r="D359" s="162" t="inlineStr">
        <is>
          <t>200 G. GARCERAS</t>
        </is>
      </c>
      <c r="E359" s="162" t="n">
        <v>42078</v>
      </c>
      <c r="F359" s="162" t="inlineStr">
        <is>
          <t>YAIR RIVEROS</t>
        </is>
      </c>
      <c r="G359" s="162" t="n">
        <v>2853</v>
      </c>
      <c r="H359" s="162" t="n">
        <v>2843</v>
      </c>
      <c r="I359" s="162" t="n">
        <v>3</v>
      </c>
      <c r="J359" s="162" t="n">
        <v>10</v>
      </c>
      <c r="K359" s="162" t="n">
        <v>-3</v>
      </c>
      <c r="L359" s="397" t="n">
        <v>2853</v>
      </c>
      <c r="M359" s="146" t="inlineStr">
        <is>
          <t>YAIR RIVEROS</t>
        </is>
      </c>
      <c r="N359" s="113" t="n"/>
      <c r="O359" s="113" t="n"/>
      <c r="P359" s="398" t="n"/>
      <c r="Q359" s="398" t="n"/>
      <c r="R359" s="113" t="n"/>
      <c r="S359" s="113" t="n"/>
      <c r="T359" s="113" t="n"/>
      <c r="U359" s="113" t="n"/>
      <c r="V359" s="113" t="n"/>
    </row>
    <row r="360" ht="15.75" customHeight="1">
      <c r="A360" s="146" t="n">
        <v>7</v>
      </c>
      <c r="B360" s="238" t="n"/>
      <c r="C360" s="399" t="n">
        <v>45852</v>
      </c>
      <c r="D360" s="162" t="inlineStr">
        <is>
          <t>200 G. GARCERAS</t>
        </is>
      </c>
      <c r="E360" s="162" t="n">
        <v>42079</v>
      </c>
      <c r="F360" s="162" t="inlineStr">
        <is>
          <t>DUMAR ANGARITA</t>
        </is>
      </c>
      <c r="G360" s="162" t="n">
        <v>2853</v>
      </c>
      <c r="H360" s="162" t="n">
        <v>2847</v>
      </c>
      <c r="I360" s="162" t="n">
        <v>3</v>
      </c>
      <c r="J360" s="162" t="n">
        <v>7</v>
      </c>
      <c r="K360" s="162" t="n">
        <v>-4</v>
      </c>
      <c r="L360" s="397" t="n">
        <v>3263</v>
      </c>
      <c r="M360" s="146" t="inlineStr">
        <is>
          <t>OMAR ANGARITA</t>
        </is>
      </c>
      <c r="N360" s="113" t="n"/>
      <c r="O360" s="113" t="n"/>
      <c r="P360" s="398" t="n"/>
      <c r="Q360" s="398" t="n"/>
      <c r="R360" s="113" t="n"/>
      <c r="S360" s="113" t="n"/>
      <c r="T360" s="113" t="n"/>
      <c r="U360" s="113" t="n"/>
      <c r="V360" s="113" t="n"/>
    </row>
    <row r="361" ht="15.75" customHeight="1">
      <c r="A361" s="146" t="n">
        <v>7</v>
      </c>
      <c r="B361" s="238" t="n"/>
      <c r="C361" s="399" t="n">
        <v>45852</v>
      </c>
      <c r="D361" s="162" t="inlineStr">
        <is>
          <t>200 G. GARCERAS</t>
        </is>
      </c>
      <c r="E361" s="162" t="n">
        <v>42080</v>
      </c>
      <c r="F361" s="162" t="inlineStr">
        <is>
          <t>JHON ARIAS</t>
        </is>
      </c>
      <c r="G361" s="162" t="n">
        <v>3262</v>
      </c>
      <c r="H361" s="162" t="n">
        <v>3231</v>
      </c>
      <c r="I361" s="162" t="n">
        <v>3</v>
      </c>
      <c r="J361" s="162" t="n">
        <v>10</v>
      </c>
      <c r="K361" s="162" t="n">
        <v>18</v>
      </c>
      <c r="L361" s="397" t="n">
        <v>3262</v>
      </c>
      <c r="M361" s="146" t="inlineStr">
        <is>
          <t>JHON ARIAS</t>
        </is>
      </c>
      <c r="N361" s="113" t="n"/>
      <c r="O361" s="113" t="n"/>
      <c r="P361" s="398" t="n"/>
      <c r="Q361" s="398" t="n"/>
      <c r="R361" s="113" t="n"/>
      <c r="S361" s="113" t="n"/>
      <c r="T361" s="113" t="n"/>
      <c r="U361" s="113" t="n"/>
      <c r="V361" s="113" t="n"/>
    </row>
    <row r="362" ht="15.75" customHeight="1">
      <c r="A362" s="146" t="n">
        <v>7</v>
      </c>
      <c r="B362" s="238" t="n"/>
      <c r="C362" s="399" t="n">
        <v>45852</v>
      </c>
      <c r="D362" s="162" t="inlineStr">
        <is>
          <t>200 G. GARCERAS</t>
        </is>
      </c>
      <c r="E362" s="162" t="n">
        <v>42089</v>
      </c>
      <c r="F362" s="162" t="inlineStr">
        <is>
          <t>DIEGO NIÑO</t>
        </is>
      </c>
      <c r="G362" s="162" t="n">
        <v>3262</v>
      </c>
      <c r="H362" s="162" t="n">
        <v>3251</v>
      </c>
      <c r="I362" s="162" t="n">
        <v>1</v>
      </c>
      <c r="J362" s="162" t="n">
        <v>6</v>
      </c>
      <c r="K362" s="162" t="n">
        <v>4</v>
      </c>
      <c r="L362" s="397" t="n">
        <v>3262</v>
      </c>
      <c r="M362" s="146" t="inlineStr">
        <is>
          <t>DIEGO NIÑO</t>
        </is>
      </c>
      <c r="N362" s="113" t="n"/>
      <c r="O362" s="113" t="n"/>
      <c r="P362" s="398" t="n"/>
      <c r="Q362" s="398" t="n"/>
      <c r="R362" s="113" t="n"/>
      <c r="S362" s="113" t="n"/>
      <c r="T362" s="113" t="n"/>
      <c r="U362" s="113" t="n"/>
      <c r="V362" s="113" t="n"/>
    </row>
    <row r="363" ht="15.75" customHeight="1">
      <c r="A363" s="146" t="n">
        <v>7</v>
      </c>
      <c r="B363" s="238" t="n"/>
      <c r="C363" s="399" t="n">
        <v>45852</v>
      </c>
      <c r="D363" s="162" t="inlineStr">
        <is>
          <t>200 G. GARCERAS</t>
        </is>
      </c>
      <c r="E363" s="162" t="n">
        <v>42090</v>
      </c>
      <c r="F363" s="162" t="inlineStr">
        <is>
          <t>MANUEL QUITIAN</t>
        </is>
      </c>
      <c r="G363" s="162" t="n">
        <v>3262</v>
      </c>
      <c r="H363" s="162" t="n">
        <v>3250</v>
      </c>
      <c r="I363" s="162" t="n">
        <v>2</v>
      </c>
      <c r="J363" s="162" t="n">
        <v>7</v>
      </c>
      <c r="K363" s="162" t="n">
        <v>3</v>
      </c>
      <c r="L363" s="397" t="n">
        <v>2262</v>
      </c>
      <c r="M363" s="146" t="inlineStr">
        <is>
          <t>MANUEL QUITIAN</t>
        </is>
      </c>
      <c r="N363" s="113" t="n"/>
      <c r="O363" s="113" t="n"/>
      <c r="P363" s="398" t="n"/>
      <c r="Q363" s="398" t="n"/>
      <c r="R363" s="113" t="n"/>
      <c r="S363" s="113" t="n"/>
      <c r="T363" s="113" t="n"/>
      <c r="U363" s="113" t="n"/>
      <c r="V363" s="113" t="n"/>
    </row>
    <row r="364" ht="15.75" customHeight="1">
      <c r="A364" s="146" t="n">
        <v>7</v>
      </c>
      <c r="B364" s="238" t="n"/>
      <c r="C364" s="399" t="n">
        <v>45852</v>
      </c>
      <c r="D364" s="162" t="inlineStr">
        <is>
          <t>200 G. GARCERAS</t>
        </is>
      </c>
      <c r="E364" s="162" t="n">
        <v>42091</v>
      </c>
      <c r="F364" s="162" t="inlineStr">
        <is>
          <t>EDWIN ROJAS</t>
        </is>
      </c>
      <c r="G364" s="162" t="n">
        <v>3262</v>
      </c>
      <c r="H364" s="162" t="n">
        <v>3248</v>
      </c>
      <c r="I364" s="162" t="n">
        <v>3</v>
      </c>
      <c r="J364" s="162" t="n">
        <v>9</v>
      </c>
      <c r="K364" s="162" t="n">
        <v>2</v>
      </c>
      <c r="L364" s="397" t="n">
        <v>3157</v>
      </c>
      <c r="M364" s="146" t="inlineStr">
        <is>
          <t>EDWIN ROJAS</t>
        </is>
      </c>
      <c r="N364" s="113" t="n"/>
      <c r="O364" s="113" t="n"/>
      <c r="P364" s="398" t="n"/>
      <c r="Q364" s="398" t="n"/>
      <c r="R364" s="113" t="n"/>
      <c r="S364" s="113" t="n"/>
      <c r="T364" s="113" t="n"/>
      <c r="U364" s="113" t="n"/>
      <c r="V364" s="113" t="n"/>
    </row>
    <row r="365" ht="15.75" customHeight="1">
      <c r="A365" s="146" t="n">
        <v>7</v>
      </c>
      <c r="B365" s="238" t="n"/>
      <c r="C365" s="399" t="n">
        <v>45852</v>
      </c>
      <c r="D365" s="162" t="inlineStr">
        <is>
          <t>200 G. GARCERAS</t>
        </is>
      </c>
      <c r="E365" s="162" t="n">
        <v>42092</v>
      </c>
      <c r="F365" s="162" t="inlineStr">
        <is>
          <t>YAIR RIVEROS</t>
        </is>
      </c>
      <c r="G365" s="162" t="n">
        <v>3135</v>
      </c>
      <c r="H365" s="162" t="n">
        <v>3124</v>
      </c>
      <c r="I365" s="162" t="n">
        <v>2</v>
      </c>
      <c r="J365" s="162" t="n">
        <v>10</v>
      </c>
      <c r="K365" s="162" t="n">
        <v>-1</v>
      </c>
      <c r="L365" s="397" t="n">
        <v>3262</v>
      </c>
      <c r="M365" s="146" t="inlineStr">
        <is>
          <t>YAIR RIVEROS</t>
        </is>
      </c>
      <c r="N365" s="113" t="n"/>
      <c r="O365" s="113" t="n"/>
      <c r="P365" s="398" t="n"/>
      <c r="Q365" s="398" t="n"/>
      <c r="R365" s="113" t="n"/>
      <c r="S365" s="113" t="n"/>
      <c r="T365" s="113" t="n"/>
      <c r="U365" s="113" t="n"/>
      <c r="V365" s="113" t="n"/>
    </row>
    <row r="366" ht="15.75" customHeight="1">
      <c r="A366" s="146" t="n">
        <v>7</v>
      </c>
      <c r="B366" s="238" t="n"/>
      <c r="C366" s="399" t="n">
        <v>45852</v>
      </c>
      <c r="D366" s="162" t="inlineStr">
        <is>
          <t>200 G. GARCERAS</t>
        </is>
      </c>
      <c r="E366" s="162" t="n">
        <v>42093</v>
      </c>
      <c r="F366" s="162" t="inlineStr">
        <is>
          <t>DUMAR ANGARITA</t>
        </is>
      </c>
      <c r="G366" s="162" t="n">
        <v>3262</v>
      </c>
      <c r="H366" s="162" t="n">
        <v>3199</v>
      </c>
      <c r="I366" s="162" t="n">
        <v>5</v>
      </c>
      <c r="J366" s="162" t="n">
        <v>12</v>
      </c>
      <c r="K366" s="162" t="n">
        <v>46</v>
      </c>
      <c r="L366" s="397" t="n">
        <v>3262</v>
      </c>
      <c r="M366" s="146" t="inlineStr">
        <is>
          <t>DUMAR ANGARITA</t>
        </is>
      </c>
      <c r="N366" s="113" t="n"/>
      <c r="O366" s="113" t="n"/>
      <c r="P366" s="398" t="n"/>
      <c r="Q366" s="398" t="n"/>
      <c r="R366" s="113" t="n"/>
      <c r="S366" s="113" t="n"/>
      <c r="T366" s="113" t="n"/>
      <c r="U366" s="113" t="n"/>
      <c r="V366" s="113" t="n"/>
    </row>
    <row r="367" ht="15.75" customHeight="1">
      <c r="A367" s="146" t="n">
        <v>7</v>
      </c>
      <c r="B367" s="238" t="n"/>
      <c r="C367" s="399" t="n">
        <v>45852</v>
      </c>
      <c r="D367" s="162" t="inlineStr">
        <is>
          <t>200 G. GARCERAS</t>
        </is>
      </c>
      <c r="E367" s="162" t="n">
        <v>42094</v>
      </c>
      <c r="F367" s="162" t="inlineStr">
        <is>
          <t>JHON ARIAS</t>
        </is>
      </c>
      <c r="G367" s="162" t="n">
        <v>3262</v>
      </c>
      <c r="H367" s="162" t="n">
        <v>3180</v>
      </c>
      <c r="I367" s="162" t="n">
        <v>1</v>
      </c>
      <c r="J367" s="162" t="n">
        <v>7</v>
      </c>
      <c r="K367" s="162" t="n">
        <v>74</v>
      </c>
      <c r="L367" s="397" t="n">
        <v>3060</v>
      </c>
      <c r="M367" s="146" t="inlineStr">
        <is>
          <t>JHON ARIAS</t>
        </is>
      </c>
      <c r="N367" s="113" t="n"/>
      <c r="O367" s="113" t="n"/>
      <c r="P367" s="398" t="n"/>
      <c r="Q367" s="398" t="n"/>
      <c r="R367" s="113" t="n"/>
      <c r="S367" s="113" t="n"/>
      <c r="T367" s="113" t="n"/>
      <c r="U367" s="113" t="n"/>
      <c r="V367" s="113" t="n"/>
    </row>
    <row r="368" ht="15.75" customHeight="1">
      <c r="A368" s="398" t="n">
        <v>7</v>
      </c>
      <c r="B368" s="480" t="n"/>
      <c r="C368" s="481" t="n">
        <v>45853</v>
      </c>
      <c r="D368" s="482" t="inlineStr">
        <is>
          <t>202 G. HUERTAS</t>
        </is>
      </c>
      <c r="E368" s="482" t="n">
        <v>202393</v>
      </c>
      <c r="F368" s="482" t="inlineStr">
        <is>
          <t>HERNAN ALONSO MUÑOZ</t>
        </is>
      </c>
      <c r="G368" s="482" t="n">
        <v>3240</v>
      </c>
      <c r="H368" s="482" t="n">
        <v>3202</v>
      </c>
      <c r="I368" s="482" t="n">
        <v>3</v>
      </c>
      <c r="J368" s="482" t="n">
        <v>27</v>
      </c>
      <c r="K368" s="482" t="n">
        <v>8</v>
      </c>
      <c r="L368" s="483" t="n">
        <v>3240</v>
      </c>
      <c r="M368" s="484" t="inlineStr">
        <is>
          <t>ANDRES PORRAS</t>
        </is>
      </c>
      <c r="N368" s="398" t="n"/>
      <c r="O368" s="398" t="n"/>
      <c r="P368" s="398" t="n"/>
      <c r="Q368" s="398" t="n"/>
      <c r="R368" s="398" t="n"/>
      <c r="S368" s="398" t="n"/>
      <c r="T368" s="398" t="n"/>
      <c r="U368" s="398" t="n"/>
      <c r="V368" s="398" t="n"/>
    </row>
    <row r="369" ht="15.75" customHeight="1">
      <c r="A369" s="398" t="n">
        <v>7</v>
      </c>
      <c r="B369" s="480" t="n"/>
      <c r="C369" s="481" t="n">
        <v>45853</v>
      </c>
      <c r="D369" s="482" t="inlineStr">
        <is>
          <t>202 G. HUERTAS</t>
        </is>
      </c>
      <c r="E369" s="482" t="n">
        <v>202395</v>
      </c>
      <c r="F369" s="482" t="inlineStr">
        <is>
          <t>DAZA MARCOS</t>
        </is>
      </c>
      <c r="G369" s="482" t="n">
        <v>3240</v>
      </c>
      <c r="H369" s="482" t="n">
        <v>3197</v>
      </c>
      <c r="I369" s="482" t="n">
        <v>10</v>
      </c>
      <c r="J369" s="482" t="n">
        <v>29</v>
      </c>
      <c r="K369" s="482" t="n">
        <v>4</v>
      </c>
      <c r="L369" s="483" t="n">
        <v>3240</v>
      </c>
      <c r="M369" s="484" t="inlineStr">
        <is>
          <t>JEISON ECHEVARRIA</t>
        </is>
      </c>
      <c r="N369" s="398" t="n"/>
      <c r="O369" s="398" t="n"/>
      <c r="P369" s="398" t="n"/>
      <c r="Q369" s="398" t="n"/>
      <c r="R369" s="398" t="n"/>
      <c r="S369" s="398" t="n"/>
      <c r="T369" s="398" t="n"/>
      <c r="U369" s="398" t="n"/>
      <c r="V369" s="398" t="n"/>
    </row>
    <row r="370" ht="15.75" customHeight="1">
      <c r="A370" s="398" t="n">
        <v>7</v>
      </c>
      <c r="B370" s="480" t="n"/>
      <c r="C370" s="481" t="n">
        <v>45853</v>
      </c>
      <c r="D370" s="482" t="inlineStr">
        <is>
          <t>202 G. HUERTAS</t>
        </is>
      </c>
      <c r="E370" s="482" t="n">
        <v>202397</v>
      </c>
      <c r="F370" s="482" t="inlineStr">
        <is>
          <t>FERNANDO SANDOVAL</t>
        </is>
      </c>
      <c r="G370" s="482" t="n">
        <v>3240</v>
      </c>
      <c r="H370" s="482" t="n">
        <v>3205</v>
      </c>
      <c r="I370" s="482" t="n">
        <v>3</v>
      </c>
      <c r="J370" s="482" t="n">
        <v>28</v>
      </c>
      <c r="K370" s="482" t="n">
        <v>4</v>
      </c>
      <c r="L370" s="483" t="n">
        <v>3240</v>
      </c>
      <c r="M370" s="484" t="inlineStr">
        <is>
          <t>JORGE HERNANDEZ</t>
        </is>
      </c>
      <c r="N370" s="398" t="n"/>
      <c r="O370" s="398" t="n"/>
      <c r="P370" s="398" t="n"/>
      <c r="Q370" s="398" t="n"/>
      <c r="R370" s="398" t="n"/>
      <c r="S370" s="398" t="n"/>
      <c r="T370" s="398" t="n"/>
      <c r="U370" s="398" t="n"/>
      <c r="V370" s="398" t="n"/>
    </row>
    <row r="371" ht="15.75" customHeight="1">
      <c r="A371" s="398" t="n">
        <v>7</v>
      </c>
      <c r="B371" s="480" t="n"/>
      <c r="C371" s="481" t="n">
        <v>45853</v>
      </c>
      <c r="D371" s="482" t="inlineStr">
        <is>
          <t>202 G. HUERTAS</t>
        </is>
      </c>
      <c r="E371" s="482" t="n">
        <v>69137</v>
      </c>
      <c r="F371" s="482" t="inlineStr">
        <is>
          <t>ALFONSO CAMINOS</t>
        </is>
      </c>
      <c r="G371" s="482" t="n">
        <v>3240</v>
      </c>
      <c r="H371" s="482" t="n">
        <v>3194</v>
      </c>
      <c r="I371" s="482" t="n">
        <v>33</v>
      </c>
      <c r="J371" s="482" t="n">
        <v>0</v>
      </c>
      <c r="K371" s="482" t="n">
        <v>13</v>
      </c>
      <c r="L371" s="483" t="n">
        <v>3240</v>
      </c>
      <c r="M371" s="484" t="inlineStr">
        <is>
          <t>MARCO DAZA</t>
        </is>
      </c>
      <c r="N371" s="398" t="n"/>
      <c r="O371" s="398" t="n"/>
      <c r="P371" s="398" t="n"/>
      <c r="Q371" s="398" t="n"/>
      <c r="R371" s="398" t="n"/>
      <c r="S371" s="398" t="n"/>
      <c r="T371" s="398" t="n"/>
      <c r="U371" s="398" t="n"/>
      <c r="V371" s="398" t="n"/>
    </row>
    <row r="372" ht="15.75" customHeight="1">
      <c r="A372" s="398" t="n">
        <v>7</v>
      </c>
      <c r="B372" s="480" t="n"/>
      <c r="C372" s="481" t="n">
        <v>45853</v>
      </c>
      <c r="D372" s="482" t="inlineStr">
        <is>
          <t>202 G. HUERTAS-LA MANIGUA</t>
        </is>
      </c>
      <c r="E372" s="482" t="n">
        <v>42106</v>
      </c>
      <c r="F372" s="482" t="inlineStr">
        <is>
          <t>WILMER PIÑEROS</t>
        </is>
      </c>
      <c r="G372" s="482" t="n">
        <v>2592</v>
      </c>
      <c r="H372" s="482" t="n">
        <v>2573</v>
      </c>
      <c r="I372" s="482" t="n">
        <v>2</v>
      </c>
      <c r="J372" s="482" t="n">
        <v>19</v>
      </c>
      <c r="K372" s="482" t="n">
        <v>-2</v>
      </c>
      <c r="L372" s="483" t="n">
        <v>2592</v>
      </c>
      <c r="M372" s="484" t="inlineStr">
        <is>
          <t>FERNANDO SANDOVAL</t>
        </is>
      </c>
      <c r="N372" s="398" t="n"/>
      <c r="O372" s="398" t="n"/>
      <c r="P372" s="398" t="n"/>
      <c r="Q372" s="398" t="n"/>
      <c r="R372" s="398" t="n"/>
      <c r="S372" s="398" t="n"/>
      <c r="T372" s="398" t="n"/>
      <c r="U372" s="398" t="n"/>
      <c r="V372" s="398" t="n"/>
    </row>
    <row r="373" ht="15.75" customHeight="1">
      <c r="A373" s="398" t="n">
        <v>7</v>
      </c>
      <c r="B373" s="480" t="n"/>
      <c r="C373" s="481" t="n">
        <v>45853</v>
      </c>
      <c r="D373" s="482" t="inlineStr">
        <is>
          <t>202 G. HUERTAS-LA MANIGUA</t>
        </is>
      </c>
      <c r="E373" s="482" t="n">
        <v>42107</v>
      </c>
      <c r="F373" s="482" t="inlineStr">
        <is>
          <t>JAIRO CUBILLOS</t>
        </is>
      </c>
      <c r="G373" s="482" t="n">
        <v>3564</v>
      </c>
      <c r="H373" s="482" t="n">
        <v>3531</v>
      </c>
      <c r="I373" s="482" t="n">
        <v>5</v>
      </c>
      <c r="J373" s="482" t="n">
        <v>23</v>
      </c>
      <c r="K373" s="482" t="n">
        <v>5</v>
      </c>
      <c r="L373" s="483" t="n">
        <v>3564</v>
      </c>
      <c r="M373" s="484" t="inlineStr">
        <is>
          <t xml:space="preserve">WILMER PIÑEROS </t>
        </is>
      </c>
      <c r="N373" s="398" t="n"/>
      <c r="O373" s="398" t="n"/>
      <c r="P373" s="398" t="n"/>
      <c r="Q373" s="398" t="n"/>
      <c r="R373" s="398" t="n"/>
      <c r="S373" s="398" t="n"/>
      <c r="T373" s="398" t="n"/>
      <c r="U373" s="398" t="n"/>
      <c r="V373" s="398" t="n"/>
    </row>
    <row r="374" ht="15.75" customHeight="1">
      <c r="A374" s="398" t="n">
        <v>7</v>
      </c>
      <c r="B374" s="480" t="n"/>
      <c r="C374" s="481" t="n">
        <v>45853</v>
      </c>
      <c r="D374" s="482" t="inlineStr">
        <is>
          <t>202 G. HUERTAS-LA MANIGUA</t>
        </is>
      </c>
      <c r="E374" s="482" t="n">
        <v>42116</v>
      </c>
      <c r="F374" s="482" t="inlineStr">
        <is>
          <t>DUMAR ANGARITA</t>
        </is>
      </c>
      <c r="G374" s="482" t="n">
        <v>2907</v>
      </c>
      <c r="H374" s="482" t="n">
        <v>2858</v>
      </c>
      <c r="I374" s="482" t="n">
        <v>9</v>
      </c>
      <c r="J374" s="482" t="n">
        <v>37</v>
      </c>
      <c r="K374" s="482" t="n">
        <v>3</v>
      </c>
      <c r="L374" s="483" t="n">
        <v>3240</v>
      </c>
      <c r="M374" s="484" t="inlineStr">
        <is>
          <t>JAIRO CUBUILLOS</t>
        </is>
      </c>
      <c r="N374" s="398" t="n"/>
      <c r="O374" s="398" t="n"/>
      <c r="P374" s="398" t="n"/>
      <c r="Q374" s="398" t="n"/>
      <c r="R374" s="398" t="n"/>
      <c r="S374" s="398" t="n"/>
      <c r="T374" s="398" t="n"/>
      <c r="U374" s="398" t="n"/>
      <c r="V374" s="398" t="n"/>
    </row>
    <row r="375" ht="15.75" customHeight="1">
      <c r="A375" s="398" t="n">
        <v>7</v>
      </c>
      <c r="B375" s="480" t="n"/>
      <c r="C375" s="481" t="n">
        <v>45853</v>
      </c>
      <c r="D375" s="482" t="inlineStr">
        <is>
          <t>202 G. HUERTAS-LA MANIGUA</t>
        </is>
      </c>
      <c r="E375" s="482" t="n">
        <v>42117</v>
      </c>
      <c r="F375" s="482" t="inlineStr">
        <is>
          <t>FABIO ALDANA</t>
        </is>
      </c>
      <c r="G375" s="482" t="n">
        <v>3553</v>
      </c>
      <c r="H375" s="482" t="n">
        <v>3514</v>
      </c>
      <c r="I375" s="482" t="n">
        <v>6</v>
      </c>
      <c r="J375" s="482" t="n">
        <v>26</v>
      </c>
      <c r="K375" s="482" t="n">
        <v>7</v>
      </c>
      <c r="L375" s="483" t="n">
        <v>3564</v>
      </c>
      <c r="M375" s="484" t="inlineStr">
        <is>
          <t>DUMAR ANGARITA</t>
        </is>
      </c>
      <c r="N375" s="398" t="n"/>
      <c r="O375" s="398" t="n"/>
      <c r="P375" s="398" t="n"/>
      <c r="Q375" s="398" t="n"/>
      <c r="R375" s="398" t="n"/>
      <c r="S375" s="398" t="n"/>
      <c r="T375" s="398" t="n"/>
      <c r="U375" s="398" t="n"/>
      <c r="V375" s="398" t="n"/>
    </row>
    <row r="376" ht="15.75" customHeight="1">
      <c r="A376" s="398" t="n">
        <v>7</v>
      </c>
      <c r="B376" s="480" t="n"/>
      <c r="C376" s="481" t="n">
        <v>45853</v>
      </c>
      <c r="D376" s="482" t="inlineStr">
        <is>
          <t>202 G. HUERTAS</t>
        </is>
      </c>
      <c r="E376" s="482" t="n">
        <v>202405</v>
      </c>
      <c r="F376" s="482" t="inlineStr">
        <is>
          <t>CARLOS PORRAS</t>
        </is>
      </c>
      <c r="G376" s="482" t="n">
        <v>3300</v>
      </c>
      <c r="H376" s="482" t="n">
        <v>3207</v>
      </c>
      <c r="I376" s="482" t="n">
        <v>12</v>
      </c>
      <c r="J376" s="482" t="n">
        <v>72</v>
      </c>
      <c r="K376" s="482" t="n">
        <v>9</v>
      </c>
      <c r="L376" s="483" t="n">
        <v>3067</v>
      </c>
      <c r="M376" s="484" t="inlineStr">
        <is>
          <t>FABIO ALDANA</t>
        </is>
      </c>
      <c r="N376" s="398" t="n"/>
      <c r="O376" s="398" t="n"/>
      <c r="P376" s="398" t="n"/>
      <c r="Q376" s="398" t="n"/>
      <c r="R376" s="398" t="n"/>
      <c r="S376" s="398" t="n"/>
      <c r="T376" s="398" t="n"/>
      <c r="U376" s="398" t="n"/>
      <c r="V376" s="398" t="n"/>
    </row>
    <row r="377" ht="15.75" customHeight="1">
      <c r="A377" s="146" t="n">
        <v>7</v>
      </c>
      <c r="B377" s="238" t="n"/>
      <c r="C377" s="399" t="n">
        <v>45853</v>
      </c>
      <c r="D377" s="162" t="inlineStr">
        <is>
          <t>200 G. GARCERAS</t>
        </is>
      </c>
      <c r="E377" s="162" t="n">
        <v>42102</v>
      </c>
      <c r="F377" s="162" t="inlineStr">
        <is>
          <t>ALBERTO HERRERA</t>
        </is>
      </c>
      <c r="G377" s="162" t="n">
        <v>3067</v>
      </c>
      <c r="H377" s="162" t="n">
        <v>3039</v>
      </c>
      <c r="I377" s="162" t="n">
        <v>5</v>
      </c>
      <c r="J377" s="162" t="n">
        <v>5</v>
      </c>
      <c r="K377" s="162" t="n">
        <v>18</v>
      </c>
      <c r="L377" s="397" t="n">
        <v>3067</v>
      </c>
      <c r="M377" s="146" t="inlineStr">
        <is>
          <t>JOSE HERRERA</t>
        </is>
      </c>
      <c r="N377" s="113" t="n"/>
      <c r="O377" s="113" t="n"/>
      <c r="P377" s="398" t="n"/>
      <c r="Q377" s="398" t="n"/>
      <c r="R377" s="113" t="n"/>
      <c r="S377" s="113" t="n"/>
      <c r="T377" s="113" t="n"/>
      <c r="U377" s="113" t="n"/>
      <c r="V377" s="113" t="n"/>
    </row>
    <row r="378" ht="15.75" customHeight="1">
      <c r="A378" s="146" t="n">
        <v>7</v>
      </c>
      <c r="B378" s="238" t="n"/>
      <c r="C378" s="399" t="n">
        <v>45853</v>
      </c>
      <c r="D378" s="162" t="inlineStr">
        <is>
          <t>200 G. GARCERAS</t>
        </is>
      </c>
      <c r="E378" s="162" t="n">
        <v>42103</v>
      </c>
      <c r="F378" s="162" t="inlineStr">
        <is>
          <t>FERNANDO OYUELA</t>
        </is>
      </c>
      <c r="G378" s="162" t="n">
        <v>3067</v>
      </c>
      <c r="H378" s="162" t="n">
        <v>3041</v>
      </c>
      <c r="I378" s="162" t="n">
        <v>5</v>
      </c>
      <c r="J378" s="162" t="n">
        <v>4</v>
      </c>
      <c r="K378" s="162" t="n">
        <v>17</v>
      </c>
      <c r="L378" s="397" t="n">
        <v>3067</v>
      </c>
      <c r="M378" s="146" t="inlineStr">
        <is>
          <t>FERNANDO OYUELA</t>
        </is>
      </c>
      <c r="N378" s="113" t="n"/>
      <c r="O378" s="113" t="n"/>
      <c r="P378" s="398" t="n"/>
      <c r="Q378" s="398" t="n"/>
      <c r="R378" s="113" t="n"/>
      <c r="S378" s="113" t="n"/>
      <c r="T378" s="113" t="n"/>
      <c r="U378" s="113" t="n"/>
      <c r="V378" s="113" t="n"/>
    </row>
    <row r="379" ht="15.75" customHeight="1">
      <c r="A379" s="146" t="n">
        <v>7</v>
      </c>
      <c r="B379" s="238" t="n"/>
      <c r="C379" s="399" t="n">
        <v>45853</v>
      </c>
      <c r="D379" s="162" t="inlineStr">
        <is>
          <t>200 G. GARCERAS</t>
        </is>
      </c>
      <c r="E379" s="162" t="n">
        <v>42104</v>
      </c>
      <c r="F379" s="162" t="inlineStr">
        <is>
          <t>MANUEL QUITIAN</t>
        </is>
      </c>
      <c r="G379" s="162" t="n">
        <v>3067</v>
      </c>
      <c r="H379" s="162" t="n">
        <v>3041</v>
      </c>
      <c r="I379" s="162" t="n">
        <v>5</v>
      </c>
      <c r="J379" s="162" t="n">
        <v>3</v>
      </c>
      <c r="K379" s="162" t="n">
        <v>18</v>
      </c>
      <c r="L379" s="397" t="n">
        <v>3035</v>
      </c>
      <c r="M379" s="146" t="inlineStr">
        <is>
          <t>MANUEL QUITIAN</t>
        </is>
      </c>
      <c r="N379" s="113" t="n"/>
      <c r="O379" s="113" t="n"/>
      <c r="P379" s="398" t="n"/>
      <c r="Q379" s="398" t="n"/>
      <c r="R379" s="113" t="n"/>
      <c r="S379" s="113" t="n"/>
      <c r="T379" s="113" t="n"/>
      <c r="U379" s="113" t="n"/>
      <c r="V379" s="113" t="n"/>
    </row>
    <row r="380" ht="15.75" customHeight="1">
      <c r="A380" s="146" t="n">
        <v>7</v>
      </c>
      <c r="B380" s="238" t="n"/>
      <c r="C380" s="399" t="n">
        <v>45853</v>
      </c>
      <c r="D380" s="162" t="inlineStr">
        <is>
          <t>200 G. GARCERAS</t>
        </is>
      </c>
      <c r="E380" s="162" t="n">
        <v>42105</v>
      </c>
      <c r="F380" s="162" t="inlineStr">
        <is>
          <t>JHON AGUIRRE</t>
        </is>
      </c>
      <c r="G380" s="162" t="n">
        <v>3035</v>
      </c>
      <c r="H380" s="162" t="n">
        <v>3041</v>
      </c>
      <c r="I380" s="162" t="n">
        <v>2</v>
      </c>
      <c r="J380" s="162" t="n">
        <v>6</v>
      </c>
      <c r="K380" s="162" t="n">
        <v>-14</v>
      </c>
      <c r="L380" s="397" t="n">
        <v>3035</v>
      </c>
      <c r="M380" s="146" t="inlineStr">
        <is>
          <t>JHON AGUIRRE</t>
        </is>
      </c>
      <c r="N380" s="113" t="n"/>
      <c r="O380" s="113" t="n"/>
      <c r="P380" s="398" t="n"/>
      <c r="Q380" s="398" t="n"/>
      <c r="R380" s="113" t="n"/>
      <c r="S380" s="113" t="n"/>
      <c r="T380" s="113" t="n"/>
      <c r="U380" s="113" t="n"/>
      <c r="V380" s="113" t="n"/>
    </row>
    <row r="381" ht="15.75" customHeight="1">
      <c r="A381" s="146" t="n">
        <v>7</v>
      </c>
      <c r="B381" s="238" t="n"/>
      <c r="C381" s="399" t="n">
        <v>45853</v>
      </c>
      <c r="D381" s="162" t="inlineStr">
        <is>
          <t>200 G. GARCERAS</t>
        </is>
      </c>
      <c r="E381" s="162" t="n">
        <v>42118</v>
      </c>
      <c r="F381" s="162" t="inlineStr">
        <is>
          <t>FERNANDO OYUELA</t>
        </is>
      </c>
      <c r="G381" s="162" t="n">
        <v>3035</v>
      </c>
      <c r="H381" s="162" t="n">
        <v>3012</v>
      </c>
      <c r="I381" s="162" t="n">
        <v>1</v>
      </c>
      <c r="J381" s="162" t="n">
        <v>5</v>
      </c>
      <c r="K381" s="162" t="n">
        <v>17</v>
      </c>
      <c r="L381" s="397" t="n">
        <v>3035</v>
      </c>
      <c r="M381" s="146" t="inlineStr">
        <is>
          <t>FERNANDO OYUELA</t>
        </is>
      </c>
      <c r="N381" s="113" t="n"/>
      <c r="O381" s="113" t="n"/>
      <c r="P381" s="398" t="n"/>
      <c r="Q381" s="398" t="n"/>
      <c r="R381" s="113" t="n"/>
      <c r="S381" s="113" t="n"/>
      <c r="T381" s="113" t="n"/>
      <c r="U381" s="113" t="n"/>
      <c r="V381" s="113" t="n"/>
    </row>
    <row r="382" ht="15.75" customHeight="1">
      <c r="A382" s="146" t="n">
        <v>7</v>
      </c>
      <c r="B382" s="238" t="n"/>
      <c r="C382" s="399" t="n">
        <v>45853</v>
      </c>
      <c r="D382" s="162" t="inlineStr">
        <is>
          <t>200 G. GARCERAS</t>
        </is>
      </c>
      <c r="E382" s="162" t="n">
        <v>42119</v>
      </c>
      <c r="F382" s="162" t="inlineStr">
        <is>
          <t>JHON AIRAS</t>
        </is>
      </c>
      <c r="G382" s="162" t="n">
        <v>3035</v>
      </c>
      <c r="H382" s="162" t="n">
        <v>3013</v>
      </c>
      <c r="I382" s="162" t="n">
        <v>0</v>
      </c>
      <c r="J382" s="162" t="n">
        <v>5</v>
      </c>
      <c r="K382" s="162" t="n">
        <v>17</v>
      </c>
      <c r="L382" s="397" t="n">
        <v>3035</v>
      </c>
      <c r="M382" s="146" t="inlineStr">
        <is>
          <t>MANUEL QUITIAN</t>
        </is>
      </c>
      <c r="N382" s="113" t="n"/>
      <c r="O382" s="113" t="n"/>
      <c r="P382" s="398" t="n"/>
      <c r="Q382" s="398" t="n"/>
      <c r="R382" s="113" t="n"/>
      <c r="S382" s="113" t="n"/>
      <c r="T382" s="113" t="n"/>
      <c r="U382" s="113" t="n"/>
      <c r="V382" s="113" t="n"/>
    </row>
    <row r="383" ht="15.75" customHeight="1">
      <c r="A383" s="146" t="n">
        <v>7</v>
      </c>
      <c r="B383" s="238" t="n"/>
      <c r="C383" s="399" t="n">
        <v>45853</v>
      </c>
      <c r="D383" s="162" t="inlineStr">
        <is>
          <t>200 G. GARCERAS</t>
        </is>
      </c>
      <c r="E383" s="162" t="n">
        <v>42120</v>
      </c>
      <c r="F383" s="162" t="inlineStr">
        <is>
          <t>JHO AGUIRRE</t>
        </is>
      </c>
      <c r="G383" s="162" t="n">
        <v>3035</v>
      </c>
      <c r="H383" s="162" t="n">
        <v>2995</v>
      </c>
      <c r="I383" s="162" t="n">
        <v>0</v>
      </c>
      <c r="J383" s="162" t="n">
        <v>5</v>
      </c>
      <c r="K383" s="162" t="n">
        <v>35</v>
      </c>
      <c r="L383" s="397" t="n">
        <v>3035</v>
      </c>
      <c r="M383" s="146" t="inlineStr">
        <is>
          <t>JHON AGUIRRE</t>
        </is>
      </c>
      <c r="N383" s="113" t="n"/>
      <c r="O383" s="113" t="n"/>
      <c r="P383" s="398" t="n"/>
      <c r="Q383" s="398" t="n"/>
      <c r="R383" s="113" t="n"/>
      <c r="S383" s="113" t="n"/>
      <c r="T383" s="113" t="n"/>
      <c r="U383" s="113" t="n"/>
      <c r="V383" s="113" t="n"/>
    </row>
    <row r="384" ht="15.75" customHeight="1">
      <c r="A384" s="146" t="n">
        <v>7</v>
      </c>
      <c r="B384" s="238" t="n"/>
      <c r="C384" s="399" t="n">
        <v>45853</v>
      </c>
      <c r="D384" s="162" t="inlineStr">
        <is>
          <t>200 G. GARCERAS</t>
        </is>
      </c>
      <c r="E384" s="162" t="n">
        <v>42121</v>
      </c>
      <c r="F384" s="162" t="inlineStr">
        <is>
          <t>WILMER PIÑEROS</t>
        </is>
      </c>
      <c r="G384" s="162" t="n">
        <v>3035</v>
      </c>
      <c r="H384" s="162" t="n">
        <v>3130</v>
      </c>
      <c r="I384" s="162" t="n">
        <v>2</v>
      </c>
      <c r="J384" s="162" t="n">
        <v>7</v>
      </c>
      <c r="K384" s="162" t="n">
        <v>-104</v>
      </c>
      <c r="L384" s="397" t="n">
        <v>3300</v>
      </c>
      <c r="M384" s="146" t="inlineStr">
        <is>
          <t xml:space="preserve">WILMER PIÑEROS </t>
        </is>
      </c>
      <c r="N384" s="113" t="n"/>
      <c r="O384" s="113" t="n"/>
      <c r="P384" s="398" t="n"/>
      <c r="Q384" s="398" t="n"/>
      <c r="R384" s="113" t="n"/>
      <c r="S384" s="113" t="n"/>
      <c r="T384" s="113" t="n"/>
      <c r="U384" s="113" t="n"/>
      <c r="V384" s="113" t="n"/>
    </row>
    <row r="385" ht="15.75" customHeight="1">
      <c r="A385" s="398" t="n">
        <v>7</v>
      </c>
      <c r="B385" s="480" t="n"/>
      <c r="C385" s="481" t="n">
        <v>45854</v>
      </c>
      <c r="D385" s="482" t="inlineStr">
        <is>
          <t>202 G. HUERTAS</t>
        </is>
      </c>
      <c r="E385" s="482" t="n">
        <v>202413</v>
      </c>
      <c r="F385" s="482" t="inlineStr">
        <is>
          <t>PEDRO IGNACIO BARRETO CUESTA</t>
        </is>
      </c>
      <c r="G385" s="482" t="n">
        <v>3240</v>
      </c>
      <c r="H385" s="482" t="n">
        <v>3190</v>
      </c>
      <c r="I385" s="482" t="n">
        <v>11</v>
      </c>
      <c r="J385" s="482" t="n">
        <v>34</v>
      </c>
      <c r="K385" s="482" t="n">
        <v>5</v>
      </c>
      <c r="L385" s="483" t="n">
        <v>3240</v>
      </c>
      <c r="M385" s="484" t="inlineStr">
        <is>
          <t>PEDRO BARRETO</t>
        </is>
      </c>
      <c r="N385" s="398" t="inlineStr">
        <is>
          <t>ANDRES PORRAS</t>
        </is>
      </c>
      <c r="O385" s="398" t="n"/>
      <c r="P385" s="398" t="n"/>
      <c r="Q385" s="398" t="n"/>
      <c r="R385" s="398" t="n"/>
      <c r="S385" s="398" t="n"/>
      <c r="T385" s="398" t="n"/>
      <c r="U385" s="398" t="n"/>
      <c r="V385" s="398" t="n"/>
    </row>
    <row r="386" ht="15.75" customHeight="1">
      <c r="A386" s="398" t="n">
        <v>7</v>
      </c>
      <c r="B386" s="480" t="n"/>
      <c r="C386" s="481" t="n">
        <v>45854</v>
      </c>
      <c r="D386" s="482" t="inlineStr">
        <is>
          <t>202 G. HUERTAS</t>
        </is>
      </c>
      <c r="E386" s="482" t="n">
        <v>202415</v>
      </c>
      <c r="F386" s="482" t="inlineStr">
        <is>
          <t>MERVIN STIVEN CORTES</t>
        </is>
      </c>
      <c r="G386" s="482" t="n">
        <v>3322</v>
      </c>
      <c r="H386" s="482" t="n">
        <v>3190</v>
      </c>
      <c r="I386" s="482" t="n">
        <v>4</v>
      </c>
      <c r="J386" s="482" t="n">
        <v>23</v>
      </c>
      <c r="K386" s="482" t="n">
        <v>105</v>
      </c>
      <c r="L386" s="483" t="n">
        <v>3212</v>
      </c>
      <c r="M386" s="484" t="inlineStr">
        <is>
          <t>MERBIN CORTES</t>
        </is>
      </c>
      <c r="N386" s="398" t="n"/>
      <c r="O386" s="398" t="n"/>
      <c r="P386" s="398" t="n"/>
      <c r="Q386" s="398" t="n"/>
      <c r="R386" s="398" t="n"/>
      <c r="S386" s="398" t="n"/>
      <c r="T386" s="398" t="n"/>
      <c r="U386" s="398" t="n"/>
      <c r="V386" s="398" t="n"/>
    </row>
    <row r="387" ht="15.75" customHeight="1">
      <c r="A387" s="146" t="n">
        <v>7</v>
      </c>
      <c r="B387" s="238" t="n"/>
      <c r="C387" s="399" t="n">
        <v>45854</v>
      </c>
      <c r="D387" s="162" t="inlineStr">
        <is>
          <t>200 G. GARCERAS</t>
        </is>
      </c>
      <c r="E387" s="162" t="n">
        <v>42130</v>
      </c>
      <c r="F387" s="162" t="inlineStr">
        <is>
          <t>WILMER PIÑEROS</t>
        </is>
      </c>
      <c r="G387" s="162" t="n">
        <v>2951</v>
      </c>
      <c r="H387" s="162" t="n">
        <v>2938</v>
      </c>
      <c r="I387" s="162" t="n">
        <v>20</v>
      </c>
      <c r="J387" s="162" t="n">
        <v>7</v>
      </c>
      <c r="K387" s="162" t="n">
        <v>-14</v>
      </c>
      <c r="L387" s="397" t="n">
        <v>2951</v>
      </c>
      <c r="M387" s="146" t="inlineStr">
        <is>
          <t xml:space="preserve">WILMER PIÑEROS </t>
        </is>
      </c>
      <c r="N387" s="113" t="n"/>
      <c r="O387" s="113" t="n"/>
      <c r="P387" s="398" t="n"/>
      <c r="Q387" s="398" t="n"/>
      <c r="R387" s="113" t="n"/>
      <c r="S387" s="113" t="n"/>
      <c r="T387" s="113" t="n"/>
      <c r="U387" s="113" t="n"/>
      <c r="V387" s="113" t="n"/>
    </row>
    <row r="388" ht="15.75" customHeight="1">
      <c r="A388" s="146" t="n">
        <v>7</v>
      </c>
      <c r="B388" s="238" t="n"/>
      <c r="C388" s="399" t="n">
        <v>45854</v>
      </c>
      <c r="D388" s="162" t="inlineStr">
        <is>
          <t>200 G. GARCERAS</t>
        </is>
      </c>
      <c r="E388" s="162" t="n">
        <v>41231</v>
      </c>
      <c r="F388" s="162" t="inlineStr">
        <is>
          <t>DIEGO NIÑO</t>
        </is>
      </c>
      <c r="G388" s="162" t="n">
        <v>2951</v>
      </c>
      <c r="H388" s="162" t="n">
        <v>2947</v>
      </c>
      <c r="I388" s="162" t="n">
        <v>5</v>
      </c>
      <c r="J388" s="162" t="n">
        <v>8</v>
      </c>
      <c r="K388" s="162" t="n">
        <v>-9</v>
      </c>
      <c r="L388" s="397" t="n">
        <v>2951</v>
      </c>
      <c r="M388" s="146" t="inlineStr">
        <is>
          <t>EDWIN ROJAS</t>
        </is>
      </c>
      <c r="N388" s="113" t="n"/>
      <c r="O388" s="113" t="n"/>
      <c r="P388" s="398" t="n"/>
      <c r="Q388" s="398" t="n"/>
      <c r="R388" s="113" t="n"/>
      <c r="S388" s="113" t="n"/>
      <c r="T388" s="113" t="n"/>
      <c r="U388" s="113" t="n"/>
      <c r="V388" s="113" t="n"/>
    </row>
    <row r="389" ht="15.75" customHeight="1">
      <c r="A389" s="146" t="n">
        <v>7</v>
      </c>
      <c r="B389" s="238" t="n"/>
      <c r="C389" s="399" t="n">
        <v>45854</v>
      </c>
      <c r="D389" s="162" t="inlineStr">
        <is>
          <t>200 G. GARCERAS</t>
        </is>
      </c>
      <c r="E389" s="162" t="n">
        <v>41231</v>
      </c>
      <c r="F389" s="162" t="inlineStr">
        <is>
          <t>YAIR RIVEROS</t>
        </is>
      </c>
      <c r="G389" s="162" t="n">
        <v>2951</v>
      </c>
      <c r="H389" s="162" t="n">
        <v>2950</v>
      </c>
      <c r="I389" s="162" t="n">
        <v>3</v>
      </c>
      <c r="J389" s="162" t="n">
        <v>5</v>
      </c>
      <c r="K389" s="162" t="n">
        <v>-7</v>
      </c>
      <c r="L389" s="397" t="n">
        <v>2951</v>
      </c>
      <c r="M389" s="146" t="inlineStr">
        <is>
          <t>DIEGO NIÑO</t>
        </is>
      </c>
      <c r="N389" s="113" t="n"/>
      <c r="O389" s="113" t="n"/>
      <c r="P389" s="398" t="n"/>
      <c r="Q389" s="398" t="n"/>
      <c r="R389" s="113" t="n"/>
      <c r="S389" s="113" t="n"/>
      <c r="T389" s="113" t="n"/>
      <c r="U389" s="113" t="n"/>
      <c r="V389" s="113" t="n"/>
    </row>
    <row r="390" ht="15.75" customHeight="1">
      <c r="A390" s="146" t="n">
        <v>7</v>
      </c>
      <c r="B390" s="238" t="n"/>
      <c r="C390" s="399" t="n">
        <v>45854</v>
      </c>
      <c r="D390" s="162" t="inlineStr">
        <is>
          <t>200 G. GARCERAS</t>
        </is>
      </c>
      <c r="E390" s="162" t="n">
        <v>42133</v>
      </c>
      <c r="F390" s="162" t="inlineStr">
        <is>
          <t>ALBERTO LOPEZ</t>
        </is>
      </c>
      <c r="G390" s="162" t="n">
        <v>2976</v>
      </c>
      <c r="H390" s="162" t="n">
        <v>2973</v>
      </c>
      <c r="I390" s="162" t="n">
        <v>0</v>
      </c>
      <c r="J390" s="162" t="n">
        <v>7</v>
      </c>
      <c r="K390" s="162" t="n">
        <v>-4</v>
      </c>
      <c r="L390" s="397" t="n">
        <v>2951</v>
      </c>
      <c r="M390" s="146" t="inlineStr">
        <is>
          <t>YAIR RIVEROS</t>
        </is>
      </c>
      <c r="N390" s="113" t="n"/>
      <c r="O390" s="113" t="n"/>
      <c r="P390" s="398" t="n"/>
      <c r="Q390" s="398" t="n"/>
      <c r="R390" s="113" t="n"/>
      <c r="S390" s="113" t="n"/>
      <c r="T390" s="113" t="n"/>
      <c r="U390" s="113" t="n"/>
      <c r="V390" s="113" t="n"/>
    </row>
    <row r="391" ht="15.75" customHeight="1">
      <c r="A391" s="146" t="n">
        <v>7</v>
      </c>
      <c r="B391" s="238" t="n"/>
      <c r="C391" s="399" t="n">
        <v>45854</v>
      </c>
      <c r="D391" s="162" t="inlineStr">
        <is>
          <t>200 G. GARCERAS</t>
        </is>
      </c>
      <c r="E391" s="162" t="n">
        <v>42134</v>
      </c>
      <c r="F391" s="162" t="inlineStr">
        <is>
          <t>ALEX GOMEZ</t>
        </is>
      </c>
      <c r="G391" s="162" t="n">
        <v>3179</v>
      </c>
      <c r="H391" s="162" t="n">
        <v>3166</v>
      </c>
      <c r="I391" s="162" t="n">
        <v>7</v>
      </c>
      <c r="J391" s="162" t="n">
        <v>6</v>
      </c>
      <c r="K391" s="162" t="n">
        <v>0</v>
      </c>
      <c r="L391" s="397" t="n">
        <v>2975</v>
      </c>
      <c r="M391" s="146" t="inlineStr">
        <is>
          <t xml:space="preserve">ALBERTO LOPEZ </t>
        </is>
      </c>
      <c r="N391" s="113" t="n"/>
      <c r="O391" s="113" t="n"/>
      <c r="P391" s="398" t="n"/>
      <c r="Q391" s="398" t="n"/>
      <c r="R391" s="113" t="n"/>
      <c r="S391" s="113" t="n"/>
      <c r="T391" s="113" t="n"/>
      <c r="U391" s="113" t="n"/>
      <c r="V391" s="113" t="n"/>
    </row>
    <row r="392" ht="15.75" customHeight="1">
      <c r="A392" s="146" t="n">
        <v>7</v>
      </c>
      <c r="B392" s="238" t="n"/>
      <c r="C392" s="399" t="n">
        <v>45854</v>
      </c>
      <c r="D392" s="162" t="inlineStr">
        <is>
          <t>200 G. GARCERAS</t>
        </is>
      </c>
      <c r="E392" s="162" t="n">
        <v>42135</v>
      </c>
      <c r="F392" s="162" t="inlineStr">
        <is>
          <t>HENRY ROMERO</t>
        </is>
      </c>
      <c r="G392" s="162" t="n">
        <v>3179</v>
      </c>
      <c r="H392" s="162" t="n">
        <v>3164</v>
      </c>
      <c r="I392" s="162" t="n">
        <v>7</v>
      </c>
      <c r="J392" s="162" t="n">
        <v>8</v>
      </c>
      <c r="K392" s="162" t="n">
        <v>0</v>
      </c>
      <c r="L392" s="397" t="n">
        <v>3179</v>
      </c>
      <c r="M392" s="146" t="inlineStr">
        <is>
          <t>ALEX GOMEZ</t>
        </is>
      </c>
      <c r="N392" s="113" t="n"/>
      <c r="O392" s="113" t="n"/>
      <c r="P392" s="398" t="n"/>
      <c r="Q392" s="398" t="n"/>
      <c r="R392" s="113" t="n"/>
      <c r="S392" s="113" t="n"/>
      <c r="T392" s="113" t="n"/>
      <c r="U392" s="113" t="n"/>
      <c r="V392" s="113" t="n"/>
    </row>
    <row r="393" ht="15.75" customHeight="1">
      <c r="A393" s="146" t="n">
        <v>7</v>
      </c>
      <c r="B393" s="238" t="n"/>
      <c r="C393" s="399" t="n">
        <v>45854</v>
      </c>
      <c r="D393" s="162" t="inlineStr">
        <is>
          <t>200 G. GARCERAS</t>
        </is>
      </c>
      <c r="E393" s="162" t="n">
        <v>42136</v>
      </c>
      <c r="F393" s="162" t="inlineStr">
        <is>
          <t>JAIRO CUBILLOS</t>
        </is>
      </c>
      <c r="G393" s="162" t="n">
        <v>3179</v>
      </c>
      <c r="H393" s="162" t="n">
        <v>3167</v>
      </c>
      <c r="I393" s="162" t="n">
        <v>6</v>
      </c>
      <c r="J393" s="162" t="n">
        <v>6</v>
      </c>
      <c r="K393" s="162" t="n">
        <v>0</v>
      </c>
      <c r="L393" s="397" t="n">
        <v>3179</v>
      </c>
      <c r="M393" s="146" t="inlineStr">
        <is>
          <t xml:space="preserve">JAIRO CUBILLOS </t>
        </is>
      </c>
      <c r="N393" s="113" t="n"/>
      <c r="O393" s="113" t="n"/>
      <c r="P393" s="398" t="n"/>
      <c r="Q393" s="398" t="n"/>
      <c r="R393" s="113" t="n"/>
      <c r="S393" s="113" t="n"/>
      <c r="T393" s="113" t="n"/>
      <c r="U393" s="113" t="n"/>
      <c r="V393" s="113" t="n"/>
    </row>
    <row r="394" ht="15.75" customHeight="1">
      <c r="A394" s="146" t="n">
        <v>7</v>
      </c>
      <c r="B394" s="238" t="n"/>
      <c r="C394" s="399" t="n">
        <v>45854</v>
      </c>
      <c r="D394" s="162" t="inlineStr">
        <is>
          <t>200 G. GARCERAS</t>
        </is>
      </c>
      <c r="E394" s="162" t="n">
        <v>42137</v>
      </c>
      <c r="F394" s="162" t="inlineStr">
        <is>
          <t>EDWIN ROJAS</t>
        </is>
      </c>
      <c r="G394" s="162" t="n">
        <v>2951</v>
      </c>
      <c r="H394" s="162" t="n">
        <v>2948</v>
      </c>
      <c r="I394" s="162" t="n">
        <v>5</v>
      </c>
      <c r="J394" s="162" t="n">
        <v>4</v>
      </c>
      <c r="K394" s="162" t="n">
        <v>-6</v>
      </c>
      <c r="L394" s="397" t="n">
        <v>3179</v>
      </c>
      <c r="M394" s="146" t="inlineStr">
        <is>
          <t>HENRY ROMERO</t>
        </is>
      </c>
      <c r="N394" s="113" t="n"/>
      <c r="O394" s="113" t="n"/>
      <c r="P394" s="398" t="n"/>
      <c r="Q394" s="398" t="n"/>
      <c r="R394" s="113" t="n"/>
      <c r="S394" s="113" t="n"/>
      <c r="T394" s="113" t="n"/>
      <c r="U394" s="113" t="n"/>
      <c r="V394" s="113" t="n"/>
    </row>
    <row r="395" ht="15.75" customHeight="1">
      <c r="A395" s="146" t="n">
        <v>7</v>
      </c>
      <c r="B395" s="238" t="n"/>
      <c r="C395" s="399" t="n">
        <v>45854</v>
      </c>
      <c r="D395" s="162" t="inlineStr">
        <is>
          <t>200 G. GARCERAS</t>
        </is>
      </c>
      <c r="E395" s="162" t="n">
        <v>42146</v>
      </c>
      <c r="F395" s="162" t="inlineStr">
        <is>
          <t>EDWIN ROJAS</t>
        </is>
      </c>
      <c r="G395" s="162" t="n">
        <v>3179</v>
      </c>
      <c r="H395" s="162" t="n">
        <v>3167</v>
      </c>
      <c r="I395" s="162" t="n">
        <v>1</v>
      </c>
      <c r="J395" s="162" t="n">
        <v>7</v>
      </c>
      <c r="K395" s="162" t="n">
        <v>4</v>
      </c>
      <c r="L395" s="397" t="n">
        <v>3179</v>
      </c>
      <c r="M395" s="146" t="inlineStr">
        <is>
          <t>EDWIN ROJAS</t>
        </is>
      </c>
      <c r="N395" s="113" t="n"/>
      <c r="O395" s="113" t="n"/>
      <c r="P395" s="398" t="n"/>
      <c r="Q395" s="398" t="n"/>
      <c r="R395" s="113" t="n"/>
      <c r="S395" s="113" t="n"/>
      <c r="T395" s="113" t="n"/>
      <c r="U395" s="113" t="n"/>
      <c r="V395" s="113" t="n"/>
    </row>
    <row r="396" ht="15.75" customHeight="1">
      <c r="A396" s="146" t="n">
        <v>7</v>
      </c>
      <c r="B396" s="238" t="n"/>
      <c r="C396" s="399" t="n">
        <v>45854</v>
      </c>
      <c r="D396" s="162" t="inlineStr">
        <is>
          <t>200 G. GARCERAS</t>
        </is>
      </c>
      <c r="E396" s="162" t="n">
        <v>42147</v>
      </c>
      <c r="F396" s="162" t="inlineStr">
        <is>
          <t>DIEGO NIÑO</t>
        </is>
      </c>
      <c r="G396" s="162" t="n">
        <v>3400</v>
      </c>
      <c r="H396" s="162" t="n">
        <v>3388</v>
      </c>
      <c r="I396" s="162" t="n">
        <v>0</v>
      </c>
      <c r="J396" s="162" t="n">
        <v>7</v>
      </c>
      <c r="K396" s="162" t="n">
        <v>5</v>
      </c>
      <c r="L396" s="397" t="n">
        <v>3400</v>
      </c>
      <c r="M396" s="146" t="inlineStr">
        <is>
          <t>DIEGO NIÑO</t>
        </is>
      </c>
      <c r="N396" s="113" t="n"/>
      <c r="O396" s="113" t="n"/>
      <c r="P396" s="398" t="n"/>
      <c r="Q396" s="398" t="n"/>
      <c r="R396" s="113" t="n"/>
      <c r="S396" s="113" t="n"/>
      <c r="T396" s="113" t="n"/>
      <c r="U396" s="113" t="n"/>
      <c r="V396" s="113" t="n"/>
    </row>
    <row r="397" ht="15.75" customHeight="1">
      <c r="A397" s="146" t="n">
        <v>7</v>
      </c>
      <c r="B397" s="238" t="n"/>
      <c r="C397" s="399" t="n">
        <v>45854</v>
      </c>
      <c r="D397" s="162" t="inlineStr">
        <is>
          <t>200 G. GARCERAS</t>
        </is>
      </c>
      <c r="E397" s="162" t="n">
        <v>42148</v>
      </c>
      <c r="F397" s="162" t="inlineStr">
        <is>
          <t>ALBERTO LOPEZ</t>
        </is>
      </c>
      <c r="G397" s="162" t="n">
        <v>3148</v>
      </c>
      <c r="H397" s="162" t="n">
        <v>3140</v>
      </c>
      <c r="I397" s="162" t="n">
        <v>1</v>
      </c>
      <c r="J397" s="162" t="n">
        <v>7</v>
      </c>
      <c r="K397" s="162" t="n">
        <v>0</v>
      </c>
      <c r="L397" s="397" t="n">
        <v>3148</v>
      </c>
      <c r="M397" s="146" t="inlineStr">
        <is>
          <t xml:space="preserve">ALBERTO LOPEZ </t>
        </is>
      </c>
      <c r="N397" s="113" t="n"/>
      <c r="O397" s="113" t="n"/>
      <c r="P397" s="398" t="n"/>
      <c r="Q397" s="398" t="n"/>
      <c r="R397" s="113" t="n"/>
      <c r="S397" s="113" t="n"/>
      <c r="T397" s="113" t="n"/>
      <c r="U397" s="113" t="n"/>
      <c r="V397" s="113" t="n"/>
    </row>
    <row r="398" ht="15.75" customHeight="1">
      <c r="A398" s="146" t="n">
        <v>7</v>
      </c>
      <c r="B398" s="238" t="n"/>
      <c r="C398" s="399" t="n">
        <v>45854</v>
      </c>
      <c r="D398" s="162" t="inlineStr">
        <is>
          <t>200 G. GARCERAS</t>
        </is>
      </c>
      <c r="E398" s="162" t="n">
        <v>42149</v>
      </c>
      <c r="F398" s="162" t="inlineStr">
        <is>
          <t>HENRY ROMERO</t>
        </is>
      </c>
      <c r="G398" s="162" t="n">
        <v>3148</v>
      </c>
      <c r="H398" s="162" t="n">
        <v>3134</v>
      </c>
      <c r="I398" s="162" t="n">
        <v>1</v>
      </c>
      <c r="J398" s="162" t="n">
        <v>6</v>
      </c>
      <c r="K398" s="162" t="n">
        <v>7</v>
      </c>
      <c r="L398" s="397" t="n">
        <v>3148</v>
      </c>
      <c r="M398" s="146" t="inlineStr">
        <is>
          <t>HENRY ROMERO</t>
        </is>
      </c>
      <c r="N398" s="113" t="n"/>
      <c r="O398" s="113" t="n"/>
      <c r="P398" s="398" t="n"/>
      <c r="Q398" s="398" t="n"/>
      <c r="R398" s="113" t="n"/>
      <c r="S398" s="113" t="n"/>
      <c r="T398" s="113" t="n"/>
      <c r="U398" s="113" t="n"/>
      <c r="V398" s="113" t="n"/>
    </row>
    <row r="399" ht="15.75" customHeight="1">
      <c r="A399" s="146" t="n">
        <v>7</v>
      </c>
      <c r="B399" s="238" t="n"/>
      <c r="C399" s="399" t="n">
        <v>45854</v>
      </c>
      <c r="D399" s="162" t="inlineStr">
        <is>
          <t>200 G. GARCERAS</t>
        </is>
      </c>
      <c r="E399" s="162" t="n">
        <v>42150</v>
      </c>
      <c r="F399" s="162" t="inlineStr">
        <is>
          <t>JHON AGUIRRE</t>
        </is>
      </c>
      <c r="G399" s="162" t="n">
        <v>2760</v>
      </c>
      <c r="H399" s="162" t="n">
        <v>2693</v>
      </c>
      <c r="I399" s="162" t="n">
        <v>1</v>
      </c>
      <c r="J399" s="162" t="n">
        <v>6</v>
      </c>
      <c r="K399" s="162" t="n">
        <v>60</v>
      </c>
      <c r="L399" s="397" t="n">
        <v>2680</v>
      </c>
      <c r="M399" s="398" t="inlineStr">
        <is>
          <t>JHON AGUIRRE</t>
        </is>
      </c>
      <c r="N399" s="113" t="n"/>
      <c r="O399" s="113" t="n"/>
      <c r="P399" s="398" t="n"/>
      <c r="Q399" s="398" t="n"/>
      <c r="R399" s="113" t="n"/>
      <c r="S399" s="113" t="n"/>
      <c r="T399" s="113" t="n"/>
      <c r="U399" s="113" t="n"/>
      <c r="V399" s="113" t="n"/>
    </row>
    <row r="400" ht="15.75" customHeight="1">
      <c r="A400" s="398" t="n">
        <v>7</v>
      </c>
      <c r="B400" s="480" t="n"/>
      <c r="C400" s="481" t="n">
        <v>45855</v>
      </c>
      <c r="D400" s="482" t="inlineStr">
        <is>
          <t>202 G. HUERTAS</t>
        </is>
      </c>
      <c r="E400" s="482" t="n">
        <v>202427</v>
      </c>
      <c r="F400" s="482" t="inlineStr">
        <is>
          <t>FABIO FAJARDO AGUILAR</t>
        </is>
      </c>
      <c r="G400" s="482" t="n">
        <v>2662</v>
      </c>
      <c r="H400" s="482" t="n">
        <v>2621</v>
      </c>
      <c r="I400" s="482" t="n">
        <v>5</v>
      </c>
      <c r="J400" s="482" t="n">
        <v>36</v>
      </c>
      <c r="K400" s="482" t="n">
        <v>0</v>
      </c>
      <c r="L400" s="483" t="n">
        <v>2662</v>
      </c>
      <c r="M400" s="484" t="inlineStr">
        <is>
          <t>ELIGIO RODRIGUEZ</t>
        </is>
      </c>
      <c r="N400" s="398" t="n"/>
      <c r="O400" s="398" t="n"/>
      <c r="P400" s="398" t="n"/>
      <c r="Q400" s="398" t="n"/>
      <c r="R400" s="398" t="n"/>
      <c r="S400" s="398" t="n"/>
      <c r="T400" s="398" t="n"/>
      <c r="U400" s="398" t="n"/>
      <c r="V400" s="398" t="n"/>
    </row>
    <row r="401" ht="15.75" customHeight="1">
      <c r="A401" s="398" t="n">
        <v>7</v>
      </c>
      <c r="B401" s="480" t="n"/>
      <c r="C401" s="481" t="n">
        <v>45855</v>
      </c>
      <c r="D401" s="482" t="inlineStr">
        <is>
          <t>202 G. HUERTAS</t>
        </is>
      </c>
      <c r="E401" s="482" t="n">
        <v>202431</v>
      </c>
      <c r="F401" s="482" t="inlineStr">
        <is>
          <t>LUIS GERMAN QUITIAN PEÑA</t>
        </is>
      </c>
      <c r="G401" s="482" t="n">
        <v>2662</v>
      </c>
      <c r="H401" s="482" t="n">
        <v>2630</v>
      </c>
      <c r="I401" s="482" t="n">
        <v>6</v>
      </c>
      <c r="J401" s="482" t="n">
        <v>25</v>
      </c>
      <c r="K401" s="482" t="n">
        <v>1</v>
      </c>
      <c r="L401" s="483" t="n">
        <v>2662</v>
      </c>
      <c r="M401" s="484" t="inlineStr">
        <is>
          <t>GERMAN QUITIAN</t>
        </is>
      </c>
      <c r="N401" s="398" t="n"/>
      <c r="O401" s="398" t="n"/>
      <c r="P401" s="398" t="n"/>
      <c r="Q401" s="398" t="n"/>
      <c r="R401" s="398" t="n"/>
      <c r="S401" s="398" t="n"/>
      <c r="T401" s="398" t="n"/>
      <c r="U401" s="398" t="n"/>
      <c r="V401" s="398" t="n"/>
    </row>
    <row r="402" ht="15.75" customHeight="1">
      <c r="A402" s="398" t="n">
        <v>7</v>
      </c>
      <c r="B402" s="480" t="n"/>
      <c r="C402" s="481" t="n">
        <v>45855</v>
      </c>
      <c r="D402" s="482" t="inlineStr">
        <is>
          <t>202 G. HUERTAS</t>
        </is>
      </c>
      <c r="E402" s="482" t="n">
        <v>202432</v>
      </c>
      <c r="F402" s="482" t="inlineStr">
        <is>
          <t>JHON FREDY ECHEVERRIA</t>
        </is>
      </c>
      <c r="G402" s="482" t="n">
        <v>1792</v>
      </c>
      <c r="H402" s="482" t="n">
        <v>1775</v>
      </c>
      <c r="I402" s="482" t="n">
        <v>1</v>
      </c>
      <c r="J402" s="482" t="n">
        <v>16</v>
      </c>
      <c r="K402" s="482" t="n">
        <v>0</v>
      </c>
      <c r="L402" s="483" t="n">
        <v>1792</v>
      </c>
      <c r="M402" s="484" t="inlineStr">
        <is>
          <t>JEISON ECHEVARRIA</t>
        </is>
      </c>
      <c r="N402" s="398" t="n"/>
      <c r="O402" s="398" t="n"/>
      <c r="P402" s="398" t="n"/>
      <c r="Q402" s="398" t="n"/>
      <c r="R402" s="398" t="n"/>
      <c r="S402" s="398" t="n"/>
      <c r="T402" s="398" t="n"/>
      <c r="U402" s="398" t="n"/>
      <c r="V402" s="398" t="n"/>
    </row>
    <row r="403" ht="15.75" customHeight="1">
      <c r="A403" s="146" t="n">
        <v>7</v>
      </c>
      <c r="B403" s="238" t="n"/>
      <c r="C403" s="399" t="n">
        <v>45855</v>
      </c>
      <c r="D403" s="162" t="inlineStr">
        <is>
          <t>200 G. GARCERAS</t>
        </is>
      </c>
      <c r="E403" s="162" t="n">
        <v>42158</v>
      </c>
      <c r="F403" s="162" t="inlineStr">
        <is>
          <t>JOSE SOLER</t>
        </is>
      </c>
      <c r="G403" s="162" t="n">
        <v>3059</v>
      </c>
      <c r="H403" s="162" t="n">
        <v>3034</v>
      </c>
      <c r="I403" s="162" t="n">
        <v>3</v>
      </c>
      <c r="J403" s="162" t="n">
        <v>3</v>
      </c>
      <c r="K403" s="162" t="n">
        <v>19</v>
      </c>
      <c r="L403" s="397" t="n">
        <v>3059</v>
      </c>
      <c r="M403" s="146" t="inlineStr">
        <is>
          <t xml:space="preserve">JOSE SOLER </t>
        </is>
      </c>
      <c r="N403" s="113" t="n"/>
      <c r="O403" s="113" t="n"/>
      <c r="P403" s="398" t="n"/>
      <c r="Q403" s="398" t="n"/>
      <c r="R403" s="113" t="n"/>
      <c r="S403" s="113" t="n"/>
      <c r="T403" s="113" t="n"/>
      <c r="U403" s="113" t="n"/>
      <c r="V403" s="113" t="n"/>
    </row>
    <row r="404" ht="15.75" customHeight="1">
      <c r="A404" s="146" t="n">
        <v>7</v>
      </c>
      <c r="B404" s="238" t="n"/>
      <c r="C404" s="399" t="n">
        <v>45855</v>
      </c>
      <c r="D404" s="162" t="inlineStr">
        <is>
          <t>200 G. GARCERAS</t>
        </is>
      </c>
      <c r="E404" s="162" t="n">
        <v>42159</v>
      </c>
      <c r="F404" s="162" t="inlineStr">
        <is>
          <t>JAIRO CUBILLOS</t>
        </is>
      </c>
      <c r="G404" s="162" t="n">
        <v>3059</v>
      </c>
      <c r="H404" s="162" t="n">
        <v>3036</v>
      </c>
      <c r="I404" s="162" t="n">
        <v>2</v>
      </c>
      <c r="J404" s="162" t="n">
        <v>3</v>
      </c>
      <c r="K404" s="162" t="n">
        <v>18</v>
      </c>
      <c r="L404" s="397" t="n">
        <v>3059</v>
      </c>
      <c r="M404" s="146" t="inlineStr">
        <is>
          <t>FERNANDO OYUELA</t>
        </is>
      </c>
      <c r="N404" s="113" t="n"/>
      <c r="O404" s="113" t="n"/>
      <c r="P404" s="398" t="n"/>
      <c r="Q404" s="398" t="n"/>
      <c r="R404" s="113" t="n"/>
      <c r="S404" s="113" t="n"/>
      <c r="T404" s="113" t="n"/>
      <c r="U404" s="113" t="n"/>
      <c r="V404" s="113" t="n"/>
    </row>
    <row r="405" ht="15.75" customHeight="1">
      <c r="A405" s="146" t="n">
        <v>7</v>
      </c>
      <c r="B405" s="238" t="n"/>
      <c r="C405" s="399" t="n">
        <v>45855</v>
      </c>
      <c r="D405" s="162" t="inlineStr">
        <is>
          <t>200 G. GARCERAS</t>
        </is>
      </c>
      <c r="E405" s="162" t="n">
        <v>42160</v>
      </c>
      <c r="F405" s="162" t="inlineStr">
        <is>
          <t>WILMER PIÑEROS</t>
        </is>
      </c>
      <c r="G405" s="162" t="n">
        <v>3059</v>
      </c>
      <c r="H405" s="162" t="n">
        <v>3034</v>
      </c>
      <c r="I405" s="162" t="n">
        <v>4</v>
      </c>
      <c r="J405" s="162" t="n">
        <v>3</v>
      </c>
      <c r="K405" s="162" t="n">
        <v>18</v>
      </c>
      <c r="L405" s="397" t="n">
        <v>3059</v>
      </c>
      <c r="M405" s="146" t="inlineStr">
        <is>
          <t xml:space="preserve">JAIRO CUBILLOS </t>
        </is>
      </c>
      <c r="N405" s="113" t="n"/>
      <c r="O405" s="113" t="n"/>
      <c r="P405" s="398" t="n"/>
      <c r="Q405" s="398" t="n"/>
      <c r="R405" s="113" t="n"/>
      <c r="S405" s="113" t="n"/>
      <c r="T405" s="113" t="n"/>
      <c r="U405" s="113" t="n"/>
      <c r="V405" s="113" t="n"/>
    </row>
    <row r="406" ht="15.75" customHeight="1">
      <c r="A406" s="146" t="n">
        <v>7</v>
      </c>
      <c r="B406" s="238" t="n"/>
      <c r="C406" s="399" t="n">
        <v>45855</v>
      </c>
      <c r="D406" s="162" t="inlineStr">
        <is>
          <t>200 G. GARCERAS</t>
        </is>
      </c>
      <c r="E406" s="162" t="n">
        <v>42161</v>
      </c>
      <c r="F406" s="162" t="inlineStr">
        <is>
          <t>DIEGO NIÑO</t>
        </is>
      </c>
      <c r="G406" s="162" t="n">
        <v>3059</v>
      </c>
      <c r="H406" s="162" t="n">
        <v>3037</v>
      </c>
      <c r="I406" s="162" t="n">
        <v>3</v>
      </c>
      <c r="J406" s="162" t="n">
        <v>0</v>
      </c>
      <c r="K406" s="162" t="n">
        <v>19</v>
      </c>
      <c r="L406" s="397" t="n">
        <v>3059</v>
      </c>
      <c r="M406" s="146" t="inlineStr">
        <is>
          <t xml:space="preserve">WILMER PIÑEROS </t>
        </is>
      </c>
      <c r="N406" s="113" t="n"/>
      <c r="O406" s="113" t="n"/>
      <c r="P406" s="398" t="n"/>
      <c r="Q406" s="398" t="n"/>
      <c r="R406" s="113" t="n"/>
      <c r="S406" s="113" t="n"/>
      <c r="T406" s="113" t="n"/>
      <c r="U406" s="113" t="n"/>
      <c r="V406" s="113" t="n"/>
    </row>
    <row r="407" ht="15.75" customHeight="1">
      <c r="A407" s="146" t="n">
        <v>7</v>
      </c>
      <c r="B407" s="238" t="n"/>
      <c r="C407" s="399" t="n">
        <v>45855</v>
      </c>
      <c r="D407" s="162" t="inlineStr">
        <is>
          <t>200 G. GARCERAS</t>
        </is>
      </c>
      <c r="E407" s="162" t="n">
        <v>42162</v>
      </c>
      <c r="F407" s="162" t="inlineStr">
        <is>
          <t>JHON AIRAS</t>
        </is>
      </c>
      <c r="G407" s="162" t="n">
        <v>3002</v>
      </c>
      <c r="H407" s="162" t="n">
        <v>2982</v>
      </c>
      <c r="I407" s="162" t="n">
        <v>1</v>
      </c>
      <c r="J407" s="162" t="n">
        <v>7</v>
      </c>
      <c r="K407" s="162" t="n">
        <v>12</v>
      </c>
      <c r="L407" s="397" t="n">
        <v>3059</v>
      </c>
      <c r="M407" s="146" t="inlineStr">
        <is>
          <t>DIEGO NIÑO</t>
        </is>
      </c>
      <c r="N407" s="113" t="n"/>
      <c r="O407" s="113" t="n"/>
      <c r="P407" s="398" t="n"/>
      <c r="Q407" s="398" t="n"/>
      <c r="R407" s="113" t="n"/>
      <c r="S407" s="113" t="n"/>
      <c r="T407" s="113" t="n"/>
      <c r="U407" s="113" t="n"/>
      <c r="V407" s="113" t="n"/>
    </row>
    <row r="408" ht="15.75" customHeight="1">
      <c r="A408" s="146" t="n">
        <v>7</v>
      </c>
      <c r="B408" s="238" t="n"/>
      <c r="C408" s="399" t="n">
        <v>45855</v>
      </c>
      <c r="D408" s="162" t="inlineStr">
        <is>
          <t>200 G. GARCERAS</t>
        </is>
      </c>
      <c r="E408" s="162" t="n">
        <v>42163</v>
      </c>
      <c r="F408" s="162" t="inlineStr">
        <is>
          <t>EDWIN ROJAS</t>
        </is>
      </c>
      <c r="G408" s="162" t="n">
        <v>3002</v>
      </c>
      <c r="H408" s="162" t="n">
        <v>2982</v>
      </c>
      <c r="I408" s="162" t="n">
        <v>1</v>
      </c>
      <c r="J408" s="162" t="n">
        <v>8</v>
      </c>
      <c r="K408" s="162" t="n">
        <v>11</v>
      </c>
      <c r="L408" s="397" t="n">
        <v>3002</v>
      </c>
      <c r="M408" s="146" t="inlineStr">
        <is>
          <t>JHON ARIAS</t>
        </is>
      </c>
      <c r="N408" s="113" t="n"/>
      <c r="O408" s="113" t="n"/>
      <c r="P408" s="398" t="n"/>
      <c r="Q408" s="398" t="n"/>
      <c r="R408" s="113" t="n"/>
      <c r="S408" s="113" t="n"/>
      <c r="T408" s="113" t="n"/>
      <c r="U408" s="113" t="n"/>
      <c r="V408" s="113" t="n"/>
    </row>
    <row r="409" ht="15.75" customHeight="1">
      <c r="A409" s="146" t="n">
        <v>7</v>
      </c>
      <c r="B409" s="238" t="n"/>
      <c r="C409" s="399" t="n">
        <v>45855</v>
      </c>
      <c r="D409" s="162" t="inlineStr">
        <is>
          <t>200 G. GARCERAS</t>
        </is>
      </c>
      <c r="E409" s="162" t="n">
        <v>42164</v>
      </c>
      <c r="F409" s="162" t="inlineStr">
        <is>
          <t>HENRY ROMERO</t>
        </is>
      </c>
      <c r="G409" s="162" t="n">
        <v>3002</v>
      </c>
      <c r="H409" s="162" t="n">
        <v>2982</v>
      </c>
      <c r="I409" s="162" t="n">
        <v>1</v>
      </c>
      <c r="J409" s="162" t="n">
        <v>8</v>
      </c>
      <c r="K409" s="162" t="n">
        <v>11</v>
      </c>
      <c r="L409" s="397" t="n">
        <v>3002</v>
      </c>
      <c r="M409" s="146" t="inlineStr">
        <is>
          <t>EDWIN ROJAS</t>
        </is>
      </c>
      <c r="N409" s="113" t="n"/>
      <c r="O409" s="113" t="n"/>
      <c r="P409" s="398" t="n"/>
      <c r="Q409" s="398" t="n"/>
      <c r="R409" s="113" t="n"/>
      <c r="S409" s="113" t="n"/>
      <c r="T409" s="113" t="n"/>
      <c r="U409" s="113" t="n"/>
      <c r="V409" s="113" t="n"/>
    </row>
    <row r="410" ht="15.75" customHeight="1">
      <c r="A410" s="146" t="n">
        <v>7</v>
      </c>
      <c r="B410" s="238" t="n"/>
      <c r="C410" s="399" t="n">
        <v>45855</v>
      </c>
      <c r="D410" s="162" t="inlineStr">
        <is>
          <t>200 G. GARCERAS</t>
        </is>
      </c>
      <c r="E410" s="162" t="n">
        <v>42165</v>
      </c>
      <c r="F410" s="162" t="inlineStr">
        <is>
          <t>FERNANDO OYUELA</t>
        </is>
      </c>
      <c r="G410" s="162" t="n">
        <v>3059</v>
      </c>
      <c r="H410" s="162" t="n">
        <v>3039</v>
      </c>
      <c r="I410" s="162" t="n">
        <v>4</v>
      </c>
      <c r="J410" s="162" t="n">
        <v>6</v>
      </c>
      <c r="K410" s="162" t="n">
        <v>10</v>
      </c>
      <c r="L410" s="397" t="n">
        <v>3002</v>
      </c>
      <c r="M410" s="146" t="inlineStr">
        <is>
          <t>HENRY ROMERO</t>
        </is>
      </c>
      <c r="N410" s="113" t="n"/>
      <c r="O410" s="113" t="n"/>
      <c r="P410" s="398" t="n"/>
      <c r="Q410" s="398" t="n"/>
      <c r="R410" s="113" t="n"/>
      <c r="S410" s="113" t="n"/>
      <c r="T410" s="113" t="n"/>
      <c r="U410" s="113" t="n"/>
      <c r="V410" s="113" t="n"/>
    </row>
    <row r="411" ht="15.75" customHeight="1">
      <c r="A411" s="146" t="n">
        <v>7</v>
      </c>
      <c r="B411" s="238" t="n"/>
      <c r="C411" s="399" t="n">
        <v>45856</v>
      </c>
      <c r="D411" s="162" t="inlineStr">
        <is>
          <t>200 G. GARCERAS</t>
        </is>
      </c>
      <c r="E411" s="162" t="n">
        <v>42183</v>
      </c>
      <c r="F411" s="162" t="inlineStr">
        <is>
          <t>MANUEL QUITIAN</t>
        </is>
      </c>
      <c r="G411" s="162" t="n">
        <v>2904</v>
      </c>
      <c r="H411" s="162" t="n">
        <v>2896</v>
      </c>
      <c r="I411" s="162" t="n">
        <v>7</v>
      </c>
      <c r="J411" s="162" t="n">
        <v>11</v>
      </c>
      <c r="K411" s="162" t="n">
        <v>-10</v>
      </c>
      <c r="L411" s="397" t="n">
        <v>2904</v>
      </c>
      <c r="M411" s="146" t="inlineStr">
        <is>
          <t xml:space="preserve">MANUEL QUITIAN </t>
        </is>
      </c>
      <c r="N411" s="113" t="n"/>
      <c r="O411" s="113" t="n"/>
      <c r="P411" s="398" t="n"/>
      <c r="Q411" s="398" t="n"/>
      <c r="R411" s="113" t="n"/>
      <c r="S411" s="113" t="n"/>
      <c r="T411" s="113" t="n"/>
      <c r="U411" s="113" t="n"/>
      <c r="V411" s="113" t="n"/>
    </row>
    <row r="412" ht="15.75" customHeight="1">
      <c r="A412" s="146" t="n">
        <v>7</v>
      </c>
      <c r="B412" s="238" t="n"/>
      <c r="C412" s="399" t="n">
        <v>45856</v>
      </c>
      <c r="D412" s="162" t="inlineStr">
        <is>
          <t>200 G. GARCERAS</t>
        </is>
      </c>
      <c r="E412" s="162" t="n">
        <v>42184</v>
      </c>
      <c r="F412" s="162" t="inlineStr">
        <is>
          <t>YAIR RIVEROS</t>
        </is>
      </c>
      <c r="G412" s="162" t="n">
        <v>2904</v>
      </c>
      <c r="H412" s="162" t="n">
        <v>2895</v>
      </c>
      <c r="I412" s="162" t="n">
        <v>6</v>
      </c>
      <c r="J412" s="162" t="n">
        <v>11</v>
      </c>
      <c r="K412" s="162" t="n">
        <v>-8</v>
      </c>
      <c r="L412" s="397" t="n">
        <v>2904</v>
      </c>
      <c r="M412" s="146" t="inlineStr">
        <is>
          <t xml:space="preserve">YAIR RIVEROS </t>
        </is>
      </c>
      <c r="N412" s="113" t="n"/>
      <c r="O412" s="113" t="n"/>
      <c r="P412" s="398" t="n"/>
      <c r="Q412" s="398" t="n"/>
      <c r="R412" s="113" t="n"/>
      <c r="S412" s="113" t="n"/>
      <c r="T412" s="113" t="n"/>
      <c r="U412" s="113" t="n"/>
      <c r="V412" s="113" t="n"/>
    </row>
    <row r="413" ht="15.75" customHeight="1">
      <c r="A413" s="146" t="n">
        <v>7</v>
      </c>
      <c r="B413" s="238" t="n"/>
      <c r="C413" s="399" t="n">
        <v>45856</v>
      </c>
      <c r="D413" s="162" t="inlineStr">
        <is>
          <t>200 G. GARCERAS</t>
        </is>
      </c>
      <c r="E413" s="162" t="n">
        <v>42185</v>
      </c>
      <c r="F413" s="162" t="inlineStr">
        <is>
          <t>WILMER PIÑEROS</t>
        </is>
      </c>
      <c r="G413" s="162" t="n">
        <v>2904</v>
      </c>
      <c r="H413" s="162" t="n">
        <v>2892</v>
      </c>
      <c r="I413" s="162" t="n">
        <v>7</v>
      </c>
      <c r="J413" s="162" t="n">
        <v>10</v>
      </c>
      <c r="K413" s="162" t="n">
        <v>-5</v>
      </c>
      <c r="L413" s="397" t="n">
        <v>2904</v>
      </c>
      <c r="M413" s="146" t="inlineStr">
        <is>
          <t xml:space="preserve">WILMER PIÑEROS </t>
        </is>
      </c>
      <c r="N413" s="113" t="n"/>
      <c r="O413" s="113" t="n"/>
      <c r="P413" s="398" t="n"/>
      <c r="Q413" s="398" t="n"/>
      <c r="R413" s="113" t="n"/>
      <c r="S413" s="113" t="n"/>
      <c r="T413" s="113" t="n"/>
      <c r="U413" s="113" t="n"/>
      <c r="V413" s="113" t="n"/>
    </row>
    <row r="414" ht="15.75" customHeight="1">
      <c r="A414" s="146" t="n">
        <v>7</v>
      </c>
      <c r="B414" s="238" t="n"/>
      <c r="C414" s="399" t="n">
        <v>45856</v>
      </c>
      <c r="D414" s="162" t="inlineStr">
        <is>
          <t>200 G. GARCERAS</t>
        </is>
      </c>
      <c r="E414" s="162" t="n">
        <v>42186</v>
      </c>
      <c r="F414" s="162" t="inlineStr">
        <is>
          <t>JHON AGUIRRE</t>
        </is>
      </c>
      <c r="G414" s="162" t="n">
        <v>2904</v>
      </c>
      <c r="H414" s="162" t="n">
        <v>2900</v>
      </c>
      <c r="I414" s="162" t="n">
        <v>4</v>
      </c>
      <c r="J414" s="162" t="n">
        <v>10</v>
      </c>
      <c r="K414" s="162" t="n">
        <v>-10</v>
      </c>
      <c r="L414" s="397" t="n">
        <v>2904</v>
      </c>
      <c r="M414" s="146" t="inlineStr">
        <is>
          <t>JHON AGUIRRE</t>
        </is>
      </c>
      <c r="N414" s="113" t="n"/>
      <c r="O414" s="113" t="n"/>
      <c r="P414" s="398" t="n"/>
      <c r="Q414" s="398" t="n"/>
      <c r="R414" s="113" t="n"/>
      <c r="S414" s="113" t="n"/>
      <c r="T414" s="113" t="n"/>
      <c r="U414" s="113" t="n"/>
      <c r="V414" s="113" t="n"/>
    </row>
    <row r="415" ht="15.75" customHeight="1">
      <c r="A415" s="146" t="n">
        <v>7</v>
      </c>
      <c r="B415" s="238" t="n"/>
      <c r="C415" s="399" t="n">
        <v>45856</v>
      </c>
      <c r="D415" s="162" t="inlineStr">
        <is>
          <t>200 G. GARCERAS</t>
        </is>
      </c>
      <c r="E415" s="162" t="n">
        <v>42187</v>
      </c>
      <c r="F415" s="162" t="inlineStr">
        <is>
          <t>ALBERTO LOPEZ</t>
        </is>
      </c>
      <c r="G415" s="162" t="n">
        <v>2904</v>
      </c>
      <c r="H415" s="162" t="n">
        <v>2902</v>
      </c>
      <c r="I415" s="162" t="n">
        <v>2</v>
      </c>
      <c r="J415" s="162" t="n">
        <v>10</v>
      </c>
      <c r="K415" s="162" t="n">
        <v>-10</v>
      </c>
      <c r="L415" s="397" t="n">
        <v>2904</v>
      </c>
      <c r="M415" s="146" t="inlineStr">
        <is>
          <t xml:space="preserve">ALBERTO LOPEZ </t>
        </is>
      </c>
      <c r="N415" s="113" t="n"/>
      <c r="O415" s="113" t="n"/>
      <c r="P415" s="398" t="n"/>
      <c r="Q415" s="398" t="n"/>
      <c r="R415" s="113" t="n"/>
      <c r="S415" s="113" t="n"/>
      <c r="T415" s="113" t="n"/>
      <c r="U415" s="113" t="n"/>
      <c r="V415" s="113" t="n"/>
    </row>
    <row r="416" ht="15.75" customHeight="1">
      <c r="A416" s="146" t="n">
        <v>7</v>
      </c>
      <c r="B416" s="238" t="n"/>
      <c r="C416" s="399" t="n">
        <v>45856</v>
      </c>
      <c r="D416" s="162" t="inlineStr">
        <is>
          <t>200 G. GARCERAS</t>
        </is>
      </c>
      <c r="E416" s="162" t="n">
        <v>42188</v>
      </c>
      <c r="F416" s="162" t="inlineStr">
        <is>
          <t>JHON ARIAS</t>
        </is>
      </c>
      <c r="G416" s="162" t="n">
        <v>3240</v>
      </c>
      <c r="H416" s="162" t="n">
        <v>3228</v>
      </c>
      <c r="I416" s="162" t="n">
        <v>2</v>
      </c>
      <c r="J416" s="162" t="n">
        <v>10</v>
      </c>
      <c r="K416" s="162" t="n">
        <v>0</v>
      </c>
      <c r="L416" s="397" t="n">
        <v>3240</v>
      </c>
      <c r="M416" s="146" t="inlineStr">
        <is>
          <t xml:space="preserve">JHON ARIAS </t>
        </is>
      </c>
      <c r="N416" s="113" t="n"/>
      <c r="O416" s="113" t="n"/>
      <c r="P416" s="398" t="n"/>
      <c r="Q416" s="398" t="n"/>
      <c r="R416" s="113" t="n"/>
      <c r="S416" s="113" t="n"/>
      <c r="T416" s="113" t="n"/>
      <c r="U416" s="113" t="n"/>
      <c r="V416" s="113" t="n"/>
    </row>
    <row r="417" ht="15.75" customHeight="1">
      <c r="A417" s="146" t="n">
        <v>7</v>
      </c>
      <c r="B417" s="238" t="n"/>
      <c r="C417" s="399" t="n">
        <v>45856</v>
      </c>
      <c r="D417" s="162" t="inlineStr">
        <is>
          <t>200 G. GARCERAS</t>
        </is>
      </c>
      <c r="E417" s="162" t="n">
        <v>42189</v>
      </c>
      <c r="F417" s="162" t="inlineStr">
        <is>
          <t>FERNANDO OYUELA</t>
        </is>
      </c>
      <c r="G417" s="162" t="n">
        <v>2950</v>
      </c>
      <c r="H417" s="162" t="n">
        <v>2932</v>
      </c>
      <c r="I417" s="162" t="n">
        <v>2</v>
      </c>
      <c r="J417" s="162" t="n">
        <v>12</v>
      </c>
      <c r="K417" s="162" t="n">
        <v>4</v>
      </c>
      <c r="L417" s="397" t="n">
        <v>2950</v>
      </c>
      <c r="M417" s="146" t="inlineStr">
        <is>
          <t xml:space="preserve">FERNANDO OYUELA </t>
        </is>
      </c>
      <c r="N417" s="113" t="n"/>
      <c r="O417" s="113" t="n"/>
      <c r="P417" s="398" t="n"/>
      <c r="Q417" s="398" t="n"/>
      <c r="R417" s="113" t="n"/>
      <c r="S417" s="113" t="n"/>
      <c r="T417" s="113" t="n"/>
      <c r="U417" s="113" t="n"/>
      <c r="V417" s="113" t="n"/>
    </row>
    <row r="418" ht="15.75" customHeight="1">
      <c r="A418" s="146" t="n">
        <v>7</v>
      </c>
      <c r="B418" s="238" t="n"/>
      <c r="C418" s="399" t="n">
        <v>45856</v>
      </c>
      <c r="D418" s="162" t="inlineStr">
        <is>
          <t>200 G. GARCERAS</t>
        </is>
      </c>
      <c r="E418" s="162" t="n">
        <v>42190</v>
      </c>
      <c r="F418" s="162" t="inlineStr">
        <is>
          <t>DIEGO NIÑO</t>
        </is>
      </c>
      <c r="G418" s="162" t="n">
        <v>2935</v>
      </c>
      <c r="H418" s="162" t="n">
        <v>2956</v>
      </c>
      <c r="I418" s="162" t="n">
        <v>2</v>
      </c>
      <c r="J418" s="162" t="n">
        <v>5</v>
      </c>
      <c r="K418" s="162" t="n">
        <v>-28</v>
      </c>
      <c r="L418" s="397" t="n">
        <v>2935</v>
      </c>
      <c r="M418" s="146" t="inlineStr">
        <is>
          <t xml:space="preserve">DIEGO NIÑO </t>
        </is>
      </c>
      <c r="N418" s="113" t="n"/>
      <c r="O418" s="113" t="n"/>
      <c r="P418" s="398" t="n"/>
      <c r="Q418" s="398" t="n"/>
      <c r="R418" s="113" t="n"/>
      <c r="S418" s="113" t="n"/>
      <c r="T418" s="113" t="n"/>
      <c r="U418" s="113" t="n"/>
      <c r="V418" s="113" t="n"/>
    </row>
    <row r="419" ht="15.75" customHeight="1">
      <c r="A419" s="146" t="n">
        <v>7</v>
      </c>
      <c r="B419" s="238" t="n"/>
      <c r="C419" s="399" t="n">
        <v>45856</v>
      </c>
      <c r="D419" s="162" t="inlineStr">
        <is>
          <t>200 G. GARCERAS</t>
        </is>
      </c>
      <c r="E419" s="162" t="n">
        <v>42191</v>
      </c>
      <c r="F419" s="162" t="inlineStr">
        <is>
          <t>JOSE SOLER</t>
        </is>
      </c>
      <c r="G419" s="162" t="n">
        <v>2935</v>
      </c>
      <c r="H419" s="162" t="n">
        <v>2956</v>
      </c>
      <c r="I419" s="162" t="n">
        <v>2</v>
      </c>
      <c r="J419" s="162" t="n">
        <v>6</v>
      </c>
      <c r="K419" s="162" t="n">
        <v>-29</v>
      </c>
      <c r="L419" s="397" t="n">
        <v>2935</v>
      </c>
      <c r="M419" s="146" t="inlineStr">
        <is>
          <t xml:space="preserve">JOSE SOLER </t>
        </is>
      </c>
      <c r="N419" s="113" t="n"/>
      <c r="O419" s="113" t="n"/>
      <c r="P419" s="398" t="n"/>
      <c r="Q419" s="398" t="n"/>
      <c r="R419" s="113" t="n"/>
      <c r="S419" s="113" t="n"/>
      <c r="T419" s="113" t="n"/>
      <c r="U419" s="113" t="n"/>
      <c r="V419" s="113" t="n"/>
    </row>
    <row r="420" ht="15.75" customHeight="1">
      <c r="A420" s="146" t="n">
        <v>7</v>
      </c>
      <c r="B420" s="238" t="n"/>
      <c r="C420" s="399" t="n">
        <v>45857</v>
      </c>
      <c r="D420" s="162" t="inlineStr">
        <is>
          <t>200 G. GARCERAS</t>
        </is>
      </c>
      <c r="E420" s="162" t="n">
        <v>42207</v>
      </c>
      <c r="F420" s="162" t="inlineStr">
        <is>
          <t>JHON ARIAS</t>
        </is>
      </c>
      <c r="G420" s="162" t="n">
        <v>2895</v>
      </c>
      <c r="H420" s="162" t="n">
        <v>2880</v>
      </c>
      <c r="I420" s="162" t="n">
        <v>3</v>
      </c>
      <c r="J420" s="162" t="n">
        <v>5</v>
      </c>
      <c r="K420" s="162" t="n">
        <v>7</v>
      </c>
      <c r="L420" s="397" t="n">
        <v>2885</v>
      </c>
      <c r="M420" s="146" t="inlineStr">
        <is>
          <t xml:space="preserve">JHON ARIAS </t>
        </is>
      </c>
      <c r="N420" s="113" t="n"/>
      <c r="O420" s="113" t="n"/>
      <c r="P420" s="398" t="n"/>
      <c r="Q420" s="398" t="n"/>
      <c r="R420" s="113" t="n"/>
      <c r="S420" s="113" t="n"/>
      <c r="T420" s="113" t="n"/>
      <c r="U420" s="113" t="n"/>
      <c r="V420" s="113" t="n"/>
    </row>
    <row r="421" ht="15.75" customHeight="1">
      <c r="A421" s="146" t="n">
        <v>7</v>
      </c>
      <c r="B421" s="238" t="n"/>
      <c r="C421" s="399" t="n">
        <v>45857</v>
      </c>
      <c r="D421" s="162" t="inlineStr">
        <is>
          <t>200 G. GARCERAS</t>
        </is>
      </c>
      <c r="E421" s="162" t="n">
        <v>42208</v>
      </c>
      <c r="F421" s="162" t="inlineStr">
        <is>
          <t>ALBERTO HERRERA</t>
        </is>
      </c>
      <c r="G421" s="162" t="n">
        <v>2895</v>
      </c>
      <c r="H421" s="162" t="n">
        <v>2877</v>
      </c>
      <c r="I421" s="162" t="n">
        <v>3</v>
      </c>
      <c r="J421" s="162" t="n">
        <v>6</v>
      </c>
      <c r="K421" s="162" t="n">
        <v>9</v>
      </c>
      <c r="L421" s="397" t="n">
        <v>2885</v>
      </c>
      <c r="M421" s="146" t="inlineStr">
        <is>
          <t>JOSE HERRERA</t>
        </is>
      </c>
      <c r="N421" s="113" t="n"/>
      <c r="O421" s="113" t="n"/>
      <c r="P421" s="398" t="n"/>
      <c r="Q421" s="398" t="n"/>
      <c r="R421" s="113" t="n"/>
      <c r="S421" s="113" t="n"/>
      <c r="T421" s="113" t="n"/>
      <c r="U421" s="113" t="n"/>
      <c r="V421" s="113" t="n"/>
    </row>
    <row r="422" ht="15.75" customHeight="1">
      <c r="A422" s="146" t="n">
        <v>7</v>
      </c>
      <c r="B422" s="238" t="n"/>
      <c r="C422" s="399" t="n">
        <v>45857</v>
      </c>
      <c r="D422" s="162" t="inlineStr">
        <is>
          <t>200 G. GARCERAS</t>
        </is>
      </c>
      <c r="E422" s="162" t="n">
        <v>42209</v>
      </c>
      <c r="F422" s="162" t="inlineStr">
        <is>
          <t>DUMAR ANGARITA</t>
        </is>
      </c>
      <c r="G422" s="162" t="n">
        <v>2169</v>
      </c>
      <c r="H422" s="162" t="n">
        <v>2135</v>
      </c>
      <c r="I422" s="162" t="n">
        <v>3</v>
      </c>
      <c r="J422" s="162" t="n">
        <v>6</v>
      </c>
      <c r="K422" s="162" t="n">
        <v>25</v>
      </c>
      <c r="L422" s="397" t="n">
        <v>2140</v>
      </c>
      <c r="M422" s="146" t="inlineStr">
        <is>
          <t>DUMAR ANGARITA</t>
        </is>
      </c>
      <c r="N422" s="113" t="n"/>
      <c r="O422" s="113" t="n"/>
      <c r="P422" s="398" t="n"/>
      <c r="Q422" s="398" t="n"/>
      <c r="R422" s="113" t="n"/>
      <c r="S422" s="113" t="n"/>
      <c r="T422" s="113" t="n"/>
      <c r="U422" s="113" t="n"/>
      <c r="V422" s="113" t="n"/>
    </row>
    <row r="423" ht="15.75" customHeight="1">
      <c r="A423" s="146" t="n">
        <v>7</v>
      </c>
      <c r="B423" s="238" t="n"/>
      <c r="C423" s="399" t="n">
        <v>45857</v>
      </c>
      <c r="D423" s="162" t="inlineStr">
        <is>
          <t>200 G. GARCERAS</t>
        </is>
      </c>
      <c r="E423" s="162" t="n">
        <v>42210</v>
      </c>
      <c r="F423" s="162" t="inlineStr">
        <is>
          <t>HENRY ROMERO</t>
        </is>
      </c>
      <c r="G423" s="162" t="n">
        <v>3046</v>
      </c>
      <c r="H423" s="162" t="n">
        <v>3016</v>
      </c>
      <c r="I423" s="162" t="n">
        <v>1</v>
      </c>
      <c r="J423" s="162" t="n">
        <v>5</v>
      </c>
      <c r="K423" s="162" t="n">
        <v>24</v>
      </c>
      <c r="L423" s="397" t="n">
        <v>3046</v>
      </c>
      <c r="M423" s="146" t="inlineStr">
        <is>
          <t>HENRY ROMERO</t>
        </is>
      </c>
      <c r="N423" s="113" t="n"/>
      <c r="O423" s="113" t="n"/>
      <c r="P423" s="398" t="n"/>
      <c r="Q423" s="398" t="n"/>
      <c r="R423" s="113" t="n"/>
      <c r="S423" s="113" t="n"/>
      <c r="T423" s="113" t="n"/>
      <c r="U423" s="113" t="n"/>
      <c r="V423" s="113" t="n"/>
    </row>
    <row r="424" ht="15.75" customHeight="1">
      <c r="A424" s="146" t="n">
        <v>7</v>
      </c>
      <c r="B424" s="238" t="n"/>
      <c r="C424" s="399" t="n">
        <v>45857</v>
      </c>
      <c r="D424" s="162" t="inlineStr">
        <is>
          <t>200 G. GARCERAS</t>
        </is>
      </c>
      <c r="E424" s="162" t="n">
        <v>42211</v>
      </c>
      <c r="F424" s="162" t="inlineStr">
        <is>
          <t>EDWIN ROJAS</t>
        </is>
      </c>
      <c r="G424" s="162" t="n">
        <v>3046</v>
      </c>
      <c r="H424" s="162" t="n">
        <v>3002</v>
      </c>
      <c r="I424" s="162" t="n">
        <v>2</v>
      </c>
      <c r="J424" s="162" t="n">
        <v>18</v>
      </c>
      <c r="K424" s="162" t="n">
        <v>24</v>
      </c>
      <c r="L424" s="397" t="n">
        <v>3049</v>
      </c>
      <c r="M424" s="146" t="inlineStr">
        <is>
          <t>EDWIN ROJAS</t>
        </is>
      </c>
      <c r="N424" s="113" t="n"/>
      <c r="O424" s="113" t="n"/>
      <c r="P424" s="398" t="n"/>
      <c r="Q424" s="398" t="n"/>
      <c r="R424" s="113" t="n"/>
      <c r="S424" s="113" t="n"/>
      <c r="T424" s="113" t="n"/>
      <c r="U424" s="113" t="n"/>
      <c r="V424" s="113" t="n"/>
    </row>
    <row r="425" ht="15.75" customHeight="1">
      <c r="A425" s="146" t="n">
        <v>7</v>
      </c>
      <c r="B425" s="238" t="n"/>
      <c r="C425" s="399" t="n">
        <v>45857</v>
      </c>
      <c r="D425" s="162" t="inlineStr">
        <is>
          <t>200 G. GARCERAS</t>
        </is>
      </c>
      <c r="E425" s="162" t="n">
        <v>42212</v>
      </c>
      <c r="F425" s="162" t="inlineStr">
        <is>
          <t>JAIRO CUBILLOS</t>
        </is>
      </c>
      <c r="G425" s="162" t="n">
        <v>3046</v>
      </c>
      <c r="H425" s="162" t="n">
        <v>3002</v>
      </c>
      <c r="I425" s="162" t="n">
        <v>3</v>
      </c>
      <c r="J425" s="162" t="n">
        <v>21</v>
      </c>
      <c r="K425" s="162" t="n">
        <v>20</v>
      </c>
      <c r="L425" s="397" t="n">
        <v>3049</v>
      </c>
      <c r="M425" s="146" t="inlineStr">
        <is>
          <t xml:space="preserve">JAIRO CUBILLOS </t>
        </is>
      </c>
      <c r="N425" s="113" t="n"/>
      <c r="O425" s="113" t="n"/>
      <c r="P425" s="398" t="n"/>
      <c r="Q425" s="398" t="n"/>
      <c r="R425" s="113" t="n"/>
      <c r="S425" s="113" t="n"/>
      <c r="T425" s="113" t="n"/>
      <c r="U425" s="113" t="n"/>
      <c r="V425" s="113" t="n"/>
    </row>
    <row r="426" ht="15.75" customHeight="1">
      <c r="A426" s="113" t="n"/>
      <c r="B426" s="238" t="n"/>
      <c r="C426" s="399" t="n"/>
      <c r="D426" s="113" t="n"/>
      <c r="E426" s="113" t="n"/>
      <c r="F426" s="113" t="n"/>
      <c r="G426" s="395">
        <f>SUBTOTAL(9,G351:G425)</f>
        <v/>
      </c>
      <c r="H426" s="395">
        <f>SUBTOTAL(9,H351:H425)</f>
        <v/>
      </c>
      <c r="I426" s="395">
        <f>SUBTOTAL(9,I351:I425)</f>
        <v/>
      </c>
      <c r="J426" s="395">
        <f>SUBTOTAL(9,J351:J425)</f>
        <v/>
      </c>
      <c r="K426" s="395">
        <f>SUBTOTAL(9,K351:K425)</f>
        <v/>
      </c>
      <c r="L426" s="477">
        <f>SUBTOTAL(9,L351:L425)</f>
        <v/>
      </c>
      <c r="M426" s="113" t="n"/>
      <c r="N426" s="113" t="n"/>
      <c r="O426" s="113" t="n"/>
      <c r="P426" s="398" t="n"/>
      <c r="Q426" s="398" t="n"/>
      <c r="R426" s="113" t="n"/>
      <c r="S426" s="113" t="n"/>
      <c r="T426" s="113" t="n"/>
      <c r="U426" s="113" t="n"/>
      <c r="V426" s="113" t="n"/>
    </row>
    <row r="427" ht="15.75" customHeight="1">
      <c r="A427" s="146" t="n">
        <v>8</v>
      </c>
      <c r="B427" s="238" t="n"/>
      <c r="C427" s="481" t="n">
        <v>45858</v>
      </c>
      <c r="D427" s="482" t="inlineStr">
        <is>
          <t>202 G. HUERTAS</t>
        </is>
      </c>
      <c r="E427" s="482" t="n">
        <v>202472</v>
      </c>
      <c r="F427" s="482" t="inlineStr">
        <is>
          <t>HERNAN ALONSO MUÑOZ</t>
        </is>
      </c>
      <c r="G427" s="482" t="n">
        <v>1614</v>
      </c>
      <c r="H427" s="482" t="n">
        <v>1591</v>
      </c>
      <c r="I427" s="482" t="n">
        <v>12</v>
      </c>
      <c r="J427" s="482" t="n">
        <v>11</v>
      </c>
      <c r="K427" s="482" t="n">
        <v>0</v>
      </c>
      <c r="L427" s="485" t="n">
        <v>2094</v>
      </c>
      <c r="M427" s="486" t="inlineStr">
        <is>
          <t>CARLOS PORRAS</t>
        </is>
      </c>
      <c r="N427" s="113" t="n"/>
      <c r="O427" s="113" t="n"/>
      <c r="P427" s="398" t="n"/>
      <c r="Q427" s="398" t="n"/>
      <c r="R427" s="113" t="n"/>
      <c r="S427" s="113" t="n"/>
      <c r="T427" s="113" t="n"/>
      <c r="U427" s="113" t="n"/>
      <c r="V427" s="113" t="n"/>
    </row>
    <row r="428" ht="15.75" customHeight="1">
      <c r="A428" s="146" t="n">
        <v>8</v>
      </c>
      <c r="B428" s="238" t="n"/>
      <c r="C428" s="481" t="n">
        <v>45859</v>
      </c>
      <c r="D428" s="482" t="inlineStr">
        <is>
          <t>202 G. HUERTAS</t>
        </is>
      </c>
      <c r="E428" s="482" t="n">
        <v>4030</v>
      </c>
      <c r="F428" s="482" t="inlineStr">
        <is>
          <t>CARLOS PORRAS</t>
        </is>
      </c>
      <c r="G428" s="482" t="n">
        <v>2094</v>
      </c>
      <c r="H428" s="482" t="n">
        <v>1966</v>
      </c>
      <c r="I428" s="482" t="n">
        <v>6</v>
      </c>
      <c r="J428" s="482" t="n">
        <v>69</v>
      </c>
      <c r="K428" s="482" t="n">
        <v>53</v>
      </c>
      <c r="L428" s="485" t="n">
        <v>1643</v>
      </c>
      <c r="M428" s="486" t="inlineStr">
        <is>
          <t>JORGE FERNANDEZ</t>
        </is>
      </c>
      <c r="N428" s="113" t="n"/>
      <c r="O428" s="113" t="n"/>
      <c r="P428" s="398" t="n"/>
      <c r="Q428" s="398" t="n"/>
      <c r="R428" s="113" t="n"/>
      <c r="S428" s="113" t="n"/>
      <c r="T428" s="113" t="n"/>
      <c r="U428" s="113" t="n"/>
      <c r="V428" s="113" t="n"/>
    </row>
    <row r="429" ht="15.75" customHeight="1">
      <c r="A429" s="146" t="n">
        <v>8</v>
      </c>
      <c r="B429" s="238" t="n"/>
      <c r="C429" s="399" t="n">
        <v>45859</v>
      </c>
      <c r="D429" s="162" t="inlineStr">
        <is>
          <t>221 G. MALAGUEÑA</t>
        </is>
      </c>
      <c r="E429" s="162" t="n">
        <v>42227</v>
      </c>
      <c r="F429" s="162" t="inlineStr">
        <is>
          <t>EDWIN ROJAS</t>
        </is>
      </c>
      <c r="G429" s="162" t="n">
        <v>3416</v>
      </c>
      <c r="H429" s="162" t="n">
        <v>3401</v>
      </c>
      <c r="I429" s="162" t="n">
        <v>3</v>
      </c>
      <c r="J429" s="162" t="n">
        <v>9</v>
      </c>
      <c r="K429" s="162" t="n">
        <v>3</v>
      </c>
      <c r="L429" s="241" t="n">
        <v>3674</v>
      </c>
      <c r="M429" s="239" t="inlineStr">
        <is>
          <t>FERNANDO OYUELA</t>
        </is>
      </c>
      <c r="N429" s="113" t="n"/>
      <c r="O429" s="113" t="n"/>
      <c r="P429" s="398" t="n"/>
      <c r="Q429" s="398" t="n"/>
      <c r="R429" s="113" t="n"/>
      <c r="S429" s="113" t="n"/>
      <c r="T429" s="113" t="n"/>
      <c r="U429" s="113" t="n"/>
      <c r="V429" s="113" t="n"/>
    </row>
    <row r="430" ht="15.75" customHeight="1">
      <c r="A430" s="146" t="n">
        <v>8</v>
      </c>
      <c r="B430" s="238" t="n"/>
      <c r="C430" s="399" t="n">
        <v>45859</v>
      </c>
      <c r="D430" s="162" t="inlineStr">
        <is>
          <t>221 G. MALAGUEÑA</t>
        </is>
      </c>
      <c r="E430" s="162" t="n">
        <v>42228</v>
      </c>
      <c r="F430" s="162" t="inlineStr">
        <is>
          <t>MANUEL QUITIAN</t>
        </is>
      </c>
      <c r="G430" s="162" t="n">
        <v>3416</v>
      </c>
      <c r="H430" s="162" t="n">
        <v>3401</v>
      </c>
      <c r="I430" s="162" t="n">
        <v>1</v>
      </c>
      <c r="J430" s="162" t="n">
        <v>10</v>
      </c>
      <c r="K430" s="162" t="n">
        <v>4</v>
      </c>
      <c r="L430" s="241" t="n">
        <v>3416</v>
      </c>
      <c r="M430" s="239" t="inlineStr">
        <is>
          <t xml:space="preserve">EDWIN ROJAS </t>
        </is>
      </c>
      <c r="N430" s="113" t="n"/>
      <c r="O430" s="113" t="n"/>
      <c r="P430" s="398" t="n"/>
      <c r="Q430" s="398" t="n"/>
      <c r="R430" s="113" t="n"/>
      <c r="S430" s="113" t="n"/>
      <c r="T430" s="113" t="n"/>
      <c r="U430" s="113" t="n"/>
      <c r="V430" s="113" t="n"/>
    </row>
    <row r="431" ht="15.75" customHeight="1">
      <c r="A431" s="146" t="n">
        <v>8</v>
      </c>
      <c r="B431" s="238" t="n"/>
      <c r="C431" s="399" t="n">
        <v>45859</v>
      </c>
      <c r="D431" s="162" t="inlineStr">
        <is>
          <t>200 G. GARCERAS</t>
        </is>
      </c>
      <c r="E431" s="162" t="n">
        <v>42229</v>
      </c>
      <c r="F431" s="162" t="inlineStr">
        <is>
          <t>FERNANDO OYUELA</t>
        </is>
      </c>
      <c r="G431" s="162" t="n">
        <v>3673</v>
      </c>
      <c r="H431" s="162" t="n">
        <v>3655</v>
      </c>
      <c r="I431" s="162" t="n">
        <v>4</v>
      </c>
      <c r="J431" s="162" t="n">
        <v>10</v>
      </c>
      <c r="K431" s="162" t="n">
        <v>4</v>
      </c>
      <c r="L431" s="241" t="n">
        <v>3485</v>
      </c>
      <c r="M431" s="239" t="inlineStr">
        <is>
          <t>DUMAR ANGARITA</t>
        </is>
      </c>
      <c r="N431" s="113" t="n"/>
      <c r="O431" s="113" t="n"/>
      <c r="P431" s="398" t="n"/>
      <c r="Q431" s="398" t="n"/>
      <c r="R431" s="113" t="n"/>
      <c r="S431" s="113" t="n"/>
      <c r="T431" s="113" t="n"/>
      <c r="U431" s="113" t="n"/>
      <c r="V431" s="113" t="n"/>
    </row>
    <row r="432" ht="15.75" customHeight="1">
      <c r="A432" s="146" t="n">
        <v>8</v>
      </c>
      <c r="B432" s="238" t="n"/>
      <c r="C432" s="399" t="n">
        <v>45859</v>
      </c>
      <c r="D432" s="162" t="inlineStr">
        <is>
          <t>200 G. GARCERAS</t>
        </is>
      </c>
      <c r="E432" s="162" t="n">
        <v>42230</v>
      </c>
      <c r="F432" s="162" t="inlineStr">
        <is>
          <t>DUMAR ANGARITA</t>
        </is>
      </c>
      <c r="G432" s="162" t="n">
        <v>3486</v>
      </c>
      <c r="H432" s="162" t="n">
        <v>3467</v>
      </c>
      <c r="I432" s="162" t="n">
        <v>2</v>
      </c>
      <c r="J432" s="162" t="n">
        <v>11</v>
      </c>
      <c r="K432" s="162" t="n">
        <v>6</v>
      </c>
      <c r="L432" s="241" t="n">
        <v>3416</v>
      </c>
      <c r="M432" s="239" t="inlineStr">
        <is>
          <t>MANUEL QUITIAN</t>
        </is>
      </c>
      <c r="N432" s="113" t="n"/>
      <c r="O432" s="113" t="n"/>
      <c r="P432" s="398" t="n"/>
      <c r="Q432" s="398" t="n"/>
      <c r="R432" s="113" t="n"/>
      <c r="S432" s="113" t="n"/>
      <c r="T432" s="113" t="n"/>
      <c r="U432" s="113" t="n"/>
      <c r="V432" s="113" t="n"/>
    </row>
    <row r="433" ht="15.75" customHeight="1">
      <c r="A433" s="146" t="n">
        <v>8</v>
      </c>
      <c r="B433" s="238" t="n"/>
      <c r="C433" s="399" t="n">
        <v>45859</v>
      </c>
      <c r="D433" s="162" t="inlineStr">
        <is>
          <t>200 G. GARCERAS</t>
        </is>
      </c>
      <c r="E433" s="162" t="n">
        <v>42231</v>
      </c>
      <c r="F433" s="162" t="inlineStr">
        <is>
          <t>ALBERTO LOPEZ</t>
        </is>
      </c>
      <c r="G433" s="162" t="n">
        <v>3022</v>
      </c>
      <c r="H433" s="162" t="n">
        <v>3011</v>
      </c>
      <c r="I433" s="162" t="n">
        <v>1</v>
      </c>
      <c r="J433" s="162" t="n">
        <v>7</v>
      </c>
      <c r="K433" s="162" t="n">
        <v>3</v>
      </c>
      <c r="L433" s="241" t="n">
        <v>3022</v>
      </c>
      <c r="M433" s="239" t="inlineStr">
        <is>
          <t>ALBERTO LOPEZ</t>
        </is>
      </c>
      <c r="N433" s="113" t="n"/>
      <c r="O433" s="113" t="n"/>
      <c r="P433" s="398" t="n"/>
      <c r="Q433" s="398" t="n"/>
      <c r="R433" s="113" t="n"/>
      <c r="S433" s="113" t="n"/>
      <c r="T433" s="113" t="n"/>
      <c r="U433" s="113" t="n"/>
      <c r="V433" s="113" t="n"/>
    </row>
    <row r="434" ht="15.75" customHeight="1">
      <c r="A434" s="146" t="n">
        <v>8</v>
      </c>
      <c r="B434" s="238" t="n"/>
      <c r="C434" s="399" t="n">
        <v>45859</v>
      </c>
      <c r="D434" s="162" t="inlineStr">
        <is>
          <t>200 G. GARCERAS</t>
        </is>
      </c>
      <c r="E434" s="162" t="n">
        <v>42232</v>
      </c>
      <c r="F434" s="162" t="inlineStr">
        <is>
          <t>YAIR RIVEROS</t>
        </is>
      </c>
      <c r="G434" s="162" t="n">
        <v>3022</v>
      </c>
      <c r="H434" s="162" t="n">
        <v>3011</v>
      </c>
      <c r="I434" s="162" t="n">
        <v>2</v>
      </c>
      <c r="J434" s="162" t="n">
        <v>8</v>
      </c>
      <c r="K434" s="162" t="n">
        <v>1</v>
      </c>
      <c r="L434" s="241" t="n">
        <v>3022</v>
      </c>
      <c r="M434" s="239" t="inlineStr">
        <is>
          <t>YAIR RIVEROS</t>
        </is>
      </c>
      <c r="N434" s="113" t="n"/>
      <c r="O434" s="113" t="n"/>
      <c r="P434" s="398" t="n"/>
      <c r="Q434" s="398" t="n"/>
      <c r="R434" s="113" t="n"/>
      <c r="S434" s="113" t="n"/>
      <c r="T434" s="113" t="n"/>
      <c r="U434" s="113" t="n"/>
      <c r="V434" s="113" t="n"/>
    </row>
    <row r="435" ht="15.75" customHeight="1">
      <c r="A435" s="146" t="n">
        <v>8</v>
      </c>
      <c r="B435" s="238" t="n"/>
      <c r="C435" s="399" t="n">
        <v>45859</v>
      </c>
      <c r="D435" s="162" t="inlineStr">
        <is>
          <t>200 G. GARCERAS</t>
        </is>
      </c>
      <c r="E435" s="162" t="n">
        <v>42233</v>
      </c>
      <c r="F435" s="162" t="inlineStr">
        <is>
          <t>JAIRO CUBILLOS</t>
        </is>
      </c>
      <c r="G435" s="162" t="n">
        <v>3001</v>
      </c>
      <c r="H435" s="162" t="n">
        <v>2996</v>
      </c>
      <c r="I435" s="162" t="n">
        <v>3</v>
      </c>
      <c r="J435" s="162" t="n">
        <v>6</v>
      </c>
      <c r="K435" s="162" t="n">
        <v>-4</v>
      </c>
      <c r="L435" s="241" t="n">
        <v>3001</v>
      </c>
      <c r="M435" s="239" t="inlineStr">
        <is>
          <t>JAIME CUBILLOS</t>
        </is>
      </c>
      <c r="N435" s="113" t="n"/>
      <c r="O435" s="113" t="n"/>
      <c r="P435" s="398" t="n"/>
      <c r="Q435" s="398" t="n"/>
      <c r="R435" s="113" t="n"/>
      <c r="S435" s="113" t="n"/>
      <c r="T435" s="113" t="n"/>
      <c r="U435" s="113" t="n"/>
      <c r="V435" s="113" t="n"/>
    </row>
    <row r="436" ht="15.75" customHeight="1">
      <c r="A436" s="146" t="n">
        <v>8</v>
      </c>
      <c r="B436" s="238" t="n"/>
      <c r="C436" s="399" t="n">
        <v>45859</v>
      </c>
      <c r="D436" s="162" t="inlineStr">
        <is>
          <t>200 G. GARCERAS</t>
        </is>
      </c>
      <c r="E436" s="162" t="n">
        <v>42234</v>
      </c>
      <c r="F436" s="162" t="inlineStr">
        <is>
          <t>DIEGO NIÑO</t>
        </is>
      </c>
      <c r="G436" s="162" t="n">
        <v>3001</v>
      </c>
      <c r="H436" s="162" t="n">
        <v>2998</v>
      </c>
      <c r="I436" s="162" t="n">
        <v>4</v>
      </c>
      <c r="J436" s="162" t="n">
        <v>4</v>
      </c>
      <c r="K436" s="162" t="n">
        <v>-5</v>
      </c>
      <c r="L436" s="241" t="n">
        <v>3001</v>
      </c>
      <c r="M436" s="239" t="inlineStr">
        <is>
          <t>DIEGO NIÑO</t>
        </is>
      </c>
      <c r="N436" s="113" t="n"/>
      <c r="O436" s="113" t="n"/>
      <c r="P436" s="398" t="n"/>
      <c r="Q436" s="398" t="n"/>
      <c r="R436" s="113" t="n"/>
      <c r="S436" s="113" t="n"/>
      <c r="T436" s="113" t="n"/>
      <c r="U436" s="113" t="n"/>
      <c r="V436" s="113" t="n"/>
    </row>
    <row r="437" ht="15.75" customHeight="1">
      <c r="A437" s="146" t="n">
        <v>8</v>
      </c>
      <c r="B437" s="238" t="n"/>
      <c r="C437" s="399" t="n">
        <v>45859</v>
      </c>
      <c r="D437" s="162" t="inlineStr">
        <is>
          <t>200 G. GARCERAS</t>
        </is>
      </c>
      <c r="E437" s="162" t="n">
        <v>42235</v>
      </c>
      <c r="F437" s="162" t="inlineStr">
        <is>
          <t>JHON AGUIRRE</t>
        </is>
      </c>
      <c r="G437" s="162" t="n">
        <v>3001</v>
      </c>
      <c r="H437" s="162" t="n">
        <v>3013</v>
      </c>
      <c r="I437" s="162" t="n">
        <v>3</v>
      </c>
      <c r="J437" s="162" t="n">
        <v>4</v>
      </c>
      <c r="K437" s="162" t="n">
        <v>-19</v>
      </c>
      <c r="L437" s="241" t="n">
        <v>3001</v>
      </c>
      <c r="M437" s="239" t="inlineStr">
        <is>
          <t>JHON AGUIRRE</t>
        </is>
      </c>
      <c r="N437" s="113" t="n"/>
      <c r="O437" s="113" t="n"/>
      <c r="P437" s="398" t="n"/>
      <c r="Q437" s="398" t="n"/>
      <c r="R437" s="113" t="n"/>
      <c r="S437" s="113" t="n"/>
      <c r="T437" s="113" t="n"/>
      <c r="U437" s="113" t="n"/>
      <c r="V437" s="113" t="n"/>
    </row>
    <row r="438" ht="15.75" customHeight="1">
      <c r="A438" s="146" t="n">
        <v>8</v>
      </c>
      <c r="B438" s="238" t="n"/>
      <c r="C438" s="399" t="n">
        <v>45859</v>
      </c>
      <c r="D438" s="162" t="inlineStr">
        <is>
          <t>200 G. GARCERAS</t>
        </is>
      </c>
      <c r="E438" s="162" t="n">
        <v>42236</v>
      </c>
      <c r="F438" s="162" t="inlineStr">
        <is>
          <t>FABIO ALDANA</t>
        </is>
      </c>
      <c r="G438" s="162" t="n">
        <v>3001</v>
      </c>
      <c r="H438" s="162" t="n">
        <v>3015</v>
      </c>
      <c r="I438" s="162" t="n">
        <v>3</v>
      </c>
      <c r="J438" s="162" t="n">
        <v>2</v>
      </c>
      <c r="K438" s="162" t="n">
        <v>-19</v>
      </c>
      <c r="L438" s="241" t="n">
        <v>3002</v>
      </c>
      <c r="M438" s="239" t="inlineStr">
        <is>
          <t>FABIO ALDANA</t>
        </is>
      </c>
      <c r="N438" s="113" t="n"/>
      <c r="O438" s="113" t="n"/>
      <c r="P438" s="398" t="n"/>
      <c r="Q438" s="398" t="n"/>
      <c r="R438" s="113" t="n"/>
      <c r="S438" s="113" t="n"/>
      <c r="T438" s="113" t="n"/>
      <c r="U438" s="113" t="n"/>
      <c r="V438" s="113" t="n"/>
    </row>
    <row r="439" ht="15.75" customHeight="1">
      <c r="A439" s="146" t="n">
        <v>8</v>
      </c>
      <c r="B439" s="238" t="n"/>
      <c r="C439" s="399" t="n">
        <v>45859</v>
      </c>
      <c r="D439" s="162" t="inlineStr">
        <is>
          <t>200 G. GARCERAS</t>
        </is>
      </c>
      <c r="E439" s="162" t="n">
        <v>42237</v>
      </c>
      <c r="F439" s="162" t="inlineStr">
        <is>
          <t>ALEX GOMEZ</t>
        </is>
      </c>
      <c r="G439" s="162" t="n">
        <v>2826</v>
      </c>
      <c r="H439" s="162" t="n">
        <v>2830</v>
      </c>
      <c r="I439" s="162" t="n">
        <v>4</v>
      </c>
      <c r="J439" s="162" t="n">
        <v>2</v>
      </c>
      <c r="K439" s="162" t="n">
        <v>-10</v>
      </c>
      <c r="L439" s="241" t="n">
        <v>2826</v>
      </c>
      <c r="M439" s="239" t="inlineStr">
        <is>
          <t>ALEX GOMEZ</t>
        </is>
      </c>
      <c r="N439" s="113" t="n"/>
      <c r="O439" s="113" t="n"/>
      <c r="P439" s="398" t="n"/>
      <c r="Q439" s="398" t="n"/>
      <c r="R439" s="113" t="n"/>
      <c r="S439" s="113" t="n"/>
      <c r="T439" s="113" t="n"/>
      <c r="U439" s="113" t="n"/>
      <c r="V439" s="113" t="n"/>
    </row>
    <row r="440" ht="15.75" customHeight="1">
      <c r="A440" s="146" t="n">
        <v>8</v>
      </c>
      <c r="B440" s="238" t="n"/>
      <c r="C440" s="399" t="n">
        <v>45859</v>
      </c>
      <c r="D440" s="162" t="inlineStr">
        <is>
          <t>200 G. GARCERAS</t>
        </is>
      </c>
      <c r="E440" s="162" t="n">
        <v>42238</v>
      </c>
      <c r="F440" s="162" t="inlineStr">
        <is>
          <t>ALBERTO HERRERA</t>
        </is>
      </c>
      <c r="G440" s="162" t="n">
        <v>3113</v>
      </c>
      <c r="H440" s="162" t="n">
        <v>3089</v>
      </c>
      <c r="I440" s="162" t="n">
        <v>2</v>
      </c>
      <c r="J440" s="162" t="n">
        <v>13</v>
      </c>
      <c r="K440" s="162" t="n">
        <v>9</v>
      </c>
      <c r="L440" s="241" t="n">
        <v>3113</v>
      </c>
      <c r="M440" s="239" t="inlineStr">
        <is>
          <t>JOSE HERRERA</t>
        </is>
      </c>
      <c r="N440" s="113" t="n"/>
      <c r="O440" s="113" t="n"/>
      <c r="P440" s="398" t="n"/>
      <c r="Q440" s="398" t="n"/>
      <c r="R440" s="113" t="n"/>
      <c r="S440" s="113" t="n"/>
      <c r="T440" s="113" t="n"/>
      <c r="U440" s="113" t="n"/>
      <c r="V440" s="113" t="n"/>
    </row>
    <row r="441" ht="15.75" customHeight="1">
      <c r="A441" s="146" t="n">
        <v>8</v>
      </c>
      <c r="B441" s="238" t="n"/>
      <c r="C441" s="399" t="n">
        <v>45859</v>
      </c>
      <c r="D441" s="162" t="inlineStr">
        <is>
          <t>200 G. GARCERAS</t>
        </is>
      </c>
      <c r="E441" s="162" t="n">
        <v>42239</v>
      </c>
      <c r="F441" s="162" t="inlineStr">
        <is>
          <t>WILMER PIÑEROS</t>
        </is>
      </c>
      <c r="G441" s="162" t="n">
        <v>3113</v>
      </c>
      <c r="H441" s="162" t="n">
        <v>3088</v>
      </c>
      <c r="I441" s="162" t="n">
        <v>2</v>
      </c>
      <c r="J441" s="162" t="n">
        <v>14</v>
      </c>
      <c r="K441" s="162" t="n">
        <v>9</v>
      </c>
      <c r="L441" s="241" t="n">
        <v>3113</v>
      </c>
      <c r="M441" s="239" t="inlineStr">
        <is>
          <t xml:space="preserve">WALTER PIÑEROS </t>
        </is>
      </c>
      <c r="N441" s="113" t="n"/>
      <c r="O441" s="113" t="n"/>
      <c r="P441" s="398" t="n"/>
      <c r="Q441" s="398" t="n"/>
      <c r="R441" s="113" t="n"/>
      <c r="S441" s="113" t="n"/>
      <c r="T441" s="113" t="n"/>
      <c r="U441" s="113" t="n"/>
      <c r="V441" s="113" t="n"/>
    </row>
    <row r="442" ht="15.75" customHeight="1">
      <c r="A442" s="146" t="n">
        <v>8</v>
      </c>
      <c r="B442" s="238" t="n"/>
      <c r="C442" s="399" t="n">
        <v>45859</v>
      </c>
      <c r="D442" s="162" t="inlineStr">
        <is>
          <t>200 G. GARCERAS</t>
        </is>
      </c>
      <c r="E442" s="162" t="n">
        <v>42240</v>
      </c>
      <c r="F442" s="162" t="inlineStr">
        <is>
          <t>JHON AIRAS</t>
        </is>
      </c>
      <c r="G442" s="162" t="n">
        <v>3385</v>
      </c>
      <c r="H442" s="162" t="n">
        <v>3357</v>
      </c>
      <c r="I442" s="162" t="n">
        <v>4</v>
      </c>
      <c r="J442" s="162" t="n">
        <v>7</v>
      </c>
      <c r="K442" s="162" t="n">
        <v>17</v>
      </c>
      <c r="L442" s="241" t="n">
        <v>3385</v>
      </c>
      <c r="M442" s="239" t="inlineStr">
        <is>
          <t>HENRY ROMERO</t>
        </is>
      </c>
      <c r="N442" s="113" t="n"/>
      <c r="O442" s="113" t="n"/>
      <c r="P442" s="398" t="n"/>
      <c r="Q442" s="398" t="n"/>
      <c r="R442" s="113" t="n"/>
      <c r="S442" s="113" t="n"/>
      <c r="T442" s="113" t="n"/>
      <c r="U442" s="113" t="n"/>
      <c r="V442" s="113" t="n"/>
    </row>
    <row r="443" ht="15.75" customHeight="1">
      <c r="A443" s="146" t="n">
        <v>8</v>
      </c>
      <c r="B443" s="238" t="n"/>
      <c r="C443" s="399" t="n">
        <v>45859</v>
      </c>
      <c r="D443" s="162" t="inlineStr">
        <is>
          <t>200 G. GARCERAS</t>
        </is>
      </c>
      <c r="E443" s="162" t="n">
        <v>42241</v>
      </c>
      <c r="F443" s="162" t="inlineStr">
        <is>
          <t>HENRY ROMERO</t>
        </is>
      </c>
      <c r="G443" s="162" t="n">
        <v>3385</v>
      </c>
      <c r="H443" s="162" t="n">
        <v>3357</v>
      </c>
      <c r="I443" s="162" t="n">
        <v>6</v>
      </c>
      <c r="J443" s="162" t="n">
        <v>7</v>
      </c>
      <c r="K443" s="162" t="n">
        <v>15</v>
      </c>
      <c r="L443" s="241" t="n">
        <v>3385</v>
      </c>
      <c r="M443" s="239" t="inlineStr">
        <is>
          <t>JHON ARIAS</t>
        </is>
      </c>
      <c r="N443" s="113" t="n"/>
      <c r="O443" s="113" t="n"/>
      <c r="P443" s="398" t="n"/>
      <c r="Q443" s="398" t="n"/>
      <c r="R443" s="113" t="n"/>
      <c r="S443" s="113" t="n"/>
      <c r="T443" s="113" t="n"/>
      <c r="U443" s="113" t="n"/>
      <c r="V443" s="113" t="n"/>
    </row>
    <row r="444" ht="15.75" customHeight="1">
      <c r="A444" s="146" t="n">
        <v>8</v>
      </c>
      <c r="B444" s="238" t="n"/>
      <c r="C444" s="399" t="n">
        <v>45859</v>
      </c>
      <c r="D444" s="162" t="inlineStr">
        <is>
          <t>200 G. GARCERAS</t>
        </is>
      </c>
      <c r="E444" s="162" t="n">
        <v>42242</v>
      </c>
      <c r="F444" s="162" t="inlineStr">
        <is>
          <t>EDWIN ROJAS</t>
        </is>
      </c>
      <c r="G444" s="162" t="n">
        <v>3385</v>
      </c>
      <c r="H444" s="162" t="n">
        <v>3354</v>
      </c>
      <c r="I444" s="162" t="n">
        <v>3</v>
      </c>
      <c r="J444" s="162" t="n">
        <v>10</v>
      </c>
      <c r="K444" s="162" t="n">
        <v>18</v>
      </c>
      <c r="L444" s="241" t="n">
        <v>3385</v>
      </c>
      <c r="M444" s="239" t="inlineStr">
        <is>
          <t>EDWIN ROJAS</t>
        </is>
      </c>
      <c r="N444" s="113" t="n"/>
      <c r="O444" s="113" t="n"/>
      <c r="P444" s="398" t="n"/>
      <c r="Q444" s="398" t="n"/>
      <c r="R444" s="113" t="n"/>
      <c r="S444" s="113" t="n"/>
      <c r="T444" s="113" t="n"/>
      <c r="U444" s="113" t="n"/>
      <c r="V444" s="113" t="n"/>
    </row>
    <row r="445" ht="15.75" customHeight="1">
      <c r="A445" s="146" t="n">
        <v>8</v>
      </c>
      <c r="B445" s="238" t="n"/>
      <c r="C445" s="399" t="n">
        <v>45860</v>
      </c>
      <c r="D445" s="162" t="inlineStr">
        <is>
          <t>200 G. GARCERAS</t>
        </is>
      </c>
      <c r="E445" s="162" t="n">
        <v>42250</v>
      </c>
      <c r="F445" s="162" t="inlineStr">
        <is>
          <t>JOSE SOLER</t>
        </is>
      </c>
      <c r="G445" s="162" t="n">
        <v>3061</v>
      </c>
      <c r="H445" s="162" t="n">
        <v>3060</v>
      </c>
      <c r="I445" s="162" t="n">
        <v>2</v>
      </c>
      <c r="J445" s="162" t="n">
        <v>7</v>
      </c>
      <c r="K445" s="162" t="n">
        <v>-8</v>
      </c>
      <c r="L445" s="241" t="n">
        <v>3061</v>
      </c>
      <c r="M445" s="239" t="inlineStr">
        <is>
          <t xml:space="preserve">JOSE SOLER </t>
        </is>
      </c>
      <c r="N445" s="113" t="n"/>
      <c r="O445" s="113" t="n"/>
      <c r="P445" s="398" t="n"/>
      <c r="Q445" s="398" t="n"/>
      <c r="R445" s="113" t="n"/>
      <c r="S445" s="113" t="n"/>
      <c r="T445" s="113" t="n"/>
      <c r="U445" s="113" t="n"/>
      <c r="V445" s="113" t="n"/>
    </row>
    <row r="446" ht="15.75" customHeight="1">
      <c r="A446" s="146" t="n">
        <v>8</v>
      </c>
      <c r="B446" s="238" t="n"/>
      <c r="C446" s="399" t="n">
        <v>45860</v>
      </c>
      <c r="D446" s="162" t="inlineStr">
        <is>
          <t>200 G. GARCERAS</t>
        </is>
      </c>
      <c r="E446" s="162" t="n">
        <v>42251</v>
      </c>
      <c r="F446" s="162" t="inlineStr">
        <is>
          <t>EDWIN ROJAS</t>
        </is>
      </c>
      <c r="G446" s="162" t="n">
        <v>3061</v>
      </c>
      <c r="H446" s="162" t="n">
        <v>3059</v>
      </c>
      <c r="I446" s="162" t="n">
        <v>3</v>
      </c>
      <c r="J446" s="162" t="n">
        <v>8</v>
      </c>
      <c r="K446" s="162" t="n">
        <v>-9</v>
      </c>
      <c r="L446" s="241" t="n">
        <v>3061</v>
      </c>
      <c r="M446" s="239" t="inlineStr">
        <is>
          <t xml:space="preserve">EDWIN ROJAS </t>
        </is>
      </c>
      <c r="N446" s="113" t="n"/>
      <c r="O446" s="113" t="n"/>
      <c r="P446" s="398" t="n"/>
      <c r="Q446" s="398" t="n"/>
      <c r="R446" s="113" t="n"/>
      <c r="S446" s="113" t="n"/>
      <c r="T446" s="113" t="n"/>
      <c r="U446" s="113" t="n"/>
      <c r="V446" s="113" t="n"/>
    </row>
    <row r="447" ht="15.75" customHeight="1">
      <c r="A447" s="146" t="n">
        <v>8</v>
      </c>
      <c r="B447" s="238" t="n"/>
      <c r="C447" s="399" t="n">
        <v>45860</v>
      </c>
      <c r="D447" s="162" t="inlineStr">
        <is>
          <t>200 G. GARCERAS</t>
        </is>
      </c>
      <c r="E447" s="162" t="n">
        <v>42252</v>
      </c>
      <c r="F447" s="162" t="inlineStr">
        <is>
          <t>HENRY ROMERO</t>
        </is>
      </c>
      <c r="G447" s="162" t="n">
        <v>3061</v>
      </c>
      <c r="H447" s="162" t="n">
        <v>3049</v>
      </c>
      <c r="I447" s="162" t="n">
        <v>3</v>
      </c>
      <c r="J447" s="162" t="n">
        <v>12</v>
      </c>
      <c r="K447" s="162" t="n">
        <v>-3</v>
      </c>
      <c r="L447" s="241" t="n">
        <v>3061</v>
      </c>
      <c r="M447" s="239" t="inlineStr">
        <is>
          <t>HENRY ROMERO</t>
        </is>
      </c>
      <c r="N447" s="113" t="n"/>
      <c r="O447" s="113" t="n"/>
      <c r="P447" s="398" t="n"/>
      <c r="Q447" s="398" t="n"/>
      <c r="R447" s="113" t="n"/>
      <c r="S447" s="113" t="n"/>
      <c r="T447" s="113" t="n"/>
      <c r="U447" s="113" t="n"/>
      <c r="V447" s="113" t="n"/>
    </row>
    <row r="448" ht="15.75" customHeight="1">
      <c r="A448" s="146" t="n">
        <v>8</v>
      </c>
      <c r="B448" s="238" t="n"/>
      <c r="C448" s="399" t="n">
        <v>45860</v>
      </c>
      <c r="D448" s="162" t="inlineStr">
        <is>
          <t>200 G. GARCERAS</t>
        </is>
      </c>
      <c r="E448" s="162" t="n">
        <v>42253</v>
      </c>
      <c r="F448" s="162" t="inlineStr">
        <is>
          <t>JHON ARIAS</t>
        </is>
      </c>
      <c r="G448" s="162" t="n">
        <v>3380</v>
      </c>
      <c r="H448" s="162" t="n">
        <v>3380</v>
      </c>
      <c r="I448" s="162" t="n">
        <v>3</v>
      </c>
      <c r="J448" s="162" t="n">
        <v>7</v>
      </c>
      <c r="K448" s="162" t="n">
        <v>-10</v>
      </c>
      <c r="L448" s="241" t="n">
        <v>3380</v>
      </c>
      <c r="M448" s="239" t="inlineStr">
        <is>
          <t>JHON ARIAS</t>
        </is>
      </c>
      <c r="N448" s="113" t="n"/>
      <c r="O448" s="113" t="n"/>
      <c r="P448" s="398" t="n"/>
      <c r="Q448" s="398" t="n"/>
      <c r="R448" s="113" t="n"/>
      <c r="S448" s="113" t="n"/>
      <c r="T448" s="113" t="n"/>
      <c r="U448" s="113" t="n"/>
      <c r="V448" s="113" t="n"/>
    </row>
    <row r="449" ht="15.75" customHeight="1">
      <c r="A449" s="146" t="n">
        <v>8</v>
      </c>
      <c r="B449" s="238" t="n"/>
      <c r="C449" s="399" t="n">
        <v>45860</v>
      </c>
      <c r="D449" s="162" t="inlineStr">
        <is>
          <t>200 G. GARCERAS</t>
        </is>
      </c>
      <c r="E449" s="162" t="n">
        <v>42254</v>
      </c>
      <c r="F449" s="162" t="inlineStr">
        <is>
          <t>WILMER PIÑEROS</t>
        </is>
      </c>
      <c r="G449" s="162" t="n">
        <v>2801</v>
      </c>
      <c r="H449" s="162" t="n">
        <v>2796</v>
      </c>
      <c r="I449" s="162" t="n">
        <v>3</v>
      </c>
      <c r="J449" s="162" t="n">
        <v>9</v>
      </c>
      <c r="K449" s="162" t="n">
        <v>-7</v>
      </c>
      <c r="L449" s="241" t="n">
        <v>2801</v>
      </c>
      <c r="M449" s="239" t="inlineStr">
        <is>
          <t xml:space="preserve">WILMER PIÑEROS </t>
        </is>
      </c>
      <c r="N449" s="113" t="n"/>
      <c r="O449" s="113" t="n"/>
      <c r="P449" s="398" t="n"/>
      <c r="Q449" s="398" t="n"/>
      <c r="R449" s="113" t="n"/>
      <c r="S449" s="113" t="n"/>
      <c r="T449" s="113" t="n"/>
      <c r="U449" s="113" t="n"/>
      <c r="V449" s="113" t="n"/>
    </row>
    <row r="450" ht="15.75" customHeight="1">
      <c r="A450" s="146" t="n">
        <v>8</v>
      </c>
      <c r="B450" s="238" t="n"/>
      <c r="C450" s="399" t="n">
        <v>45860</v>
      </c>
      <c r="D450" s="162" t="inlineStr">
        <is>
          <t>200 G. GARCERAS</t>
        </is>
      </c>
      <c r="E450" s="162" t="n">
        <v>42255</v>
      </c>
      <c r="F450" s="162" t="inlineStr">
        <is>
          <t>ALEX GOMEZ</t>
        </is>
      </c>
      <c r="G450" s="162" t="n">
        <v>2801</v>
      </c>
      <c r="H450" s="162" t="n">
        <v>2798</v>
      </c>
      <c r="I450" s="162" t="n">
        <v>4</v>
      </c>
      <c r="J450" s="162" t="n">
        <v>7</v>
      </c>
      <c r="K450" s="162" t="n">
        <v>-8</v>
      </c>
      <c r="L450" s="241" t="n">
        <v>2801</v>
      </c>
      <c r="M450" s="239" t="inlineStr">
        <is>
          <t xml:space="preserve">ALEX GOMEZ </t>
        </is>
      </c>
      <c r="N450" s="113" t="n"/>
      <c r="O450" s="113" t="n"/>
      <c r="P450" s="398" t="n"/>
      <c r="Q450" s="398" t="n"/>
      <c r="R450" s="113" t="n"/>
      <c r="S450" s="113" t="n"/>
      <c r="T450" s="113" t="n"/>
      <c r="U450" s="113" t="n"/>
      <c r="V450" s="113" t="n"/>
    </row>
    <row r="451" ht="15.75" customHeight="1">
      <c r="A451" s="146" t="n">
        <v>8</v>
      </c>
      <c r="B451" s="238" t="n"/>
      <c r="C451" s="399" t="n">
        <v>45860</v>
      </c>
      <c r="D451" s="162" t="inlineStr">
        <is>
          <t>200 G. GARCERAS</t>
        </is>
      </c>
      <c r="E451" s="162" t="n">
        <v>42256</v>
      </c>
      <c r="F451" s="162" t="inlineStr">
        <is>
          <t>MANUEL QUITIAN</t>
        </is>
      </c>
      <c r="G451" s="162" t="n">
        <v>2801</v>
      </c>
      <c r="H451" s="162" t="n">
        <v>2800</v>
      </c>
      <c r="I451" s="162" t="n">
        <v>5</v>
      </c>
      <c r="J451" s="162" t="n">
        <v>5</v>
      </c>
      <c r="K451" s="162" t="n">
        <v>-9</v>
      </c>
      <c r="L451" s="241" t="n">
        <v>2801</v>
      </c>
      <c r="M451" s="239" t="inlineStr">
        <is>
          <t>MANUEL QUINDIAN</t>
        </is>
      </c>
      <c r="N451" s="113" t="n"/>
      <c r="O451" s="113" t="n"/>
      <c r="P451" s="398" t="n"/>
      <c r="Q451" s="398" t="n"/>
      <c r="R451" s="113" t="n"/>
      <c r="S451" s="113" t="n"/>
      <c r="T451" s="113" t="n"/>
      <c r="U451" s="113" t="n"/>
      <c r="V451" s="113" t="n"/>
    </row>
    <row r="452" ht="15.75" customHeight="1">
      <c r="A452" s="146" t="n">
        <v>8</v>
      </c>
      <c r="B452" s="238" t="n"/>
      <c r="C452" s="399" t="n">
        <v>45860</v>
      </c>
      <c r="D452" s="162" t="inlineStr">
        <is>
          <t>200 G. GARCERAS</t>
        </is>
      </c>
      <c r="E452" s="162" t="n">
        <v>42257</v>
      </c>
      <c r="F452" s="162" t="inlineStr">
        <is>
          <t>ALBERTO HERRERA</t>
        </is>
      </c>
      <c r="G452" s="162" t="n">
        <v>2801</v>
      </c>
      <c r="H452" s="162" t="n">
        <v>2801</v>
      </c>
      <c r="I452" s="162" t="n">
        <v>5</v>
      </c>
      <c r="J452" s="162" t="n">
        <v>4</v>
      </c>
      <c r="K452" s="162" t="n">
        <v>-9</v>
      </c>
      <c r="L452" s="241" t="n">
        <v>2801</v>
      </c>
      <c r="M452" s="239" t="inlineStr">
        <is>
          <t xml:space="preserve">JOSE HERRERA </t>
        </is>
      </c>
      <c r="N452" s="113" t="n"/>
      <c r="O452" s="113" t="n"/>
      <c r="P452" s="398" t="n"/>
      <c r="Q452" s="398" t="n"/>
      <c r="R452" s="113" t="n"/>
      <c r="S452" s="113" t="n"/>
      <c r="T452" s="113" t="n"/>
      <c r="U452" s="113" t="n"/>
      <c r="V452" s="113" t="n"/>
    </row>
    <row r="453" ht="15.75" customHeight="1">
      <c r="A453" s="146" t="n">
        <v>8</v>
      </c>
      <c r="B453" s="238" t="n"/>
      <c r="C453" s="399" t="n">
        <v>45861</v>
      </c>
      <c r="D453" s="162" t="inlineStr">
        <is>
          <t>200 G. GARCERAS</t>
        </is>
      </c>
      <c r="E453" s="162" t="n">
        <v>42265</v>
      </c>
      <c r="F453" s="162" t="inlineStr">
        <is>
          <t>EDWIN ROJAS</t>
        </is>
      </c>
      <c r="G453" s="162" t="n">
        <v>2785</v>
      </c>
      <c r="H453" s="162" t="n">
        <v>2775</v>
      </c>
      <c r="I453" s="162" t="n">
        <v>3</v>
      </c>
      <c r="J453" s="162" t="n">
        <v>5</v>
      </c>
      <c r="K453" s="162" t="n">
        <v>2</v>
      </c>
      <c r="L453" s="241" t="n">
        <v>2785</v>
      </c>
      <c r="M453" s="239" t="inlineStr">
        <is>
          <t xml:space="preserve">EDWIN ROJAS </t>
        </is>
      </c>
      <c r="N453" s="113" t="n"/>
      <c r="O453" s="113" t="n"/>
      <c r="P453" s="398" t="n"/>
      <c r="Q453" s="398" t="n"/>
      <c r="R453" s="113" t="n"/>
      <c r="S453" s="113" t="n"/>
      <c r="T453" s="113" t="n"/>
      <c r="U453" s="113" t="n"/>
      <c r="V453" s="113" t="n"/>
    </row>
    <row r="454" ht="15.75" customHeight="1">
      <c r="A454" s="146" t="n">
        <v>8</v>
      </c>
      <c r="B454" s="238" t="n"/>
      <c r="C454" s="399" t="n">
        <v>45861</v>
      </c>
      <c r="D454" s="162" t="inlineStr">
        <is>
          <t>200 G. GARCERAS</t>
        </is>
      </c>
      <c r="E454" s="162" t="n">
        <v>42266</v>
      </c>
      <c r="F454" s="162" t="inlineStr">
        <is>
          <t>JHON ARIAS</t>
        </is>
      </c>
      <c r="G454" s="162" t="n">
        <v>2785</v>
      </c>
      <c r="H454" s="162" t="n">
        <v>2763</v>
      </c>
      <c r="I454" s="162" t="n">
        <v>3</v>
      </c>
      <c r="J454" s="162" t="n">
        <v>6</v>
      </c>
      <c r="K454" s="162" t="n">
        <v>13</v>
      </c>
      <c r="L454" s="241" t="n">
        <v>2785</v>
      </c>
      <c r="M454" s="239" t="inlineStr">
        <is>
          <t>JHON ARIAS</t>
        </is>
      </c>
      <c r="N454" s="113" t="n"/>
      <c r="O454" s="113" t="n"/>
      <c r="P454" s="398" t="n"/>
      <c r="Q454" s="398" t="n"/>
      <c r="R454" s="113" t="n"/>
      <c r="S454" s="113" t="n"/>
      <c r="T454" s="113" t="n"/>
      <c r="U454" s="113" t="n"/>
      <c r="V454" s="113" t="n"/>
    </row>
    <row r="455" ht="15.75" customHeight="1">
      <c r="A455" s="146" t="n">
        <v>8</v>
      </c>
      <c r="B455" s="238" t="n"/>
      <c r="C455" s="399" t="n">
        <v>45861</v>
      </c>
      <c r="D455" s="162" t="inlineStr">
        <is>
          <t>200 G. GARCERAS</t>
        </is>
      </c>
      <c r="E455" s="162" t="n">
        <v>42267</v>
      </c>
      <c r="F455" s="162" t="inlineStr">
        <is>
          <t>JHON AGUIRRE</t>
        </is>
      </c>
      <c r="G455" s="162" t="n">
        <v>2895</v>
      </c>
      <c r="H455" s="162" t="n">
        <v>2883</v>
      </c>
      <c r="I455" s="162" t="n">
        <v>4</v>
      </c>
      <c r="J455" s="162" t="n">
        <v>5</v>
      </c>
      <c r="K455" s="162" t="n">
        <v>3</v>
      </c>
      <c r="L455" s="241" t="n">
        <v>2895</v>
      </c>
      <c r="M455" s="239" t="inlineStr">
        <is>
          <t>JHON AGUIRRE</t>
        </is>
      </c>
      <c r="N455" s="113" t="n"/>
      <c r="O455" s="113" t="n"/>
      <c r="P455" s="398" t="n"/>
      <c r="Q455" s="398" t="n"/>
      <c r="R455" s="113" t="n"/>
      <c r="S455" s="113" t="n"/>
      <c r="T455" s="113" t="n"/>
      <c r="U455" s="113" t="n"/>
      <c r="V455" s="113" t="n"/>
    </row>
    <row r="456" ht="15.75" customHeight="1">
      <c r="A456" s="146" t="n">
        <v>8</v>
      </c>
      <c r="B456" s="238" t="n"/>
      <c r="C456" s="399" t="n">
        <v>45861</v>
      </c>
      <c r="D456" s="162" t="inlineStr">
        <is>
          <t>200 G. GARCERAS</t>
        </is>
      </c>
      <c r="E456" s="162" t="n">
        <v>42268</v>
      </c>
      <c r="F456" s="162" t="inlineStr">
        <is>
          <t>ALEX GOMEZ</t>
        </is>
      </c>
      <c r="G456" s="162" t="n">
        <v>3659</v>
      </c>
      <c r="H456" s="162" t="n">
        <v>3610</v>
      </c>
      <c r="I456" s="162" t="n">
        <v>4</v>
      </c>
      <c r="J456" s="162" t="n">
        <v>6</v>
      </c>
      <c r="K456" s="162" t="n">
        <v>39</v>
      </c>
      <c r="L456" s="241" t="n">
        <v>3625</v>
      </c>
      <c r="M456" s="239" t="inlineStr">
        <is>
          <t>ALEX GOMEX</t>
        </is>
      </c>
      <c r="N456" s="113" t="n"/>
      <c r="O456" s="113" t="n"/>
      <c r="P456" s="398" t="n"/>
      <c r="Q456" s="398" t="n"/>
      <c r="R456" s="113" t="n"/>
      <c r="S456" s="113" t="n"/>
      <c r="T456" s="113" t="n"/>
      <c r="U456" s="113" t="n"/>
      <c r="V456" s="113" t="n"/>
    </row>
    <row r="457" ht="15.75" customHeight="1">
      <c r="A457" s="146" t="n">
        <v>8</v>
      </c>
      <c r="B457" s="238" t="n"/>
      <c r="C457" s="399" t="n">
        <v>45861</v>
      </c>
      <c r="D457" s="162" t="inlineStr">
        <is>
          <t>200 G. GARCERAS</t>
        </is>
      </c>
      <c r="E457" s="162" t="n">
        <v>42269</v>
      </c>
      <c r="F457" s="162" t="inlineStr">
        <is>
          <t>ALBERTO LOPEZ</t>
        </is>
      </c>
      <c r="G457" s="162" t="n">
        <v>3659</v>
      </c>
      <c r="H457" s="162" t="n">
        <v>3627</v>
      </c>
      <c r="I457" s="162" t="n">
        <v>7</v>
      </c>
      <c r="J457" s="162" t="n">
        <v>7</v>
      </c>
      <c r="K457" s="162" t="n">
        <v>18</v>
      </c>
      <c r="L457" s="241" t="n">
        <v>3625</v>
      </c>
      <c r="M457" s="239" t="inlineStr">
        <is>
          <t>ALBERTO LOPEZ</t>
        </is>
      </c>
      <c r="N457" s="113" t="n"/>
      <c r="O457" s="113" t="n"/>
      <c r="P457" s="398" t="n"/>
      <c r="Q457" s="398" t="n"/>
      <c r="R457" s="113" t="n"/>
      <c r="S457" s="113" t="n"/>
      <c r="T457" s="113" t="n"/>
      <c r="U457" s="113" t="n"/>
      <c r="V457" s="113" t="n"/>
    </row>
    <row r="458" ht="15.75" customHeight="1">
      <c r="A458" s="146" t="n">
        <v>8</v>
      </c>
      <c r="B458" s="238" t="n"/>
      <c r="C458" s="399" t="n">
        <v>45861</v>
      </c>
      <c r="D458" s="162" t="inlineStr">
        <is>
          <t>200 G. GARCERAS</t>
        </is>
      </c>
      <c r="E458" s="162" t="n">
        <v>42270</v>
      </c>
      <c r="F458" s="162" t="inlineStr">
        <is>
          <t>HENRY ROMERO</t>
        </is>
      </c>
      <c r="G458" s="162" t="n">
        <v>3625</v>
      </c>
      <c r="H458" s="162" t="n">
        <v>3624</v>
      </c>
      <c r="I458" s="162" t="n">
        <v>6</v>
      </c>
      <c r="J458" s="162" t="n">
        <v>7</v>
      </c>
      <c r="K458" s="162" t="n">
        <v>-12</v>
      </c>
      <c r="L458" s="241" t="n">
        <v>3625</v>
      </c>
      <c r="M458" s="239" t="inlineStr">
        <is>
          <t>HENRY ROMERO</t>
        </is>
      </c>
      <c r="N458" s="113" t="n"/>
      <c r="O458" s="113" t="n"/>
      <c r="P458" s="398" t="n"/>
      <c r="Q458" s="398" t="n"/>
      <c r="R458" s="113" t="n"/>
      <c r="S458" s="113" t="n"/>
      <c r="T458" s="113" t="n"/>
      <c r="U458" s="113" t="n"/>
      <c r="V458" s="113" t="n"/>
    </row>
    <row r="459" ht="15.75" customHeight="1">
      <c r="A459" s="146" t="n">
        <v>8</v>
      </c>
      <c r="B459" s="238" t="n"/>
      <c r="C459" s="399" t="n">
        <v>45861</v>
      </c>
      <c r="D459" s="162" t="inlineStr">
        <is>
          <t>200 G. GARCERAS</t>
        </is>
      </c>
      <c r="E459" s="162" t="n">
        <v>42271</v>
      </c>
      <c r="F459" s="162" t="inlineStr">
        <is>
          <t>MANUEL QUITIAN</t>
        </is>
      </c>
      <c r="G459" s="162" t="n">
        <v>3625</v>
      </c>
      <c r="H459" s="162" t="n">
        <v>3626</v>
      </c>
      <c r="I459" s="162" t="n">
        <v>3</v>
      </c>
      <c r="J459" s="162" t="n">
        <v>6</v>
      </c>
      <c r="K459" s="162" t="n">
        <v>-10</v>
      </c>
      <c r="L459" s="241" t="n">
        <v>3625</v>
      </c>
      <c r="M459" s="239" t="inlineStr">
        <is>
          <t>MANUEL QUINDIAN</t>
        </is>
      </c>
      <c r="N459" s="113" t="n"/>
      <c r="O459" s="113" t="n"/>
      <c r="P459" s="398" t="n"/>
      <c r="Q459" s="398" t="n"/>
      <c r="R459" s="113" t="n"/>
      <c r="S459" s="113" t="n"/>
      <c r="T459" s="113" t="n"/>
      <c r="U459" s="113" t="n"/>
      <c r="V459" s="113" t="n"/>
    </row>
    <row r="460" ht="15.75" customHeight="1">
      <c r="A460" s="146" t="n">
        <v>8</v>
      </c>
      <c r="B460" s="238" t="n"/>
      <c r="C460" s="399" t="n">
        <v>45862</v>
      </c>
      <c r="D460" s="162" t="inlineStr">
        <is>
          <t>221 G. MALAGUEÑA</t>
        </is>
      </c>
      <c r="E460" s="162" t="n">
        <v>42286</v>
      </c>
      <c r="F460" s="162" t="inlineStr">
        <is>
          <t>HENRY ROMERO</t>
        </is>
      </c>
      <c r="G460" s="162" t="n">
        <v>3293</v>
      </c>
      <c r="H460" s="162" t="n">
        <v>3268</v>
      </c>
      <c r="I460" s="162" t="n">
        <v>3</v>
      </c>
      <c r="J460" s="162" t="n">
        <v>18</v>
      </c>
      <c r="K460" s="162" t="n">
        <v>4</v>
      </c>
      <c r="L460" s="241" t="n">
        <v>2836</v>
      </c>
      <c r="M460" s="239" t="inlineStr">
        <is>
          <t xml:space="preserve">WILMER PIÑEROS </t>
        </is>
      </c>
      <c r="N460" s="113" t="n"/>
      <c r="O460" s="113" t="n"/>
      <c r="P460" s="398" t="n"/>
      <c r="Q460" s="398" t="n"/>
      <c r="R460" s="113" t="n"/>
      <c r="S460" s="113" t="n"/>
      <c r="T460" s="113" t="n"/>
      <c r="U460" s="113" t="n"/>
      <c r="V460" s="113" t="n"/>
    </row>
    <row r="461" ht="15.75" customHeight="1">
      <c r="A461" s="146" t="n">
        <v>8</v>
      </c>
      <c r="B461" s="238" t="n"/>
      <c r="C461" s="399" t="n">
        <v>45862</v>
      </c>
      <c r="D461" s="162" t="inlineStr">
        <is>
          <t>221 G. MALAGUEÑA</t>
        </is>
      </c>
      <c r="E461" s="162" t="n">
        <v>42287</v>
      </c>
      <c r="F461" s="162" t="inlineStr">
        <is>
          <t>MANUEL QUITIAN</t>
        </is>
      </c>
      <c r="G461" s="162" t="n">
        <v>3293</v>
      </c>
      <c r="H461" s="162" t="n">
        <v>3279</v>
      </c>
      <c r="I461" s="162" t="n">
        <v>4</v>
      </c>
      <c r="J461" s="162" t="n">
        <v>13</v>
      </c>
      <c r="K461" s="162" t="n">
        <v>-3</v>
      </c>
      <c r="L461" s="241" t="n">
        <v>2836</v>
      </c>
      <c r="M461" s="239" t="inlineStr">
        <is>
          <t xml:space="preserve">JOSE SOLER </t>
        </is>
      </c>
      <c r="N461" s="113" t="n"/>
      <c r="O461" s="113" t="n"/>
      <c r="P461" s="398" t="n"/>
      <c r="Q461" s="398" t="n"/>
      <c r="R461" s="113" t="n"/>
      <c r="S461" s="113" t="n"/>
      <c r="T461" s="113" t="n"/>
      <c r="U461" s="113" t="n"/>
      <c r="V461" s="113" t="n"/>
    </row>
    <row r="462" ht="15.75" customHeight="1">
      <c r="A462" s="146" t="n">
        <v>8</v>
      </c>
      <c r="B462" s="238" t="n"/>
      <c r="C462" s="399" t="n">
        <v>45862</v>
      </c>
      <c r="D462" s="162" t="inlineStr">
        <is>
          <t>221 G. MALAGUEÑA</t>
        </is>
      </c>
      <c r="E462" s="162" t="n">
        <v>42288</v>
      </c>
      <c r="F462" s="162" t="inlineStr">
        <is>
          <t>DUMAR ANGARITA</t>
        </is>
      </c>
      <c r="G462" s="162" t="n">
        <v>3620</v>
      </c>
      <c r="H462" s="162" t="n">
        <v>3610</v>
      </c>
      <c r="I462" s="162" t="n">
        <v>3</v>
      </c>
      <c r="J462" s="162" t="n">
        <v>11</v>
      </c>
      <c r="K462" s="162" t="n">
        <v>-4</v>
      </c>
      <c r="L462" s="241" t="n">
        <v>3293</v>
      </c>
      <c r="M462" s="239" t="inlineStr">
        <is>
          <t xml:space="preserve">HENRY ROMERO </t>
        </is>
      </c>
      <c r="N462" s="113" t="n"/>
      <c r="O462" s="113" t="n"/>
      <c r="P462" s="398" t="n"/>
      <c r="Q462" s="398" t="n"/>
      <c r="R462" s="113" t="n"/>
      <c r="S462" s="113" t="n"/>
      <c r="T462" s="113" t="n"/>
      <c r="U462" s="113" t="n"/>
      <c r="V462" s="113" t="n"/>
    </row>
    <row r="463" ht="15.75" customHeight="1">
      <c r="A463" s="146" t="n">
        <v>8</v>
      </c>
      <c r="B463" s="238" t="n"/>
      <c r="C463" s="399" t="n">
        <v>45862</v>
      </c>
      <c r="D463" s="162" t="inlineStr">
        <is>
          <t>221 G. MALAGUEÑA</t>
        </is>
      </c>
      <c r="E463" s="162" t="n">
        <v>42289</v>
      </c>
      <c r="F463" s="162" t="inlineStr">
        <is>
          <t>FABIO ALDANA</t>
        </is>
      </c>
      <c r="G463" s="162" t="n">
        <v>3620</v>
      </c>
      <c r="H463" s="162" t="n">
        <v>3616</v>
      </c>
      <c r="I463" s="162" t="n">
        <v>4</v>
      </c>
      <c r="J463" s="162" t="n">
        <v>6</v>
      </c>
      <c r="K463" s="162" t="n">
        <v>-6</v>
      </c>
      <c r="L463" s="241" t="n">
        <v>3293</v>
      </c>
      <c r="M463" s="239" t="inlineStr">
        <is>
          <t>MANUEL QUINDIAN</t>
        </is>
      </c>
      <c r="N463" s="113" t="n"/>
      <c r="O463" s="113" t="n"/>
      <c r="P463" s="398" t="n"/>
      <c r="Q463" s="398" t="n"/>
      <c r="R463" s="113" t="n"/>
      <c r="S463" s="113" t="n"/>
      <c r="T463" s="113" t="n"/>
      <c r="U463" s="113" t="n"/>
      <c r="V463" s="113" t="n"/>
    </row>
    <row r="464" ht="15.75" customHeight="1">
      <c r="A464" s="146" t="n">
        <v>8</v>
      </c>
      <c r="B464" s="238" t="n"/>
      <c r="C464" s="399" t="n">
        <v>45862</v>
      </c>
      <c r="D464" s="162" t="inlineStr">
        <is>
          <t>200 G. GARCERAS</t>
        </is>
      </c>
      <c r="E464" s="162" t="n">
        <v>42290</v>
      </c>
      <c r="F464" s="162" t="inlineStr">
        <is>
          <t>WILMER PIÑEROS</t>
        </is>
      </c>
      <c r="G464" s="162" t="n">
        <v>2836</v>
      </c>
      <c r="H464" s="162" t="n">
        <v>2828</v>
      </c>
      <c r="I464" s="162" t="n">
        <v>3</v>
      </c>
      <c r="J464" s="162" t="n">
        <v>6</v>
      </c>
      <c r="K464" s="162" t="n">
        <v>-1</v>
      </c>
      <c r="L464" s="241" t="n">
        <v>2836</v>
      </c>
      <c r="M464" s="239" t="inlineStr">
        <is>
          <t>DIEGO NIÑO</t>
        </is>
      </c>
      <c r="N464" s="113" t="n"/>
      <c r="O464" s="113" t="n"/>
      <c r="P464" s="398" t="n"/>
      <c r="Q464" s="398" t="n"/>
      <c r="R464" s="113" t="n"/>
      <c r="S464" s="113" t="n"/>
      <c r="T464" s="113" t="n"/>
      <c r="U464" s="113" t="n"/>
      <c r="V464" s="113" t="n"/>
    </row>
    <row r="465" ht="15.75" customHeight="1">
      <c r="A465" s="146" t="n">
        <v>8</v>
      </c>
      <c r="B465" s="238" t="n"/>
      <c r="C465" s="399" t="n">
        <v>45862</v>
      </c>
      <c r="D465" s="162" t="inlineStr">
        <is>
          <t>200 G. GARCERAS</t>
        </is>
      </c>
      <c r="E465" s="162" t="n">
        <v>42291</v>
      </c>
      <c r="F465" s="162" t="inlineStr">
        <is>
          <t>JOSE SOLER</t>
        </is>
      </c>
      <c r="G465" s="162" t="n">
        <v>2836</v>
      </c>
      <c r="H465" s="162" t="n">
        <v>2831</v>
      </c>
      <c r="I465" s="162" t="n">
        <v>4</v>
      </c>
      <c r="J465" s="162" t="n">
        <v>3</v>
      </c>
      <c r="K465" s="162" t="n">
        <v>-2</v>
      </c>
      <c r="L465" s="241" t="n">
        <v>3620</v>
      </c>
      <c r="M465" s="239" t="inlineStr">
        <is>
          <t xml:space="preserve">DUMAR ANGARITA </t>
        </is>
      </c>
      <c r="N465" s="113" t="n"/>
      <c r="O465" s="113" t="n"/>
      <c r="P465" s="398" t="n"/>
      <c r="Q465" s="398" t="n"/>
      <c r="R465" s="113" t="n"/>
      <c r="S465" s="113" t="n"/>
      <c r="T465" s="113" t="n"/>
      <c r="U465" s="113" t="n"/>
      <c r="V465" s="113" t="n"/>
    </row>
    <row r="466" ht="15.75" customHeight="1">
      <c r="A466" s="146" t="n">
        <v>8</v>
      </c>
      <c r="B466" s="238" t="n"/>
      <c r="C466" s="399" t="n">
        <v>45862</v>
      </c>
      <c r="D466" s="162" t="inlineStr">
        <is>
          <t>200 G. GARCERAS</t>
        </is>
      </c>
      <c r="E466" s="162" t="n">
        <v>42292</v>
      </c>
      <c r="F466" s="162" t="inlineStr">
        <is>
          <t>DIEGO NIÑO</t>
        </is>
      </c>
      <c r="G466" s="162" t="n">
        <v>2836</v>
      </c>
      <c r="H466" s="162" t="n">
        <v>2830</v>
      </c>
      <c r="I466" s="162" t="n">
        <v>3</v>
      </c>
      <c r="J466" s="162" t="n">
        <v>4</v>
      </c>
      <c r="K466" s="162" t="n">
        <v>-1</v>
      </c>
      <c r="L466" s="241" t="n">
        <v>2836</v>
      </c>
      <c r="M466" s="239" t="inlineStr">
        <is>
          <t xml:space="preserve">JAIRO CUUBILLOS </t>
        </is>
      </c>
      <c r="N466" s="113" t="n"/>
      <c r="O466" s="113" t="n"/>
      <c r="P466" s="398" t="n"/>
      <c r="Q466" s="398" t="n"/>
      <c r="R466" s="113" t="n"/>
      <c r="S466" s="113" t="n"/>
      <c r="T466" s="113" t="n"/>
      <c r="U466" s="113" t="n"/>
      <c r="V466" s="113" t="n"/>
    </row>
    <row r="467" ht="15.75" customHeight="1">
      <c r="A467" s="146" t="n">
        <v>8</v>
      </c>
      <c r="B467" s="238" t="n"/>
      <c r="C467" s="399" t="n">
        <v>45862</v>
      </c>
      <c r="D467" s="162" t="inlineStr">
        <is>
          <t>200 G. GARCERAS</t>
        </is>
      </c>
      <c r="E467" s="162" t="n">
        <v>42293</v>
      </c>
      <c r="F467" s="162" t="inlineStr">
        <is>
          <t>JAIRO CUBILLOS</t>
        </is>
      </c>
      <c r="G467" s="162" t="n">
        <v>2836</v>
      </c>
      <c r="H467" s="162" t="n">
        <v>2835</v>
      </c>
      <c r="I467" s="162" t="n">
        <v>2</v>
      </c>
      <c r="J467" s="162" t="n">
        <v>3</v>
      </c>
      <c r="K467" s="162" t="n">
        <v>-4</v>
      </c>
      <c r="L467" s="241" t="n">
        <v>3620</v>
      </c>
      <c r="M467" s="239" t="inlineStr">
        <is>
          <t xml:space="preserve">FABIO ALDANA  </t>
        </is>
      </c>
      <c r="N467" s="113" t="n"/>
      <c r="O467" s="113" t="n"/>
      <c r="P467" s="398" t="n"/>
      <c r="Q467" s="398" t="n"/>
      <c r="R467" s="113" t="n"/>
      <c r="S467" s="113" t="n"/>
      <c r="T467" s="113" t="n"/>
      <c r="U467" s="113" t="n"/>
      <c r="V467" s="113" t="n"/>
    </row>
    <row r="468" ht="15.75" customHeight="1">
      <c r="A468" s="146" t="n">
        <v>8</v>
      </c>
      <c r="B468" s="238" t="n"/>
      <c r="C468" s="399" t="n">
        <v>45862</v>
      </c>
      <c r="D468" s="162" t="inlineStr">
        <is>
          <t>200 G. GARCERAS</t>
        </is>
      </c>
      <c r="E468" s="162" t="n">
        <v>42294</v>
      </c>
      <c r="F468" s="162" t="inlineStr">
        <is>
          <t>ALBERTO HERRERA</t>
        </is>
      </c>
      <c r="G468" s="162" t="n">
        <v>1666</v>
      </c>
      <c r="H468" s="162" t="n">
        <v>1700</v>
      </c>
      <c r="I468" s="162" t="n">
        <v>2</v>
      </c>
      <c r="J468" s="162" t="n">
        <v>4</v>
      </c>
      <c r="K468" s="162" t="n">
        <v>-40</v>
      </c>
      <c r="L468" s="241" t="n">
        <v>1556</v>
      </c>
      <c r="M468" s="239" t="inlineStr">
        <is>
          <t xml:space="preserve">JOSE HERRERA </t>
        </is>
      </c>
      <c r="N468" s="113" t="n"/>
      <c r="O468" s="113" t="n"/>
      <c r="P468" s="398" t="n"/>
      <c r="Q468" s="398" t="n"/>
      <c r="R468" s="113" t="n"/>
      <c r="S468" s="113" t="n"/>
      <c r="T468" s="113" t="n"/>
      <c r="U468" s="113" t="n"/>
      <c r="V468" s="113" t="n"/>
    </row>
    <row r="469" ht="15.75" customHeight="1">
      <c r="A469" s="146" t="n">
        <v>8</v>
      </c>
      <c r="B469" s="238" t="n"/>
      <c r="C469" s="399" t="n">
        <v>45863</v>
      </c>
      <c r="D469" s="162" t="inlineStr">
        <is>
          <t>221 G. MALAGUEÑA</t>
        </is>
      </c>
      <c r="E469" s="162" t="n">
        <v>42302</v>
      </c>
      <c r="F469" s="162" t="inlineStr">
        <is>
          <t>HENRY ROMERO</t>
        </is>
      </c>
      <c r="G469" s="162" t="n">
        <v>2629</v>
      </c>
      <c r="H469" s="162" t="n">
        <v>2608</v>
      </c>
      <c r="I469" s="162" t="n">
        <v>3</v>
      </c>
      <c r="J469" s="162" t="n">
        <v>20</v>
      </c>
      <c r="K469" s="162" t="n">
        <v>-2</v>
      </c>
      <c r="L469" s="241" t="n">
        <v>3295</v>
      </c>
      <c r="M469" s="239" t="inlineStr">
        <is>
          <t>JHON ARIAS</t>
        </is>
      </c>
      <c r="N469" s="113" t="n"/>
      <c r="O469" s="113" t="n"/>
      <c r="P469" s="398" t="n"/>
      <c r="Q469" s="398" t="n"/>
      <c r="R469" s="113" t="n"/>
      <c r="S469" s="113" t="n"/>
      <c r="T469" s="113" t="n"/>
      <c r="U469" s="113" t="n"/>
      <c r="V469" s="113" t="n"/>
    </row>
    <row r="470" ht="15.75" customHeight="1">
      <c r="A470" s="146" t="n">
        <v>8</v>
      </c>
      <c r="B470" s="238" t="n"/>
      <c r="C470" s="399" t="n">
        <v>45863</v>
      </c>
      <c r="D470" s="162" t="inlineStr">
        <is>
          <t>221 G. MALAGUEÑA</t>
        </is>
      </c>
      <c r="E470" s="162" t="n">
        <v>42303</v>
      </c>
      <c r="F470" s="162" t="inlineStr">
        <is>
          <t>ALEX GOMEZ</t>
        </is>
      </c>
      <c r="G470" s="162" t="n">
        <v>2629</v>
      </c>
      <c r="H470" s="162" t="n">
        <v>2607</v>
      </c>
      <c r="I470" s="162" t="n">
        <v>2</v>
      </c>
      <c r="J470" s="162" t="n">
        <v>21</v>
      </c>
      <c r="K470" s="162" t="n">
        <v>-1</v>
      </c>
      <c r="L470" s="241" t="n">
        <v>3295</v>
      </c>
      <c r="M470" s="239" t="inlineStr">
        <is>
          <t>ALBERTO LOPEZ</t>
        </is>
      </c>
      <c r="N470" s="113" t="n"/>
      <c r="O470" s="113" t="n"/>
      <c r="P470" s="398" t="n"/>
      <c r="Q470" s="398" t="n"/>
      <c r="R470" s="113" t="n"/>
      <c r="S470" s="113" t="n"/>
      <c r="T470" s="113" t="n"/>
      <c r="U470" s="113" t="n"/>
      <c r="V470" s="113" t="n"/>
    </row>
    <row r="471" ht="15.75" customHeight="1">
      <c r="A471" s="146" t="n">
        <v>8</v>
      </c>
      <c r="B471" s="238" t="n"/>
      <c r="C471" s="399" t="n">
        <v>45863</v>
      </c>
      <c r="D471" s="162" t="inlineStr">
        <is>
          <t>221 G. MALAGUEÑA</t>
        </is>
      </c>
      <c r="E471" s="162" t="n">
        <v>42304</v>
      </c>
      <c r="F471" s="162" t="inlineStr">
        <is>
          <t>JHON AGUIRRE</t>
        </is>
      </c>
      <c r="G471" s="162" t="n">
        <v>2629</v>
      </c>
      <c r="H471" s="162" t="n">
        <v>2607</v>
      </c>
      <c r="I471" s="162" t="n">
        <v>2</v>
      </c>
      <c r="J471" s="162" t="n">
        <v>20</v>
      </c>
      <c r="K471" s="162" t="n">
        <v>0</v>
      </c>
      <c r="L471" s="241" t="n">
        <v>3295</v>
      </c>
      <c r="M471" s="239" t="inlineStr">
        <is>
          <t>YAIR RIVEROS</t>
        </is>
      </c>
      <c r="N471" s="113" t="n"/>
      <c r="O471" s="113" t="n"/>
      <c r="P471" s="398" t="n"/>
      <c r="Q471" s="398" t="n"/>
      <c r="R471" s="113" t="n"/>
      <c r="S471" s="113" t="n"/>
      <c r="T471" s="113" t="n"/>
      <c r="U471" s="113" t="n"/>
      <c r="V471" s="113" t="n"/>
    </row>
    <row r="472" ht="15.75" customHeight="1">
      <c r="A472" s="146" t="n">
        <v>8</v>
      </c>
      <c r="B472" s="238" t="n"/>
      <c r="C472" s="399" t="n">
        <v>45863</v>
      </c>
      <c r="D472" s="162" t="inlineStr">
        <is>
          <t>200 G. GARCERAS</t>
        </is>
      </c>
      <c r="E472" s="162" t="n">
        <v>42305</v>
      </c>
      <c r="F472" s="162" t="inlineStr">
        <is>
          <t>JHON ARIAS</t>
        </is>
      </c>
      <c r="G472" s="162" t="n">
        <v>3294</v>
      </c>
      <c r="H472" s="162" t="n">
        <v>3278</v>
      </c>
      <c r="I472" s="162" t="n">
        <v>2</v>
      </c>
      <c r="J472" s="162" t="n">
        <v>10</v>
      </c>
      <c r="K472" s="162" t="n">
        <v>4</v>
      </c>
      <c r="L472" s="241" t="n">
        <v>2629</v>
      </c>
      <c r="M472" s="239" t="inlineStr">
        <is>
          <t xml:space="preserve">HENRY ROMERO </t>
        </is>
      </c>
      <c r="N472" s="113" t="n"/>
      <c r="O472" s="113" t="n"/>
      <c r="P472" s="398" t="n"/>
      <c r="Q472" s="398" t="n"/>
      <c r="R472" s="113" t="n"/>
      <c r="S472" s="113" t="n"/>
      <c r="T472" s="113" t="n"/>
      <c r="U472" s="113" t="n"/>
      <c r="V472" s="113" t="n"/>
    </row>
    <row r="473" ht="15.75" customHeight="1">
      <c r="A473" s="146" t="n">
        <v>8</v>
      </c>
      <c r="B473" s="238" t="n"/>
      <c r="C473" s="399" t="n">
        <v>45863</v>
      </c>
      <c r="D473" s="162" t="inlineStr">
        <is>
          <t>200 G. GARCERAS</t>
        </is>
      </c>
      <c r="E473" s="162" t="n">
        <v>42306</v>
      </c>
      <c r="F473" s="162" t="inlineStr">
        <is>
          <t>ALBERTO LOPEZ</t>
        </is>
      </c>
      <c r="G473" s="162" t="n">
        <v>3294</v>
      </c>
      <c r="H473" s="162" t="n">
        <v>3274</v>
      </c>
      <c r="I473" s="162" t="n">
        <v>5</v>
      </c>
      <c r="J473" s="162" t="n">
        <v>7</v>
      </c>
      <c r="K473" s="162" t="n">
        <v>8</v>
      </c>
      <c r="L473" s="241" t="n">
        <v>2629</v>
      </c>
      <c r="M473" s="239" t="inlineStr">
        <is>
          <t xml:space="preserve">ALEX GOMEZ </t>
        </is>
      </c>
      <c r="N473" s="113" t="n"/>
      <c r="O473" s="113" t="n"/>
      <c r="P473" s="398" t="n"/>
      <c r="Q473" s="398" t="n"/>
      <c r="R473" s="113" t="n"/>
      <c r="S473" s="113" t="n"/>
      <c r="T473" s="113" t="n"/>
      <c r="U473" s="113" t="n"/>
      <c r="V473" s="113" t="n"/>
    </row>
    <row r="474" ht="15.75" customHeight="1">
      <c r="A474" s="146" t="n">
        <v>8</v>
      </c>
      <c r="B474" s="238" t="n"/>
      <c r="C474" s="399" t="n">
        <v>45863</v>
      </c>
      <c r="D474" s="162" t="inlineStr">
        <is>
          <t>200 G. GARCERAS</t>
        </is>
      </c>
      <c r="E474" s="162" t="n">
        <v>42607</v>
      </c>
      <c r="F474" s="162" t="inlineStr">
        <is>
          <t>YAIR RIVEROS</t>
        </is>
      </c>
      <c r="G474" s="162" t="n">
        <v>3295</v>
      </c>
      <c r="H474" s="162" t="n">
        <v>3275</v>
      </c>
      <c r="I474" s="162" t="n">
        <v>5</v>
      </c>
      <c r="J474" s="162" t="n">
        <v>6</v>
      </c>
      <c r="K474" s="162" t="n">
        <v>9</v>
      </c>
      <c r="L474" s="241" t="n">
        <v>2629</v>
      </c>
      <c r="M474" s="239" t="inlineStr">
        <is>
          <t>JHON AGUIRRE</t>
        </is>
      </c>
      <c r="N474" s="113" t="n"/>
      <c r="O474" s="113" t="n"/>
      <c r="P474" s="398" t="n"/>
      <c r="Q474" s="398" t="n"/>
      <c r="R474" s="113" t="n"/>
      <c r="S474" s="113" t="n"/>
      <c r="T474" s="113" t="n"/>
      <c r="U474" s="113" t="n"/>
      <c r="V474" s="113" t="n"/>
    </row>
    <row r="475" ht="15.75" customHeight="1">
      <c r="A475" s="146" t="n">
        <v>8</v>
      </c>
      <c r="B475" s="238" t="n"/>
      <c r="C475" s="399" t="n">
        <v>45863</v>
      </c>
      <c r="D475" s="162" t="inlineStr">
        <is>
          <t>200 G. GARCERAS</t>
        </is>
      </c>
      <c r="E475" s="162" t="n">
        <v>42308</v>
      </c>
      <c r="F475" s="162" t="inlineStr">
        <is>
          <t>EDWIN ROJAS</t>
        </is>
      </c>
      <c r="G475" s="162" t="n">
        <v>3294</v>
      </c>
      <c r="H475" s="162" t="n">
        <v>3274</v>
      </c>
      <c r="I475" s="162" t="n">
        <v>7</v>
      </c>
      <c r="J475" s="162" t="n">
        <v>9</v>
      </c>
      <c r="K475" s="162" t="n">
        <v>4</v>
      </c>
      <c r="L475" s="241" t="n">
        <v>3295</v>
      </c>
      <c r="M475" s="239" t="inlineStr">
        <is>
          <t xml:space="preserve">EDWIN ROJAS </t>
        </is>
      </c>
      <c r="N475" s="113" t="n"/>
      <c r="O475" s="113" t="n"/>
      <c r="P475" s="398" t="n"/>
      <c r="Q475" s="398" t="n"/>
      <c r="R475" s="113" t="n"/>
      <c r="S475" s="113" t="n"/>
      <c r="T475" s="113" t="n"/>
      <c r="U475" s="113" t="n"/>
      <c r="V475" s="113" t="n"/>
    </row>
    <row r="476" ht="15.75" customHeight="1">
      <c r="A476" s="146" t="n">
        <v>8</v>
      </c>
      <c r="B476" s="238" t="n"/>
      <c r="C476" s="399" t="n">
        <v>45863</v>
      </c>
      <c r="D476" s="162" t="inlineStr">
        <is>
          <t>200 G. GARCERAS</t>
        </is>
      </c>
      <c r="E476" s="162" t="n">
        <v>42316</v>
      </c>
      <c r="F476" s="162" t="inlineStr">
        <is>
          <t>MANUEL QUITIAN</t>
        </is>
      </c>
      <c r="G476" s="162" t="n">
        <v>3294</v>
      </c>
      <c r="H476" s="162" t="n">
        <v>3297</v>
      </c>
      <c r="I476" s="162" t="n">
        <v>2</v>
      </c>
      <c r="J476" s="162" t="n">
        <v>17</v>
      </c>
      <c r="K476" s="162" t="n">
        <v>-22</v>
      </c>
      <c r="L476" s="241" t="n">
        <v>3295</v>
      </c>
      <c r="M476" s="239" t="inlineStr">
        <is>
          <t>MANUEL QUINDIAN</t>
        </is>
      </c>
      <c r="N476" s="113" t="n"/>
      <c r="O476" s="113" t="n"/>
      <c r="P476" s="398" t="n"/>
      <c r="Q476" s="398" t="n"/>
      <c r="R476" s="113" t="n"/>
      <c r="S476" s="113" t="n"/>
      <c r="T476" s="113" t="n"/>
      <c r="U476" s="113" t="n"/>
      <c r="V476" s="113" t="n"/>
    </row>
    <row r="477" ht="15.75" customHeight="1">
      <c r="A477" s="146" t="n">
        <v>8</v>
      </c>
      <c r="B477" s="238" t="n"/>
      <c r="C477" s="399" t="n">
        <v>45863</v>
      </c>
      <c r="D477" s="162" t="inlineStr">
        <is>
          <t>200 G. GARCERAS</t>
        </is>
      </c>
      <c r="E477" s="162" t="n">
        <v>42317</v>
      </c>
      <c r="F477" s="162" t="inlineStr">
        <is>
          <t>HENRY ROMERO</t>
        </is>
      </c>
      <c r="G477" s="162" t="n">
        <v>3294</v>
      </c>
      <c r="H477" s="162" t="n">
        <v>3302</v>
      </c>
      <c r="I477" s="162" t="n">
        <v>3</v>
      </c>
      <c r="J477" s="162" t="n">
        <v>12</v>
      </c>
      <c r="K477" s="162" t="n">
        <v>-23</v>
      </c>
      <c r="L477" s="241" t="n">
        <v>3295</v>
      </c>
      <c r="M477" s="239" t="inlineStr">
        <is>
          <t xml:space="preserve">HENRY ROMERO </t>
        </is>
      </c>
      <c r="N477" s="113" t="n"/>
      <c r="O477" s="113" t="n"/>
      <c r="P477" s="398" t="n"/>
      <c r="Q477" s="398" t="n"/>
      <c r="R477" s="113" t="n"/>
      <c r="S477" s="113" t="n"/>
      <c r="T477" s="113" t="n"/>
      <c r="U477" s="113" t="n"/>
      <c r="V477" s="113" t="n"/>
    </row>
    <row r="478" ht="15.75" customHeight="1">
      <c r="A478" s="146" t="n">
        <v>8</v>
      </c>
      <c r="B478" s="238" t="n"/>
      <c r="C478" s="399" t="n">
        <v>45863</v>
      </c>
      <c r="D478" s="162" t="inlineStr">
        <is>
          <t>200 G. GARCERAS</t>
        </is>
      </c>
      <c r="E478" s="162" t="n">
        <v>42318</v>
      </c>
      <c r="F478" s="162" t="inlineStr">
        <is>
          <t>ALEX GOMEZ</t>
        </is>
      </c>
      <c r="G478" s="162" t="n">
        <v>3310</v>
      </c>
      <c r="H478" s="162" t="n">
        <v>3300</v>
      </c>
      <c r="I478" s="162" t="n">
        <v>2</v>
      </c>
      <c r="J478" s="162" t="n">
        <v>10</v>
      </c>
      <c r="K478" s="162" t="n">
        <v>-2</v>
      </c>
      <c r="L478" s="241" t="n">
        <v>3310</v>
      </c>
      <c r="M478" s="239" t="inlineStr">
        <is>
          <t>ALEX GOMEZ</t>
        </is>
      </c>
      <c r="N478" s="113" t="n"/>
      <c r="O478" s="113" t="n"/>
      <c r="P478" s="398" t="n"/>
      <c r="Q478" s="398" t="n"/>
      <c r="R478" s="113" t="n"/>
      <c r="S478" s="113" t="n"/>
      <c r="T478" s="113" t="n"/>
      <c r="U478" s="113" t="n"/>
      <c r="V478" s="113" t="n"/>
    </row>
    <row r="479" ht="15.75" customHeight="1">
      <c r="A479" s="146" t="n">
        <v>8</v>
      </c>
      <c r="B479" s="238" t="n"/>
      <c r="C479" s="399" t="n">
        <v>45864</v>
      </c>
      <c r="D479" s="162" t="inlineStr">
        <is>
          <t>221 G. MALAGUEÑA</t>
        </is>
      </c>
      <c r="E479" s="162" t="n">
        <v>42333</v>
      </c>
      <c r="F479" s="162" t="inlineStr">
        <is>
          <t>JAIRO CUBILLOS</t>
        </is>
      </c>
      <c r="G479" s="162" t="n">
        <v>2940</v>
      </c>
      <c r="H479" s="162" t="n">
        <v>2913</v>
      </c>
      <c r="I479" s="162" t="n">
        <v>1</v>
      </c>
      <c r="J479" s="162" t="n">
        <v>27</v>
      </c>
      <c r="K479" s="162" t="n">
        <v>-1</v>
      </c>
      <c r="L479" s="241" t="n">
        <v>2840</v>
      </c>
      <c r="M479" s="239" t="inlineStr">
        <is>
          <t xml:space="preserve">JAIRO CUBILLOS </t>
        </is>
      </c>
      <c r="N479" s="113" t="n"/>
      <c r="O479" s="113" t="n"/>
      <c r="P479" s="398" t="n"/>
      <c r="Q479" s="398" t="n"/>
      <c r="R479" s="113" t="n"/>
      <c r="S479" s="113" t="n"/>
      <c r="T479" s="113" t="n"/>
      <c r="U479" s="113" t="n"/>
      <c r="V479" s="113" t="n"/>
    </row>
    <row r="480" ht="15.75" customHeight="1">
      <c r="A480" s="146" t="n">
        <v>8</v>
      </c>
      <c r="B480" s="238" t="n"/>
      <c r="C480" s="399" t="n">
        <v>45864</v>
      </c>
      <c r="D480" s="162" t="inlineStr">
        <is>
          <t>222 G. MALAGUEÑA</t>
        </is>
      </c>
      <c r="E480" s="162" t="n">
        <v>42334</v>
      </c>
      <c r="F480" s="162" t="inlineStr">
        <is>
          <t>EDWIN ROJAS</t>
        </is>
      </c>
      <c r="G480" s="162" t="n">
        <v>2940</v>
      </c>
      <c r="H480" s="162" t="n">
        <v>2905</v>
      </c>
      <c r="I480" s="162" t="n">
        <v>2</v>
      </c>
      <c r="J480" s="162" t="n">
        <v>35</v>
      </c>
      <c r="K480" s="162" t="n">
        <v>-2</v>
      </c>
      <c r="L480" s="241" t="n">
        <v>2840</v>
      </c>
      <c r="M480" s="239" t="inlineStr">
        <is>
          <t>EDWIN ROJAS</t>
        </is>
      </c>
      <c r="N480" s="113" t="n"/>
      <c r="O480" s="113" t="n"/>
      <c r="P480" s="398" t="n"/>
      <c r="Q480" s="398" t="n"/>
      <c r="R480" s="113" t="n"/>
      <c r="S480" s="113" t="n"/>
      <c r="T480" s="113" t="n"/>
      <c r="U480" s="113" t="n"/>
      <c r="V480" s="113" t="n"/>
    </row>
    <row r="481" ht="15.75" customHeight="1">
      <c r="A481" s="146" t="n">
        <v>8</v>
      </c>
      <c r="B481" s="238" t="n"/>
      <c r="C481" s="399" t="n">
        <v>45864</v>
      </c>
      <c r="D481" s="162" t="inlineStr">
        <is>
          <t>223 G. MALAGUEÑA</t>
        </is>
      </c>
      <c r="E481" s="162" t="n">
        <v>42335</v>
      </c>
      <c r="F481" s="162" t="inlineStr">
        <is>
          <t>JOSE SOLER</t>
        </is>
      </c>
      <c r="G481" s="162" t="n">
        <v>3555</v>
      </c>
      <c r="H481" s="162" t="n">
        <v>3533</v>
      </c>
      <c r="I481" s="162" t="n">
        <v>1</v>
      </c>
      <c r="J481" s="162" t="n">
        <v>25</v>
      </c>
      <c r="K481" s="162" t="n">
        <v>-4</v>
      </c>
      <c r="L481" s="241" t="n">
        <v>3555</v>
      </c>
      <c r="M481" s="239" t="inlineStr">
        <is>
          <t xml:space="preserve">JOSE SOLER </t>
        </is>
      </c>
      <c r="N481" s="113" t="n"/>
      <c r="O481" s="113" t="n"/>
      <c r="P481" s="398" t="n"/>
      <c r="Q481" s="398" t="n"/>
      <c r="R481" s="113" t="n"/>
      <c r="S481" s="113" t="n"/>
      <c r="T481" s="113" t="n"/>
      <c r="U481" s="113" t="n"/>
      <c r="V481" s="113" t="n"/>
    </row>
    <row r="482" ht="15.75" customHeight="1">
      <c r="A482" s="146" t="n">
        <v>8</v>
      </c>
      <c r="B482" s="238" t="n"/>
      <c r="C482" s="399" t="n">
        <v>45864</v>
      </c>
      <c r="D482" s="162" t="inlineStr">
        <is>
          <t>224 G. MALAGUEÑA</t>
        </is>
      </c>
      <c r="E482" s="162" t="n">
        <v>42336</v>
      </c>
      <c r="F482" s="162" t="inlineStr">
        <is>
          <t>FERNANDO OYUELA</t>
        </is>
      </c>
      <c r="G482" s="162" t="n">
        <v>3555</v>
      </c>
      <c r="H482" s="162" t="n">
        <v>3443</v>
      </c>
      <c r="I482" s="162" t="n">
        <v>1</v>
      </c>
      <c r="J482" s="162" t="n">
        <v>119</v>
      </c>
      <c r="K482" s="162" t="n">
        <v>-8</v>
      </c>
      <c r="L482" s="241" t="n">
        <v>3555</v>
      </c>
      <c r="M482" s="239" t="inlineStr">
        <is>
          <t>FERNANDO OYUELA</t>
        </is>
      </c>
      <c r="N482" s="113" t="n"/>
      <c r="O482" s="113" t="n"/>
      <c r="P482" s="398" t="n"/>
      <c r="Q482" s="398" t="n"/>
      <c r="R482" s="113" t="n"/>
      <c r="S482" s="113" t="n"/>
      <c r="T482" s="113" t="n"/>
      <c r="U482" s="113" t="n"/>
      <c r="V482" s="113" t="n"/>
    </row>
    <row r="483" ht="15.75" customHeight="1">
      <c r="A483" s="113" t="n"/>
      <c r="B483" s="238" t="n"/>
      <c r="C483" s="399" t="n"/>
      <c r="D483" s="113" t="n"/>
      <c r="E483" s="113" t="n"/>
      <c r="F483" s="113" t="n"/>
      <c r="G483" s="395">
        <f>SUM(G427:G482)</f>
        <v/>
      </c>
      <c r="H483" s="395">
        <f>SUM(H427:H482)</f>
        <v/>
      </c>
      <c r="I483" s="395">
        <f>SUM(I427:I482)</f>
        <v/>
      </c>
      <c r="J483" s="395">
        <f>SUM(J427:J482)</f>
        <v/>
      </c>
      <c r="K483" s="395">
        <f>SUM(K427:K482)</f>
        <v/>
      </c>
      <c r="L483" s="477">
        <f>SUM(L427:L482)</f>
        <v/>
      </c>
      <c r="M483" s="395">
        <f>L483-H483</f>
        <v/>
      </c>
      <c r="N483" s="113" t="n"/>
      <c r="O483" s="113" t="n"/>
      <c r="P483" s="398" t="n"/>
      <c r="Q483" s="398" t="n"/>
      <c r="R483" s="113" t="n"/>
      <c r="S483" s="113" t="n"/>
      <c r="T483" s="113" t="n"/>
      <c r="U483" s="113" t="n"/>
      <c r="V483" s="113" t="n"/>
    </row>
    <row r="484" ht="15.75" customHeight="1">
      <c r="A484" s="146" t="n">
        <v>9</v>
      </c>
      <c r="B484" s="238" t="n"/>
      <c r="C484" s="399" t="n">
        <v>45866</v>
      </c>
      <c r="D484" s="162" t="inlineStr">
        <is>
          <t>221 G. MALAGUEÑA</t>
        </is>
      </c>
      <c r="E484" s="162" t="n">
        <v>42345</v>
      </c>
      <c r="F484" s="162" t="inlineStr">
        <is>
          <t>JAIRO CUBILLOS</t>
        </is>
      </c>
      <c r="G484" s="162" t="n">
        <v>2523</v>
      </c>
      <c r="H484" s="162" t="n">
        <v>2489</v>
      </c>
      <c r="I484" s="162" t="n">
        <v>4</v>
      </c>
      <c r="J484" s="162" t="n">
        <v>22</v>
      </c>
      <c r="K484" s="487" t="n">
        <v>8</v>
      </c>
      <c r="L484" s="260" t="n">
        <v>2523</v>
      </c>
      <c r="M484" s="146" t="inlineStr">
        <is>
          <t xml:space="preserve">JAIRO CUBILLOS </t>
        </is>
      </c>
      <c r="N484" s="113" t="n"/>
      <c r="O484" s="113" t="n"/>
      <c r="P484" s="398" t="n"/>
      <c r="Q484" s="398" t="n"/>
      <c r="R484" s="113" t="n"/>
      <c r="S484" s="113" t="n"/>
      <c r="T484" s="113" t="n"/>
      <c r="U484" s="113" t="n"/>
      <c r="V484" s="113" t="n"/>
    </row>
    <row r="485" ht="15.75" customHeight="1">
      <c r="A485" s="146" t="n">
        <v>9</v>
      </c>
      <c r="B485" s="238" t="n"/>
      <c r="C485" s="399" t="n">
        <v>45866</v>
      </c>
      <c r="D485" s="162" t="inlineStr">
        <is>
          <t>221 G. MALAGUEÑA</t>
        </is>
      </c>
      <c r="E485" s="162" t="n">
        <v>42346</v>
      </c>
      <c r="F485" s="162" t="inlineStr">
        <is>
          <t>EDWIN ROJAS</t>
        </is>
      </c>
      <c r="G485" s="162" t="n">
        <v>2523</v>
      </c>
      <c r="H485" s="162" t="n">
        <v>2463</v>
      </c>
      <c r="I485" s="162" t="n">
        <v>3</v>
      </c>
      <c r="J485" s="162" t="n">
        <v>22</v>
      </c>
      <c r="K485" s="487" t="n">
        <v>35</v>
      </c>
      <c r="L485" s="266" t="n">
        <v>2523</v>
      </c>
      <c r="M485" s="146" t="inlineStr">
        <is>
          <t>EDWIN ROJAS</t>
        </is>
      </c>
      <c r="N485" s="113" t="n"/>
      <c r="O485" s="113" t="n"/>
      <c r="P485" s="398" t="n"/>
      <c r="Q485" s="398" t="n"/>
      <c r="R485" s="113" t="n"/>
      <c r="S485" s="113" t="n"/>
      <c r="T485" s="113" t="n"/>
      <c r="U485" s="113" t="n"/>
      <c r="V485" s="113" t="n"/>
    </row>
    <row r="486" ht="15.75" customHeight="1">
      <c r="A486" s="146" t="n">
        <v>9</v>
      </c>
      <c r="B486" s="238" t="n"/>
      <c r="C486" s="399" t="n">
        <v>45866</v>
      </c>
      <c r="D486" s="162" t="inlineStr">
        <is>
          <t>221 G. MALAGUEÑA</t>
        </is>
      </c>
      <c r="E486" s="162" t="n">
        <v>42347</v>
      </c>
      <c r="F486" s="162" t="inlineStr">
        <is>
          <t>JOSE SOLER</t>
        </is>
      </c>
      <c r="G486" s="162" t="n">
        <v>3150</v>
      </c>
      <c r="H486" s="162" t="n">
        <v>2854</v>
      </c>
      <c r="I486" s="162" t="n">
        <v>3</v>
      </c>
      <c r="J486" s="162" t="n">
        <v>21</v>
      </c>
      <c r="K486" s="487" t="n">
        <v>272</v>
      </c>
      <c r="L486" s="266" t="n">
        <v>3150</v>
      </c>
      <c r="M486" s="146" t="inlineStr">
        <is>
          <t xml:space="preserve">JOSE SOLER </t>
        </is>
      </c>
      <c r="N486" s="113" t="n"/>
      <c r="O486" s="113" t="n"/>
      <c r="P486" s="398" t="n"/>
      <c r="Q486" s="398" t="n"/>
      <c r="R486" s="113" t="n"/>
      <c r="S486" s="113" t="n"/>
      <c r="T486" s="113" t="n"/>
      <c r="U486" s="113" t="n"/>
      <c r="V486" s="113" t="n"/>
    </row>
    <row r="487" ht="15.75" customHeight="1">
      <c r="A487" s="146" t="n">
        <v>9</v>
      </c>
      <c r="B487" s="238" t="n"/>
      <c r="C487" s="399" t="n">
        <v>45866</v>
      </c>
      <c r="D487" s="162" t="inlineStr">
        <is>
          <t>221 G. MALAGUEÑA</t>
        </is>
      </c>
      <c r="E487" s="162" t="n">
        <v>42348</v>
      </c>
      <c r="F487" s="162" t="inlineStr">
        <is>
          <t>FERNANDO OYUELA</t>
        </is>
      </c>
      <c r="G487" s="162" t="n">
        <v>2803</v>
      </c>
      <c r="H487" s="162" t="n">
        <v>2772</v>
      </c>
      <c r="I487" s="162" t="n">
        <v>3</v>
      </c>
      <c r="J487" s="162" t="n">
        <v>20</v>
      </c>
      <c r="K487" s="487" t="n">
        <v>8</v>
      </c>
      <c r="L487" s="266" t="n">
        <v>2900</v>
      </c>
      <c r="M487" s="146" t="inlineStr">
        <is>
          <t xml:space="preserve">YAIR RIVEROS </t>
        </is>
      </c>
      <c r="N487" s="113" t="n"/>
      <c r="O487" s="113" t="n"/>
      <c r="P487" s="398" t="n"/>
      <c r="Q487" s="398" t="n"/>
      <c r="R487" s="113" t="n"/>
      <c r="S487" s="113" t="n"/>
      <c r="T487" s="113" t="n"/>
      <c r="U487" s="113" t="n"/>
      <c r="V487" s="113" t="n"/>
    </row>
    <row r="488" ht="15.75" customHeight="1">
      <c r="A488" s="146" t="n">
        <v>9</v>
      </c>
      <c r="B488" s="238" t="n"/>
      <c r="C488" s="399" t="n">
        <v>45866</v>
      </c>
      <c r="D488" s="162" t="inlineStr">
        <is>
          <t>221 G. MALAGUEÑA</t>
        </is>
      </c>
      <c r="E488" s="162" t="n">
        <v>42349</v>
      </c>
      <c r="F488" s="162" t="inlineStr">
        <is>
          <t>JHON AGUIRRE</t>
        </is>
      </c>
      <c r="G488" s="162" t="n">
        <v>2263</v>
      </c>
      <c r="H488" s="162" t="n">
        <v>2235</v>
      </c>
      <c r="I488" s="162" t="n">
        <v>1</v>
      </c>
      <c r="J488" s="162" t="n">
        <v>21</v>
      </c>
      <c r="K488" s="487" t="n">
        <v>6</v>
      </c>
      <c r="L488" s="266" t="n">
        <v>2803</v>
      </c>
      <c r="M488" s="146" t="inlineStr">
        <is>
          <t xml:space="preserve">FERNANDO OYUELA </t>
        </is>
      </c>
      <c r="N488" s="113" t="n"/>
      <c r="O488" s="113" t="n"/>
      <c r="P488" s="398" t="n"/>
      <c r="Q488" s="398" t="n"/>
      <c r="R488" s="113" t="n"/>
      <c r="S488" s="113" t="n"/>
      <c r="T488" s="113" t="n"/>
      <c r="U488" s="113" t="n"/>
      <c r="V488" s="113" t="n"/>
    </row>
    <row r="489" ht="15.75" customHeight="1">
      <c r="A489" s="146" t="n">
        <v>9</v>
      </c>
      <c r="B489" s="238" t="n"/>
      <c r="C489" s="399" t="n">
        <v>45866</v>
      </c>
      <c r="D489" s="162" t="inlineStr">
        <is>
          <t>219 G. SAN JOSE 2</t>
        </is>
      </c>
      <c r="E489" s="162" t="n">
        <v>42350</v>
      </c>
      <c r="F489" s="162" t="inlineStr">
        <is>
          <t>YAIR RIVEROS</t>
        </is>
      </c>
      <c r="G489" s="162" t="n">
        <v>2900</v>
      </c>
      <c r="H489" s="162" t="n">
        <v>2891</v>
      </c>
      <c r="I489" s="162" t="n">
        <v>3</v>
      </c>
      <c r="J489" s="162" t="n">
        <v>9</v>
      </c>
      <c r="K489" s="487" t="n">
        <v>-3</v>
      </c>
      <c r="L489" s="266" t="n">
        <v>2263</v>
      </c>
      <c r="M489" s="146" t="inlineStr">
        <is>
          <t xml:space="preserve">JHON AGUIRRE </t>
        </is>
      </c>
      <c r="N489" s="113" t="n"/>
      <c r="O489" s="113" t="n"/>
      <c r="P489" s="398" t="n"/>
      <c r="Q489" s="398" t="n"/>
      <c r="R489" s="113" t="n"/>
      <c r="S489" s="113" t="n"/>
      <c r="T489" s="113" t="n"/>
      <c r="U489" s="113" t="n"/>
      <c r="V489" s="113" t="n"/>
    </row>
    <row r="490" ht="15.75" customHeight="1">
      <c r="A490" s="146" t="n">
        <v>9</v>
      </c>
      <c r="B490" s="238" t="n"/>
      <c r="C490" s="399" t="n">
        <v>45866</v>
      </c>
      <c r="D490" s="162" t="inlineStr">
        <is>
          <t>219 G. SAN JOSE 2</t>
        </is>
      </c>
      <c r="E490" s="162" t="n">
        <v>42351</v>
      </c>
      <c r="F490" s="162" t="inlineStr">
        <is>
          <t>WILMER PIÑEROS</t>
        </is>
      </c>
      <c r="G490" s="162" t="n">
        <v>2900</v>
      </c>
      <c r="H490" s="162" t="n">
        <v>2891</v>
      </c>
      <c r="I490" s="162" t="n">
        <v>2</v>
      </c>
      <c r="J490" s="162" t="n">
        <v>9</v>
      </c>
      <c r="K490" s="487" t="n">
        <v>-2</v>
      </c>
      <c r="L490" s="266" t="n">
        <v>2900</v>
      </c>
      <c r="M490" s="146" t="inlineStr">
        <is>
          <t xml:space="preserve">WILMER PIÑEROS </t>
        </is>
      </c>
      <c r="N490" s="113" t="n"/>
      <c r="O490" s="113" t="n"/>
      <c r="P490" s="398" t="n"/>
      <c r="Q490" s="398" t="n"/>
      <c r="R490" s="113" t="n"/>
      <c r="S490" s="113" t="n"/>
      <c r="T490" s="113" t="n"/>
      <c r="U490" s="113" t="n"/>
      <c r="V490" s="113" t="n"/>
    </row>
    <row r="491" ht="15.75" customHeight="1">
      <c r="A491" s="146" t="n">
        <v>9</v>
      </c>
      <c r="B491" s="238" t="n"/>
      <c r="C491" s="399" t="n">
        <v>45866</v>
      </c>
      <c r="D491" s="162" t="inlineStr">
        <is>
          <t>219 G. SAN JOSE 2</t>
        </is>
      </c>
      <c r="E491" s="162" t="n">
        <v>42359</v>
      </c>
      <c r="F491" s="162" t="inlineStr">
        <is>
          <t>ALEX GOMEZ</t>
        </is>
      </c>
      <c r="G491" s="162" t="n">
        <v>2900</v>
      </c>
      <c r="H491" s="162" t="n">
        <v>2894</v>
      </c>
      <c r="I491" s="162" t="n">
        <v>5</v>
      </c>
      <c r="J491" s="162" t="n">
        <v>7</v>
      </c>
      <c r="K491" s="487" t="n">
        <v>-6</v>
      </c>
      <c r="L491" s="266" t="n">
        <v>2900</v>
      </c>
      <c r="M491" s="146" t="inlineStr">
        <is>
          <t xml:space="preserve">ALEX GOMEZ </t>
        </is>
      </c>
      <c r="N491" s="113" t="n"/>
      <c r="O491" s="113" t="n"/>
      <c r="P491" s="398" t="n"/>
      <c r="Q491" s="398" t="n"/>
      <c r="R491" s="113" t="n"/>
      <c r="S491" s="113" t="n"/>
      <c r="T491" s="113" t="n"/>
      <c r="U491" s="113" t="n"/>
      <c r="V491" s="113" t="n"/>
    </row>
    <row r="492" ht="15.75" customHeight="1">
      <c r="A492" s="146" t="n">
        <v>9</v>
      </c>
      <c r="B492" s="238" t="n"/>
      <c r="C492" s="399" t="n">
        <v>45866</v>
      </c>
      <c r="D492" s="162" t="inlineStr">
        <is>
          <t>219 G. SAN JOSE 2</t>
        </is>
      </c>
      <c r="E492" s="162" t="n">
        <v>42360</v>
      </c>
      <c r="F492" s="162" t="inlineStr">
        <is>
          <t>JAIRO CUBILLOS</t>
        </is>
      </c>
      <c r="G492" s="162" t="n">
        <v>2900</v>
      </c>
      <c r="H492" s="162" t="n">
        <v>2895</v>
      </c>
      <c r="I492" s="162" t="n">
        <v>9</v>
      </c>
      <c r="J492" s="162" t="n">
        <v>7</v>
      </c>
      <c r="K492" s="487" t="n">
        <v>-11</v>
      </c>
      <c r="L492" s="266" t="n">
        <v>2900</v>
      </c>
      <c r="M492" s="146" t="inlineStr">
        <is>
          <t xml:space="preserve">JAIRO CUBILLOS </t>
        </is>
      </c>
      <c r="N492" s="113" t="n"/>
      <c r="O492" s="113" t="n"/>
      <c r="P492" s="398" t="n"/>
      <c r="Q492" s="398" t="n"/>
      <c r="R492" s="113" t="n"/>
      <c r="S492" s="113" t="n"/>
      <c r="T492" s="113" t="n"/>
      <c r="U492" s="113" t="n"/>
      <c r="V492" s="113" t="n"/>
    </row>
    <row r="493" ht="15.75" customHeight="1">
      <c r="A493" s="146" t="n">
        <v>9</v>
      </c>
      <c r="B493" s="238" t="n"/>
      <c r="C493" s="399" t="n">
        <v>45866</v>
      </c>
      <c r="D493" s="162" t="inlineStr">
        <is>
          <t>219 G. SAN JOSE 2</t>
        </is>
      </c>
      <c r="E493" s="162" t="n">
        <v>42361</v>
      </c>
      <c r="F493" s="162" t="inlineStr">
        <is>
          <t>EDWIN ROJAS</t>
        </is>
      </c>
      <c r="G493" s="162" t="n">
        <v>2900</v>
      </c>
      <c r="H493" s="162" t="n">
        <v>2886</v>
      </c>
      <c r="I493" s="162" t="n">
        <v>3</v>
      </c>
      <c r="J493" s="162" t="n">
        <v>15</v>
      </c>
      <c r="K493" s="487" t="n">
        <v>-4</v>
      </c>
      <c r="L493" s="286" t="n">
        <v>2900</v>
      </c>
      <c r="M493" s="146" t="inlineStr">
        <is>
          <t xml:space="preserve">EDWIN ROJAS </t>
        </is>
      </c>
      <c r="N493" s="113" t="n"/>
      <c r="O493" s="113" t="n"/>
      <c r="P493" s="398" t="n"/>
      <c r="Q493" s="398" t="n"/>
      <c r="R493" s="113" t="n"/>
      <c r="S493" s="113" t="n"/>
      <c r="T493" s="113" t="n"/>
      <c r="U493" s="113" t="n"/>
      <c r="V493" s="113" t="n"/>
    </row>
    <row r="494" ht="15.75" customHeight="1">
      <c r="A494" s="146" t="n">
        <v>9</v>
      </c>
      <c r="B494" s="238" t="n"/>
      <c r="C494" s="399" t="n">
        <v>45867</v>
      </c>
      <c r="D494" s="162" t="inlineStr">
        <is>
          <t>221 G. MALAGUEÑA</t>
        </is>
      </c>
      <c r="E494" s="162" t="n">
        <v>42362</v>
      </c>
      <c r="F494" s="162" t="inlineStr">
        <is>
          <t>WILMER PIÑEROS</t>
        </is>
      </c>
      <c r="G494" s="162" t="n">
        <v>2700</v>
      </c>
      <c r="H494" s="162" t="n">
        <v>2689</v>
      </c>
      <c r="I494" s="162" t="n">
        <v>1</v>
      </c>
      <c r="J494" s="162" t="n">
        <v>8</v>
      </c>
      <c r="K494" s="487" t="n">
        <v>2</v>
      </c>
      <c r="L494" s="260" t="n">
        <v>2700</v>
      </c>
      <c r="M494" s="146" t="inlineStr">
        <is>
          <t xml:space="preserve">WILMER PIÑEROS </t>
        </is>
      </c>
      <c r="N494" s="113" t="n"/>
      <c r="O494" s="113" t="n"/>
      <c r="P494" s="398" t="n"/>
      <c r="Q494" s="398" t="n"/>
      <c r="R494" s="113" t="n"/>
      <c r="S494" s="113" t="n"/>
      <c r="T494" s="113" t="n"/>
      <c r="U494" s="113" t="n"/>
      <c r="V494" s="113" t="n"/>
    </row>
    <row r="495" ht="15.75" customHeight="1">
      <c r="A495" s="146" t="n">
        <v>9</v>
      </c>
      <c r="B495" s="238" t="n"/>
      <c r="C495" s="399" t="n">
        <v>45867</v>
      </c>
      <c r="D495" s="162" t="inlineStr">
        <is>
          <t>221 G. MALAGUEÑA</t>
        </is>
      </c>
      <c r="E495" s="162" t="n">
        <v>42363</v>
      </c>
      <c r="F495" s="162" t="inlineStr">
        <is>
          <t>DIEGO NIÑO</t>
        </is>
      </c>
      <c r="G495" s="162" t="n">
        <v>2700</v>
      </c>
      <c r="H495" s="162" t="n">
        <v>2684</v>
      </c>
      <c r="I495" s="162" t="n">
        <v>1</v>
      </c>
      <c r="J495" s="162" t="n">
        <v>1</v>
      </c>
      <c r="K495" s="487" t="n">
        <v>14</v>
      </c>
      <c r="L495" s="266" t="n">
        <v>2700</v>
      </c>
      <c r="M495" s="146" t="inlineStr">
        <is>
          <t>DIEGO NIÑO</t>
        </is>
      </c>
      <c r="N495" s="113" t="n"/>
      <c r="O495" s="113" t="n"/>
      <c r="P495" s="398" t="n"/>
      <c r="Q495" s="398" t="n"/>
      <c r="R495" s="113" t="n"/>
      <c r="S495" s="113" t="n"/>
      <c r="T495" s="113" t="n"/>
      <c r="U495" s="113" t="n"/>
      <c r="V495" s="113" t="n"/>
    </row>
    <row r="496" ht="15.75" customHeight="1">
      <c r="A496" s="146" t="n">
        <v>9</v>
      </c>
      <c r="B496" s="238" t="n"/>
      <c r="C496" s="399" t="n">
        <v>45867</v>
      </c>
      <c r="D496" s="162" t="inlineStr">
        <is>
          <t>221 G. MALAGUEÑA</t>
        </is>
      </c>
      <c r="E496" s="162" t="n">
        <v>42364</v>
      </c>
      <c r="F496" s="162" t="inlineStr">
        <is>
          <t>YAIR RIVEROS</t>
        </is>
      </c>
      <c r="G496" s="162" t="n">
        <v>2700</v>
      </c>
      <c r="H496" s="162" t="n">
        <v>2685</v>
      </c>
      <c r="I496" s="162" t="n">
        <v>2</v>
      </c>
      <c r="J496" s="162" t="n">
        <v>10</v>
      </c>
      <c r="K496" s="487" t="n">
        <v>3</v>
      </c>
      <c r="L496" s="266" t="n">
        <v>2700</v>
      </c>
      <c r="M496" s="146" t="inlineStr">
        <is>
          <t xml:space="preserve">YAIR RIVEROS </t>
        </is>
      </c>
      <c r="N496" s="113" t="n"/>
      <c r="O496" s="113" t="n"/>
      <c r="P496" s="398" t="n"/>
      <c r="Q496" s="398" t="n"/>
      <c r="R496" s="113" t="n"/>
      <c r="S496" s="113" t="n"/>
      <c r="T496" s="113" t="n"/>
      <c r="U496" s="113" t="n"/>
      <c r="V496" s="113" t="n"/>
    </row>
    <row r="497" ht="15.75" customHeight="1">
      <c r="A497" s="146" t="n">
        <v>9</v>
      </c>
      <c r="B497" s="238" t="n"/>
      <c r="C497" s="399" t="n">
        <v>45867</v>
      </c>
      <c r="D497" s="162" t="inlineStr">
        <is>
          <t>221 G. MALAGUEÑA</t>
        </is>
      </c>
      <c r="E497" s="162" t="n">
        <v>42365</v>
      </c>
      <c r="F497" s="162" t="inlineStr">
        <is>
          <t>ALEX GOMEZ</t>
        </is>
      </c>
      <c r="G497" s="162" t="n">
        <v>3350</v>
      </c>
      <c r="H497" s="162" t="n">
        <v>3334</v>
      </c>
      <c r="I497" s="162" t="n">
        <v>3</v>
      </c>
      <c r="J497" s="162" t="n">
        <v>12</v>
      </c>
      <c r="K497" s="487" t="n">
        <v>1</v>
      </c>
      <c r="L497" s="266" t="n">
        <v>2900</v>
      </c>
      <c r="M497" s="146" t="inlineStr">
        <is>
          <t xml:space="preserve">ALBERTO LOPEZ </t>
        </is>
      </c>
      <c r="N497" s="113" t="n"/>
      <c r="O497" s="113" t="n"/>
      <c r="P497" s="398" t="n"/>
      <c r="Q497" s="398" t="n"/>
      <c r="R497" s="113" t="n"/>
      <c r="S497" s="113" t="n"/>
      <c r="T497" s="113" t="n"/>
      <c r="U497" s="113" t="n"/>
      <c r="V497" s="113" t="n"/>
    </row>
    <row r="498" ht="15.75" customHeight="1">
      <c r="A498" s="146" t="n">
        <v>9</v>
      </c>
      <c r="B498" s="238" t="n"/>
      <c r="C498" s="399" t="n">
        <v>45867</v>
      </c>
      <c r="D498" s="162" t="inlineStr">
        <is>
          <t>221 G. MALAGUEÑA</t>
        </is>
      </c>
      <c r="E498" s="162" t="n">
        <v>42366</v>
      </c>
      <c r="F498" s="162" t="inlineStr">
        <is>
          <t>ALBERTO LOPEZ</t>
        </is>
      </c>
      <c r="G498" s="162" t="n">
        <v>2900</v>
      </c>
      <c r="H498" s="162" t="n">
        <v>2890</v>
      </c>
      <c r="I498" s="162" t="n">
        <v>2</v>
      </c>
      <c r="J498" s="162" t="n">
        <v>8</v>
      </c>
      <c r="K498" s="487" t="n">
        <v>0</v>
      </c>
      <c r="L498" s="266" t="n">
        <v>3350</v>
      </c>
      <c r="M498" s="146" t="inlineStr">
        <is>
          <t>ALEX GOMEX</t>
        </is>
      </c>
      <c r="N498" s="113" t="n"/>
      <c r="O498" s="113" t="n"/>
      <c r="P498" s="398" t="n"/>
      <c r="Q498" s="398" t="n"/>
      <c r="R498" s="113" t="n"/>
      <c r="S498" s="113" t="n"/>
      <c r="T498" s="113" t="n"/>
      <c r="U498" s="113" t="n"/>
      <c r="V498" s="113" t="n"/>
    </row>
    <row r="499" ht="15.75" customHeight="1">
      <c r="A499" s="146" t="n">
        <v>9</v>
      </c>
      <c r="B499" s="238" t="n"/>
      <c r="C499" s="399" t="n">
        <v>45867</v>
      </c>
      <c r="D499" s="162" t="inlineStr">
        <is>
          <t>221 G. MALAGUEÑA</t>
        </is>
      </c>
      <c r="E499" s="162" t="n">
        <v>42367</v>
      </c>
      <c r="F499" s="162" t="inlineStr">
        <is>
          <t>HENRY ROMERO</t>
        </is>
      </c>
      <c r="G499" s="162" t="n">
        <v>3350</v>
      </c>
      <c r="H499" s="162" t="n">
        <v>3344</v>
      </c>
      <c r="I499" s="162" t="n">
        <v>1</v>
      </c>
      <c r="J499" s="162" t="n">
        <v>8</v>
      </c>
      <c r="K499" s="487" t="n">
        <v>-3</v>
      </c>
      <c r="L499" s="266" t="n">
        <v>3350</v>
      </c>
      <c r="M499" s="146" t="inlineStr">
        <is>
          <t xml:space="preserve">HENRY ROMERO </t>
        </is>
      </c>
      <c r="N499" s="113" t="n"/>
      <c r="O499" s="113" t="n"/>
      <c r="P499" s="398" t="n"/>
      <c r="Q499" s="398" t="n"/>
      <c r="R499" s="113" t="n"/>
      <c r="S499" s="113" t="n"/>
      <c r="T499" s="113" t="n"/>
      <c r="U499" s="113" t="n"/>
      <c r="V499" s="113" t="n"/>
    </row>
    <row r="500" ht="15.75" customHeight="1">
      <c r="A500" s="146" t="n">
        <v>9</v>
      </c>
      <c r="B500" s="238" t="n"/>
      <c r="C500" s="399" t="n">
        <v>45867</v>
      </c>
      <c r="D500" s="162" t="inlineStr">
        <is>
          <t>221 G. MALAGUEÑA</t>
        </is>
      </c>
      <c r="E500" s="162" t="n">
        <v>42368</v>
      </c>
      <c r="F500" s="162" t="inlineStr">
        <is>
          <t>EDWIN ROJAS</t>
        </is>
      </c>
      <c r="G500" s="162" t="n">
        <v>3040</v>
      </c>
      <c r="H500" s="162" t="n">
        <v>3040</v>
      </c>
      <c r="I500" s="162" t="n">
        <v>1</v>
      </c>
      <c r="J500" s="162" t="n">
        <v>8</v>
      </c>
      <c r="K500" s="487" t="n">
        <v>-9</v>
      </c>
      <c r="L500" s="266" t="n">
        <v>3040</v>
      </c>
      <c r="M500" s="146" t="inlineStr">
        <is>
          <t xml:space="preserve">EDWIN ROJAS </t>
        </is>
      </c>
      <c r="N500" s="113" t="n"/>
      <c r="O500" s="113" t="n"/>
      <c r="P500" s="398" t="n"/>
      <c r="Q500" s="398" t="n"/>
      <c r="R500" s="113" t="n"/>
      <c r="S500" s="113" t="n"/>
      <c r="T500" s="113" t="n"/>
      <c r="U500" s="113" t="n"/>
      <c r="V500" s="113" t="n"/>
    </row>
    <row r="501" ht="15.75" customHeight="1">
      <c r="A501" s="146" t="n">
        <v>9</v>
      </c>
      <c r="B501" s="238" t="n"/>
      <c r="C501" s="399" t="n">
        <v>45867</v>
      </c>
      <c r="D501" s="162" t="inlineStr">
        <is>
          <t>221 G. MALAGUEÑA</t>
        </is>
      </c>
      <c r="E501" s="162" t="n">
        <v>42376</v>
      </c>
      <c r="F501" s="162" t="inlineStr">
        <is>
          <t>FABIO ALDANA</t>
        </is>
      </c>
      <c r="G501" s="162" t="n">
        <v>3040</v>
      </c>
      <c r="H501" s="162" t="n">
        <v>3026</v>
      </c>
      <c r="I501" s="162" t="n">
        <v>2</v>
      </c>
      <c r="J501" s="162" t="n">
        <v>17</v>
      </c>
      <c r="K501" s="487" t="n">
        <v>-5</v>
      </c>
      <c r="L501" s="266" t="n">
        <v>3040</v>
      </c>
      <c r="M501" s="146" t="inlineStr">
        <is>
          <t xml:space="preserve">FABIO ALDANA </t>
        </is>
      </c>
      <c r="N501" s="113" t="n"/>
      <c r="O501" s="113" t="n"/>
      <c r="P501" s="398" t="n"/>
      <c r="Q501" s="398" t="n"/>
      <c r="R501" s="113" t="n"/>
      <c r="S501" s="113" t="n"/>
      <c r="T501" s="113" t="n"/>
      <c r="U501" s="113" t="n"/>
      <c r="V501" s="113" t="n"/>
    </row>
    <row r="502" ht="15.75" customHeight="1">
      <c r="A502" s="146" t="n">
        <v>9</v>
      </c>
      <c r="B502" s="238" t="n"/>
      <c r="C502" s="399" t="n">
        <v>45867</v>
      </c>
      <c r="D502" s="162" t="inlineStr">
        <is>
          <t>221 G. MALAGUEÑA</t>
        </is>
      </c>
      <c r="E502" s="162" t="n">
        <v>42377</v>
      </c>
      <c r="F502" s="162" t="inlineStr">
        <is>
          <t>WILMER PIÑEROS</t>
        </is>
      </c>
      <c r="G502" s="162" t="n">
        <v>3100</v>
      </c>
      <c r="H502" s="162" t="n">
        <v>3084</v>
      </c>
      <c r="I502" s="162" t="n">
        <v>2</v>
      </c>
      <c r="J502" s="162" t="n">
        <v>24</v>
      </c>
      <c r="K502" s="487" t="n">
        <v>-10</v>
      </c>
      <c r="L502" s="266" t="n">
        <v>3100</v>
      </c>
      <c r="M502" s="146" t="inlineStr">
        <is>
          <t xml:space="preserve">WILMER PIÑEROS </t>
        </is>
      </c>
      <c r="N502" s="113" t="n"/>
      <c r="O502" s="113" t="n"/>
      <c r="P502" s="398" t="n"/>
      <c r="Q502" s="398" t="n"/>
      <c r="R502" s="113" t="n"/>
      <c r="S502" s="113" t="n"/>
      <c r="T502" s="113" t="n"/>
      <c r="U502" s="113" t="n"/>
      <c r="V502" s="113" t="n"/>
    </row>
    <row r="503" ht="15.75" customHeight="1">
      <c r="A503" s="146" t="n">
        <v>9</v>
      </c>
      <c r="B503" s="238" t="n"/>
      <c r="C503" s="399" t="n">
        <v>45867</v>
      </c>
      <c r="D503" s="162" t="inlineStr">
        <is>
          <t>221 G. MALAGUEÑA</t>
        </is>
      </c>
      <c r="E503" s="162" t="n">
        <v>42378</v>
      </c>
      <c r="F503" s="162" t="inlineStr">
        <is>
          <t>DIEGO NIÑO</t>
        </is>
      </c>
      <c r="G503" s="162" t="n">
        <v>3100</v>
      </c>
      <c r="H503" s="162" t="n">
        <v>3053</v>
      </c>
      <c r="I503" s="162" t="n">
        <v>8</v>
      </c>
      <c r="J503" s="162" t="n">
        <v>26</v>
      </c>
      <c r="K503" s="487" t="n">
        <v>13</v>
      </c>
      <c r="L503" s="266" t="n">
        <v>3100</v>
      </c>
      <c r="M503" s="146" t="inlineStr">
        <is>
          <t>DIEGO NIÑO</t>
        </is>
      </c>
      <c r="N503" s="113" t="n"/>
      <c r="O503" s="113" t="n"/>
      <c r="P503" s="398" t="n"/>
      <c r="Q503" s="398" t="n"/>
      <c r="R503" s="113" t="n"/>
      <c r="S503" s="113" t="n"/>
      <c r="T503" s="113" t="n"/>
      <c r="U503" s="113" t="n"/>
      <c r="V503" s="113" t="n"/>
    </row>
    <row r="504" ht="15.75" customHeight="1">
      <c r="A504" s="146" t="n">
        <v>9</v>
      </c>
      <c r="B504" s="238" t="n"/>
      <c r="C504" s="399" t="n">
        <v>45867</v>
      </c>
      <c r="D504" s="162" t="inlineStr">
        <is>
          <t>219 G. SAN JOSE 2</t>
        </is>
      </c>
      <c r="E504" s="162" t="n">
        <v>42379</v>
      </c>
      <c r="F504" s="162" t="inlineStr">
        <is>
          <t>ALEX GOMEZ</t>
        </is>
      </c>
      <c r="G504" s="162" t="n">
        <v>2800</v>
      </c>
      <c r="H504" s="162" t="n">
        <v>2790</v>
      </c>
      <c r="I504" s="162" t="n">
        <v>3</v>
      </c>
      <c r="J504" s="162" t="n">
        <v>4</v>
      </c>
      <c r="K504" s="487" t="n">
        <v>3</v>
      </c>
      <c r="L504" s="266" t="n">
        <v>2800</v>
      </c>
      <c r="M504" s="146" t="inlineStr">
        <is>
          <t xml:space="preserve">ALEX GOMEZZ </t>
        </is>
      </c>
      <c r="N504" s="113" t="n"/>
      <c r="O504" s="113" t="n"/>
      <c r="P504" s="398" t="n"/>
      <c r="Q504" s="398" t="n"/>
      <c r="R504" s="113" t="n"/>
      <c r="S504" s="113" t="n"/>
      <c r="T504" s="113" t="n"/>
      <c r="U504" s="113" t="n"/>
      <c r="V504" s="113" t="n"/>
    </row>
    <row r="505" ht="15.75" customHeight="1">
      <c r="A505" s="146" t="n">
        <v>9</v>
      </c>
      <c r="B505" s="238" t="n"/>
      <c r="C505" s="399" t="n">
        <v>45867</v>
      </c>
      <c r="D505" s="162" t="inlineStr">
        <is>
          <t>219 G. SAN JOSE 2</t>
        </is>
      </c>
      <c r="E505" s="162" t="n">
        <v>42380</v>
      </c>
      <c r="F505" s="162" t="inlineStr">
        <is>
          <t>YAIR RIVEROS</t>
        </is>
      </c>
      <c r="G505" s="162" t="n">
        <v>2800</v>
      </c>
      <c r="H505" s="162" t="n">
        <v>2789</v>
      </c>
      <c r="I505" s="162" t="n">
        <v>2</v>
      </c>
      <c r="J505" s="162" t="n">
        <v>5</v>
      </c>
      <c r="K505" s="487" t="n">
        <v>4</v>
      </c>
      <c r="L505" s="266" t="n">
        <v>2800</v>
      </c>
      <c r="M505" s="146" t="inlineStr">
        <is>
          <t>YAIR RIVEROS</t>
        </is>
      </c>
      <c r="N505" s="113" t="n"/>
      <c r="O505" s="113" t="n"/>
      <c r="P505" s="398" t="n"/>
      <c r="Q505" s="398" t="n"/>
      <c r="R505" s="113" t="n"/>
      <c r="S505" s="113" t="n"/>
      <c r="T505" s="113" t="n"/>
      <c r="U505" s="113" t="n"/>
      <c r="V505" s="113" t="n"/>
    </row>
    <row r="506" ht="15.75" customHeight="1">
      <c r="A506" s="146" t="n">
        <v>9</v>
      </c>
      <c r="B506" s="238" t="n"/>
      <c r="C506" s="399" t="n">
        <v>45867</v>
      </c>
      <c r="D506" s="162" t="inlineStr">
        <is>
          <t>219 G. SAN JOSE 2</t>
        </is>
      </c>
      <c r="E506" s="162" t="n">
        <v>42381</v>
      </c>
      <c r="F506" s="162" t="inlineStr">
        <is>
          <t>ALBERTO LOPEZ</t>
        </is>
      </c>
      <c r="G506" s="162" t="n">
        <v>2800</v>
      </c>
      <c r="H506" s="162" t="n">
        <v>2792</v>
      </c>
      <c r="I506" s="162" t="n">
        <v>1</v>
      </c>
      <c r="J506" s="162" t="n">
        <v>2</v>
      </c>
      <c r="K506" s="487" t="n">
        <v>5</v>
      </c>
      <c r="L506" s="273" t="n">
        <v>2800</v>
      </c>
      <c r="M506" s="146" t="inlineStr">
        <is>
          <t>ALBERTO LOPEZ</t>
        </is>
      </c>
      <c r="N506" s="113" t="n"/>
      <c r="O506" s="113" t="n"/>
      <c r="P506" s="398" t="n"/>
      <c r="Q506" s="398" t="n"/>
      <c r="R506" s="113" t="n"/>
      <c r="S506" s="113" t="n"/>
      <c r="T506" s="113" t="n"/>
      <c r="U506" s="113" t="n"/>
      <c r="V506" s="113" t="n"/>
    </row>
    <row r="507" ht="15.75" customHeight="1">
      <c r="A507" s="146" t="n">
        <v>9</v>
      </c>
      <c r="B507" s="238" t="n"/>
      <c r="C507" s="399" t="n">
        <v>45868</v>
      </c>
      <c r="D507" s="162" t="inlineStr">
        <is>
          <t>221 G. MALAGUEÑA</t>
        </is>
      </c>
      <c r="E507" s="162" t="n">
        <v>42382</v>
      </c>
      <c r="F507" s="162" t="inlineStr">
        <is>
          <t>FERNANDO OYUELA</t>
        </is>
      </c>
      <c r="G507" s="162" t="n">
        <v>2916</v>
      </c>
      <c r="H507" s="162" t="n">
        <v>2903</v>
      </c>
      <c r="I507" s="162" t="n">
        <v>3</v>
      </c>
      <c r="J507" s="162" t="n">
        <v>12</v>
      </c>
      <c r="K507" s="487" t="n">
        <v>-2</v>
      </c>
      <c r="L507" s="260" t="n">
        <v>2916</v>
      </c>
      <c r="M507" s="146" t="inlineStr">
        <is>
          <t>FERNANDO OYUELA</t>
        </is>
      </c>
      <c r="N507" s="113" t="n"/>
      <c r="O507" s="113" t="n"/>
      <c r="P507" s="398" t="n"/>
      <c r="Q507" s="398" t="n"/>
      <c r="R507" s="113" t="n"/>
      <c r="S507" s="113" t="n"/>
      <c r="T507" s="113" t="n"/>
      <c r="U507" s="113" t="n"/>
      <c r="V507" s="113" t="n"/>
    </row>
    <row r="508" ht="15.75" customHeight="1">
      <c r="A508" s="146" t="n">
        <v>9</v>
      </c>
      <c r="B508" s="238" t="n"/>
      <c r="C508" s="399" t="n">
        <v>45868</v>
      </c>
      <c r="D508" s="162" t="inlineStr">
        <is>
          <t>221 G. MALAGUEÑA</t>
        </is>
      </c>
      <c r="E508" s="162" t="n">
        <v>42383</v>
      </c>
      <c r="F508" s="162" t="inlineStr">
        <is>
          <t>JHON AGUIRRE</t>
        </is>
      </c>
      <c r="G508" s="162" t="n">
        <v>2916</v>
      </c>
      <c r="H508" s="162" t="n">
        <v>2905</v>
      </c>
      <c r="I508" s="162" t="n">
        <v>4</v>
      </c>
      <c r="J508" s="162" t="n">
        <v>8</v>
      </c>
      <c r="K508" s="487" t="n">
        <v>-1</v>
      </c>
      <c r="L508" s="266" t="n">
        <v>2916</v>
      </c>
      <c r="M508" s="146" t="inlineStr">
        <is>
          <t>JHON AGUIRRE</t>
        </is>
      </c>
      <c r="N508" s="113" t="n"/>
      <c r="O508" s="113" t="n"/>
      <c r="P508" s="398" t="n"/>
      <c r="Q508" s="398" t="n"/>
      <c r="R508" s="113" t="n"/>
      <c r="S508" s="113" t="n"/>
      <c r="T508" s="113" t="n"/>
      <c r="U508" s="113" t="n"/>
      <c r="V508" s="113" t="n"/>
    </row>
    <row r="509" ht="15.75" customHeight="1">
      <c r="A509" s="146" t="n">
        <v>9</v>
      </c>
      <c r="B509" s="238" t="n"/>
      <c r="C509" s="399" t="n">
        <v>45868</v>
      </c>
      <c r="D509" s="162" t="inlineStr">
        <is>
          <t>221 G. MALAGUEÑA</t>
        </is>
      </c>
      <c r="E509" s="162" t="n">
        <v>42384</v>
      </c>
      <c r="F509" s="162" t="inlineStr">
        <is>
          <t>JAIRO CUBILLOS</t>
        </is>
      </c>
      <c r="G509" s="162" t="n">
        <v>2916</v>
      </c>
      <c r="H509" s="162" t="n">
        <v>2906</v>
      </c>
      <c r="I509" s="162" t="n">
        <v>4</v>
      </c>
      <c r="J509" s="162" t="n">
        <v>11</v>
      </c>
      <c r="K509" s="487" t="n">
        <v>-5</v>
      </c>
      <c r="L509" s="266" t="n">
        <v>2916</v>
      </c>
      <c r="M509" s="146" t="inlineStr">
        <is>
          <t xml:space="preserve">JAIRO CUBILLOS </t>
        </is>
      </c>
      <c r="N509" s="113" t="n"/>
      <c r="O509" s="113" t="n"/>
      <c r="P509" s="398" t="n"/>
      <c r="Q509" s="398" t="n"/>
      <c r="R509" s="113" t="n"/>
      <c r="S509" s="113" t="n"/>
      <c r="T509" s="113" t="n"/>
      <c r="U509" s="113" t="n"/>
      <c r="V509" s="113" t="n"/>
    </row>
    <row r="510" ht="15.75" customHeight="1">
      <c r="A510" s="146" t="n">
        <v>9</v>
      </c>
      <c r="B510" s="238" t="n"/>
      <c r="C510" s="399" t="n">
        <v>45868</v>
      </c>
      <c r="D510" s="162" t="inlineStr">
        <is>
          <t>221 G. MALAGUEÑA</t>
        </is>
      </c>
      <c r="E510" s="162" t="n">
        <v>42385</v>
      </c>
      <c r="F510" s="162" t="inlineStr">
        <is>
          <t>DUMAR ANGARITA</t>
        </is>
      </c>
      <c r="G510" s="162" t="n">
        <v>3474</v>
      </c>
      <c r="H510" s="162" t="n">
        <v>3465</v>
      </c>
      <c r="I510" s="162" t="n">
        <v>3</v>
      </c>
      <c r="J510" s="162" t="n">
        <v>9</v>
      </c>
      <c r="K510" s="487" t="n">
        <v>-3</v>
      </c>
      <c r="L510" s="266" t="n">
        <v>3474</v>
      </c>
      <c r="M510" s="146" t="inlineStr">
        <is>
          <t>DUMAR ANGARITA</t>
        </is>
      </c>
      <c r="N510" s="113" t="n"/>
      <c r="O510" s="113" t="n"/>
      <c r="P510" s="398" t="n"/>
      <c r="Q510" s="398" t="n"/>
      <c r="R510" s="113" t="n"/>
      <c r="S510" s="113" t="n"/>
      <c r="T510" s="113" t="n"/>
      <c r="U510" s="113" t="n"/>
      <c r="V510" s="113" t="n"/>
    </row>
    <row r="511" ht="15.75" customHeight="1">
      <c r="A511" s="146" t="n">
        <v>9</v>
      </c>
      <c r="B511" s="238" t="n"/>
      <c r="C511" s="399" t="n">
        <v>45868</v>
      </c>
      <c r="D511" s="162" t="inlineStr">
        <is>
          <t>221 G. MALAGUEÑA</t>
        </is>
      </c>
      <c r="E511" s="162" t="n">
        <v>42386</v>
      </c>
      <c r="F511" s="162" t="inlineStr">
        <is>
          <t>WILMER PIÑEROS</t>
        </is>
      </c>
      <c r="G511" s="162" t="n">
        <v>2676</v>
      </c>
      <c r="H511" s="162" t="n">
        <v>2651</v>
      </c>
      <c r="I511" s="162" t="n">
        <v>10</v>
      </c>
      <c r="J511" s="162" t="n">
        <v>12</v>
      </c>
      <c r="K511" s="487" t="n">
        <v>3</v>
      </c>
      <c r="L511" s="266" t="n">
        <v>2676</v>
      </c>
      <c r="M511" s="146" t="inlineStr">
        <is>
          <t xml:space="preserve">WILMER PIÑEROS </t>
        </is>
      </c>
      <c r="N511" s="113" t="n"/>
      <c r="O511" s="113" t="n"/>
      <c r="P511" s="398" t="n"/>
      <c r="Q511" s="398" t="n"/>
      <c r="R511" s="113" t="n"/>
      <c r="S511" s="113" t="n"/>
      <c r="T511" s="113" t="n"/>
      <c r="U511" s="113" t="n"/>
      <c r="V511" s="113" t="n"/>
    </row>
    <row r="512" ht="15.75" customHeight="1">
      <c r="A512" s="146" t="n">
        <v>9</v>
      </c>
      <c r="B512" s="238" t="n"/>
      <c r="C512" s="399" t="n">
        <v>45868</v>
      </c>
      <c r="D512" s="162" t="inlineStr">
        <is>
          <t>221 G. MALAGUEÑA</t>
        </is>
      </c>
      <c r="E512" s="162" t="n">
        <v>42387</v>
      </c>
      <c r="F512" s="162" t="inlineStr">
        <is>
          <t>EDWIN ROJAS</t>
        </is>
      </c>
      <c r="G512" s="162" t="n">
        <v>3913</v>
      </c>
      <c r="H512" s="162" t="n">
        <v>3869</v>
      </c>
      <c r="I512" s="162" t="n">
        <v>3</v>
      </c>
      <c r="J512" s="162" t="n">
        <v>32</v>
      </c>
      <c r="K512" s="487" t="n">
        <v>9</v>
      </c>
      <c r="L512" s="266" t="n">
        <v>3914</v>
      </c>
      <c r="M512" s="146" t="inlineStr">
        <is>
          <t>EDWIN ROJAS</t>
        </is>
      </c>
      <c r="N512" s="113" t="n"/>
      <c r="O512" s="113" t="n"/>
      <c r="P512" s="398" t="n"/>
      <c r="Q512" s="398" t="n"/>
      <c r="R512" s="113" t="n"/>
      <c r="S512" s="113" t="n"/>
      <c r="T512" s="113" t="n"/>
      <c r="U512" s="113" t="n"/>
      <c r="V512" s="113" t="n"/>
    </row>
    <row r="513" ht="15.75" customHeight="1">
      <c r="A513" s="146" t="n">
        <v>9</v>
      </c>
      <c r="B513" s="238" t="n"/>
      <c r="C513" s="399" t="n">
        <v>45868</v>
      </c>
      <c r="D513" s="162" t="inlineStr">
        <is>
          <t>221 G. MALAGUEÑA</t>
        </is>
      </c>
      <c r="E513" s="162" t="n">
        <v>42388</v>
      </c>
      <c r="F513" s="162" t="inlineStr">
        <is>
          <t>JHON ARIAS</t>
        </is>
      </c>
      <c r="G513" s="162" t="n">
        <v>2806</v>
      </c>
      <c r="H513" s="162" t="n">
        <v>2700</v>
      </c>
      <c r="I513" s="162" t="n">
        <v>4</v>
      </c>
      <c r="J513" s="162" t="n">
        <v>91</v>
      </c>
      <c r="K513" s="487" t="n">
        <v>11</v>
      </c>
      <c r="L513" s="266" t="n">
        <v>2806</v>
      </c>
      <c r="M513" s="146" t="inlineStr">
        <is>
          <t>JHON ARIAS</t>
        </is>
      </c>
      <c r="N513" s="113" t="n"/>
      <c r="O513" s="113" t="n"/>
      <c r="P513" s="398" t="n"/>
      <c r="Q513" s="398" t="n"/>
      <c r="R513" s="113" t="n"/>
      <c r="S513" s="113" t="n"/>
      <c r="T513" s="113" t="n"/>
      <c r="U513" s="113" t="n"/>
      <c r="V513" s="113" t="n"/>
    </row>
    <row r="514" ht="15.75" customHeight="1">
      <c r="A514" s="146" t="n">
        <v>9</v>
      </c>
      <c r="B514" s="238" t="n"/>
      <c r="C514" s="399" t="n">
        <v>45868</v>
      </c>
      <c r="D514" s="162" t="inlineStr">
        <is>
          <t>221 G. MALAGUEÑA</t>
        </is>
      </c>
      <c r="E514" s="162" t="n">
        <v>42397</v>
      </c>
      <c r="F514" s="162" t="inlineStr">
        <is>
          <t>FERNANDO OYUELA</t>
        </is>
      </c>
      <c r="G514" s="162" t="n">
        <v>2870</v>
      </c>
      <c r="H514" s="162" t="n">
        <v>2846</v>
      </c>
      <c r="I514" s="162" t="n">
        <v>10</v>
      </c>
      <c r="J514" s="162" t="n">
        <v>9</v>
      </c>
      <c r="K514" s="487" t="n">
        <v>5</v>
      </c>
      <c r="L514" s="266" t="n">
        <v>2870</v>
      </c>
      <c r="M514" s="146" t="inlineStr">
        <is>
          <t xml:space="preserve">FERNANDO OYUELA </t>
        </is>
      </c>
      <c r="N514" s="113" t="n"/>
      <c r="O514" s="113" t="n"/>
      <c r="P514" s="398" t="n"/>
      <c r="Q514" s="398" t="n"/>
      <c r="R514" s="113" t="n"/>
      <c r="S514" s="113" t="n"/>
      <c r="T514" s="113" t="n"/>
      <c r="U514" s="113" t="n"/>
      <c r="V514" s="113" t="n"/>
    </row>
    <row r="515" ht="15.75" customHeight="1">
      <c r="A515" s="146" t="n">
        <v>9</v>
      </c>
      <c r="B515" s="238" t="n"/>
      <c r="C515" s="399" t="n">
        <v>45868</v>
      </c>
      <c r="D515" s="162" t="inlineStr">
        <is>
          <t>219 G. SAN JOSE 2</t>
        </is>
      </c>
      <c r="E515" s="162" t="n">
        <v>42398</v>
      </c>
      <c r="F515" s="162" t="inlineStr">
        <is>
          <t>JHON AGUIRRE</t>
        </is>
      </c>
      <c r="G515" s="162" t="n">
        <v>2870</v>
      </c>
      <c r="H515" s="162" t="n">
        <v>2857</v>
      </c>
      <c r="I515" s="162" t="n">
        <v>1</v>
      </c>
      <c r="J515" s="162" t="n">
        <v>8</v>
      </c>
      <c r="K515" s="487" t="n">
        <v>4</v>
      </c>
      <c r="L515" s="266" t="n">
        <v>2870</v>
      </c>
      <c r="M515" s="146" t="inlineStr">
        <is>
          <t>JHON AGUIRRE</t>
        </is>
      </c>
      <c r="N515" s="113" t="n"/>
      <c r="O515" s="113" t="n"/>
      <c r="P515" s="398" t="n"/>
      <c r="Q515" s="398" t="n"/>
      <c r="R515" s="113" t="n"/>
      <c r="S515" s="113" t="n"/>
      <c r="T515" s="113" t="n"/>
      <c r="U515" s="113" t="n"/>
      <c r="V515" s="113" t="n"/>
    </row>
    <row r="516" ht="15.75" customHeight="1">
      <c r="A516" s="146" t="n">
        <v>9</v>
      </c>
      <c r="B516" s="238" t="n"/>
      <c r="C516" s="399" t="n">
        <v>45868</v>
      </c>
      <c r="D516" s="162" t="inlineStr">
        <is>
          <t>219 G. SAN JOSE 2</t>
        </is>
      </c>
      <c r="E516" s="162" t="n">
        <v>42399</v>
      </c>
      <c r="F516" s="162" t="inlineStr">
        <is>
          <t>JAIRO CUBILLOS</t>
        </is>
      </c>
      <c r="G516" s="162" t="n">
        <v>2870</v>
      </c>
      <c r="H516" s="162" t="n">
        <v>2853</v>
      </c>
      <c r="I516" s="162" t="n">
        <v>2</v>
      </c>
      <c r="J516" s="162" t="n">
        <v>11</v>
      </c>
      <c r="K516" s="487" t="n">
        <v>4</v>
      </c>
      <c r="L516" s="266" t="n">
        <v>2870</v>
      </c>
      <c r="M516" s="146" t="inlineStr">
        <is>
          <t>JAIRO CUBILLOS</t>
        </is>
      </c>
      <c r="N516" s="113" t="n"/>
      <c r="O516" s="113" t="n"/>
      <c r="P516" s="398" t="n"/>
      <c r="Q516" s="398" t="n"/>
      <c r="R516" s="113" t="n"/>
      <c r="S516" s="113" t="n"/>
      <c r="T516" s="113" t="n"/>
      <c r="U516" s="113" t="n"/>
      <c r="V516" s="113" t="n"/>
    </row>
    <row r="517" ht="15.75" customHeight="1">
      <c r="A517" s="146" t="n">
        <v>9</v>
      </c>
      <c r="B517" s="238" t="n"/>
      <c r="C517" s="399" t="n">
        <v>45868</v>
      </c>
      <c r="D517" s="162" t="inlineStr">
        <is>
          <t>219 G. SAN JOSE 2</t>
        </is>
      </c>
      <c r="E517" s="162" t="n">
        <v>42400</v>
      </c>
      <c r="F517" s="162" t="inlineStr">
        <is>
          <t>DUMAR ANGARITA</t>
        </is>
      </c>
      <c r="G517" s="162" t="n">
        <v>2870</v>
      </c>
      <c r="H517" s="162" t="n">
        <v>2854</v>
      </c>
      <c r="I517" s="162" t="n">
        <v>4</v>
      </c>
      <c r="J517" s="162" t="n">
        <v>9</v>
      </c>
      <c r="K517" s="487" t="n">
        <v>3</v>
      </c>
      <c r="L517" s="266" t="n">
        <v>2870</v>
      </c>
      <c r="M517" s="146" t="inlineStr">
        <is>
          <t xml:space="preserve">DUMAR ANGARITA </t>
        </is>
      </c>
      <c r="N517" s="113" t="n"/>
      <c r="O517" s="113" t="n"/>
      <c r="P517" s="398" t="n"/>
      <c r="Q517" s="398" t="n"/>
      <c r="R517" s="113" t="n"/>
      <c r="S517" s="113" t="n"/>
      <c r="T517" s="113" t="n"/>
      <c r="U517" s="113" t="n"/>
      <c r="V517" s="113" t="n"/>
    </row>
    <row r="518" ht="15.75" customHeight="1">
      <c r="A518" s="146" t="n">
        <v>9</v>
      </c>
      <c r="B518" s="238" t="n"/>
      <c r="C518" s="399" t="n">
        <v>45868</v>
      </c>
      <c r="D518" s="162" t="inlineStr">
        <is>
          <t>219 G. SAN JOSE 2</t>
        </is>
      </c>
      <c r="E518" s="162" t="n">
        <v>42401</v>
      </c>
      <c r="F518" s="162" t="inlineStr">
        <is>
          <t>WILMER PIÑEROS</t>
        </is>
      </c>
      <c r="G518" s="162" t="n">
        <v>2870</v>
      </c>
      <c r="H518" s="162" t="n">
        <v>2826</v>
      </c>
      <c r="I518" s="162" t="n">
        <v>4</v>
      </c>
      <c r="J518" s="162" t="n">
        <v>37</v>
      </c>
      <c r="K518" s="488" t="n">
        <v>3</v>
      </c>
      <c r="L518" s="318" t="n">
        <v>2870</v>
      </c>
      <c r="M518" s="146" t="inlineStr">
        <is>
          <t xml:space="preserve">WILMER PIÑEROS </t>
        </is>
      </c>
      <c r="N518" s="113" t="n"/>
      <c r="O518" s="113" t="n"/>
      <c r="P518" s="398" t="n"/>
      <c r="Q518" s="398" t="n"/>
      <c r="R518" s="113" t="n"/>
      <c r="S518" s="113" t="n"/>
      <c r="T518" s="113" t="n"/>
      <c r="U518" s="113" t="n"/>
      <c r="V518" s="113" t="n"/>
    </row>
    <row r="519" ht="15.75" customHeight="1">
      <c r="A519" s="146" t="n">
        <v>9</v>
      </c>
      <c r="B519" s="238" t="n"/>
      <c r="C519" s="399" t="n"/>
      <c r="D519" s="113" t="n"/>
      <c r="E519" s="113" t="n"/>
      <c r="F519" s="113" t="n"/>
      <c r="G519" s="395">
        <f>SUBTOTAL(9,G484:G518)</f>
        <v/>
      </c>
      <c r="H519" s="395">
        <f>SUBTOTAL(9,H484:H518)</f>
        <v/>
      </c>
      <c r="I519" s="395">
        <f>SUBTOTAL(9,I484:I518)</f>
        <v/>
      </c>
      <c r="J519" s="395">
        <f>SUBTOTAL(9,J484:J518)</f>
        <v/>
      </c>
      <c r="K519" s="489">
        <f>SUBTOTAL(9,K484:K518)</f>
        <v/>
      </c>
      <c r="L519" s="490">
        <f>SUBTOTAL(9,L484:L518)</f>
        <v/>
      </c>
      <c r="M519" s="395">
        <f>L519-H519</f>
        <v/>
      </c>
      <c r="N519" s="113" t="n"/>
      <c r="O519" s="113" t="n"/>
      <c r="P519" s="398" t="n"/>
      <c r="Q519" s="398" t="n"/>
      <c r="R519" s="113" t="n"/>
      <c r="S519" s="113" t="n"/>
      <c r="T519" s="113" t="n"/>
      <c r="U519" s="113" t="n"/>
      <c r="V519" s="113" t="n"/>
    </row>
    <row r="520" ht="15.75" customHeight="1">
      <c r="A520" s="146" t="n">
        <v>10</v>
      </c>
      <c r="B520" s="238" t="n"/>
      <c r="C520" s="399" t="n">
        <v>45869</v>
      </c>
      <c r="D520" s="162" t="inlineStr">
        <is>
          <t>221 G. MALAGUEÑA</t>
        </is>
      </c>
      <c r="E520" s="162" t="n">
        <v>42402</v>
      </c>
      <c r="F520" s="162" t="inlineStr">
        <is>
          <t>ALBERTO HERRERA</t>
        </is>
      </c>
      <c r="G520" s="162" t="n">
        <v>2774</v>
      </c>
      <c r="H520" s="162" t="n">
        <v>2628</v>
      </c>
      <c r="I520" s="162" t="n">
        <v>12</v>
      </c>
      <c r="J520" s="162" t="n">
        <v>149</v>
      </c>
      <c r="K520" s="491" t="n">
        <v>-15</v>
      </c>
      <c r="L520" s="295" t="n">
        <v>2764</v>
      </c>
      <c r="M520" s="113" t="n"/>
      <c r="N520" s="113" t="n"/>
      <c r="O520" s="113" t="n"/>
      <c r="P520" s="398" t="n"/>
      <c r="Q520" s="398" t="n"/>
      <c r="R520" s="113" t="n"/>
      <c r="S520" s="113" t="n"/>
      <c r="T520" s="113" t="n"/>
      <c r="U520" s="113" t="n"/>
      <c r="V520" s="113" t="n"/>
    </row>
    <row r="521" ht="15.75" customHeight="1">
      <c r="A521" s="146" t="n">
        <v>10</v>
      </c>
      <c r="B521" s="238" t="n"/>
      <c r="C521" s="399" t="n">
        <v>45869</v>
      </c>
      <c r="D521" s="162" t="inlineStr">
        <is>
          <t>221 G. MALAGUEÑA</t>
        </is>
      </c>
      <c r="E521" s="162" t="n">
        <v>42403</v>
      </c>
      <c r="F521" s="162" t="inlineStr">
        <is>
          <t>MANUEL QUITIAN</t>
        </is>
      </c>
      <c r="G521" s="162" t="n">
        <v>2774</v>
      </c>
      <c r="H521" s="162" t="n">
        <v>2636</v>
      </c>
      <c r="I521" s="162" t="n">
        <v>12</v>
      </c>
      <c r="J521" s="162" t="n">
        <v>141</v>
      </c>
      <c r="K521" s="487" t="n">
        <v>-15</v>
      </c>
      <c r="L521" s="266" t="n">
        <v>2764</v>
      </c>
      <c r="M521" s="113" t="n"/>
      <c r="N521" s="113" t="n"/>
      <c r="O521" s="113" t="n"/>
      <c r="P521" s="398" t="n"/>
      <c r="Q521" s="398" t="n"/>
      <c r="R521" s="113" t="n"/>
      <c r="S521" s="113" t="n"/>
      <c r="T521" s="113" t="n"/>
      <c r="U521" s="113" t="n"/>
      <c r="V521" s="113" t="n"/>
    </row>
    <row r="522" ht="15.75" customHeight="1">
      <c r="A522" s="146" t="n">
        <v>10</v>
      </c>
      <c r="B522" s="238" t="n"/>
      <c r="C522" s="399" t="n">
        <v>45869</v>
      </c>
      <c r="D522" s="162" t="inlineStr">
        <is>
          <t>221 G. MALAGUEÑA</t>
        </is>
      </c>
      <c r="E522" s="162" t="n">
        <v>42404</v>
      </c>
      <c r="F522" s="162" t="inlineStr">
        <is>
          <t>ALEX GOMEZ</t>
        </is>
      </c>
      <c r="G522" s="162" t="n">
        <v>2774</v>
      </c>
      <c r="H522" s="162" t="n">
        <v>2630</v>
      </c>
      <c r="I522" s="162" t="n">
        <v>13</v>
      </c>
      <c r="J522" s="162" t="n">
        <v>147</v>
      </c>
      <c r="K522" s="487" t="n">
        <v>-16</v>
      </c>
      <c r="L522" s="266" t="n">
        <v>2764</v>
      </c>
      <c r="M522" s="113" t="n"/>
      <c r="N522" s="113" t="n"/>
      <c r="O522" s="113" t="n"/>
      <c r="P522" s="398" t="n"/>
      <c r="Q522" s="398" t="n"/>
      <c r="R522" s="113" t="n"/>
      <c r="S522" s="113" t="n"/>
      <c r="T522" s="113" t="n"/>
      <c r="U522" s="113" t="n"/>
      <c r="V522" s="113" t="n"/>
    </row>
    <row r="523" ht="15.75" customHeight="1">
      <c r="A523" s="146" t="n">
        <v>10</v>
      </c>
      <c r="B523" s="238" t="n"/>
      <c r="C523" s="399" t="n">
        <v>45869</v>
      </c>
      <c r="D523" s="162" t="inlineStr">
        <is>
          <t>221 G. MALAGUEÑA</t>
        </is>
      </c>
      <c r="E523" s="162" t="n">
        <v>42405</v>
      </c>
      <c r="F523" s="162" t="inlineStr">
        <is>
          <t>FABIO ALDANA</t>
        </is>
      </c>
      <c r="G523" s="162" t="n">
        <v>1701</v>
      </c>
      <c r="H523" s="162" t="n">
        <v>1677</v>
      </c>
      <c r="I523" s="162" t="n">
        <v>2</v>
      </c>
      <c r="J523" s="162" t="n">
        <v>28</v>
      </c>
      <c r="K523" s="487" t="n">
        <v>-6</v>
      </c>
      <c r="L523" s="266" t="n">
        <v>1701</v>
      </c>
      <c r="M523" s="113" t="n"/>
      <c r="N523" s="113" t="n"/>
      <c r="O523" s="113" t="n"/>
      <c r="P523" s="398" t="n"/>
      <c r="Q523" s="398" t="n"/>
      <c r="R523" s="113" t="n"/>
      <c r="S523" s="113" t="n"/>
      <c r="T523" s="113" t="n"/>
      <c r="U523" s="113" t="n"/>
      <c r="V523" s="113" t="n"/>
    </row>
    <row r="524" ht="15.75" customHeight="1">
      <c r="A524" s="146" t="n">
        <v>10</v>
      </c>
      <c r="B524" s="238" t="n"/>
      <c r="C524" s="399" t="n">
        <v>45869</v>
      </c>
      <c r="D524" s="162" t="inlineStr">
        <is>
          <t>221 G. MALAGUEÑA</t>
        </is>
      </c>
      <c r="E524" s="162" t="n">
        <v>42406</v>
      </c>
      <c r="F524" s="162" t="inlineStr">
        <is>
          <t>YAIR RIVEROS</t>
        </is>
      </c>
      <c r="G524" s="162" t="n">
        <v>3600</v>
      </c>
      <c r="H524" s="162" t="n">
        <v>3563</v>
      </c>
      <c r="I524" s="162" t="n">
        <v>3</v>
      </c>
      <c r="J524" s="162" t="n">
        <v>25</v>
      </c>
      <c r="K524" s="487" t="n">
        <v>9</v>
      </c>
      <c r="L524" s="266" t="n">
        <v>3600</v>
      </c>
      <c r="M524" s="113" t="n"/>
      <c r="N524" s="113" t="n"/>
      <c r="O524" s="113" t="n"/>
      <c r="P524" s="398" t="n"/>
      <c r="Q524" s="398" t="n"/>
      <c r="R524" s="113" t="n"/>
      <c r="S524" s="113" t="n"/>
      <c r="T524" s="113" t="n"/>
      <c r="U524" s="113" t="n"/>
      <c r="V524" s="113" t="n"/>
    </row>
    <row r="525" ht="15.75" customHeight="1">
      <c r="A525" s="146" t="n">
        <v>10</v>
      </c>
      <c r="B525" s="238" t="n"/>
      <c r="C525" s="399" t="n">
        <v>45869</v>
      </c>
      <c r="D525" s="162" t="inlineStr">
        <is>
          <t>221 G. MALAGUEÑA</t>
        </is>
      </c>
      <c r="E525" s="162" t="n">
        <v>42407</v>
      </c>
      <c r="F525" s="162" t="inlineStr">
        <is>
          <t>HENRY ROMERO</t>
        </is>
      </c>
      <c r="G525" s="162" t="n">
        <v>3534</v>
      </c>
      <c r="H525" s="162" t="n">
        <v>3482</v>
      </c>
      <c r="I525" s="162" t="n">
        <v>2</v>
      </c>
      <c r="J525" s="162" t="n">
        <v>25</v>
      </c>
      <c r="K525" s="487" t="n">
        <v>25</v>
      </c>
      <c r="L525" s="266" t="n">
        <v>3534</v>
      </c>
      <c r="M525" s="113" t="n"/>
      <c r="N525" s="113" t="n"/>
      <c r="O525" s="113" t="n"/>
      <c r="P525" s="398" t="n"/>
      <c r="Q525" s="398" t="n"/>
      <c r="R525" s="113" t="n"/>
      <c r="S525" s="113" t="n"/>
      <c r="T525" s="113" t="n"/>
      <c r="U525" s="113" t="n"/>
      <c r="V525" s="113" t="n"/>
    </row>
    <row r="526" ht="15.75" customHeight="1">
      <c r="A526" s="146" t="n">
        <v>10</v>
      </c>
      <c r="B526" s="238" t="n"/>
      <c r="C526" s="399" t="n">
        <v>45869</v>
      </c>
      <c r="D526" s="162" t="inlineStr">
        <is>
          <t>219 G. SAN JOSE 2</t>
        </is>
      </c>
      <c r="E526" s="162" t="n">
        <v>42408</v>
      </c>
      <c r="F526" s="162" t="inlineStr">
        <is>
          <t>JOSE SOLER</t>
        </is>
      </c>
      <c r="G526" s="162" t="n">
        <v>3046</v>
      </c>
      <c r="H526" s="162" t="n">
        <v>3050</v>
      </c>
      <c r="I526" s="162" t="n">
        <v>2</v>
      </c>
      <c r="J526" s="162" t="n">
        <v>11</v>
      </c>
      <c r="K526" s="487" t="n">
        <v>-17</v>
      </c>
      <c r="L526" s="266" t="n">
        <v>3046</v>
      </c>
      <c r="M526" s="113" t="n"/>
      <c r="N526" s="113" t="n"/>
      <c r="O526" s="113" t="n"/>
      <c r="P526" s="398" t="n"/>
      <c r="Q526" s="398" t="n"/>
      <c r="R526" s="113" t="n"/>
      <c r="S526" s="113" t="n"/>
      <c r="T526" s="113" t="n"/>
      <c r="U526" s="113" t="n"/>
      <c r="V526" s="113" t="n"/>
    </row>
    <row r="527" ht="15.75" customHeight="1">
      <c r="A527" s="146" t="n">
        <v>10</v>
      </c>
      <c r="B527" s="238" t="n"/>
      <c r="C527" s="399" t="n">
        <v>45869</v>
      </c>
      <c r="D527" s="162" t="inlineStr">
        <is>
          <t>219 G. SAN JOSE 2</t>
        </is>
      </c>
      <c r="E527" s="162" t="n">
        <v>42416</v>
      </c>
      <c r="F527" s="162" t="inlineStr">
        <is>
          <t>FABIO ALDANA</t>
        </is>
      </c>
      <c r="G527" s="162" t="n">
        <v>2667</v>
      </c>
      <c r="H527" s="162" t="n">
        <v>2773</v>
      </c>
      <c r="I527" s="162" t="n">
        <v>2</v>
      </c>
      <c r="J527" s="162" t="n">
        <v>7</v>
      </c>
      <c r="K527" s="487" t="n">
        <v>-115</v>
      </c>
      <c r="L527" s="266" t="n">
        <v>2662</v>
      </c>
      <c r="M527" s="113" t="n"/>
      <c r="N527" s="113" t="n"/>
      <c r="O527" s="113" t="n"/>
      <c r="P527" s="398" t="n"/>
      <c r="Q527" s="398" t="n"/>
      <c r="R527" s="113" t="n"/>
      <c r="S527" s="113" t="n"/>
      <c r="T527" s="113" t="n"/>
      <c r="U527" s="113" t="n"/>
      <c r="V527" s="113" t="n"/>
    </row>
    <row r="528" ht="15.75" customHeight="1">
      <c r="A528" s="146" t="n">
        <v>10</v>
      </c>
      <c r="B528" s="238" t="n"/>
      <c r="C528" s="399" t="n">
        <v>45869</v>
      </c>
      <c r="D528" s="162" t="inlineStr">
        <is>
          <t>219 G. SAN JOSE 2</t>
        </is>
      </c>
      <c r="E528" s="162" t="n">
        <v>42417</v>
      </c>
      <c r="F528" s="162" t="inlineStr">
        <is>
          <t>HENRY ROMERO</t>
        </is>
      </c>
      <c r="G528" s="162" t="n">
        <v>2667</v>
      </c>
      <c r="H528" s="162" t="n">
        <v>2763</v>
      </c>
      <c r="I528" s="162" t="n">
        <v>2</v>
      </c>
      <c r="J528" s="162" t="n">
        <v>7</v>
      </c>
      <c r="K528" s="487" t="n">
        <v>-105</v>
      </c>
      <c r="L528" s="266" t="n">
        <v>2667</v>
      </c>
      <c r="M528" s="113" t="n"/>
      <c r="N528" s="113" t="n"/>
      <c r="O528" s="113" t="n"/>
      <c r="P528" s="398" t="n"/>
      <c r="Q528" s="398" t="n"/>
      <c r="R528" s="113" t="n"/>
      <c r="S528" s="113" t="n"/>
      <c r="T528" s="113" t="n"/>
      <c r="U528" s="113" t="n"/>
      <c r="V528" s="113" t="n"/>
    </row>
    <row r="529" ht="15.75" customHeight="1">
      <c r="A529" s="146" t="n">
        <v>10</v>
      </c>
      <c r="B529" s="238" t="n"/>
      <c r="C529" s="399" t="n">
        <v>45869</v>
      </c>
      <c r="D529" s="162" t="inlineStr">
        <is>
          <t>219 G. SAN JOSE 2</t>
        </is>
      </c>
      <c r="E529" s="162" t="n">
        <v>42418</v>
      </c>
      <c r="F529" s="162" t="inlineStr">
        <is>
          <t>EDWIN ROJAS</t>
        </is>
      </c>
      <c r="G529" s="162" t="n">
        <v>2317</v>
      </c>
      <c r="H529" s="162" t="n">
        <v>2342</v>
      </c>
      <c r="I529" s="162" t="n">
        <v>1</v>
      </c>
      <c r="J529" s="162" t="n">
        <v>6</v>
      </c>
      <c r="K529" s="487" t="n">
        <v>-32</v>
      </c>
      <c r="L529" s="284" t="n">
        <v>2317</v>
      </c>
      <c r="M529" s="113" t="n"/>
      <c r="N529" s="113" t="n"/>
      <c r="O529" s="113" t="n"/>
      <c r="P529" s="398" t="n"/>
      <c r="Q529" s="398" t="n"/>
      <c r="R529" s="113" t="n"/>
      <c r="S529" s="113" t="n"/>
      <c r="T529" s="113" t="n"/>
      <c r="U529" s="113" t="n"/>
      <c r="V529" s="113" t="n"/>
    </row>
    <row r="530" ht="15.75" customHeight="1">
      <c r="A530" s="146" t="n">
        <v>10</v>
      </c>
      <c r="B530" s="238" t="n"/>
      <c r="C530" s="399" t="n">
        <v>45870</v>
      </c>
      <c r="D530" s="162" t="inlineStr">
        <is>
          <t>221 G. MALAGUEÑA</t>
        </is>
      </c>
      <c r="E530" s="162" t="n">
        <v>42426</v>
      </c>
      <c r="F530" s="162" t="inlineStr">
        <is>
          <t>WILMER PIÑEROS</t>
        </is>
      </c>
      <c r="G530" s="162" t="n">
        <v>2619</v>
      </c>
      <c r="H530" s="162" t="n">
        <v>2584</v>
      </c>
      <c r="I530" s="162" t="n">
        <v>1</v>
      </c>
      <c r="J530" s="162" t="n">
        <v>31</v>
      </c>
      <c r="K530" s="487" t="n">
        <v>3</v>
      </c>
      <c r="L530" s="260" t="n">
        <v>2619</v>
      </c>
      <c r="M530" s="113" t="n"/>
      <c r="N530" s="113" t="n"/>
      <c r="O530" s="113" t="n"/>
      <c r="P530" s="398" t="n"/>
      <c r="Q530" s="398" t="n"/>
      <c r="R530" s="113" t="n"/>
      <c r="S530" s="113" t="n"/>
      <c r="T530" s="113" t="n"/>
      <c r="U530" s="113" t="n"/>
      <c r="V530" s="113" t="n"/>
    </row>
    <row r="531" ht="15.75" customHeight="1">
      <c r="A531" s="146" t="n">
        <v>10</v>
      </c>
      <c r="B531" s="238" t="n"/>
      <c r="C531" s="399" t="n">
        <v>45870</v>
      </c>
      <c r="D531" s="162" t="inlineStr">
        <is>
          <t>221 G. MALAGUEÑA</t>
        </is>
      </c>
      <c r="E531" s="162" t="n">
        <v>42427</v>
      </c>
      <c r="F531" s="162" t="inlineStr">
        <is>
          <t>JHON ARIAS</t>
        </is>
      </c>
      <c r="G531" s="162" t="n">
        <v>2619</v>
      </c>
      <c r="H531" s="162" t="n">
        <v>2584</v>
      </c>
      <c r="I531" s="162" t="n">
        <v>1</v>
      </c>
      <c r="J531" s="162" t="n">
        <v>34</v>
      </c>
      <c r="K531" s="487" t="n">
        <v>0</v>
      </c>
      <c r="L531" s="266" t="n">
        <v>2619</v>
      </c>
      <c r="M531" s="113" t="n"/>
      <c r="N531" s="113" t="n"/>
      <c r="O531" s="113" t="n"/>
      <c r="P531" s="398" t="n"/>
      <c r="Q531" s="398" t="n"/>
      <c r="R531" s="113" t="n"/>
      <c r="S531" s="113" t="n"/>
      <c r="T531" s="113" t="n"/>
      <c r="U531" s="113" t="n"/>
      <c r="V531" s="113" t="n"/>
    </row>
    <row r="532" ht="15.75" customHeight="1">
      <c r="A532" s="146" t="n">
        <v>10</v>
      </c>
      <c r="B532" s="238" t="n"/>
      <c r="C532" s="399" t="n">
        <v>45870</v>
      </c>
      <c r="D532" s="162" t="inlineStr">
        <is>
          <t>221 G. MALAGUEÑA</t>
        </is>
      </c>
      <c r="E532" s="162" t="n">
        <v>42428</v>
      </c>
      <c r="F532" s="162" t="inlineStr">
        <is>
          <t>EDWIN ROJAS</t>
        </is>
      </c>
      <c r="G532" s="162" t="n">
        <v>3240</v>
      </c>
      <c r="H532" s="162" t="n">
        <v>3211</v>
      </c>
      <c r="I532" s="162" t="n">
        <v>1</v>
      </c>
      <c r="J532" s="162" t="n">
        <v>29</v>
      </c>
      <c r="K532" s="487" t="n">
        <v>-1</v>
      </c>
      <c r="L532" s="266" t="n">
        <v>3240</v>
      </c>
      <c r="M532" s="113" t="n"/>
      <c r="N532" s="113" t="n"/>
      <c r="O532" s="113" t="n"/>
      <c r="P532" s="398" t="n"/>
      <c r="Q532" s="398" t="n"/>
      <c r="R532" s="113" t="n"/>
      <c r="S532" s="113" t="n"/>
      <c r="T532" s="113" t="n"/>
      <c r="U532" s="113" t="n"/>
      <c r="V532" s="113" t="n"/>
    </row>
    <row r="533" ht="15.75" customHeight="1">
      <c r="A533" s="146" t="n">
        <v>10</v>
      </c>
      <c r="B533" s="238" t="n"/>
      <c r="C533" s="399" t="n">
        <v>45870</v>
      </c>
      <c r="D533" s="162" t="inlineStr">
        <is>
          <t>221 G. MALAGUEÑA</t>
        </is>
      </c>
      <c r="E533" s="162" t="n">
        <v>42429</v>
      </c>
      <c r="F533" s="162" t="inlineStr">
        <is>
          <t>FERNANDO OYUELA</t>
        </is>
      </c>
      <c r="G533" s="162" t="n">
        <v>2916</v>
      </c>
      <c r="H533" s="162" t="n">
        <v>2861</v>
      </c>
      <c r="I533" s="162" t="n">
        <v>1</v>
      </c>
      <c r="J533" s="162" t="n">
        <v>55</v>
      </c>
      <c r="K533" s="487" t="n">
        <v>-1</v>
      </c>
      <c r="L533" s="266" t="n">
        <v>2916</v>
      </c>
      <c r="M533" s="113" t="n"/>
      <c r="N533" s="113" t="n"/>
      <c r="O533" s="113" t="n"/>
      <c r="P533" s="398" t="n"/>
      <c r="Q533" s="398" t="n"/>
      <c r="R533" s="113" t="n"/>
      <c r="S533" s="113" t="n"/>
      <c r="T533" s="113" t="n"/>
      <c r="U533" s="113" t="n"/>
      <c r="V533" s="113" t="n"/>
    </row>
    <row r="534" ht="15.75" customHeight="1">
      <c r="A534" s="146" t="n">
        <v>10</v>
      </c>
      <c r="B534" s="238" t="n"/>
      <c r="C534" s="399" t="n">
        <v>45870</v>
      </c>
      <c r="D534" s="162" t="inlineStr">
        <is>
          <t>221 G. MALAGUEÑA</t>
        </is>
      </c>
      <c r="E534" s="162" t="n">
        <v>42430</v>
      </c>
      <c r="F534" s="162" t="inlineStr">
        <is>
          <t>JHON AGUIRRE</t>
        </is>
      </c>
      <c r="G534" s="162" t="n">
        <v>2544</v>
      </c>
      <c r="H534" s="162" t="n">
        <v>2496</v>
      </c>
      <c r="I534" s="162" t="n">
        <v>1</v>
      </c>
      <c r="J534" s="162" t="n">
        <v>53</v>
      </c>
      <c r="K534" s="487" t="n">
        <v>-6</v>
      </c>
      <c r="L534" s="266" t="n">
        <v>2544</v>
      </c>
      <c r="M534" s="113" t="n"/>
      <c r="N534" s="113" t="n"/>
      <c r="O534" s="113" t="n"/>
      <c r="P534" s="398" t="n"/>
      <c r="Q534" s="398" t="n"/>
      <c r="R534" s="113" t="n"/>
      <c r="S534" s="113" t="n"/>
      <c r="T534" s="113" t="n"/>
      <c r="U534" s="113" t="n"/>
      <c r="V534" s="113" t="n"/>
    </row>
    <row r="535" ht="15.75" customHeight="1">
      <c r="A535" s="146" t="n">
        <v>10</v>
      </c>
      <c r="B535" s="238" t="n"/>
      <c r="C535" s="399" t="n">
        <v>45870</v>
      </c>
      <c r="D535" s="162" t="inlineStr">
        <is>
          <t>219 G. SAN JOSE 2</t>
        </is>
      </c>
      <c r="E535" s="162" t="n">
        <v>42431</v>
      </c>
      <c r="F535" s="162" t="inlineStr">
        <is>
          <t>ALEX GOMEZ</t>
        </is>
      </c>
      <c r="G535" s="162" t="n">
        <v>3010</v>
      </c>
      <c r="H535" s="162" t="n">
        <v>2990</v>
      </c>
      <c r="I535" s="162" t="n">
        <v>2</v>
      </c>
      <c r="J535" s="162" t="n">
        <v>26</v>
      </c>
      <c r="K535" s="487" t="n">
        <v>-8</v>
      </c>
      <c r="L535" s="266" t="n">
        <v>3100</v>
      </c>
      <c r="M535" s="113" t="n"/>
      <c r="N535" s="113" t="n"/>
      <c r="O535" s="113" t="n"/>
      <c r="P535" s="398" t="n"/>
      <c r="Q535" s="398" t="n"/>
      <c r="R535" s="113" t="n"/>
      <c r="S535" s="113" t="n"/>
      <c r="T535" s="113" t="n"/>
      <c r="U535" s="113" t="n"/>
      <c r="V535" s="113" t="n"/>
    </row>
    <row r="536" ht="15.75" customHeight="1">
      <c r="A536" s="146" t="n">
        <v>10</v>
      </c>
      <c r="B536" s="238" t="n"/>
      <c r="C536" s="399" t="n">
        <v>45870</v>
      </c>
      <c r="D536" s="162" t="inlineStr">
        <is>
          <t>219 G. SAN JOSE 2</t>
        </is>
      </c>
      <c r="E536" s="162" t="n">
        <v>42432</v>
      </c>
      <c r="F536" s="162" t="inlineStr">
        <is>
          <t>DIEGO NIÑO</t>
        </is>
      </c>
      <c r="G536" s="162" t="n">
        <v>3010</v>
      </c>
      <c r="H536" s="162" t="n">
        <v>2992</v>
      </c>
      <c r="I536" s="162" t="n">
        <v>1</v>
      </c>
      <c r="J536" s="162" t="n">
        <v>25</v>
      </c>
      <c r="K536" s="487" t="n">
        <v>-8</v>
      </c>
      <c r="L536" s="266" t="n">
        <v>3010</v>
      </c>
      <c r="M536" s="113" t="n"/>
      <c r="N536" s="113" t="n"/>
      <c r="O536" s="113" t="n"/>
      <c r="P536" s="398" t="n"/>
      <c r="Q536" s="398" t="n"/>
      <c r="R536" s="113" t="n"/>
      <c r="S536" s="113" t="n"/>
      <c r="T536" s="113" t="n"/>
      <c r="U536" s="113" t="n"/>
      <c r="V536" s="113" t="n"/>
    </row>
    <row r="537" ht="15.75" customHeight="1">
      <c r="A537" s="146" t="n">
        <v>10</v>
      </c>
      <c r="B537" s="238" t="n"/>
      <c r="C537" s="399" t="n">
        <v>45870</v>
      </c>
      <c r="D537" s="162" t="inlineStr">
        <is>
          <t>219 G. SAN JOSE 2</t>
        </is>
      </c>
      <c r="E537" s="162" t="n">
        <v>42440</v>
      </c>
      <c r="F537" s="162" t="inlineStr">
        <is>
          <t>MANUEL QUITIAN</t>
        </is>
      </c>
      <c r="G537" s="162" t="n">
        <v>3010</v>
      </c>
      <c r="H537" s="162" t="n">
        <v>3014</v>
      </c>
      <c r="I537" s="162" t="n">
        <v>1</v>
      </c>
      <c r="J537" s="162" t="n">
        <v>12</v>
      </c>
      <c r="K537" s="487" t="n">
        <v>-17</v>
      </c>
      <c r="L537" s="266" t="n">
        <v>3010</v>
      </c>
      <c r="M537" s="113" t="n"/>
      <c r="N537" s="113" t="n"/>
      <c r="O537" s="113" t="n"/>
      <c r="P537" s="398" t="n"/>
      <c r="Q537" s="398" t="n"/>
      <c r="R537" s="113" t="n"/>
      <c r="S537" s="113" t="n"/>
      <c r="T537" s="113" t="n"/>
      <c r="U537" s="113" t="n"/>
      <c r="V537" s="113" t="n"/>
    </row>
    <row r="538" ht="15.75" customHeight="1">
      <c r="A538" s="146" t="n">
        <v>10</v>
      </c>
      <c r="B538" s="238" t="n"/>
      <c r="C538" s="399" t="n">
        <v>45870</v>
      </c>
      <c r="D538" s="162" t="inlineStr">
        <is>
          <t>219 G. SAN JOSE 2</t>
        </is>
      </c>
      <c r="E538" s="162" t="n">
        <v>42441</v>
      </c>
      <c r="F538" s="162" t="inlineStr">
        <is>
          <t>WILMER PIÑEROS</t>
        </is>
      </c>
      <c r="G538" s="162" t="n">
        <v>3010</v>
      </c>
      <c r="H538" s="162" t="n">
        <v>3017</v>
      </c>
      <c r="I538" s="162" t="n">
        <v>1</v>
      </c>
      <c r="J538" s="162" t="n">
        <v>10</v>
      </c>
      <c r="K538" s="487" t="n">
        <v>-18</v>
      </c>
      <c r="L538" s="266" t="n">
        <v>3010</v>
      </c>
      <c r="M538" s="113" t="n"/>
      <c r="N538" s="113" t="n"/>
      <c r="O538" s="113" t="n"/>
      <c r="P538" s="398" t="n"/>
      <c r="Q538" s="398" t="n"/>
      <c r="R538" s="113" t="n"/>
      <c r="S538" s="113" t="n"/>
      <c r="T538" s="113" t="n"/>
      <c r="U538" s="113" t="n"/>
      <c r="V538" s="113" t="n"/>
    </row>
    <row r="539" ht="15.75" customHeight="1">
      <c r="A539" s="146" t="n">
        <v>10</v>
      </c>
      <c r="B539" s="238" t="n"/>
      <c r="C539" s="399" t="n">
        <v>45870</v>
      </c>
      <c r="D539" s="162" t="inlineStr">
        <is>
          <t>219 G. SAN JOSE 2</t>
        </is>
      </c>
      <c r="E539" s="162" t="n">
        <v>42442</v>
      </c>
      <c r="F539" s="162" t="inlineStr">
        <is>
          <t>JHON ARIAS</t>
        </is>
      </c>
      <c r="G539" s="162" t="n">
        <v>3000</v>
      </c>
      <c r="H539" s="162" t="n">
        <v>2999</v>
      </c>
      <c r="I539" s="162" t="n">
        <v>2</v>
      </c>
      <c r="J539" s="162" t="n">
        <v>3</v>
      </c>
      <c r="K539" s="487" t="n">
        <v>-4</v>
      </c>
      <c r="L539" s="284" t="n">
        <v>3000</v>
      </c>
      <c r="M539" s="113" t="n"/>
      <c r="N539" s="113" t="n"/>
      <c r="O539" s="113" t="n"/>
      <c r="P539" s="398" t="n"/>
      <c r="Q539" s="398" t="n"/>
      <c r="R539" s="113" t="n"/>
      <c r="S539" s="113" t="n"/>
      <c r="T539" s="113" t="n"/>
      <c r="U539" s="113" t="n"/>
      <c r="V539" s="113" t="n"/>
    </row>
    <row r="540" ht="15.75" customHeight="1">
      <c r="A540" s="146" t="n">
        <v>10</v>
      </c>
      <c r="B540" s="238" t="n"/>
      <c r="C540" s="399" t="n">
        <v>45871</v>
      </c>
      <c r="D540" s="162" t="inlineStr">
        <is>
          <t>219 G. SAN JOSE 2</t>
        </is>
      </c>
      <c r="E540" s="162" t="n">
        <v>42443</v>
      </c>
      <c r="F540" s="162" t="inlineStr">
        <is>
          <t>JHON AGUIRRE</t>
        </is>
      </c>
      <c r="G540" s="162" t="n">
        <v>3000</v>
      </c>
      <c r="H540" s="162" t="n">
        <v>2968</v>
      </c>
      <c r="I540" s="162" t="n">
        <v>4</v>
      </c>
      <c r="J540" s="162" t="n">
        <v>27</v>
      </c>
      <c r="K540" s="487" t="n">
        <v>1</v>
      </c>
      <c r="L540" s="260" t="n">
        <v>3000</v>
      </c>
      <c r="M540" s="113" t="n"/>
      <c r="N540" s="113" t="n"/>
      <c r="O540" s="113" t="n"/>
      <c r="P540" s="398" t="n"/>
      <c r="Q540" s="398" t="n"/>
      <c r="R540" s="113" t="n"/>
      <c r="S540" s="113" t="n"/>
      <c r="T540" s="113" t="n"/>
      <c r="U540" s="113" t="n"/>
      <c r="V540" s="113" t="n"/>
    </row>
    <row r="541" ht="15.75" customHeight="1">
      <c r="A541" s="146" t="n">
        <v>10</v>
      </c>
      <c r="B541" s="238" t="n"/>
      <c r="C541" s="399" t="n">
        <v>45871</v>
      </c>
      <c r="D541" s="162" t="inlineStr">
        <is>
          <t>219 G. SAN JOSE 2</t>
        </is>
      </c>
      <c r="E541" s="162" t="n">
        <v>42444</v>
      </c>
      <c r="F541" s="162" t="inlineStr">
        <is>
          <t>JAIRO CUBILLOS</t>
        </is>
      </c>
      <c r="G541" s="162" t="n">
        <v>3375</v>
      </c>
      <c r="H541" s="162" t="n">
        <v>3342</v>
      </c>
      <c r="I541" s="162" t="n">
        <v>3</v>
      </c>
      <c r="J541" s="162" t="n">
        <v>26</v>
      </c>
      <c r="K541" s="487" t="n">
        <v>4</v>
      </c>
      <c r="L541" s="266" t="n">
        <v>3375</v>
      </c>
      <c r="M541" s="113" t="n"/>
      <c r="N541" s="113" t="n"/>
      <c r="O541" s="113" t="n"/>
      <c r="P541" s="398" t="n"/>
      <c r="Q541" s="398" t="n"/>
      <c r="R541" s="113" t="n"/>
      <c r="S541" s="113" t="n"/>
      <c r="T541" s="113" t="n"/>
      <c r="U541" s="113" t="n"/>
      <c r="V541" s="113" t="n"/>
    </row>
    <row r="542" ht="15.75" customHeight="1">
      <c r="A542" s="146" t="n">
        <v>10</v>
      </c>
      <c r="B542" s="238" t="n"/>
      <c r="C542" s="399" t="n">
        <v>45871</v>
      </c>
      <c r="D542" s="162" t="inlineStr">
        <is>
          <t>219 G. SAN JOSE 2</t>
        </is>
      </c>
      <c r="E542" s="162" t="n">
        <v>42445</v>
      </c>
      <c r="F542" s="162" t="inlineStr">
        <is>
          <t>DUMAR ANGARITA</t>
        </is>
      </c>
      <c r="G542" s="162" t="n">
        <v>3375</v>
      </c>
      <c r="H542" s="162" t="n">
        <v>3335</v>
      </c>
      <c r="I542" s="162" t="n">
        <v>4</v>
      </c>
      <c r="J542" s="162" t="n">
        <v>27</v>
      </c>
      <c r="K542" s="487" t="n">
        <v>9</v>
      </c>
      <c r="L542" s="266" t="n">
        <v>3375</v>
      </c>
      <c r="M542" s="113" t="n"/>
      <c r="N542" s="113" t="n"/>
      <c r="O542" s="113" t="n"/>
      <c r="P542" s="398" t="n"/>
      <c r="Q542" s="398" t="n"/>
      <c r="R542" s="113" t="n"/>
      <c r="S542" s="113" t="n"/>
      <c r="T542" s="113" t="n"/>
      <c r="U542" s="113" t="n"/>
      <c r="V542" s="113" t="n"/>
    </row>
    <row r="543" ht="15.75" customHeight="1">
      <c r="A543" s="146" t="n">
        <v>10</v>
      </c>
      <c r="B543" s="238" t="n"/>
      <c r="C543" s="399" t="n">
        <v>45871</v>
      </c>
      <c r="D543" s="162" t="inlineStr">
        <is>
          <t>219 G. SAN JOSE 2</t>
        </is>
      </c>
      <c r="E543" s="162" t="n">
        <v>42446</v>
      </c>
      <c r="F543" s="162" t="inlineStr">
        <is>
          <t>FERNANDO OYUELA</t>
        </is>
      </c>
      <c r="G543" s="162" t="n">
        <v>3375</v>
      </c>
      <c r="H543" s="162" t="n">
        <v>3366</v>
      </c>
      <c r="I543" s="162" t="n">
        <v>1</v>
      </c>
      <c r="J543" s="162" t="n">
        <v>13</v>
      </c>
      <c r="K543" s="487" t="n">
        <v>-5</v>
      </c>
      <c r="L543" s="266" t="n">
        <v>3375</v>
      </c>
      <c r="M543" s="113" t="n"/>
      <c r="N543" s="113" t="n"/>
      <c r="O543" s="113" t="n"/>
      <c r="P543" s="398" t="n"/>
      <c r="Q543" s="398" t="n"/>
      <c r="R543" s="113" t="n"/>
      <c r="S543" s="113" t="n"/>
      <c r="T543" s="113" t="n"/>
      <c r="U543" s="113" t="n"/>
      <c r="V543" s="113" t="n"/>
    </row>
    <row r="544" ht="15.75" customHeight="1">
      <c r="A544" s="146" t="n">
        <v>10</v>
      </c>
      <c r="B544" s="238" t="n"/>
      <c r="C544" s="399" t="n">
        <v>45871</v>
      </c>
      <c r="D544" s="162" t="inlineStr">
        <is>
          <t>219 G. SAN JOSE 2</t>
        </is>
      </c>
      <c r="E544" s="162" t="n">
        <v>42447</v>
      </c>
      <c r="F544" s="162" t="inlineStr">
        <is>
          <t>JOSE SOLER</t>
        </is>
      </c>
      <c r="G544" s="162" t="n">
        <v>3375</v>
      </c>
      <c r="H544" s="162" t="n">
        <v>3367</v>
      </c>
      <c r="I544" s="162" t="n">
        <v>1</v>
      </c>
      <c r="J544" s="162" t="n">
        <v>12</v>
      </c>
      <c r="K544" s="487" t="n">
        <v>-5</v>
      </c>
      <c r="L544" s="266" t="n">
        <v>3383</v>
      </c>
      <c r="M544" s="113" t="n"/>
      <c r="N544" s="113" t="n"/>
      <c r="O544" s="113" t="n"/>
      <c r="P544" s="398" t="n"/>
      <c r="Q544" s="398" t="n"/>
      <c r="R544" s="113" t="n"/>
      <c r="S544" s="113" t="n"/>
      <c r="T544" s="113" t="n"/>
      <c r="U544" s="113" t="n"/>
      <c r="V544" s="113" t="n"/>
    </row>
    <row r="545" ht="15.75" customHeight="1">
      <c r="A545" s="146" t="n">
        <v>10</v>
      </c>
      <c r="B545" s="238" t="n"/>
      <c r="C545" s="399" t="n">
        <v>45871</v>
      </c>
      <c r="D545" s="162" t="inlineStr">
        <is>
          <t>219 G. SAN JOSE 2</t>
        </is>
      </c>
      <c r="E545" s="162" t="n">
        <v>42448</v>
      </c>
      <c r="F545" s="162" t="inlineStr">
        <is>
          <t>WILMER PIÑEROS</t>
        </is>
      </c>
      <c r="G545" s="162" t="n">
        <v>3383</v>
      </c>
      <c r="H545" s="162" t="n">
        <v>3370</v>
      </c>
      <c r="I545" s="162" t="n">
        <v>3</v>
      </c>
      <c r="J545" s="162" t="n">
        <v>18</v>
      </c>
      <c r="K545" s="487" t="n">
        <v>-8</v>
      </c>
      <c r="L545" s="266" t="n">
        <v>3383</v>
      </c>
      <c r="M545" s="113" t="n"/>
      <c r="N545" s="113" t="n"/>
      <c r="O545" s="113" t="n"/>
      <c r="P545" s="398" t="n"/>
      <c r="Q545" s="398" t="n"/>
      <c r="R545" s="113" t="n"/>
      <c r="S545" s="113" t="n"/>
      <c r="T545" s="113" t="n"/>
      <c r="U545" s="113" t="n"/>
      <c r="V545" s="113" t="n"/>
    </row>
    <row r="546" ht="15.75" customHeight="1">
      <c r="A546" s="146" t="n">
        <v>10</v>
      </c>
      <c r="B546" s="238" t="n"/>
      <c r="C546" s="399" t="n">
        <v>45871</v>
      </c>
      <c r="D546" s="162" t="inlineStr">
        <is>
          <t>219 G. SAN JOSE 2</t>
        </is>
      </c>
      <c r="E546" s="162" t="n">
        <v>42449</v>
      </c>
      <c r="F546" s="162" t="inlineStr">
        <is>
          <t>JHON AGUIRRE</t>
        </is>
      </c>
      <c r="G546" s="162" t="n">
        <v>3383</v>
      </c>
      <c r="H546" s="162" t="n">
        <v>3371</v>
      </c>
      <c r="I546" s="162" t="n">
        <v>3</v>
      </c>
      <c r="J546" s="162" t="n">
        <v>11</v>
      </c>
      <c r="K546" s="487" t="n">
        <v>-2</v>
      </c>
      <c r="L546" s="266" t="n">
        <v>3383</v>
      </c>
      <c r="M546" s="113" t="n"/>
      <c r="N546" s="113" t="n"/>
      <c r="O546" s="113" t="n"/>
      <c r="P546" s="398" t="n"/>
      <c r="Q546" s="398" t="n"/>
      <c r="R546" s="113" t="n"/>
      <c r="S546" s="113" t="n"/>
      <c r="T546" s="113" t="n"/>
      <c r="U546" s="113" t="n"/>
      <c r="V546" s="113" t="n"/>
    </row>
    <row r="547" ht="15.75" customHeight="1">
      <c r="A547" s="146" t="n">
        <v>10</v>
      </c>
      <c r="B547" s="238" t="n"/>
      <c r="C547" s="399" t="n">
        <v>45871</v>
      </c>
      <c r="D547" s="162" t="inlineStr">
        <is>
          <t>219 G. SAN JOSE 2</t>
        </is>
      </c>
      <c r="E547" s="162" t="n">
        <v>42457</v>
      </c>
      <c r="F547" s="162" t="inlineStr">
        <is>
          <t>DUMAR ANGARITA</t>
        </is>
      </c>
      <c r="G547" s="162" t="n">
        <v>3383</v>
      </c>
      <c r="H547" s="162" t="n">
        <v>3375</v>
      </c>
      <c r="I547" s="162" t="n">
        <v>1</v>
      </c>
      <c r="J547" s="162" t="n">
        <v>9</v>
      </c>
      <c r="K547" s="487" t="n">
        <v>-2</v>
      </c>
      <c r="L547" s="266" t="n">
        <v>3383</v>
      </c>
      <c r="M547" s="113" t="n"/>
      <c r="N547" s="113" t="n"/>
      <c r="O547" s="113" t="n"/>
      <c r="P547" s="398" t="n"/>
      <c r="Q547" s="398" t="n"/>
      <c r="R547" s="113" t="n"/>
      <c r="S547" s="113" t="n"/>
      <c r="T547" s="113" t="n"/>
      <c r="U547" s="113" t="n"/>
      <c r="V547" s="113" t="n"/>
    </row>
    <row r="548" ht="15.75" customHeight="1">
      <c r="A548" s="146" t="n">
        <v>10</v>
      </c>
      <c r="B548" s="238" t="n"/>
      <c r="C548" s="399" t="n">
        <v>45871</v>
      </c>
      <c r="D548" s="162" t="inlineStr">
        <is>
          <t>219 G. SAN JOSE 2</t>
        </is>
      </c>
      <c r="E548" s="162" t="n">
        <v>42458</v>
      </c>
      <c r="F548" s="162" t="inlineStr">
        <is>
          <t>JOSE SOLER</t>
        </is>
      </c>
      <c r="G548" s="162" t="n">
        <v>3383</v>
      </c>
      <c r="H548" s="162" t="n">
        <v>3371</v>
      </c>
      <c r="I548" s="162" t="n">
        <v>3</v>
      </c>
      <c r="J548" s="162" t="n">
        <v>13</v>
      </c>
      <c r="K548" s="488" t="n">
        <v>-4</v>
      </c>
      <c r="L548" s="284" t="n">
        <v>3383</v>
      </c>
      <c r="M548" s="113" t="n"/>
      <c r="N548" s="113" t="n"/>
      <c r="O548" s="113" t="n"/>
      <c r="P548" s="398" t="n"/>
      <c r="Q548" s="398" t="n"/>
      <c r="R548" s="113" t="n"/>
      <c r="S548" s="113" t="n"/>
      <c r="T548" s="113" t="n"/>
      <c r="U548" s="113" t="n"/>
      <c r="V548" s="113" t="n"/>
    </row>
    <row r="549" ht="15.75" customHeight="1">
      <c r="A549" s="146" t="n">
        <v>10</v>
      </c>
      <c r="B549" s="238" t="n"/>
      <c r="C549" s="399" t="n"/>
      <c r="D549" s="113" t="n"/>
      <c r="E549" s="113" t="n"/>
      <c r="F549" s="113" t="n"/>
      <c r="G549" s="395">
        <f>SUM(G520:G548)</f>
        <v/>
      </c>
      <c r="H549" s="395">
        <f>SUM(H520:H548)</f>
        <v/>
      </c>
      <c r="I549" s="395">
        <f>SUM(I520:I548)</f>
        <v/>
      </c>
      <c r="J549" s="395">
        <f>SUM(J520:J548)</f>
        <v/>
      </c>
      <c r="K549" s="489">
        <f>SUM(K520:K548)</f>
        <v/>
      </c>
      <c r="L549" s="490">
        <f>SUM(L520:L548)</f>
        <v/>
      </c>
      <c r="M549" s="395">
        <f>L549-G549</f>
        <v/>
      </c>
      <c r="N549" s="113" t="n"/>
      <c r="O549" s="113" t="n"/>
      <c r="P549" s="398" t="n"/>
      <c r="Q549" s="398" t="n"/>
      <c r="R549" s="113" t="n"/>
      <c r="S549" s="113" t="n"/>
      <c r="T549" s="113" t="n"/>
      <c r="U549" s="113" t="n"/>
      <c r="V549" s="113" t="n"/>
    </row>
    <row r="550" ht="15.75" customHeight="1">
      <c r="A550" s="146" t="n">
        <v>11</v>
      </c>
      <c r="B550" s="238" t="n"/>
      <c r="C550" s="399" t="n">
        <v>45873</v>
      </c>
      <c r="D550" s="162" t="inlineStr">
        <is>
          <t>219 G. SAN JOSE 2</t>
        </is>
      </c>
      <c r="E550" s="162" t="n">
        <v>42480</v>
      </c>
      <c r="F550" s="162" t="inlineStr">
        <is>
          <t>YAIR RIVEROS</t>
        </is>
      </c>
      <c r="G550" s="162" t="n">
        <v>2975</v>
      </c>
      <c r="H550" s="162" t="n">
        <v>2966</v>
      </c>
      <c r="I550" s="162" t="n">
        <v>2</v>
      </c>
      <c r="J550" s="162" t="n">
        <v>9</v>
      </c>
      <c r="K550" s="491" t="n">
        <v>-2</v>
      </c>
      <c r="L550" s="295" t="n">
        <v>2975</v>
      </c>
      <c r="M550" s="113" t="n"/>
      <c r="N550" s="113" t="n"/>
      <c r="O550" s="113" t="n"/>
      <c r="P550" s="398" t="n"/>
      <c r="Q550" s="398" t="n"/>
      <c r="R550" s="113" t="n"/>
      <c r="S550" s="113" t="n"/>
      <c r="T550" s="113" t="n"/>
      <c r="U550" s="113" t="n"/>
      <c r="V550" s="113" t="n"/>
    </row>
    <row r="551" ht="15.75" customHeight="1">
      <c r="A551" s="146" t="n">
        <v>11</v>
      </c>
      <c r="B551" s="238" t="n"/>
      <c r="C551" s="399" t="n">
        <v>45873</v>
      </c>
      <c r="D551" s="162" t="inlineStr">
        <is>
          <t>219 G. SAN JOSE 2</t>
        </is>
      </c>
      <c r="E551" s="162" t="n">
        <v>42481</v>
      </c>
      <c r="F551" s="162" t="inlineStr">
        <is>
          <t>ALBERTO LOPEZ</t>
        </is>
      </c>
      <c r="G551" s="162" t="n">
        <v>2975</v>
      </c>
      <c r="H551" s="162" t="n">
        <v>2974</v>
      </c>
      <c r="I551" s="162" t="n">
        <v>2</v>
      </c>
      <c r="J551" s="162" t="n">
        <v>12</v>
      </c>
      <c r="K551" s="487" t="n">
        <v>-13</v>
      </c>
      <c r="L551" s="266" t="n">
        <v>2975</v>
      </c>
      <c r="M551" s="113" t="n"/>
      <c r="N551" s="113" t="n"/>
      <c r="O551" s="113" t="n"/>
      <c r="P551" s="398" t="n"/>
      <c r="Q551" s="398" t="n"/>
      <c r="R551" s="113" t="n"/>
      <c r="S551" s="113" t="n"/>
      <c r="T551" s="113" t="n"/>
      <c r="U551" s="113" t="n"/>
      <c r="V551" s="113" t="n"/>
    </row>
    <row r="552" ht="15.75" customHeight="1">
      <c r="A552" s="146" t="n">
        <v>11</v>
      </c>
      <c r="B552" s="238" t="n"/>
      <c r="C552" s="399" t="n">
        <v>45873</v>
      </c>
      <c r="D552" s="162" t="inlineStr">
        <is>
          <t>219 G. SAN JOSE 2</t>
        </is>
      </c>
      <c r="E552" s="162" t="n">
        <v>42482</v>
      </c>
      <c r="F552" s="162" t="inlineStr">
        <is>
          <t>DIEGO NIÑO</t>
        </is>
      </c>
      <c r="G552" s="162" t="n">
        <v>2975</v>
      </c>
      <c r="H552" s="162" t="n">
        <v>2966</v>
      </c>
      <c r="I552" s="162" t="n">
        <v>3</v>
      </c>
      <c r="J552" s="162" t="n">
        <v>15</v>
      </c>
      <c r="K552" s="487" t="n">
        <v>-9</v>
      </c>
      <c r="L552" s="266" t="n">
        <v>2975</v>
      </c>
      <c r="M552" s="113" t="n"/>
      <c r="N552" s="113" t="n"/>
      <c r="O552" s="113" t="n"/>
      <c r="P552" s="398" t="n"/>
      <c r="Q552" s="398" t="n"/>
      <c r="R552" s="113" t="n"/>
      <c r="S552" s="113" t="n"/>
      <c r="T552" s="113" t="n"/>
      <c r="U552" s="113" t="n"/>
      <c r="V552" s="113" t="n"/>
    </row>
    <row r="553" ht="15.75" customHeight="1">
      <c r="A553" s="146" t="n">
        <v>11</v>
      </c>
      <c r="B553" s="238" t="n"/>
      <c r="C553" s="399" t="n">
        <v>45873</v>
      </c>
      <c r="D553" s="162" t="inlineStr">
        <is>
          <t>219 G. SAN JOSE 2</t>
        </is>
      </c>
      <c r="E553" s="162" t="n">
        <v>42483</v>
      </c>
      <c r="F553" s="162" t="inlineStr">
        <is>
          <t>MANUEL QUITIAN</t>
        </is>
      </c>
      <c r="G553" s="162" t="n">
        <v>2975</v>
      </c>
      <c r="H553" s="162" t="n">
        <v>2963</v>
      </c>
      <c r="I553" s="162" t="n">
        <v>1</v>
      </c>
      <c r="J553" s="162" t="n">
        <v>7</v>
      </c>
      <c r="K553" s="487" t="n">
        <v>4</v>
      </c>
      <c r="L553" s="266" t="n">
        <v>2975</v>
      </c>
      <c r="M553" s="113" t="n"/>
      <c r="N553" s="113" t="n"/>
      <c r="O553" s="113" t="n"/>
      <c r="P553" s="398" t="n"/>
      <c r="Q553" s="398" t="n"/>
      <c r="R553" s="113" t="n"/>
      <c r="S553" s="113" t="n"/>
      <c r="T553" s="113" t="n"/>
      <c r="U553" s="113" t="n"/>
      <c r="V553" s="113" t="n"/>
    </row>
    <row r="554" ht="15.75" customHeight="1">
      <c r="A554" s="146" t="n">
        <v>11</v>
      </c>
      <c r="B554" s="238" t="n"/>
      <c r="C554" s="399" t="n">
        <v>45873</v>
      </c>
      <c r="D554" s="162" t="inlineStr">
        <is>
          <t>219 G. SAN JOSE 2</t>
        </is>
      </c>
      <c r="E554" s="162" t="n">
        <v>42484</v>
      </c>
      <c r="F554" s="162" t="inlineStr">
        <is>
          <t>FABIO ALDANA</t>
        </is>
      </c>
      <c r="G554" s="162" t="n">
        <v>3300</v>
      </c>
      <c r="H554" s="162" t="n">
        <v>3288</v>
      </c>
      <c r="I554" s="162" t="n">
        <v>3</v>
      </c>
      <c r="J554" s="162" t="n">
        <v>7</v>
      </c>
      <c r="K554" s="487" t="n">
        <v>2</v>
      </c>
      <c r="L554" s="266" t="n">
        <v>3300</v>
      </c>
      <c r="M554" s="113" t="n"/>
      <c r="N554" s="113" t="n"/>
      <c r="O554" s="113" t="n"/>
      <c r="P554" s="398" t="n"/>
      <c r="Q554" s="398" t="n"/>
      <c r="R554" s="113" t="n"/>
      <c r="S554" s="113" t="n"/>
      <c r="T554" s="113" t="n"/>
      <c r="U554" s="113" t="n"/>
      <c r="V554" s="113" t="n"/>
    </row>
    <row r="555" ht="15.75" customHeight="1">
      <c r="A555" s="146" t="n">
        <v>11</v>
      </c>
      <c r="B555" s="238" t="n"/>
      <c r="C555" s="399" t="n">
        <v>45873</v>
      </c>
      <c r="D555" s="162" t="inlineStr">
        <is>
          <t>219 G. SAN JOSE 2</t>
        </is>
      </c>
      <c r="E555" s="162" t="n">
        <v>42485</v>
      </c>
      <c r="F555" s="162" t="inlineStr">
        <is>
          <t>JAIRO CUBILLOS</t>
        </is>
      </c>
      <c r="G555" s="162" t="n">
        <v>3300</v>
      </c>
      <c r="H555" s="162" t="n">
        <v>3285</v>
      </c>
      <c r="I555" s="162" t="n">
        <v>2</v>
      </c>
      <c r="J555" s="162" t="n">
        <v>9</v>
      </c>
      <c r="K555" s="487" t="n">
        <v>4</v>
      </c>
      <c r="L555" s="266" t="n">
        <v>3300</v>
      </c>
      <c r="M555" s="113" t="n"/>
      <c r="N555" s="113" t="n"/>
      <c r="O555" s="113" t="n"/>
      <c r="P555" s="398" t="n"/>
      <c r="Q555" s="398" t="n"/>
      <c r="R555" s="113" t="n"/>
      <c r="S555" s="113" t="n"/>
      <c r="T555" s="113" t="n"/>
      <c r="U555" s="113" t="n"/>
      <c r="V555" s="113" t="n"/>
    </row>
    <row r="556" ht="15.75" customHeight="1">
      <c r="A556" s="146" t="n">
        <v>11</v>
      </c>
      <c r="B556" s="238" t="n"/>
      <c r="C556" s="399" t="n">
        <v>45873</v>
      </c>
      <c r="D556" s="162" t="inlineStr">
        <is>
          <t>219 G. SAN JOSE 2</t>
        </is>
      </c>
      <c r="E556" s="162" t="n">
        <v>42486</v>
      </c>
      <c r="F556" s="162" t="inlineStr">
        <is>
          <t>YAIR RIVEROS</t>
        </is>
      </c>
      <c r="G556" s="162" t="n">
        <v>3300</v>
      </c>
      <c r="H556" s="162" t="n">
        <v>3285</v>
      </c>
      <c r="I556" s="162" t="n">
        <v>1</v>
      </c>
      <c r="J556" s="162" t="n">
        <v>7</v>
      </c>
      <c r="K556" s="487" t="n">
        <v>7</v>
      </c>
      <c r="L556" s="266" t="n">
        <v>3300</v>
      </c>
      <c r="M556" s="113" t="n"/>
      <c r="N556" s="113" t="n"/>
      <c r="O556" s="113" t="n"/>
      <c r="P556" s="398" t="n"/>
      <c r="Q556" s="398" t="n"/>
      <c r="R556" s="113" t="n"/>
      <c r="S556" s="113" t="n"/>
      <c r="T556" s="113" t="n"/>
      <c r="U556" s="113" t="n"/>
      <c r="V556" s="113" t="n"/>
    </row>
    <row r="557" ht="15.75" customHeight="1">
      <c r="A557" s="146" t="n">
        <v>11</v>
      </c>
      <c r="B557" s="238" t="n"/>
      <c r="C557" s="399" t="n">
        <v>45873</v>
      </c>
      <c r="D557" s="162" t="inlineStr">
        <is>
          <t>219 G. SAN JOSE 2</t>
        </is>
      </c>
      <c r="E557" s="162" t="n">
        <v>42496</v>
      </c>
      <c r="F557" s="162" t="inlineStr">
        <is>
          <t>DIEGO NIÑO</t>
        </is>
      </c>
      <c r="G557" s="162" t="n">
        <v>3300</v>
      </c>
      <c r="H557" s="162" t="n">
        <v>3266</v>
      </c>
      <c r="I557" s="162" t="n">
        <v>4</v>
      </c>
      <c r="J557" s="162" t="n">
        <v>15</v>
      </c>
      <c r="K557" s="487" t="n">
        <v>15</v>
      </c>
      <c r="L557" s="266" t="n">
        <v>3300</v>
      </c>
      <c r="M557" s="113" t="n"/>
      <c r="N557" s="113" t="n"/>
      <c r="O557" s="113" t="n"/>
      <c r="P557" s="398" t="n"/>
      <c r="Q557" s="398" t="n"/>
      <c r="R557" s="113" t="n"/>
      <c r="S557" s="113" t="n"/>
      <c r="T557" s="113" t="n"/>
      <c r="U557" s="113" t="n"/>
      <c r="V557" s="113" t="n"/>
    </row>
    <row r="558" ht="15.75" customHeight="1">
      <c r="A558" s="146" t="n">
        <v>11</v>
      </c>
      <c r="B558" s="238" t="n"/>
      <c r="C558" s="399" t="n">
        <v>45873</v>
      </c>
      <c r="D558" s="162" t="inlineStr">
        <is>
          <t>219 G. SAN JOSE 2</t>
        </is>
      </c>
      <c r="E558" s="162" t="n">
        <v>42497</v>
      </c>
      <c r="F558" s="162" t="inlineStr">
        <is>
          <t>FABIO ALDANA</t>
        </is>
      </c>
      <c r="G558" s="162" t="n">
        <v>2833</v>
      </c>
      <c r="H558" s="162" t="n">
        <v>2826</v>
      </c>
      <c r="I558" s="162" t="n">
        <v>3</v>
      </c>
      <c r="J558" s="162" t="n">
        <v>13</v>
      </c>
      <c r="K558" s="487" t="n">
        <v>-9</v>
      </c>
      <c r="L558" s="266" t="n">
        <v>2823</v>
      </c>
      <c r="M558" s="113" t="n"/>
      <c r="N558" s="113" t="n"/>
      <c r="O558" s="113" t="n"/>
      <c r="P558" s="398" t="n"/>
      <c r="Q558" s="398" t="n"/>
      <c r="R558" s="113" t="n"/>
      <c r="S558" s="113" t="n"/>
      <c r="T558" s="113" t="n"/>
      <c r="U558" s="113" t="n"/>
      <c r="V558" s="113" t="n"/>
    </row>
    <row r="559" ht="15.75" customHeight="1">
      <c r="A559" s="146" t="n">
        <v>11</v>
      </c>
      <c r="B559" s="238" t="n"/>
      <c r="C559" s="399" t="n">
        <v>45873</v>
      </c>
      <c r="D559" s="162" t="inlineStr">
        <is>
          <t>219 G. SAN JOSE 2</t>
        </is>
      </c>
      <c r="E559" s="162" t="n">
        <v>42498</v>
      </c>
      <c r="F559" s="162" t="inlineStr">
        <is>
          <t>ALEX GOMEZ</t>
        </is>
      </c>
      <c r="G559" s="162" t="n">
        <v>2833</v>
      </c>
      <c r="H559" s="162" t="n">
        <v>2828</v>
      </c>
      <c r="I559" s="162" t="n">
        <v>3</v>
      </c>
      <c r="J559" s="162" t="n">
        <v>11</v>
      </c>
      <c r="K559" s="487" t="n">
        <v>-9</v>
      </c>
      <c r="L559" s="266" t="n">
        <v>2823</v>
      </c>
      <c r="M559" s="113" t="n"/>
      <c r="N559" s="113" t="n"/>
      <c r="O559" s="113" t="n"/>
      <c r="P559" s="398" t="n"/>
      <c r="Q559" s="398" t="n"/>
      <c r="R559" s="113" t="n"/>
      <c r="S559" s="113" t="n"/>
      <c r="T559" s="113" t="n"/>
      <c r="U559" s="113" t="n"/>
      <c r="V559" s="113" t="n"/>
    </row>
    <row r="560" ht="15.75" customHeight="1">
      <c r="A560" s="146" t="n">
        <v>11</v>
      </c>
      <c r="B560" s="238" t="n"/>
      <c r="C560" s="399" t="n">
        <v>45873</v>
      </c>
      <c r="D560" s="162" t="inlineStr">
        <is>
          <t>219 G. SAN JOSE 2</t>
        </is>
      </c>
      <c r="E560" s="162" t="n">
        <v>42499</v>
      </c>
      <c r="F560" s="162" t="inlineStr">
        <is>
          <t>EDWIN ROJAS</t>
        </is>
      </c>
      <c r="G560" s="162" t="n">
        <v>2833</v>
      </c>
      <c r="H560" s="162" t="n">
        <v>2825</v>
      </c>
      <c r="I560" s="162" t="n">
        <v>3</v>
      </c>
      <c r="J560" s="162" t="n">
        <v>7</v>
      </c>
      <c r="K560" s="487" t="n">
        <v>-2</v>
      </c>
      <c r="L560" s="318" t="n">
        <v>2833</v>
      </c>
      <c r="M560" s="113" t="n"/>
      <c r="N560" s="113" t="n"/>
      <c r="O560" s="113" t="n"/>
      <c r="P560" s="398" t="n"/>
      <c r="Q560" s="398" t="n"/>
      <c r="R560" s="113" t="n"/>
      <c r="S560" s="113" t="n"/>
      <c r="T560" s="113" t="n"/>
      <c r="U560" s="113" t="n"/>
      <c r="V560" s="113" t="n"/>
    </row>
    <row r="561" ht="15.75" customHeight="1">
      <c r="A561" s="146" t="n">
        <v>11</v>
      </c>
      <c r="B561" s="238" t="n"/>
      <c r="C561" s="399" t="n">
        <v>45874</v>
      </c>
      <c r="D561" s="162" t="inlineStr">
        <is>
          <t>221 G. MALAGUEÑA</t>
        </is>
      </c>
      <c r="E561" s="162" t="n">
        <v>42510</v>
      </c>
      <c r="F561" s="162" t="inlineStr">
        <is>
          <t>WILMER PIÑEROS</t>
        </is>
      </c>
      <c r="G561" s="162" t="n">
        <v>2671</v>
      </c>
      <c r="H561" s="162" t="n">
        <v>2650</v>
      </c>
      <c r="I561" s="162" t="n">
        <v>2</v>
      </c>
      <c r="J561" s="162" t="n">
        <v>5</v>
      </c>
      <c r="K561" s="487" t="n">
        <v>14</v>
      </c>
      <c r="L561" s="260" t="n">
        <v>2671</v>
      </c>
      <c r="M561" s="113" t="n"/>
      <c r="N561" s="113" t="n"/>
      <c r="O561" s="113" t="n"/>
      <c r="P561" s="398" t="n"/>
      <c r="Q561" s="398" t="n"/>
      <c r="R561" s="113" t="n"/>
      <c r="S561" s="113" t="n"/>
      <c r="T561" s="113" t="n"/>
      <c r="U561" s="113" t="n"/>
      <c r="V561" s="113" t="n"/>
    </row>
    <row r="562" ht="15.75" customHeight="1">
      <c r="A562" s="146" t="n">
        <v>11</v>
      </c>
      <c r="B562" s="238" t="n"/>
      <c r="C562" s="399" t="n">
        <v>45874</v>
      </c>
      <c r="D562" s="162" t="inlineStr">
        <is>
          <t>221 G. MALAGUEÑA</t>
        </is>
      </c>
      <c r="E562" s="162" t="n">
        <v>42511</v>
      </c>
      <c r="F562" s="162" t="inlineStr">
        <is>
          <t>YAIR RIVEROS</t>
        </is>
      </c>
      <c r="G562" s="162" t="n">
        <v>2671</v>
      </c>
      <c r="H562" s="162" t="n">
        <v>2648</v>
      </c>
      <c r="I562" s="162" t="n">
        <v>2</v>
      </c>
      <c r="J562" s="162" t="n">
        <v>7</v>
      </c>
      <c r="K562" s="487" t="n">
        <v>14</v>
      </c>
      <c r="L562" s="266" t="n">
        <v>2671</v>
      </c>
      <c r="M562" s="113" t="n"/>
      <c r="N562" s="113" t="n"/>
      <c r="O562" s="113" t="n"/>
      <c r="P562" s="398" t="n"/>
      <c r="Q562" s="398" t="n"/>
      <c r="R562" s="113" t="n"/>
      <c r="S562" s="113" t="n"/>
      <c r="T562" s="113" t="n"/>
      <c r="U562" s="113" t="n"/>
      <c r="V562" s="113" t="n"/>
    </row>
    <row r="563" ht="15.75" customHeight="1">
      <c r="A563" s="146" t="n">
        <v>11</v>
      </c>
      <c r="B563" s="238" t="n"/>
      <c r="C563" s="399" t="n">
        <v>45874</v>
      </c>
      <c r="D563" s="162" t="inlineStr">
        <is>
          <t>221 G. MALAGUEÑA</t>
        </is>
      </c>
      <c r="E563" s="162" t="n">
        <v>42512</v>
      </c>
      <c r="F563" s="162" t="inlineStr">
        <is>
          <t>ALBERTO LOPEZ</t>
        </is>
      </c>
      <c r="G563" s="162" t="n">
        <v>2937</v>
      </c>
      <c r="H563" s="162" t="n">
        <v>2926</v>
      </c>
      <c r="I563" s="162" t="n">
        <v>2</v>
      </c>
      <c r="J563" s="162" t="n">
        <v>16</v>
      </c>
      <c r="K563" s="487" t="n">
        <v>-7</v>
      </c>
      <c r="L563" s="266" t="n">
        <v>2937</v>
      </c>
      <c r="M563" s="113" t="n"/>
      <c r="N563" s="113" t="n"/>
      <c r="O563" s="113" t="n"/>
      <c r="P563" s="398" t="n"/>
      <c r="Q563" s="398" t="n"/>
      <c r="R563" s="113" t="n"/>
      <c r="S563" s="113" t="n"/>
      <c r="T563" s="113" t="n"/>
      <c r="U563" s="113" t="n"/>
      <c r="V563" s="113" t="n"/>
    </row>
    <row r="564" ht="15.75" customHeight="1">
      <c r="A564" s="146" t="n">
        <v>11</v>
      </c>
      <c r="B564" s="238" t="n"/>
      <c r="C564" s="399" t="n">
        <v>45874</v>
      </c>
      <c r="D564" s="162" t="inlineStr">
        <is>
          <t>221 G. MALAGUEÑA</t>
        </is>
      </c>
      <c r="E564" s="162" t="n">
        <v>42513</v>
      </c>
      <c r="F564" s="162" t="inlineStr">
        <is>
          <t>FERNANDO OYUELA</t>
        </is>
      </c>
      <c r="G564" s="162" t="n">
        <v>2937</v>
      </c>
      <c r="H564" s="162" t="n">
        <v>2912</v>
      </c>
      <c r="I564" s="162" t="n">
        <v>3</v>
      </c>
      <c r="J564" s="162" t="n">
        <v>21</v>
      </c>
      <c r="K564" s="487" t="n">
        <v>1</v>
      </c>
      <c r="L564" s="266" t="n">
        <v>2937</v>
      </c>
      <c r="M564" s="113" t="n"/>
      <c r="N564" s="113" t="n"/>
      <c r="O564" s="113" t="n"/>
      <c r="P564" s="398" t="n"/>
      <c r="Q564" s="398" t="n"/>
      <c r="R564" s="113" t="n"/>
      <c r="S564" s="113" t="n"/>
      <c r="T564" s="113" t="n"/>
      <c r="U564" s="113" t="n"/>
      <c r="V564" s="113" t="n"/>
    </row>
    <row r="565" ht="15.75" customHeight="1">
      <c r="A565" s="146" t="n">
        <v>11</v>
      </c>
      <c r="B565" s="238" t="n"/>
      <c r="C565" s="399" t="n">
        <v>45874</v>
      </c>
      <c r="D565" s="162" t="inlineStr">
        <is>
          <t>221 G. MALAGUEÑA</t>
        </is>
      </c>
      <c r="E565" s="162" t="n">
        <v>42514</v>
      </c>
      <c r="F565" s="162" t="inlineStr">
        <is>
          <t>DUMAR ANGARITA</t>
        </is>
      </c>
      <c r="G565" s="162" t="n">
        <v>2937</v>
      </c>
      <c r="H565" s="162" t="n">
        <v>2913</v>
      </c>
      <c r="I565" s="162" t="n">
        <v>3</v>
      </c>
      <c r="J565" s="162" t="n">
        <v>20</v>
      </c>
      <c r="K565" s="487" t="n">
        <v>1</v>
      </c>
      <c r="L565" s="266" t="n">
        <v>2937</v>
      </c>
      <c r="M565" s="113" t="n"/>
      <c r="N565" s="113" t="n"/>
      <c r="O565" s="113" t="n"/>
      <c r="P565" s="398" t="n"/>
      <c r="Q565" s="398" t="n"/>
      <c r="R565" s="113" t="n"/>
      <c r="S565" s="113" t="n"/>
      <c r="T565" s="113" t="n"/>
      <c r="U565" s="113" t="n"/>
      <c r="V565" s="113" t="n"/>
    </row>
    <row r="566" ht="15.75" customHeight="1">
      <c r="A566" s="146" t="n">
        <v>11</v>
      </c>
      <c r="B566" s="238" t="n"/>
      <c r="C566" s="399" t="n">
        <v>45874</v>
      </c>
      <c r="D566" s="162" t="inlineStr">
        <is>
          <t>221 G. MALAGUEÑA</t>
        </is>
      </c>
      <c r="E566" s="162" t="n">
        <v>42515</v>
      </c>
      <c r="F566" s="162" t="inlineStr">
        <is>
          <t>ALEX GOMEZ</t>
        </is>
      </c>
      <c r="G566" s="162" t="n">
        <v>2937</v>
      </c>
      <c r="H566" s="162" t="n">
        <v>2911</v>
      </c>
      <c r="I566" s="162" t="n">
        <v>2</v>
      </c>
      <c r="J566" s="162" t="n">
        <v>24</v>
      </c>
      <c r="K566" s="487" t="n">
        <v>0</v>
      </c>
      <c r="L566" s="266" t="n">
        <v>2937</v>
      </c>
      <c r="M566" s="113" t="n"/>
      <c r="N566" s="113" t="n"/>
      <c r="O566" s="113" t="n"/>
      <c r="P566" s="398" t="n"/>
      <c r="Q566" s="398" t="n"/>
      <c r="R566" s="113" t="n"/>
      <c r="S566" s="113" t="n"/>
      <c r="T566" s="113" t="n"/>
      <c r="U566" s="113" t="n"/>
      <c r="V566" s="113" t="n"/>
    </row>
    <row r="567" ht="15.75" customHeight="1">
      <c r="A567" s="146" t="n">
        <v>11</v>
      </c>
      <c r="B567" s="238" t="n"/>
      <c r="C567" s="399" t="n">
        <v>45874</v>
      </c>
      <c r="D567" s="162" t="inlineStr">
        <is>
          <t>221 G. MALAGUEÑA</t>
        </is>
      </c>
      <c r="E567" s="162" t="n">
        <v>42516</v>
      </c>
      <c r="F567" s="162" t="inlineStr">
        <is>
          <t>HENRY ROMERO</t>
        </is>
      </c>
      <c r="G567" s="162" t="n">
        <v>2937</v>
      </c>
      <c r="H567" s="162" t="n">
        <v>2916</v>
      </c>
      <c r="I567" s="162" t="n">
        <v>3</v>
      </c>
      <c r="J567" s="162" t="n">
        <v>18</v>
      </c>
      <c r="K567" s="487" t="n">
        <v>0</v>
      </c>
      <c r="L567" s="266" t="n">
        <v>2937</v>
      </c>
      <c r="M567" s="113" t="n"/>
      <c r="N567" s="113" t="n"/>
      <c r="O567" s="113" t="n"/>
      <c r="P567" s="398" t="n"/>
      <c r="Q567" s="398" t="n"/>
      <c r="R567" s="113" t="n"/>
      <c r="S567" s="113" t="n"/>
      <c r="T567" s="113" t="n"/>
      <c r="U567" s="113" t="n"/>
      <c r="V567" s="113" t="n"/>
    </row>
    <row r="568" ht="15.75" customHeight="1">
      <c r="A568" s="146" t="n">
        <v>11</v>
      </c>
      <c r="B568" s="238" t="n"/>
      <c r="C568" s="399" t="n">
        <v>45874</v>
      </c>
      <c r="D568" s="162" t="inlineStr">
        <is>
          <t>219 G. SAN JOSE 2</t>
        </is>
      </c>
      <c r="E568" s="162" t="n">
        <v>42528</v>
      </c>
      <c r="F568" s="162" t="inlineStr">
        <is>
          <t>FERNANDO OYUELA</t>
        </is>
      </c>
      <c r="G568" s="162" t="n">
        <v>3400</v>
      </c>
      <c r="H568" s="162" t="n">
        <v>3389</v>
      </c>
      <c r="I568" s="162" t="n">
        <v>3</v>
      </c>
      <c r="J568" s="162" t="n">
        <v>6</v>
      </c>
      <c r="K568" s="487" t="n">
        <v>2</v>
      </c>
      <c r="L568" s="266" t="n">
        <v>3400</v>
      </c>
      <c r="M568" s="113" t="n"/>
      <c r="N568" s="113" t="n"/>
      <c r="O568" s="113" t="n"/>
      <c r="P568" s="398" t="n"/>
      <c r="Q568" s="398" t="n"/>
      <c r="R568" s="113" t="n"/>
      <c r="S568" s="113" t="n"/>
      <c r="T568" s="113" t="n"/>
      <c r="U568" s="113" t="n"/>
      <c r="V568" s="113" t="n"/>
    </row>
    <row r="569" ht="15.75" customHeight="1">
      <c r="A569" s="146" t="n">
        <v>11</v>
      </c>
      <c r="B569" s="238" t="n"/>
      <c r="C569" s="399" t="n">
        <v>45874</v>
      </c>
      <c r="D569" s="162" t="inlineStr">
        <is>
          <t>219 G. SAN JOSE 2</t>
        </is>
      </c>
      <c r="E569" s="162" t="n">
        <v>42529</v>
      </c>
      <c r="F569" s="162" t="inlineStr">
        <is>
          <t>DUMAR ANGARITA</t>
        </is>
      </c>
      <c r="G569" s="162" t="n">
        <v>3400</v>
      </c>
      <c r="H569" s="162" t="n">
        <v>3383</v>
      </c>
      <c r="I569" s="162" t="n">
        <v>3</v>
      </c>
      <c r="J569" s="162" t="n">
        <v>9</v>
      </c>
      <c r="K569" s="487" t="n">
        <v>5</v>
      </c>
      <c r="L569" s="266" t="n">
        <v>3400</v>
      </c>
      <c r="M569" s="113" t="n"/>
      <c r="N569" s="113" t="n"/>
      <c r="O569" s="113" t="n"/>
      <c r="P569" s="398" t="n"/>
      <c r="Q569" s="398" t="n"/>
      <c r="R569" s="113" t="n"/>
      <c r="S569" s="113" t="n"/>
      <c r="T569" s="113" t="n"/>
      <c r="U569" s="113" t="n"/>
      <c r="V569" s="113" t="n"/>
    </row>
    <row r="570" ht="15.75" customHeight="1">
      <c r="A570" s="146" t="n">
        <v>11</v>
      </c>
      <c r="B570" s="238" t="n"/>
      <c r="C570" s="399" t="n">
        <v>45874</v>
      </c>
      <c r="D570" s="162" t="inlineStr">
        <is>
          <t>219 G. SAN JOSE 2</t>
        </is>
      </c>
      <c r="E570" s="162" t="n">
        <v>42530</v>
      </c>
      <c r="F570" s="162" t="inlineStr">
        <is>
          <t>ALEX GOMEZ</t>
        </is>
      </c>
      <c r="G570" s="162" t="n">
        <v>2833</v>
      </c>
      <c r="H570" s="162" t="n">
        <v>2819</v>
      </c>
      <c r="I570" s="162" t="n">
        <v>1</v>
      </c>
      <c r="J570" s="162" t="n">
        <v>8</v>
      </c>
      <c r="K570" s="487" t="n">
        <v>5</v>
      </c>
      <c r="L570" s="266" t="n">
        <v>2833</v>
      </c>
      <c r="M570" s="113" t="n"/>
      <c r="N570" s="113" t="n"/>
      <c r="O570" s="113" t="n"/>
      <c r="P570" s="398" t="n"/>
      <c r="Q570" s="398" t="n"/>
      <c r="R570" s="113" t="n"/>
      <c r="S570" s="113" t="n"/>
      <c r="T570" s="113" t="n"/>
      <c r="U570" s="113" t="n"/>
      <c r="V570" s="113" t="n"/>
    </row>
    <row r="571" ht="15.75" customHeight="1">
      <c r="A571" s="146" t="n">
        <v>11</v>
      </c>
      <c r="B571" s="238" t="n"/>
      <c r="C571" s="399" t="n">
        <v>45874</v>
      </c>
      <c r="D571" s="162" t="inlineStr">
        <is>
          <t>219 G. SAN JOSE 2</t>
        </is>
      </c>
      <c r="E571" s="162" t="n">
        <v>42531</v>
      </c>
      <c r="F571" s="162" t="inlineStr">
        <is>
          <t>FABIO ALDANA</t>
        </is>
      </c>
      <c r="G571" s="162" t="n">
        <v>2833</v>
      </c>
      <c r="H571" s="162" t="n">
        <v>2654</v>
      </c>
      <c r="I571" s="162" t="n">
        <v>1</v>
      </c>
      <c r="J571" s="162" t="n">
        <v>7</v>
      </c>
      <c r="K571" s="487" t="n">
        <v>171</v>
      </c>
      <c r="L571" s="266" t="n">
        <v>2833</v>
      </c>
      <c r="M571" s="113" t="n"/>
      <c r="N571" s="113" t="n"/>
      <c r="O571" s="113" t="n"/>
      <c r="P571" s="398" t="n"/>
      <c r="Q571" s="398" t="n"/>
      <c r="R571" s="113" t="n"/>
      <c r="S571" s="113" t="n"/>
      <c r="T571" s="113" t="n"/>
      <c r="U571" s="113" t="n"/>
      <c r="V571" s="113" t="n"/>
    </row>
    <row r="572" ht="15.75" customHeight="1">
      <c r="A572" s="146" t="n">
        <v>11</v>
      </c>
      <c r="B572" s="238" t="n"/>
      <c r="C572" s="399" t="n">
        <v>45874</v>
      </c>
      <c r="D572" s="162" t="inlineStr">
        <is>
          <t>219 G. SAN JOSE 2</t>
        </is>
      </c>
      <c r="E572" s="162" t="n">
        <v>42532</v>
      </c>
      <c r="F572" s="162" t="inlineStr">
        <is>
          <t>JHON AGUIRRE</t>
        </is>
      </c>
      <c r="G572" s="162" t="n">
        <v>2833</v>
      </c>
      <c r="H572" s="162" t="n">
        <v>2651</v>
      </c>
      <c r="I572" s="162" t="n">
        <v>3</v>
      </c>
      <c r="J572" s="162" t="n">
        <v>9</v>
      </c>
      <c r="K572" s="487" t="n">
        <v>170</v>
      </c>
      <c r="L572" s="318" t="n">
        <v>2833</v>
      </c>
      <c r="M572" s="113" t="n"/>
      <c r="N572" s="113" t="n"/>
      <c r="O572" s="113" t="n"/>
      <c r="P572" s="398" t="n"/>
      <c r="Q572" s="398" t="n"/>
      <c r="R572" s="113" t="n"/>
      <c r="S572" s="113" t="n"/>
      <c r="T572" s="113" t="n"/>
      <c r="U572" s="113" t="n"/>
      <c r="V572" s="113" t="n"/>
    </row>
    <row r="573" ht="15.75" customHeight="1">
      <c r="A573" s="146" t="n">
        <v>11</v>
      </c>
      <c r="B573" s="238" t="n"/>
      <c r="C573" s="399" t="n">
        <v>45875</v>
      </c>
      <c r="D573" s="162" t="inlineStr">
        <is>
          <t>221 G. MALAGUEÑA</t>
        </is>
      </c>
      <c r="E573" s="162" t="n">
        <v>42539</v>
      </c>
      <c r="F573" s="162" t="inlineStr">
        <is>
          <t>ALBERTO HERRERA</t>
        </is>
      </c>
      <c r="G573" s="162" t="n">
        <v>3188</v>
      </c>
      <c r="H573" s="162" t="n">
        <v>2911</v>
      </c>
      <c r="I573" s="162" t="n">
        <v>2</v>
      </c>
      <c r="J573" s="162" t="n">
        <v>18</v>
      </c>
      <c r="K573" s="487" t="n">
        <v>257</v>
      </c>
      <c r="L573" s="260" t="n">
        <v>2928</v>
      </c>
      <c r="M573" s="113" t="n"/>
      <c r="N573" s="113" t="n"/>
      <c r="O573" s="113" t="n"/>
      <c r="P573" s="398" t="n"/>
      <c r="Q573" s="398" t="n"/>
      <c r="R573" s="113" t="n"/>
      <c r="S573" s="113" t="n"/>
      <c r="T573" s="113" t="n"/>
      <c r="U573" s="113" t="n"/>
      <c r="V573" s="113" t="n"/>
    </row>
    <row r="574" ht="15.75" customHeight="1">
      <c r="A574" s="146" t="n">
        <v>11</v>
      </c>
      <c r="B574" s="238" t="n"/>
      <c r="C574" s="399" t="n">
        <v>45875</v>
      </c>
      <c r="D574" s="162" t="inlineStr">
        <is>
          <t>221 G. MALAGUEÑA</t>
        </is>
      </c>
      <c r="E574" s="162" t="n">
        <v>42540</v>
      </c>
      <c r="F574" s="162" t="inlineStr">
        <is>
          <t>JHON ARIAS</t>
        </is>
      </c>
      <c r="G574" s="162" t="n">
        <v>3188</v>
      </c>
      <c r="H574" s="162" t="n">
        <v>3420</v>
      </c>
      <c r="I574" s="162" t="n">
        <v>4</v>
      </c>
      <c r="J574" s="162" t="n">
        <v>12</v>
      </c>
      <c r="K574" s="487" t="n">
        <v>-248</v>
      </c>
      <c r="L574" s="266" t="n">
        <v>3448</v>
      </c>
      <c r="M574" s="113" t="n"/>
      <c r="N574" s="113" t="n"/>
      <c r="O574" s="113" t="n"/>
      <c r="P574" s="398" t="n"/>
      <c r="Q574" s="398" t="n"/>
      <c r="R574" s="113" t="n"/>
      <c r="S574" s="113" t="n"/>
      <c r="T574" s="113" t="n"/>
      <c r="U574" s="113" t="n"/>
      <c r="V574" s="113" t="n"/>
    </row>
    <row r="575" ht="15.75" customHeight="1">
      <c r="A575" s="146" t="n">
        <v>11</v>
      </c>
      <c r="B575" s="238" t="n"/>
      <c r="C575" s="399" t="n">
        <v>45875</v>
      </c>
      <c r="D575" s="162" t="inlineStr">
        <is>
          <t>221 G. MALAGUEÑA</t>
        </is>
      </c>
      <c r="E575" s="162" t="n">
        <v>42541</v>
      </c>
      <c r="F575" s="162" t="inlineStr">
        <is>
          <t>DIEGO NIÑO</t>
        </is>
      </c>
      <c r="G575" s="162" t="n">
        <v>3188</v>
      </c>
      <c r="H575" s="162" t="n">
        <v>3166</v>
      </c>
      <c r="I575" s="162" t="n">
        <v>5</v>
      </c>
      <c r="J575" s="162" t="n">
        <v>13</v>
      </c>
      <c r="K575" s="487" t="n">
        <v>4</v>
      </c>
      <c r="L575" s="266" t="n">
        <v>3188</v>
      </c>
      <c r="M575" s="113" t="n"/>
      <c r="N575" s="113" t="n"/>
      <c r="O575" s="113" t="n"/>
      <c r="P575" s="398" t="n"/>
      <c r="Q575" s="398" t="n"/>
      <c r="R575" s="113" t="n"/>
      <c r="S575" s="113" t="n"/>
      <c r="T575" s="113" t="n"/>
      <c r="U575" s="113" t="n"/>
      <c r="V575" s="113" t="n"/>
    </row>
    <row r="576" ht="15.75" customHeight="1">
      <c r="A576" s="146" t="n">
        <v>11</v>
      </c>
      <c r="B576" s="238" t="n"/>
      <c r="C576" s="399" t="n">
        <v>45875</v>
      </c>
      <c r="D576" s="162" t="inlineStr">
        <is>
          <t>221 G. MALAGUEÑA</t>
        </is>
      </c>
      <c r="E576" s="162" t="n">
        <v>42542</v>
      </c>
      <c r="F576" s="162" t="inlineStr">
        <is>
          <t>FABIO ALDANA</t>
        </is>
      </c>
      <c r="G576" s="162" t="n">
        <v>3188</v>
      </c>
      <c r="H576" s="162" t="n">
        <v>3168</v>
      </c>
      <c r="I576" s="162" t="n">
        <v>3</v>
      </c>
      <c r="J576" s="162" t="n">
        <v>12</v>
      </c>
      <c r="K576" s="487" t="n">
        <v>5</v>
      </c>
      <c r="L576" s="266" t="n">
        <v>3188</v>
      </c>
      <c r="M576" s="113" t="n"/>
      <c r="N576" s="113" t="n"/>
      <c r="O576" s="113" t="n"/>
      <c r="P576" s="398" t="n"/>
      <c r="Q576" s="398" t="n"/>
      <c r="R576" s="113" t="n"/>
      <c r="S576" s="113" t="n"/>
      <c r="T576" s="113" t="n"/>
      <c r="U576" s="113" t="n"/>
      <c r="V576" s="113" t="n"/>
    </row>
    <row r="577" ht="15.75" customHeight="1">
      <c r="A577" s="146" t="n">
        <v>11</v>
      </c>
      <c r="B577" s="238" t="n"/>
      <c r="C577" s="399" t="n">
        <v>45875</v>
      </c>
      <c r="D577" s="162" t="inlineStr">
        <is>
          <t>221 G. MALAGUEÑA</t>
        </is>
      </c>
      <c r="E577" s="162" t="n">
        <v>42543</v>
      </c>
      <c r="F577" s="162" t="inlineStr">
        <is>
          <t>JOSE SOLER</t>
        </is>
      </c>
      <c r="G577" s="162" t="n">
        <v>2916</v>
      </c>
      <c r="H577" s="162" t="n">
        <v>2909</v>
      </c>
      <c r="I577" s="162" t="n">
        <v>1</v>
      </c>
      <c r="J577" s="162" t="n">
        <v>11</v>
      </c>
      <c r="K577" s="487" t="n">
        <v>-5</v>
      </c>
      <c r="L577" s="266" t="n">
        <v>2932</v>
      </c>
      <c r="M577" s="113" t="n"/>
      <c r="N577" s="113" t="n"/>
      <c r="O577" s="113" t="n"/>
      <c r="P577" s="398" t="n"/>
      <c r="Q577" s="398" t="n"/>
      <c r="R577" s="113" t="n"/>
      <c r="S577" s="113" t="n"/>
      <c r="T577" s="113" t="n"/>
      <c r="U577" s="113" t="n"/>
      <c r="V577" s="113" t="n"/>
    </row>
    <row r="578" ht="15.75" customHeight="1">
      <c r="A578" s="146" t="n">
        <v>11</v>
      </c>
      <c r="B578" s="238" t="n"/>
      <c r="C578" s="399" t="n">
        <v>45875</v>
      </c>
      <c r="D578" s="162" t="inlineStr">
        <is>
          <t>219 G. SAN JOSE 2</t>
        </is>
      </c>
      <c r="E578" s="162" t="n">
        <v>42548</v>
      </c>
      <c r="F578" s="162" t="inlineStr">
        <is>
          <t>YAIR RIVEROS</t>
        </is>
      </c>
      <c r="G578" s="162" t="n">
        <v>3292</v>
      </c>
      <c r="H578" s="162" t="n">
        <v>3276</v>
      </c>
      <c r="I578" s="162" t="n">
        <v>3</v>
      </c>
      <c r="J578" s="162" t="n">
        <v>11</v>
      </c>
      <c r="K578" s="487" t="n">
        <v>2</v>
      </c>
      <c r="L578" s="266" t="n">
        <v>3292</v>
      </c>
      <c r="M578" s="113" t="n"/>
      <c r="N578" s="113" t="n"/>
      <c r="O578" s="113" t="n"/>
      <c r="P578" s="398" t="n"/>
      <c r="Q578" s="398" t="n"/>
      <c r="R578" s="113" t="n"/>
      <c r="S578" s="113" t="n"/>
      <c r="T578" s="113" t="n"/>
      <c r="U578" s="113" t="n"/>
      <c r="V578" s="113" t="n"/>
    </row>
    <row r="579" ht="15.75" customHeight="1">
      <c r="A579" s="146" t="n">
        <v>11</v>
      </c>
      <c r="B579" s="238" t="n"/>
      <c r="C579" s="399" t="n">
        <v>45875</v>
      </c>
      <c r="D579" s="162" t="inlineStr">
        <is>
          <t>219 G. SAN JOSE 2</t>
        </is>
      </c>
      <c r="E579" s="162" t="n">
        <v>42549</v>
      </c>
      <c r="F579" s="162" t="inlineStr">
        <is>
          <t>WILMER PIÑEROS</t>
        </is>
      </c>
      <c r="G579" s="162" t="n">
        <v>3292</v>
      </c>
      <c r="H579" s="162" t="n">
        <v>3274</v>
      </c>
      <c r="I579" s="162" t="n">
        <v>4</v>
      </c>
      <c r="J579" s="162" t="n">
        <v>12</v>
      </c>
      <c r="K579" s="487" t="n">
        <v>2</v>
      </c>
      <c r="L579" s="266" t="n">
        <v>3292</v>
      </c>
      <c r="M579" s="113" t="n"/>
      <c r="N579" s="113" t="n"/>
      <c r="O579" s="113" t="n"/>
      <c r="P579" s="398" t="n"/>
      <c r="Q579" s="398" t="n"/>
      <c r="R579" s="113" t="n"/>
      <c r="S579" s="113" t="n"/>
      <c r="T579" s="113" t="n"/>
      <c r="U579" s="113" t="n"/>
      <c r="V579" s="113" t="n"/>
    </row>
    <row r="580" ht="15.75" customHeight="1">
      <c r="A580" s="146" t="n">
        <v>11</v>
      </c>
      <c r="B580" s="238" t="n"/>
      <c r="C580" s="399" t="n">
        <v>45875</v>
      </c>
      <c r="D580" s="162" t="inlineStr">
        <is>
          <t>219 G. SAN JOSE 2</t>
        </is>
      </c>
      <c r="E580" s="162" t="n">
        <v>42550</v>
      </c>
      <c r="F580" s="162" t="inlineStr">
        <is>
          <t>DUMAR ANGARITA</t>
        </is>
      </c>
      <c r="G580" s="162" t="n">
        <v>3292</v>
      </c>
      <c r="H580" s="162" t="n">
        <v>3275</v>
      </c>
      <c r="I580" s="162" t="n">
        <v>3</v>
      </c>
      <c r="J580" s="162" t="n">
        <v>11</v>
      </c>
      <c r="K580" s="487" t="n">
        <v>3</v>
      </c>
      <c r="L580" s="266" t="n">
        <v>3292</v>
      </c>
      <c r="M580" s="113" t="n"/>
      <c r="N580" s="113" t="n"/>
      <c r="O580" s="113" t="n"/>
      <c r="P580" s="398" t="n"/>
      <c r="Q580" s="398" t="n"/>
      <c r="R580" s="113" t="n"/>
      <c r="S580" s="113" t="n"/>
      <c r="T580" s="113" t="n"/>
      <c r="U580" s="113" t="n"/>
      <c r="V580" s="113" t="n"/>
    </row>
    <row r="581" ht="15.75" customHeight="1">
      <c r="A581" s="146" t="n">
        <v>11</v>
      </c>
      <c r="B581" s="238" t="n"/>
      <c r="C581" s="399" t="n">
        <v>45875</v>
      </c>
      <c r="D581" s="162" t="inlineStr">
        <is>
          <t>219 G. SAN JOSE 2</t>
        </is>
      </c>
      <c r="E581" s="162" t="n">
        <v>42551</v>
      </c>
      <c r="F581" s="162" t="inlineStr">
        <is>
          <t>HENRY ROMERO</t>
        </is>
      </c>
      <c r="G581" s="162" t="n">
        <v>3292</v>
      </c>
      <c r="H581" s="162" t="n">
        <v>3283</v>
      </c>
      <c r="I581" s="162" t="n">
        <v>3</v>
      </c>
      <c r="J581" s="162" t="n">
        <v>9</v>
      </c>
      <c r="K581" s="487" t="n">
        <v>-3</v>
      </c>
      <c r="L581" s="266" t="n">
        <v>3292</v>
      </c>
      <c r="M581" s="113" t="n"/>
      <c r="N581" s="113" t="n"/>
      <c r="O581" s="113" t="n"/>
      <c r="P581" s="398" t="n"/>
      <c r="Q581" s="398" t="n"/>
      <c r="R581" s="113" t="n"/>
      <c r="S581" s="113" t="n"/>
      <c r="T581" s="113" t="n"/>
      <c r="U581" s="113" t="n"/>
      <c r="V581" s="113" t="n"/>
    </row>
    <row r="582" ht="15.75" customHeight="1">
      <c r="A582" s="146" t="n">
        <v>11</v>
      </c>
      <c r="B582" s="238" t="n"/>
      <c r="C582" s="399" t="n">
        <v>45875</v>
      </c>
      <c r="D582" s="162" t="inlineStr">
        <is>
          <t>219 G. SAN JOSE 2</t>
        </is>
      </c>
      <c r="E582" s="162" t="n">
        <v>42552</v>
      </c>
      <c r="F582" s="162" t="inlineStr">
        <is>
          <t>EDUAN CAVIEDES</t>
        </is>
      </c>
      <c r="G582" s="162" t="n">
        <v>3292</v>
      </c>
      <c r="H582" s="162" t="n">
        <v>3284</v>
      </c>
      <c r="I582" s="162" t="n">
        <v>3</v>
      </c>
      <c r="J582" s="162" t="n">
        <v>8</v>
      </c>
      <c r="K582" s="487" t="n">
        <v>-3</v>
      </c>
      <c r="L582" s="266" t="n">
        <v>3292</v>
      </c>
      <c r="M582" s="113" t="n"/>
      <c r="N582" s="113" t="n"/>
      <c r="O582" s="113" t="n"/>
      <c r="P582" s="398" t="n"/>
      <c r="Q582" s="398" t="n"/>
      <c r="R582" s="113" t="n"/>
      <c r="S582" s="113" t="n"/>
      <c r="T582" s="113" t="n"/>
      <c r="U582" s="113" t="n"/>
      <c r="V582" s="113" t="n"/>
    </row>
    <row r="583" ht="15.75" customHeight="1">
      <c r="A583" s="146" t="n">
        <v>11</v>
      </c>
      <c r="B583" s="238" t="n"/>
      <c r="C583" s="399" t="n">
        <v>45875</v>
      </c>
      <c r="D583" s="162" t="inlineStr">
        <is>
          <t>221 G. MALAGUEÑA</t>
        </is>
      </c>
      <c r="E583" s="162" t="n">
        <v>42553</v>
      </c>
      <c r="F583" s="162" t="inlineStr">
        <is>
          <t>MANUEL QUITIAN</t>
        </is>
      </c>
      <c r="G583" s="162" t="n">
        <v>3461</v>
      </c>
      <c r="H583" s="162" t="n">
        <v>3454</v>
      </c>
      <c r="I583" s="162" t="n">
        <v>2</v>
      </c>
      <c r="J583" s="162" t="n">
        <v>8</v>
      </c>
      <c r="K583" s="487" t="n">
        <v>-3</v>
      </c>
      <c r="L583" s="286" t="n">
        <v>3472</v>
      </c>
      <c r="M583" s="113" t="n"/>
      <c r="N583" s="113" t="n"/>
      <c r="O583" s="113" t="n"/>
      <c r="P583" s="398" t="n"/>
      <c r="Q583" s="398" t="n"/>
      <c r="R583" s="113" t="n"/>
      <c r="S583" s="113" t="n"/>
      <c r="T583" s="113" t="n"/>
      <c r="U583" s="113" t="n"/>
      <c r="V583" s="113" t="n"/>
    </row>
    <row r="584" ht="15.75" customHeight="1">
      <c r="A584" s="146" t="n">
        <v>11</v>
      </c>
      <c r="B584" s="238" t="n"/>
      <c r="C584" s="399" t="n">
        <v>45877</v>
      </c>
      <c r="D584" s="162" t="inlineStr">
        <is>
          <t>221 G. MALAGUEÑA</t>
        </is>
      </c>
      <c r="E584" s="162" t="n">
        <v>42561</v>
      </c>
      <c r="F584" s="162" t="inlineStr">
        <is>
          <t>EDUAN CAVIEDES</t>
        </is>
      </c>
      <c r="G584" s="162" t="n">
        <v>3462</v>
      </c>
      <c r="H584" s="162" t="n">
        <v>3429</v>
      </c>
      <c r="I584" s="162" t="n">
        <v>3</v>
      </c>
      <c r="J584" s="162" t="n">
        <v>26</v>
      </c>
      <c r="K584" s="487" t="n">
        <v>4</v>
      </c>
      <c r="L584" s="260" t="n">
        <v>3462</v>
      </c>
      <c r="M584" s="113" t="n"/>
      <c r="N584" s="113" t="n"/>
      <c r="O584" s="113" t="n"/>
      <c r="P584" s="398" t="n"/>
      <c r="Q584" s="398" t="n"/>
      <c r="R584" s="113" t="n"/>
      <c r="S584" s="113" t="n"/>
      <c r="T584" s="113" t="n"/>
      <c r="U584" s="113" t="n"/>
      <c r="V584" s="113" t="n"/>
    </row>
    <row r="585" ht="15.75" customHeight="1">
      <c r="A585" s="146" t="n">
        <v>11</v>
      </c>
      <c r="B585" s="238" t="n"/>
      <c r="C585" s="399" t="n">
        <v>45877</v>
      </c>
      <c r="D585" s="162" t="inlineStr">
        <is>
          <t>221 G. MALAGUEÑA</t>
        </is>
      </c>
      <c r="E585" s="162" t="n">
        <v>42562</v>
      </c>
      <c r="F585" s="162" t="inlineStr">
        <is>
          <t>DIEGO NIÑO</t>
        </is>
      </c>
      <c r="G585" s="162" t="n">
        <v>3462</v>
      </c>
      <c r="H585" s="162" t="n">
        <v>3437</v>
      </c>
      <c r="I585" s="162" t="n">
        <v>2</v>
      </c>
      <c r="J585" s="162" t="n">
        <v>18</v>
      </c>
      <c r="K585" s="487" t="n">
        <v>5</v>
      </c>
      <c r="L585" s="266" t="n">
        <v>3462</v>
      </c>
      <c r="M585" s="113" t="n"/>
      <c r="N585" s="113" t="n"/>
      <c r="O585" s="113" t="n"/>
      <c r="P585" s="398" t="n"/>
      <c r="Q585" s="398" t="n"/>
      <c r="R585" s="113" t="n"/>
      <c r="S585" s="113" t="n"/>
      <c r="T585" s="113" t="n"/>
      <c r="U585" s="113" t="n"/>
      <c r="V585" s="113" t="n"/>
    </row>
    <row r="586" ht="15.75" customHeight="1">
      <c r="A586" s="146" t="n">
        <v>11</v>
      </c>
      <c r="B586" s="238" t="n"/>
      <c r="C586" s="399" t="n">
        <v>45877</v>
      </c>
      <c r="D586" s="162" t="inlineStr">
        <is>
          <t>221 G. MALAGUEÑA</t>
        </is>
      </c>
      <c r="E586" s="162" t="n">
        <v>42563</v>
      </c>
      <c r="F586" s="162" t="inlineStr">
        <is>
          <t>JOSE SOLER</t>
        </is>
      </c>
      <c r="G586" s="162" t="n">
        <v>3462</v>
      </c>
      <c r="H586" s="162" t="n">
        <v>3428</v>
      </c>
      <c r="I586" s="162" t="n">
        <v>6</v>
      </c>
      <c r="J586" s="162" t="n">
        <v>24</v>
      </c>
      <c r="K586" s="487" t="n">
        <v>4</v>
      </c>
      <c r="L586" s="266" t="n">
        <v>3462</v>
      </c>
      <c r="M586" s="113" t="n"/>
      <c r="N586" s="113" t="n"/>
      <c r="O586" s="113" t="n"/>
      <c r="P586" s="398" t="n"/>
      <c r="Q586" s="398" t="n"/>
      <c r="R586" s="113" t="n"/>
      <c r="S586" s="113" t="n"/>
      <c r="T586" s="113" t="n"/>
      <c r="U586" s="113" t="n"/>
      <c r="V586" s="113" t="n"/>
    </row>
    <row r="587" ht="15.75" customHeight="1">
      <c r="A587" s="146" t="n">
        <v>11</v>
      </c>
      <c r="B587" s="238" t="n"/>
      <c r="C587" s="399" t="n">
        <v>45877</v>
      </c>
      <c r="D587" s="162" t="inlineStr">
        <is>
          <t>221 G. MALAGUEÑA</t>
        </is>
      </c>
      <c r="E587" s="162" t="n">
        <v>42564</v>
      </c>
      <c r="F587" s="162" t="inlineStr">
        <is>
          <t>WILMER PIÑEROS</t>
        </is>
      </c>
      <c r="G587" s="162" t="n">
        <v>3462</v>
      </c>
      <c r="H587" s="162" t="n">
        <v>3431</v>
      </c>
      <c r="I587" s="162" t="n">
        <v>6</v>
      </c>
      <c r="J587" s="162" t="n">
        <v>21</v>
      </c>
      <c r="K587" s="487" t="n">
        <v>4</v>
      </c>
      <c r="L587" s="266" t="n">
        <v>3462</v>
      </c>
      <c r="M587" s="113" t="n"/>
      <c r="N587" s="113" t="n"/>
      <c r="O587" s="113" t="n"/>
      <c r="P587" s="398" t="n"/>
      <c r="Q587" s="398" t="n"/>
      <c r="R587" s="113" t="n"/>
      <c r="S587" s="113" t="n"/>
      <c r="T587" s="113" t="n"/>
      <c r="U587" s="113" t="n"/>
      <c r="V587" s="113" t="n"/>
    </row>
    <row r="588" ht="15.75" customHeight="1">
      <c r="A588" s="146" t="n">
        <v>11</v>
      </c>
      <c r="B588" s="238" t="n"/>
      <c r="C588" s="399" t="n">
        <v>45877</v>
      </c>
      <c r="D588" s="162" t="inlineStr">
        <is>
          <t>221 G. MALAGUEÑA</t>
        </is>
      </c>
      <c r="E588" s="162" t="n">
        <v>42565</v>
      </c>
      <c r="F588" s="162" t="inlineStr">
        <is>
          <t>JHON ARIAS</t>
        </is>
      </c>
      <c r="G588" s="162" t="n">
        <v>3462</v>
      </c>
      <c r="H588" s="162" t="n">
        <v>3433</v>
      </c>
      <c r="I588" s="162" t="n">
        <v>6</v>
      </c>
      <c r="J588" s="162" t="n">
        <v>21</v>
      </c>
      <c r="K588" s="487" t="n">
        <v>2</v>
      </c>
      <c r="L588" s="266" t="n">
        <v>3462</v>
      </c>
      <c r="M588" s="113" t="n"/>
      <c r="N588" s="113" t="n"/>
      <c r="O588" s="113" t="n"/>
      <c r="P588" s="398" t="n"/>
      <c r="Q588" s="398" t="n"/>
      <c r="R588" s="113" t="n"/>
      <c r="S588" s="113" t="n"/>
      <c r="T588" s="113" t="n"/>
      <c r="U588" s="113" t="n"/>
      <c r="V588" s="113" t="n"/>
    </row>
    <row r="589" ht="15.75" customHeight="1">
      <c r="A589" s="146" t="n">
        <v>11</v>
      </c>
      <c r="B589" s="238" t="n"/>
      <c r="C589" s="399" t="n">
        <v>45877</v>
      </c>
      <c r="D589" s="162" t="inlineStr">
        <is>
          <t>221 G. MALAGUEÑA</t>
        </is>
      </c>
      <c r="E589" s="162" t="n">
        <v>42566</v>
      </c>
      <c r="F589" s="162" t="inlineStr">
        <is>
          <t>YAIR RIVEROS</t>
        </is>
      </c>
      <c r="G589" s="162" t="n">
        <v>3462</v>
      </c>
      <c r="H589" s="162" t="n">
        <v>3435</v>
      </c>
      <c r="I589" s="162" t="n">
        <v>8</v>
      </c>
      <c r="J589" s="162" t="n">
        <v>19</v>
      </c>
      <c r="K589" s="487" t="n">
        <v>0</v>
      </c>
      <c r="L589" s="266" t="n">
        <v>3462</v>
      </c>
      <c r="M589" s="113" t="n"/>
      <c r="N589" s="113" t="n"/>
      <c r="O589" s="113" t="n"/>
      <c r="P589" s="398" t="n"/>
      <c r="Q589" s="398" t="n"/>
      <c r="R589" s="113" t="n"/>
      <c r="S589" s="113" t="n"/>
      <c r="T589" s="113" t="n"/>
      <c r="U589" s="113" t="n"/>
      <c r="V589" s="113" t="n"/>
    </row>
    <row r="590" ht="15.75" customHeight="1">
      <c r="A590" s="146" t="n">
        <v>11</v>
      </c>
      <c r="B590" s="238" t="n"/>
      <c r="C590" s="399" t="n">
        <v>45877</v>
      </c>
      <c r="D590" s="162" t="inlineStr">
        <is>
          <t>221 G. MALAGUEÑA</t>
        </is>
      </c>
      <c r="E590" s="162" t="n">
        <v>42567</v>
      </c>
      <c r="F590" s="162" t="inlineStr">
        <is>
          <t>FABIO ALDANA</t>
        </is>
      </c>
      <c r="G590" s="162" t="n">
        <v>3462</v>
      </c>
      <c r="H590" s="162" t="n">
        <v>3443</v>
      </c>
      <c r="I590" s="162" t="n">
        <v>6</v>
      </c>
      <c r="J590" s="162" t="n">
        <v>14</v>
      </c>
      <c r="K590" s="487" t="n">
        <v>-1</v>
      </c>
      <c r="L590" s="266" t="n">
        <v>3462</v>
      </c>
      <c r="M590" s="113" t="n"/>
      <c r="N590" s="113" t="n"/>
      <c r="O590" s="113" t="n"/>
      <c r="P590" s="398" t="n"/>
      <c r="Q590" s="398" t="n"/>
      <c r="R590" s="113" t="n"/>
      <c r="S590" s="113" t="n"/>
      <c r="T590" s="113" t="n"/>
      <c r="U590" s="113" t="n"/>
      <c r="V590" s="113" t="n"/>
    </row>
    <row r="591" ht="15.75" customHeight="1">
      <c r="A591" s="146" t="n">
        <v>11</v>
      </c>
      <c r="B591" s="238" t="n"/>
      <c r="C591" s="399" t="n">
        <v>45877</v>
      </c>
      <c r="D591" s="162" t="inlineStr">
        <is>
          <t>221 G. MALAGUEÑA</t>
        </is>
      </c>
      <c r="E591" s="162" t="n">
        <v>42568</v>
      </c>
      <c r="F591" s="162" t="inlineStr">
        <is>
          <t>ALBERTO HERRERA</t>
        </is>
      </c>
      <c r="G591" s="162" t="n">
        <v>2926</v>
      </c>
      <c r="H591" s="162" t="n">
        <v>2897</v>
      </c>
      <c r="I591" s="162" t="n">
        <v>6</v>
      </c>
      <c r="J591" s="162" t="n">
        <v>18</v>
      </c>
      <c r="K591" s="487" t="n">
        <v>5</v>
      </c>
      <c r="L591" s="266" t="n">
        <v>2916</v>
      </c>
      <c r="M591" s="113" t="n"/>
      <c r="N591" s="113" t="n"/>
      <c r="O591" s="113" t="n"/>
      <c r="P591" s="398" t="n"/>
      <c r="Q591" s="398" t="n"/>
      <c r="R591" s="113" t="n"/>
      <c r="S591" s="113" t="n"/>
      <c r="T591" s="113" t="n"/>
      <c r="U591" s="113" t="n"/>
      <c r="V591" s="113" t="n"/>
    </row>
    <row r="592" ht="15.75" customHeight="1">
      <c r="A592" s="146" t="n">
        <v>11</v>
      </c>
      <c r="B592" s="238" t="n"/>
      <c r="C592" s="399" t="n">
        <v>45877</v>
      </c>
      <c r="D592" s="162" t="inlineStr">
        <is>
          <t>221 G. MALAGUEÑA</t>
        </is>
      </c>
      <c r="E592" s="162" t="n">
        <v>42569</v>
      </c>
      <c r="F592" s="162" t="inlineStr">
        <is>
          <t>MANUEL QUITIAN</t>
        </is>
      </c>
      <c r="G592" s="162" t="n">
        <v>3398</v>
      </c>
      <c r="H592" s="162" t="n">
        <v>3385</v>
      </c>
      <c r="I592" s="162" t="n">
        <v>7</v>
      </c>
      <c r="J592" s="162" t="n">
        <v>10</v>
      </c>
      <c r="K592" s="487" t="n">
        <v>-4</v>
      </c>
      <c r="L592" s="266" t="n">
        <v>3398</v>
      </c>
      <c r="M592" s="113" t="n"/>
      <c r="N592" s="113" t="n"/>
      <c r="O592" s="113" t="n"/>
      <c r="P592" s="398" t="n"/>
      <c r="Q592" s="398" t="n"/>
      <c r="R592" s="113" t="n"/>
      <c r="S592" s="113" t="n"/>
      <c r="T592" s="113" t="n"/>
      <c r="U592" s="113" t="n"/>
      <c r="V592" s="113" t="n"/>
    </row>
    <row r="593" ht="15.75" customHeight="1">
      <c r="A593" s="146" t="n">
        <v>11</v>
      </c>
      <c r="B593" s="238" t="n"/>
      <c r="C593" s="399" t="n">
        <v>45877</v>
      </c>
      <c r="D593" s="162" t="inlineStr">
        <is>
          <t>221 G. MALAGUEÑA</t>
        </is>
      </c>
      <c r="E593" s="162" t="n">
        <v>42570</v>
      </c>
      <c r="F593" s="162" t="inlineStr">
        <is>
          <t>HENRY ROMERO</t>
        </is>
      </c>
      <c r="G593" s="162" t="n">
        <v>3398</v>
      </c>
      <c r="H593" s="162" t="n">
        <v>3385</v>
      </c>
      <c r="I593" s="162" t="n">
        <v>8</v>
      </c>
      <c r="J593" s="162" t="n">
        <v>12</v>
      </c>
      <c r="K593" s="487" t="n">
        <v>-7</v>
      </c>
      <c r="L593" s="266" t="n">
        <v>3398</v>
      </c>
      <c r="M593" s="113" t="n"/>
      <c r="N593" s="113" t="n"/>
      <c r="O593" s="113" t="n"/>
      <c r="P593" s="398" t="n"/>
      <c r="Q593" s="398" t="n"/>
      <c r="R593" s="113" t="n"/>
      <c r="S593" s="113" t="n"/>
      <c r="T593" s="113" t="n"/>
      <c r="U593" s="113" t="n"/>
      <c r="V593" s="113" t="n"/>
    </row>
    <row r="594" ht="15.75" customHeight="1">
      <c r="A594" s="146" t="n">
        <v>11</v>
      </c>
      <c r="B594" s="238" t="n"/>
      <c r="C594" s="399" t="n">
        <v>45877</v>
      </c>
      <c r="D594" s="162" t="inlineStr">
        <is>
          <t>221 G. MALAGUEÑA</t>
        </is>
      </c>
      <c r="E594" s="162" t="n">
        <v>42571</v>
      </c>
      <c r="F594" s="162" t="inlineStr">
        <is>
          <t>FERNANDO OYUELA</t>
        </is>
      </c>
      <c r="G594" s="162" t="n">
        <v>3398</v>
      </c>
      <c r="H594" s="162" t="n">
        <v>3404</v>
      </c>
      <c r="I594" s="162" t="n">
        <v>3</v>
      </c>
      <c r="J594" s="162" t="n">
        <v>13</v>
      </c>
      <c r="K594" s="487" t="n">
        <v>-22</v>
      </c>
      <c r="L594" s="266" t="n">
        <v>3398</v>
      </c>
      <c r="M594" s="113" t="n"/>
      <c r="N594" s="113" t="n"/>
      <c r="O594" s="113" t="n"/>
      <c r="P594" s="398" t="n"/>
      <c r="Q594" s="398" t="n"/>
      <c r="R594" s="113" t="n"/>
      <c r="S594" s="113" t="n"/>
      <c r="T594" s="113" t="n"/>
      <c r="U594" s="113" t="n"/>
      <c r="V594" s="113" t="n"/>
    </row>
    <row r="595" ht="15.75" customHeight="1">
      <c r="A595" s="146" t="n">
        <v>11</v>
      </c>
      <c r="B595" s="238" t="n"/>
      <c r="C595" s="399" t="n">
        <v>45877</v>
      </c>
      <c r="D595" s="162" t="inlineStr">
        <is>
          <t>221 G. MALAGUEÑA</t>
        </is>
      </c>
      <c r="E595" s="162" t="n">
        <v>42572</v>
      </c>
      <c r="F595" s="162" t="inlineStr">
        <is>
          <t>DUMAR ANGARITA</t>
        </is>
      </c>
      <c r="G595" s="162" t="n">
        <v>3398</v>
      </c>
      <c r="H595" s="162" t="n">
        <v>3399</v>
      </c>
      <c r="I595" s="162" t="n">
        <v>3</v>
      </c>
      <c r="J595" s="162" t="n">
        <v>13</v>
      </c>
      <c r="K595" s="487" t="n">
        <v>-17</v>
      </c>
      <c r="L595" s="266" t="n">
        <v>3398</v>
      </c>
      <c r="M595" s="113" t="n"/>
      <c r="N595" s="113" t="n"/>
      <c r="O595" s="113" t="n"/>
      <c r="P595" s="398" t="n"/>
      <c r="Q595" s="398" t="n"/>
      <c r="R595" s="113" t="n"/>
      <c r="S595" s="113" t="n"/>
      <c r="T595" s="113" t="n"/>
      <c r="U595" s="113" t="n"/>
      <c r="V595" s="113" t="n"/>
    </row>
    <row r="596" ht="15.75" customHeight="1">
      <c r="A596" s="146" t="n">
        <v>11</v>
      </c>
      <c r="B596" s="238" t="n"/>
      <c r="C596" s="399" t="n">
        <v>45877</v>
      </c>
      <c r="D596" s="162" t="inlineStr">
        <is>
          <t>221 G. MALAGUEÑA</t>
        </is>
      </c>
      <c r="E596" s="162" t="n">
        <v>42573</v>
      </c>
      <c r="F596" s="162" t="inlineStr">
        <is>
          <t>ALEX GOMEZ</t>
        </is>
      </c>
      <c r="G596" s="162" t="n">
        <v>3398</v>
      </c>
      <c r="H596" s="162" t="n">
        <v>3400</v>
      </c>
      <c r="I596" s="162" t="n">
        <v>3</v>
      </c>
      <c r="J596" s="162" t="n">
        <v>13</v>
      </c>
      <c r="K596" s="487" t="n">
        <v>-18</v>
      </c>
      <c r="L596" s="266" t="n">
        <v>3398</v>
      </c>
      <c r="M596" s="113" t="n"/>
      <c r="N596" s="113" t="n"/>
      <c r="O596" s="113" t="n"/>
      <c r="P596" s="398" t="n"/>
      <c r="Q596" s="398" t="n"/>
      <c r="R596" s="113" t="n"/>
      <c r="S596" s="113" t="n"/>
      <c r="T596" s="113" t="n"/>
      <c r="U596" s="113" t="n"/>
      <c r="V596" s="113" t="n"/>
    </row>
    <row r="597" ht="15.75" customHeight="1">
      <c r="A597" s="146" t="n">
        <v>11</v>
      </c>
      <c r="B597" s="238" t="n"/>
      <c r="C597" s="399" t="n">
        <v>45877</v>
      </c>
      <c r="D597" s="162" t="inlineStr">
        <is>
          <t>221 G. MALAGUEÑA</t>
        </is>
      </c>
      <c r="E597" s="162" t="n">
        <v>42574</v>
      </c>
      <c r="F597" s="162" t="inlineStr">
        <is>
          <t>EDUAN CAVIEDES</t>
        </is>
      </c>
      <c r="G597" s="162" t="n">
        <v>3398</v>
      </c>
      <c r="H597" s="162" t="n">
        <v>3397</v>
      </c>
      <c r="I597" s="162" t="n">
        <v>4</v>
      </c>
      <c r="J597" s="162" t="n">
        <v>15</v>
      </c>
      <c r="K597" s="487" t="n">
        <v>-18</v>
      </c>
      <c r="L597" s="266" t="n">
        <v>3398</v>
      </c>
      <c r="M597" s="113" t="n"/>
      <c r="N597" s="113" t="n"/>
      <c r="O597" s="113" t="n"/>
      <c r="P597" s="398" t="n"/>
      <c r="Q597" s="398" t="n"/>
      <c r="R597" s="113" t="n"/>
      <c r="S597" s="113" t="n"/>
      <c r="T597" s="113" t="n"/>
      <c r="U597" s="113" t="n"/>
      <c r="V597" s="113" t="n"/>
    </row>
    <row r="598" ht="15.75" customHeight="1">
      <c r="A598" s="146" t="n">
        <v>11</v>
      </c>
      <c r="B598" s="238" t="n"/>
      <c r="C598" s="399" t="n">
        <v>45877</v>
      </c>
      <c r="D598" s="162" t="inlineStr">
        <is>
          <t>219 G. SAN JOSE 2</t>
        </is>
      </c>
      <c r="E598" s="162" t="n">
        <v>42577</v>
      </c>
      <c r="F598" s="162" t="inlineStr">
        <is>
          <t>DIEGO NIÑO</t>
        </is>
      </c>
      <c r="G598" s="162" t="n">
        <v>4453</v>
      </c>
      <c r="H598" s="162" t="n">
        <v>4240</v>
      </c>
      <c r="I598" s="162" t="n">
        <v>40</v>
      </c>
      <c r="J598" s="162" t="n">
        <v>11</v>
      </c>
      <c r="K598" s="487" t="n">
        <v>162</v>
      </c>
      <c r="L598" s="286" t="n">
        <v>4453</v>
      </c>
      <c r="M598" s="113" t="n"/>
      <c r="N598" s="113" t="n"/>
      <c r="O598" s="113" t="n"/>
      <c r="P598" s="398" t="n"/>
      <c r="Q598" s="398" t="n"/>
      <c r="R598" s="113" t="n"/>
      <c r="S598" s="113" t="n"/>
      <c r="T598" s="113" t="n"/>
      <c r="U598" s="113" t="n"/>
      <c r="V598" s="113" t="n"/>
    </row>
    <row r="599" ht="15.75" customHeight="1">
      <c r="A599" s="146" t="n">
        <v>11</v>
      </c>
      <c r="B599" s="238" t="n"/>
      <c r="C599" s="399" t="n">
        <v>45878</v>
      </c>
      <c r="D599" s="162" t="inlineStr">
        <is>
          <t>221 G. MALAGUEÑA</t>
        </is>
      </c>
      <c r="E599" s="162" t="n">
        <v>42585</v>
      </c>
      <c r="F599" s="162" t="inlineStr">
        <is>
          <t>JOSE SOLER</t>
        </is>
      </c>
      <c r="G599" s="162" t="n">
        <v>2601</v>
      </c>
      <c r="H599" s="162" t="n">
        <v>2558</v>
      </c>
      <c r="I599" s="162" t="n">
        <v>5</v>
      </c>
      <c r="J599" s="162" t="n">
        <v>19</v>
      </c>
      <c r="K599" s="487" t="n">
        <v>19</v>
      </c>
      <c r="L599" s="260" t="n">
        <v>2601</v>
      </c>
      <c r="M599" s="113" t="n"/>
      <c r="N599" s="113" t="n"/>
      <c r="O599" s="113" t="n"/>
      <c r="P599" s="398" t="n"/>
      <c r="Q599" s="398" t="n"/>
      <c r="R599" s="113" t="n"/>
      <c r="S599" s="113" t="n"/>
      <c r="T599" s="113" t="n"/>
      <c r="U599" s="113" t="n"/>
      <c r="V599" s="113" t="n"/>
    </row>
    <row r="600" ht="15.75" customHeight="1">
      <c r="A600" s="146" t="n">
        <v>11</v>
      </c>
      <c r="B600" s="238" t="n"/>
      <c r="C600" s="399" t="n">
        <v>45878</v>
      </c>
      <c r="D600" s="162" t="inlineStr">
        <is>
          <t>221 G. MALAGUEÑA</t>
        </is>
      </c>
      <c r="E600" s="162" t="n">
        <v>42586</v>
      </c>
      <c r="F600" s="162" t="inlineStr">
        <is>
          <t>JHON ARIAS</t>
        </is>
      </c>
      <c r="G600" s="162" t="n">
        <v>2601</v>
      </c>
      <c r="H600" s="162" t="n">
        <v>2555</v>
      </c>
      <c r="I600" s="162" t="n">
        <v>7</v>
      </c>
      <c r="J600" s="162" t="n">
        <v>23</v>
      </c>
      <c r="K600" s="487" t="n">
        <v>16</v>
      </c>
      <c r="L600" s="266" t="n">
        <v>2601</v>
      </c>
      <c r="M600" s="113" t="n"/>
      <c r="N600" s="113" t="n"/>
      <c r="O600" s="113" t="n"/>
      <c r="P600" s="398" t="n"/>
      <c r="Q600" s="398" t="n"/>
      <c r="R600" s="113" t="n"/>
      <c r="S600" s="113" t="n"/>
      <c r="T600" s="113" t="n"/>
      <c r="U600" s="113" t="n"/>
      <c r="V600" s="113" t="n"/>
    </row>
    <row r="601" ht="15.75" customHeight="1">
      <c r="A601" s="146" t="n">
        <v>11</v>
      </c>
      <c r="B601" s="238" t="n"/>
      <c r="C601" s="399" t="n">
        <v>45878</v>
      </c>
      <c r="D601" s="162" t="inlineStr">
        <is>
          <t>221 G. MALAGUEÑA</t>
        </is>
      </c>
      <c r="E601" s="162" t="n">
        <v>42587</v>
      </c>
      <c r="F601" s="162" t="inlineStr">
        <is>
          <t>JAIRO CUBILLOS</t>
        </is>
      </c>
      <c r="G601" s="162" t="n">
        <v>2289</v>
      </c>
      <c r="H601" s="162" t="n">
        <v>2253</v>
      </c>
      <c r="I601" s="162" t="n">
        <v>6</v>
      </c>
      <c r="J601" s="162" t="n">
        <v>16</v>
      </c>
      <c r="K601" s="487" t="n">
        <v>14</v>
      </c>
      <c r="L601" s="266" t="n">
        <v>2275</v>
      </c>
      <c r="M601" s="113" t="n"/>
      <c r="N601" s="113" t="n"/>
      <c r="O601" s="113" t="n"/>
      <c r="P601" s="398" t="n"/>
      <c r="Q601" s="398" t="n"/>
      <c r="R601" s="113" t="n"/>
      <c r="S601" s="113" t="n"/>
      <c r="T601" s="113" t="n"/>
      <c r="U601" s="113" t="n"/>
      <c r="V601" s="113" t="n"/>
    </row>
    <row r="602" ht="15.75" customHeight="1">
      <c r="A602" s="146" t="n">
        <v>11</v>
      </c>
      <c r="B602" s="238" t="n"/>
      <c r="C602" s="399" t="n">
        <v>45878</v>
      </c>
      <c r="D602" s="162" t="inlineStr">
        <is>
          <t>219 G. SAN JOSE 2</t>
        </is>
      </c>
      <c r="E602" s="162" t="n">
        <v>42588</v>
      </c>
      <c r="F602" s="162" t="inlineStr">
        <is>
          <t>FABIO ALDANA</t>
        </is>
      </c>
      <c r="G602" s="162" t="n">
        <v>3230</v>
      </c>
      <c r="H602" s="162" t="n">
        <v>3212</v>
      </c>
      <c r="I602" s="162" t="n">
        <v>5</v>
      </c>
      <c r="J602" s="162" t="n">
        <v>9</v>
      </c>
      <c r="K602" s="487" t="n">
        <v>4</v>
      </c>
      <c r="L602" s="266" t="n">
        <v>3230</v>
      </c>
      <c r="M602" s="113" t="n"/>
      <c r="N602" s="113" t="n"/>
      <c r="O602" s="113" t="n"/>
      <c r="P602" s="398" t="n"/>
      <c r="Q602" s="398" t="n"/>
      <c r="R602" s="113" t="n"/>
      <c r="S602" s="113" t="n"/>
      <c r="T602" s="113" t="n"/>
      <c r="U602" s="113" t="n"/>
      <c r="V602" s="113" t="n"/>
    </row>
    <row r="603" ht="15.75" customHeight="1">
      <c r="A603" s="146" t="n">
        <v>11</v>
      </c>
      <c r="B603" s="238" t="n"/>
      <c r="C603" s="399" t="n">
        <v>45878</v>
      </c>
      <c r="D603" s="162" t="inlineStr">
        <is>
          <t>219 G. SAN JOSE 2</t>
        </is>
      </c>
      <c r="E603" s="162" t="n">
        <v>42589</v>
      </c>
      <c r="F603" s="162" t="inlineStr">
        <is>
          <t>JHON AGUIRRE</t>
        </is>
      </c>
      <c r="G603" s="162" t="n">
        <v>3320</v>
      </c>
      <c r="H603" s="162" t="n">
        <v>3210</v>
      </c>
      <c r="I603" s="162" t="n">
        <v>2</v>
      </c>
      <c r="J603" s="162" t="n">
        <v>12</v>
      </c>
      <c r="K603" s="487" t="n">
        <v>96</v>
      </c>
      <c r="L603" s="266" t="n">
        <v>3230</v>
      </c>
      <c r="M603" s="113" t="n"/>
      <c r="N603" s="113" t="n"/>
      <c r="O603" s="113" t="n"/>
      <c r="P603" s="398" t="n"/>
      <c r="Q603" s="398" t="n"/>
      <c r="R603" s="113" t="n"/>
      <c r="S603" s="113" t="n"/>
      <c r="T603" s="113" t="n"/>
      <c r="U603" s="113" t="n"/>
      <c r="V603" s="113" t="n"/>
    </row>
    <row r="604" ht="15.75" customHeight="1">
      <c r="A604" s="146" t="n">
        <v>11</v>
      </c>
      <c r="B604" s="238" t="n"/>
      <c r="C604" s="399" t="n">
        <v>45878</v>
      </c>
      <c r="D604" s="162" t="inlineStr">
        <is>
          <t>219 G. SAN JOSE 2</t>
        </is>
      </c>
      <c r="E604" s="162" t="n">
        <v>42590</v>
      </c>
      <c r="F604" s="162" t="inlineStr">
        <is>
          <t>DIEGO NIÑO</t>
        </is>
      </c>
      <c r="G604" s="162" t="n">
        <v>3230</v>
      </c>
      <c r="H604" s="162" t="n">
        <v>3212</v>
      </c>
      <c r="I604" s="162" t="n">
        <v>2</v>
      </c>
      <c r="J604" s="162" t="n">
        <v>9</v>
      </c>
      <c r="K604" s="487" t="n">
        <v>7</v>
      </c>
      <c r="L604" s="266" t="n">
        <v>3230</v>
      </c>
      <c r="M604" s="113" t="n"/>
      <c r="N604" s="113" t="n"/>
      <c r="O604" s="113" t="n"/>
      <c r="P604" s="398" t="n"/>
      <c r="Q604" s="398" t="n"/>
      <c r="R604" s="113" t="n"/>
      <c r="S604" s="113" t="n"/>
      <c r="T604" s="113" t="n"/>
      <c r="U604" s="113" t="n"/>
      <c r="V604" s="113" t="n"/>
    </row>
    <row r="605" ht="15.75" customHeight="1">
      <c r="A605" s="146" t="n">
        <v>11</v>
      </c>
      <c r="B605" s="238" t="n"/>
      <c r="C605" s="399" t="n">
        <v>45878</v>
      </c>
      <c r="D605" s="162" t="inlineStr">
        <is>
          <t>219 G. SAN JOSE 2</t>
        </is>
      </c>
      <c r="E605" s="162" t="n">
        <v>42591</v>
      </c>
      <c r="F605" s="162" t="inlineStr">
        <is>
          <t>FERNANDO OYUELA</t>
        </is>
      </c>
      <c r="G605" s="162" t="n">
        <v>3230</v>
      </c>
      <c r="H605" s="162" t="n">
        <v>3211</v>
      </c>
      <c r="I605" s="162" t="n">
        <v>2</v>
      </c>
      <c r="J605" s="162" t="n">
        <v>10</v>
      </c>
      <c r="K605" s="487" t="n">
        <v>7</v>
      </c>
      <c r="L605" s="266" t="n">
        <v>3230</v>
      </c>
      <c r="M605" s="113" t="n"/>
      <c r="N605" s="113" t="n"/>
      <c r="O605" s="113" t="n"/>
      <c r="P605" s="398" t="n"/>
      <c r="Q605" s="398" t="n"/>
      <c r="R605" s="113" t="n"/>
      <c r="S605" s="113" t="n"/>
      <c r="T605" s="113" t="n"/>
      <c r="U605" s="113" t="n"/>
      <c r="V605" s="113" t="n"/>
    </row>
    <row r="606" ht="15.75" customHeight="1">
      <c r="A606" s="146" t="n">
        <v>11</v>
      </c>
      <c r="B606" s="238" t="n"/>
      <c r="C606" s="399" t="n">
        <v>45878</v>
      </c>
      <c r="D606" s="162" t="inlineStr">
        <is>
          <t>219 G. SAN JOSE 2</t>
        </is>
      </c>
      <c r="E606" s="162" t="n">
        <v>42598</v>
      </c>
      <c r="F606" s="162" t="inlineStr">
        <is>
          <t>MANUEL QUITIAN</t>
        </is>
      </c>
      <c r="G606" s="162" t="n">
        <v>3230</v>
      </c>
      <c r="H606" s="162" t="n">
        <v>3197</v>
      </c>
      <c r="I606" s="162" t="n">
        <v>2</v>
      </c>
      <c r="J606" s="162" t="n">
        <v>20</v>
      </c>
      <c r="K606" s="487" t="n">
        <v>11</v>
      </c>
      <c r="L606" s="266" t="n">
        <v>3230</v>
      </c>
      <c r="M606" s="113" t="n"/>
      <c r="N606" s="113" t="n"/>
      <c r="O606" s="113" t="n"/>
      <c r="P606" s="398" t="n"/>
      <c r="Q606" s="398" t="n"/>
      <c r="R606" s="113" t="n"/>
      <c r="S606" s="113" t="n"/>
      <c r="T606" s="113" t="n"/>
      <c r="U606" s="113" t="n"/>
      <c r="V606" s="113" t="n"/>
    </row>
    <row r="607" ht="15.75" customHeight="1">
      <c r="A607" s="146" t="n">
        <v>11</v>
      </c>
      <c r="B607" s="238" t="n"/>
      <c r="C607" s="399" t="n">
        <v>45878</v>
      </c>
      <c r="D607" s="162" t="inlineStr">
        <is>
          <t>219 G. SAN JOSE 2</t>
        </is>
      </c>
      <c r="E607" s="162" t="n">
        <v>42599</v>
      </c>
      <c r="F607" s="162" t="inlineStr">
        <is>
          <t>DUMAR ANGARITA</t>
        </is>
      </c>
      <c r="G607" s="162" t="n">
        <v>3350</v>
      </c>
      <c r="H607" s="162" t="n">
        <v>3317</v>
      </c>
      <c r="I607" s="162" t="n">
        <v>3</v>
      </c>
      <c r="J607" s="162" t="n">
        <v>18</v>
      </c>
      <c r="K607" s="487" t="n">
        <v>12</v>
      </c>
      <c r="L607" s="266" t="n">
        <v>3350</v>
      </c>
      <c r="M607" s="113" t="n"/>
      <c r="N607" s="113" t="n"/>
      <c r="O607" s="113" t="n"/>
      <c r="P607" s="398" t="n"/>
      <c r="Q607" s="398" t="n"/>
      <c r="R607" s="113" t="n"/>
      <c r="S607" s="113" t="n"/>
      <c r="T607" s="113" t="n"/>
      <c r="U607" s="113" t="n"/>
      <c r="V607" s="113" t="n"/>
    </row>
    <row r="608" ht="15.75" customHeight="1">
      <c r="A608" s="146" t="n">
        <v>11</v>
      </c>
      <c r="B608" s="238" t="n"/>
      <c r="C608" s="399" t="n">
        <v>45878</v>
      </c>
      <c r="D608" s="162" t="inlineStr">
        <is>
          <t>219 G. SAN JOSE 2</t>
        </is>
      </c>
      <c r="E608" s="162" t="n">
        <v>42600</v>
      </c>
      <c r="F608" s="162" t="inlineStr">
        <is>
          <t>JOSE SOLER</t>
        </is>
      </c>
      <c r="G608" s="162" t="n">
        <v>3339</v>
      </c>
      <c r="H608" s="162" t="n">
        <v>3307</v>
      </c>
      <c r="I608" s="162" t="n">
        <v>5</v>
      </c>
      <c r="J608" s="162" t="n">
        <v>15</v>
      </c>
      <c r="K608" s="487" t="n">
        <v>12</v>
      </c>
      <c r="L608" s="266" t="n">
        <v>3350</v>
      </c>
      <c r="M608" s="113" t="n"/>
      <c r="N608" s="113" t="n"/>
      <c r="O608" s="113" t="n"/>
      <c r="P608" s="398" t="n"/>
      <c r="Q608" s="398" t="n"/>
      <c r="R608" s="113" t="n"/>
      <c r="S608" s="113" t="n"/>
      <c r="T608" s="113" t="n"/>
      <c r="U608" s="113" t="n"/>
      <c r="V608" s="113" t="n"/>
    </row>
    <row r="609" ht="15.75" customHeight="1">
      <c r="A609" s="146" t="n">
        <v>11</v>
      </c>
      <c r="B609" s="238" t="n"/>
      <c r="C609" s="399" t="n">
        <v>45878</v>
      </c>
      <c r="D609" s="162" t="inlineStr">
        <is>
          <t>219 G. SAN JOSE 2</t>
        </is>
      </c>
      <c r="E609" s="162" t="n">
        <v>42601</v>
      </c>
      <c r="F609" s="162" t="inlineStr">
        <is>
          <t>JHON ARIAS</t>
        </is>
      </c>
      <c r="G609" s="162" t="n">
        <v>3446</v>
      </c>
      <c r="H609" s="162" t="n">
        <v>3405</v>
      </c>
      <c r="I609" s="162" t="n">
        <v>13</v>
      </c>
      <c r="J609" s="162" t="n">
        <v>14</v>
      </c>
      <c r="K609" s="487" t="n">
        <v>14</v>
      </c>
      <c r="L609" s="266" t="n">
        <v>3446</v>
      </c>
      <c r="M609" s="113" t="n"/>
      <c r="N609" s="113" t="n"/>
      <c r="O609" s="113" t="n"/>
      <c r="P609" s="398" t="n"/>
      <c r="Q609" s="398" t="n"/>
      <c r="R609" s="113" t="n"/>
      <c r="S609" s="113" t="n"/>
      <c r="T609" s="113" t="n"/>
      <c r="U609" s="113" t="n"/>
      <c r="V609" s="113" t="n"/>
    </row>
    <row r="610" ht="15.75" customHeight="1">
      <c r="A610" s="146" t="n">
        <v>11</v>
      </c>
      <c r="B610" s="238" t="n"/>
      <c r="C610" s="399" t="n">
        <v>45878</v>
      </c>
      <c r="D610" s="162" t="inlineStr">
        <is>
          <t>219 G. SAN JOSE 2</t>
        </is>
      </c>
      <c r="E610" s="162" t="n">
        <v>42602</v>
      </c>
      <c r="F610" s="162" t="inlineStr">
        <is>
          <t>JAIRO CUBILLOS</t>
        </is>
      </c>
      <c r="G610" s="162" t="n">
        <v>3446</v>
      </c>
      <c r="H610" s="162" t="n">
        <v>3412</v>
      </c>
      <c r="I610" s="162" t="n">
        <v>3</v>
      </c>
      <c r="J610" s="162" t="n">
        <v>29</v>
      </c>
      <c r="K610" s="487" t="n">
        <v>2</v>
      </c>
      <c r="L610" s="266" t="n">
        <v>3446</v>
      </c>
      <c r="M610" s="113" t="n"/>
      <c r="N610" s="113" t="n"/>
      <c r="O610" s="113" t="n"/>
      <c r="P610" s="398" t="n"/>
      <c r="Q610" s="398" t="n"/>
      <c r="R610" s="113" t="n"/>
      <c r="S610" s="113" t="n"/>
      <c r="T610" s="113" t="n"/>
      <c r="U610" s="113" t="n"/>
      <c r="V610" s="113" t="n"/>
    </row>
    <row r="611" ht="15.75" customHeight="1">
      <c r="A611" s="146" t="n">
        <v>11</v>
      </c>
      <c r="B611" s="238" t="n"/>
      <c r="C611" s="399" t="n">
        <v>45878</v>
      </c>
      <c r="D611" s="162" t="inlineStr">
        <is>
          <t>219 G. SAN JOSE 2</t>
        </is>
      </c>
      <c r="E611" s="162" t="n">
        <v>42603</v>
      </c>
      <c r="F611" s="162" t="inlineStr">
        <is>
          <t>FABIO ALDANA</t>
        </is>
      </c>
      <c r="G611" s="162" t="n">
        <v>3414</v>
      </c>
      <c r="H611" s="162" t="n">
        <v>3424</v>
      </c>
      <c r="I611" s="162" t="n">
        <v>3</v>
      </c>
      <c r="J611" s="162" t="n">
        <v>26</v>
      </c>
      <c r="K611" s="487" t="n">
        <v>-39</v>
      </c>
      <c r="L611" s="266" t="n">
        <v>3446</v>
      </c>
      <c r="M611" s="113" t="n"/>
      <c r="N611" s="113" t="n"/>
      <c r="O611" s="113" t="n"/>
      <c r="P611" s="398" t="n"/>
      <c r="Q611" s="398" t="n"/>
      <c r="R611" s="113" t="n"/>
      <c r="S611" s="113" t="n"/>
      <c r="T611" s="113" t="n"/>
      <c r="U611" s="113" t="n"/>
      <c r="V611" s="113" t="n"/>
    </row>
    <row r="612" ht="15.75" customHeight="1">
      <c r="A612" s="146" t="n">
        <v>11</v>
      </c>
      <c r="B612" s="238" t="n"/>
      <c r="C612" s="399" t="n">
        <v>45878</v>
      </c>
      <c r="D612" s="162" t="inlineStr">
        <is>
          <t>219 G. SAN JOSE 2</t>
        </is>
      </c>
      <c r="E612" s="162" t="n">
        <v>42604</v>
      </c>
      <c r="F612" s="162" t="inlineStr">
        <is>
          <t>JHON AGUIRRE</t>
        </is>
      </c>
      <c r="G612" s="162" t="n">
        <v>3446</v>
      </c>
      <c r="H612" s="162" t="n">
        <v>3419</v>
      </c>
      <c r="I612" s="162" t="n">
        <v>3</v>
      </c>
      <c r="J612" s="162" t="n">
        <v>20</v>
      </c>
      <c r="K612" s="487" t="n">
        <v>4</v>
      </c>
      <c r="L612" s="266" t="n">
        <v>3446</v>
      </c>
      <c r="M612" s="113" t="n"/>
      <c r="N612" s="113" t="n"/>
      <c r="O612" s="113" t="n"/>
      <c r="P612" s="398" t="n"/>
      <c r="Q612" s="398" t="n"/>
      <c r="R612" s="113" t="n"/>
      <c r="S612" s="113" t="n"/>
      <c r="T612" s="113" t="n"/>
      <c r="U612" s="113" t="n"/>
      <c r="V612" s="113" t="n"/>
    </row>
    <row r="613" ht="15.75" customHeight="1">
      <c r="A613" s="146" t="n">
        <v>11</v>
      </c>
      <c r="B613" s="238" t="n"/>
      <c r="C613" s="399" t="n">
        <v>45878</v>
      </c>
      <c r="D613" s="162" t="inlineStr">
        <is>
          <t>219 G. SAN JOSE 2</t>
        </is>
      </c>
      <c r="E613" s="162" t="n">
        <v>42605</v>
      </c>
      <c r="F613" s="162" t="inlineStr">
        <is>
          <t>ALBERTO HERRERA</t>
        </is>
      </c>
      <c r="G613" s="162" t="n">
        <v>3446</v>
      </c>
      <c r="H613" s="162" t="n">
        <v>3421</v>
      </c>
      <c r="I613" s="162" t="n">
        <v>4</v>
      </c>
      <c r="J613" s="162" t="n">
        <v>17</v>
      </c>
      <c r="K613" s="487" t="n">
        <v>4</v>
      </c>
      <c r="L613" s="266" t="n">
        <v>3446</v>
      </c>
      <c r="M613" s="113" t="n"/>
      <c r="N613" s="113" t="n"/>
      <c r="O613" s="113" t="n"/>
      <c r="P613" s="398" t="n"/>
      <c r="Q613" s="398" t="n"/>
      <c r="R613" s="113" t="n"/>
      <c r="S613" s="113" t="n"/>
      <c r="T613" s="113" t="n"/>
      <c r="U613" s="113" t="n"/>
      <c r="V613" s="113" t="n"/>
    </row>
    <row r="614" ht="15.75" customHeight="1">
      <c r="A614" s="146" t="n">
        <v>11</v>
      </c>
      <c r="B614" s="238" t="n"/>
      <c r="C614" s="399" t="n">
        <v>45878</v>
      </c>
      <c r="D614" s="162" t="inlineStr">
        <is>
          <t>219 G. SAN JOSE 2</t>
        </is>
      </c>
      <c r="E614" s="162" t="n">
        <v>42606</v>
      </c>
      <c r="F614" s="162" t="inlineStr">
        <is>
          <t>WILMER PIÑEROS</t>
        </is>
      </c>
      <c r="G614" s="162" t="n">
        <v>3446</v>
      </c>
      <c r="H614" s="162" t="n">
        <v>3425</v>
      </c>
      <c r="I614" s="162" t="n">
        <v>3</v>
      </c>
      <c r="J614" s="162" t="n">
        <v>18</v>
      </c>
      <c r="K614" s="487" t="n">
        <v>0</v>
      </c>
      <c r="L614" s="266" t="n">
        <v>3446</v>
      </c>
      <c r="M614" s="113" t="n"/>
      <c r="N614" s="113" t="n"/>
      <c r="O614" s="113" t="n"/>
      <c r="P614" s="398" t="n"/>
      <c r="Q614" s="398" t="n"/>
      <c r="R614" s="113" t="n"/>
      <c r="S614" s="113" t="n"/>
      <c r="T614" s="113" t="n"/>
      <c r="U614" s="113" t="n"/>
      <c r="V614" s="113" t="n"/>
    </row>
    <row r="615" ht="15.75" customHeight="1">
      <c r="A615" s="146" t="n">
        <v>11</v>
      </c>
      <c r="B615" s="238" t="n"/>
      <c r="C615" s="399" t="n">
        <v>45878</v>
      </c>
      <c r="D615" s="162" t="inlineStr">
        <is>
          <t>219 G. SAN JOSE 2</t>
        </is>
      </c>
      <c r="E615" s="162" t="n">
        <v>42607</v>
      </c>
      <c r="F615" s="162" t="inlineStr">
        <is>
          <t>YAIR RIVEROS</t>
        </is>
      </c>
      <c r="G615" s="162" t="n">
        <v>1926</v>
      </c>
      <c r="H615" s="162" t="n">
        <v>1904</v>
      </c>
      <c r="I615" s="162" t="n">
        <v>6</v>
      </c>
      <c r="J615" s="162" t="n">
        <v>18</v>
      </c>
      <c r="K615" s="488" t="n">
        <v>-2</v>
      </c>
      <c r="L615" s="318" t="n">
        <v>1926</v>
      </c>
      <c r="M615" s="113" t="n"/>
      <c r="N615" s="113" t="n"/>
      <c r="O615" s="113" t="n"/>
      <c r="P615" s="398" t="n"/>
      <c r="Q615" s="398" t="n"/>
      <c r="R615" s="113" t="n"/>
      <c r="S615" s="113" t="n"/>
      <c r="T615" s="113" t="n"/>
      <c r="U615" s="113" t="n"/>
      <c r="V615" s="113" t="n"/>
    </row>
    <row r="616" ht="15.75" customHeight="1">
      <c r="A616" s="146" t="n">
        <v>11</v>
      </c>
      <c r="B616" s="238" t="n"/>
      <c r="C616" s="399" t="n"/>
      <c r="D616" s="113" t="n"/>
      <c r="E616" s="113" t="n"/>
      <c r="F616" s="113" t="n"/>
      <c r="G616" s="395">
        <f>SUBTOTAL(9,G550:G615)</f>
        <v/>
      </c>
      <c r="H616" s="395">
        <f>SUBTOTAL(9,H550:H615)</f>
        <v/>
      </c>
      <c r="I616" s="395">
        <f>SUBTOTAL(9,I550:I615)</f>
        <v/>
      </c>
      <c r="J616" s="395">
        <f>SUBTOTAL(9,J550:J615)</f>
        <v/>
      </c>
      <c r="K616" s="492">
        <f>SUBTOTAL(9,K550:K615)</f>
        <v/>
      </c>
      <c r="L616" s="490">
        <f>SUBTOTAL(9,L550:L615)</f>
        <v/>
      </c>
      <c r="M616" s="113" t="n"/>
      <c r="N616" s="113" t="n"/>
      <c r="O616" s="113" t="n"/>
      <c r="P616" s="398" t="n"/>
      <c r="Q616" s="398" t="n"/>
      <c r="R616" s="113" t="n"/>
      <c r="S616" s="113" t="n"/>
      <c r="T616" s="113" t="n"/>
      <c r="U616" s="113" t="n"/>
      <c r="V616" s="113" t="n"/>
    </row>
    <row r="617" ht="15.75" customHeight="1">
      <c r="A617" s="146" t="n">
        <v>12</v>
      </c>
      <c r="B617" s="238" t="n"/>
      <c r="C617" s="399" t="n">
        <v>45880</v>
      </c>
      <c r="D617" s="146" t="inlineStr">
        <is>
          <t>221 G. MALAGUEÑA</t>
        </is>
      </c>
      <c r="E617" s="146" t="n">
        <v>42608</v>
      </c>
      <c r="F617" s="146" t="inlineStr">
        <is>
          <t>ALBERTO HERRERA</t>
        </is>
      </c>
      <c r="G617" s="395" t="n">
        <v>3167</v>
      </c>
      <c r="H617" s="395" t="n">
        <v>3085</v>
      </c>
      <c r="I617" s="395" t="n">
        <v>7</v>
      </c>
      <c r="J617" s="395" t="n">
        <v>75</v>
      </c>
      <c r="K617" s="489" t="n">
        <v>0</v>
      </c>
      <c r="L617" s="260" t="n">
        <v>3167</v>
      </c>
      <c r="M617" s="113" t="n"/>
      <c r="N617" s="113" t="n"/>
      <c r="O617" s="113" t="n"/>
      <c r="P617" s="398" t="n"/>
      <c r="Q617" s="398" t="n"/>
      <c r="R617" s="113" t="n"/>
      <c r="S617" s="113" t="n"/>
      <c r="T617" s="113" t="n"/>
      <c r="U617" s="113" t="n"/>
      <c r="V617" s="113" t="n"/>
    </row>
    <row r="618" ht="15.75" customHeight="1">
      <c r="A618" s="146" t="n">
        <v>12</v>
      </c>
      <c r="B618" s="238" t="n"/>
      <c r="C618" s="399" t="n">
        <v>45880</v>
      </c>
      <c r="D618" s="146" t="inlineStr">
        <is>
          <t>221 G. MALAGUEÑA</t>
        </is>
      </c>
      <c r="E618" s="146" t="n">
        <v>42609</v>
      </c>
      <c r="F618" s="146" t="inlineStr">
        <is>
          <t>HENRY ROMERO</t>
        </is>
      </c>
      <c r="G618" s="395" t="n">
        <v>3167</v>
      </c>
      <c r="H618" s="395" t="n">
        <v>3091</v>
      </c>
      <c r="I618" s="395" t="n">
        <v>4</v>
      </c>
      <c r="J618" s="395" t="n">
        <v>74</v>
      </c>
      <c r="K618" s="489" t="n">
        <v>-2</v>
      </c>
      <c r="L618" s="266" t="n">
        <v>3167</v>
      </c>
      <c r="M618" s="113" t="n"/>
      <c r="N618" s="113" t="n"/>
      <c r="O618" s="113" t="n"/>
      <c r="P618" s="398" t="n"/>
      <c r="Q618" s="398" t="n"/>
      <c r="R618" s="113" t="n"/>
      <c r="S618" s="113" t="n"/>
      <c r="T618" s="113" t="n"/>
      <c r="U618" s="113" t="n"/>
      <c r="V618" s="113" t="n"/>
    </row>
    <row r="619" ht="15.75" customHeight="1">
      <c r="A619" s="146" t="n">
        <v>12</v>
      </c>
      <c r="B619" s="238" t="n"/>
      <c r="C619" s="399" t="n">
        <v>45880</v>
      </c>
      <c r="D619" s="146" t="inlineStr">
        <is>
          <t>221 G. MALAGUEÑA</t>
        </is>
      </c>
      <c r="E619" s="146" t="n">
        <v>42610</v>
      </c>
      <c r="F619" s="146" t="inlineStr">
        <is>
          <t>YAIR RIVEROS</t>
        </is>
      </c>
      <c r="G619" s="395" t="n">
        <v>3167</v>
      </c>
      <c r="H619" s="395" t="n">
        <v>3090</v>
      </c>
      <c r="I619" s="395" t="n">
        <v>4</v>
      </c>
      <c r="J619" s="395" t="n">
        <v>72</v>
      </c>
      <c r="K619" s="489" t="n">
        <v>1</v>
      </c>
      <c r="L619" s="266" t="n">
        <v>3167</v>
      </c>
      <c r="M619" s="113" t="n"/>
      <c r="N619" s="113" t="n"/>
      <c r="O619" s="113" t="n"/>
      <c r="P619" s="398" t="n"/>
      <c r="Q619" s="398" t="n"/>
      <c r="R619" s="113" t="n"/>
      <c r="S619" s="113" t="n"/>
      <c r="T619" s="113" t="n"/>
      <c r="U619" s="113" t="n"/>
      <c r="V619" s="113" t="n"/>
    </row>
    <row r="620" ht="15.75" customHeight="1">
      <c r="A620" s="146" t="n">
        <v>12</v>
      </c>
      <c r="B620" s="238" t="n"/>
      <c r="C620" s="399" t="n">
        <v>45880</v>
      </c>
      <c r="D620" s="146" t="inlineStr">
        <is>
          <t>221 G. MALAGUEÑA</t>
        </is>
      </c>
      <c r="E620" s="146" t="n">
        <v>42611</v>
      </c>
      <c r="F620" s="146" t="inlineStr">
        <is>
          <t>MANUEL QUITIAN</t>
        </is>
      </c>
      <c r="G620" s="395" t="n">
        <v>2449</v>
      </c>
      <c r="H620" s="395" t="n">
        <v>2410</v>
      </c>
      <c r="I620" s="395" t="n">
        <v>2</v>
      </c>
      <c r="J620" s="395" t="n">
        <v>36</v>
      </c>
      <c r="K620" s="489" t="n">
        <v>1</v>
      </c>
      <c r="L620" s="266" t="n">
        <v>2449</v>
      </c>
      <c r="M620" s="113" t="n"/>
      <c r="N620" s="113" t="n"/>
      <c r="O620" s="113" t="n"/>
      <c r="P620" s="398" t="n"/>
      <c r="Q620" s="398" t="n"/>
      <c r="R620" s="113" t="n"/>
      <c r="S620" s="113" t="n"/>
      <c r="T620" s="113" t="n"/>
      <c r="U620" s="113" t="n"/>
      <c r="V620" s="113" t="n"/>
    </row>
    <row r="621" ht="15.75" customHeight="1">
      <c r="A621" s="146" t="n">
        <v>12</v>
      </c>
      <c r="B621" s="238" t="n"/>
      <c r="C621" s="399" t="n">
        <v>45880</v>
      </c>
      <c r="D621" s="146" t="inlineStr">
        <is>
          <t>221 G. MALAGUEÑA</t>
        </is>
      </c>
      <c r="E621" s="146" t="n">
        <v>42612</v>
      </c>
      <c r="F621" s="146" t="inlineStr">
        <is>
          <t>ALEX GOMEZ</t>
        </is>
      </c>
      <c r="G621" s="395" t="n">
        <v>3151</v>
      </c>
      <c r="H621" s="395" t="n">
        <v>3123</v>
      </c>
      <c r="I621" s="395" t="n">
        <v>1</v>
      </c>
      <c r="J621" s="395" t="n">
        <v>29</v>
      </c>
      <c r="K621" s="489" t="n">
        <v>-2</v>
      </c>
      <c r="L621" s="266" t="n">
        <v>3225</v>
      </c>
      <c r="M621" s="113" t="n"/>
      <c r="N621" s="113" t="n"/>
      <c r="O621" s="113" t="n"/>
      <c r="P621" s="398" t="n"/>
      <c r="Q621" s="398" t="n"/>
      <c r="R621" s="113" t="n"/>
      <c r="S621" s="113" t="n"/>
      <c r="T621" s="113" t="n"/>
      <c r="U621" s="113" t="n"/>
      <c r="V621" s="113" t="n"/>
    </row>
    <row r="622" ht="15.75" customHeight="1">
      <c r="A622" s="146" t="n">
        <v>12</v>
      </c>
      <c r="B622" s="238" t="n"/>
      <c r="C622" s="399" t="n">
        <v>45880</v>
      </c>
      <c r="D622" s="146" t="inlineStr">
        <is>
          <t>219 G. SAN JOSE 2</t>
        </is>
      </c>
      <c r="E622" s="146" t="n">
        <v>42613</v>
      </c>
      <c r="F622" s="146" t="inlineStr">
        <is>
          <t>JHON ARIAS</t>
        </is>
      </c>
      <c r="G622" s="395" t="n">
        <v>3225</v>
      </c>
      <c r="H622" s="395" t="n">
        <v>3205</v>
      </c>
      <c r="I622" s="395" t="n">
        <v>7</v>
      </c>
      <c r="J622" s="395" t="n">
        <v>18</v>
      </c>
      <c r="K622" s="489" t="n">
        <v>-5</v>
      </c>
      <c r="L622" s="266" t="n">
        <v>3225</v>
      </c>
      <c r="M622" s="113" t="n"/>
      <c r="N622" s="113" t="n"/>
      <c r="O622" s="113" t="n"/>
      <c r="P622" s="398" t="n"/>
      <c r="Q622" s="398" t="n"/>
      <c r="R622" s="113" t="n"/>
      <c r="S622" s="113" t="n"/>
      <c r="T622" s="113" t="n"/>
      <c r="U622" s="113" t="n"/>
      <c r="V622" s="113" t="n"/>
    </row>
    <row r="623" ht="15.75" customHeight="1">
      <c r="A623" s="146" t="n">
        <v>12</v>
      </c>
      <c r="B623" s="238" t="n"/>
      <c r="C623" s="399" t="n">
        <v>45880</v>
      </c>
      <c r="D623" s="146" t="inlineStr">
        <is>
          <t>219 G. SAN JOSE 2</t>
        </is>
      </c>
      <c r="E623" s="146" t="n">
        <v>42614</v>
      </c>
      <c r="F623" s="146" t="inlineStr">
        <is>
          <t>JOSE SOLER</t>
        </is>
      </c>
      <c r="G623" s="395" t="n">
        <v>3225</v>
      </c>
      <c r="H623" s="395" t="n">
        <v>3205</v>
      </c>
      <c r="I623" s="395" t="n">
        <v>7</v>
      </c>
      <c r="J623" s="395" t="n">
        <v>17</v>
      </c>
      <c r="K623" s="489" t="n">
        <v>-4</v>
      </c>
      <c r="L623" s="266" t="n">
        <v>3151</v>
      </c>
      <c r="M623" s="113" t="n"/>
      <c r="N623" s="113" t="n"/>
      <c r="O623" s="113" t="n"/>
      <c r="P623" s="398" t="n"/>
      <c r="Q623" s="398" t="n"/>
      <c r="R623" s="113" t="n"/>
      <c r="S623" s="113" t="n"/>
      <c r="T623" s="113" t="n"/>
      <c r="U623" s="113" t="n"/>
      <c r="V623" s="113" t="n"/>
    </row>
    <row r="624" ht="15.75" customHeight="1">
      <c r="A624" s="146" t="n">
        <v>12</v>
      </c>
      <c r="B624" s="238" t="n"/>
      <c r="C624" s="399" t="n">
        <v>45880</v>
      </c>
      <c r="D624" s="146" t="inlineStr">
        <is>
          <t>219 G. SAN JOSE 2</t>
        </is>
      </c>
      <c r="E624" s="146" t="n">
        <v>42622</v>
      </c>
      <c r="F624" s="146" t="inlineStr">
        <is>
          <t>ALBERTO HERRERA</t>
        </is>
      </c>
      <c r="G624" s="395" t="n">
        <v>3150</v>
      </c>
      <c r="H624" s="395" t="n">
        <v>3132</v>
      </c>
      <c r="I624" s="395" t="n">
        <v>4</v>
      </c>
      <c r="J624" s="395" t="n">
        <v>10</v>
      </c>
      <c r="K624" s="489" t="n">
        <v>4</v>
      </c>
      <c r="L624" s="266" t="n">
        <v>3150</v>
      </c>
      <c r="M624" s="113" t="n"/>
      <c r="N624" s="113" t="n"/>
      <c r="O624" s="113" t="n"/>
      <c r="P624" s="398" t="n"/>
      <c r="Q624" s="398" t="n"/>
      <c r="R624" s="113" t="n"/>
      <c r="S624" s="113" t="n"/>
      <c r="T624" s="113" t="n"/>
      <c r="U624" s="113" t="n"/>
      <c r="V624" s="113" t="n"/>
    </row>
    <row r="625" ht="15.75" customHeight="1">
      <c r="A625" s="146" t="n">
        <v>12</v>
      </c>
      <c r="B625" s="238" t="n"/>
      <c r="C625" s="399" t="n">
        <v>45880</v>
      </c>
      <c r="D625" s="146" t="inlineStr">
        <is>
          <t>219 G. SAN JOSE 2</t>
        </is>
      </c>
      <c r="E625" s="146" t="n">
        <v>42623</v>
      </c>
      <c r="F625" s="146" t="inlineStr">
        <is>
          <t>HENRY ROMERO</t>
        </is>
      </c>
      <c r="G625" s="395" t="n">
        <v>3150</v>
      </c>
      <c r="H625" s="395" t="n">
        <v>3132</v>
      </c>
      <c r="I625" s="395" t="n">
        <v>6</v>
      </c>
      <c r="J625" s="395" t="n">
        <v>9</v>
      </c>
      <c r="K625" s="489" t="n">
        <v>3</v>
      </c>
      <c r="L625" s="266" t="n">
        <v>3150</v>
      </c>
      <c r="M625" s="113" t="n"/>
      <c r="N625" s="113" t="n"/>
      <c r="O625" s="113" t="n"/>
      <c r="P625" s="398" t="n"/>
      <c r="Q625" s="398" t="n"/>
      <c r="R625" s="113" t="n"/>
      <c r="S625" s="113" t="n"/>
      <c r="T625" s="113" t="n"/>
      <c r="U625" s="113" t="n"/>
      <c r="V625" s="113" t="n"/>
    </row>
    <row r="626" ht="15.75" customHeight="1">
      <c r="A626" s="146" t="n">
        <v>12</v>
      </c>
      <c r="B626" s="238" t="n"/>
      <c r="C626" s="399" t="n">
        <v>45880</v>
      </c>
      <c r="D626" s="146" t="inlineStr">
        <is>
          <t>219 G. SAN JOSE 2</t>
        </is>
      </c>
      <c r="E626" s="146" t="n">
        <v>42624</v>
      </c>
      <c r="F626" s="146" t="inlineStr">
        <is>
          <t>YAIR RIVEROS</t>
        </is>
      </c>
      <c r="G626" s="395" t="n">
        <v>3150</v>
      </c>
      <c r="H626" s="395" t="n">
        <v>3134</v>
      </c>
      <c r="I626" s="395" t="n">
        <v>5</v>
      </c>
      <c r="J626" s="395" t="n">
        <v>8</v>
      </c>
      <c r="K626" s="489" t="n">
        <v>3</v>
      </c>
      <c r="L626" s="266" t="n">
        <v>3150</v>
      </c>
      <c r="M626" s="113" t="n"/>
      <c r="N626" s="113" t="n"/>
      <c r="O626" s="113" t="n"/>
      <c r="P626" s="398" t="n"/>
      <c r="Q626" s="398" t="n"/>
      <c r="R626" s="113" t="n"/>
      <c r="S626" s="113" t="n"/>
      <c r="T626" s="113" t="n"/>
      <c r="U626" s="113" t="n"/>
      <c r="V626" s="113" t="n"/>
    </row>
    <row r="627" ht="15.75" customHeight="1">
      <c r="A627" s="146" t="n">
        <v>12</v>
      </c>
      <c r="B627" s="238" t="n"/>
      <c r="C627" s="399" t="n">
        <v>45880</v>
      </c>
      <c r="D627" s="146" t="inlineStr">
        <is>
          <t>219 G. SAN JOSE 2</t>
        </is>
      </c>
      <c r="E627" s="146" t="n">
        <v>42625</v>
      </c>
      <c r="F627" s="146" t="inlineStr">
        <is>
          <t>MANUEL QUITIAN</t>
        </is>
      </c>
      <c r="G627" s="395" t="n">
        <v>3150</v>
      </c>
      <c r="H627" s="395" t="n">
        <v>3127</v>
      </c>
      <c r="I627" s="395" t="n">
        <v>3</v>
      </c>
      <c r="J627" s="395" t="n">
        <v>12</v>
      </c>
      <c r="K627" s="489" t="n">
        <v>8</v>
      </c>
      <c r="L627" s="266" t="n">
        <v>3150</v>
      </c>
      <c r="M627" s="113" t="n"/>
      <c r="N627" s="113" t="n"/>
      <c r="O627" s="113" t="n"/>
      <c r="P627" s="398" t="n"/>
      <c r="Q627" s="398" t="n"/>
      <c r="R627" s="113" t="n"/>
      <c r="S627" s="113" t="n"/>
      <c r="T627" s="113" t="n"/>
      <c r="U627" s="113" t="n"/>
      <c r="V627" s="113" t="n"/>
    </row>
    <row r="628" ht="15.75" customHeight="1">
      <c r="A628" s="146" t="n">
        <v>12</v>
      </c>
      <c r="B628" s="238" t="n"/>
      <c r="C628" s="399" t="n">
        <v>45880</v>
      </c>
      <c r="D628" s="146" t="inlineStr">
        <is>
          <t>219 G. SAN JOSE 2</t>
        </is>
      </c>
      <c r="E628" s="146" t="n">
        <v>42626</v>
      </c>
      <c r="F628" s="146" t="inlineStr">
        <is>
          <t>ALEX GOMEZ</t>
        </is>
      </c>
      <c r="G628" s="395" t="n">
        <v>3150</v>
      </c>
      <c r="H628" s="395" t="n">
        <v>3130</v>
      </c>
      <c r="I628" s="395" t="n">
        <v>2</v>
      </c>
      <c r="J628" s="395" t="n">
        <v>11</v>
      </c>
      <c r="K628" s="489" t="n">
        <v>7</v>
      </c>
      <c r="L628" s="266" t="n">
        <v>3150</v>
      </c>
      <c r="M628" s="113" t="n"/>
      <c r="N628" s="113" t="n"/>
      <c r="O628" s="113" t="n"/>
      <c r="P628" s="398" t="n"/>
      <c r="Q628" s="398" t="n"/>
      <c r="R628" s="113" t="n"/>
      <c r="S628" s="113" t="n"/>
      <c r="T628" s="113" t="n"/>
      <c r="U628" s="113" t="n"/>
      <c r="V628" s="113" t="n"/>
    </row>
    <row r="629" ht="15.75" customHeight="1">
      <c r="A629" s="146" t="n">
        <v>12</v>
      </c>
      <c r="B629" s="238" t="n"/>
      <c r="C629" s="399" t="n">
        <v>45880</v>
      </c>
      <c r="D629" s="146" t="inlineStr">
        <is>
          <t>219 G. SAN JOSE 2</t>
        </is>
      </c>
      <c r="E629" s="146" t="n">
        <v>42627</v>
      </c>
      <c r="F629" s="146" t="inlineStr">
        <is>
          <t>JHON ARIAS</t>
        </is>
      </c>
      <c r="G629" s="395" t="n">
        <v>3150</v>
      </c>
      <c r="H629" s="395" t="n">
        <v>3125</v>
      </c>
      <c r="I629" s="395" t="n">
        <v>4</v>
      </c>
      <c r="J629" s="395" t="n">
        <v>14</v>
      </c>
      <c r="K629" s="489" t="n">
        <v>7</v>
      </c>
      <c r="L629" s="266" t="n">
        <v>3150</v>
      </c>
      <c r="M629" s="113" t="n"/>
      <c r="N629" s="113" t="n"/>
      <c r="O629" s="113" t="n"/>
      <c r="P629" s="398" t="n"/>
      <c r="Q629" s="398" t="n"/>
      <c r="R629" s="113" t="n"/>
      <c r="S629" s="113" t="n"/>
      <c r="T629" s="113" t="n"/>
      <c r="U629" s="113" t="n"/>
      <c r="V629" s="113" t="n"/>
    </row>
    <row r="630" ht="15.75" customHeight="1">
      <c r="A630" s="146" t="n">
        <v>12</v>
      </c>
      <c r="B630" s="238" t="n"/>
      <c r="C630" s="399" t="n">
        <v>45880</v>
      </c>
      <c r="D630" s="146" t="inlineStr">
        <is>
          <t>219 G. SAN JOSE 2</t>
        </is>
      </c>
      <c r="E630" s="146" t="n">
        <v>42628</v>
      </c>
      <c r="F630" s="146" t="inlineStr">
        <is>
          <t>DUMAR ANGARITA</t>
        </is>
      </c>
      <c r="G630" s="395" t="n">
        <v>3447</v>
      </c>
      <c r="H630" s="395" t="n">
        <v>3420</v>
      </c>
      <c r="I630" s="395" t="n">
        <v>12</v>
      </c>
      <c r="J630" s="395" t="n">
        <v>8</v>
      </c>
      <c r="K630" s="489" t="n">
        <v>7</v>
      </c>
      <c r="L630" s="266" t="n">
        <v>3450</v>
      </c>
      <c r="M630" s="113" t="n"/>
      <c r="N630" s="113" t="n"/>
      <c r="O630" s="113" t="n"/>
      <c r="P630" s="398" t="n"/>
      <c r="Q630" s="398" t="n"/>
      <c r="R630" s="113" t="n"/>
      <c r="S630" s="113" t="n"/>
      <c r="T630" s="113" t="n"/>
      <c r="U630" s="113" t="n"/>
      <c r="V630" s="113" t="n"/>
    </row>
    <row r="631" ht="15.75" customHeight="1">
      <c r="A631" s="146" t="n">
        <v>12</v>
      </c>
      <c r="B631" s="238" t="n"/>
      <c r="C631" s="399" t="n">
        <v>45880</v>
      </c>
      <c r="D631" s="146" t="inlineStr">
        <is>
          <t>219 G. SAN JOSE 2</t>
        </is>
      </c>
      <c r="E631" s="146" t="n">
        <v>42638</v>
      </c>
      <c r="F631" s="146" t="inlineStr">
        <is>
          <t>FERNANDO OYUELA</t>
        </is>
      </c>
      <c r="G631" s="395" t="n">
        <v>3629</v>
      </c>
      <c r="H631" s="395" t="n">
        <v>3601</v>
      </c>
      <c r="I631" s="395" t="n">
        <v>6</v>
      </c>
      <c r="J631" s="395" t="n">
        <v>9</v>
      </c>
      <c r="K631" s="489" t="n">
        <v>13</v>
      </c>
      <c r="L631" s="266" t="n">
        <v>3629</v>
      </c>
      <c r="M631" s="113" t="n"/>
      <c r="N631" s="113" t="n"/>
      <c r="O631" s="113" t="n"/>
      <c r="P631" s="398" t="n"/>
      <c r="Q631" s="398" t="n"/>
      <c r="R631" s="113" t="n"/>
      <c r="S631" s="113" t="n"/>
      <c r="T631" s="113" t="n"/>
      <c r="U631" s="113" t="n"/>
      <c r="V631" s="113" t="n"/>
    </row>
    <row r="632" ht="15.75" customHeight="1">
      <c r="A632" s="146" t="n">
        <v>12</v>
      </c>
      <c r="B632" s="238" t="n"/>
      <c r="C632" s="399" t="n">
        <v>45880</v>
      </c>
      <c r="D632" s="146" t="inlineStr">
        <is>
          <t>219 G. SAN JOSE 2</t>
        </is>
      </c>
      <c r="E632" s="146" t="n">
        <v>42639</v>
      </c>
      <c r="F632" s="146" t="inlineStr">
        <is>
          <t>JHON ARIAS</t>
        </is>
      </c>
      <c r="G632" s="395" t="n">
        <v>3629</v>
      </c>
      <c r="H632" s="395" t="n">
        <v>3599</v>
      </c>
      <c r="I632" s="395" t="n">
        <v>7</v>
      </c>
      <c r="J632" s="395" t="n">
        <v>12</v>
      </c>
      <c r="K632" s="489" t="n">
        <v>11</v>
      </c>
      <c r="L632" s="286" t="n">
        <v>3629</v>
      </c>
      <c r="M632" s="113" t="n"/>
      <c r="N632" s="113" t="n"/>
      <c r="O632" s="113" t="n"/>
      <c r="P632" s="398" t="n"/>
      <c r="Q632" s="398" t="n"/>
      <c r="R632" s="113" t="n"/>
      <c r="S632" s="113" t="n"/>
      <c r="T632" s="113" t="n"/>
      <c r="U632" s="113" t="n"/>
      <c r="V632" s="113" t="n"/>
    </row>
    <row r="633" ht="15.75" customHeight="1">
      <c r="A633" s="146" t="n">
        <v>12</v>
      </c>
      <c r="B633" s="238" t="n"/>
      <c r="C633" s="399" t="n">
        <v>45881</v>
      </c>
      <c r="D633" s="146" t="inlineStr">
        <is>
          <t>221 G. MALAGUEÑA</t>
        </is>
      </c>
      <c r="E633" s="146" t="n">
        <v>42640</v>
      </c>
      <c r="F633" s="146" t="inlineStr">
        <is>
          <t>FERNANDO OYUELA</t>
        </is>
      </c>
      <c r="G633" s="395" t="n">
        <v>2268</v>
      </c>
      <c r="H633" s="395" t="n">
        <v>2239</v>
      </c>
      <c r="I633" s="395" t="n">
        <v>3</v>
      </c>
      <c r="J633" s="395" t="n">
        <v>29</v>
      </c>
      <c r="K633" s="489" t="n">
        <v>-3</v>
      </c>
      <c r="L633" s="260" t="n">
        <v>2268</v>
      </c>
      <c r="M633" s="113" t="n"/>
      <c r="N633" s="113" t="n"/>
      <c r="O633" s="113" t="n"/>
      <c r="P633" s="398" t="n"/>
      <c r="Q633" s="398" t="n"/>
      <c r="R633" s="113" t="n"/>
      <c r="S633" s="113" t="n"/>
      <c r="T633" s="113" t="n"/>
      <c r="U633" s="113" t="n"/>
      <c r="V633" s="113" t="n"/>
    </row>
    <row r="634" ht="15.75" customHeight="1">
      <c r="A634" s="146" t="n">
        <v>12</v>
      </c>
      <c r="B634" s="238" t="n"/>
      <c r="C634" s="399" t="n">
        <v>45881</v>
      </c>
      <c r="D634" s="146" t="inlineStr">
        <is>
          <t>221 G. MALAGUEÑA</t>
        </is>
      </c>
      <c r="E634" s="146" t="n">
        <v>42641</v>
      </c>
      <c r="F634" s="146" t="inlineStr">
        <is>
          <t>EDUAN CAVIEDES</t>
        </is>
      </c>
      <c r="G634" s="395" t="n">
        <v>2778</v>
      </c>
      <c r="H634" s="395" t="n">
        <v>3320</v>
      </c>
      <c r="I634" s="395" t="n">
        <v>4</v>
      </c>
      <c r="J634" s="395" t="n">
        <v>31</v>
      </c>
      <c r="K634" s="489" t="n">
        <v>-577</v>
      </c>
      <c r="L634" s="266" t="n">
        <v>3851</v>
      </c>
      <c r="M634" s="113" t="n"/>
      <c r="N634" s="113" t="n"/>
      <c r="O634" s="113" t="n"/>
      <c r="P634" s="398" t="n"/>
      <c r="Q634" s="398" t="n"/>
      <c r="R634" s="113" t="n"/>
      <c r="S634" s="113" t="n"/>
      <c r="T634" s="113" t="n"/>
      <c r="U634" s="113" t="n"/>
      <c r="V634" s="113" t="n"/>
    </row>
    <row r="635" ht="15.75" customHeight="1">
      <c r="A635" s="146" t="n">
        <v>12</v>
      </c>
      <c r="B635" s="238" t="n"/>
      <c r="C635" s="399" t="n">
        <v>45881</v>
      </c>
      <c r="D635" s="146" t="inlineStr">
        <is>
          <t>219 G. SAN JOSE 2</t>
        </is>
      </c>
      <c r="E635" s="146" t="n">
        <v>42642</v>
      </c>
      <c r="F635" s="146" t="inlineStr">
        <is>
          <t>DUMAR ANGARITA</t>
        </is>
      </c>
      <c r="G635" s="395" t="n">
        <v>3601</v>
      </c>
      <c r="H635" s="395" t="n">
        <v>3821</v>
      </c>
      <c r="I635" s="395" t="n">
        <v>4</v>
      </c>
      <c r="J635" s="395" t="n">
        <v>30</v>
      </c>
      <c r="K635" s="489" t="n">
        <v>-254</v>
      </c>
      <c r="L635" s="266" t="n">
        <v>3000</v>
      </c>
      <c r="M635" s="113" t="n"/>
      <c r="N635" s="113" t="n"/>
      <c r="O635" s="113" t="n"/>
      <c r="P635" s="398" t="n"/>
      <c r="Q635" s="398" t="n"/>
      <c r="R635" s="113" t="n"/>
      <c r="S635" s="113" t="n"/>
      <c r="T635" s="113" t="n"/>
      <c r="U635" s="113" t="n"/>
      <c r="V635" s="113" t="n"/>
    </row>
    <row r="636" ht="15.75" customHeight="1">
      <c r="A636" s="146" t="n">
        <v>12</v>
      </c>
      <c r="B636" s="238" t="n"/>
      <c r="C636" s="399" t="n">
        <v>45881</v>
      </c>
      <c r="D636" s="146" t="inlineStr">
        <is>
          <t>219 G. SAN JOSE 2</t>
        </is>
      </c>
      <c r="E636" s="146" t="n">
        <v>42643</v>
      </c>
      <c r="F636" s="146" t="inlineStr">
        <is>
          <t>YAIR RIVEROS</t>
        </is>
      </c>
      <c r="G636" s="395" t="n">
        <v>3000</v>
      </c>
      <c r="H636" s="395" t="n">
        <v>2973</v>
      </c>
      <c r="I636" s="395" t="n">
        <v>3</v>
      </c>
      <c r="J636" s="395" t="n">
        <v>16</v>
      </c>
      <c r="K636" s="489" t="n">
        <v>8</v>
      </c>
      <c r="L636" s="266" t="n">
        <v>3349</v>
      </c>
      <c r="M636" s="113" t="n"/>
      <c r="N636" s="113" t="n"/>
      <c r="O636" s="113" t="n"/>
      <c r="P636" s="398" t="n"/>
      <c r="Q636" s="398" t="n"/>
      <c r="R636" s="113" t="n"/>
      <c r="S636" s="113" t="n"/>
      <c r="T636" s="113" t="n"/>
      <c r="U636" s="113" t="n"/>
      <c r="V636" s="113" t="n"/>
    </row>
    <row r="637" ht="15.75" customHeight="1">
      <c r="A637" s="146" t="n">
        <v>12</v>
      </c>
      <c r="B637" s="238" t="n"/>
      <c r="C637" s="399" t="n">
        <v>45881</v>
      </c>
      <c r="D637" s="146" t="inlineStr">
        <is>
          <t>219 G. SAN JOSE 2</t>
        </is>
      </c>
      <c r="E637" s="146" t="n">
        <v>42644</v>
      </c>
      <c r="F637" s="146" t="inlineStr">
        <is>
          <t>ALBERTO HERRERA</t>
        </is>
      </c>
      <c r="G637" s="395" t="n">
        <v>3000</v>
      </c>
      <c r="H637" s="395" t="n">
        <v>2972</v>
      </c>
      <c r="I637" s="395" t="n">
        <v>4</v>
      </c>
      <c r="J637" s="395" t="n">
        <v>20</v>
      </c>
      <c r="K637" s="489" t="n">
        <v>4</v>
      </c>
      <c r="L637" s="266" t="n">
        <v>3000</v>
      </c>
      <c r="M637" s="113" t="n"/>
      <c r="N637" s="113" t="n"/>
      <c r="O637" s="113" t="n"/>
      <c r="P637" s="398" t="n"/>
      <c r="Q637" s="398" t="n"/>
      <c r="R637" s="113" t="n"/>
      <c r="S637" s="113" t="n"/>
      <c r="T637" s="113" t="n"/>
      <c r="U637" s="113" t="n"/>
      <c r="V637" s="113" t="n"/>
    </row>
    <row r="638" ht="15.75" customHeight="1">
      <c r="A638" s="146" t="n">
        <v>12</v>
      </c>
      <c r="B638" s="238" t="n"/>
      <c r="C638" s="399" t="n">
        <v>45881</v>
      </c>
      <c r="D638" s="146" t="inlineStr">
        <is>
          <t>219 G. SAN JOSE 2</t>
        </is>
      </c>
      <c r="E638" s="146" t="n">
        <v>42645</v>
      </c>
      <c r="F638" s="146" t="inlineStr">
        <is>
          <t>JHON AGUIRRE</t>
        </is>
      </c>
      <c r="G638" s="395" t="n">
        <v>3000</v>
      </c>
      <c r="H638" s="395" t="n">
        <v>2973</v>
      </c>
      <c r="I638" s="395" t="n">
        <v>3</v>
      </c>
      <c r="J638" s="395" t="n">
        <v>17</v>
      </c>
      <c r="K638" s="489" t="n">
        <v>7</v>
      </c>
      <c r="L638" s="266" t="n">
        <v>3000</v>
      </c>
      <c r="M638" s="113" t="n"/>
      <c r="N638" s="113" t="n"/>
      <c r="O638" s="113" t="n"/>
      <c r="P638" s="398" t="n"/>
      <c r="Q638" s="398" t="n"/>
      <c r="R638" s="113" t="n"/>
      <c r="S638" s="113" t="n"/>
      <c r="T638" s="113" t="n"/>
      <c r="U638" s="113" t="n"/>
      <c r="V638" s="113" t="n"/>
    </row>
    <row r="639" ht="15.75" customHeight="1">
      <c r="A639" s="146" t="n">
        <v>12</v>
      </c>
      <c r="B639" s="238" t="n"/>
      <c r="C639" s="399" t="n">
        <v>45881</v>
      </c>
      <c r="D639" s="146" t="inlineStr">
        <is>
          <t>219 G. SAN JOSE 2</t>
        </is>
      </c>
      <c r="E639" s="146" t="n">
        <v>42646</v>
      </c>
      <c r="F639" s="146" t="inlineStr">
        <is>
          <t>JAIRO CUBILLOS</t>
        </is>
      </c>
      <c r="G639" s="395" t="n">
        <v>3240</v>
      </c>
      <c r="H639" s="395" t="n">
        <v>3215</v>
      </c>
      <c r="I639" s="395" t="n">
        <v>3</v>
      </c>
      <c r="J639" s="395" t="n">
        <v>14</v>
      </c>
      <c r="K639" s="489" t="n">
        <v>8</v>
      </c>
      <c r="L639" s="266" t="n">
        <v>3240</v>
      </c>
      <c r="M639" s="113" t="n"/>
      <c r="N639" s="113" t="n"/>
      <c r="O639" s="113" t="n"/>
      <c r="P639" s="398" t="n"/>
      <c r="Q639" s="398" t="n"/>
      <c r="R639" s="113" t="n"/>
      <c r="S639" s="113" t="n"/>
      <c r="T639" s="113" t="n"/>
      <c r="U639" s="113" t="n"/>
      <c r="V639" s="113" t="n"/>
    </row>
    <row r="640" ht="15.75" customHeight="1">
      <c r="A640" s="146" t="n">
        <v>12</v>
      </c>
      <c r="B640" s="238" t="n"/>
      <c r="C640" s="399" t="n">
        <v>45881</v>
      </c>
      <c r="D640" s="146" t="inlineStr">
        <is>
          <t>219 G. SAN JOSE 2</t>
        </is>
      </c>
      <c r="E640" s="146" t="n">
        <v>42654</v>
      </c>
      <c r="F640" s="146" t="inlineStr">
        <is>
          <t>FERNANDO OYUELA</t>
        </is>
      </c>
      <c r="G640" s="395" t="n">
        <v>3100</v>
      </c>
      <c r="H640" s="395" t="n">
        <v>3073</v>
      </c>
      <c r="I640" s="395" t="n">
        <v>2</v>
      </c>
      <c r="J640" s="395" t="n">
        <v>22</v>
      </c>
      <c r="K640" s="489" t="n">
        <v>3</v>
      </c>
      <c r="L640" s="266" t="n">
        <v>3100</v>
      </c>
      <c r="M640" s="113" t="n"/>
      <c r="N640" s="113" t="n"/>
      <c r="O640" s="113" t="n"/>
      <c r="P640" s="398" t="n"/>
      <c r="Q640" s="398" t="n"/>
      <c r="R640" s="113" t="n"/>
      <c r="S640" s="113" t="n"/>
      <c r="T640" s="113" t="n"/>
      <c r="U640" s="113" t="n"/>
      <c r="V640" s="113" t="n"/>
    </row>
    <row r="641" ht="15.75" customHeight="1">
      <c r="A641" s="146" t="n">
        <v>12</v>
      </c>
      <c r="B641" s="238" t="n"/>
      <c r="C641" s="399" t="n">
        <v>45881</v>
      </c>
      <c r="D641" s="146" t="inlineStr">
        <is>
          <t>219 G. SAN JOSE 2</t>
        </is>
      </c>
      <c r="E641" s="146" t="n">
        <v>42655</v>
      </c>
      <c r="F641" s="146" t="inlineStr">
        <is>
          <t>DUMAR ANGARITA</t>
        </is>
      </c>
      <c r="G641" s="395" t="n">
        <v>3100</v>
      </c>
      <c r="H641" s="395" t="n">
        <v>3076</v>
      </c>
      <c r="I641" s="395" t="n">
        <v>2</v>
      </c>
      <c r="J641" s="395" t="n">
        <v>19</v>
      </c>
      <c r="K641" s="489" t="n">
        <v>3</v>
      </c>
      <c r="L641" s="266" t="n">
        <v>3100</v>
      </c>
      <c r="M641" s="113" t="n"/>
      <c r="N641" s="113" t="n"/>
      <c r="O641" s="113" t="n"/>
      <c r="P641" s="398" t="n"/>
      <c r="Q641" s="398" t="n"/>
      <c r="R641" s="113" t="n"/>
      <c r="S641" s="113" t="n"/>
      <c r="T641" s="113" t="n"/>
      <c r="U641" s="113" t="n"/>
      <c r="V641" s="113" t="n"/>
    </row>
    <row r="642" ht="15.75" customHeight="1">
      <c r="A642" s="146" t="n">
        <v>12</v>
      </c>
      <c r="B642" s="238" t="n"/>
      <c r="C642" s="399" t="n">
        <v>45881</v>
      </c>
      <c r="D642" s="146" t="inlineStr">
        <is>
          <t>219 G. SAN JOSE 2</t>
        </is>
      </c>
      <c r="E642" s="146" t="n">
        <v>42656</v>
      </c>
      <c r="F642" s="146" t="inlineStr">
        <is>
          <t>ALBERTO HERRERA</t>
        </is>
      </c>
      <c r="G642" s="395" t="n">
        <v>3100</v>
      </c>
      <c r="H642" s="395" t="n">
        <v>3071</v>
      </c>
      <c r="I642" s="395" t="n">
        <v>2</v>
      </c>
      <c r="J642" s="395" t="n">
        <v>12</v>
      </c>
      <c r="K642" s="489" t="n">
        <v>15</v>
      </c>
      <c r="L642" s="266" t="n">
        <v>3100</v>
      </c>
      <c r="M642" s="113" t="n"/>
      <c r="N642" s="113" t="n"/>
      <c r="O642" s="113" t="n"/>
      <c r="P642" s="398" t="n"/>
      <c r="Q642" s="398" t="n"/>
      <c r="R642" s="113" t="n"/>
      <c r="S642" s="113" t="n"/>
      <c r="T642" s="113" t="n"/>
      <c r="U642" s="113" t="n"/>
      <c r="V642" s="113" t="n"/>
    </row>
    <row r="643" ht="15.75" customHeight="1">
      <c r="A643" s="146" t="n">
        <v>12</v>
      </c>
      <c r="B643" s="238" t="n"/>
      <c r="C643" s="399" t="n">
        <v>45881</v>
      </c>
      <c r="D643" s="146" t="inlineStr">
        <is>
          <t>219 G. SAN JOSE 2</t>
        </is>
      </c>
      <c r="E643" s="146" t="n">
        <v>42657</v>
      </c>
      <c r="F643" s="146" t="inlineStr">
        <is>
          <t>ALBERTO LOPEZ</t>
        </is>
      </c>
      <c r="G643" s="395" t="n">
        <v>3240</v>
      </c>
      <c r="H643" s="395" t="n">
        <v>3215</v>
      </c>
      <c r="I643" s="395" t="n">
        <v>8</v>
      </c>
      <c r="J643" s="395" t="n">
        <v>15</v>
      </c>
      <c r="K643" s="489" t="n">
        <v>2</v>
      </c>
      <c r="L643" s="266" t="n">
        <v>3250</v>
      </c>
      <c r="M643" s="113" t="n"/>
      <c r="N643" s="113" t="n"/>
      <c r="O643" s="113" t="n"/>
      <c r="P643" s="398" t="n"/>
      <c r="Q643" s="398" t="n"/>
      <c r="R643" s="113" t="n"/>
      <c r="S643" s="113" t="n"/>
      <c r="T643" s="113" t="n"/>
      <c r="U643" s="113" t="n"/>
      <c r="V643" s="113" t="n"/>
    </row>
    <row r="644" ht="15.75" customHeight="1">
      <c r="A644" s="146" t="n">
        <v>12</v>
      </c>
      <c r="B644" s="238" t="n"/>
      <c r="C644" s="399" t="n">
        <v>45881</v>
      </c>
      <c r="D644" s="146" t="inlineStr">
        <is>
          <t>219 G. SAN JOSE 2</t>
        </is>
      </c>
      <c r="E644" s="146" t="n">
        <v>42658</v>
      </c>
      <c r="F644" s="146" t="inlineStr">
        <is>
          <t>JOSE SOLER</t>
        </is>
      </c>
      <c r="G644" s="395" t="n">
        <v>3250</v>
      </c>
      <c r="H644" s="395" t="n">
        <v>3228</v>
      </c>
      <c r="I644" s="395" t="n">
        <v>5</v>
      </c>
      <c r="J644" s="395" t="n">
        <v>12</v>
      </c>
      <c r="K644" s="489" t="n">
        <v>5</v>
      </c>
      <c r="L644" s="266" t="n">
        <v>3250</v>
      </c>
      <c r="M644" s="113" t="n"/>
      <c r="N644" s="113" t="n"/>
      <c r="O644" s="113" t="n"/>
      <c r="P644" s="398" t="n"/>
      <c r="Q644" s="398" t="n"/>
      <c r="R644" s="113" t="n"/>
      <c r="S644" s="113" t="n"/>
      <c r="T644" s="113" t="n"/>
      <c r="U644" s="113" t="n"/>
      <c r="V644" s="113" t="n"/>
    </row>
    <row r="645" ht="15.75" customHeight="1">
      <c r="A645" s="146" t="n">
        <v>12</v>
      </c>
      <c r="B645" s="238" t="n"/>
      <c r="C645" s="399" t="n">
        <v>45881</v>
      </c>
      <c r="D645" s="146" t="inlineStr">
        <is>
          <t>219 G. SAN JOSE 2</t>
        </is>
      </c>
      <c r="E645" s="146" t="n">
        <v>42659</v>
      </c>
      <c r="F645" s="146" t="inlineStr">
        <is>
          <t>JHON ARIAS</t>
        </is>
      </c>
      <c r="G645" s="395" t="n">
        <v>3250</v>
      </c>
      <c r="H645" s="395" t="n">
        <v>3227</v>
      </c>
      <c r="I645" s="395" t="n">
        <v>10</v>
      </c>
      <c r="J645" s="395" t="n">
        <v>10</v>
      </c>
      <c r="K645" s="489" t="n">
        <v>3</v>
      </c>
      <c r="L645" s="266" t="n">
        <v>3250</v>
      </c>
      <c r="M645" s="113" t="n"/>
      <c r="N645" s="113" t="n"/>
      <c r="O645" s="113" t="n"/>
      <c r="P645" s="398" t="n"/>
      <c r="Q645" s="398" t="n"/>
      <c r="R645" s="113" t="n"/>
      <c r="S645" s="113" t="n"/>
      <c r="T645" s="113" t="n"/>
      <c r="U645" s="113" t="n"/>
      <c r="V645" s="113" t="n"/>
    </row>
    <row r="646" ht="15.75" customHeight="1">
      <c r="A646" s="146" t="n">
        <v>12</v>
      </c>
      <c r="B646" s="238" t="n"/>
      <c r="C646" s="399" t="n">
        <v>45881</v>
      </c>
      <c r="D646" s="146" t="inlineStr">
        <is>
          <t>219 G. SAN JOSE 2</t>
        </is>
      </c>
      <c r="E646" s="146" t="n">
        <v>42660</v>
      </c>
      <c r="F646" s="146" t="inlineStr">
        <is>
          <t>MANUEL QUITIAN</t>
        </is>
      </c>
      <c r="G646" s="395" t="n">
        <v>3250</v>
      </c>
      <c r="H646" s="395" t="n">
        <v>3227</v>
      </c>
      <c r="I646" s="395" t="n">
        <v>10</v>
      </c>
      <c r="J646" s="395" t="n">
        <v>9</v>
      </c>
      <c r="K646" s="489" t="n">
        <v>4</v>
      </c>
      <c r="L646" s="286" t="n">
        <v>3250</v>
      </c>
      <c r="M646" s="113" t="n"/>
      <c r="N646" s="113" t="n"/>
      <c r="O646" s="113" t="n"/>
      <c r="P646" s="398" t="n"/>
      <c r="Q646" s="398" t="n"/>
      <c r="R646" s="113" t="n"/>
      <c r="S646" s="113" t="n"/>
      <c r="T646" s="113" t="n"/>
      <c r="U646" s="113" t="n"/>
      <c r="V646" s="113" t="n"/>
    </row>
    <row r="647" ht="15.75" customHeight="1">
      <c r="A647" s="146" t="n">
        <v>12</v>
      </c>
      <c r="B647" s="238" t="n"/>
      <c r="C647" s="399" t="n">
        <v>45883</v>
      </c>
      <c r="D647" s="146" t="inlineStr">
        <is>
          <t>219 G. SAN JOSE 2</t>
        </is>
      </c>
      <c r="E647" s="146" t="n">
        <v>42679</v>
      </c>
      <c r="F647" s="146" t="inlineStr">
        <is>
          <t>HENRY ROMERO</t>
        </is>
      </c>
      <c r="G647" s="395" t="n">
        <v>3240</v>
      </c>
      <c r="H647" s="395" t="n">
        <v>3221</v>
      </c>
      <c r="I647" s="395" t="n">
        <v>1</v>
      </c>
      <c r="J647" s="395" t="n">
        <v>10</v>
      </c>
      <c r="K647" s="489" t="n">
        <v>8</v>
      </c>
      <c r="L647" s="383" t="n">
        <v>3240</v>
      </c>
      <c r="M647" s="113" t="n"/>
      <c r="N647" s="113" t="n"/>
      <c r="O647" s="113" t="n"/>
      <c r="P647" s="398" t="n"/>
      <c r="Q647" s="398" t="n"/>
      <c r="R647" s="113" t="n"/>
      <c r="S647" s="113" t="n"/>
      <c r="T647" s="113" t="n"/>
      <c r="U647" s="113" t="n"/>
      <c r="V647" s="113" t="n"/>
    </row>
    <row r="648" ht="15.75" customHeight="1">
      <c r="A648" s="146" t="n">
        <v>12</v>
      </c>
      <c r="B648" s="238" t="n"/>
      <c r="C648" s="399" t="n">
        <v>45883</v>
      </c>
      <c r="D648" s="146" t="inlineStr">
        <is>
          <t>219 G. SAN JOSE 2</t>
        </is>
      </c>
      <c r="E648" s="146" t="n">
        <v>42680</v>
      </c>
      <c r="F648" s="146" t="inlineStr">
        <is>
          <t>FABIO ALDANA</t>
        </is>
      </c>
      <c r="G648" s="395" t="n">
        <v>3240</v>
      </c>
      <c r="H648" s="395" t="n">
        <v>3225</v>
      </c>
      <c r="I648" s="395" t="n">
        <v>2</v>
      </c>
      <c r="J648" s="395" t="n">
        <v>8</v>
      </c>
      <c r="K648" s="489" t="n">
        <v>5</v>
      </c>
      <c r="L648" s="266" t="n">
        <v>3240</v>
      </c>
      <c r="M648" s="113" t="n"/>
      <c r="N648" s="113" t="n"/>
      <c r="O648" s="113" t="n"/>
      <c r="P648" s="398" t="n"/>
      <c r="Q648" s="398" t="n"/>
      <c r="R648" s="113" t="n"/>
      <c r="S648" s="113" t="n"/>
      <c r="T648" s="113" t="n"/>
      <c r="U648" s="113" t="n"/>
      <c r="V648" s="113" t="n"/>
    </row>
    <row r="649" ht="15.75" customHeight="1">
      <c r="A649" s="146" t="n">
        <v>12</v>
      </c>
      <c r="B649" s="238" t="n"/>
      <c r="C649" s="399" t="n">
        <v>45883</v>
      </c>
      <c r="D649" s="146" t="inlineStr">
        <is>
          <t>219 G. SAN JOSE 2</t>
        </is>
      </c>
      <c r="E649" s="146" t="n">
        <v>42681</v>
      </c>
      <c r="F649" s="146" t="inlineStr">
        <is>
          <t>ALBERTO HERRERA</t>
        </is>
      </c>
      <c r="G649" s="395" t="n">
        <v>3240</v>
      </c>
      <c r="H649" s="395" t="n">
        <v>3222</v>
      </c>
      <c r="I649" s="395" t="n">
        <v>2</v>
      </c>
      <c r="J649" s="395" t="n">
        <v>9</v>
      </c>
      <c r="K649" s="489" t="n">
        <v>7</v>
      </c>
      <c r="L649" s="266" t="n">
        <v>3240</v>
      </c>
      <c r="M649" s="113" t="n"/>
      <c r="N649" s="113" t="n"/>
      <c r="O649" s="113" t="n"/>
      <c r="P649" s="398" t="n"/>
      <c r="Q649" s="398" t="n"/>
      <c r="R649" s="113" t="n"/>
      <c r="S649" s="113" t="n"/>
      <c r="T649" s="113" t="n"/>
      <c r="U649" s="113" t="n"/>
      <c r="V649" s="113" t="n"/>
    </row>
    <row r="650" ht="15.75" customHeight="1">
      <c r="A650" s="146" t="n">
        <v>12</v>
      </c>
      <c r="B650" s="238" t="n"/>
      <c r="C650" s="399" t="n">
        <v>45883</v>
      </c>
      <c r="D650" s="146" t="inlineStr">
        <is>
          <t>219 G. SAN JOSE 2</t>
        </is>
      </c>
      <c r="E650" s="146" t="n">
        <v>42689</v>
      </c>
      <c r="F650" s="146" t="inlineStr">
        <is>
          <t>DUMAR ANGARITA</t>
        </is>
      </c>
      <c r="G650" s="395" t="n">
        <v>3240</v>
      </c>
      <c r="H650" s="395" t="n">
        <v>3216</v>
      </c>
      <c r="I650" s="395" t="n">
        <v>2</v>
      </c>
      <c r="J650" s="395" t="n">
        <v>14</v>
      </c>
      <c r="K650" s="489" t="n">
        <v>8</v>
      </c>
      <c r="L650" s="266" t="n">
        <v>3240</v>
      </c>
      <c r="M650" s="113" t="n"/>
      <c r="N650" s="113" t="n"/>
      <c r="O650" s="113" t="n"/>
      <c r="P650" s="398" t="n"/>
      <c r="Q650" s="398" t="n"/>
      <c r="R650" s="113" t="n"/>
      <c r="S650" s="113" t="n"/>
      <c r="T650" s="113" t="n"/>
      <c r="U650" s="113" t="n"/>
      <c r="V650" s="113" t="n"/>
    </row>
    <row r="651" ht="15.75" customHeight="1">
      <c r="A651" s="146" t="n">
        <v>12</v>
      </c>
      <c r="B651" s="238" t="n"/>
      <c r="C651" s="399" t="n">
        <v>45883</v>
      </c>
      <c r="D651" s="146" t="inlineStr">
        <is>
          <t>219 G. SAN JOSE 2</t>
        </is>
      </c>
      <c r="E651" s="146" t="n">
        <v>42690</v>
      </c>
      <c r="F651" s="146" t="inlineStr">
        <is>
          <t>HENRY ROMERO</t>
        </is>
      </c>
      <c r="G651" s="395" t="n">
        <v>3564</v>
      </c>
      <c r="H651" s="395" t="n">
        <v>3536</v>
      </c>
      <c r="I651" s="395" t="n">
        <v>6</v>
      </c>
      <c r="J651" s="395" t="n">
        <v>15</v>
      </c>
      <c r="K651" s="489" t="n">
        <v>7</v>
      </c>
      <c r="L651" s="266" t="n">
        <v>3564</v>
      </c>
      <c r="M651" s="113" t="n"/>
      <c r="N651" s="113" t="n"/>
      <c r="O651" s="113" t="n"/>
      <c r="P651" s="398" t="n"/>
      <c r="Q651" s="398" t="n"/>
      <c r="R651" s="113" t="n"/>
      <c r="S651" s="113" t="n"/>
      <c r="T651" s="113" t="n"/>
      <c r="U651" s="113" t="n"/>
      <c r="V651" s="113" t="n"/>
    </row>
    <row r="652" ht="15.75" customHeight="1">
      <c r="A652" s="146" t="n">
        <v>12</v>
      </c>
      <c r="B652" s="238" t="n"/>
      <c r="C652" s="399" t="n">
        <v>45883</v>
      </c>
      <c r="D652" s="146" t="inlineStr">
        <is>
          <t>219 G. SAN JOSE 2</t>
        </is>
      </c>
      <c r="E652" s="146" t="n">
        <v>42691</v>
      </c>
      <c r="F652" s="146" t="inlineStr">
        <is>
          <t>JOSE SOLER</t>
        </is>
      </c>
      <c r="G652" s="395" t="n">
        <v>3564</v>
      </c>
      <c r="H652" s="395" t="n">
        <v>3534</v>
      </c>
      <c r="I652" s="395" t="n">
        <v>5</v>
      </c>
      <c r="J652" s="395" t="n">
        <v>16</v>
      </c>
      <c r="K652" s="489" t="n">
        <v>9</v>
      </c>
      <c r="L652" s="266" t="n">
        <v>3564</v>
      </c>
      <c r="M652" s="113" t="n"/>
      <c r="N652" s="113" t="n"/>
      <c r="O652" s="113" t="n"/>
      <c r="P652" s="398" t="n"/>
      <c r="Q652" s="398" t="n"/>
      <c r="R652" s="113" t="n"/>
      <c r="S652" s="113" t="n"/>
      <c r="T652" s="113" t="n"/>
      <c r="U652" s="113" t="n"/>
      <c r="V652" s="113" t="n"/>
    </row>
    <row r="653" ht="15.75" customHeight="1">
      <c r="A653" s="146" t="n">
        <v>12</v>
      </c>
      <c r="B653" s="238" t="n"/>
      <c r="C653" s="399" t="n">
        <v>45883</v>
      </c>
      <c r="D653" s="146" t="inlineStr">
        <is>
          <t>219 G. SAN JOSE 2</t>
        </is>
      </c>
      <c r="E653" s="146" t="n">
        <v>42692</v>
      </c>
      <c r="F653" s="146" t="inlineStr">
        <is>
          <t xml:space="preserve"> ALEX GOMEZ</t>
        </is>
      </c>
      <c r="G653" s="395" t="n">
        <v>3240</v>
      </c>
      <c r="H653" s="395" t="n">
        <v>3233</v>
      </c>
      <c r="I653" s="395" t="n">
        <v>4</v>
      </c>
      <c r="J653" s="395" t="n">
        <v>7</v>
      </c>
      <c r="K653" s="489" t="n">
        <v>-4</v>
      </c>
      <c r="L653" s="266" t="n">
        <v>3240</v>
      </c>
      <c r="M653" s="113" t="n"/>
      <c r="N653" s="113" t="n"/>
      <c r="O653" s="113" t="n"/>
      <c r="P653" s="398" t="n"/>
      <c r="Q653" s="398" t="n"/>
      <c r="R653" s="113" t="n"/>
      <c r="S653" s="113" t="n"/>
      <c r="T653" s="113" t="n"/>
      <c r="U653" s="113" t="n"/>
      <c r="V653" s="113" t="n"/>
    </row>
    <row r="654" ht="15.75" customHeight="1">
      <c r="A654" s="146" t="n">
        <v>12</v>
      </c>
      <c r="B654" s="238" t="n"/>
      <c r="C654" s="399" t="n">
        <v>45883</v>
      </c>
      <c r="D654" s="146" t="inlineStr">
        <is>
          <t>219 G. SAN JOSE 2</t>
        </is>
      </c>
      <c r="E654" s="146" t="n">
        <v>42693</v>
      </c>
      <c r="F654" s="146" t="inlineStr">
        <is>
          <t>MANUEL QUITIAN</t>
        </is>
      </c>
      <c r="G654" s="395" t="n">
        <v>3080</v>
      </c>
      <c r="H654" s="395" t="n">
        <v>3070</v>
      </c>
      <c r="I654" s="395" t="n">
        <v>6</v>
      </c>
      <c r="J654" s="395" t="n">
        <v>10</v>
      </c>
      <c r="K654" s="489" t="n">
        <v>-6</v>
      </c>
      <c r="L654" s="286" t="n">
        <v>3070</v>
      </c>
      <c r="M654" s="113" t="n"/>
      <c r="N654" s="113" t="n"/>
      <c r="O654" s="113" t="n"/>
      <c r="P654" s="398" t="n"/>
      <c r="Q654" s="398" t="n"/>
      <c r="R654" s="113" t="n"/>
      <c r="S654" s="113" t="n"/>
      <c r="T654" s="113" t="n"/>
      <c r="U654" s="113" t="n"/>
      <c r="V654" s="113" t="n"/>
    </row>
    <row r="655" ht="15.75" customHeight="1">
      <c r="A655" s="146" t="n">
        <v>12</v>
      </c>
      <c r="B655" s="238" t="n"/>
      <c r="C655" s="399" t="n"/>
      <c r="D655" s="113" t="n"/>
      <c r="E655" s="113" t="n"/>
      <c r="F655" s="113" t="n"/>
      <c r="G655" s="395">
        <f>SUBTOTAL(9,G617:G654)</f>
        <v/>
      </c>
      <c r="H655" s="395">
        <f>SUBTOTAL(9,H617:H654)</f>
        <v/>
      </c>
      <c r="I655" s="395">
        <f>SUBTOTAL(9,I617:I654)</f>
        <v/>
      </c>
      <c r="J655" s="395">
        <f>SUBTOTAL(9,J617:J654)</f>
        <v/>
      </c>
      <c r="K655" s="395">
        <f>SUBTOTAL(9,K617:K654)</f>
        <v/>
      </c>
      <c r="L655" s="477">
        <f>SUBTOTAL(9,L617:L654)</f>
        <v/>
      </c>
      <c r="M655" s="113" t="n"/>
      <c r="N655" s="113" t="n"/>
      <c r="O655" s="113" t="n"/>
      <c r="P655" s="398" t="n"/>
      <c r="Q655" s="398" t="n"/>
      <c r="R655" s="113" t="n"/>
      <c r="S655" s="113" t="n"/>
      <c r="T655" s="113" t="n"/>
      <c r="U655" s="113" t="n"/>
      <c r="V655" s="113" t="n"/>
    </row>
    <row r="656" ht="15.75" customHeight="1">
      <c r="A656" s="146" t="n">
        <v>13</v>
      </c>
      <c r="B656" s="238" t="n"/>
      <c r="C656" s="399" t="n">
        <v>45886</v>
      </c>
      <c r="D656" s="162" t="inlineStr">
        <is>
          <t>219 G. SAN JOSE 2</t>
        </is>
      </c>
      <c r="E656" s="162" t="n">
        <v>42743</v>
      </c>
      <c r="F656" s="162" t="inlineStr">
        <is>
          <t>YAIR RIVEROS</t>
        </is>
      </c>
      <c r="G656" s="162" t="n">
        <v>2457</v>
      </c>
      <c r="H656" s="162" t="n">
        <v>2448</v>
      </c>
      <c r="I656" s="162" t="n">
        <v>5</v>
      </c>
      <c r="J656" s="162" t="n">
        <v>27</v>
      </c>
      <c r="K656" s="162" t="n">
        <v>-23</v>
      </c>
      <c r="L656" s="397" t="n">
        <v>3166</v>
      </c>
      <c r="M656" s="113" t="n"/>
      <c r="N656" s="113" t="n"/>
      <c r="O656" s="113" t="n"/>
      <c r="P656" s="398" t="n"/>
      <c r="Q656" s="398" t="n"/>
      <c r="R656" s="113" t="n"/>
      <c r="S656" s="113" t="n"/>
      <c r="T656" s="113" t="n"/>
      <c r="U656" s="113" t="n"/>
      <c r="V656" s="113" t="n"/>
    </row>
    <row r="657" ht="15.75" customHeight="1">
      <c r="A657" s="146" t="n">
        <v>13</v>
      </c>
      <c r="B657" s="238" t="n"/>
      <c r="C657" s="481" t="n">
        <v>45886</v>
      </c>
      <c r="D657" s="482" t="inlineStr">
        <is>
          <t>202 G. HUERTAS</t>
        </is>
      </c>
      <c r="E657" s="482" t="n">
        <v>42733</v>
      </c>
      <c r="F657" s="482" t="inlineStr">
        <is>
          <t>YAIR RIVEROS</t>
        </is>
      </c>
      <c r="G657" s="482" t="n">
        <v>3166</v>
      </c>
      <c r="H657" s="482" t="n">
        <v>3128</v>
      </c>
      <c r="I657" s="482" t="n">
        <v>9</v>
      </c>
      <c r="J657" s="482" t="n">
        <v>27</v>
      </c>
      <c r="K657" s="482" t="n">
        <v>2</v>
      </c>
      <c r="L657" s="397" t="n">
        <v>3166</v>
      </c>
      <c r="M657" s="113" t="n"/>
      <c r="N657" s="113" t="n"/>
      <c r="O657" s="113" t="n"/>
      <c r="P657" s="398" t="n"/>
      <c r="Q657" s="398" t="n"/>
      <c r="R657" s="113" t="n"/>
      <c r="S657" s="113" t="n"/>
      <c r="T657" s="113" t="n"/>
      <c r="U657" s="113" t="n"/>
      <c r="V657" s="113" t="n"/>
    </row>
    <row r="658" ht="15.75" customHeight="1">
      <c r="A658" s="146" t="n">
        <v>13</v>
      </c>
      <c r="B658" s="238" t="n"/>
      <c r="C658" s="481" t="n">
        <v>45886</v>
      </c>
      <c r="D658" s="482" t="inlineStr">
        <is>
          <t>202 G. HUERTAS</t>
        </is>
      </c>
      <c r="E658" s="482" t="n">
        <v>42734</v>
      </c>
      <c r="F658" s="482" t="inlineStr">
        <is>
          <t>JHON AGUIRRE</t>
        </is>
      </c>
      <c r="G658" s="482" t="n">
        <v>3166</v>
      </c>
      <c r="H658" s="482" t="n">
        <v>3127</v>
      </c>
      <c r="I658" s="482" t="n">
        <v>8</v>
      </c>
      <c r="J658" s="482" t="n">
        <v>28</v>
      </c>
      <c r="K658" s="482" t="n">
        <v>3</v>
      </c>
      <c r="L658" s="397" t="n">
        <v>3166</v>
      </c>
      <c r="M658" s="113" t="n"/>
      <c r="N658" s="113" t="n"/>
      <c r="O658" s="113" t="n"/>
      <c r="P658" s="398" t="n"/>
      <c r="Q658" s="398" t="n"/>
      <c r="R658" s="113" t="n"/>
      <c r="S658" s="113" t="n"/>
      <c r="T658" s="113" t="n"/>
      <c r="U658" s="113" t="n"/>
      <c r="V658" s="113" t="n"/>
    </row>
    <row r="659" ht="15.75" customHeight="1">
      <c r="A659" s="146" t="n">
        <v>13</v>
      </c>
      <c r="B659" s="238" t="n"/>
      <c r="C659" s="481" t="n">
        <v>45886</v>
      </c>
      <c r="D659" s="482" t="inlineStr">
        <is>
          <t>202 G. HUERTAS</t>
        </is>
      </c>
      <c r="E659" s="482" t="n">
        <v>42735</v>
      </c>
      <c r="F659" s="482" t="inlineStr">
        <is>
          <t>JAIRO CUBILLOS</t>
        </is>
      </c>
      <c r="G659" s="482" t="n">
        <v>3166</v>
      </c>
      <c r="H659" s="482" t="n">
        <v>3127</v>
      </c>
      <c r="I659" s="482" t="n">
        <v>5</v>
      </c>
      <c r="J659" s="482" t="n">
        <v>32</v>
      </c>
      <c r="K659" s="482" t="n">
        <v>2</v>
      </c>
      <c r="L659" s="397" t="n">
        <v>3166</v>
      </c>
      <c r="M659" s="113" t="n"/>
      <c r="N659" s="113" t="n"/>
      <c r="O659" s="113" t="n"/>
      <c r="P659" s="398" t="n"/>
      <c r="Q659" s="398" t="n"/>
      <c r="R659" s="113" t="n"/>
      <c r="S659" s="113" t="n"/>
      <c r="T659" s="113" t="n"/>
      <c r="U659" s="113" t="n"/>
      <c r="V659" s="113" t="n"/>
    </row>
    <row r="660" ht="15.75" customHeight="1">
      <c r="A660" s="146" t="n">
        <v>13</v>
      </c>
      <c r="B660" s="238" t="n"/>
      <c r="C660" s="481" t="n">
        <v>45886</v>
      </c>
      <c r="D660" s="482" t="inlineStr">
        <is>
          <t>202 G. HUERTAS</t>
        </is>
      </c>
      <c r="E660" s="482" t="n">
        <v>42736</v>
      </c>
      <c r="F660" s="482" t="inlineStr">
        <is>
          <t>JOSE SOLER</t>
        </is>
      </c>
      <c r="G660" s="482" t="n">
        <v>3166</v>
      </c>
      <c r="H660" s="482" t="n">
        <v>3135</v>
      </c>
      <c r="I660" s="482" t="n">
        <v>4</v>
      </c>
      <c r="J660" s="482" t="n">
        <v>26</v>
      </c>
      <c r="K660" s="482" t="n">
        <v>1</v>
      </c>
      <c r="L660" s="397" t="n">
        <v>3240</v>
      </c>
      <c r="M660" s="113" t="n"/>
      <c r="N660" s="113" t="n"/>
      <c r="O660" s="113" t="n"/>
      <c r="P660" s="398" t="n"/>
      <c r="Q660" s="398" t="n"/>
      <c r="R660" s="113" t="n"/>
      <c r="S660" s="113" t="n"/>
      <c r="T660" s="113" t="n"/>
      <c r="U660" s="113" t="n"/>
      <c r="V660" s="113" t="n"/>
    </row>
    <row r="661" ht="15.75" customHeight="1">
      <c r="A661" s="146" t="n">
        <v>13</v>
      </c>
      <c r="B661" s="238" t="n"/>
      <c r="C661" s="481" t="n">
        <v>45886</v>
      </c>
      <c r="D661" s="482" t="inlineStr">
        <is>
          <t>202 G. HUERTAS</t>
        </is>
      </c>
      <c r="E661" s="482" t="n">
        <v>42739</v>
      </c>
      <c r="F661" s="482" t="inlineStr">
        <is>
          <t>WILMER PIÑEROS</t>
        </is>
      </c>
      <c r="G661" s="482" t="n">
        <v>3240</v>
      </c>
      <c r="H661" s="482" t="n">
        <v>3223</v>
      </c>
      <c r="I661" s="482" t="n">
        <v>3</v>
      </c>
      <c r="J661" s="482" t="n">
        <v>11</v>
      </c>
      <c r="K661" s="482" t="n">
        <v>3</v>
      </c>
      <c r="L661" s="397" t="n">
        <v>3240</v>
      </c>
      <c r="M661" s="113" t="n"/>
      <c r="N661" s="113" t="n"/>
      <c r="O661" s="113" t="n"/>
      <c r="P661" s="398" t="n"/>
      <c r="Q661" s="398" t="n"/>
      <c r="R661" s="113" t="n"/>
      <c r="S661" s="113" t="n"/>
      <c r="T661" s="113" t="n"/>
      <c r="U661" s="113" t="n"/>
      <c r="V661" s="113" t="n"/>
    </row>
    <row r="662" ht="15.75" customHeight="1">
      <c r="A662" s="146" t="n">
        <v>13</v>
      </c>
      <c r="B662" s="238" t="n"/>
      <c r="C662" s="481" t="n">
        <v>45886</v>
      </c>
      <c r="D662" s="482" t="inlineStr">
        <is>
          <t>202 G. HUERTAS</t>
        </is>
      </c>
      <c r="E662" s="482" t="n">
        <v>42740</v>
      </c>
      <c r="F662" s="482" t="inlineStr">
        <is>
          <t>DUMAR ANGARITA</t>
        </is>
      </c>
      <c r="G662" s="482" t="n">
        <v>3240</v>
      </c>
      <c r="H662" s="482" t="n">
        <v>3221</v>
      </c>
      <c r="I662" s="482" t="n">
        <v>2</v>
      </c>
      <c r="J662" s="482" t="n">
        <v>12</v>
      </c>
      <c r="K662" s="482" t="n">
        <v>5</v>
      </c>
      <c r="L662" s="397" t="n">
        <v>3340</v>
      </c>
      <c r="M662" s="113" t="n"/>
      <c r="N662" s="113" t="n"/>
      <c r="O662" s="113" t="n"/>
      <c r="P662" s="398" t="n"/>
      <c r="Q662" s="398" t="n"/>
      <c r="R662" s="113" t="n"/>
      <c r="S662" s="113" t="n"/>
      <c r="T662" s="113" t="n"/>
      <c r="U662" s="113" t="n"/>
      <c r="V662" s="113" t="n"/>
    </row>
    <row r="663" ht="15.75" customHeight="1">
      <c r="A663" s="146" t="n">
        <v>13</v>
      </c>
      <c r="B663" s="238" t="n"/>
      <c r="C663" s="481" t="n">
        <v>45886</v>
      </c>
      <c r="D663" s="482" t="inlineStr">
        <is>
          <t>202 G. HUERTAS</t>
        </is>
      </c>
      <c r="E663" s="482" t="n">
        <v>42741</v>
      </c>
      <c r="F663" s="482" t="inlineStr">
        <is>
          <t>ALBERTO LOPEZ</t>
        </is>
      </c>
      <c r="G663" s="482" t="n">
        <v>3340</v>
      </c>
      <c r="H663" s="482" t="n">
        <v>3320</v>
      </c>
      <c r="I663" s="482" t="n">
        <v>3</v>
      </c>
      <c r="J663" s="482" t="n">
        <v>8</v>
      </c>
      <c r="K663" s="482" t="n">
        <v>9</v>
      </c>
      <c r="L663" s="397" t="n">
        <v>3340</v>
      </c>
      <c r="M663" s="113" t="n"/>
      <c r="N663" s="113" t="n"/>
      <c r="O663" s="113" t="n"/>
      <c r="P663" s="398" t="n"/>
      <c r="Q663" s="398" t="n"/>
      <c r="R663" s="113" t="n"/>
      <c r="S663" s="113" t="n"/>
      <c r="T663" s="113" t="n"/>
      <c r="U663" s="113" t="n"/>
      <c r="V663" s="113" t="n"/>
    </row>
    <row r="664" ht="15.75" customHeight="1">
      <c r="A664" s="146" t="n">
        <v>13</v>
      </c>
      <c r="B664" s="238" t="n"/>
      <c r="C664" s="481" t="n">
        <v>45886</v>
      </c>
      <c r="D664" s="482" t="inlineStr">
        <is>
          <t>202 G. HUERTAS</t>
        </is>
      </c>
      <c r="E664" s="482" t="n">
        <v>42742</v>
      </c>
      <c r="F664" s="482" t="inlineStr">
        <is>
          <t>FERNANDO OYUELA</t>
        </is>
      </c>
      <c r="G664" s="482" t="n">
        <v>3340</v>
      </c>
      <c r="H664" s="482" t="n">
        <v>3310</v>
      </c>
      <c r="I664" s="482" t="n">
        <v>5</v>
      </c>
      <c r="J664" s="482" t="n">
        <v>12</v>
      </c>
      <c r="K664" s="482" t="n">
        <v>13</v>
      </c>
      <c r="L664" s="397" t="n">
        <v>2457</v>
      </c>
      <c r="M664" s="113" t="n"/>
      <c r="N664" s="113" t="n"/>
      <c r="O664" s="113" t="n"/>
      <c r="P664" s="398" t="n"/>
      <c r="Q664" s="398" t="n"/>
      <c r="R664" s="113" t="n"/>
      <c r="S664" s="113" t="n"/>
      <c r="T664" s="113" t="n"/>
      <c r="U664" s="113" t="n"/>
      <c r="V664" s="113" t="n"/>
    </row>
    <row r="665" ht="15.75" customHeight="1">
      <c r="A665" s="146" t="n">
        <v>13</v>
      </c>
      <c r="B665" s="238" t="n"/>
      <c r="C665" s="481" t="n">
        <v>45888</v>
      </c>
      <c r="D665" s="482" t="inlineStr">
        <is>
          <t>202 G. HUERTAS</t>
        </is>
      </c>
      <c r="E665" s="482" t="n">
        <v>42751</v>
      </c>
      <c r="F665" s="482" t="inlineStr">
        <is>
          <t>JHON ARIAS</t>
        </is>
      </c>
      <c r="G665" s="482" t="n">
        <v>3450</v>
      </c>
      <c r="H665" s="482" t="n">
        <v>3412</v>
      </c>
      <c r="I665" s="482" t="n">
        <v>6</v>
      </c>
      <c r="J665" s="482" t="n">
        <v>18</v>
      </c>
      <c r="K665" s="482" t="n">
        <v>14</v>
      </c>
      <c r="L665" s="397" t="n">
        <v>3450</v>
      </c>
      <c r="M665" s="113" t="n"/>
      <c r="N665" s="113" t="n"/>
      <c r="O665" s="113" t="n"/>
      <c r="P665" s="398" t="n"/>
      <c r="Q665" s="398" t="n"/>
      <c r="R665" s="113" t="n"/>
      <c r="S665" s="113" t="n"/>
      <c r="T665" s="113" t="n"/>
      <c r="U665" s="113" t="n"/>
      <c r="V665" s="113" t="n"/>
    </row>
    <row r="666" ht="15.75" customHeight="1">
      <c r="A666" s="146" t="n">
        <v>13</v>
      </c>
      <c r="B666" s="238" t="n"/>
      <c r="C666" s="481" t="n">
        <v>45888</v>
      </c>
      <c r="D666" s="482" t="inlineStr">
        <is>
          <t>202 G. HUERTAS</t>
        </is>
      </c>
      <c r="E666" s="482" t="n">
        <v>42752</v>
      </c>
      <c r="F666" s="482" t="inlineStr">
        <is>
          <t>YAIR RIVEROS</t>
        </is>
      </c>
      <c r="G666" s="482" t="n">
        <v>3450</v>
      </c>
      <c r="H666" s="482" t="n">
        <v>3436</v>
      </c>
      <c r="I666" s="482" t="n">
        <v>5</v>
      </c>
      <c r="J666" s="482" t="n">
        <v>14</v>
      </c>
      <c r="K666" s="482" t="n">
        <v>-5</v>
      </c>
      <c r="L666" s="397" t="n">
        <v>3450</v>
      </c>
      <c r="M666" s="113" t="n"/>
      <c r="N666" s="113" t="n"/>
      <c r="O666" s="113" t="n"/>
      <c r="P666" s="398" t="n"/>
      <c r="Q666" s="398" t="n"/>
      <c r="R666" s="113" t="n"/>
      <c r="S666" s="113" t="n"/>
      <c r="T666" s="113" t="n"/>
      <c r="U666" s="113" t="n"/>
      <c r="V666" s="113" t="n"/>
    </row>
    <row r="667" ht="15.75" customHeight="1">
      <c r="A667" s="146" t="n">
        <v>13</v>
      </c>
      <c r="B667" s="238" t="n"/>
      <c r="C667" s="481" t="n">
        <v>45888</v>
      </c>
      <c r="D667" s="482" t="inlineStr">
        <is>
          <t>202 G. HUERTAS</t>
        </is>
      </c>
      <c r="E667" s="482" t="n">
        <v>42753</v>
      </c>
      <c r="F667" s="482" t="inlineStr">
        <is>
          <t>DIEGO NIÑO</t>
        </is>
      </c>
      <c r="G667" s="482" t="n">
        <v>3350</v>
      </c>
      <c r="H667" s="482" t="n">
        <v>3327</v>
      </c>
      <c r="I667" s="482" t="n">
        <v>2</v>
      </c>
      <c r="J667" s="482" t="n">
        <v>19</v>
      </c>
      <c r="K667" s="482" t="n">
        <v>2</v>
      </c>
      <c r="L667" s="397" t="n">
        <v>3350</v>
      </c>
      <c r="M667" s="113" t="n"/>
      <c r="N667" s="113" t="n"/>
      <c r="O667" s="113" t="n"/>
      <c r="P667" s="398" t="n"/>
      <c r="Q667" s="398" t="n"/>
      <c r="R667" s="113" t="n"/>
      <c r="S667" s="113" t="n"/>
      <c r="T667" s="113" t="n"/>
      <c r="U667" s="113" t="n"/>
      <c r="V667" s="113" t="n"/>
    </row>
    <row r="668" ht="15.75" customHeight="1">
      <c r="A668" s="146" t="n">
        <v>13</v>
      </c>
      <c r="B668" s="238" t="n"/>
      <c r="C668" s="481" t="n">
        <v>45888</v>
      </c>
      <c r="D668" s="482" t="inlineStr">
        <is>
          <t>202 G. HUERTAS</t>
        </is>
      </c>
      <c r="E668" s="482" t="n">
        <v>42754</v>
      </c>
      <c r="F668" s="482" t="inlineStr">
        <is>
          <t>HENRY ROMERO</t>
        </is>
      </c>
      <c r="G668" s="482" t="n">
        <v>3400</v>
      </c>
      <c r="H668" s="482" t="n">
        <v>3374</v>
      </c>
      <c r="I668" s="482" t="n">
        <v>2</v>
      </c>
      <c r="J668" s="482" t="n">
        <v>9</v>
      </c>
      <c r="K668" s="482" t="n">
        <v>15</v>
      </c>
      <c r="L668" s="397" t="n">
        <v>3410</v>
      </c>
      <c r="M668" s="113" t="n"/>
      <c r="N668" s="113" t="n"/>
      <c r="O668" s="113" t="n"/>
      <c r="P668" s="398" t="n"/>
      <c r="Q668" s="398" t="n"/>
      <c r="R668" s="113" t="n"/>
      <c r="S668" s="113" t="n"/>
      <c r="T668" s="113" t="n"/>
      <c r="U668" s="113" t="n"/>
      <c r="V668" s="113" t="n"/>
    </row>
    <row r="669" ht="15.75" customHeight="1">
      <c r="A669" s="146" t="n">
        <v>13</v>
      </c>
      <c r="B669" s="238" t="n"/>
      <c r="C669" s="481" t="n">
        <v>45888</v>
      </c>
      <c r="D669" s="482" t="inlineStr">
        <is>
          <t>202 G. HUERTAS</t>
        </is>
      </c>
      <c r="E669" s="482" t="n">
        <v>42759</v>
      </c>
      <c r="F669" s="482" t="inlineStr">
        <is>
          <t>FABIO ALDANA</t>
        </is>
      </c>
      <c r="G669" s="482" t="n">
        <v>3400</v>
      </c>
      <c r="H669" s="482" t="n">
        <v>3385</v>
      </c>
      <c r="I669" s="482" t="n">
        <v>2</v>
      </c>
      <c r="J669" s="482" t="n">
        <v>14</v>
      </c>
      <c r="K669" s="482" t="n">
        <v>-1</v>
      </c>
      <c r="L669" s="397" t="n">
        <v>3410</v>
      </c>
      <c r="M669" s="113" t="n"/>
      <c r="N669" s="113" t="n"/>
      <c r="O669" s="113" t="n"/>
      <c r="P669" s="398" t="n"/>
      <c r="Q669" s="398" t="n"/>
      <c r="R669" s="113" t="n"/>
      <c r="S669" s="113" t="n"/>
      <c r="T669" s="113" t="n"/>
      <c r="U669" s="113" t="n"/>
      <c r="V669" s="113" t="n"/>
    </row>
    <row r="670" ht="15.75" customHeight="1">
      <c r="A670" s="146" t="n">
        <v>13</v>
      </c>
      <c r="B670" s="238" t="n"/>
      <c r="C670" s="481" t="n">
        <v>45888</v>
      </c>
      <c r="D670" s="482" t="inlineStr">
        <is>
          <t>202 G. HUERTAS</t>
        </is>
      </c>
      <c r="E670" s="482" t="n">
        <v>42760</v>
      </c>
      <c r="F670" s="482" t="inlineStr">
        <is>
          <t>ALBERTO LOPEZ</t>
        </is>
      </c>
      <c r="G670" s="482" t="n">
        <v>2771</v>
      </c>
      <c r="H670" s="482" t="n">
        <v>2744</v>
      </c>
      <c r="I670" s="482" t="n">
        <v>2</v>
      </c>
      <c r="J670" s="482" t="n">
        <v>15</v>
      </c>
      <c r="K670" s="482" t="n">
        <v>10</v>
      </c>
      <c r="L670" s="397" t="n">
        <v>2775</v>
      </c>
      <c r="M670" s="113" t="n"/>
      <c r="N670" s="113" t="n"/>
      <c r="O670" s="113" t="n"/>
      <c r="P670" s="398" t="n"/>
      <c r="Q670" s="398" t="n"/>
      <c r="R670" s="113" t="n"/>
      <c r="S670" s="113" t="n"/>
      <c r="T670" s="113" t="n"/>
      <c r="U670" s="113" t="n"/>
      <c r="V670" s="113" t="n"/>
    </row>
    <row r="671" ht="15.75" customHeight="1">
      <c r="A671" s="146" t="n">
        <v>13</v>
      </c>
      <c r="B671" s="238" t="n"/>
      <c r="C671" s="481" t="n">
        <v>45888</v>
      </c>
      <c r="D671" s="482" t="inlineStr">
        <is>
          <t>202 G. HUERTAS</t>
        </is>
      </c>
      <c r="E671" s="482" t="n">
        <v>42762</v>
      </c>
      <c r="F671" s="482" t="inlineStr">
        <is>
          <t>WILMER PIÑEROS</t>
        </is>
      </c>
      <c r="G671" s="482" t="n">
        <v>2771</v>
      </c>
      <c r="H671" s="482" t="n">
        <v>2746</v>
      </c>
      <c r="I671" s="482" t="n">
        <v>3</v>
      </c>
      <c r="J671" s="482" t="n">
        <v>8</v>
      </c>
      <c r="K671" s="482" t="n">
        <v>14</v>
      </c>
      <c r="L671" s="397" t="n">
        <v>2835</v>
      </c>
      <c r="M671" s="113" t="n"/>
      <c r="N671" s="113" t="n"/>
      <c r="O671" s="113" t="n"/>
      <c r="P671" s="398" t="n"/>
      <c r="Q671" s="398" t="n"/>
      <c r="R671" s="113" t="n"/>
      <c r="S671" s="113" t="n"/>
      <c r="T671" s="113" t="n"/>
      <c r="U671" s="113" t="n"/>
      <c r="V671" s="113" t="n"/>
    </row>
    <row r="672" ht="15.75" customHeight="1">
      <c r="A672" s="146" t="n">
        <v>13</v>
      </c>
      <c r="B672" s="238" t="n"/>
      <c r="C672" s="481" t="n">
        <v>45888</v>
      </c>
      <c r="D672" s="482" t="inlineStr">
        <is>
          <t>202 G. HUERTAS</t>
        </is>
      </c>
      <c r="E672" s="482" t="n">
        <v>42766</v>
      </c>
      <c r="F672" s="482" t="inlineStr">
        <is>
          <t>DUMAR ANGARITA</t>
        </is>
      </c>
      <c r="G672" s="482" t="n">
        <v>2771</v>
      </c>
      <c r="H672" s="482" t="n">
        <v>2764</v>
      </c>
      <c r="I672" s="482" t="n">
        <v>4</v>
      </c>
      <c r="J672" s="482" t="n">
        <v>7</v>
      </c>
      <c r="K672" s="482" t="n">
        <v>-4</v>
      </c>
      <c r="L672" s="397" t="n">
        <v>2775</v>
      </c>
      <c r="M672" s="113" t="n"/>
      <c r="N672" s="113" t="n"/>
      <c r="O672" s="113" t="n"/>
      <c r="P672" s="398" t="n"/>
      <c r="Q672" s="398" t="n"/>
      <c r="R672" s="113" t="n"/>
      <c r="S672" s="113" t="n"/>
      <c r="T672" s="113" t="n"/>
      <c r="U672" s="113" t="n"/>
      <c r="V672" s="113" t="n"/>
    </row>
    <row r="673" ht="15.75" customHeight="1">
      <c r="A673" s="146" t="n">
        <v>13</v>
      </c>
      <c r="B673" s="238" t="n"/>
      <c r="C673" s="481" t="n">
        <v>45888</v>
      </c>
      <c r="D673" s="482" t="inlineStr">
        <is>
          <t>202 G. HUERTAS</t>
        </is>
      </c>
      <c r="E673" s="482" t="n">
        <v>42767</v>
      </c>
      <c r="F673" s="482" t="inlineStr">
        <is>
          <t>JAIRO CUBILLOS</t>
        </is>
      </c>
      <c r="G673" s="482" t="n">
        <v>2771</v>
      </c>
      <c r="H673" s="482" t="n">
        <v>2731</v>
      </c>
      <c r="I673" s="482" t="n">
        <v>2</v>
      </c>
      <c r="J673" s="482" t="n">
        <v>7</v>
      </c>
      <c r="K673" s="482" t="n">
        <v>31</v>
      </c>
      <c r="L673" s="397" t="n">
        <v>2775</v>
      </c>
      <c r="M673" s="113" t="n"/>
      <c r="N673" s="113" t="n"/>
      <c r="O673" s="113" t="n"/>
      <c r="P673" s="398" t="n"/>
      <c r="Q673" s="398" t="n"/>
      <c r="R673" s="113" t="n"/>
      <c r="S673" s="113" t="n"/>
      <c r="T673" s="113" t="n"/>
      <c r="U673" s="113" t="n"/>
      <c r="V673" s="113" t="n"/>
    </row>
    <row r="674" ht="15.75" customHeight="1">
      <c r="A674" s="146" t="n">
        <v>13</v>
      </c>
      <c r="B674" s="238" t="n"/>
      <c r="C674" s="399" t="n">
        <v>45888</v>
      </c>
      <c r="D674" s="162" t="inlineStr">
        <is>
          <t>219 G. SAN JOSE 2</t>
        </is>
      </c>
      <c r="E674" s="162" t="n">
        <v>42761</v>
      </c>
      <c r="F674" s="162" t="inlineStr">
        <is>
          <t>YAIR RIVEROS</t>
        </is>
      </c>
      <c r="G674" s="162" t="n">
        <v>2835</v>
      </c>
      <c r="H674" s="162" t="n">
        <v>2803</v>
      </c>
      <c r="I674" s="162" t="n">
        <v>3</v>
      </c>
      <c r="J674" s="162" t="n">
        <v>43</v>
      </c>
      <c r="K674" s="162" t="n">
        <v>-14</v>
      </c>
      <c r="L674" s="397" t="n">
        <v>2941</v>
      </c>
      <c r="M674" s="113" t="n"/>
      <c r="N674" s="113" t="n"/>
      <c r="O674" s="113" t="n"/>
      <c r="P674" s="398" t="n"/>
      <c r="Q674" s="398" t="n"/>
      <c r="R674" s="113" t="n"/>
      <c r="S674" s="113" t="n"/>
      <c r="T674" s="113" t="n"/>
      <c r="U674" s="113" t="n"/>
      <c r="V674" s="113" t="n"/>
    </row>
    <row r="675" ht="15.75" customHeight="1">
      <c r="A675" s="146" t="n">
        <v>13</v>
      </c>
      <c r="B675" s="238" t="n"/>
      <c r="C675" s="399" t="n">
        <v>45888</v>
      </c>
      <c r="D675" s="162" t="inlineStr">
        <is>
          <t>218 G. SAN JOSE 1</t>
        </is>
      </c>
      <c r="E675" s="162" t="n">
        <v>42768</v>
      </c>
      <c r="F675" s="162" t="inlineStr">
        <is>
          <t>DIEGO NIÑO</t>
        </is>
      </c>
      <c r="G675" s="162" t="n">
        <v>2941</v>
      </c>
      <c r="H675" s="162" t="n">
        <v>2918</v>
      </c>
      <c r="I675" s="162" t="n">
        <v>3</v>
      </c>
      <c r="J675" s="162" t="n">
        <v>23</v>
      </c>
      <c r="K675" s="162" t="n">
        <v>-3</v>
      </c>
      <c r="L675" s="397" t="n">
        <v>2775</v>
      </c>
      <c r="M675" s="113" t="n"/>
      <c r="N675" s="113" t="n"/>
      <c r="O675" s="113" t="n"/>
      <c r="P675" s="398" t="n"/>
      <c r="Q675" s="398" t="n"/>
      <c r="R675" s="113" t="n"/>
      <c r="S675" s="113" t="n"/>
      <c r="T675" s="113" t="n"/>
      <c r="U675" s="113" t="n"/>
      <c r="V675" s="113" t="n"/>
    </row>
    <row r="676" ht="15.75" customHeight="1">
      <c r="A676" s="146" t="n">
        <v>13</v>
      </c>
      <c r="B676" s="238" t="n"/>
      <c r="C676" s="399" t="n">
        <v>45888</v>
      </c>
      <c r="D676" s="162" t="inlineStr">
        <is>
          <t>218 G. SAN JOSE 1</t>
        </is>
      </c>
      <c r="E676" s="162" t="n">
        <v>42769</v>
      </c>
      <c r="F676" s="162" t="inlineStr">
        <is>
          <t>HENRY ROMERO</t>
        </is>
      </c>
      <c r="G676" s="162" t="n">
        <v>2941</v>
      </c>
      <c r="H676" s="162" t="n">
        <v>2915</v>
      </c>
      <c r="I676" s="162" t="n">
        <v>3</v>
      </c>
      <c r="J676" s="162" t="n">
        <v>26</v>
      </c>
      <c r="K676" s="162" t="n">
        <v>-3</v>
      </c>
      <c r="L676" s="397" t="n">
        <v>2941</v>
      </c>
      <c r="M676" s="113" t="n"/>
      <c r="N676" s="113" t="n"/>
      <c r="O676" s="113" t="n"/>
      <c r="P676" s="398" t="n"/>
      <c r="Q676" s="398" t="n"/>
      <c r="R676" s="113" t="n"/>
      <c r="S676" s="113" t="n"/>
      <c r="T676" s="113" t="n"/>
      <c r="U676" s="113" t="n"/>
      <c r="V676" s="113" t="n"/>
    </row>
    <row r="677" ht="15.75" customHeight="1">
      <c r="A677" s="146" t="n">
        <v>13</v>
      </c>
      <c r="B677" s="238" t="n"/>
      <c r="C677" s="399" t="n">
        <v>45888</v>
      </c>
      <c r="D677" s="162" t="inlineStr">
        <is>
          <t>218 G. SAN JOSE 1</t>
        </is>
      </c>
      <c r="E677" s="162" t="n">
        <v>42770</v>
      </c>
      <c r="F677" s="162" t="inlineStr">
        <is>
          <t>FABIO ALDANA</t>
        </is>
      </c>
      <c r="G677" s="162" t="n">
        <v>2941</v>
      </c>
      <c r="H677" s="162" t="n">
        <v>2915</v>
      </c>
      <c r="I677" s="162" t="n">
        <v>3</v>
      </c>
      <c r="J677" s="162" t="n">
        <v>26</v>
      </c>
      <c r="K677" s="162" t="n">
        <v>-3</v>
      </c>
      <c r="L677" s="397" t="n">
        <v>2941</v>
      </c>
      <c r="M677" s="113" t="n"/>
      <c r="N677" s="113" t="n"/>
      <c r="O677" s="113" t="n"/>
      <c r="P677" s="398" t="n"/>
      <c r="Q677" s="398" t="n"/>
      <c r="R677" s="113" t="n"/>
      <c r="S677" s="113" t="n"/>
      <c r="T677" s="113" t="n"/>
      <c r="U677" s="113" t="n"/>
      <c r="V677" s="113" t="n"/>
    </row>
    <row r="678" ht="15.75" customHeight="1">
      <c r="A678" s="146" t="n">
        <v>13</v>
      </c>
      <c r="B678" s="238" t="n"/>
      <c r="C678" s="399" t="n">
        <v>45888</v>
      </c>
      <c r="D678" s="162" t="inlineStr">
        <is>
          <t>218 G. SAN JOSE 1</t>
        </is>
      </c>
      <c r="E678" s="162" t="n">
        <v>42771</v>
      </c>
      <c r="F678" s="162" t="inlineStr">
        <is>
          <t>ALBERTO LOPEZ</t>
        </is>
      </c>
      <c r="G678" s="162" t="n">
        <v>2810</v>
      </c>
      <c r="H678" s="162" t="n">
        <v>2790</v>
      </c>
      <c r="I678" s="162" t="n">
        <v>5</v>
      </c>
      <c r="J678" s="162" t="n">
        <v>26</v>
      </c>
      <c r="K678" s="162" t="n">
        <v>-11</v>
      </c>
      <c r="L678" s="397" t="n">
        <v>2810</v>
      </c>
      <c r="M678" s="113" t="n"/>
      <c r="N678" s="113" t="n"/>
      <c r="O678" s="113" t="n"/>
      <c r="P678" s="398" t="n"/>
      <c r="Q678" s="398" t="n"/>
      <c r="R678" s="113" t="n"/>
      <c r="S678" s="113" t="n"/>
      <c r="T678" s="113" t="n"/>
      <c r="U678" s="113" t="n"/>
      <c r="V678" s="113" t="n"/>
    </row>
    <row r="679" ht="15.75" customHeight="1">
      <c r="A679" s="146" t="n">
        <v>13</v>
      </c>
      <c r="B679" s="238" t="n"/>
      <c r="C679" s="399" t="n">
        <v>45888</v>
      </c>
      <c r="D679" s="162" t="inlineStr">
        <is>
          <t>218 G. SAN JOSE 1</t>
        </is>
      </c>
      <c r="E679" s="162" t="n">
        <v>42772</v>
      </c>
      <c r="F679" s="162" t="inlineStr">
        <is>
          <t>WILMER PIÑEROS</t>
        </is>
      </c>
      <c r="G679" s="162" t="n">
        <v>2810</v>
      </c>
      <c r="H679" s="162" t="n">
        <v>2783</v>
      </c>
      <c r="I679" s="162" t="n">
        <v>4</v>
      </c>
      <c r="J679" s="162" t="n">
        <v>27</v>
      </c>
      <c r="K679" s="162" t="n">
        <v>-4</v>
      </c>
      <c r="L679" s="397" t="n">
        <v>2810</v>
      </c>
      <c r="M679" s="113" t="n"/>
      <c r="N679" s="113" t="n"/>
      <c r="O679" s="113" t="n"/>
      <c r="P679" s="398" t="n"/>
      <c r="Q679" s="398" t="n"/>
      <c r="R679" s="113" t="n"/>
      <c r="S679" s="113" t="n"/>
      <c r="T679" s="113" t="n"/>
      <c r="U679" s="113" t="n"/>
      <c r="V679" s="113" t="n"/>
    </row>
    <row r="680" ht="15.75" customHeight="1">
      <c r="A680" s="146" t="n">
        <v>13</v>
      </c>
      <c r="B680" s="238" t="n"/>
      <c r="C680" s="399" t="n">
        <v>45888</v>
      </c>
      <c r="D680" s="162" t="inlineStr">
        <is>
          <t>218 G. SAN JOSE 1</t>
        </is>
      </c>
      <c r="E680" s="162" t="n">
        <v>42773</v>
      </c>
      <c r="F680" s="162" t="inlineStr">
        <is>
          <t>EDUAN CAVIEDES</t>
        </is>
      </c>
      <c r="G680" s="162" t="n">
        <v>2376</v>
      </c>
      <c r="H680" s="162" t="n">
        <v>2356</v>
      </c>
      <c r="I680" s="162" t="n">
        <v>4</v>
      </c>
      <c r="J680" s="162" t="n">
        <v>29</v>
      </c>
      <c r="K680" s="162" t="n">
        <v>-13</v>
      </c>
      <c r="L680" s="397" t="n">
        <v>2376</v>
      </c>
      <c r="M680" s="113" t="n"/>
      <c r="N680" s="113" t="n"/>
      <c r="O680" s="113" t="n"/>
      <c r="P680" s="398" t="n"/>
      <c r="Q680" s="398" t="n"/>
      <c r="R680" s="113" t="n"/>
      <c r="S680" s="113" t="n"/>
      <c r="T680" s="113" t="n"/>
      <c r="U680" s="113" t="n"/>
      <c r="V680" s="113" t="n"/>
    </row>
    <row r="681" ht="15.75" customHeight="1">
      <c r="A681" s="146" t="n">
        <v>13</v>
      </c>
      <c r="B681" s="238" t="n"/>
      <c r="C681" s="481" t="n">
        <v>45889</v>
      </c>
      <c r="D681" s="482" t="inlineStr">
        <is>
          <t>202 G. HUERTAS</t>
        </is>
      </c>
      <c r="E681" s="482" t="n">
        <v>202956</v>
      </c>
      <c r="F681" s="482" t="inlineStr">
        <is>
          <t>JUAN DAVID GOMEZ</t>
        </is>
      </c>
      <c r="G681" s="482" t="n">
        <v>2700</v>
      </c>
      <c r="H681" s="482" t="n">
        <v>2680</v>
      </c>
      <c r="I681" s="482" t="n">
        <v>5</v>
      </c>
      <c r="J681" s="482" t="n">
        <v>17</v>
      </c>
      <c r="K681" s="482" t="n">
        <v>-2</v>
      </c>
      <c r="L681" s="397" t="n">
        <v>2510</v>
      </c>
      <c r="M681" s="113" t="n"/>
      <c r="N681" s="113" t="n"/>
      <c r="O681" s="113" t="n"/>
      <c r="P681" s="398" t="n"/>
      <c r="Q681" s="398" t="n"/>
      <c r="R681" s="113" t="n"/>
      <c r="S681" s="113" t="n"/>
      <c r="T681" s="113" t="n"/>
      <c r="U681" s="113" t="n"/>
      <c r="V681" s="113" t="n"/>
    </row>
    <row r="682" ht="15.75" customHeight="1">
      <c r="A682" s="146" t="n">
        <v>13</v>
      </c>
      <c r="B682" s="238" t="n"/>
      <c r="C682" s="481" t="n">
        <v>45889</v>
      </c>
      <c r="D682" s="482" t="inlineStr">
        <is>
          <t>202 G. HUERTAS</t>
        </is>
      </c>
      <c r="E682" s="482" t="n">
        <v>202957</v>
      </c>
      <c r="F682" s="482" t="inlineStr">
        <is>
          <t>JOSE MARTINEZ</t>
        </is>
      </c>
      <c r="G682" s="482" t="n">
        <v>2700</v>
      </c>
      <c r="H682" s="482" t="n">
        <v>2651</v>
      </c>
      <c r="I682" s="482" t="n">
        <v>4</v>
      </c>
      <c r="J682" s="482" t="n">
        <v>25</v>
      </c>
      <c r="K682" s="482" t="n">
        <v>20</v>
      </c>
      <c r="L682" s="397" t="n">
        <v>2700</v>
      </c>
      <c r="M682" s="113" t="n"/>
      <c r="N682" s="113" t="n"/>
      <c r="O682" s="113" t="n"/>
      <c r="P682" s="398" t="n"/>
      <c r="Q682" s="398" t="n"/>
      <c r="R682" s="113" t="n"/>
      <c r="S682" s="113" t="n"/>
      <c r="T682" s="113" t="n"/>
      <c r="U682" s="113" t="n"/>
      <c r="V682" s="113" t="n"/>
    </row>
    <row r="683" ht="15.75" customHeight="1">
      <c r="A683" s="146" t="n">
        <v>13</v>
      </c>
      <c r="B683" s="238" t="n"/>
      <c r="C683" s="481" t="n">
        <v>45889</v>
      </c>
      <c r="D683" s="482" t="inlineStr">
        <is>
          <t>202 G. HUERTAS</t>
        </is>
      </c>
      <c r="E683" s="482" t="n">
        <v>202960</v>
      </c>
      <c r="F683" s="482" t="inlineStr">
        <is>
          <t>PEDRO IGNACIO BARRETO CUESTA</t>
        </is>
      </c>
      <c r="G683" s="482" t="n">
        <v>2619</v>
      </c>
      <c r="H683" s="482" t="n">
        <v>2610</v>
      </c>
      <c r="I683" s="482" t="n">
        <v>1</v>
      </c>
      <c r="J683" s="482" t="n">
        <v>13</v>
      </c>
      <c r="K683" s="482" t="n">
        <v>-5</v>
      </c>
      <c r="L683" s="397" t="n">
        <v>2700</v>
      </c>
      <c r="M683" s="113" t="n"/>
      <c r="N683" s="113" t="n"/>
      <c r="O683" s="113" t="n"/>
      <c r="P683" s="398" t="n"/>
      <c r="Q683" s="398" t="n"/>
      <c r="R683" s="113" t="n"/>
      <c r="S683" s="113" t="n"/>
      <c r="T683" s="113" t="n"/>
      <c r="U683" s="113" t="n"/>
      <c r="V683" s="113" t="n"/>
    </row>
    <row r="684" ht="15.75" customHeight="1">
      <c r="A684" s="146" t="n">
        <v>13</v>
      </c>
      <c r="B684" s="238" t="n"/>
      <c r="C684" s="481" t="n">
        <v>45889</v>
      </c>
      <c r="D684" s="482" t="inlineStr">
        <is>
          <t>202 G. HUERTAS</t>
        </is>
      </c>
      <c r="E684" s="482" t="n">
        <v>69586</v>
      </c>
      <c r="F684" s="482" t="inlineStr">
        <is>
          <t>JORGE OVIEDO</t>
        </is>
      </c>
      <c r="G684" s="482" t="n">
        <v>1795</v>
      </c>
      <c r="H684" s="482" t="n">
        <v>1763</v>
      </c>
      <c r="I684" s="482" t="n">
        <v>3</v>
      </c>
      <c r="J684" s="482" t="n">
        <v>21</v>
      </c>
      <c r="K684" s="482" t="n">
        <v>8</v>
      </c>
      <c r="L684" s="397" t="n">
        <v>2615</v>
      </c>
      <c r="M684" s="113" t="n"/>
      <c r="N684" s="113" t="n"/>
      <c r="O684" s="113" t="n"/>
      <c r="P684" s="398" t="n"/>
      <c r="Q684" s="398" t="n"/>
      <c r="R684" s="113" t="n"/>
      <c r="S684" s="113" t="n"/>
      <c r="T684" s="113" t="n"/>
      <c r="U684" s="113" t="n"/>
      <c r="V684" s="113" t="n"/>
    </row>
    <row r="685" ht="15.75" customHeight="1">
      <c r="A685" s="146" t="n">
        <v>13</v>
      </c>
      <c r="B685" s="238" t="n"/>
      <c r="C685" s="481" t="n">
        <v>45889</v>
      </c>
      <c r="D685" s="482" t="inlineStr">
        <is>
          <t>202 G. HUERTAS</t>
        </is>
      </c>
      <c r="E685" s="482" t="n">
        <v>42782</v>
      </c>
      <c r="F685" s="482" t="inlineStr">
        <is>
          <t>EDUAN CAVIEDES</t>
        </is>
      </c>
      <c r="G685" s="482" t="n">
        <v>2692</v>
      </c>
      <c r="H685" s="482" t="n">
        <v>2668</v>
      </c>
      <c r="I685" s="482" t="n">
        <v>2</v>
      </c>
      <c r="J685" s="482" t="n">
        <v>17</v>
      </c>
      <c r="K685" s="482" t="n">
        <v>5</v>
      </c>
      <c r="L685" s="397" t="n">
        <v>2692</v>
      </c>
      <c r="M685" s="113" t="n"/>
      <c r="N685" s="113" t="n"/>
      <c r="O685" s="113" t="n"/>
      <c r="P685" s="398" t="n"/>
      <c r="Q685" s="398" t="n"/>
      <c r="R685" s="113" t="n"/>
      <c r="S685" s="113" t="n"/>
      <c r="T685" s="113" t="n"/>
      <c r="U685" s="113" t="n"/>
      <c r="V685" s="113" t="n"/>
    </row>
    <row r="686" ht="15.75" customHeight="1">
      <c r="A686" s="146" t="n">
        <v>13</v>
      </c>
      <c r="B686" s="238" t="n"/>
      <c r="C686" s="481" t="n">
        <v>45889</v>
      </c>
      <c r="D686" s="482" t="inlineStr">
        <is>
          <t>202 G. HUERTAS</t>
        </is>
      </c>
      <c r="E686" s="482" t="n">
        <v>42783</v>
      </c>
      <c r="F686" s="482" t="inlineStr">
        <is>
          <t>FERNANDO OYUELA</t>
        </is>
      </c>
      <c r="G686" s="482" t="n">
        <v>2720</v>
      </c>
      <c r="H686" s="482" t="n">
        <v>2696</v>
      </c>
      <c r="I686" s="482" t="n">
        <v>2</v>
      </c>
      <c r="J686" s="482" t="n">
        <v>19</v>
      </c>
      <c r="K686" s="482" t="n">
        <v>3</v>
      </c>
      <c r="L686" s="397" t="n">
        <v>2720</v>
      </c>
      <c r="M686" s="113" t="n"/>
      <c r="N686" s="113" t="n"/>
      <c r="O686" s="113" t="n"/>
      <c r="P686" s="398" t="n"/>
      <c r="Q686" s="398" t="n"/>
      <c r="R686" s="113" t="n"/>
      <c r="S686" s="113" t="n"/>
      <c r="T686" s="113" t="n"/>
      <c r="U686" s="113" t="n"/>
      <c r="V686" s="113" t="n"/>
    </row>
    <row r="687" ht="15.75" customHeight="1">
      <c r="A687" s="146" t="n">
        <v>13</v>
      </c>
      <c r="B687" s="238" t="n"/>
      <c r="C687" s="481" t="n">
        <v>45889</v>
      </c>
      <c r="D687" s="482" t="inlineStr">
        <is>
          <t>202 G. HUERTAS</t>
        </is>
      </c>
      <c r="E687" s="482" t="n">
        <v>42784</v>
      </c>
      <c r="F687" s="482" t="inlineStr">
        <is>
          <t>MANUEL QUITIAN</t>
        </is>
      </c>
      <c r="G687" s="482" t="n">
        <v>2720</v>
      </c>
      <c r="H687" s="482" t="n">
        <v>2721</v>
      </c>
      <c r="I687" s="482" t="n">
        <v>1</v>
      </c>
      <c r="J687" s="482" t="n">
        <v>12</v>
      </c>
      <c r="K687" s="482" t="n">
        <v>-14</v>
      </c>
      <c r="L687" s="397" t="n">
        <v>2720</v>
      </c>
      <c r="M687" s="113" t="n"/>
      <c r="N687" s="113" t="n"/>
      <c r="O687" s="113" t="n"/>
      <c r="P687" s="398" t="n"/>
      <c r="Q687" s="398" t="n"/>
      <c r="R687" s="113" t="n"/>
      <c r="S687" s="113" t="n"/>
      <c r="T687" s="113" t="n"/>
      <c r="U687" s="113" t="n"/>
      <c r="V687" s="113" t="n"/>
    </row>
    <row r="688" ht="15.75" customHeight="1">
      <c r="A688" s="146" t="n">
        <v>13</v>
      </c>
      <c r="B688" s="238" t="n"/>
      <c r="C688" s="481" t="n">
        <v>45889</v>
      </c>
      <c r="D688" s="482" t="inlineStr">
        <is>
          <t>202 G. HUERTAS</t>
        </is>
      </c>
      <c r="E688" s="482" t="n">
        <v>42785</v>
      </c>
      <c r="F688" s="482" t="inlineStr">
        <is>
          <t>JOSE SOLER</t>
        </is>
      </c>
      <c r="G688" s="482" t="n">
        <v>2720</v>
      </c>
      <c r="H688" s="482" t="n">
        <v>2736</v>
      </c>
      <c r="I688" s="482" t="n">
        <v>1</v>
      </c>
      <c r="J688" s="482" t="n">
        <v>9</v>
      </c>
      <c r="K688" s="482" t="n">
        <v>-26</v>
      </c>
      <c r="L688" s="397" t="n">
        <v>2720</v>
      </c>
      <c r="M688" s="113" t="n"/>
      <c r="N688" s="113" t="n"/>
      <c r="O688" s="113" t="n"/>
      <c r="P688" s="398" t="n"/>
      <c r="Q688" s="398" t="n"/>
      <c r="R688" s="113" t="n"/>
      <c r="S688" s="113" t="n"/>
      <c r="T688" s="113" t="n"/>
      <c r="U688" s="113" t="n"/>
      <c r="V688" s="113" t="n"/>
    </row>
    <row r="689" ht="15.75" customHeight="1">
      <c r="A689" s="146" t="n">
        <v>13</v>
      </c>
      <c r="B689" s="238" t="n"/>
      <c r="C689" s="481" t="n">
        <v>45889</v>
      </c>
      <c r="D689" s="482" t="inlineStr">
        <is>
          <t>202 G. HUERTAS</t>
        </is>
      </c>
      <c r="E689" s="482" t="n">
        <v>42876</v>
      </c>
      <c r="F689" s="482" t="inlineStr">
        <is>
          <t>ALEX GOMEZ</t>
        </is>
      </c>
      <c r="G689" s="482" t="n">
        <v>2720</v>
      </c>
      <c r="H689" s="482" t="n">
        <v>2736</v>
      </c>
      <c r="I689" s="482" t="n">
        <v>2</v>
      </c>
      <c r="J689" s="482" t="n">
        <v>9</v>
      </c>
      <c r="K689" s="482" t="n">
        <v>-27</v>
      </c>
      <c r="L689" s="397" t="n">
        <v>2720</v>
      </c>
      <c r="M689" s="113" t="n"/>
      <c r="N689" s="113" t="n"/>
      <c r="O689" s="113" t="n"/>
      <c r="P689" s="398" t="n"/>
      <c r="Q689" s="398" t="n"/>
      <c r="R689" s="113" t="n"/>
      <c r="S689" s="113" t="n"/>
      <c r="T689" s="113" t="n"/>
      <c r="U689" s="113" t="n"/>
      <c r="V689" s="113" t="n"/>
    </row>
    <row r="690" ht="15.75" customHeight="1">
      <c r="A690" s="146" t="n">
        <v>13</v>
      </c>
      <c r="B690" s="238" t="n"/>
      <c r="C690" s="481" t="n">
        <v>45889</v>
      </c>
      <c r="D690" s="482" t="inlineStr">
        <is>
          <t>202 G. HUERTAS</t>
        </is>
      </c>
      <c r="E690" s="482" t="n">
        <v>42787</v>
      </c>
      <c r="F690" s="482" t="inlineStr">
        <is>
          <t>ALBERTO HERRERA</t>
        </is>
      </c>
      <c r="G690" s="482" t="n">
        <v>2608</v>
      </c>
      <c r="H690" s="482" t="n">
        <v>2600</v>
      </c>
      <c r="I690" s="482" t="n">
        <v>2</v>
      </c>
      <c r="J690" s="482" t="n">
        <v>9</v>
      </c>
      <c r="K690" s="482" t="n">
        <v>-3</v>
      </c>
      <c r="L690" s="397" t="n">
        <v>2590</v>
      </c>
      <c r="M690" s="113" t="n"/>
      <c r="N690" s="113" t="n"/>
      <c r="O690" s="113" t="n"/>
      <c r="P690" s="398" t="n"/>
      <c r="Q690" s="398" t="n"/>
      <c r="R690" s="113" t="n"/>
      <c r="S690" s="113" t="n"/>
      <c r="T690" s="113" t="n"/>
      <c r="U690" s="113" t="n"/>
      <c r="V690" s="113" t="n"/>
    </row>
    <row r="691" ht="15.75" customHeight="1">
      <c r="A691" s="146" t="n">
        <v>13</v>
      </c>
      <c r="B691" s="238" t="n"/>
      <c r="C691" s="399" t="n">
        <v>45889</v>
      </c>
      <c r="D691" s="162" t="inlineStr">
        <is>
          <t>218 G. SAN JOSE 1</t>
        </is>
      </c>
      <c r="E691" s="162" t="n">
        <v>42788</v>
      </c>
      <c r="F691" s="162" t="inlineStr">
        <is>
          <t>JHON ARIAS</t>
        </is>
      </c>
      <c r="G691" s="162" t="n">
        <v>2867</v>
      </c>
      <c r="H691" s="162" t="n">
        <v>2870</v>
      </c>
      <c r="I691" s="162" t="n">
        <v>3</v>
      </c>
      <c r="J691" s="162" t="n">
        <v>5</v>
      </c>
      <c r="K691" s="162" t="n">
        <v>-11</v>
      </c>
      <c r="L691" s="397" t="n">
        <v>2916</v>
      </c>
      <c r="M691" s="113" t="n"/>
      <c r="N691" s="113" t="n"/>
      <c r="O691" s="113" t="n"/>
      <c r="P691" s="398" t="n"/>
      <c r="Q691" s="398" t="n"/>
      <c r="R691" s="113" t="n"/>
      <c r="S691" s="113" t="n"/>
      <c r="T691" s="113" t="n"/>
      <c r="U691" s="113" t="n"/>
      <c r="V691" s="113" t="n"/>
    </row>
    <row r="692" ht="15.75" customHeight="1">
      <c r="A692" s="146" t="n">
        <v>13</v>
      </c>
      <c r="B692" s="238" t="n"/>
      <c r="C692" s="399" t="n">
        <v>45889</v>
      </c>
      <c r="D692" s="162" t="inlineStr">
        <is>
          <t>218 G. SAN JOSE 1</t>
        </is>
      </c>
      <c r="E692" s="162" t="n">
        <v>42789</v>
      </c>
      <c r="F692" s="162" t="inlineStr">
        <is>
          <t>JHON AGUIRRE</t>
        </is>
      </c>
      <c r="G692" s="162" t="n">
        <v>2916</v>
      </c>
      <c r="H692" s="162" t="n">
        <v>2948</v>
      </c>
      <c r="I692" s="162" t="n">
        <v>3</v>
      </c>
      <c r="J692" s="162" t="n">
        <v>4</v>
      </c>
      <c r="K692" s="162" t="n">
        <v>-39</v>
      </c>
      <c r="L692" s="397" t="n">
        <v>2916</v>
      </c>
      <c r="M692" s="113" t="n"/>
      <c r="N692" s="113" t="n"/>
      <c r="O692" s="113" t="n"/>
      <c r="P692" s="398" t="n"/>
      <c r="Q692" s="398" t="n"/>
      <c r="R692" s="113" t="n"/>
      <c r="S692" s="113" t="n"/>
      <c r="T692" s="113" t="n"/>
      <c r="U692" s="113" t="n"/>
      <c r="V692" s="113" t="n"/>
    </row>
    <row r="693" ht="15.75" customHeight="1">
      <c r="A693" s="146" t="n">
        <v>13</v>
      </c>
      <c r="B693" s="238" t="n"/>
      <c r="C693" s="399" t="n">
        <v>45889</v>
      </c>
      <c r="D693" s="162" t="inlineStr">
        <is>
          <t>218 G. SAN JOSE 1</t>
        </is>
      </c>
      <c r="E693" s="162" t="n">
        <v>42797</v>
      </c>
      <c r="F693" s="162" t="inlineStr">
        <is>
          <t>JAIRO CUBILLOS</t>
        </is>
      </c>
      <c r="G693" s="162" t="n">
        <v>2916</v>
      </c>
      <c r="H693" s="162" t="n">
        <v>2905</v>
      </c>
      <c r="I693" s="162" t="n">
        <v>2</v>
      </c>
      <c r="J693" s="162" t="n">
        <v>7</v>
      </c>
      <c r="K693" s="162" t="n">
        <v>2</v>
      </c>
      <c r="L693" s="397" t="n">
        <v>2916</v>
      </c>
      <c r="M693" s="113" t="n"/>
      <c r="N693" s="113" t="n"/>
      <c r="O693" s="113" t="n"/>
      <c r="P693" s="398" t="n"/>
      <c r="Q693" s="398" t="n"/>
      <c r="R693" s="113" t="n"/>
      <c r="S693" s="113" t="n"/>
      <c r="T693" s="113" t="n"/>
      <c r="U693" s="113" t="n"/>
      <c r="V693" s="113" t="n"/>
    </row>
    <row r="694" ht="15.75" customHeight="1">
      <c r="A694" s="146" t="n">
        <v>13</v>
      </c>
      <c r="B694" s="238" t="n"/>
      <c r="C694" s="399" t="n">
        <v>45889</v>
      </c>
      <c r="D694" s="162" t="inlineStr">
        <is>
          <t>218 G. SAN JOSE 1</t>
        </is>
      </c>
      <c r="E694" s="162" t="n">
        <v>42798</v>
      </c>
      <c r="F694" s="162" t="inlineStr">
        <is>
          <t>YAIR RIVEROS</t>
        </is>
      </c>
      <c r="G694" s="162" t="n">
        <v>2800</v>
      </c>
      <c r="H694" s="162" t="n">
        <v>2789</v>
      </c>
      <c r="I694" s="162" t="n">
        <v>2</v>
      </c>
      <c r="J694" s="162" t="n">
        <v>8</v>
      </c>
      <c r="K694" s="162" t="n">
        <v>1</v>
      </c>
      <c r="L694" s="397" t="n">
        <v>2800</v>
      </c>
      <c r="M694" s="113" t="n"/>
      <c r="N694" s="113" t="n"/>
      <c r="O694" s="113" t="n"/>
      <c r="P694" s="398" t="n"/>
      <c r="Q694" s="398" t="n"/>
      <c r="R694" s="113" t="n"/>
      <c r="S694" s="113" t="n"/>
      <c r="T694" s="113" t="n"/>
      <c r="U694" s="113" t="n"/>
      <c r="V694" s="113" t="n"/>
    </row>
    <row r="695" ht="15.75" customHeight="1">
      <c r="A695" s="146" t="n">
        <v>13</v>
      </c>
      <c r="B695" s="238" t="n"/>
      <c r="C695" s="399" t="n">
        <v>45889</v>
      </c>
      <c r="D695" s="162" t="inlineStr">
        <is>
          <t>218 G. SAN JOSE 1</t>
        </is>
      </c>
      <c r="E695" s="162" t="n">
        <v>42799</v>
      </c>
      <c r="F695" s="162" t="inlineStr">
        <is>
          <t>WILMER PIÑEROS</t>
        </is>
      </c>
      <c r="G695" s="162" t="n">
        <v>2800</v>
      </c>
      <c r="H695" s="162" t="n">
        <v>2787</v>
      </c>
      <c r="I695" s="162" t="n">
        <v>3</v>
      </c>
      <c r="J695" s="162" t="n">
        <v>9</v>
      </c>
      <c r="K695" s="162" t="n">
        <v>1</v>
      </c>
      <c r="L695" s="397" t="n">
        <v>2800</v>
      </c>
      <c r="M695" s="113" t="n"/>
      <c r="N695" s="113" t="n"/>
      <c r="O695" s="113" t="n"/>
      <c r="P695" s="398" t="n"/>
      <c r="Q695" s="398" t="n"/>
      <c r="R695" s="113" t="n"/>
      <c r="S695" s="113" t="n"/>
      <c r="T695" s="113" t="n"/>
      <c r="U695" s="113" t="n"/>
      <c r="V695" s="113" t="n"/>
    </row>
    <row r="696" ht="15.75" customHeight="1">
      <c r="A696" s="146" t="n">
        <v>13</v>
      </c>
      <c r="B696" s="238" t="n"/>
      <c r="C696" s="399" t="n">
        <v>45889</v>
      </c>
      <c r="D696" s="162" t="inlineStr">
        <is>
          <t>218 G. SAN JOSE 1</t>
        </is>
      </c>
      <c r="E696" s="162" t="n">
        <v>42800</v>
      </c>
      <c r="F696" s="162" t="inlineStr">
        <is>
          <t>FERNANDO OYUELA</t>
        </is>
      </c>
      <c r="G696" s="162" t="n">
        <v>2750</v>
      </c>
      <c r="H696" s="162" t="n">
        <v>2743</v>
      </c>
      <c r="I696" s="162" t="n">
        <v>2</v>
      </c>
      <c r="J696" s="162" t="n">
        <v>4</v>
      </c>
      <c r="K696" s="162" t="n">
        <v>1</v>
      </c>
      <c r="L696" s="397" t="n">
        <v>2750</v>
      </c>
      <c r="M696" s="113" t="n"/>
      <c r="N696" s="113" t="n"/>
      <c r="O696" s="113" t="n"/>
      <c r="P696" s="398" t="n"/>
      <c r="Q696" s="398" t="n"/>
      <c r="R696" s="113" t="n"/>
      <c r="S696" s="113" t="n"/>
      <c r="T696" s="113" t="n"/>
      <c r="U696" s="113" t="n"/>
      <c r="V696" s="113" t="n"/>
    </row>
    <row r="697" ht="15.75" customHeight="1">
      <c r="A697" s="146" t="n">
        <v>13</v>
      </c>
      <c r="B697" s="238" t="n"/>
      <c r="C697" s="399" t="n">
        <v>45889</v>
      </c>
      <c r="D697" s="162" t="inlineStr">
        <is>
          <t>218 G. SAN JOSE 1</t>
        </is>
      </c>
      <c r="E697" s="162" t="n">
        <v>42801</v>
      </c>
      <c r="F697" s="162" t="inlineStr">
        <is>
          <t>JOSE SOLER</t>
        </is>
      </c>
      <c r="G697" s="162" t="n">
        <v>2906</v>
      </c>
      <c r="H697" s="162" t="n">
        <v>2893</v>
      </c>
      <c r="I697" s="162" t="n">
        <v>0</v>
      </c>
      <c r="J697" s="162" t="n">
        <v>14</v>
      </c>
      <c r="K697" s="162" t="n">
        <v>-1</v>
      </c>
      <c r="L697" s="397" t="n">
        <v>2906</v>
      </c>
      <c r="M697" s="113" t="n"/>
      <c r="N697" s="113" t="n"/>
      <c r="O697" s="113" t="n"/>
      <c r="P697" s="398" t="n"/>
      <c r="Q697" s="398" t="n"/>
      <c r="R697" s="113" t="n"/>
      <c r="S697" s="113" t="n"/>
      <c r="T697" s="113" t="n"/>
      <c r="U697" s="113" t="n"/>
      <c r="V697" s="113" t="n"/>
    </row>
    <row r="698" ht="15.75" customHeight="1">
      <c r="A698" s="146" t="n">
        <v>13</v>
      </c>
      <c r="B698" s="238" t="n"/>
      <c r="C698" s="399" t="n">
        <v>45889</v>
      </c>
      <c r="D698" s="162" t="inlineStr">
        <is>
          <t>218 G. SAN JOSE 1</t>
        </is>
      </c>
      <c r="E698" s="162" t="n">
        <v>42802</v>
      </c>
      <c r="F698" s="162" t="inlineStr">
        <is>
          <t>ALBERTO HERRERA</t>
        </is>
      </c>
      <c r="G698" s="162" t="n">
        <v>2906</v>
      </c>
      <c r="H698" s="162" t="n">
        <v>2892</v>
      </c>
      <c r="I698" s="162" t="n">
        <v>1</v>
      </c>
      <c r="J698" s="162" t="n">
        <v>13</v>
      </c>
      <c r="K698" s="162" t="n">
        <v>0</v>
      </c>
      <c r="L698" s="397" t="n">
        <v>2906</v>
      </c>
      <c r="M698" s="113" t="n"/>
      <c r="N698" s="113" t="n"/>
      <c r="O698" s="113" t="n"/>
      <c r="P698" s="398" t="n"/>
      <c r="Q698" s="398" t="n"/>
      <c r="R698" s="113" t="n"/>
      <c r="S698" s="113" t="n"/>
      <c r="T698" s="113" t="n"/>
      <c r="U698" s="113" t="n"/>
      <c r="V698" s="113" t="n"/>
    </row>
    <row r="699" ht="15.75" customHeight="1">
      <c r="A699" s="146" t="n">
        <v>13</v>
      </c>
      <c r="B699" s="238" t="n"/>
      <c r="C699" s="399" t="n">
        <v>45889</v>
      </c>
      <c r="D699" s="162" t="inlineStr">
        <is>
          <t>218 G. SAN JOSE 1</t>
        </is>
      </c>
      <c r="E699" s="162" t="n">
        <v>42803</v>
      </c>
      <c r="F699" s="162" t="inlineStr">
        <is>
          <t>DIEGO NIÑO</t>
        </is>
      </c>
      <c r="G699" s="162" t="n">
        <v>2906</v>
      </c>
      <c r="H699" s="162" t="n">
        <v>2900</v>
      </c>
      <c r="I699" s="162" t="n">
        <v>1</v>
      </c>
      <c r="J699" s="162" t="n">
        <v>4</v>
      </c>
      <c r="K699" s="162" t="n">
        <v>1</v>
      </c>
      <c r="L699" s="397" t="n">
        <v>2906</v>
      </c>
      <c r="M699" s="113" t="n"/>
      <c r="N699" s="113" t="n"/>
      <c r="O699" s="113" t="n"/>
      <c r="P699" s="398" t="n"/>
      <c r="Q699" s="398" t="n"/>
      <c r="R699" s="113" t="n"/>
      <c r="S699" s="113" t="n"/>
      <c r="T699" s="113" t="n"/>
      <c r="U699" s="113" t="n"/>
      <c r="V699" s="113" t="n"/>
    </row>
    <row r="700" ht="15.75" customHeight="1">
      <c r="A700" s="146" t="n">
        <v>13</v>
      </c>
      <c r="B700" s="238" t="n"/>
      <c r="C700" s="399" t="n">
        <v>45889</v>
      </c>
      <c r="D700" s="162" t="inlineStr">
        <is>
          <t>218 G. SAN JOSE 1</t>
        </is>
      </c>
      <c r="E700" s="162" t="n">
        <v>42804</v>
      </c>
      <c r="F700" s="162" t="inlineStr">
        <is>
          <t>JHON AGUIRRE</t>
        </is>
      </c>
      <c r="G700" s="162" t="n">
        <v>2954</v>
      </c>
      <c r="H700" s="162" t="n">
        <v>2941</v>
      </c>
      <c r="I700" s="162" t="n">
        <v>2</v>
      </c>
      <c r="J700" s="162" t="n">
        <v>12</v>
      </c>
      <c r="K700" s="162" t="n">
        <v>-1</v>
      </c>
      <c r="L700" s="397" t="n">
        <v>2954</v>
      </c>
      <c r="M700" s="113" t="n"/>
      <c r="N700" s="113" t="n"/>
      <c r="O700" s="113" t="n"/>
      <c r="P700" s="398" t="n"/>
      <c r="Q700" s="398" t="n"/>
      <c r="R700" s="113" t="n"/>
      <c r="S700" s="113" t="n"/>
      <c r="T700" s="113" t="n"/>
      <c r="U700" s="113" t="n"/>
      <c r="V700" s="113" t="n"/>
    </row>
    <row r="701" ht="15.75" customHeight="1">
      <c r="A701" s="146" t="n">
        <v>13</v>
      </c>
      <c r="B701" s="238" t="n"/>
      <c r="C701" s="481" t="n">
        <v>45890</v>
      </c>
      <c r="D701" s="482" t="inlineStr">
        <is>
          <t>202 G. HUERTAS</t>
        </is>
      </c>
      <c r="E701" s="482" t="n">
        <v>42813</v>
      </c>
      <c r="F701" s="482" t="inlineStr">
        <is>
          <t>DIEGO NIÑO</t>
        </is>
      </c>
      <c r="G701" s="482" t="n">
        <v>2880</v>
      </c>
      <c r="H701" s="482" t="n">
        <v>2873</v>
      </c>
      <c r="I701" s="482" t="n">
        <v>2</v>
      </c>
      <c r="J701" s="482" t="n">
        <v>5</v>
      </c>
      <c r="K701" s="482" t="n">
        <v>0</v>
      </c>
      <c r="L701" s="397" t="n">
        <v>2880</v>
      </c>
      <c r="M701" s="113" t="n"/>
      <c r="N701" s="113" t="n"/>
      <c r="O701" s="113" t="n"/>
      <c r="P701" s="398" t="n"/>
      <c r="Q701" s="398" t="n"/>
      <c r="R701" s="113" t="n"/>
      <c r="S701" s="113" t="n"/>
      <c r="T701" s="113" t="n"/>
      <c r="U701" s="113" t="n"/>
      <c r="V701" s="113" t="n"/>
    </row>
    <row r="702" ht="15.75" customHeight="1">
      <c r="A702" s="146" t="n">
        <v>13</v>
      </c>
      <c r="B702" s="238" t="n"/>
      <c r="C702" s="481" t="n">
        <v>45890</v>
      </c>
      <c r="D702" s="482" t="inlineStr">
        <is>
          <t>202 G. HUERTAS</t>
        </is>
      </c>
      <c r="E702" s="482" t="n">
        <v>42814</v>
      </c>
      <c r="F702" s="482" t="inlineStr">
        <is>
          <t>WILMER PIÑEROS</t>
        </is>
      </c>
      <c r="G702" s="482" t="n">
        <v>2916</v>
      </c>
      <c r="H702" s="482" t="n">
        <v>2909</v>
      </c>
      <c r="I702" s="482" t="n">
        <v>3</v>
      </c>
      <c r="J702" s="482" t="n">
        <v>5</v>
      </c>
      <c r="K702" s="482" t="n">
        <v>-1</v>
      </c>
      <c r="L702" s="397" t="n">
        <v>2916</v>
      </c>
      <c r="M702" s="113" t="n"/>
      <c r="N702" s="113" t="n"/>
      <c r="O702" s="113" t="n"/>
      <c r="P702" s="398" t="n"/>
      <c r="Q702" s="398" t="n"/>
      <c r="R702" s="113" t="n"/>
      <c r="S702" s="113" t="n"/>
      <c r="T702" s="113" t="n"/>
      <c r="U702" s="113" t="n"/>
      <c r="V702" s="113" t="n"/>
    </row>
    <row r="703" ht="15.75" customHeight="1">
      <c r="A703" s="146" t="n">
        <v>13</v>
      </c>
      <c r="B703" s="238" t="n"/>
      <c r="C703" s="481" t="n">
        <v>45890</v>
      </c>
      <c r="D703" s="482" t="inlineStr">
        <is>
          <t>202 G. HUERTAS</t>
        </is>
      </c>
      <c r="E703" s="482" t="n">
        <v>42815</v>
      </c>
      <c r="F703" s="482" t="inlineStr">
        <is>
          <t>ALBERTO LOPEZ</t>
        </is>
      </c>
      <c r="G703" s="482" t="n">
        <v>2916</v>
      </c>
      <c r="H703" s="482" t="n">
        <v>2914</v>
      </c>
      <c r="I703" s="482" t="n">
        <v>3</v>
      </c>
      <c r="J703" s="482" t="n">
        <v>5</v>
      </c>
      <c r="K703" s="482" t="n">
        <v>-6</v>
      </c>
      <c r="L703" s="397" t="n">
        <v>2916</v>
      </c>
      <c r="M703" s="113" t="n"/>
      <c r="N703" s="113" t="n"/>
      <c r="O703" s="113" t="n"/>
      <c r="P703" s="398" t="n"/>
      <c r="Q703" s="398" t="n"/>
      <c r="R703" s="113" t="n"/>
      <c r="S703" s="113" t="n"/>
      <c r="T703" s="113" t="n"/>
      <c r="U703" s="113" t="n"/>
      <c r="V703" s="113" t="n"/>
    </row>
    <row r="704" ht="15.75" customHeight="1">
      <c r="A704" s="146" t="n">
        <v>13</v>
      </c>
      <c r="B704" s="238" t="n"/>
      <c r="C704" s="481" t="n">
        <v>45890</v>
      </c>
      <c r="D704" s="482" t="inlineStr">
        <is>
          <t>202 G. HUERTAS</t>
        </is>
      </c>
      <c r="E704" s="482" t="n">
        <v>42816</v>
      </c>
      <c r="F704" s="482" t="inlineStr">
        <is>
          <t>FABIO ALDANA</t>
        </is>
      </c>
      <c r="G704" s="482" t="n">
        <v>2919</v>
      </c>
      <c r="H704" s="482" t="n">
        <v>2902</v>
      </c>
      <c r="I704" s="482" t="n">
        <v>3</v>
      </c>
      <c r="J704" s="482" t="n">
        <v>15</v>
      </c>
      <c r="K704" s="482" t="n">
        <v>-1</v>
      </c>
      <c r="L704" s="397" t="n">
        <v>2916</v>
      </c>
      <c r="M704" s="113" t="n"/>
      <c r="N704" s="113" t="n"/>
      <c r="O704" s="113" t="n"/>
      <c r="P704" s="398" t="n"/>
      <c r="Q704" s="398" t="n"/>
      <c r="R704" s="113" t="n"/>
      <c r="S704" s="113" t="n"/>
      <c r="T704" s="113" t="n"/>
      <c r="U704" s="113" t="n"/>
      <c r="V704" s="113" t="n"/>
    </row>
    <row r="705" ht="15.75" customHeight="1">
      <c r="A705" s="146" t="n">
        <v>13</v>
      </c>
      <c r="B705" s="238" t="n"/>
      <c r="C705" s="481" t="n">
        <v>45890</v>
      </c>
      <c r="D705" s="482" t="inlineStr">
        <is>
          <t>202 G. HUERTAS</t>
        </is>
      </c>
      <c r="E705" s="482" t="n">
        <v>42817</v>
      </c>
      <c r="F705" s="482" t="inlineStr">
        <is>
          <t>DUMAR ANGARITA</t>
        </is>
      </c>
      <c r="G705" s="482" t="n">
        <v>2850</v>
      </c>
      <c r="H705" s="482" t="n">
        <v>2838</v>
      </c>
      <c r="I705" s="482" t="n">
        <v>4</v>
      </c>
      <c r="J705" s="482" t="n">
        <v>15</v>
      </c>
      <c r="K705" s="482" t="n">
        <v>-7</v>
      </c>
      <c r="L705" s="397" t="n">
        <v>2850</v>
      </c>
      <c r="M705" s="113" t="n"/>
      <c r="N705" s="113" t="n"/>
      <c r="O705" s="113" t="n"/>
      <c r="P705" s="398" t="n"/>
      <c r="Q705" s="398" t="n"/>
      <c r="R705" s="113" t="n"/>
      <c r="S705" s="113" t="n"/>
      <c r="T705" s="113" t="n"/>
      <c r="U705" s="113" t="n"/>
      <c r="V705" s="113" t="n"/>
    </row>
    <row r="706" ht="15.75" customHeight="1">
      <c r="A706" s="146" t="n">
        <v>13</v>
      </c>
      <c r="B706" s="238" t="n"/>
      <c r="C706" s="481" t="n">
        <v>45890</v>
      </c>
      <c r="D706" s="482" t="inlineStr">
        <is>
          <t>202 G. HUERTAS</t>
        </is>
      </c>
      <c r="E706" s="482" t="n">
        <v>42818</v>
      </c>
      <c r="F706" s="482" t="inlineStr">
        <is>
          <t>JHON ARIAS</t>
        </is>
      </c>
      <c r="G706" s="482" t="n">
        <v>3140</v>
      </c>
      <c r="H706" s="482" t="n">
        <v>3111</v>
      </c>
      <c r="I706" s="482" t="n">
        <v>1</v>
      </c>
      <c r="J706" s="482" t="n">
        <v>9</v>
      </c>
      <c r="K706" s="482" t="n">
        <v>19</v>
      </c>
      <c r="L706" s="397" t="n">
        <v>3090</v>
      </c>
      <c r="M706" s="113" t="n"/>
      <c r="N706" s="113" t="n"/>
      <c r="O706" s="113" t="n"/>
      <c r="P706" s="398" t="n"/>
      <c r="Q706" s="398" t="n"/>
      <c r="R706" s="113" t="n"/>
      <c r="S706" s="113" t="n"/>
      <c r="T706" s="113" t="n"/>
      <c r="U706" s="113" t="n"/>
      <c r="V706" s="113" t="n"/>
    </row>
    <row r="707" ht="15.75" customHeight="1">
      <c r="A707" s="146" t="n">
        <v>13</v>
      </c>
      <c r="B707" s="238" t="n"/>
      <c r="C707" s="481" t="n">
        <v>45890</v>
      </c>
      <c r="D707" s="482" t="inlineStr">
        <is>
          <t>202 G. HUERTAS</t>
        </is>
      </c>
      <c r="E707" s="482" t="n">
        <v>42819</v>
      </c>
      <c r="F707" s="482" t="inlineStr">
        <is>
          <t>JOSE SOLER</t>
        </is>
      </c>
      <c r="G707" s="482" t="n">
        <v>3090</v>
      </c>
      <c r="H707" s="482" t="n">
        <v>3057</v>
      </c>
      <c r="I707" s="482" t="n">
        <v>1</v>
      </c>
      <c r="J707" s="482" t="n">
        <v>8</v>
      </c>
      <c r="K707" s="482" t="n">
        <v>24</v>
      </c>
      <c r="L707" s="397" t="n">
        <v>3090</v>
      </c>
      <c r="M707" s="113" t="n"/>
      <c r="N707" s="113" t="n"/>
      <c r="O707" s="113" t="n"/>
      <c r="P707" s="398" t="n"/>
      <c r="Q707" s="398" t="n"/>
      <c r="R707" s="113" t="n"/>
      <c r="S707" s="113" t="n"/>
      <c r="T707" s="113" t="n"/>
      <c r="U707" s="113" t="n"/>
      <c r="V707" s="113" t="n"/>
    </row>
    <row r="708" ht="15.75" customHeight="1">
      <c r="A708" s="146" t="n">
        <v>13</v>
      </c>
      <c r="B708" s="238" t="n"/>
      <c r="C708" s="481" t="n">
        <v>45890</v>
      </c>
      <c r="D708" s="482" t="inlineStr">
        <is>
          <t>202 G. HUERTAS</t>
        </is>
      </c>
      <c r="E708" s="482" t="n">
        <v>42820</v>
      </c>
      <c r="F708" s="482" t="inlineStr">
        <is>
          <t>FERNANDO OYUELA</t>
        </is>
      </c>
      <c r="G708" s="482" t="n">
        <v>3080</v>
      </c>
      <c r="H708" s="482" t="n">
        <v>3040</v>
      </c>
      <c r="I708" s="482" t="n">
        <v>1</v>
      </c>
      <c r="J708" s="482" t="n">
        <v>5</v>
      </c>
      <c r="K708" s="482" t="n">
        <v>34</v>
      </c>
      <c r="L708" s="397" t="n">
        <v>3090</v>
      </c>
      <c r="M708" s="113" t="n"/>
      <c r="N708" s="113" t="n"/>
      <c r="O708" s="113" t="n"/>
      <c r="P708" s="398" t="n"/>
      <c r="Q708" s="398" t="n"/>
      <c r="R708" s="113" t="n"/>
      <c r="S708" s="113" t="n"/>
      <c r="T708" s="113" t="n"/>
      <c r="U708" s="113" t="n"/>
      <c r="V708" s="113" t="n"/>
    </row>
    <row r="709" ht="15.75" customHeight="1">
      <c r="A709" s="146" t="n">
        <v>13</v>
      </c>
      <c r="B709" s="238" t="n"/>
      <c r="C709" s="399" t="n">
        <v>45890</v>
      </c>
      <c r="D709" s="162" t="inlineStr">
        <is>
          <t>218 G. SAN JOSE 1</t>
        </is>
      </c>
      <c r="E709" s="162" t="n">
        <v>42828</v>
      </c>
      <c r="F709" s="162" t="inlineStr">
        <is>
          <t>JHON AGUIRRE</t>
        </is>
      </c>
      <c r="G709" s="162" t="n">
        <v>2916</v>
      </c>
      <c r="H709" s="162" t="n">
        <v>2906</v>
      </c>
      <c r="I709" s="162" t="n">
        <v>1</v>
      </c>
      <c r="J709" s="162" t="n">
        <v>11</v>
      </c>
      <c r="K709" s="162" t="n">
        <v>-2</v>
      </c>
      <c r="L709" s="397" t="n">
        <v>2916</v>
      </c>
      <c r="M709" s="113" t="n"/>
      <c r="N709" s="113" t="n"/>
      <c r="O709" s="113" t="n"/>
      <c r="P709" s="398" t="n"/>
      <c r="Q709" s="398" t="n"/>
      <c r="R709" s="113" t="n"/>
      <c r="S709" s="113" t="n"/>
      <c r="T709" s="113" t="n"/>
      <c r="U709" s="113" t="n"/>
      <c r="V709" s="113" t="n"/>
    </row>
    <row r="710" ht="15.75" customHeight="1">
      <c r="A710" s="146" t="n">
        <v>13</v>
      </c>
      <c r="B710" s="238" t="n"/>
      <c r="C710" s="399" t="n">
        <v>45890</v>
      </c>
      <c r="D710" s="162" t="inlineStr">
        <is>
          <t>218 G. SAN JOSE 1</t>
        </is>
      </c>
      <c r="E710" s="162" t="n">
        <v>42829</v>
      </c>
      <c r="F710" s="162" t="inlineStr">
        <is>
          <t>DIEGO NIÑO</t>
        </is>
      </c>
      <c r="G710" s="162" t="n">
        <v>3240</v>
      </c>
      <c r="H710" s="162" t="n">
        <v>3227</v>
      </c>
      <c r="I710" s="162" t="n">
        <v>2</v>
      </c>
      <c r="J710" s="162" t="n">
        <v>14</v>
      </c>
      <c r="K710" s="162" t="n">
        <v>-3</v>
      </c>
      <c r="L710" s="397" t="n">
        <v>3240</v>
      </c>
      <c r="M710" s="113" t="n"/>
      <c r="N710" s="113" t="n"/>
      <c r="O710" s="113" t="n"/>
      <c r="P710" s="398" t="n"/>
      <c r="Q710" s="398" t="n"/>
      <c r="R710" s="113" t="n"/>
      <c r="S710" s="113" t="n"/>
      <c r="T710" s="113" t="n"/>
      <c r="U710" s="113" t="n"/>
      <c r="V710" s="113" t="n"/>
    </row>
    <row r="711" ht="15.75" customHeight="1">
      <c r="A711" s="146" t="n">
        <v>13</v>
      </c>
      <c r="B711" s="238" t="n"/>
      <c r="C711" s="399" t="n">
        <v>45890</v>
      </c>
      <c r="D711" s="162" t="inlineStr">
        <is>
          <t>218 G. SAN JOSE 1</t>
        </is>
      </c>
      <c r="E711" s="162" t="n">
        <v>42830</v>
      </c>
      <c r="F711" s="162" t="inlineStr">
        <is>
          <t>FABIO ALDANA</t>
        </is>
      </c>
      <c r="G711" s="162" t="n">
        <v>3100</v>
      </c>
      <c r="H711" s="162" t="n">
        <v>3092</v>
      </c>
      <c r="I711" s="162" t="n">
        <v>2</v>
      </c>
      <c r="J711" s="162" t="n">
        <v>12</v>
      </c>
      <c r="K711" s="162" t="n">
        <v>-6</v>
      </c>
      <c r="L711" s="397" t="n">
        <v>3100</v>
      </c>
      <c r="M711" s="113" t="n"/>
      <c r="N711" s="113" t="n"/>
      <c r="O711" s="113" t="n"/>
      <c r="P711" s="398" t="n"/>
      <c r="Q711" s="398" t="n"/>
      <c r="R711" s="113" t="n"/>
      <c r="S711" s="113" t="n"/>
      <c r="T711" s="113" t="n"/>
      <c r="U711" s="113" t="n"/>
      <c r="V711" s="113" t="n"/>
    </row>
    <row r="712" ht="15.75" customHeight="1">
      <c r="A712" s="146" t="n">
        <v>13</v>
      </c>
      <c r="B712" s="238" t="n"/>
      <c r="C712" s="399" t="n">
        <v>45890</v>
      </c>
      <c r="D712" s="162" t="inlineStr">
        <is>
          <t>218 G. SAN JOSE 1</t>
        </is>
      </c>
      <c r="E712" s="162" t="n">
        <v>42831</v>
      </c>
      <c r="F712" s="162" t="inlineStr">
        <is>
          <t>DUMAR ANGARITA</t>
        </is>
      </c>
      <c r="G712" s="162" t="n">
        <v>3100</v>
      </c>
      <c r="H712" s="162" t="n">
        <v>3082</v>
      </c>
      <c r="I712" s="162" t="n">
        <v>1</v>
      </c>
      <c r="J712" s="162" t="n">
        <v>23</v>
      </c>
      <c r="K712" s="162" t="n">
        <v>-6</v>
      </c>
      <c r="L712" s="397" t="n">
        <v>3100</v>
      </c>
      <c r="M712" s="113" t="n"/>
      <c r="N712" s="113" t="n"/>
      <c r="O712" s="113" t="n"/>
      <c r="P712" s="398" t="n"/>
      <c r="Q712" s="398" t="n"/>
      <c r="R712" s="113" t="n"/>
      <c r="S712" s="113" t="n"/>
      <c r="T712" s="113" t="n"/>
      <c r="U712" s="113" t="n"/>
      <c r="V712" s="113" t="n"/>
    </row>
    <row r="713" ht="15.75" customHeight="1">
      <c r="A713" s="146" t="n">
        <v>13</v>
      </c>
      <c r="B713" s="238" t="n"/>
      <c r="C713" s="399" t="n">
        <v>45890</v>
      </c>
      <c r="D713" s="162" t="inlineStr">
        <is>
          <t>218 G. SAN JOSE 1</t>
        </is>
      </c>
      <c r="E713" s="162" t="n">
        <v>42832</v>
      </c>
      <c r="F713" s="162" t="inlineStr">
        <is>
          <t>JHON ARIAS</t>
        </is>
      </c>
      <c r="G713" s="162" t="n">
        <v>3100</v>
      </c>
      <c r="H713" s="162" t="n">
        <v>3083</v>
      </c>
      <c r="I713" s="162" t="n">
        <v>2</v>
      </c>
      <c r="J713" s="162" t="n">
        <v>21</v>
      </c>
      <c r="K713" s="162" t="n">
        <v>-6</v>
      </c>
      <c r="L713" s="397" t="n">
        <v>3100</v>
      </c>
      <c r="M713" s="113" t="n"/>
      <c r="N713" s="113" t="n"/>
      <c r="O713" s="113" t="n"/>
      <c r="P713" s="398" t="n"/>
      <c r="Q713" s="398" t="n"/>
      <c r="R713" s="113" t="n"/>
      <c r="S713" s="113" t="n"/>
      <c r="T713" s="113" t="n"/>
      <c r="U713" s="113" t="n"/>
      <c r="V713" s="113" t="n"/>
    </row>
    <row r="714" ht="15.75" customHeight="1">
      <c r="A714" s="146" t="n">
        <v>13</v>
      </c>
      <c r="B714" s="238" t="n"/>
      <c r="C714" s="399" t="n">
        <v>45890</v>
      </c>
      <c r="D714" s="162" t="inlineStr">
        <is>
          <t>218 G. SAN JOSE 1</t>
        </is>
      </c>
      <c r="E714" s="162" t="n">
        <v>42833</v>
      </c>
      <c r="F714" s="162" t="inlineStr">
        <is>
          <t>JOSE SOLER</t>
        </is>
      </c>
      <c r="G714" s="162" t="n">
        <v>3100</v>
      </c>
      <c r="H714" s="162" t="n">
        <v>3081</v>
      </c>
      <c r="I714" s="162" t="n">
        <v>1</v>
      </c>
      <c r="J714" s="162" t="n">
        <v>23</v>
      </c>
      <c r="K714" s="162" t="n">
        <v>-5</v>
      </c>
      <c r="L714" s="397" t="n">
        <v>3100</v>
      </c>
      <c r="M714" s="113" t="n"/>
      <c r="N714" s="113" t="n"/>
      <c r="O714" s="113" t="n"/>
      <c r="P714" s="398" t="n"/>
      <c r="Q714" s="398" t="n"/>
      <c r="R714" s="113" t="n"/>
      <c r="S714" s="113" t="n"/>
      <c r="T714" s="113" t="n"/>
      <c r="U714" s="113" t="n"/>
      <c r="V714" s="113" t="n"/>
    </row>
    <row r="715" ht="15.75" customHeight="1">
      <c r="A715" s="146" t="n">
        <v>13</v>
      </c>
      <c r="B715" s="238" t="n"/>
      <c r="C715" s="399" t="n">
        <v>45890</v>
      </c>
      <c r="D715" s="162" t="inlineStr">
        <is>
          <t>218 G. SAN JOSE 1</t>
        </is>
      </c>
      <c r="E715" s="162" t="n">
        <v>42834</v>
      </c>
      <c r="F715" s="162" t="inlineStr">
        <is>
          <t>FERNANDO OYUELA</t>
        </is>
      </c>
      <c r="G715" s="162" t="n">
        <v>3100</v>
      </c>
      <c r="H715" s="162" t="n">
        <v>3090</v>
      </c>
      <c r="I715" s="162" t="n">
        <v>1</v>
      </c>
      <c r="J715" s="162" t="n">
        <v>15</v>
      </c>
      <c r="K715" s="162" t="n">
        <v>-6</v>
      </c>
      <c r="L715" s="397" t="n">
        <v>3100</v>
      </c>
      <c r="M715" s="113" t="n"/>
      <c r="N715" s="113" t="n"/>
      <c r="O715" s="113" t="n"/>
      <c r="P715" s="398" t="n"/>
      <c r="Q715" s="398" t="n"/>
      <c r="R715" s="113" t="n"/>
      <c r="S715" s="113" t="n"/>
      <c r="T715" s="113" t="n"/>
      <c r="U715" s="113" t="n"/>
      <c r="V715" s="113" t="n"/>
    </row>
    <row r="716" ht="15.75" customHeight="1">
      <c r="A716" s="146" t="n">
        <v>13</v>
      </c>
      <c r="B716" s="238" t="n"/>
      <c r="C716" s="399" t="n">
        <v>45890</v>
      </c>
      <c r="D716" s="162" t="inlineStr">
        <is>
          <t>218 G. SAN JOSE 1</t>
        </is>
      </c>
      <c r="E716" s="162" t="n">
        <v>42835</v>
      </c>
      <c r="F716" s="162" t="inlineStr">
        <is>
          <t>ALBERTO HERRERA</t>
        </is>
      </c>
      <c r="G716" s="162" t="n">
        <v>2277</v>
      </c>
      <c r="H716" s="162" t="n">
        <v>2274</v>
      </c>
      <c r="I716" s="162" t="n">
        <v>2</v>
      </c>
      <c r="J716" s="162" t="n">
        <v>17</v>
      </c>
      <c r="K716" s="162" t="n">
        <v>-16</v>
      </c>
      <c r="L716" s="397" t="n">
        <v>2277</v>
      </c>
      <c r="M716" s="113" t="n"/>
      <c r="N716" s="113" t="n"/>
      <c r="O716" s="113" t="n"/>
      <c r="P716" s="398" t="n"/>
      <c r="Q716" s="398" t="n"/>
      <c r="R716" s="113" t="n"/>
      <c r="S716" s="113" t="n"/>
      <c r="T716" s="113" t="n"/>
      <c r="U716" s="113" t="n"/>
      <c r="V716" s="113" t="n"/>
    </row>
    <row r="717" ht="15.75" customHeight="1">
      <c r="A717" s="146" t="n">
        <v>13</v>
      </c>
      <c r="B717" s="238" t="n"/>
      <c r="C717" s="481" t="n">
        <v>45891</v>
      </c>
      <c r="D717" s="482" t="inlineStr">
        <is>
          <t>202 G. HUERTAS</t>
        </is>
      </c>
      <c r="E717" s="482" t="n">
        <v>42844</v>
      </c>
      <c r="F717" s="482" t="inlineStr">
        <is>
          <t>ALEX GOMEZ</t>
        </is>
      </c>
      <c r="G717" s="482" t="n">
        <v>2580</v>
      </c>
      <c r="H717" s="482" t="n">
        <v>2534</v>
      </c>
      <c r="I717" s="482" t="n">
        <v>1</v>
      </c>
      <c r="J717" s="482" t="n">
        <v>8</v>
      </c>
      <c r="K717" s="482" t="n">
        <v>37</v>
      </c>
      <c r="L717" s="397" t="n">
        <v>2580</v>
      </c>
      <c r="M717" s="113" t="n"/>
      <c r="N717" s="113" t="n"/>
      <c r="O717" s="113" t="n"/>
      <c r="P717" s="398" t="n"/>
      <c r="Q717" s="398" t="n"/>
      <c r="R717" s="113" t="n"/>
      <c r="S717" s="113" t="n"/>
      <c r="T717" s="113" t="n"/>
      <c r="U717" s="113" t="n"/>
      <c r="V717" s="113" t="n"/>
    </row>
    <row r="718" ht="15.75" customHeight="1">
      <c r="A718" s="146" t="n">
        <v>13</v>
      </c>
      <c r="B718" s="238" t="n"/>
      <c r="C718" s="481" t="n">
        <v>45891</v>
      </c>
      <c r="D718" s="482" t="inlineStr">
        <is>
          <t>202 G. HUERTAS</t>
        </is>
      </c>
      <c r="E718" s="482" t="n">
        <v>42845</v>
      </c>
      <c r="F718" s="482" t="inlineStr">
        <is>
          <t>HENRY ROMERO</t>
        </is>
      </c>
      <c r="G718" s="482" t="n">
        <v>2592</v>
      </c>
      <c r="H718" s="482" t="n">
        <v>2588</v>
      </c>
      <c r="I718" s="482" t="n">
        <v>1</v>
      </c>
      <c r="J718" s="482" t="n">
        <v>5</v>
      </c>
      <c r="K718" s="482" t="n">
        <v>-2</v>
      </c>
      <c r="L718" s="397" t="n">
        <v>2592</v>
      </c>
      <c r="M718" s="113" t="n"/>
      <c r="N718" s="113" t="n"/>
      <c r="O718" s="113" t="n"/>
      <c r="P718" s="398" t="n"/>
      <c r="Q718" s="398" t="n"/>
      <c r="R718" s="113" t="n"/>
      <c r="S718" s="113" t="n"/>
      <c r="T718" s="113" t="n"/>
      <c r="U718" s="113" t="n"/>
      <c r="V718" s="113" t="n"/>
    </row>
    <row r="719" ht="15.75" customHeight="1">
      <c r="A719" s="146" t="n">
        <v>13</v>
      </c>
      <c r="B719" s="238" t="n"/>
      <c r="C719" s="481" t="n">
        <v>45891</v>
      </c>
      <c r="D719" s="482" t="inlineStr">
        <is>
          <t>202 G. HUERTAS</t>
        </is>
      </c>
      <c r="E719" s="482" t="n">
        <v>42846</v>
      </c>
      <c r="F719" s="482" t="inlineStr">
        <is>
          <t>EDUAN CAVIEDES</t>
        </is>
      </c>
      <c r="G719" s="482" t="n">
        <v>2592</v>
      </c>
      <c r="H719" s="482" t="n">
        <v>2583</v>
      </c>
      <c r="I719" s="482" t="n">
        <v>1</v>
      </c>
      <c r="J719" s="482" t="n">
        <v>8</v>
      </c>
      <c r="K719" s="482" t="n">
        <v>0</v>
      </c>
      <c r="L719" s="397" t="n">
        <v>2592</v>
      </c>
      <c r="M719" s="113" t="n"/>
      <c r="N719" s="113" t="n"/>
      <c r="O719" s="113" t="n"/>
      <c r="P719" s="398" t="n"/>
      <c r="Q719" s="398" t="n"/>
      <c r="R719" s="113" t="n"/>
      <c r="S719" s="113" t="n"/>
      <c r="T719" s="113" t="n"/>
      <c r="U719" s="113" t="n"/>
      <c r="V719" s="113" t="n"/>
    </row>
    <row r="720" ht="15.75" customHeight="1">
      <c r="A720" s="146" t="n">
        <v>13</v>
      </c>
      <c r="B720" s="238" t="n"/>
      <c r="C720" s="481" t="n">
        <v>45891</v>
      </c>
      <c r="D720" s="482" t="inlineStr">
        <is>
          <t>202 G. HUERTAS</t>
        </is>
      </c>
      <c r="E720" s="482" t="n">
        <v>42847</v>
      </c>
      <c r="F720" s="482" t="inlineStr">
        <is>
          <t>JAIRO CUBILLOS</t>
        </is>
      </c>
      <c r="G720" s="482" t="n">
        <v>2682</v>
      </c>
      <c r="H720" s="482" t="n">
        <v>2676</v>
      </c>
      <c r="I720" s="482" t="n">
        <v>1</v>
      </c>
      <c r="J720" s="482" t="n">
        <v>7</v>
      </c>
      <c r="K720" s="482" t="n">
        <v>-2</v>
      </c>
      <c r="L720" s="397" t="n">
        <v>2662</v>
      </c>
      <c r="M720" s="113" t="n"/>
      <c r="N720" s="113" t="n"/>
      <c r="O720" s="113" t="n"/>
      <c r="P720" s="398" t="n"/>
      <c r="Q720" s="398" t="n"/>
      <c r="R720" s="113" t="n"/>
      <c r="S720" s="113" t="n"/>
      <c r="T720" s="113" t="n"/>
      <c r="U720" s="113" t="n"/>
      <c r="V720" s="113" t="n"/>
    </row>
    <row r="721" ht="15.75" customHeight="1">
      <c r="A721" s="146" t="n">
        <v>13</v>
      </c>
      <c r="B721" s="238" t="n"/>
      <c r="C721" s="481" t="n">
        <v>45891</v>
      </c>
      <c r="D721" s="482" t="inlineStr">
        <is>
          <t>202 G. HUERTAS</t>
        </is>
      </c>
      <c r="E721" s="482" t="n">
        <v>42848</v>
      </c>
      <c r="F721" s="482" t="inlineStr">
        <is>
          <t>MANUEL QUITIAN</t>
        </is>
      </c>
      <c r="G721" s="482" t="n">
        <v>3282</v>
      </c>
      <c r="H721" s="482" t="n">
        <v>3270</v>
      </c>
      <c r="I721" s="482" t="n">
        <v>2</v>
      </c>
      <c r="J721" s="482" t="n">
        <v>6</v>
      </c>
      <c r="K721" s="482" t="n">
        <v>4</v>
      </c>
      <c r="L721" s="397" t="n">
        <v>3282</v>
      </c>
      <c r="M721" s="113" t="n"/>
      <c r="N721" s="113" t="n"/>
      <c r="O721" s="113" t="n"/>
      <c r="P721" s="398" t="n"/>
      <c r="Q721" s="398" t="n"/>
      <c r="R721" s="113" t="n"/>
      <c r="S721" s="113" t="n"/>
      <c r="T721" s="113" t="n"/>
      <c r="U721" s="113" t="n"/>
      <c r="V721" s="113" t="n"/>
    </row>
    <row r="722" ht="15.75" customHeight="1">
      <c r="A722" s="146" t="n">
        <v>13</v>
      </c>
      <c r="B722" s="238" t="n"/>
      <c r="C722" s="481" t="n">
        <v>45891</v>
      </c>
      <c r="D722" s="482" t="inlineStr">
        <is>
          <t>202 G. HUERTAS</t>
        </is>
      </c>
      <c r="E722" s="482" t="n">
        <v>42849</v>
      </c>
      <c r="F722" s="482" t="inlineStr">
        <is>
          <t>ALBERTO HERRERA</t>
        </is>
      </c>
      <c r="G722" s="482" t="n">
        <v>2320</v>
      </c>
      <c r="H722" s="482" t="n">
        <v>2309</v>
      </c>
      <c r="I722" s="482" t="n">
        <v>3</v>
      </c>
      <c r="J722" s="482" t="n">
        <v>12</v>
      </c>
      <c r="K722" s="482" t="n">
        <v>-4</v>
      </c>
      <c r="L722" s="397" t="n">
        <v>2316</v>
      </c>
      <c r="M722" s="113" t="n"/>
      <c r="N722" s="113" t="n"/>
      <c r="O722" s="113" t="n"/>
      <c r="P722" s="398" t="n"/>
      <c r="Q722" s="398" t="n"/>
      <c r="R722" s="113" t="n"/>
      <c r="S722" s="113" t="n"/>
      <c r="T722" s="113" t="n"/>
      <c r="U722" s="113" t="n"/>
      <c r="V722" s="113" t="n"/>
    </row>
    <row r="723" ht="15.75" customHeight="1">
      <c r="A723" s="146" t="n">
        <v>13</v>
      </c>
      <c r="B723" s="238" t="n"/>
      <c r="C723" s="481" t="n">
        <v>45891</v>
      </c>
      <c r="D723" s="482" t="inlineStr">
        <is>
          <t>202 G. HUERTAS</t>
        </is>
      </c>
      <c r="E723" s="482" t="n">
        <v>42850</v>
      </c>
      <c r="F723" s="482" t="inlineStr">
        <is>
          <t>FABIO ALDANA</t>
        </is>
      </c>
      <c r="G723" s="482" t="n">
        <v>2016</v>
      </c>
      <c r="H723" s="482" t="n">
        <v>2014</v>
      </c>
      <c r="I723" s="482" t="n">
        <v>2</v>
      </c>
      <c r="J723" s="482" t="n">
        <v>8</v>
      </c>
      <c r="K723" s="482" t="n">
        <v>-8</v>
      </c>
      <c r="L723" s="397" t="n">
        <v>2016</v>
      </c>
      <c r="M723" s="113" t="n"/>
      <c r="N723" s="113" t="n"/>
      <c r="O723" s="113" t="n"/>
      <c r="P723" s="398" t="n"/>
      <c r="Q723" s="398" t="n"/>
      <c r="R723" s="113" t="n"/>
      <c r="S723" s="113" t="n"/>
      <c r="T723" s="113" t="n"/>
      <c r="U723" s="113" t="n"/>
      <c r="V723" s="113" t="n"/>
    </row>
    <row r="724" ht="15.75" customHeight="1">
      <c r="A724" s="146" t="n">
        <v>13</v>
      </c>
      <c r="B724" s="238" t="n"/>
      <c r="C724" s="399" t="n">
        <v>45891</v>
      </c>
      <c r="D724" s="162" t="inlineStr">
        <is>
          <t>218 G. SAN JOSE 1</t>
        </is>
      </c>
      <c r="E724" s="162" t="n">
        <v>42851</v>
      </c>
      <c r="F724" s="162" t="inlineStr">
        <is>
          <t>YAIR RIVEROS</t>
        </is>
      </c>
      <c r="G724" s="162" t="n">
        <v>2864</v>
      </c>
      <c r="H724" s="162" t="n">
        <v>2860</v>
      </c>
      <c r="I724" s="162" t="n">
        <v>1</v>
      </c>
      <c r="J724" s="162" t="n">
        <v>5</v>
      </c>
      <c r="K724" s="162" t="n">
        <v>-2</v>
      </c>
      <c r="L724" s="397" t="n">
        <v>2867</v>
      </c>
      <c r="M724" s="113" t="n"/>
      <c r="N724" s="113" t="n"/>
      <c r="O724" s="113" t="n"/>
      <c r="P724" s="398" t="n"/>
      <c r="Q724" s="398" t="n"/>
      <c r="R724" s="113" t="n"/>
      <c r="S724" s="113" t="n"/>
      <c r="T724" s="113" t="n"/>
      <c r="U724" s="113" t="n"/>
      <c r="V724" s="113" t="n"/>
    </row>
    <row r="725" ht="15.75" customHeight="1">
      <c r="A725" s="146" t="n">
        <v>13</v>
      </c>
      <c r="B725" s="238" t="n"/>
      <c r="C725" s="399" t="n">
        <v>45891</v>
      </c>
      <c r="D725" s="162" t="inlineStr">
        <is>
          <t>218 G. SAN JOSE 1</t>
        </is>
      </c>
      <c r="E725" s="162" t="n">
        <v>42859</v>
      </c>
      <c r="F725" s="162" t="inlineStr">
        <is>
          <t>HENRY ROMERO</t>
        </is>
      </c>
      <c r="G725" s="162" t="n">
        <v>2867</v>
      </c>
      <c r="H725" s="162" t="n">
        <v>2852</v>
      </c>
      <c r="I725" s="162" t="n">
        <v>3</v>
      </c>
      <c r="J725" s="162" t="n">
        <v>15</v>
      </c>
      <c r="K725" s="162" t="n">
        <v>-3</v>
      </c>
      <c r="L725" s="397" t="n">
        <v>2867</v>
      </c>
      <c r="M725" s="113" t="n"/>
      <c r="N725" s="113" t="n"/>
      <c r="O725" s="113" t="n"/>
      <c r="P725" s="398" t="n"/>
      <c r="Q725" s="398" t="n"/>
      <c r="R725" s="113" t="n"/>
      <c r="S725" s="113" t="n"/>
      <c r="T725" s="113" t="n"/>
      <c r="U725" s="113" t="n"/>
      <c r="V725" s="113" t="n"/>
    </row>
    <row r="726" ht="15.75" customHeight="1">
      <c r="A726" s="146" t="n">
        <v>13</v>
      </c>
      <c r="B726" s="238" t="n"/>
      <c r="C726" s="399" t="n">
        <v>45891</v>
      </c>
      <c r="D726" s="162" t="inlineStr">
        <is>
          <t>218 G. SAN JOSE 1</t>
        </is>
      </c>
      <c r="E726" s="162" t="n">
        <v>42860</v>
      </c>
      <c r="F726" s="162" t="inlineStr">
        <is>
          <t>EDUAN CAVIEDES</t>
        </is>
      </c>
      <c r="G726" s="162" t="n">
        <v>2867</v>
      </c>
      <c r="H726" s="162" t="n">
        <v>2853</v>
      </c>
      <c r="I726" s="162" t="n">
        <v>3</v>
      </c>
      <c r="J726" s="162" t="n">
        <v>15</v>
      </c>
      <c r="K726" s="162" t="n">
        <v>-4</v>
      </c>
      <c r="L726" s="397" t="n">
        <v>2867</v>
      </c>
      <c r="M726" s="113" t="n"/>
      <c r="N726" s="113" t="n"/>
      <c r="O726" s="113" t="n"/>
      <c r="P726" s="398" t="n"/>
      <c r="Q726" s="398" t="n"/>
      <c r="R726" s="113" t="n"/>
      <c r="S726" s="113" t="n"/>
      <c r="T726" s="113" t="n"/>
      <c r="U726" s="113" t="n"/>
      <c r="V726" s="113" t="n"/>
    </row>
    <row r="727" ht="15.75" customHeight="1">
      <c r="A727" s="146" t="n">
        <v>13</v>
      </c>
      <c r="B727" s="238" t="n"/>
      <c r="C727" s="399" t="n">
        <v>45891</v>
      </c>
      <c r="D727" s="162" t="inlineStr">
        <is>
          <t>218 G. SAN JOSE 1</t>
        </is>
      </c>
      <c r="E727" s="162" t="n">
        <v>42861</v>
      </c>
      <c r="F727" s="162" t="inlineStr">
        <is>
          <t>JAIRO CUBILLOS</t>
        </is>
      </c>
      <c r="G727" s="162" t="n">
        <v>3850</v>
      </c>
      <c r="H727" s="162" t="n">
        <v>3834</v>
      </c>
      <c r="I727" s="162" t="n">
        <v>2</v>
      </c>
      <c r="J727" s="162" t="n">
        <v>16</v>
      </c>
      <c r="K727" s="162" t="n">
        <v>-2</v>
      </c>
      <c r="L727" s="397" t="n">
        <v>3850</v>
      </c>
      <c r="M727" s="113" t="n"/>
      <c r="N727" s="113" t="n"/>
      <c r="O727" s="113" t="n"/>
      <c r="P727" s="398" t="n"/>
      <c r="Q727" s="398" t="n"/>
      <c r="R727" s="113" t="n"/>
      <c r="S727" s="113" t="n"/>
      <c r="T727" s="113" t="n"/>
      <c r="U727" s="113" t="n"/>
      <c r="V727" s="113" t="n"/>
    </row>
    <row r="728" ht="15.75" customHeight="1">
      <c r="A728" s="146" t="n">
        <v>13</v>
      </c>
      <c r="B728" s="238" t="n"/>
      <c r="C728" s="399" t="n">
        <v>45891</v>
      </c>
      <c r="D728" s="162" t="inlineStr">
        <is>
          <t>218 G. SAN JOSE 1</t>
        </is>
      </c>
      <c r="E728" s="162" t="n">
        <v>42862</v>
      </c>
      <c r="F728" s="162" t="inlineStr">
        <is>
          <t>MANUEL QUITIAN</t>
        </is>
      </c>
      <c r="G728" s="162" t="n">
        <v>3850</v>
      </c>
      <c r="H728" s="162" t="n">
        <v>3837</v>
      </c>
      <c r="I728" s="162" t="n">
        <v>2</v>
      </c>
      <c r="J728" s="162" t="n">
        <v>12</v>
      </c>
      <c r="K728" s="162" t="n">
        <v>-1</v>
      </c>
      <c r="L728" s="397" t="n">
        <v>3850</v>
      </c>
      <c r="M728" s="113" t="n"/>
      <c r="N728" s="113" t="n"/>
      <c r="O728" s="113" t="n"/>
      <c r="P728" s="398" t="n"/>
      <c r="Q728" s="398" t="n"/>
      <c r="R728" s="113" t="n"/>
      <c r="S728" s="113" t="n"/>
      <c r="T728" s="113" t="n"/>
      <c r="U728" s="113" t="n"/>
      <c r="V728" s="113" t="n"/>
    </row>
    <row r="729" ht="15.75" customHeight="1">
      <c r="A729" s="146" t="n">
        <v>13</v>
      </c>
      <c r="B729" s="238" t="n"/>
      <c r="C729" s="399" t="n">
        <v>45892</v>
      </c>
      <c r="D729" s="162" t="inlineStr">
        <is>
          <t>218 G. SAN JOSE 1</t>
        </is>
      </c>
      <c r="E729" s="162" t="n">
        <v>42872</v>
      </c>
      <c r="F729" s="162" t="inlineStr">
        <is>
          <t>DIEGO NIÑO</t>
        </is>
      </c>
      <c r="G729" s="162" t="n">
        <v>2930</v>
      </c>
      <c r="H729" s="162" t="n">
        <v>2922</v>
      </c>
      <c r="I729" s="162" t="n">
        <v>3</v>
      </c>
      <c r="J729" s="162" t="n">
        <v>11</v>
      </c>
      <c r="K729" s="162" t="n">
        <v>-6</v>
      </c>
      <c r="L729" s="397" t="n">
        <v>3850</v>
      </c>
      <c r="M729" s="113" t="n"/>
      <c r="N729" s="113" t="n"/>
      <c r="O729" s="113" t="n"/>
      <c r="P729" s="398" t="n"/>
      <c r="Q729" s="398" t="n"/>
      <c r="R729" s="113" t="n"/>
      <c r="S729" s="113" t="n"/>
      <c r="T729" s="113" t="n"/>
      <c r="U729" s="113" t="n"/>
      <c r="V729" s="113" t="n"/>
    </row>
    <row r="730" ht="15.75" customHeight="1">
      <c r="A730" s="146" t="n">
        <v>13</v>
      </c>
      <c r="B730" s="238" t="n"/>
      <c r="C730" s="399" t="n">
        <v>45892</v>
      </c>
      <c r="D730" s="162" t="inlineStr">
        <is>
          <t>218 G. SAN JOSE 1</t>
        </is>
      </c>
      <c r="E730" s="162" t="n">
        <v>42873</v>
      </c>
      <c r="F730" s="162" t="inlineStr">
        <is>
          <t>EDUAN CAVIEDES</t>
        </is>
      </c>
      <c r="G730" s="162" t="n">
        <v>3850</v>
      </c>
      <c r="H730" s="162" t="n">
        <v>3840</v>
      </c>
      <c r="I730" s="162" t="n">
        <v>3</v>
      </c>
      <c r="J730" s="162" t="n">
        <v>8</v>
      </c>
      <c r="K730" s="162" t="n">
        <v>-1</v>
      </c>
      <c r="L730" s="397" t="n">
        <v>3240</v>
      </c>
      <c r="M730" s="113" t="n"/>
      <c r="N730" s="113" t="n"/>
      <c r="O730" s="113" t="n"/>
      <c r="P730" s="398" t="n"/>
      <c r="Q730" s="398" t="n"/>
      <c r="R730" s="113" t="n"/>
      <c r="S730" s="113" t="n"/>
      <c r="T730" s="113" t="n"/>
      <c r="U730" s="113" t="n"/>
      <c r="V730" s="113" t="n"/>
    </row>
    <row r="731" ht="15.75" customHeight="1">
      <c r="A731" s="146" t="n">
        <v>13</v>
      </c>
      <c r="B731" s="238" t="n"/>
      <c r="C731" s="399" t="n">
        <v>45892</v>
      </c>
      <c r="D731" s="162" t="inlineStr">
        <is>
          <t>218 G. SAN JOSE 1</t>
        </is>
      </c>
      <c r="E731" s="162" t="n">
        <v>42874</v>
      </c>
      <c r="F731" s="162" t="inlineStr">
        <is>
          <t>FABIO ALDANA</t>
        </is>
      </c>
      <c r="G731" s="162" t="n">
        <v>3202</v>
      </c>
      <c r="H731" s="162" t="n">
        <v>3146</v>
      </c>
      <c r="I731" s="162" t="n">
        <v>2</v>
      </c>
      <c r="J731" s="162" t="n">
        <v>5</v>
      </c>
      <c r="K731" s="162" t="n">
        <v>49</v>
      </c>
      <c r="L731" s="397" t="n">
        <v>2930</v>
      </c>
      <c r="M731" s="113" t="n"/>
      <c r="N731" s="113" t="n"/>
      <c r="O731" s="113" t="n"/>
      <c r="P731" s="398" t="n"/>
      <c r="Q731" s="398" t="n"/>
      <c r="R731" s="113" t="n"/>
      <c r="S731" s="113" t="n"/>
      <c r="T731" s="113" t="n"/>
      <c r="U731" s="113" t="n"/>
      <c r="V731" s="113" t="n"/>
    </row>
    <row r="732" ht="15.75" customHeight="1">
      <c r="A732" s="146" t="n">
        <v>13</v>
      </c>
      <c r="B732" s="238" t="n"/>
      <c r="C732" s="399" t="n">
        <v>45892</v>
      </c>
      <c r="D732" s="162" t="inlineStr">
        <is>
          <t>218 G. SAN JOSE 1</t>
        </is>
      </c>
      <c r="E732" s="162" t="n">
        <v>42875</v>
      </c>
      <c r="F732" s="162" t="inlineStr">
        <is>
          <t>FERNANDO OYUELA</t>
        </is>
      </c>
      <c r="G732" s="162" t="n">
        <v>2916</v>
      </c>
      <c r="H732" s="162" t="n">
        <v>2908</v>
      </c>
      <c r="I732" s="162" t="n">
        <v>2</v>
      </c>
      <c r="J732" s="162" t="n">
        <v>4</v>
      </c>
      <c r="K732" s="162" t="n">
        <v>2</v>
      </c>
      <c r="L732" s="397" t="n">
        <v>2916</v>
      </c>
      <c r="M732" s="113" t="n"/>
      <c r="N732" s="113" t="n"/>
      <c r="O732" s="113" t="n"/>
      <c r="P732" s="398" t="n"/>
      <c r="Q732" s="398" t="n"/>
      <c r="R732" s="113" t="n"/>
      <c r="S732" s="113" t="n"/>
      <c r="T732" s="113" t="n"/>
      <c r="U732" s="113" t="n"/>
      <c r="V732" s="113" t="n"/>
    </row>
    <row r="733" ht="15.75" customHeight="1">
      <c r="A733" s="146" t="n">
        <v>13</v>
      </c>
      <c r="B733" s="238" t="n"/>
      <c r="C733" s="399" t="n">
        <v>45892</v>
      </c>
      <c r="D733" s="162" t="inlineStr">
        <is>
          <t>218 G. SAN JOSE 1</t>
        </is>
      </c>
      <c r="E733" s="162" t="n">
        <v>42876</v>
      </c>
      <c r="F733" s="162" t="inlineStr">
        <is>
          <t>JHON ARIAS</t>
        </is>
      </c>
      <c r="G733" s="162" t="n">
        <v>2916</v>
      </c>
      <c r="H733" s="162" t="n">
        <v>2902</v>
      </c>
      <c r="I733" s="162" t="n">
        <v>2</v>
      </c>
      <c r="J733" s="162" t="n">
        <v>8</v>
      </c>
      <c r="K733" s="162" t="n">
        <v>4</v>
      </c>
      <c r="L733" s="397" t="n">
        <v>2916</v>
      </c>
      <c r="M733" s="113" t="n"/>
      <c r="N733" s="113" t="n"/>
      <c r="O733" s="113" t="n"/>
      <c r="P733" s="398" t="n"/>
      <c r="Q733" s="398" t="n"/>
      <c r="R733" s="113" t="n"/>
      <c r="S733" s="113" t="n"/>
      <c r="T733" s="113" t="n"/>
      <c r="U733" s="113" t="n"/>
      <c r="V733" s="113" t="n"/>
    </row>
    <row r="734" ht="15.75" customHeight="1">
      <c r="A734" s="146" t="n">
        <v>13</v>
      </c>
      <c r="B734" s="238" t="n"/>
      <c r="C734" s="399" t="n">
        <v>45892</v>
      </c>
      <c r="D734" s="162" t="inlineStr">
        <is>
          <t>218 G. SAN JOSE 1</t>
        </is>
      </c>
      <c r="E734" s="162" t="n">
        <v>42877</v>
      </c>
      <c r="F734" s="162" t="inlineStr">
        <is>
          <t>MANUEL QUITIAN</t>
        </is>
      </c>
      <c r="G734" s="162" t="n">
        <v>2916</v>
      </c>
      <c r="H734" s="162" t="n">
        <v>2902</v>
      </c>
      <c r="I734" s="162" t="n">
        <v>2</v>
      </c>
      <c r="J734" s="162" t="n">
        <v>10</v>
      </c>
      <c r="K734" s="162" t="n">
        <v>2</v>
      </c>
      <c r="L734" s="397" t="n">
        <v>2916</v>
      </c>
      <c r="M734" s="113" t="n"/>
      <c r="N734" s="113" t="n"/>
      <c r="O734" s="113" t="n"/>
      <c r="P734" s="398" t="n"/>
      <c r="Q734" s="398" t="n"/>
      <c r="R734" s="113" t="n"/>
      <c r="S734" s="113" t="n"/>
      <c r="T734" s="113" t="n"/>
      <c r="U734" s="113" t="n"/>
      <c r="V734" s="113" t="n"/>
    </row>
    <row r="735" ht="15.75" customHeight="1">
      <c r="A735" s="146" t="n">
        <v>13</v>
      </c>
      <c r="B735" s="238" t="n"/>
      <c r="C735" s="399" t="n"/>
      <c r="D735" s="113" t="n"/>
      <c r="E735" s="113" t="n"/>
      <c r="F735" s="113" t="n"/>
      <c r="G735" s="477">
        <f>SUBTOTAL(9,G656:G734)</f>
        <v/>
      </c>
      <c r="H735" s="477">
        <f>SUBTOTAL(9,H656:H734)</f>
        <v/>
      </c>
      <c r="I735" s="477">
        <f>SUBTOTAL(9,I656:I734)</f>
        <v/>
      </c>
      <c r="J735" s="477">
        <f>SUBTOTAL(9,J656:J734)</f>
        <v/>
      </c>
      <c r="K735" s="477">
        <f>SUBTOTAL(9,K656:K734)</f>
        <v/>
      </c>
      <c r="L735" s="477">
        <f>SUBTOTAL(9,L656:L734)</f>
        <v/>
      </c>
      <c r="M735" s="113" t="n"/>
      <c r="N735" s="113" t="n"/>
      <c r="O735" s="113" t="n"/>
      <c r="P735" s="398" t="n"/>
      <c r="Q735" s="398" t="n"/>
      <c r="R735" s="113" t="n"/>
      <c r="S735" s="113" t="n"/>
      <c r="T735" s="113" t="n"/>
      <c r="U735" s="113" t="n"/>
      <c r="V735" s="113" t="n"/>
    </row>
    <row r="736" ht="15.75" customHeight="1">
      <c r="A736" s="146" t="n">
        <v>14</v>
      </c>
      <c r="B736" s="238" t="n"/>
      <c r="C736" s="481" t="n">
        <v>45894</v>
      </c>
      <c r="D736" s="484" t="inlineStr">
        <is>
          <t>202 G. HUERTAS</t>
        </is>
      </c>
      <c r="E736" s="484" t="n">
        <v>203033</v>
      </c>
      <c r="F736" s="484" t="inlineStr">
        <is>
          <t>MARCOS LOPEZ CASTAÑEDA</t>
        </is>
      </c>
      <c r="G736" s="493" t="n">
        <v>1625</v>
      </c>
      <c r="H736" s="493" t="n">
        <v>1607</v>
      </c>
      <c r="I736" s="493" t="n">
        <v>2</v>
      </c>
      <c r="J736" s="493" t="n">
        <v>14</v>
      </c>
      <c r="K736" s="493" t="n">
        <v>2</v>
      </c>
      <c r="L736" s="483" t="n">
        <v>1625</v>
      </c>
      <c r="M736" s="113" t="n"/>
      <c r="N736" s="113" t="n"/>
      <c r="O736" s="113" t="n"/>
      <c r="P736" s="398" t="n"/>
      <c r="Q736" s="398" t="n"/>
      <c r="R736" s="113" t="n"/>
      <c r="S736" s="113" t="n"/>
      <c r="T736" s="113" t="n"/>
      <c r="U736" s="113" t="n"/>
      <c r="V736" s="113" t="n"/>
    </row>
    <row r="737" ht="15.75" customHeight="1">
      <c r="A737" s="146" t="n">
        <v>14</v>
      </c>
      <c r="B737" s="238" t="n"/>
      <c r="C737" s="481" t="n">
        <v>45894</v>
      </c>
      <c r="D737" s="484" t="inlineStr">
        <is>
          <t>202 G. HUERTAS</t>
        </is>
      </c>
      <c r="E737" s="484" t="n">
        <v>203034</v>
      </c>
      <c r="F737" s="484" t="inlineStr">
        <is>
          <t>JORGE HERNANDEZ</t>
        </is>
      </c>
      <c r="G737" s="493" t="n">
        <v>1575</v>
      </c>
      <c r="H737" s="493" t="n">
        <v>1564</v>
      </c>
      <c r="I737" s="493" t="n">
        <v>5</v>
      </c>
      <c r="J737" s="493" t="n">
        <v>15</v>
      </c>
      <c r="K737" s="493" t="n">
        <v>-9</v>
      </c>
      <c r="L737" s="483" t="n">
        <v>1570</v>
      </c>
      <c r="M737" s="113" t="n"/>
      <c r="N737" s="113" t="n"/>
      <c r="O737" s="113" t="n"/>
      <c r="P737" s="398" t="n"/>
      <c r="Q737" s="398" t="n"/>
      <c r="R737" s="113" t="n"/>
      <c r="S737" s="113" t="n"/>
      <c r="T737" s="113" t="n"/>
      <c r="U737" s="113" t="n"/>
      <c r="V737" s="113" t="n"/>
    </row>
    <row r="738" ht="15.75" customHeight="1">
      <c r="A738" s="146" t="n">
        <v>14</v>
      </c>
      <c r="B738" s="238" t="n"/>
      <c r="C738" s="399" t="n">
        <v>45894</v>
      </c>
      <c r="D738" s="162" t="inlineStr">
        <is>
          <t>218 G. SAN JOSE 1</t>
        </is>
      </c>
      <c r="E738" s="162" t="n">
        <v>42884</v>
      </c>
      <c r="F738" s="162" t="inlineStr">
        <is>
          <t>WILMER PIÑEROS</t>
        </is>
      </c>
      <c r="G738" s="162" t="n">
        <v>2750</v>
      </c>
      <c r="H738" s="162" t="n">
        <v>2731</v>
      </c>
      <c r="I738" s="162" t="n">
        <v>3</v>
      </c>
      <c r="J738" s="162" t="n">
        <v>11</v>
      </c>
      <c r="K738" s="162" t="n">
        <v>5</v>
      </c>
      <c r="L738" s="397" t="n">
        <v>2750</v>
      </c>
      <c r="M738" s="113" t="n"/>
      <c r="N738" s="113" t="n"/>
      <c r="O738" s="113" t="n"/>
      <c r="P738" s="398" t="n"/>
      <c r="Q738" s="398" t="n"/>
      <c r="R738" s="113" t="n"/>
      <c r="S738" s="113" t="n"/>
      <c r="T738" s="113" t="n"/>
      <c r="U738" s="113" t="n"/>
      <c r="V738" s="113" t="n"/>
    </row>
    <row r="739" ht="15.75" customHeight="1">
      <c r="A739" s="146" t="n">
        <v>14</v>
      </c>
      <c r="B739" s="238" t="n"/>
      <c r="C739" s="399" t="n">
        <v>45894</v>
      </c>
      <c r="D739" s="162" t="inlineStr">
        <is>
          <t>218 G. SAN JOSE 1</t>
        </is>
      </c>
      <c r="E739" s="162" t="n">
        <v>42885</v>
      </c>
      <c r="F739" s="162" t="inlineStr">
        <is>
          <t>JAIRO CUBILLOS</t>
        </is>
      </c>
      <c r="G739" s="162" t="n">
        <v>2750</v>
      </c>
      <c r="H739" s="162" t="n">
        <v>2735</v>
      </c>
      <c r="I739" s="162" t="n">
        <v>3</v>
      </c>
      <c r="J739" s="162" t="n">
        <v>8</v>
      </c>
      <c r="K739" s="162" t="n">
        <v>4</v>
      </c>
      <c r="L739" s="397" t="n">
        <v>2750</v>
      </c>
      <c r="M739" s="113" t="n"/>
      <c r="N739" s="113" t="n"/>
      <c r="O739" s="113" t="n"/>
      <c r="P739" s="398" t="n"/>
      <c r="Q739" s="398" t="n"/>
      <c r="R739" s="113" t="n"/>
      <c r="S739" s="113" t="n"/>
      <c r="T739" s="113" t="n"/>
      <c r="U739" s="113" t="n"/>
      <c r="V739" s="113" t="n"/>
    </row>
    <row r="740" ht="15.75" customHeight="1">
      <c r="A740" s="146" t="n">
        <v>14</v>
      </c>
      <c r="B740" s="238" t="n"/>
      <c r="C740" s="399" t="n">
        <v>45894</v>
      </c>
      <c r="D740" s="162" t="inlineStr">
        <is>
          <t>218 G. SAN JOSE 1</t>
        </is>
      </c>
      <c r="E740" s="162" t="n">
        <v>42886</v>
      </c>
      <c r="F740" s="162" t="inlineStr">
        <is>
          <t>ALBERTO HERRERA</t>
        </is>
      </c>
      <c r="G740" s="162" t="n">
        <v>2900</v>
      </c>
      <c r="H740" s="162" t="n">
        <v>2884</v>
      </c>
      <c r="I740" s="162" t="n">
        <v>1</v>
      </c>
      <c r="J740" s="162" t="n">
        <v>10</v>
      </c>
      <c r="K740" s="162" t="n">
        <v>5</v>
      </c>
      <c r="L740" s="397" t="n">
        <v>2900</v>
      </c>
      <c r="M740" s="113" t="n"/>
      <c r="N740" s="113" t="n"/>
      <c r="O740" s="113" t="n"/>
      <c r="P740" s="398" t="n"/>
      <c r="Q740" s="398" t="n"/>
      <c r="R740" s="113" t="n"/>
      <c r="S740" s="113" t="n"/>
      <c r="T740" s="113" t="n"/>
      <c r="U740" s="113" t="n"/>
      <c r="V740" s="113" t="n"/>
    </row>
    <row r="741" ht="15.75" customHeight="1">
      <c r="A741" s="146" t="n">
        <v>14</v>
      </c>
      <c r="B741" s="238" t="n"/>
      <c r="C741" s="399" t="n">
        <v>45894</v>
      </c>
      <c r="D741" s="162" t="inlineStr">
        <is>
          <t>218 G. SAN JOSE 1</t>
        </is>
      </c>
      <c r="E741" s="162" t="n">
        <v>42887</v>
      </c>
      <c r="F741" s="162" t="inlineStr">
        <is>
          <t>ALBERTO LOPEZ</t>
        </is>
      </c>
      <c r="G741" s="162" t="n">
        <v>2900</v>
      </c>
      <c r="H741" s="162" t="n">
        <v>2882</v>
      </c>
      <c r="I741" s="162" t="n">
        <v>2</v>
      </c>
      <c r="J741" s="162" t="n">
        <v>11</v>
      </c>
      <c r="K741" s="162" t="n">
        <v>5</v>
      </c>
      <c r="L741" s="397" t="n">
        <v>2900</v>
      </c>
      <c r="M741" s="113" t="n"/>
      <c r="N741" s="113" t="n"/>
      <c r="O741" s="113" t="n"/>
      <c r="P741" s="398" t="n"/>
      <c r="Q741" s="398" t="n"/>
      <c r="R741" s="113" t="n"/>
      <c r="S741" s="113" t="n"/>
      <c r="T741" s="113" t="n"/>
      <c r="U741" s="113" t="n"/>
      <c r="V741" s="113" t="n"/>
    </row>
    <row r="742" ht="15.75" customHeight="1">
      <c r="A742" s="146" t="n">
        <v>14</v>
      </c>
      <c r="B742" s="238" t="n"/>
      <c r="C742" s="399" t="n">
        <v>45894</v>
      </c>
      <c r="D742" s="162" t="inlineStr">
        <is>
          <t>218 G. SAN JOSE 1</t>
        </is>
      </c>
      <c r="E742" s="162" t="n">
        <v>42888</v>
      </c>
      <c r="F742" s="162" t="inlineStr">
        <is>
          <t>JHON ARIAS</t>
        </is>
      </c>
      <c r="G742" s="162" t="n">
        <v>2900</v>
      </c>
      <c r="H742" s="162" t="n">
        <v>2887</v>
      </c>
      <c r="I742" s="162" t="n">
        <v>5</v>
      </c>
      <c r="J742" s="162" t="n">
        <v>13</v>
      </c>
      <c r="K742" s="162" t="n">
        <v>-5</v>
      </c>
      <c r="L742" s="397" t="n">
        <v>2900</v>
      </c>
      <c r="M742" s="113" t="n"/>
      <c r="N742" s="113" t="n"/>
      <c r="O742" s="113" t="n"/>
      <c r="P742" s="398" t="n"/>
      <c r="Q742" s="398" t="n"/>
      <c r="R742" s="113" t="n"/>
      <c r="S742" s="113" t="n"/>
      <c r="T742" s="113" t="n"/>
      <c r="U742" s="113" t="n"/>
      <c r="V742" s="113" t="n"/>
    </row>
    <row r="743" ht="15.75" customHeight="1">
      <c r="A743" s="146" t="n">
        <v>14</v>
      </c>
      <c r="B743" s="238" t="n"/>
      <c r="C743" s="399" t="n">
        <v>45894</v>
      </c>
      <c r="D743" s="162" t="inlineStr">
        <is>
          <t>218 G. SAN JOSE 1</t>
        </is>
      </c>
      <c r="E743" s="162" t="n">
        <v>42889</v>
      </c>
      <c r="F743" s="162" t="inlineStr">
        <is>
          <t>DUMAR ANGARITA</t>
        </is>
      </c>
      <c r="G743" s="162" t="n">
        <v>3795</v>
      </c>
      <c r="H743" s="162" t="n">
        <v>3781</v>
      </c>
      <c r="I743" s="162" t="n">
        <v>5</v>
      </c>
      <c r="J743" s="162" t="n">
        <v>13</v>
      </c>
      <c r="K743" s="162" t="n">
        <v>-4</v>
      </c>
      <c r="L743" s="397" t="n">
        <v>3795</v>
      </c>
      <c r="M743" s="113" t="n"/>
      <c r="N743" s="113" t="n"/>
      <c r="O743" s="113" t="n"/>
      <c r="P743" s="398" t="n"/>
      <c r="Q743" s="398" t="n"/>
      <c r="R743" s="113" t="n"/>
      <c r="S743" s="113" t="n"/>
      <c r="T743" s="113" t="n"/>
      <c r="U743" s="113" t="n"/>
      <c r="V743" s="113" t="n"/>
    </row>
    <row r="744" ht="15.75" customHeight="1">
      <c r="A744" s="146" t="n">
        <v>14</v>
      </c>
      <c r="B744" s="238" t="n"/>
      <c r="C744" s="399" t="n">
        <v>45894</v>
      </c>
      <c r="D744" s="162" t="inlineStr">
        <is>
          <t>218 G. SAN JOSE 1</t>
        </is>
      </c>
      <c r="E744" s="162" t="n">
        <v>42890</v>
      </c>
      <c r="F744" s="162" t="inlineStr">
        <is>
          <t>ALEX GOMEZ</t>
        </is>
      </c>
      <c r="G744" s="162" t="n">
        <v>3795</v>
      </c>
      <c r="H744" s="162" t="n">
        <v>3778</v>
      </c>
      <c r="I744" s="162" t="n">
        <v>3</v>
      </c>
      <c r="J744" s="162" t="n">
        <v>15</v>
      </c>
      <c r="K744" s="162" t="n">
        <v>-1</v>
      </c>
      <c r="L744" s="397" t="n">
        <v>3795</v>
      </c>
      <c r="M744" s="113" t="n"/>
      <c r="N744" s="113" t="n"/>
      <c r="O744" s="113" t="n"/>
      <c r="P744" s="398" t="n"/>
      <c r="Q744" s="398" t="n"/>
      <c r="R744" s="113" t="n"/>
      <c r="S744" s="113" t="n"/>
      <c r="T744" s="113" t="n"/>
      <c r="U744" s="113" t="n"/>
      <c r="V744" s="113" t="n"/>
    </row>
    <row r="745" ht="15.75" customHeight="1">
      <c r="A745" s="146" t="n">
        <v>14</v>
      </c>
      <c r="B745" s="238" t="n"/>
      <c r="C745" s="399" t="n">
        <v>45894</v>
      </c>
      <c r="D745" s="162" t="inlineStr">
        <is>
          <t>218 G. SAN JOSE 1</t>
        </is>
      </c>
      <c r="E745" s="162" t="n">
        <v>42891</v>
      </c>
      <c r="F745" s="162" t="inlineStr">
        <is>
          <t>WILMER PIÑEROS</t>
        </is>
      </c>
      <c r="G745" s="162" t="n">
        <v>3650</v>
      </c>
      <c r="H745" s="162" t="n">
        <v>3631</v>
      </c>
      <c r="I745" s="162" t="n">
        <v>1</v>
      </c>
      <c r="J745" s="162" t="n">
        <v>7</v>
      </c>
      <c r="K745" s="162" t="n">
        <v>11</v>
      </c>
      <c r="L745" s="397" t="n">
        <v>3650</v>
      </c>
      <c r="M745" s="113" t="n"/>
      <c r="N745" s="113" t="n"/>
      <c r="O745" s="113" t="n"/>
      <c r="P745" s="398" t="n"/>
      <c r="Q745" s="398" t="n"/>
      <c r="R745" s="113" t="n"/>
      <c r="S745" s="113" t="n"/>
      <c r="T745" s="113" t="n"/>
      <c r="U745" s="113" t="n"/>
      <c r="V745" s="113" t="n"/>
    </row>
    <row r="746" ht="15.75" customHeight="1">
      <c r="A746" s="146" t="n">
        <v>14</v>
      </c>
      <c r="B746" s="238" t="n"/>
      <c r="C746" s="399" t="n">
        <v>45894</v>
      </c>
      <c r="D746" s="162" t="inlineStr">
        <is>
          <t>218 G. SAN JOSE 1</t>
        </is>
      </c>
      <c r="E746" s="162" t="n">
        <v>42892</v>
      </c>
      <c r="F746" s="162" t="inlineStr">
        <is>
          <t>JAIRO CUBILLOS</t>
        </is>
      </c>
      <c r="G746" s="162" t="n">
        <v>3650</v>
      </c>
      <c r="H746" s="162" t="n">
        <v>3631</v>
      </c>
      <c r="I746" s="162" t="n">
        <v>2</v>
      </c>
      <c r="J746" s="162" t="n">
        <v>9</v>
      </c>
      <c r="K746" s="162" t="n">
        <v>8</v>
      </c>
      <c r="L746" s="397" t="n">
        <v>3650</v>
      </c>
      <c r="M746" s="113" t="n"/>
      <c r="N746" s="113" t="n"/>
      <c r="O746" s="113" t="n"/>
      <c r="P746" s="398" t="n"/>
      <c r="Q746" s="398" t="n"/>
      <c r="R746" s="113" t="n"/>
      <c r="S746" s="113" t="n"/>
      <c r="T746" s="113" t="n"/>
      <c r="U746" s="113" t="n"/>
      <c r="V746" s="113" t="n"/>
    </row>
    <row r="747" ht="15.75" customHeight="1">
      <c r="A747" s="146" t="n">
        <v>14</v>
      </c>
      <c r="B747" s="238" t="n"/>
      <c r="C747" s="399" t="n">
        <v>45895</v>
      </c>
      <c r="D747" s="162" t="inlineStr">
        <is>
          <t>218 G. SAN JOSE 1</t>
        </is>
      </c>
      <c r="E747" s="162" t="n">
        <v>42908</v>
      </c>
      <c r="F747" s="162" t="inlineStr">
        <is>
          <t>EDUAN CAVIEDES</t>
        </is>
      </c>
      <c r="G747" s="162" t="n">
        <v>3564</v>
      </c>
      <c r="H747" s="162" t="n">
        <v>3553</v>
      </c>
      <c r="I747" s="162" t="n">
        <v>4</v>
      </c>
      <c r="J747" s="162" t="n">
        <v>11</v>
      </c>
      <c r="K747" s="162" t="n">
        <v>-4</v>
      </c>
      <c r="L747" s="397" t="n">
        <v>3564</v>
      </c>
      <c r="M747" s="113" t="n"/>
      <c r="N747" s="113" t="n"/>
      <c r="O747" s="113" t="n"/>
      <c r="P747" s="398" t="n"/>
      <c r="Q747" s="398" t="n"/>
      <c r="R747" s="113" t="n"/>
      <c r="S747" s="113" t="n"/>
      <c r="T747" s="113" t="n"/>
      <c r="U747" s="113" t="n"/>
      <c r="V747" s="113" t="n"/>
    </row>
    <row r="748" ht="15.75" customHeight="1">
      <c r="A748" s="146" t="n">
        <v>14</v>
      </c>
      <c r="B748" s="238" t="n"/>
      <c r="C748" s="399" t="n">
        <v>45895</v>
      </c>
      <c r="D748" s="162" t="inlineStr">
        <is>
          <t>218 G. SAN JOSE 1</t>
        </is>
      </c>
      <c r="E748" s="162" t="n">
        <v>42909</v>
      </c>
      <c r="F748" s="162" t="inlineStr">
        <is>
          <t>MANUEL QUITIAN</t>
        </is>
      </c>
      <c r="G748" s="162" t="n">
        <v>3616</v>
      </c>
      <c r="H748" s="162" t="n">
        <v>3620</v>
      </c>
      <c r="I748" s="162" t="n">
        <v>3</v>
      </c>
      <c r="J748" s="162" t="n">
        <v>10</v>
      </c>
      <c r="K748" s="162" t="n">
        <v>-17</v>
      </c>
      <c r="L748" s="397" t="n">
        <v>3616</v>
      </c>
      <c r="M748" s="113" t="n"/>
      <c r="N748" s="113" t="n"/>
      <c r="O748" s="113" t="n"/>
      <c r="P748" s="398" t="n"/>
      <c r="Q748" s="398" t="n"/>
      <c r="R748" s="113" t="n"/>
      <c r="S748" s="113" t="n"/>
      <c r="T748" s="113" t="n"/>
      <c r="U748" s="113" t="n"/>
      <c r="V748" s="113" t="n"/>
    </row>
    <row r="749" ht="15.75" customHeight="1">
      <c r="A749" s="146" t="n">
        <v>14</v>
      </c>
      <c r="B749" s="238" t="n"/>
      <c r="C749" s="399" t="n">
        <v>45895</v>
      </c>
      <c r="D749" s="162" t="inlineStr">
        <is>
          <t>218 G. SAN JOSE 1</t>
        </is>
      </c>
      <c r="E749" s="162" t="n">
        <v>42910</v>
      </c>
      <c r="F749" s="162" t="inlineStr">
        <is>
          <t>JHON AGUIRRE</t>
        </is>
      </c>
      <c r="G749" s="162" t="n">
        <v>3564</v>
      </c>
      <c r="H749" s="162" t="n">
        <v>3535</v>
      </c>
      <c r="I749" s="162" t="n">
        <v>3</v>
      </c>
      <c r="J749" s="162" t="n">
        <v>30</v>
      </c>
      <c r="K749" s="162" t="n">
        <v>-4</v>
      </c>
      <c r="L749" s="397" t="n">
        <v>3564</v>
      </c>
      <c r="M749" s="113" t="n"/>
      <c r="N749" s="113" t="n"/>
      <c r="O749" s="113" t="n"/>
      <c r="P749" s="398" t="n"/>
      <c r="Q749" s="398" t="n"/>
      <c r="R749" s="113" t="n"/>
      <c r="S749" s="113" t="n"/>
      <c r="T749" s="113" t="n"/>
      <c r="U749" s="113" t="n"/>
      <c r="V749" s="113" t="n"/>
    </row>
    <row r="750" ht="15.75" customHeight="1">
      <c r="A750" s="146" t="n">
        <v>14</v>
      </c>
      <c r="B750" s="238" t="n"/>
      <c r="C750" s="399" t="n">
        <v>45895</v>
      </c>
      <c r="D750" s="162" t="inlineStr">
        <is>
          <t>218 G. SAN JOSE 1</t>
        </is>
      </c>
      <c r="E750" s="162" t="n">
        <v>42911</v>
      </c>
      <c r="F750" s="162" t="inlineStr">
        <is>
          <t>JOSE SOLER</t>
        </is>
      </c>
      <c r="G750" s="162" t="n">
        <v>3151</v>
      </c>
      <c r="H750" s="162" t="n">
        <v>3125</v>
      </c>
      <c r="I750" s="162" t="n">
        <v>4</v>
      </c>
      <c r="J750" s="162" t="n">
        <v>28</v>
      </c>
      <c r="K750" s="162" t="n">
        <v>-6</v>
      </c>
      <c r="L750" s="397" t="n">
        <v>3150</v>
      </c>
      <c r="M750" s="113" t="n"/>
      <c r="N750" s="113" t="n"/>
      <c r="O750" s="113" t="n"/>
      <c r="P750" s="398" t="n"/>
      <c r="Q750" s="398" t="n"/>
      <c r="R750" s="113" t="n"/>
      <c r="S750" s="113" t="n"/>
      <c r="T750" s="113" t="n"/>
      <c r="U750" s="113" t="n"/>
      <c r="V750" s="113" t="n"/>
    </row>
    <row r="751" ht="15.75" customHeight="1">
      <c r="A751" s="146" t="n">
        <v>14</v>
      </c>
      <c r="B751" s="238" t="n"/>
      <c r="C751" s="399" t="n">
        <v>45895</v>
      </c>
      <c r="D751" s="162" t="inlineStr">
        <is>
          <t>218 G. SAN JOSE 1</t>
        </is>
      </c>
      <c r="E751" s="162" t="n">
        <v>42912</v>
      </c>
      <c r="F751" s="162" t="inlineStr">
        <is>
          <t>DIEGO NIÑO</t>
        </is>
      </c>
      <c r="G751" s="162" t="n">
        <v>3151</v>
      </c>
      <c r="H751" s="162" t="n">
        <v>3127</v>
      </c>
      <c r="I751" s="162" t="n">
        <v>3</v>
      </c>
      <c r="J751" s="162" t="n">
        <v>27</v>
      </c>
      <c r="K751" s="162" t="n">
        <v>-6</v>
      </c>
      <c r="L751" s="397" t="n">
        <v>3150</v>
      </c>
      <c r="M751" s="113" t="n"/>
      <c r="N751" s="113" t="n"/>
      <c r="O751" s="113" t="n"/>
      <c r="P751" s="398" t="n"/>
      <c r="Q751" s="398" t="n"/>
      <c r="R751" s="113" t="n"/>
      <c r="S751" s="113" t="n"/>
      <c r="T751" s="113" t="n"/>
      <c r="U751" s="113" t="n"/>
      <c r="V751" s="113" t="n"/>
    </row>
    <row r="752" ht="15.75" customHeight="1">
      <c r="A752" s="146" t="n">
        <v>14</v>
      </c>
      <c r="B752" s="238" t="n"/>
      <c r="C752" s="481" t="n">
        <v>45896</v>
      </c>
      <c r="D752" s="484" t="inlineStr">
        <is>
          <t>202 G. HUERTAS</t>
        </is>
      </c>
      <c r="E752" s="484" t="n">
        <v>203088</v>
      </c>
      <c r="F752" s="484" t="inlineStr">
        <is>
          <t>JORGE HERNANDEZ</t>
        </is>
      </c>
      <c r="G752" s="493" t="n">
        <v>2925</v>
      </c>
      <c r="H752" s="493" t="n">
        <v>2877</v>
      </c>
      <c r="I752" s="493" t="n">
        <v>13</v>
      </c>
      <c r="J752" s="493" t="n">
        <v>33</v>
      </c>
      <c r="K752" s="493" t="n">
        <v>2</v>
      </c>
      <c r="L752" s="483" t="n">
        <v>3773</v>
      </c>
      <c r="M752" s="113" t="n"/>
      <c r="N752" s="113" t="n"/>
      <c r="O752" s="113" t="n"/>
      <c r="P752" s="398" t="n"/>
      <c r="Q752" s="398" t="n"/>
      <c r="R752" s="113" t="n"/>
      <c r="S752" s="113" t="n"/>
      <c r="T752" s="113" t="n"/>
      <c r="U752" s="113" t="n"/>
      <c r="V752" s="113" t="n"/>
    </row>
    <row r="753" ht="15.75" customHeight="1">
      <c r="A753" s="146" t="n">
        <v>14</v>
      </c>
      <c r="B753" s="238" t="n"/>
      <c r="C753" s="399" t="n">
        <v>45896</v>
      </c>
      <c r="D753" s="162" t="inlineStr">
        <is>
          <t>218 G. SAN JOSE 1</t>
        </is>
      </c>
      <c r="E753" s="162" t="n">
        <v>42928</v>
      </c>
      <c r="F753" s="162" t="inlineStr">
        <is>
          <t>DUMAR ANGARITA</t>
        </is>
      </c>
      <c r="G753" s="162" t="n">
        <v>3773</v>
      </c>
      <c r="H753" s="162" t="n">
        <v>3753</v>
      </c>
      <c r="I753" s="162" t="n">
        <v>2</v>
      </c>
      <c r="J753" s="162" t="n">
        <v>12</v>
      </c>
      <c r="K753" s="162" t="n">
        <v>6</v>
      </c>
      <c r="L753" s="397" t="n">
        <v>3773</v>
      </c>
      <c r="M753" s="113" t="n"/>
      <c r="N753" s="113" t="n"/>
      <c r="O753" s="113" t="n"/>
      <c r="P753" s="398" t="n"/>
      <c r="Q753" s="398" t="n"/>
      <c r="R753" s="113" t="n"/>
      <c r="S753" s="113" t="n"/>
      <c r="T753" s="113" t="n"/>
      <c r="U753" s="113" t="n"/>
      <c r="V753" s="113" t="n"/>
    </row>
    <row r="754" ht="15.75" customHeight="1">
      <c r="A754" s="146" t="n">
        <v>14</v>
      </c>
      <c r="B754" s="238" t="n"/>
      <c r="C754" s="399" t="n">
        <v>45896</v>
      </c>
      <c r="D754" s="162" t="inlineStr">
        <is>
          <t>218 G. SAN JOSE 1</t>
        </is>
      </c>
      <c r="E754" s="162" t="n">
        <v>42929</v>
      </c>
      <c r="F754" s="162" t="inlineStr">
        <is>
          <t>FABIO ALDANA</t>
        </is>
      </c>
      <c r="G754" s="162" t="n">
        <v>3773</v>
      </c>
      <c r="H754" s="162" t="n">
        <v>3756</v>
      </c>
      <c r="I754" s="162" t="n">
        <v>2</v>
      </c>
      <c r="J754" s="162" t="n">
        <v>13</v>
      </c>
      <c r="K754" s="162" t="n">
        <v>2</v>
      </c>
      <c r="L754" s="397" t="n">
        <v>3400</v>
      </c>
      <c r="M754" s="113" t="n"/>
      <c r="N754" s="113" t="n"/>
      <c r="O754" s="113" t="n"/>
      <c r="P754" s="398" t="n"/>
      <c r="Q754" s="398" t="n"/>
      <c r="R754" s="113" t="n"/>
      <c r="S754" s="113" t="n"/>
      <c r="T754" s="113" t="n"/>
      <c r="U754" s="113" t="n"/>
      <c r="V754" s="113" t="n"/>
    </row>
    <row r="755" ht="15.75" customHeight="1">
      <c r="A755" s="146" t="n">
        <v>14</v>
      </c>
      <c r="B755" s="238" t="n"/>
      <c r="C755" s="399" t="n">
        <v>45896</v>
      </c>
      <c r="D755" s="162" t="inlineStr">
        <is>
          <t>218 G. SAN JOSE 1</t>
        </is>
      </c>
      <c r="E755" s="162" t="n">
        <v>42930</v>
      </c>
      <c r="F755" s="162" t="inlineStr">
        <is>
          <t>ALEX GOMEZ</t>
        </is>
      </c>
      <c r="G755" s="162" t="n">
        <v>3400</v>
      </c>
      <c r="H755" s="162" t="n">
        <v>3385</v>
      </c>
      <c r="I755" s="162" t="n">
        <v>2</v>
      </c>
      <c r="J755" s="162" t="n">
        <v>13</v>
      </c>
      <c r="K755" s="162" t="n">
        <v>0</v>
      </c>
      <c r="L755" s="397" t="n">
        <v>2550</v>
      </c>
      <c r="M755" s="113" t="n"/>
      <c r="N755" s="113" t="n"/>
      <c r="O755" s="113" t="n"/>
      <c r="P755" s="398" t="n"/>
      <c r="Q755" s="398" t="n"/>
      <c r="R755" s="113" t="n"/>
      <c r="S755" s="113" t="n"/>
      <c r="T755" s="113" t="n"/>
      <c r="U755" s="113" t="n"/>
      <c r="V755" s="113" t="n"/>
    </row>
    <row r="756" ht="15.75" customHeight="1">
      <c r="A756" s="146" t="n">
        <v>14</v>
      </c>
      <c r="B756" s="238" t="n"/>
      <c r="C756" s="399" t="n">
        <v>45896</v>
      </c>
      <c r="D756" s="162" t="inlineStr">
        <is>
          <t>218 G. SAN JOSE 1</t>
        </is>
      </c>
      <c r="E756" s="162" t="n">
        <v>42931</v>
      </c>
      <c r="F756" s="162" t="inlineStr">
        <is>
          <t>EDWIN ROJAS</t>
        </is>
      </c>
      <c r="G756" s="162" t="n">
        <v>2550</v>
      </c>
      <c r="H756" s="162" t="n">
        <v>2538</v>
      </c>
      <c r="I756" s="162" t="n">
        <v>2</v>
      </c>
      <c r="J756" s="162" t="n">
        <v>10</v>
      </c>
      <c r="K756" s="162" t="n">
        <v>0</v>
      </c>
      <c r="L756" s="397" t="n">
        <v>2550</v>
      </c>
      <c r="M756" s="113" t="n"/>
      <c r="N756" s="113" t="n"/>
      <c r="O756" s="113" t="n"/>
      <c r="P756" s="398" t="n"/>
      <c r="Q756" s="398" t="n"/>
      <c r="R756" s="113" t="n"/>
      <c r="S756" s="113" t="n"/>
      <c r="T756" s="113" t="n"/>
      <c r="U756" s="113" t="n"/>
      <c r="V756" s="113" t="n"/>
    </row>
    <row r="757" ht="15.75" customHeight="1">
      <c r="A757" s="146" t="n">
        <v>14</v>
      </c>
      <c r="B757" s="238" t="n"/>
      <c r="C757" s="399" t="n">
        <v>45896</v>
      </c>
      <c r="D757" s="162" t="inlineStr">
        <is>
          <t>218 G. SAN JOSE 1</t>
        </is>
      </c>
      <c r="E757" s="162" t="n">
        <v>42932</v>
      </c>
      <c r="F757" s="162" t="inlineStr">
        <is>
          <t>WILMER PIÑEROS</t>
        </is>
      </c>
      <c r="G757" s="162" t="n">
        <v>2550</v>
      </c>
      <c r="H757" s="162" t="n">
        <v>2539</v>
      </c>
      <c r="I757" s="162" t="n">
        <v>1</v>
      </c>
      <c r="J757" s="162" t="n">
        <v>9</v>
      </c>
      <c r="K757" s="162" t="n">
        <v>1</v>
      </c>
      <c r="L757" s="397" t="n">
        <v>3043</v>
      </c>
      <c r="M757" s="113" t="n"/>
      <c r="N757" s="113" t="n"/>
      <c r="O757" s="113" t="n"/>
      <c r="P757" s="398" t="n"/>
      <c r="Q757" s="398" t="n"/>
      <c r="R757" s="113" t="n"/>
      <c r="S757" s="113" t="n"/>
      <c r="T757" s="113" t="n"/>
      <c r="U757" s="113" t="n"/>
      <c r="V757" s="113" t="n"/>
    </row>
    <row r="758" ht="15.75" customHeight="1">
      <c r="A758" s="146" t="n">
        <v>14</v>
      </c>
      <c r="B758" s="238" t="n"/>
      <c r="C758" s="399" t="n">
        <v>45896</v>
      </c>
      <c r="D758" s="162" t="inlineStr">
        <is>
          <t>218 G. SAN JOSE 1</t>
        </is>
      </c>
      <c r="E758" s="162" t="n">
        <v>42933</v>
      </c>
      <c r="F758" s="162" t="inlineStr">
        <is>
          <t>DUMAR ANGARITA</t>
        </is>
      </c>
      <c r="G758" s="162" t="n">
        <v>3043</v>
      </c>
      <c r="H758" s="162" t="n">
        <v>3035</v>
      </c>
      <c r="I758" s="162" t="n">
        <v>2</v>
      </c>
      <c r="J758" s="162" t="n">
        <v>14</v>
      </c>
      <c r="K758" s="162" t="n">
        <v>-8</v>
      </c>
      <c r="L758" s="397" t="n">
        <v>3043</v>
      </c>
      <c r="M758" s="113" t="n"/>
      <c r="N758" s="113" t="n"/>
      <c r="O758" s="113" t="n"/>
      <c r="P758" s="398" t="n"/>
      <c r="Q758" s="398" t="n"/>
      <c r="R758" s="113" t="n"/>
      <c r="S758" s="113" t="n"/>
      <c r="T758" s="113" t="n"/>
      <c r="U758" s="113" t="n"/>
      <c r="V758" s="113" t="n"/>
    </row>
    <row r="759" ht="15.75" customHeight="1">
      <c r="A759" s="146" t="n">
        <v>14</v>
      </c>
      <c r="B759" s="238" t="n"/>
      <c r="C759" s="399" t="n">
        <v>45896</v>
      </c>
      <c r="D759" s="162" t="inlineStr">
        <is>
          <t>218 G. SAN JOSE 1</t>
        </is>
      </c>
      <c r="E759" s="162" t="n">
        <v>42934</v>
      </c>
      <c r="F759" s="162" t="inlineStr">
        <is>
          <t>FABIO ALDANA</t>
        </is>
      </c>
      <c r="G759" s="162" t="n">
        <v>3043</v>
      </c>
      <c r="H759" s="162" t="n">
        <v>3019</v>
      </c>
      <c r="I759" s="162" t="n">
        <v>2</v>
      </c>
      <c r="J759" s="162" t="n">
        <v>15</v>
      </c>
      <c r="K759" s="162" t="n">
        <v>7</v>
      </c>
      <c r="L759" s="397" t="n">
        <v>2925</v>
      </c>
      <c r="M759" s="113" t="n"/>
      <c r="N759" s="113" t="n"/>
      <c r="O759" s="113" t="n"/>
      <c r="P759" s="398" t="n"/>
      <c r="Q759" s="398" t="n"/>
      <c r="R759" s="113" t="n"/>
      <c r="S759" s="113" t="n"/>
      <c r="T759" s="113" t="n"/>
      <c r="U759" s="113" t="n"/>
      <c r="V759" s="113" t="n"/>
    </row>
    <row r="760" ht="15.75" customHeight="1">
      <c r="A760" s="146" t="n">
        <v>14</v>
      </c>
      <c r="B760" s="238" t="n"/>
      <c r="C760" s="481" t="n">
        <v>45897</v>
      </c>
      <c r="D760" s="484" t="inlineStr">
        <is>
          <t>202 G. HUERTAS</t>
        </is>
      </c>
      <c r="E760" s="484" t="n">
        <v>203092</v>
      </c>
      <c r="F760" s="484" t="inlineStr">
        <is>
          <t>MARCO OSPINA</t>
        </is>
      </c>
      <c r="G760" s="493" t="n">
        <v>3000</v>
      </c>
      <c r="H760" s="493" t="n">
        <v>2922</v>
      </c>
      <c r="I760" s="493" t="n">
        <v>15</v>
      </c>
      <c r="J760" s="493" t="n">
        <v>64</v>
      </c>
      <c r="K760" s="493" t="n">
        <v>-1</v>
      </c>
      <c r="L760" s="483" t="n">
        <v>3000</v>
      </c>
      <c r="M760" s="113" t="n"/>
      <c r="N760" s="113" t="n"/>
      <c r="O760" s="113" t="n"/>
      <c r="P760" s="398" t="n"/>
      <c r="Q760" s="398" t="n"/>
      <c r="R760" s="113" t="n"/>
      <c r="S760" s="113" t="n"/>
      <c r="T760" s="113" t="n"/>
      <c r="U760" s="113" t="n"/>
      <c r="V760" s="113" t="n"/>
    </row>
    <row r="761" ht="15.75" customHeight="1">
      <c r="A761" s="146" t="n">
        <v>14</v>
      </c>
      <c r="B761" s="238" t="n"/>
      <c r="C761" s="399" t="n">
        <v>45897</v>
      </c>
      <c r="D761" s="162" t="inlineStr">
        <is>
          <t>218 G. SAN JOSE 1</t>
        </is>
      </c>
      <c r="E761" s="162" t="n">
        <v>42949</v>
      </c>
      <c r="F761" s="162" t="inlineStr">
        <is>
          <t>EDWIN ROJAS</t>
        </is>
      </c>
      <c r="G761" s="162" t="n">
        <v>3750</v>
      </c>
      <c r="H761" s="162" t="n">
        <v>3714</v>
      </c>
      <c r="I761" s="162" t="n">
        <v>9</v>
      </c>
      <c r="J761" s="162" t="n">
        <v>21</v>
      </c>
      <c r="K761" s="162" t="n">
        <v>6</v>
      </c>
      <c r="L761" s="397" t="n">
        <v>3750</v>
      </c>
      <c r="M761" s="113" t="n"/>
      <c r="N761" s="113" t="n"/>
      <c r="O761" s="113" t="n"/>
      <c r="P761" s="398" t="n"/>
      <c r="Q761" s="398" t="n"/>
      <c r="R761" s="113" t="n"/>
      <c r="S761" s="113" t="n"/>
      <c r="T761" s="113" t="n"/>
      <c r="U761" s="113" t="n"/>
      <c r="V761" s="113" t="n"/>
    </row>
    <row r="762" ht="15.75" customHeight="1">
      <c r="A762" s="146" t="n">
        <v>14</v>
      </c>
      <c r="B762" s="238" t="n"/>
      <c r="C762" s="399" t="n">
        <v>45897</v>
      </c>
      <c r="D762" s="162" t="inlineStr">
        <is>
          <t>219 G. SAN JOSE 1</t>
        </is>
      </c>
      <c r="E762" s="162" t="n">
        <v>42950</v>
      </c>
      <c r="F762" s="162" t="inlineStr">
        <is>
          <t>FABIO ALDANA</t>
        </is>
      </c>
      <c r="G762" s="162" t="n">
        <v>3750</v>
      </c>
      <c r="H762" s="162" t="n">
        <v>3716</v>
      </c>
      <c r="I762" s="162" t="n">
        <v>7</v>
      </c>
      <c r="J762" s="162" t="n">
        <v>19</v>
      </c>
      <c r="K762" s="162" t="n">
        <v>8</v>
      </c>
      <c r="L762" s="397" t="n">
        <v>3750</v>
      </c>
      <c r="M762" s="113" t="n"/>
      <c r="N762" s="113" t="n"/>
      <c r="O762" s="113" t="n"/>
      <c r="P762" s="398" t="n"/>
      <c r="Q762" s="398" t="n"/>
      <c r="R762" s="113" t="n"/>
      <c r="S762" s="113" t="n"/>
      <c r="T762" s="113" t="n"/>
      <c r="U762" s="113" t="n"/>
      <c r="V762" s="113" t="n"/>
    </row>
    <row r="763" ht="15.75" customHeight="1">
      <c r="A763" s="146" t="n">
        <v>14</v>
      </c>
      <c r="B763" s="238" t="n"/>
      <c r="C763" s="399" t="n">
        <v>45897</v>
      </c>
      <c r="D763" s="162" t="inlineStr">
        <is>
          <t>220 G. SAN JOSE 1</t>
        </is>
      </c>
      <c r="E763" s="162" t="n">
        <v>42951</v>
      </c>
      <c r="F763" s="162" t="inlineStr">
        <is>
          <t>ALBERTO HERRERA</t>
        </is>
      </c>
      <c r="G763" s="162" t="n">
        <v>3650</v>
      </c>
      <c r="H763" s="162" t="n">
        <v>3623</v>
      </c>
      <c r="I763" s="162" t="n">
        <v>4</v>
      </c>
      <c r="J763" s="162" t="n">
        <v>17</v>
      </c>
      <c r="K763" s="162" t="n">
        <v>6</v>
      </c>
      <c r="L763" s="397" t="n">
        <v>3650</v>
      </c>
      <c r="M763" s="113" t="n"/>
      <c r="N763" s="113" t="n"/>
      <c r="O763" s="113" t="n"/>
      <c r="P763" s="398" t="n"/>
      <c r="Q763" s="398" t="n"/>
      <c r="R763" s="113" t="n"/>
      <c r="S763" s="113" t="n"/>
      <c r="T763" s="113" t="n"/>
      <c r="U763" s="113" t="n"/>
      <c r="V763" s="113" t="n"/>
    </row>
    <row r="764" ht="15.75" customHeight="1">
      <c r="A764" s="146" t="n">
        <v>14</v>
      </c>
      <c r="B764" s="238" t="n"/>
      <c r="C764" s="399" t="n">
        <v>45897</v>
      </c>
      <c r="D764" s="162" t="inlineStr">
        <is>
          <t>221 G. SAN JOSE 1</t>
        </is>
      </c>
      <c r="E764" s="162" t="n">
        <v>42952</v>
      </c>
      <c r="F764" s="162" t="inlineStr">
        <is>
          <t>MANUEL QUITIAN</t>
        </is>
      </c>
      <c r="G764" s="162" t="n">
        <v>3650</v>
      </c>
      <c r="H764" s="162" t="n">
        <v>3625</v>
      </c>
      <c r="I764" s="162" t="n">
        <v>2</v>
      </c>
      <c r="J764" s="162" t="n">
        <v>16</v>
      </c>
      <c r="K764" s="162" t="n">
        <v>7</v>
      </c>
      <c r="L764" s="397" t="n">
        <v>3650</v>
      </c>
      <c r="M764" s="113" t="n"/>
      <c r="N764" s="113" t="n"/>
      <c r="O764" s="113" t="n"/>
      <c r="P764" s="398" t="n"/>
      <c r="Q764" s="398" t="n"/>
      <c r="R764" s="113" t="n"/>
      <c r="S764" s="113" t="n"/>
      <c r="T764" s="113" t="n"/>
      <c r="U764" s="113" t="n"/>
      <c r="V764" s="113" t="n"/>
    </row>
    <row r="765" ht="15.75" customHeight="1">
      <c r="A765" s="146" t="n">
        <v>14</v>
      </c>
      <c r="B765" s="238" t="n"/>
      <c r="C765" s="399" t="n">
        <v>45897</v>
      </c>
      <c r="D765" s="162" t="inlineStr">
        <is>
          <t>221 G. SAN JOSE 1</t>
        </is>
      </c>
      <c r="E765" s="162" t="n">
        <v>42953</v>
      </c>
      <c r="F765" s="162" t="inlineStr">
        <is>
          <t>JAIRO CUBILLOS</t>
        </is>
      </c>
      <c r="G765" s="162" t="n">
        <v>3750</v>
      </c>
      <c r="H765" s="162" t="n">
        <v>3729</v>
      </c>
      <c r="I765" s="162" t="n">
        <v>2</v>
      </c>
      <c r="J765" s="162" t="n">
        <v>13</v>
      </c>
      <c r="K765" s="162" t="n">
        <v>6</v>
      </c>
      <c r="L765" s="397" t="n">
        <v>3754</v>
      </c>
      <c r="M765" s="113" t="n"/>
      <c r="N765" s="113" t="n"/>
      <c r="O765" s="113" t="n"/>
      <c r="P765" s="398" t="n"/>
      <c r="Q765" s="398" t="n"/>
      <c r="R765" s="113" t="n"/>
      <c r="S765" s="113" t="n"/>
      <c r="T765" s="113" t="n"/>
      <c r="U765" s="113" t="n"/>
      <c r="V765" s="113" t="n"/>
    </row>
    <row r="766" ht="15.75" customHeight="1">
      <c r="A766" s="146" t="n">
        <v>14</v>
      </c>
      <c r="B766" s="238" t="n"/>
      <c r="C766" s="399" t="n">
        <v>45897</v>
      </c>
      <c r="D766" s="162" t="inlineStr">
        <is>
          <t>222 G. SAN JOSE 1</t>
        </is>
      </c>
      <c r="E766" s="162" t="n">
        <v>42954</v>
      </c>
      <c r="F766" s="162" t="inlineStr">
        <is>
          <t>ALBERTO LOPEZ</t>
        </is>
      </c>
      <c r="G766" s="162" t="n">
        <v>3754</v>
      </c>
      <c r="H766" s="162" t="n">
        <v>3680</v>
      </c>
      <c r="I766" s="162" t="n">
        <v>7</v>
      </c>
      <c r="J766" s="162" t="n">
        <v>11</v>
      </c>
      <c r="K766" s="162" t="n">
        <v>56</v>
      </c>
      <c r="L766" s="397" t="n">
        <v>3754</v>
      </c>
      <c r="M766" s="113" t="n"/>
      <c r="N766" s="113" t="n"/>
      <c r="O766" s="113" t="n"/>
      <c r="P766" s="398" t="n"/>
      <c r="Q766" s="398" t="n"/>
      <c r="R766" s="113" t="n"/>
      <c r="S766" s="113" t="n"/>
      <c r="T766" s="113" t="n"/>
      <c r="U766" s="113" t="n"/>
      <c r="V766" s="113" t="n"/>
    </row>
    <row r="767" ht="15.75" customHeight="1">
      <c r="A767" s="146" t="n">
        <v>14</v>
      </c>
      <c r="B767" s="238" t="n"/>
      <c r="C767" s="399" t="n">
        <v>45897</v>
      </c>
      <c r="D767" s="162" t="inlineStr">
        <is>
          <t>223 G. SAN JOSE 1</t>
        </is>
      </c>
      <c r="E767" s="162" t="n">
        <v>42955</v>
      </c>
      <c r="F767" s="162" t="inlineStr">
        <is>
          <t>HENRY ROMERO</t>
        </is>
      </c>
      <c r="G767" s="162" t="n">
        <v>2936</v>
      </c>
      <c r="H767" s="162" t="n">
        <v>2880</v>
      </c>
      <c r="I767" s="162" t="n">
        <v>7</v>
      </c>
      <c r="J767" s="162" t="n">
        <v>50</v>
      </c>
      <c r="K767" s="162" t="n">
        <v>-1</v>
      </c>
      <c r="L767" s="397" t="n">
        <v>2933</v>
      </c>
      <c r="M767" s="113" t="n"/>
      <c r="N767" s="113" t="n"/>
      <c r="O767" s="113" t="n"/>
      <c r="P767" s="398" t="n"/>
      <c r="Q767" s="398" t="n"/>
      <c r="R767" s="113" t="n"/>
      <c r="S767" s="113" t="n"/>
      <c r="T767" s="113" t="n"/>
      <c r="U767" s="113" t="n"/>
      <c r="V767" s="113" t="n"/>
    </row>
    <row r="768" ht="15.75" customHeight="1">
      <c r="A768" s="146" t="n">
        <v>14</v>
      </c>
      <c r="B768" s="238" t="n"/>
      <c r="C768" s="399" t="n">
        <v>45897</v>
      </c>
      <c r="D768" s="162" t="inlineStr">
        <is>
          <t>225 G. SAN JOSE 1</t>
        </is>
      </c>
      <c r="E768" s="162" t="n">
        <v>42956</v>
      </c>
      <c r="F768" s="162" t="inlineStr">
        <is>
          <t>JHON ARIAS</t>
        </is>
      </c>
      <c r="G768" s="162" t="n">
        <v>2936</v>
      </c>
      <c r="H768" s="162" t="n">
        <v>2893</v>
      </c>
      <c r="I768" s="162" t="n">
        <v>7</v>
      </c>
      <c r="J768" s="162" t="n">
        <v>37</v>
      </c>
      <c r="K768" s="162" t="n">
        <v>-1</v>
      </c>
      <c r="L768" s="397" t="n">
        <v>2933</v>
      </c>
      <c r="M768" s="113" t="n"/>
      <c r="N768" s="113" t="n"/>
      <c r="O768" s="113" t="n"/>
      <c r="P768" s="398" t="n"/>
      <c r="Q768" s="398" t="n"/>
      <c r="R768" s="113" t="n"/>
      <c r="S768" s="113" t="n"/>
      <c r="T768" s="113" t="n"/>
      <c r="U768" s="113" t="n"/>
      <c r="V768" s="113" t="n"/>
    </row>
    <row r="769" ht="15.75" customHeight="1">
      <c r="A769" s="146" t="n">
        <v>14</v>
      </c>
      <c r="B769" s="238" t="n"/>
      <c r="C769" s="399" t="n">
        <v>45897</v>
      </c>
      <c r="D769" s="162" t="inlineStr">
        <is>
          <t>224 G. SAN JOSE 1</t>
        </is>
      </c>
      <c r="E769" s="162" t="n">
        <v>42957</v>
      </c>
      <c r="F769" s="162" t="inlineStr">
        <is>
          <t>EDWIN ROJAS</t>
        </is>
      </c>
      <c r="G769" s="162" t="n">
        <v>2936</v>
      </c>
      <c r="H769" s="162" t="n">
        <v>2911</v>
      </c>
      <c r="I769" s="162" t="n">
        <v>6</v>
      </c>
      <c r="J769" s="162" t="n">
        <v>19</v>
      </c>
      <c r="K769" s="162" t="n">
        <v>0</v>
      </c>
      <c r="L769" s="397" t="n">
        <v>2933</v>
      </c>
      <c r="M769" s="113" t="n"/>
      <c r="N769" s="113" t="n"/>
      <c r="O769" s="113" t="n"/>
      <c r="P769" s="398" t="n"/>
      <c r="Q769" s="398" t="n"/>
      <c r="R769" s="113" t="n"/>
      <c r="S769" s="113" t="n"/>
      <c r="T769" s="113" t="n"/>
      <c r="U769" s="113" t="n"/>
      <c r="V769" s="113" t="n"/>
    </row>
    <row r="770" ht="15.75" customHeight="1">
      <c r="A770" s="146" t="n">
        <v>14</v>
      </c>
      <c r="B770" s="238" t="n"/>
      <c r="C770" s="399" t="n">
        <v>45898</v>
      </c>
      <c r="D770" s="162" t="inlineStr">
        <is>
          <t>218 G. SAN JOSE 1</t>
        </is>
      </c>
      <c r="E770" s="162" t="n">
        <v>42965</v>
      </c>
      <c r="F770" s="162" t="inlineStr">
        <is>
          <t>ALBERTO HERRERA</t>
        </is>
      </c>
      <c r="G770" s="162" t="n">
        <v>3500</v>
      </c>
      <c r="H770" s="162" t="n">
        <v>3464</v>
      </c>
      <c r="I770" s="162" t="n">
        <v>3</v>
      </c>
      <c r="J770" s="162" t="n">
        <v>31</v>
      </c>
      <c r="K770" s="162" t="n">
        <v>2</v>
      </c>
      <c r="L770" s="397" t="n">
        <v>3500</v>
      </c>
      <c r="M770" s="113" t="n"/>
      <c r="N770" s="113" t="n"/>
      <c r="O770" s="113" t="n"/>
      <c r="P770" s="398" t="n"/>
      <c r="Q770" s="398" t="n"/>
      <c r="R770" s="113" t="n"/>
      <c r="S770" s="113" t="n"/>
      <c r="T770" s="113" t="n"/>
      <c r="U770" s="113" t="n"/>
      <c r="V770" s="113" t="n"/>
    </row>
    <row r="771" ht="15.75" customHeight="1">
      <c r="A771" s="146" t="n">
        <v>14</v>
      </c>
      <c r="B771" s="238" t="n"/>
      <c r="C771" s="399" t="n">
        <v>45898</v>
      </c>
      <c r="D771" s="162" t="inlineStr">
        <is>
          <t>218 G. SAN JOSE 1</t>
        </is>
      </c>
      <c r="E771" s="162" t="n">
        <v>42966</v>
      </c>
      <c r="F771" s="162" t="inlineStr">
        <is>
          <t>EDUAN CAVIEDES</t>
        </is>
      </c>
      <c r="G771" s="162" t="n">
        <v>3500</v>
      </c>
      <c r="H771" s="162" t="n">
        <v>3464</v>
      </c>
      <c r="I771" s="162" t="n">
        <v>3</v>
      </c>
      <c r="J771" s="162" t="n">
        <v>30</v>
      </c>
      <c r="K771" s="162" t="n">
        <v>3</v>
      </c>
      <c r="L771" s="397" t="n">
        <v>3500</v>
      </c>
      <c r="M771" s="113" t="n"/>
      <c r="N771" s="113" t="n"/>
      <c r="O771" s="113" t="n"/>
      <c r="P771" s="398" t="n"/>
      <c r="Q771" s="398" t="n"/>
      <c r="R771" s="113" t="n"/>
      <c r="S771" s="113" t="n"/>
      <c r="T771" s="113" t="n"/>
      <c r="U771" s="113" t="n"/>
      <c r="V771" s="113" t="n"/>
    </row>
    <row r="772" ht="15.75" customHeight="1">
      <c r="A772" s="146" t="n">
        <v>14</v>
      </c>
      <c r="B772" s="238" t="n"/>
      <c r="C772" s="399" t="n">
        <v>45898</v>
      </c>
      <c r="D772" s="162" t="inlineStr">
        <is>
          <t>218 G. SAN JOSE 1</t>
        </is>
      </c>
      <c r="E772" s="162" t="n">
        <v>42967</v>
      </c>
      <c r="F772" s="162" t="inlineStr">
        <is>
          <t>MANUEL QUITIAN</t>
        </is>
      </c>
      <c r="G772" s="162" t="n">
        <v>3675</v>
      </c>
      <c r="H772" s="162" t="n">
        <v>3644</v>
      </c>
      <c r="I772" s="162" t="n">
        <v>2</v>
      </c>
      <c r="J772" s="162" t="n">
        <v>17</v>
      </c>
      <c r="K772" s="162" t="n">
        <v>12</v>
      </c>
      <c r="L772" s="397" t="n">
        <v>3665</v>
      </c>
      <c r="M772" s="113" t="n"/>
      <c r="N772" s="113" t="n"/>
      <c r="O772" s="113" t="n"/>
      <c r="P772" s="398" t="n"/>
      <c r="Q772" s="398" t="n"/>
      <c r="R772" s="113" t="n"/>
      <c r="S772" s="113" t="n"/>
      <c r="T772" s="113" t="n"/>
      <c r="U772" s="113" t="n"/>
      <c r="V772" s="113" t="n"/>
    </row>
    <row r="773" ht="15.75" customHeight="1">
      <c r="A773" s="146" t="n">
        <v>14</v>
      </c>
      <c r="B773" s="238" t="n"/>
      <c r="C773" s="399" t="n">
        <v>45898</v>
      </c>
      <c r="D773" s="162" t="inlineStr">
        <is>
          <t>218 G. SAN JOSE 1</t>
        </is>
      </c>
      <c r="E773" s="162" t="n">
        <v>42968</v>
      </c>
      <c r="F773" s="162" t="inlineStr">
        <is>
          <t>JAIRO CUBILLOS</t>
        </is>
      </c>
      <c r="G773" s="162" t="n">
        <v>3675</v>
      </c>
      <c r="H773" s="162" t="n">
        <v>3646</v>
      </c>
      <c r="I773" s="162" t="n">
        <v>4</v>
      </c>
      <c r="J773" s="162" t="n">
        <v>15</v>
      </c>
      <c r="K773" s="162" t="n">
        <v>10</v>
      </c>
      <c r="L773" s="397" t="n">
        <v>3675</v>
      </c>
      <c r="M773" s="113" t="n"/>
      <c r="N773" s="113" t="n"/>
      <c r="O773" s="113" t="n"/>
      <c r="P773" s="398" t="n"/>
      <c r="Q773" s="398" t="n"/>
      <c r="R773" s="113" t="n"/>
      <c r="S773" s="113" t="n"/>
      <c r="T773" s="113" t="n"/>
      <c r="U773" s="113" t="n"/>
      <c r="V773" s="113" t="n"/>
    </row>
    <row r="774" ht="15.75" customHeight="1">
      <c r="A774" s="146" t="n">
        <v>14</v>
      </c>
      <c r="B774" s="238" t="n"/>
      <c r="C774" s="399" t="n">
        <v>45898</v>
      </c>
      <c r="D774" s="162" t="inlineStr">
        <is>
          <t>218 G. SAN JOSE 1</t>
        </is>
      </c>
      <c r="E774" s="162" t="n">
        <v>42969</v>
      </c>
      <c r="F774" s="162" t="inlineStr">
        <is>
          <t>YAIR RIVEROS</t>
        </is>
      </c>
      <c r="G774" s="162" t="n">
        <v>2880</v>
      </c>
      <c r="H774" s="162" t="n">
        <v>2866</v>
      </c>
      <c r="I774" s="162" t="n">
        <v>1</v>
      </c>
      <c r="J774" s="162" t="n">
        <v>14</v>
      </c>
      <c r="K774" s="162" t="n">
        <v>-1</v>
      </c>
      <c r="L774" s="397" t="n">
        <v>2880</v>
      </c>
      <c r="M774" s="113" t="n"/>
      <c r="N774" s="113" t="n"/>
      <c r="O774" s="113" t="n"/>
      <c r="P774" s="398" t="n"/>
      <c r="Q774" s="398" t="n"/>
      <c r="R774" s="113" t="n"/>
      <c r="S774" s="113" t="n"/>
      <c r="T774" s="113" t="n"/>
      <c r="U774" s="113" t="n"/>
      <c r="V774" s="113" t="n"/>
    </row>
    <row r="775" ht="15.75" customHeight="1">
      <c r="A775" s="146" t="n">
        <v>14</v>
      </c>
      <c r="B775" s="238" t="n"/>
      <c r="C775" s="399" t="n">
        <v>45898</v>
      </c>
      <c r="D775" s="162" t="inlineStr">
        <is>
          <t>218 G. SAN JOSE 1</t>
        </is>
      </c>
      <c r="E775" s="162" t="n">
        <v>42970</v>
      </c>
      <c r="F775" s="162" t="inlineStr">
        <is>
          <t>EDWIN ROJAS</t>
        </is>
      </c>
      <c r="G775" s="162" t="n">
        <v>2592</v>
      </c>
      <c r="H775" s="162" t="n">
        <v>2577</v>
      </c>
      <c r="I775" s="162" t="n">
        <v>1</v>
      </c>
      <c r="J775" s="162" t="n">
        <v>18</v>
      </c>
      <c r="K775" s="162" t="n">
        <v>-4</v>
      </c>
      <c r="L775" s="397" t="n">
        <v>2592</v>
      </c>
      <c r="M775" s="113" t="n"/>
      <c r="N775" s="113" t="n"/>
      <c r="O775" s="113" t="n"/>
      <c r="P775" s="398" t="n"/>
      <c r="Q775" s="398" t="n"/>
      <c r="R775" s="113" t="n"/>
      <c r="S775" s="113" t="n"/>
      <c r="T775" s="113" t="n"/>
      <c r="U775" s="113" t="n"/>
      <c r="V775" s="113" t="n"/>
    </row>
    <row r="776" ht="15.75" customHeight="1">
      <c r="A776" s="146" t="n">
        <v>14</v>
      </c>
      <c r="B776" s="238" t="n"/>
      <c r="C776" s="399" t="n">
        <v>45898</v>
      </c>
      <c r="D776" s="162" t="inlineStr">
        <is>
          <t>218 G. SAN JOSE 1</t>
        </is>
      </c>
      <c r="E776" s="162" t="n">
        <v>42971</v>
      </c>
      <c r="F776" s="162" t="inlineStr">
        <is>
          <t>HENRY ROMERO</t>
        </is>
      </c>
      <c r="G776" s="162" t="n">
        <v>2592</v>
      </c>
      <c r="H776" s="162" t="n">
        <v>2589</v>
      </c>
      <c r="I776" s="162" t="n">
        <v>1</v>
      </c>
      <c r="J776" s="162" t="n">
        <v>17</v>
      </c>
      <c r="K776" s="162" t="n">
        <v>-15</v>
      </c>
      <c r="L776" s="397" t="n">
        <v>2592</v>
      </c>
      <c r="M776" s="113" t="n"/>
      <c r="N776" s="113" t="n"/>
      <c r="O776" s="113" t="n"/>
      <c r="P776" s="398" t="n"/>
      <c r="Q776" s="398" t="n"/>
      <c r="R776" s="113" t="n"/>
      <c r="S776" s="113" t="n"/>
      <c r="T776" s="113" t="n"/>
      <c r="U776" s="113" t="n"/>
      <c r="V776" s="113" t="n"/>
    </row>
    <row r="777" ht="15.75" customHeight="1">
      <c r="A777" s="146" t="n">
        <v>14</v>
      </c>
      <c r="B777" s="238" t="n"/>
      <c r="C777" s="399" t="n">
        <v>45898</v>
      </c>
      <c r="D777" s="162" t="inlineStr">
        <is>
          <t>218 G. SAN JOSE 1</t>
        </is>
      </c>
      <c r="E777" s="162" t="n">
        <v>42972</v>
      </c>
      <c r="F777" s="162" t="inlineStr">
        <is>
          <t>WILMER PIÑEROS</t>
        </is>
      </c>
      <c r="G777" s="162" t="n">
        <v>2592</v>
      </c>
      <c r="H777" s="162" t="n">
        <v>2580</v>
      </c>
      <c r="I777" s="162" t="n">
        <v>1</v>
      </c>
      <c r="J777" s="162" t="n">
        <v>31</v>
      </c>
      <c r="K777" s="162" t="n">
        <v>-20</v>
      </c>
      <c r="L777" s="397" t="n">
        <v>2592</v>
      </c>
      <c r="M777" s="113" t="n"/>
      <c r="N777" s="113" t="n"/>
      <c r="O777" s="113" t="n"/>
      <c r="P777" s="398" t="n"/>
      <c r="Q777" s="398" t="n"/>
      <c r="R777" s="113" t="n"/>
      <c r="S777" s="113" t="n"/>
      <c r="T777" s="113" t="n"/>
      <c r="U777" s="113" t="n"/>
      <c r="V777" s="113" t="n"/>
    </row>
    <row r="778" ht="15.75" customHeight="1">
      <c r="A778" s="146" t="n">
        <v>14</v>
      </c>
      <c r="B778" s="238" t="n"/>
      <c r="C778" s="399" t="n">
        <v>45898</v>
      </c>
      <c r="D778" s="162" t="inlineStr">
        <is>
          <t>218 G. SAN JOSE 1</t>
        </is>
      </c>
      <c r="E778" s="162" t="n">
        <v>42973</v>
      </c>
      <c r="F778" s="162" t="inlineStr">
        <is>
          <t>ALBERTO HERRERA</t>
        </is>
      </c>
      <c r="G778" s="162" t="n">
        <v>2880</v>
      </c>
      <c r="H778" s="162" t="n">
        <v>2851</v>
      </c>
      <c r="I778" s="162" t="n">
        <v>3</v>
      </c>
      <c r="J778" s="162" t="n">
        <v>31</v>
      </c>
      <c r="K778" s="162" t="n">
        <v>-5</v>
      </c>
      <c r="L778" s="397" t="n">
        <v>2880</v>
      </c>
      <c r="M778" s="113" t="n"/>
      <c r="N778" s="113" t="n"/>
      <c r="O778" s="113" t="n"/>
      <c r="P778" s="398" t="n"/>
      <c r="Q778" s="398" t="n"/>
      <c r="R778" s="113" t="n"/>
      <c r="S778" s="113" t="n"/>
      <c r="T778" s="113" t="n"/>
      <c r="U778" s="113" t="n"/>
      <c r="V778" s="113" t="n"/>
    </row>
    <row r="779" ht="15.75" customHeight="1">
      <c r="A779" s="146" t="n">
        <v>14</v>
      </c>
      <c r="B779" s="238" t="n"/>
      <c r="C779" s="399" t="n"/>
      <c r="D779" s="113" t="n"/>
      <c r="E779" s="113" t="n"/>
      <c r="F779" s="113" t="n"/>
      <c r="G779" s="477">
        <f>SUBTOTAL(9,G736:G778)</f>
        <v/>
      </c>
      <c r="H779" s="477">
        <f>SUBTOTAL(9,H736:H778)</f>
        <v/>
      </c>
      <c r="I779" s="477">
        <f>SUBTOTAL(9,I736:I778)</f>
        <v/>
      </c>
      <c r="J779" s="477">
        <f>SUBTOTAL(9,J736:J778)</f>
        <v/>
      </c>
      <c r="K779" s="477">
        <f>SUBTOTAL(9,K736:K778)</f>
        <v/>
      </c>
      <c r="L779" s="477">
        <f>SUBTOTAL(9,L736:L778)</f>
        <v/>
      </c>
      <c r="M779" s="113" t="n"/>
      <c r="N779" s="113" t="n"/>
      <c r="O779" s="113" t="n"/>
      <c r="P779" s="398" t="n"/>
      <c r="Q779" s="398" t="n"/>
      <c r="R779" s="113" t="n"/>
      <c r="S779" s="113" t="n"/>
      <c r="T779" s="113" t="n"/>
      <c r="U779" s="113" t="n"/>
      <c r="V779" s="113" t="n"/>
    </row>
    <row r="780" ht="15.75" customHeight="1">
      <c r="A780" s="146" t="n">
        <v>15</v>
      </c>
      <c r="B780" s="238" t="n"/>
      <c r="C780" s="481" t="n">
        <v>45899</v>
      </c>
      <c r="D780" s="484" t="inlineStr">
        <is>
          <t>202 G. HUERTAS</t>
        </is>
      </c>
      <c r="E780" s="484" t="n">
        <v>203134</v>
      </c>
      <c r="F780" s="484" t="inlineStr">
        <is>
          <t>DAZA MARCOS</t>
        </is>
      </c>
      <c r="G780" s="493" t="n">
        <v>2930</v>
      </c>
      <c r="H780" s="493" t="n">
        <v>2882</v>
      </c>
      <c r="I780" s="493" t="n">
        <v>17</v>
      </c>
      <c r="J780" s="493" t="n">
        <v>29</v>
      </c>
      <c r="K780" s="493" t="n">
        <v>2</v>
      </c>
      <c r="L780" s="397" t="n">
        <v>2930</v>
      </c>
      <c r="M780" s="113" t="n"/>
      <c r="N780" s="113" t="n"/>
      <c r="O780" s="113" t="n"/>
      <c r="P780" s="398" t="n"/>
      <c r="Q780" s="398" t="n"/>
      <c r="R780" s="113" t="n"/>
      <c r="S780" s="113" t="n"/>
      <c r="T780" s="113" t="n"/>
      <c r="U780" s="113" t="n"/>
      <c r="V780" s="113" t="n"/>
    </row>
    <row r="781" ht="15.75" customHeight="1">
      <c r="A781" s="146" t="n">
        <v>15</v>
      </c>
      <c r="B781" s="238" t="n"/>
      <c r="C781" s="481" t="n">
        <v>45899</v>
      </c>
      <c r="D781" s="484" t="inlineStr">
        <is>
          <t>202 G. HUERTAS</t>
        </is>
      </c>
      <c r="E781" s="484" t="n">
        <v>203135</v>
      </c>
      <c r="F781" s="484" t="inlineStr">
        <is>
          <t>EDISIN DUQUE SAMBONI</t>
        </is>
      </c>
      <c r="G781" s="493" t="n">
        <v>2930</v>
      </c>
      <c r="H781" s="493" t="n">
        <v>2878</v>
      </c>
      <c r="I781" s="493" t="n">
        <v>7</v>
      </c>
      <c r="J781" s="493" t="n">
        <v>19</v>
      </c>
      <c r="K781" s="493" t="n">
        <v>26</v>
      </c>
      <c r="L781" s="397" t="n">
        <v>2930</v>
      </c>
      <c r="M781" s="113" t="n"/>
      <c r="N781" s="113" t="n"/>
      <c r="O781" s="113" t="n"/>
      <c r="P781" s="398" t="n"/>
      <c r="Q781" s="398" t="n"/>
      <c r="R781" s="113" t="n"/>
      <c r="S781" s="113" t="n"/>
      <c r="T781" s="113" t="n"/>
      <c r="U781" s="113" t="n"/>
      <c r="V781" s="113" t="n"/>
    </row>
    <row r="782" ht="15.75" customHeight="1">
      <c r="A782" s="146" t="n">
        <v>15</v>
      </c>
      <c r="B782" s="238" t="n"/>
      <c r="C782" s="481" t="n">
        <v>45899</v>
      </c>
      <c r="D782" s="484" t="inlineStr">
        <is>
          <t>202 G. HUERTAS</t>
        </is>
      </c>
      <c r="E782" s="484" t="n">
        <v>42988</v>
      </c>
      <c r="F782" s="484" t="inlineStr">
        <is>
          <t>JOSE SOLER</t>
        </is>
      </c>
      <c r="G782" s="493" t="n">
        <v>3240</v>
      </c>
      <c r="H782" s="493" t="n">
        <v>3200</v>
      </c>
      <c r="I782" s="493" t="n">
        <v>5</v>
      </c>
      <c r="J782" s="493" t="n">
        <v>32</v>
      </c>
      <c r="K782" s="493" t="n">
        <v>3</v>
      </c>
      <c r="L782" s="397" t="n">
        <v>3240</v>
      </c>
      <c r="M782" s="113" t="n"/>
      <c r="N782" s="113" t="n"/>
      <c r="O782" s="395" t="n"/>
      <c r="P782" s="494" t="n"/>
      <c r="Q782" s="398" t="n"/>
      <c r="R782" s="113" t="n"/>
      <c r="S782" s="113" t="n"/>
      <c r="T782" s="113" t="n"/>
      <c r="U782" s="113" t="n"/>
      <c r="V782" s="113" t="n"/>
    </row>
    <row r="783" ht="15.75" customHeight="1">
      <c r="A783" s="146" t="n">
        <v>15</v>
      </c>
      <c r="B783" s="238" t="n"/>
      <c r="C783" s="481" t="n">
        <v>45899</v>
      </c>
      <c r="D783" s="484" t="inlineStr">
        <is>
          <t>202 G. HUERTAS</t>
        </is>
      </c>
      <c r="E783" s="484" t="n">
        <v>42989</v>
      </c>
      <c r="F783" s="484" t="inlineStr">
        <is>
          <t>WILMER PIÑEROS</t>
        </is>
      </c>
      <c r="G783" s="493" t="n">
        <v>3240</v>
      </c>
      <c r="H783" s="493" t="n">
        <v>3200</v>
      </c>
      <c r="I783" s="493" t="n">
        <v>4</v>
      </c>
      <c r="J783" s="493" t="n">
        <v>32</v>
      </c>
      <c r="K783" s="493" t="n">
        <v>4</v>
      </c>
      <c r="L783" s="397" t="n">
        <v>3240</v>
      </c>
      <c r="M783" s="113" t="n"/>
      <c r="N783" s="113" t="n"/>
      <c r="O783" s="113" t="n"/>
      <c r="P783" s="398" t="n"/>
      <c r="Q783" s="398" t="n"/>
      <c r="R783" s="113" t="n"/>
      <c r="S783" s="113" t="n"/>
      <c r="T783" s="113" t="n"/>
      <c r="U783" s="113" t="n"/>
      <c r="V783" s="113" t="n"/>
    </row>
    <row r="784" ht="15.75" customHeight="1">
      <c r="A784" s="146" t="n">
        <v>15</v>
      </c>
      <c r="B784" s="238" t="n"/>
      <c r="C784" s="481" t="n">
        <v>45899</v>
      </c>
      <c r="D784" s="484" t="inlineStr">
        <is>
          <t>202 G. HUERTAS</t>
        </is>
      </c>
      <c r="E784" s="484" t="n">
        <v>42990</v>
      </c>
      <c r="F784" s="484" t="inlineStr">
        <is>
          <t>JAIRO CUBILLOS</t>
        </is>
      </c>
      <c r="G784" s="493" t="n">
        <v>3240</v>
      </c>
      <c r="H784" s="493" t="n">
        <v>3197</v>
      </c>
      <c r="I784" s="493" t="n">
        <v>2</v>
      </c>
      <c r="J784" s="493" t="n">
        <v>35</v>
      </c>
      <c r="K784" s="493" t="n">
        <v>6</v>
      </c>
      <c r="L784" s="397" t="n">
        <v>3240</v>
      </c>
      <c r="M784" s="113" t="n"/>
      <c r="N784" s="113" t="n"/>
      <c r="O784" s="113" t="n"/>
      <c r="P784" s="398" t="n"/>
      <c r="Q784" s="398" t="n"/>
      <c r="R784" s="113" t="n"/>
      <c r="S784" s="113" t="n"/>
      <c r="T784" s="113" t="n"/>
      <c r="U784" s="113" t="n"/>
      <c r="V784" s="113" t="n"/>
    </row>
    <row r="785" ht="15.75" customHeight="1">
      <c r="A785" s="146" t="n">
        <v>15</v>
      </c>
      <c r="B785" s="238" t="n"/>
      <c r="C785" s="481" t="n">
        <v>45899</v>
      </c>
      <c r="D785" s="484" t="inlineStr">
        <is>
          <t>202 G. HUERTAS</t>
        </is>
      </c>
      <c r="E785" s="484" t="n">
        <v>42991</v>
      </c>
      <c r="F785" s="484" t="inlineStr">
        <is>
          <t>DUMAR ANGARITA</t>
        </is>
      </c>
      <c r="G785" s="493" t="n">
        <v>2592</v>
      </c>
      <c r="H785" s="493" t="n">
        <v>2546</v>
      </c>
      <c r="I785" s="493" t="n">
        <v>6</v>
      </c>
      <c r="J785" s="493" t="n">
        <v>44</v>
      </c>
      <c r="K785" s="493" t="n">
        <v>-4</v>
      </c>
      <c r="L785" s="397" t="n">
        <v>2592</v>
      </c>
      <c r="M785" s="113" t="n"/>
      <c r="N785" s="113" t="n"/>
      <c r="O785" s="113" t="n"/>
      <c r="P785" s="398" t="n"/>
      <c r="Q785" s="398" t="n"/>
      <c r="R785" s="113" t="n"/>
      <c r="S785" s="113" t="n"/>
      <c r="T785" s="113" t="n"/>
      <c r="U785" s="113" t="n"/>
      <c r="V785" s="113" t="n"/>
    </row>
    <row r="786" ht="15.75" customHeight="1">
      <c r="A786" s="146" t="n">
        <v>15</v>
      </c>
      <c r="B786" s="238" t="n"/>
      <c r="C786" s="481" t="n">
        <v>45899</v>
      </c>
      <c r="D786" s="484" t="inlineStr">
        <is>
          <t>202 G. HUERTAS</t>
        </is>
      </c>
      <c r="E786" s="484" t="n">
        <v>42992</v>
      </c>
      <c r="F786" s="484" t="inlineStr">
        <is>
          <t>ALBERTO LOPEZ</t>
        </is>
      </c>
      <c r="G786" s="493" t="n">
        <v>2916</v>
      </c>
      <c r="H786" s="493" t="n">
        <v>2867</v>
      </c>
      <c r="I786" s="493" t="n">
        <v>5</v>
      </c>
      <c r="J786" s="493" t="n">
        <v>45</v>
      </c>
      <c r="K786" s="493" t="n">
        <v>-1</v>
      </c>
      <c r="L786" s="397" t="n">
        <v>2916</v>
      </c>
      <c r="M786" s="113" t="n"/>
      <c r="N786" s="113" t="n"/>
      <c r="O786" s="113" t="n"/>
      <c r="P786" s="398" t="n"/>
      <c r="Q786" s="398" t="n"/>
      <c r="R786" s="113" t="n"/>
      <c r="S786" s="113" t="n"/>
      <c r="T786" s="113" t="n"/>
      <c r="U786" s="113" t="n"/>
      <c r="V786" s="113" t="n"/>
    </row>
    <row r="787" ht="15.75" customHeight="1">
      <c r="A787" s="146" t="n">
        <v>15</v>
      </c>
      <c r="B787" s="238" t="n"/>
      <c r="C787" s="481" t="n">
        <v>45899</v>
      </c>
      <c r="D787" s="484" t="inlineStr">
        <is>
          <t>202 G. HUERTAS</t>
        </is>
      </c>
      <c r="E787" s="484" t="n">
        <v>42993</v>
      </c>
      <c r="F787" s="484" t="inlineStr">
        <is>
          <t>DIEGO NIÑO</t>
        </is>
      </c>
      <c r="G787" s="493" t="n">
        <v>2890</v>
      </c>
      <c r="H787" s="493" t="n">
        <v>2653</v>
      </c>
      <c r="I787" s="493" t="n">
        <v>8</v>
      </c>
      <c r="J787" s="493" t="n">
        <v>222</v>
      </c>
      <c r="K787" s="493" t="n">
        <v>7</v>
      </c>
      <c r="L787" s="397" t="n">
        <v>2880</v>
      </c>
      <c r="M787" s="113" t="n"/>
      <c r="N787" s="113" t="n"/>
      <c r="O787" s="113" t="n"/>
      <c r="P787" s="398" t="n"/>
      <c r="Q787" s="398" t="n"/>
      <c r="R787" s="113" t="n"/>
      <c r="S787" s="113" t="n"/>
      <c r="T787" s="113" t="n"/>
      <c r="U787" s="113" t="n"/>
      <c r="V787" s="113" t="n"/>
    </row>
    <row r="788" ht="15.75" customHeight="1">
      <c r="A788" s="146" t="n">
        <v>15</v>
      </c>
      <c r="B788" s="238" t="n"/>
      <c r="C788" s="481" t="n">
        <v>45900</v>
      </c>
      <c r="D788" s="484" t="inlineStr">
        <is>
          <t>202 G. HUERTAS</t>
        </is>
      </c>
      <c r="E788" s="484" t="n">
        <v>203144</v>
      </c>
      <c r="F788" s="484" t="inlineStr">
        <is>
          <t>PEDRO IGNACIO BARRETO CUESTA</t>
        </is>
      </c>
      <c r="G788" s="493" t="n">
        <v>2700</v>
      </c>
      <c r="H788" s="493" t="n">
        <v>2657</v>
      </c>
      <c r="I788" s="493" t="n">
        <v>4</v>
      </c>
      <c r="J788" s="493" t="n">
        <v>38</v>
      </c>
      <c r="K788" s="493" t="n">
        <v>1</v>
      </c>
      <c r="L788" s="397" t="n">
        <v>2700</v>
      </c>
      <c r="M788" s="113" t="n"/>
      <c r="N788" s="113" t="n"/>
      <c r="O788" s="113" t="n"/>
      <c r="P788" s="398" t="n"/>
      <c r="Q788" s="398" t="n"/>
      <c r="R788" s="113" t="n"/>
      <c r="S788" s="113" t="n"/>
      <c r="T788" s="113" t="n"/>
      <c r="U788" s="113" t="n"/>
      <c r="V788" s="113" t="n"/>
    </row>
    <row r="789" ht="15.75" customHeight="1">
      <c r="A789" s="146" t="n">
        <v>15</v>
      </c>
      <c r="B789" s="238" t="n"/>
      <c r="C789" s="481" t="n">
        <v>45901</v>
      </c>
      <c r="D789" s="484" t="inlineStr">
        <is>
          <t>202 G. HUERTAS</t>
        </is>
      </c>
      <c r="E789" s="484" t="n">
        <v>203149</v>
      </c>
      <c r="F789" s="484" t="inlineStr">
        <is>
          <t>JONATHAN DAVID GOMEZ</t>
        </is>
      </c>
      <c r="G789" s="493" t="n">
        <v>2700</v>
      </c>
      <c r="H789" s="493" t="n">
        <v>2614</v>
      </c>
      <c r="I789" s="493" t="n">
        <v>32</v>
      </c>
      <c r="J789" s="493" t="n">
        <v>43</v>
      </c>
      <c r="K789" s="493" t="n">
        <v>11</v>
      </c>
      <c r="L789" s="397" t="n">
        <v>2700</v>
      </c>
      <c r="M789" s="113" t="n"/>
      <c r="N789" s="113" t="n"/>
      <c r="O789" s="113" t="n"/>
      <c r="P789" s="398" t="n"/>
      <c r="Q789" s="398" t="n"/>
      <c r="R789" s="113" t="n"/>
      <c r="S789" s="113" t="n"/>
      <c r="T789" s="113" t="n"/>
      <c r="U789" s="113" t="n"/>
      <c r="V789" s="113" t="n"/>
    </row>
    <row r="790" ht="15.75" customHeight="1">
      <c r="A790" s="146" t="n">
        <v>15</v>
      </c>
      <c r="B790" s="238" t="n"/>
      <c r="C790" s="481" t="n">
        <v>45901</v>
      </c>
      <c r="D790" s="484" t="inlineStr">
        <is>
          <t>202 G. HUERTAS</t>
        </is>
      </c>
      <c r="E790" s="484" t="n">
        <v>203150</v>
      </c>
      <c r="F790" s="484" t="inlineStr">
        <is>
          <t>MERVIN STIVEN CORTES</t>
        </is>
      </c>
      <c r="G790" s="493" t="n">
        <v>1848</v>
      </c>
      <c r="H790" s="493" t="n">
        <v>1797</v>
      </c>
      <c r="I790" s="493" t="n">
        <v>10</v>
      </c>
      <c r="J790" s="493" t="n">
        <v>38</v>
      </c>
      <c r="K790" s="493" t="n">
        <v>3</v>
      </c>
      <c r="L790" s="397" t="n">
        <v>2708</v>
      </c>
      <c r="M790" s="113" t="n"/>
      <c r="N790" s="113" t="n"/>
      <c r="O790" s="113" t="n"/>
      <c r="P790" s="398" t="n"/>
      <c r="Q790" s="398" t="n"/>
      <c r="R790" s="113" t="n"/>
      <c r="S790" s="113" t="n"/>
      <c r="T790" s="113" t="n"/>
      <c r="U790" s="113" t="n"/>
      <c r="V790" s="113" t="n"/>
    </row>
    <row r="791" ht="15.75" customHeight="1">
      <c r="A791" s="146" t="n">
        <v>15</v>
      </c>
      <c r="B791" s="238" t="n"/>
      <c r="C791" s="481" t="n">
        <v>45901</v>
      </c>
      <c r="D791" s="484" t="inlineStr">
        <is>
          <t>202 G. HUERTAS</t>
        </is>
      </c>
      <c r="E791" s="484" t="n">
        <v>69718</v>
      </c>
      <c r="F791" s="484" t="inlineStr">
        <is>
          <t>ALFONSO CAMINOS</t>
        </is>
      </c>
      <c r="G791" s="493" t="n">
        <v>2700</v>
      </c>
      <c r="H791" s="493" t="n">
        <v>2674</v>
      </c>
      <c r="I791" s="493" t="n">
        <v>22</v>
      </c>
      <c r="J791" s="493" t="n">
        <v>0</v>
      </c>
      <c r="K791" s="493" t="n">
        <v>4</v>
      </c>
      <c r="L791" s="397" t="n">
        <v>1848</v>
      </c>
      <c r="M791" s="113" t="n"/>
      <c r="N791" s="113" t="n"/>
      <c r="O791" s="113" t="n"/>
      <c r="P791" s="398" t="n"/>
      <c r="Q791" s="398" t="n"/>
      <c r="R791" s="113" t="n"/>
      <c r="S791" s="113" t="n"/>
      <c r="T791" s="113" t="n"/>
      <c r="U791" s="113" t="n"/>
      <c r="V791" s="113" t="n"/>
    </row>
    <row r="792" ht="15.75" customHeight="1">
      <c r="A792" s="146" t="n">
        <v>15</v>
      </c>
      <c r="B792" s="238" t="n"/>
      <c r="C792" s="481" t="n">
        <v>45901</v>
      </c>
      <c r="D792" s="484" t="inlineStr">
        <is>
          <t>202 G. HUERTAS</t>
        </is>
      </c>
      <c r="E792" s="484" t="n">
        <v>43002</v>
      </c>
      <c r="F792" s="484" t="inlineStr">
        <is>
          <t>YAIR RIVEROS</t>
        </is>
      </c>
      <c r="G792" s="493" t="n">
        <v>3240</v>
      </c>
      <c r="H792" s="493" t="n">
        <v>3221</v>
      </c>
      <c r="I792" s="493" t="n">
        <v>1</v>
      </c>
      <c r="J792" s="493" t="n">
        <v>18</v>
      </c>
      <c r="K792" s="493" t="n">
        <v>0</v>
      </c>
      <c r="L792" s="397" t="n">
        <v>3240</v>
      </c>
      <c r="M792" s="113" t="n"/>
      <c r="N792" s="113" t="n"/>
      <c r="O792" s="113" t="n"/>
      <c r="P792" s="398" t="n"/>
      <c r="Q792" s="398" t="n"/>
      <c r="R792" s="113" t="n"/>
      <c r="S792" s="113" t="n"/>
      <c r="T792" s="113" t="n"/>
      <c r="U792" s="113" t="n"/>
      <c r="V792" s="113" t="n"/>
    </row>
    <row r="793" ht="15.75" customHeight="1">
      <c r="A793" s="146" t="n">
        <v>15</v>
      </c>
      <c r="B793" s="238" t="n"/>
      <c r="C793" s="481" t="n">
        <v>45901</v>
      </c>
      <c r="D793" s="484" t="inlineStr">
        <is>
          <t>202 G. HUERTAS</t>
        </is>
      </c>
      <c r="E793" s="484" t="n">
        <v>203159</v>
      </c>
      <c r="F793" s="484" t="inlineStr">
        <is>
          <t>JORGE LUIS OVIEDO BARRIOS</t>
        </is>
      </c>
      <c r="G793" s="493" t="n">
        <v>2851</v>
      </c>
      <c r="H793" s="493" t="n">
        <v>2799</v>
      </c>
      <c r="I793" s="493" t="n">
        <v>14</v>
      </c>
      <c r="J793" s="493" t="n">
        <v>22</v>
      </c>
      <c r="K793" s="493" t="n">
        <v>16</v>
      </c>
      <c r="L793" s="397" t="n">
        <v>3088</v>
      </c>
      <c r="M793" s="113" t="n"/>
      <c r="N793" s="113" t="n"/>
      <c r="O793" s="113" t="n"/>
      <c r="P793" s="398" t="n"/>
      <c r="Q793" s="398" t="n"/>
      <c r="R793" s="113" t="n"/>
      <c r="S793" s="113" t="n"/>
      <c r="T793" s="113" t="n"/>
      <c r="U793" s="113" t="n"/>
      <c r="V793" s="113" t="n"/>
    </row>
    <row r="794" ht="15.75" customHeight="1">
      <c r="A794" s="146" t="n">
        <v>15</v>
      </c>
      <c r="B794" s="238" t="n"/>
      <c r="C794" s="481" t="n">
        <v>45901</v>
      </c>
      <c r="D794" s="484" t="inlineStr">
        <is>
          <t>202 G. HUERTAS</t>
        </is>
      </c>
      <c r="E794" s="484" t="n">
        <v>203162</v>
      </c>
      <c r="F794" s="484" t="inlineStr">
        <is>
          <t>LUIS GERMAN QUITIAN PEÑA</t>
        </is>
      </c>
      <c r="G794" s="493" t="n">
        <v>2834</v>
      </c>
      <c r="H794" s="493" t="n">
        <v>2775</v>
      </c>
      <c r="I794" s="493" t="n">
        <v>9</v>
      </c>
      <c r="J794" s="493" t="n">
        <v>27</v>
      </c>
      <c r="K794" s="493" t="n">
        <v>23</v>
      </c>
      <c r="L794" s="397" t="n">
        <v>3088</v>
      </c>
      <c r="M794" s="113" t="n"/>
      <c r="N794" s="113" t="n"/>
      <c r="O794" s="113" t="n"/>
      <c r="P794" s="398" t="n"/>
      <c r="Q794" s="398" t="n"/>
      <c r="R794" s="113" t="n"/>
      <c r="S794" s="113" t="n"/>
      <c r="T794" s="113" t="n"/>
      <c r="U794" s="113" t="n"/>
      <c r="V794" s="113" t="n"/>
    </row>
    <row r="795" ht="15.75" customHeight="1">
      <c r="A795" s="146" t="n">
        <v>15</v>
      </c>
      <c r="B795" s="238" t="n"/>
      <c r="C795" s="399" t="n">
        <v>45901</v>
      </c>
      <c r="D795" s="146" t="inlineStr">
        <is>
          <t>200 G. GARCERAS</t>
        </is>
      </c>
      <c r="E795" s="146" t="n">
        <v>43003</v>
      </c>
      <c r="F795" s="146" t="inlineStr">
        <is>
          <t>HENRY ROMERO</t>
        </is>
      </c>
      <c r="G795" s="395" t="n">
        <v>3088</v>
      </c>
      <c r="H795" s="395" t="n">
        <v>3058</v>
      </c>
      <c r="I795" s="395" t="n">
        <v>1</v>
      </c>
      <c r="J795" s="395" t="n">
        <v>15</v>
      </c>
      <c r="K795" s="395" t="n">
        <v>14</v>
      </c>
      <c r="L795" s="397" t="n">
        <v>3088</v>
      </c>
      <c r="M795" s="113" t="n"/>
      <c r="N795" s="113" t="n"/>
      <c r="O795" s="113" t="n"/>
      <c r="P795" s="398" t="n"/>
      <c r="Q795" s="398" t="n"/>
      <c r="R795" s="113" t="n"/>
      <c r="S795" s="113" t="n"/>
      <c r="T795" s="113" t="n"/>
      <c r="U795" s="113" t="n"/>
      <c r="V795" s="113" t="n"/>
    </row>
    <row r="796" ht="15.75" customHeight="1">
      <c r="A796" s="146" t="n">
        <v>15</v>
      </c>
      <c r="B796" s="238" t="n"/>
      <c r="C796" s="399" t="n">
        <v>45901</v>
      </c>
      <c r="D796" s="146" t="inlineStr">
        <is>
          <t>200 G. GARCERAS</t>
        </is>
      </c>
      <c r="E796" s="146" t="n">
        <v>43004</v>
      </c>
      <c r="F796" s="146" t="inlineStr">
        <is>
          <t>WILMER PIÑEROS</t>
        </is>
      </c>
      <c r="G796" s="395" t="n">
        <v>3088</v>
      </c>
      <c r="H796" s="395" t="n">
        <v>3055</v>
      </c>
      <c r="I796" s="395" t="n">
        <v>1</v>
      </c>
      <c r="J796" s="395" t="n">
        <v>20</v>
      </c>
      <c r="K796" s="395" t="n">
        <v>12</v>
      </c>
      <c r="L796" s="397" t="n">
        <v>3088</v>
      </c>
      <c r="M796" s="113" t="n"/>
      <c r="N796" s="113" t="n"/>
      <c r="O796" s="113" t="n"/>
      <c r="P796" s="398" t="n"/>
      <c r="Q796" s="398" t="n"/>
      <c r="R796" s="113" t="n"/>
      <c r="S796" s="113" t="n"/>
      <c r="T796" s="113" t="n"/>
      <c r="U796" s="113" t="n"/>
      <c r="V796" s="113" t="n"/>
    </row>
    <row r="797" ht="15.75" customHeight="1">
      <c r="A797" s="146" t="n">
        <v>15</v>
      </c>
      <c r="B797" s="238" t="n"/>
      <c r="C797" s="399" t="n">
        <v>45901</v>
      </c>
      <c r="D797" s="146" t="inlineStr">
        <is>
          <t>200 G. GARCERAS</t>
        </is>
      </c>
      <c r="E797" s="146" t="n">
        <v>43005</v>
      </c>
      <c r="F797" s="146" t="inlineStr">
        <is>
          <t>JAIRO CUBULLOS</t>
        </is>
      </c>
      <c r="G797" s="395" t="n">
        <v>3088</v>
      </c>
      <c r="H797" s="395" t="n">
        <v>3073</v>
      </c>
      <c r="I797" s="395" t="n">
        <v>1</v>
      </c>
      <c r="J797" s="395" t="n">
        <v>10</v>
      </c>
      <c r="K797" s="395" t="n">
        <v>4</v>
      </c>
      <c r="L797" s="397" t="n">
        <v>3088</v>
      </c>
      <c r="M797" s="113" t="n"/>
      <c r="N797" s="113" t="n"/>
      <c r="O797" s="113" t="n"/>
      <c r="P797" s="398" t="n"/>
      <c r="Q797" s="398" t="n"/>
      <c r="R797" s="113" t="n"/>
      <c r="S797" s="113" t="n"/>
      <c r="T797" s="113" t="n"/>
      <c r="U797" s="113" t="n"/>
      <c r="V797" s="113" t="n"/>
    </row>
    <row r="798" ht="15.75" customHeight="1">
      <c r="A798" s="146" t="n">
        <v>15</v>
      </c>
      <c r="B798" s="238" t="n"/>
      <c r="C798" s="399" t="n">
        <v>45901</v>
      </c>
      <c r="D798" s="146" t="inlineStr">
        <is>
          <t>200 G. GARCERAS</t>
        </is>
      </c>
      <c r="E798" s="146" t="n">
        <v>43006</v>
      </c>
      <c r="F798" s="146" t="inlineStr">
        <is>
          <t>ALBERTO HERRERA</t>
        </is>
      </c>
      <c r="G798" s="395" t="n">
        <v>3088</v>
      </c>
      <c r="H798" s="395" t="n">
        <v>3070</v>
      </c>
      <c r="I798" s="395" t="n">
        <v>5</v>
      </c>
      <c r="J798" s="395" t="n">
        <v>3</v>
      </c>
      <c r="K798" s="395" t="n">
        <v>10</v>
      </c>
      <c r="L798" s="397" t="n">
        <v>2950</v>
      </c>
      <c r="M798" s="113" t="n"/>
      <c r="N798" s="113" t="n"/>
      <c r="O798" s="113" t="n"/>
      <c r="P798" s="398" t="n"/>
      <c r="Q798" s="398" t="n"/>
      <c r="R798" s="113" t="n"/>
      <c r="S798" s="113" t="n"/>
      <c r="T798" s="113" t="n"/>
      <c r="U798" s="113" t="n"/>
      <c r="V798" s="113" t="n"/>
    </row>
    <row r="799" ht="15.75" customHeight="1">
      <c r="A799" s="146" t="n">
        <v>15</v>
      </c>
      <c r="B799" s="238" t="n"/>
      <c r="C799" s="399" t="n">
        <v>45901</v>
      </c>
      <c r="D799" s="146" t="inlineStr">
        <is>
          <t>200 G. GARCERAS</t>
        </is>
      </c>
      <c r="E799" s="146" t="n">
        <v>43007</v>
      </c>
      <c r="F799" s="146" t="inlineStr">
        <is>
          <t>ALBERTO LOPEZ</t>
        </is>
      </c>
      <c r="G799" s="395" t="n">
        <v>3088</v>
      </c>
      <c r="H799" s="395" t="n">
        <v>3076</v>
      </c>
      <c r="I799" s="395" t="n">
        <v>6</v>
      </c>
      <c r="J799" s="395" t="n">
        <v>4</v>
      </c>
      <c r="K799" s="395" t="n">
        <v>2</v>
      </c>
      <c r="L799" s="397" t="n">
        <v>2950</v>
      </c>
      <c r="M799" s="113" t="n"/>
      <c r="N799" s="113" t="n"/>
      <c r="O799" s="113" t="n"/>
      <c r="P799" s="398" t="n"/>
      <c r="Q799" s="398" t="n"/>
      <c r="R799" s="113" t="n"/>
      <c r="S799" s="113" t="n"/>
      <c r="T799" s="113" t="n"/>
      <c r="U799" s="113" t="n"/>
      <c r="V799" s="113" t="n"/>
    </row>
    <row r="800" ht="15.75" customHeight="1">
      <c r="A800" s="146" t="n">
        <v>15</v>
      </c>
      <c r="B800" s="238" t="n"/>
      <c r="C800" s="399" t="n">
        <v>45901</v>
      </c>
      <c r="D800" s="146" t="inlineStr">
        <is>
          <t>200 G. GARCERAS</t>
        </is>
      </c>
      <c r="E800" s="146" t="n">
        <v>43008</v>
      </c>
      <c r="F800" s="146" t="inlineStr">
        <is>
          <t>DUMAR ANGARITA</t>
        </is>
      </c>
      <c r="G800" s="395" t="n">
        <v>2950</v>
      </c>
      <c r="H800" s="395" t="n">
        <v>2952</v>
      </c>
      <c r="I800" s="395" t="n">
        <v>16</v>
      </c>
      <c r="J800" s="395" t="n">
        <v>3</v>
      </c>
      <c r="K800" s="395" t="n">
        <v>-21</v>
      </c>
      <c r="L800" s="397" t="n">
        <v>3950</v>
      </c>
      <c r="M800" s="113" t="n"/>
      <c r="N800" s="113" t="n"/>
      <c r="O800" s="113" t="n"/>
      <c r="P800" s="398" t="n"/>
      <c r="Q800" s="398" t="n"/>
      <c r="R800" s="113" t="n"/>
      <c r="S800" s="113" t="n"/>
      <c r="T800" s="113" t="n"/>
      <c r="U800" s="113" t="n"/>
      <c r="V800" s="113" t="n"/>
    </row>
    <row r="801" ht="15.75" customHeight="1">
      <c r="A801" s="146" t="n">
        <v>15</v>
      </c>
      <c r="B801" s="238" t="n"/>
      <c r="C801" s="399" t="n">
        <v>45901</v>
      </c>
      <c r="D801" s="146" t="inlineStr">
        <is>
          <t>200 G. GARCERAS</t>
        </is>
      </c>
      <c r="E801" s="146" t="n">
        <v>43009</v>
      </c>
      <c r="F801" s="146" t="inlineStr">
        <is>
          <t>DIEGO NIÑO</t>
        </is>
      </c>
      <c r="G801" s="395" t="n">
        <v>2950</v>
      </c>
      <c r="H801" s="395" t="n">
        <v>2941</v>
      </c>
      <c r="I801" s="395" t="n">
        <v>4</v>
      </c>
      <c r="J801" s="395" t="n">
        <v>17</v>
      </c>
      <c r="K801" s="395" t="n">
        <v>-12</v>
      </c>
      <c r="L801" s="397" t="n">
        <v>2950</v>
      </c>
      <c r="M801" s="113" t="n"/>
      <c r="N801" s="113" t="n"/>
      <c r="O801" s="113" t="n"/>
      <c r="P801" s="398" t="n"/>
      <c r="Q801" s="398" t="n"/>
      <c r="R801" s="113" t="n"/>
      <c r="S801" s="113" t="n"/>
      <c r="T801" s="113" t="n"/>
      <c r="U801" s="113" t="n"/>
      <c r="V801" s="113" t="n"/>
    </row>
    <row r="802" ht="15.75" customHeight="1">
      <c r="A802" s="146" t="n">
        <v>15</v>
      </c>
      <c r="B802" s="238" t="n"/>
      <c r="C802" s="399" t="n">
        <v>45901</v>
      </c>
      <c r="D802" s="146" t="inlineStr">
        <is>
          <t>200 G. GARCERAS</t>
        </is>
      </c>
      <c r="E802" s="146" t="n">
        <v>43010</v>
      </c>
      <c r="F802" s="146" t="inlineStr">
        <is>
          <t xml:space="preserve">ALEX GOMEZ </t>
        </is>
      </c>
      <c r="G802" s="395" t="n">
        <v>2950</v>
      </c>
      <c r="H802" s="395" t="n">
        <v>2936</v>
      </c>
      <c r="I802" s="395" t="n">
        <v>5</v>
      </c>
      <c r="J802" s="395" t="n">
        <v>19</v>
      </c>
      <c r="K802" s="395" t="n">
        <v>-10</v>
      </c>
      <c r="L802" s="397" t="n">
        <v>2842</v>
      </c>
      <c r="M802" s="113" t="n"/>
      <c r="N802" s="113" t="n"/>
      <c r="O802" s="113" t="n"/>
      <c r="P802" s="398" t="n"/>
      <c r="Q802" s="398" t="n"/>
      <c r="R802" s="113" t="n"/>
      <c r="S802" s="113" t="n"/>
      <c r="T802" s="113" t="n"/>
      <c r="U802" s="113" t="n"/>
      <c r="V802" s="113" t="n"/>
    </row>
    <row r="803" ht="15.75" customHeight="1">
      <c r="A803" s="146" t="n">
        <v>15</v>
      </c>
      <c r="B803" s="238" t="n"/>
      <c r="C803" s="399" t="n">
        <v>45901</v>
      </c>
      <c r="D803" s="146" t="inlineStr">
        <is>
          <t>200 G. GARCERAS</t>
        </is>
      </c>
      <c r="E803" s="146" t="n">
        <v>43011</v>
      </c>
      <c r="F803" s="146" t="inlineStr">
        <is>
          <t>JOSE SOLER</t>
        </is>
      </c>
      <c r="G803" s="395" t="n">
        <v>2950</v>
      </c>
      <c r="H803" s="395" t="n">
        <v>2944</v>
      </c>
      <c r="I803" s="395" t="n">
        <v>5</v>
      </c>
      <c r="J803" s="395" t="n">
        <v>15</v>
      </c>
      <c r="K803" s="395" t="n">
        <v>-14</v>
      </c>
      <c r="L803" s="397" t="n">
        <v>3178</v>
      </c>
      <c r="M803" s="113" t="n"/>
      <c r="N803" s="113" t="n"/>
      <c r="O803" s="113" t="n"/>
      <c r="P803" s="398" t="n"/>
      <c r="Q803" s="398" t="n"/>
      <c r="R803" s="113" t="n"/>
      <c r="S803" s="113" t="n"/>
      <c r="T803" s="113" t="n"/>
      <c r="U803" s="113" t="n"/>
      <c r="V803" s="113" t="n"/>
    </row>
    <row r="804" ht="15.75" customHeight="1">
      <c r="A804" s="146" t="n">
        <v>15</v>
      </c>
      <c r="B804" s="238" t="n"/>
      <c r="C804" s="399" t="n">
        <v>45901</v>
      </c>
      <c r="D804" s="146" t="inlineStr">
        <is>
          <t>200 G. GARCERAS</t>
        </is>
      </c>
      <c r="E804" s="146" t="n">
        <v>43012</v>
      </c>
      <c r="F804" s="146" t="inlineStr">
        <is>
          <t>FABIO ALDANA</t>
        </is>
      </c>
      <c r="G804" s="395" t="n">
        <v>2846</v>
      </c>
      <c r="H804" s="395" t="n">
        <v>2841</v>
      </c>
      <c r="I804" s="395" t="n">
        <v>5</v>
      </c>
      <c r="J804" s="395" t="n">
        <v>13</v>
      </c>
      <c r="K804" s="395" t="n">
        <v>-13</v>
      </c>
      <c r="L804" s="397" t="n">
        <v>3178</v>
      </c>
      <c r="M804" s="113" t="n"/>
      <c r="N804" s="113" t="n"/>
      <c r="O804" s="113" t="n"/>
      <c r="P804" s="398" t="n"/>
      <c r="Q804" s="398" t="n"/>
      <c r="R804" s="113" t="n"/>
      <c r="S804" s="113" t="n"/>
      <c r="T804" s="113" t="n"/>
      <c r="U804" s="113" t="n"/>
      <c r="V804" s="113" t="n"/>
    </row>
    <row r="805" ht="15.75" customHeight="1">
      <c r="A805" s="146" t="n">
        <v>15</v>
      </c>
      <c r="B805" s="238" t="n"/>
      <c r="C805" s="399" t="n">
        <v>45901</v>
      </c>
      <c r="D805" s="146" t="inlineStr">
        <is>
          <t>200 G. GARCERAS</t>
        </is>
      </c>
      <c r="E805" s="146" t="n">
        <v>43013</v>
      </c>
      <c r="F805" s="146" t="inlineStr">
        <is>
          <t>JHON ARIAS</t>
        </is>
      </c>
      <c r="G805" s="395" t="n">
        <v>3178</v>
      </c>
      <c r="H805" s="395" t="n">
        <v>3167</v>
      </c>
      <c r="I805" s="395" t="n">
        <v>5</v>
      </c>
      <c r="J805" s="395" t="n">
        <v>6</v>
      </c>
      <c r="K805" s="395" t="n">
        <v>0</v>
      </c>
      <c r="L805" s="397" t="n">
        <v>2851</v>
      </c>
      <c r="M805" s="113" t="n"/>
      <c r="N805" s="113" t="n"/>
      <c r="O805" s="113" t="n"/>
      <c r="P805" s="398" t="n"/>
      <c r="Q805" s="398" t="n"/>
      <c r="R805" s="113" t="n"/>
      <c r="S805" s="113" t="n"/>
      <c r="T805" s="113" t="n"/>
      <c r="U805" s="113" t="n"/>
      <c r="V805" s="113" t="n"/>
    </row>
    <row r="806" ht="15.75" customHeight="1">
      <c r="A806" s="146" t="n">
        <v>15</v>
      </c>
      <c r="B806" s="238" t="n"/>
      <c r="C806" s="399" t="n">
        <v>45901</v>
      </c>
      <c r="D806" s="146" t="inlineStr">
        <is>
          <t>200 G. GARCERAS</t>
        </is>
      </c>
      <c r="E806" s="146" t="n">
        <v>43014</v>
      </c>
      <c r="F806" s="146" t="inlineStr">
        <is>
          <t>EDWIN ROJAS</t>
        </is>
      </c>
      <c r="G806" s="395" t="n">
        <v>3178</v>
      </c>
      <c r="H806" s="395" t="n">
        <v>3164</v>
      </c>
      <c r="I806" s="395" t="n">
        <v>2</v>
      </c>
      <c r="J806" s="395" t="n">
        <v>10</v>
      </c>
      <c r="K806" s="395" t="n">
        <v>2</v>
      </c>
      <c r="L806" s="397" t="n">
        <v>2830</v>
      </c>
      <c r="M806" s="113" t="n"/>
      <c r="N806" s="113" t="n"/>
      <c r="O806" s="113" t="n"/>
      <c r="P806" s="398" t="n"/>
      <c r="Q806" s="398" t="n"/>
      <c r="R806" s="113" t="n"/>
      <c r="S806" s="113" t="n"/>
      <c r="T806" s="113" t="n"/>
      <c r="U806" s="113" t="n"/>
      <c r="V806" s="113" t="n"/>
    </row>
    <row r="807" ht="15.75" customHeight="1">
      <c r="A807" s="146" t="n">
        <v>15</v>
      </c>
      <c r="B807" s="238" t="n"/>
      <c r="C807" s="481" t="n">
        <v>45902</v>
      </c>
      <c r="D807" s="484" t="inlineStr">
        <is>
          <t>202 G. HUERTAS</t>
        </is>
      </c>
      <c r="E807" s="484" t="n">
        <v>203164</v>
      </c>
      <c r="F807" s="484" t="inlineStr">
        <is>
          <t>ROBERTO MONROY</t>
        </is>
      </c>
      <c r="G807" s="493" t="n">
        <v>2100</v>
      </c>
      <c r="H807" s="493" t="n">
        <v>2095</v>
      </c>
      <c r="I807" s="493" t="n">
        <v>2</v>
      </c>
      <c r="J807" s="493" t="n">
        <v>9</v>
      </c>
      <c r="K807" s="493" t="n">
        <v>-6</v>
      </c>
      <c r="L807" s="397" t="n">
        <v>2100</v>
      </c>
      <c r="M807" s="113" t="n"/>
      <c r="N807" s="113" t="n"/>
      <c r="O807" s="113" t="n"/>
      <c r="P807" s="398" t="n"/>
      <c r="Q807" s="398" t="n"/>
      <c r="R807" s="113" t="n"/>
      <c r="S807" s="113" t="n"/>
      <c r="T807" s="113" t="n"/>
      <c r="U807" s="113" t="n"/>
      <c r="V807" s="113" t="n"/>
    </row>
    <row r="808" ht="15.75" customHeight="1">
      <c r="A808" s="146" t="n">
        <v>15</v>
      </c>
      <c r="B808" s="238" t="n"/>
      <c r="C808" s="481" t="n">
        <v>45902</v>
      </c>
      <c r="D808" s="484" t="inlineStr">
        <is>
          <t>202 G. HUERTAS</t>
        </is>
      </c>
      <c r="E808" s="484" t="n">
        <v>203165</v>
      </c>
      <c r="F808" s="484" t="inlineStr">
        <is>
          <t>PEDRO IGNACIO BARRETO CUESTA</t>
        </is>
      </c>
      <c r="G808" s="493" t="n">
        <v>3030</v>
      </c>
      <c r="H808" s="493" t="n">
        <v>3008</v>
      </c>
      <c r="I808" s="493" t="n">
        <v>12</v>
      </c>
      <c r="J808" s="493" t="n">
        <v>21</v>
      </c>
      <c r="K808" s="493" t="n">
        <v>-11</v>
      </c>
      <c r="L808" s="397" t="n">
        <v>3300</v>
      </c>
      <c r="M808" s="113" t="n"/>
      <c r="N808" s="113" t="n"/>
      <c r="O808" s="113" t="n"/>
      <c r="P808" s="398" t="n"/>
      <c r="Q808" s="398" t="n"/>
      <c r="R808" s="113" t="n"/>
      <c r="S808" s="113" t="n"/>
      <c r="T808" s="113" t="n"/>
      <c r="U808" s="113" t="n"/>
      <c r="V808" s="113" t="n"/>
    </row>
    <row r="809" ht="15.75" customHeight="1">
      <c r="A809" s="146" t="n">
        <v>15</v>
      </c>
      <c r="B809" s="238" t="n"/>
      <c r="C809" s="481" t="n">
        <v>45902</v>
      </c>
      <c r="D809" s="484" t="inlineStr">
        <is>
          <t>202 G. HUERTAS</t>
        </is>
      </c>
      <c r="E809" s="484" t="n">
        <v>203167</v>
      </c>
      <c r="F809" s="484" t="inlineStr">
        <is>
          <t>MERVIN STIVEN CORTES</t>
        </is>
      </c>
      <c r="G809" s="493" t="n">
        <v>2700</v>
      </c>
      <c r="H809" s="493" t="n">
        <v>2620</v>
      </c>
      <c r="I809" s="493" t="n">
        <v>24</v>
      </c>
      <c r="J809" s="493" t="n">
        <v>42</v>
      </c>
      <c r="K809" s="493" t="n">
        <v>14</v>
      </c>
      <c r="L809" s="397" t="n">
        <v>2700</v>
      </c>
      <c r="M809" s="113" t="n"/>
      <c r="N809" s="113" t="n"/>
      <c r="O809" s="113" t="n"/>
      <c r="P809" s="398" t="n"/>
      <c r="Q809" s="398" t="n"/>
      <c r="R809" s="113" t="n"/>
      <c r="S809" s="113" t="n"/>
      <c r="T809" s="113" t="n"/>
      <c r="U809" s="113" t="n"/>
      <c r="V809" s="113" t="n"/>
    </row>
    <row r="810" ht="15.75" customHeight="1">
      <c r="A810" s="146" t="n">
        <v>15</v>
      </c>
      <c r="B810" s="238" t="n"/>
      <c r="C810" s="481" t="n">
        <v>45902</v>
      </c>
      <c r="D810" s="484" t="inlineStr">
        <is>
          <t>202 G. HUERTAS</t>
        </is>
      </c>
      <c r="E810" s="484" t="n">
        <v>203168</v>
      </c>
      <c r="F810" s="484" t="inlineStr">
        <is>
          <t>MARCOS LOPEZ CASTAÑEDA</t>
        </is>
      </c>
      <c r="G810" s="493" t="n">
        <v>2708</v>
      </c>
      <c r="H810" s="493" t="n">
        <v>2630</v>
      </c>
      <c r="I810" s="493" t="n">
        <v>10</v>
      </c>
      <c r="J810" s="493" t="n">
        <v>73</v>
      </c>
      <c r="K810" s="493" t="n">
        <v>-5</v>
      </c>
      <c r="L810" s="397" t="n">
        <v>2700</v>
      </c>
      <c r="M810" s="113" t="n"/>
      <c r="N810" s="113" t="n"/>
      <c r="O810" s="113" t="n"/>
      <c r="P810" s="398" t="n"/>
      <c r="Q810" s="398" t="n"/>
      <c r="R810" s="113" t="n"/>
      <c r="S810" s="113" t="n"/>
      <c r="T810" s="113" t="n"/>
      <c r="U810" s="113" t="n"/>
      <c r="V810" s="113" t="n"/>
    </row>
    <row r="811" ht="15.75" customHeight="1">
      <c r="A811" s="146" t="n">
        <v>15</v>
      </c>
      <c r="B811" s="238" t="n"/>
      <c r="C811" s="481" t="n">
        <v>45902</v>
      </c>
      <c r="D811" s="484" t="inlineStr">
        <is>
          <t>202 G. HUERTAS</t>
        </is>
      </c>
      <c r="E811" s="484" t="n">
        <v>203169</v>
      </c>
      <c r="F811" s="484" t="inlineStr">
        <is>
          <t>CARLOS PORRAS</t>
        </is>
      </c>
      <c r="G811" s="493" t="n">
        <v>2700</v>
      </c>
      <c r="H811" s="493" t="n">
        <v>2601</v>
      </c>
      <c r="I811" s="493" t="n">
        <v>9</v>
      </c>
      <c r="J811" s="493" t="n">
        <v>70</v>
      </c>
      <c r="K811" s="493" t="n">
        <v>20</v>
      </c>
      <c r="L811" s="397" t="n">
        <v>2700</v>
      </c>
      <c r="M811" s="113" t="n"/>
      <c r="N811" s="113" t="n"/>
      <c r="O811" s="113" t="n"/>
      <c r="P811" s="398" t="n"/>
      <c r="Q811" s="398" t="n"/>
      <c r="R811" s="113" t="n"/>
      <c r="S811" s="113" t="n"/>
      <c r="T811" s="113" t="n"/>
      <c r="U811" s="113" t="n"/>
      <c r="V811" s="113" t="n"/>
    </row>
    <row r="812" ht="15.75" customHeight="1">
      <c r="A812" s="146" t="n">
        <v>15</v>
      </c>
      <c r="B812" s="238" t="n"/>
      <c r="C812" s="481" t="n">
        <v>45902</v>
      </c>
      <c r="D812" s="484" t="inlineStr">
        <is>
          <t>202 G. HUERTAS</t>
        </is>
      </c>
      <c r="E812" s="484" t="n">
        <v>43020</v>
      </c>
      <c r="F812" s="484" t="inlineStr">
        <is>
          <t>JOSE SOLER</t>
        </is>
      </c>
      <c r="G812" s="493" t="n">
        <v>3240</v>
      </c>
      <c r="H812" s="493" t="n">
        <v>3181</v>
      </c>
      <c r="I812" s="493" t="n">
        <v>6</v>
      </c>
      <c r="J812" s="493" t="n">
        <v>46</v>
      </c>
      <c r="K812" s="493" t="n">
        <v>7</v>
      </c>
      <c r="L812" s="397" t="n">
        <v>3240</v>
      </c>
      <c r="M812" s="113" t="n"/>
      <c r="N812" s="113" t="n"/>
      <c r="O812" s="113" t="n"/>
      <c r="P812" s="398" t="n"/>
      <c r="Q812" s="398" t="n"/>
      <c r="R812" s="113" t="n"/>
      <c r="S812" s="113" t="n"/>
      <c r="T812" s="113" t="n"/>
      <c r="U812" s="113" t="n"/>
      <c r="V812" s="113" t="n"/>
    </row>
    <row r="813" ht="15.75" customHeight="1">
      <c r="A813" s="146" t="n">
        <v>15</v>
      </c>
      <c r="B813" s="238" t="n"/>
      <c r="C813" s="481" t="n">
        <v>45902</v>
      </c>
      <c r="D813" s="484" t="inlineStr">
        <is>
          <t>202 G. HUERTAS</t>
        </is>
      </c>
      <c r="E813" s="484" t="n">
        <v>43021</v>
      </c>
      <c r="F813" s="484" t="inlineStr">
        <is>
          <t>DIEGO NIÑO</t>
        </is>
      </c>
      <c r="G813" s="493" t="n">
        <v>3240</v>
      </c>
      <c r="H813" s="493" t="n">
        <v>3199</v>
      </c>
      <c r="I813" s="493" t="n">
        <v>2</v>
      </c>
      <c r="J813" s="493" t="n">
        <v>31</v>
      </c>
      <c r="K813" s="493" t="n">
        <v>8</v>
      </c>
      <c r="L813" s="397" t="n">
        <v>3003</v>
      </c>
      <c r="M813" s="113" t="n"/>
      <c r="N813" s="113" t="n"/>
      <c r="O813" s="113" t="n"/>
      <c r="P813" s="398" t="n"/>
      <c r="Q813" s="398" t="n"/>
      <c r="R813" s="113" t="n"/>
      <c r="S813" s="113" t="n"/>
      <c r="T813" s="113" t="n"/>
      <c r="U813" s="113" t="n"/>
      <c r="V813" s="113" t="n"/>
    </row>
    <row r="814" ht="15.75" customHeight="1">
      <c r="A814" s="146" t="n">
        <v>15</v>
      </c>
      <c r="B814" s="238" t="n"/>
      <c r="C814" s="481" t="n">
        <v>45902</v>
      </c>
      <c r="D814" s="484" t="inlineStr">
        <is>
          <t>202 G. HUERTAS</t>
        </is>
      </c>
      <c r="E814" s="484" t="n">
        <v>43022</v>
      </c>
      <c r="F814" s="484" t="inlineStr">
        <is>
          <t>EDWIN ROJAS</t>
        </is>
      </c>
      <c r="G814" s="493" t="n">
        <v>2672</v>
      </c>
      <c r="H814" s="493" t="n">
        <v>2575</v>
      </c>
      <c r="I814" s="493" t="n">
        <v>2</v>
      </c>
      <c r="J814" s="493" t="n">
        <v>95</v>
      </c>
      <c r="K814" s="493" t="n">
        <v>0</v>
      </c>
      <c r="L814" s="397" t="n">
        <v>3003</v>
      </c>
      <c r="M814" s="113" t="n"/>
      <c r="N814" s="113" t="n"/>
      <c r="O814" s="113" t="n"/>
      <c r="P814" s="398" t="n"/>
      <c r="Q814" s="398" t="n"/>
      <c r="R814" s="113" t="n"/>
      <c r="S814" s="113" t="n"/>
      <c r="T814" s="113" t="n"/>
      <c r="U814" s="113" t="n"/>
      <c r="V814" s="113" t="n"/>
    </row>
    <row r="815" ht="15.75" customHeight="1">
      <c r="A815" s="146" t="n">
        <v>15</v>
      </c>
      <c r="B815" s="238" t="n"/>
      <c r="C815" s="481" t="n">
        <v>45902</v>
      </c>
      <c r="D815" s="484" t="inlineStr">
        <is>
          <t>202 G. HUERTAS</t>
        </is>
      </c>
      <c r="E815" s="484" t="n">
        <v>43023</v>
      </c>
      <c r="F815" s="484" t="inlineStr">
        <is>
          <t>FABIO ALDANA</t>
        </is>
      </c>
      <c r="G815" s="493" t="n">
        <v>2672</v>
      </c>
      <c r="H815" s="493" t="n">
        <v>2627</v>
      </c>
      <c r="I815" s="493" t="n">
        <v>2</v>
      </c>
      <c r="J815" s="493" t="n">
        <v>43</v>
      </c>
      <c r="K815" s="493" t="n">
        <v>0</v>
      </c>
      <c r="L815" s="397" t="n">
        <v>3240</v>
      </c>
      <c r="M815" s="113" t="n"/>
      <c r="N815" s="113" t="n"/>
      <c r="O815" s="113" t="n"/>
      <c r="P815" s="398" t="n"/>
      <c r="Q815" s="398" t="n"/>
      <c r="R815" s="113" t="n"/>
      <c r="S815" s="113" t="n"/>
      <c r="T815" s="113" t="n"/>
      <c r="U815" s="113" t="n"/>
      <c r="V815" s="113" t="n"/>
    </row>
    <row r="816" ht="15.75" customHeight="1">
      <c r="A816" s="146" t="n">
        <v>15</v>
      </c>
      <c r="B816" s="238" t="n"/>
      <c r="C816" s="481" t="n">
        <v>45902</v>
      </c>
      <c r="D816" s="484" t="inlineStr">
        <is>
          <t>202 G. HUERTAS</t>
        </is>
      </c>
      <c r="E816" s="484" t="n">
        <v>43024</v>
      </c>
      <c r="F816" s="484" t="inlineStr">
        <is>
          <t>DUMAR ANGARITA</t>
        </is>
      </c>
      <c r="G816" s="493" t="n">
        <v>2672</v>
      </c>
      <c r="H816" s="493" t="n">
        <v>2660</v>
      </c>
      <c r="I816" s="493" t="n">
        <v>2</v>
      </c>
      <c r="J816" s="493" t="n">
        <v>10</v>
      </c>
      <c r="K816" s="493" t="n">
        <v>0</v>
      </c>
      <c r="L816" s="397" t="n">
        <v>3003</v>
      </c>
      <c r="M816" s="113" t="n"/>
      <c r="N816" s="113" t="n"/>
      <c r="O816" s="113" t="n"/>
      <c r="P816" s="398" t="n"/>
      <c r="Q816" s="398" t="n"/>
      <c r="R816" s="113" t="n"/>
      <c r="S816" s="113" t="n"/>
      <c r="T816" s="113" t="n"/>
      <c r="U816" s="113" t="n"/>
      <c r="V816" s="113" t="n"/>
    </row>
    <row r="817" ht="15.75" customHeight="1">
      <c r="A817" s="146" t="n">
        <v>15</v>
      </c>
      <c r="B817" s="238" t="n"/>
      <c r="C817" s="481" t="n">
        <v>45902</v>
      </c>
      <c r="D817" s="484" t="inlineStr">
        <is>
          <t>202 G. HUERTAS</t>
        </is>
      </c>
      <c r="E817" s="484" t="n">
        <v>43027</v>
      </c>
      <c r="F817" s="484" t="inlineStr">
        <is>
          <t>JAIRO CUBULLOS</t>
        </is>
      </c>
      <c r="G817" s="493" t="n">
        <v>2248</v>
      </c>
      <c r="H817" s="493" t="n">
        <v>2237</v>
      </c>
      <c r="I817" s="493" t="n">
        <v>2</v>
      </c>
      <c r="J817" s="493" t="n">
        <v>11</v>
      </c>
      <c r="K817" s="493" t="n">
        <v>-2</v>
      </c>
      <c r="L817" s="397" t="n">
        <v>2662</v>
      </c>
      <c r="M817" s="113" t="n"/>
      <c r="N817" s="113" t="n"/>
      <c r="O817" s="113" t="n"/>
      <c r="P817" s="398" t="n"/>
      <c r="Q817" s="398" t="n"/>
      <c r="R817" s="113" t="n"/>
      <c r="S817" s="113" t="n"/>
      <c r="T817" s="113" t="n"/>
      <c r="U817" s="113" t="n"/>
      <c r="V817" s="113" t="n"/>
    </row>
    <row r="818" ht="15.75" customHeight="1">
      <c r="A818" s="146" t="n">
        <v>15</v>
      </c>
      <c r="B818" s="238" t="n"/>
      <c r="C818" s="399" t="n">
        <v>45902</v>
      </c>
      <c r="D818" s="146" t="inlineStr">
        <is>
          <t>200 G. GARCERAS</t>
        </is>
      </c>
      <c r="E818" s="146" t="n">
        <v>43025</v>
      </c>
      <c r="F818" s="146" t="inlineStr">
        <is>
          <t xml:space="preserve">ALEX GOMEZ </t>
        </is>
      </c>
      <c r="G818" s="395" t="n">
        <v>3003</v>
      </c>
      <c r="H818" s="395" t="n">
        <v>2998</v>
      </c>
      <c r="I818" s="395" t="n">
        <v>1</v>
      </c>
      <c r="J818" s="395" t="n">
        <v>8</v>
      </c>
      <c r="K818" s="395" t="n">
        <v>-4</v>
      </c>
      <c r="L818" s="397" t="n">
        <v>3003</v>
      </c>
      <c r="M818" s="113" t="n"/>
      <c r="N818" s="113" t="n"/>
      <c r="O818" s="113" t="n"/>
      <c r="P818" s="398" t="n"/>
      <c r="Q818" s="398" t="n"/>
      <c r="R818" s="113" t="n"/>
      <c r="S818" s="113" t="n"/>
      <c r="T818" s="113" t="n"/>
      <c r="U818" s="113" t="n"/>
      <c r="V818" s="113" t="n"/>
    </row>
    <row r="819" ht="15.75" customHeight="1">
      <c r="A819" s="146" t="n">
        <v>15</v>
      </c>
      <c r="B819" s="238" t="n"/>
      <c r="C819" s="399" t="n">
        <v>45902</v>
      </c>
      <c r="D819" s="146" t="inlineStr">
        <is>
          <t>200 G. GARCERAS</t>
        </is>
      </c>
      <c r="E819" s="146" t="n">
        <v>43026</v>
      </c>
      <c r="F819" s="146" t="inlineStr">
        <is>
          <t>MANUEL QUITIAN</t>
        </is>
      </c>
      <c r="G819" s="395" t="n">
        <v>3003</v>
      </c>
      <c r="H819" s="395" t="n">
        <v>3002</v>
      </c>
      <c r="I819" s="395" t="n">
        <v>2</v>
      </c>
      <c r="J819" s="395" t="n">
        <v>4</v>
      </c>
      <c r="K819" s="395" t="n">
        <v>-5</v>
      </c>
      <c r="L819" s="397" t="n">
        <v>2672</v>
      </c>
      <c r="M819" s="113" t="n"/>
      <c r="N819" s="113" t="n"/>
      <c r="O819" s="113" t="n"/>
      <c r="P819" s="398" t="n"/>
      <c r="Q819" s="398" t="n"/>
      <c r="R819" s="113" t="n"/>
      <c r="S819" s="113" t="n"/>
      <c r="T819" s="113" t="n"/>
      <c r="U819" s="113" t="n"/>
      <c r="V819" s="113" t="n"/>
    </row>
    <row r="820" ht="15.75" customHeight="1">
      <c r="A820" s="146" t="n">
        <v>15</v>
      </c>
      <c r="B820" s="238" t="n"/>
      <c r="C820" s="399" t="n">
        <v>45902</v>
      </c>
      <c r="D820" s="146" t="inlineStr">
        <is>
          <t>200 G. GARCERAS</t>
        </is>
      </c>
      <c r="E820" s="146" t="n">
        <v>43028</v>
      </c>
      <c r="F820" s="146" t="inlineStr">
        <is>
          <t>ALBERTO HERRERA</t>
        </is>
      </c>
      <c r="G820" s="395" t="n">
        <v>3003</v>
      </c>
      <c r="H820" s="395" t="n">
        <v>2987</v>
      </c>
      <c r="I820" s="395" t="n">
        <v>0</v>
      </c>
      <c r="J820" s="395" t="n">
        <v>14</v>
      </c>
      <c r="K820" s="395" t="n">
        <v>2</v>
      </c>
      <c r="L820" s="397" t="n">
        <v>3003</v>
      </c>
      <c r="M820" s="113" t="n"/>
      <c r="N820" s="113" t="n"/>
      <c r="O820" s="113" t="n"/>
      <c r="P820" s="398" t="n"/>
      <c r="Q820" s="398" t="n"/>
      <c r="R820" s="113" t="n"/>
      <c r="S820" s="113" t="n"/>
      <c r="T820" s="113" t="n"/>
      <c r="U820" s="113" t="n"/>
      <c r="V820" s="113" t="n"/>
    </row>
    <row r="821" ht="15.75" customHeight="1">
      <c r="A821" s="146" t="n">
        <v>15</v>
      </c>
      <c r="B821" s="238" t="n"/>
      <c r="C821" s="399" t="n">
        <v>45902</v>
      </c>
      <c r="D821" s="146" t="inlineStr">
        <is>
          <t>200 G. GARCERAS</t>
        </is>
      </c>
      <c r="E821" s="146" t="n">
        <v>43029</v>
      </c>
      <c r="F821" s="146" t="inlineStr">
        <is>
          <t>WILMER PIÑEROS</t>
        </is>
      </c>
      <c r="G821" s="395" t="n">
        <v>3003</v>
      </c>
      <c r="H821" s="395" t="n">
        <v>2997</v>
      </c>
      <c r="I821" s="395" t="n">
        <v>1</v>
      </c>
      <c r="J821" s="395" t="n">
        <v>4</v>
      </c>
      <c r="K821" s="395" t="n">
        <v>1</v>
      </c>
      <c r="L821" s="397" t="n">
        <v>2700</v>
      </c>
      <c r="M821" s="113" t="n"/>
      <c r="N821" s="113" t="n"/>
      <c r="O821" s="113" t="n"/>
      <c r="P821" s="398" t="n"/>
      <c r="Q821" s="398" t="n"/>
      <c r="R821" s="113" t="n"/>
      <c r="S821" s="113" t="n"/>
      <c r="T821" s="113" t="n"/>
      <c r="U821" s="113" t="n"/>
      <c r="V821" s="113" t="n"/>
    </row>
    <row r="822" ht="15.75" customHeight="1">
      <c r="A822" s="146" t="n">
        <v>15</v>
      </c>
      <c r="B822" s="238" t="n"/>
      <c r="C822" s="399" t="n">
        <v>45902</v>
      </c>
      <c r="D822" s="146" t="inlineStr">
        <is>
          <t>200 G. GARCERAS</t>
        </is>
      </c>
      <c r="E822" s="146" t="n">
        <v>43030</v>
      </c>
      <c r="F822" s="146" t="inlineStr">
        <is>
          <t>ALBERTO LOPEZ</t>
        </is>
      </c>
      <c r="G822" s="395" t="n">
        <v>3003</v>
      </c>
      <c r="H822" s="395" t="n">
        <v>2992</v>
      </c>
      <c r="I822" s="395" t="n">
        <v>0</v>
      </c>
      <c r="J822" s="395" t="n">
        <v>10</v>
      </c>
      <c r="K822" s="395" t="n">
        <v>1</v>
      </c>
      <c r="L822" s="397" t="n">
        <v>2807</v>
      </c>
      <c r="M822" s="113" t="n"/>
      <c r="N822" s="113" t="n"/>
      <c r="O822" s="113" t="n"/>
      <c r="P822" s="398" t="n"/>
      <c r="Q822" s="398" t="n"/>
      <c r="R822" s="113" t="n"/>
      <c r="S822" s="113" t="n"/>
      <c r="T822" s="113" t="n"/>
      <c r="U822" s="113" t="n"/>
      <c r="V822" s="113" t="n"/>
    </row>
    <row r="823" ht="15.75" customHeight="1">
      <c r="A823" s="146" t="n">
        <v>15</v>
      </c>
      <c r="B823" s="238" t="n"/>
      <c r="C823" s="399" t="n">
        <v>45902</v>
      </c>
      <c r="D823" s="146" t="inlineStr">
        <is>
          <t>200 G. GARCERAS</t>
        </is>
      </c>
      <c r="E823" s="146" t="n">
        <v>43031</v>
      </c>
      <c r="F823" s="146" t="inlineStr">
        <is>
          <t>JHON ARIAS</t>
        </is>
      </c>
      <c r="G823" s="395" t="n">
        <v>2807</v>
      </c>
      <c r="H823" s="395" t="n">
        <v>2808</v>
      </c>
      <c r="I823" s="395" t="n">
        <v>0</v>
      </c>
      <c r="J823" s="395" t="n">
        <v>1</v>
      </c>
      <c r="K823" s="395" t="n">
        <v>-2</v>
      </c>
      <c r="L823" s="397" t="n">
        <v>2248</v>
      </c>
      <c r="M823" s="113" t="n"/>
      <c r="N823" s="113" t="n"/>
      <c r="O823" s="113" t="n"/>
      <c r="P823" s="398" t="n"/>
      <c r="Q823" s="398" t="n"/>
      <c r="R823" s="113" t="n"/>
      <c r="S823" s="113" t="n"/>
      <c r="T823" s="113" t="n"/>
      <c r="U823" s="113" t="n"/>
      <c r="V823" s="113" t="n"/>
    </row>
    <row r="824" ht="15.75" customHeight="1">
      <c r="A824" s="146" t="n">
        <v>15</v>
      </c>
      <c r="B824" s="238" t="n"/>
      <c r="C824" s="399" t="n">
        <v>45902</v>
      </c>
      <c r="D824" s="146" t="inlineStr">
        <is>
          <t>200 G. GARCERAS</t>
        </is>
      </c>
      <c r="E824" s="146" t="n">
        <v>43032</v>
      </c>
      <c r="F824" s="146" t="inlineStr">
        <is>
          <t>EDUAN CAVIEDES</t>
        </is>
      </c>
      <c r="G824" s="395" t="n">
        <v>2807</v>
      </c>
      <c r="H824" s="395" t="n">
        <v>2810</v>
      </c>
      <c r="I824" s="395" t="n">
        <v>0</v>
      </c>
      <c r="J824" s="395" t="n">
        <v>0</v>
      </c>
      <c r="K824" s="395" t="n">
        <v>-3</v>
      </c>
      <c r="L824" s="397" t="n">
        <v>2807</v>
      </c>
      <c r="M824" s="113" t="n"/>
      <c r="N824" s="113" t="n"/>
      <c r="O824" s="113" t="n"/>
      <c r="P824" s="398" t="n"/>
      <c r="Q824" s="398" t="n"/>
      <c r="R824" s="113" t="n"/>
      <c r="S824" s="113" t="n"/>
      <c r="T824" s="113" t="n"/>
      <c r="U824" s="113" t="n"/>
      <c r="V824" s="113" t="n"/>
    </row>
    <row r="825" ht="15.75" customHeight="1">
      <c r="A825" s="146" t="n">
        <v>15</v>
      </c>
      <c r="B825" s="238" t="n"/>
      <c r="C825" s="399" t="n">
        <v>45902</v>
      </c>
      <c r="D825" s="146" t="inlineStr">
        <is>
          <t>200 G. GARCERAS</t>
        </is>
      </c>
      <c r="E825" s="146" t="n">
        <v>43033</v>
      </c>
      <c r="F825" s="146" t="inlineStr">
        <is>
          <t>HENRY ROMERO</t>
        </is>
      </c>
      <c r="G825" s="395" t="n">
        <v>3116</v>
      </c>
      <c r="H825" s="395" t="n">
        <v>3114</v>
      </c>
      <c r="I825" s="395" t="n">
        <v>0</v>
      </c>
      <c r="J825" s="395" t="n">
        <v>5</v>
      </c>
      <c r="K825" s="395" t="n">
        <v>-3</v>
      </c>
      <c r="L825" s="397" t="n">
        <v>3116</v>
      </c>
      <c r="M825" s="113" t="n"/>
      <c r="N825" s="113" t="n"/>
      <c r="O825" s="113" t="n"/>
      <c r="P825" s="398" t="n"/>
      <c r="Q825" s="398" t="n"/>
      <c r="R825" s="113" t="n"/>
      <c r="S825" s="113" t="n"/>
      <c r="T825" s="113" t="n"/>
      <c r="U825" s="113" t="n"/>
      <c r="V825" s="113" t="n"/>
    </row>
    <row r="826" ht="15.75" customHeight="1">
      <c r="A826" s="146" t="n">
        <v>15</v>
      </c>
      <c r="B826" s="238" t="n"/>
      <c r="C826" s="481" t="n">
        <v>45903</v>
      </c>
      <c r="D826" s="484" t="inlineStr">
        <is>
          <t>202 G. HUERTAS</t>
        </is>
      </c>
      <c r="E826" s="484" t="n">
        <v>203179</v>
      </c>
      <c r="F826" s="484" t="inlineStr">
        <is>
          <t>JORGE HERNANDEZ</t>
        </is>
      </c>
      <c r="G826" s="493" t="n">
        <v>2700</v>
      </c>
      <c r="H826" s="493" t="n">
        <v>2662</v>
      </c>
      <c r="I826" s="493" t="n">
        <v>3</v>
      </c>
      <c r="J826" s="493" t="n">
        <v>28</v>
      </c>
      <c r="K826" s="493" t="n">
        <v>7</v>
      </c>
      <c r="L826" s="397" t="n">
        <v>2700</v>
      </c>
      <c r="M826" s="113" t="n"/>
      <c r="N826" s="113" t="n"/>
      <c r="O826" s="113" t="n"/>
      <c r="P826" s="398" t="n"/>
      <c r="Q826" s="398" t="n"/>
      <c r="R826" s="113" t="n"/>
      <c r="S826" s="113" t="n"/>
      <c r="T826" s="113" t="n"/>
      <c r="U826" s="113" t="n"/>
      <c r="V826" s="113" t="n"/>
    </row>
    <row r="827" ht="15.75" customHeight="1">
      <c r="A827" s="146" t="n">
        <v>15</v>
      </c>
      <c r="B827" s="238" t="n"/>
      <c r="C827" s="481" t="n">
        <v>45903</v>
      </c>
      <c r="D827" s="484" t="inlineStr">
        <is>
          <t>202 G. HUERTAS</t>
        </is>
      </c>
      <c r="E827" s="484" t="n">
        <v>203184</v>
      </c>
      <c r="F827" s="484" t="inlineStr">
        <is>
          <t>CUCAITA EDWIN ALEJANDRO</t>
        </is>
      </c>
      <c r="G827" s="493" t="n">
        <v>2916</v>
      </c>
      <c r="H827" s="493" t="n">
        <v>2922</v>
      </c>
      <c r="I827" s="493" t="n">
        <v>6</v>
      </c>
      <c r="J827" s="493" t="n">
        <v>13</v>
      </c>
      <c r="K827" s="493" t="n">
        <v>-25</v>
      </c>
      <c r="L827" s="397" t="n">
        <v>2700</v>
      </c>
      <c r="M827" s="113" t="n"/>
      <c r="N827" s="113" t="n"/>
      <c r="O827" s="113" t="n"/>
      <c r="P827" s="398" t="n"/>
      <c r="Q827" s="398" t="n"/>
      <c r="R827" s="113" t="n"/>
      <c r="S827" s="113" t="n"/>
      <c r="T827" s="113" t="n"/>
      <c r="U827" s="113" t="n"/>
      <c r="V827" s="113" t="n"/>
    </row>
    <row r="828" ht="15.75" customHeight="1">
      <c r="A828" s="146" t="n">
        <v>15</v>
      </c>
      <c r="B828" s="238" t="n"/>
      <c r="C828" s="481" t="n">
        <v>45903</v>
      </c>
      <c r="D828" s="484" t="inlineStr">
        <is>
          <t>202 G. HUERTAS</t>
        </is>
      </c>
      <c r="E828" s="484" t="n">
        <v>203185</v>
      </c>
      <c r="F828" s="484" t="inlineStr">
        <is>
          <t>MARCO OSPINA</t>
        </is>
      </c>
      <c r="G828" s="493" t="n">
        <v>2700</v>
      </c>
      <c r="H828" s="493" t="n">
        <v>2671</v>
      </c>
      <c r="I828" s="493" t="n">
        <v>10</v>
      </c>
      <c r="J828" s="493" t="n">
        <v>17</v>
      </c>
      <c r="K828" s="493" t="n">
        <v>2</v>
      </c>
      <c r="L828" s="397" t="n">
        <v>2612</v>
      </c>
      <c r="M828" s="113" t="n"/>
      <c r="N828" s="113" t="n"/>
      <c r="O828" s="113" t="n"/>
      <c r="P828" s="398" t="n"/>
      <c r="Q828" s="398" t="n"/>
      <c r="R828" s="113" t="n"/>
      <c r="S828" s="113" t="n"/>
      <c r="T828" s="113" t="n"/>
      <c r="U828" s="113" t="n"/>
      <c r="V828" s="113" t="n"/>
    </row>
    <row r="829" ht="15.75" customHeight="1">
      <c r="A829" s="146" t="n">
        <v>15</v>
      </c>
      <c r="B829" s="238" t="n"/>
      <c r="C829" s="481" t="n">
        <v>45903</v>
      </c>
      <c r="D829" s="484" t="inlineStr">
        <is>
          <t>202 G. HUERTAS</t>
        </is>
      </c>
      <c r="E829" s="484" t="n">
        <v>43041</v>
      </c>
      <c r="F829" s="484" t="inlineStr">
        <is>
          <t>JHON AIRAS</t>
        </is>
      </c>
      <c r="G829" s="493" t="n">
        <v>2556</v>
      </c>
      <c r="H829" s="493" t="n">
        <v>2521</v>
      </c>
      <c r="I829" s="493" t="n">
        <v>10</v>
      </c>
      <c r="J829" s="493" t="n">
        <v>20</v>
      </c>
      <c r="K829" s="493" t="n">
        <v>5</v>
      </c>
      <c r="L829" s="397" t="n">
        <v>2552</v>
      </c>
      <c r="M829" s="113" t="n"/>
      <c r="N829" s="113" t="n"/>
      <c r="O829" s="113" t="n"/>
      <c r="P829" s="398" t="n"/>
      <c r="Q829" s="398" t="n"/>
      <c r="R829" s="113" t="n"/>
      <c r="S829" s="113" t="n"/>
      <c r="T829" s="113" t="n"/>
      <c r="U829" s="113" t="n"/>
      <c r="V829" s="113" t="n"/>
    </row>
    <row r="830" ht="15.75" customHeight="1">
      <c r="A830" s="146" t="n">
        <v>15</v>
      </c>
      <c r="B830" s="238" t="n"/>
      <c r="C830" s="481" t="n">
        <v>45903</v>
      </c>
      <c r="D830" s="484" t="inlineStr">
        <is>
          <t>202 G. HUERTAS</t>
        </is>
      </c>
      <c r="E830" s="484" t="n">
        <v>43042</v>
      </c>
      <c r="F830" s="484" t="inlineStr">
        <is>
          <t>HENRY ROMERO</t>
        </is>
      </c>
      <c r="G830" s="493" t="n">
        <v>3240</v>
      </c>
      <c r="H830" s="493" t="n">
        <v>3191</v>
      </c>
      <c r="I830" s="493" t="n">
        <v>7</v>
      </c>
      <c r="J830" s="493" t="n">
        <v>34</v>
      </c>
      <c r="K830" s="493" t="n">
        <v>8</v>
      </c>
      <c r="L830" s="397" t="n">
        <v>3240</v>
      </c>
      <c r="M830" s="113" t="n"/>
      <c r="N830" s="113" t="n"/>
      <c r="O830" s="113" t="n"/>
      <c r="P830" s="398" t="n"/>
      <c r="Q830" s="398" t="n"/>
      <c r="R830" s="113" t="n"/>
      <c r="S830" s="113" t="n"/>
      <c r="T830" s="113" t="n"/>
      <c r="U830" s="113" t="n"/>
      <c r="V830" s="113" t="n"/>
    </row>
    <row r="831" ht="15.75" customHeight="1">
      <c r="A831" s="146" t="n">
        <v>15</v>
      </c>
      <c r="B831" s="238" t="n"/>
      <c r="C831" s="481" t="n">
        <v>45903</v>
      </c>
      <c r="D831" s="484" t="inlineStr">
        <is>
          <t>202 G. HUERTAS</t>
        </is>
      </c>
      <c r="E831" s="484" t="n">
        <v>43043</v>
      </c>
      <c r="F831" s="484" t="inlineStr">
        <is>
          <t>MANUEL QUITIAN</t>
        </is>
      </c>
      <c r="G831" s="493" t="n">
        <v>3240</v>
      </c>
      <c r="H831" s="493" t="n">
        <v>3212</v>
      </c>
      <c r="I831" s="493" t="n">
        <v>10</v>
      </c>
      <c r="J831" s="493" t="n">
        <v>15</v>
      </c>
      <c r="K831" s="493" t="n">
        <v>3</v>
      </c>
      <c r="L831" s="397" t="n">
        <v>3240</v>
      </c>
      <c r="M831" s="113" t="n"/>
      <c r="N831" s="113" t="n"/>
      <c r="O831" s="113" t="n"/>
      <c r="P831" s="398" t="n"/>
      <c r="Q831" s="398" t="n"/>
      <c r="R831" s="113" t="n"/>
      <c r="S831" s="113" t="n"/>
      <c r="T831" s="113" t="n"/>
      <c r="U831" s="113" t="n"/>
      <c r="V831" s="113" t="n"/>
    </row>
    <row r="832" ht="15.75" customHeight="1">
      <c r="A832" s="146" t="n">
        <v>15</v>
      </c>
      <c r="B832" s="238" t="n"/>
      <c r="C832" s="481" t="n">
        <v>45903</v>
      </c>
      <c r="D832" s="484" t="inlineStr">
        <is>
          <t>202 G. HUERTAS</t>
        </is>
      </c>
      <c r="E832" s="484" t="n">
        <v>43044</v>
      </c>
      <c r="F832" s="484" t="inlineStr">
        <is>
          <t>EDUAN CAVIEDES</t>
        </is>
      </c>
      <c r="G832" s="493" t="n">
        <v>3240</v>
      </c>
      <c r="H832" s="493" t="n">
        <v>3208</v>
      </c>
      <c r="I832" s="493" t="n">
        <v>8</v>
      </c>
      <c r="J832" s="493" t="n">
        <v>18</v>
      </c>
      <c r="K832" s="493" t="n">
        <v>6</v>
      </c>
      <c r="L832" s="397" t="n">
        <v>3240</v>
      </c>
      <c r="M832" s="113" t="n"/>
      <c r="N832" s="113" t="n"/>
      <c r="O832" s="113" t="n"/>
      <c r="P832" s="398" t="n"/>
      <c r="Q832" s="398" t="n"/>
      <c r="R832" s="113" t="n"/>
      <c r="S832" s="113" t="n"/>
      <c r="T832" s="113" t="n"/>
      <c r="U832" s="113" t="n"/>
      <c r="V832" s="113" t="n"/>
    </row>
    <row r="833" ht="15.75" customHeight="1">
      <c r="A833" s="146" t="n">
        <v>15</v>
      </c>
      <c r="B833" s="238" t="n"/>
      <c r="C833" s="481" t="n">
        <v>45903</v>
      </c>
      <c r="D833" s="484" t="inlineStr">
        <is>
          <t>202 G. HUERTAS</t>
        </is>
      </c>
      <c r="E833" s="484" t="n">
        <v>43045</v>
      </c>
      <c r="F833" s="484" t="inlineStr">
        <is>
          <t>ALBERTO HERRERA</t>
        </is>
      </c>
      <c r="G833" s="493" t="n">
        <v>3240</v>
      </c>
      <c r="H833" s="493" t="n">
        <v>3220</v>
      </c>
      <c r="I833" s="493" t="n">
        <v>7</v>
      </c>
      <c r="J833" s="493" t="n">
        <v>5</v>
      </c>
      <c r="K833" s="493" t="n">
        <v>8</v>
      </c>
      <c r="L833" s="397" t="n">
        <v>3240</v>
      </c>
      <c r="M833" s="113" t="n"/>
      <c r="N833" s="113" t="n"/>
      <c r="O833" s="113" t="n"/>
      <c r="P833" s="398" t="n"/>
      <c r="Q833" s="398" t="n"/>
      <c r="R833" s="113" t="n"/>
      <c r="S833" s="113" t="n"/>
      <c r="T833" s="113" t="n"/>
      <c r="U833" s="113" t="n"/>
      <c r="V833" s="113" t="n"/>
    </row>
    <row r="834" ht="15.75" customHeight="1">
      <c r="A834" s="146" t="n">
        <v>15</v>
      </c>
      <c r="B834" s="238" t="n"/>
      <c r="C834" s="481" t="n">
        <v>45903</v>
      </c>
      <c r="D834" s="484" t="inlineStr">
        <is>
          <t>202 G. HUERTAS</t>
        </is>
      </c>
      <c r="E834" s="484" t="n">
        <v>43046</v>
      </c>
      <c r="F834" s="484" t="inlineStr">
        <is>
          <t xml:space="preserve">ALEX GOMEZ </t>
        </is>
      </c>
      <c r="G834" s="493" t="n">
        <v>3240</v>
      </c>
      <c r="H834" s="493" t="n">
        <v>3202</v>
      </c>
      <c r="I834" s="493" t="n">
        <v>5</v>
      </c>
      <c r="J834" s="493" t="n">
        <v>20</v>
      </c>
      <c r="K834" s="493" t="n">
        <v>13</v>
      </c>
      <c r="L834" s="397" t="n">
        <v>3240</v>
      </c>
      <c r="M834" s="113" t="n"/>
      <c r="N834" s="113" t="n"/>
      <c r="O834" s="113" t="n"/>
      <c r="P834" s="398" t="n"/>
      <c r="Q834" s="398" t="n"/>
      <c r="R834" s="113" t="n"/>
      <c r="S834" s="113" t="n"/>
      <c r="T834" s="113" t="n"/>
      <c r="U834" s="113" t="n"/>
      <c r="V834" s="113" t="n"/>
    </row>
    <row r="835" ht="15.75" customHeight="1">
      <c r="A835" s="146" t="n">
        <v>15</v>
      </c>
      <c r="B835" s="238" t="n"/>
      <c r="C835" s="481" t="n">
        <v>45903</v>
      </c>
      <c r="D835" s="484" t="inlineStr">
        <is>
          <t>202 G. HUERTAS</t>
        </is>
      </c>
      <c r="E835" s="484" t="n">
        <v>203196</v>
      </c>
      <c r="F835" s="484" t="inlineStr">
        <is>
          <t>CUCAITA EDWIN ALEJANDRO</t>
        </is>
      </c>
      <c r="G835" s="493" t="n">
        <v>3160</v>
      </c>
      <c r="H835" s="493" t="n">
        <v>3109</v>
      </c>
      <c r="I835" s="493" t="n">
        <v>9</v>
      </c>
      <c r="J835" s="493" t="n">
        <v>19</v>
      </c>
      <c r="K835" s="493" t="n">
        <v>23</v>
      </c>
      <c r="L835" s="397" t="n">
        <v>2953</v>
      </c>
      <c r="M835" s="113" t="n"/>
      <c r="N835" s="113" t="n"/>
      <c r="O835" s="113" t="n"/>
      <c r="P835" s="398" t="n"/>
      <c r="Q835" s="398" t="n"/>
      <c r="R835" s="113" t="n"/>
      <c r="S835" s="113" t="n"/>
      <c r="T835" s="113" t="n"/>
      <c r="U835" s="113" t="n"/>
      <c r="V835" s="113" t="n"/>
    </row>
    <row r="836" ht="15.75" customHeight="1">
      <c r="A836" s="146" t="n">
        <v>15</v>
      </c>
      <c r="B836" s="238" t="n"/>
      <c r="C836" s="399" t="n">
        <v>45903</v>
      </c>
      <c r="D836" s="146" t="inlineStr">
        <is>
          <t>200 G. GARCERAS</t>
        </is>
      </c>
      <c r="E836" s="146" t="n">
        <v>43047</v>
      </c>
      <c r="F836" s="146" t="inlineStr">
        <is>
          <t>DIEGO NIÑO</t>
        </is>
      </c>
      <c r="G836" s="395" t="n">
        <v>2953</v>
      </c>
      <c r="H836" s="395" t="n">
        <v>2936</v>
      </c>
      <c r="I836" s="395" t="n">
        <v>3</v>
      </c>
      <c r="J836" s="395" t="n">
        <v>9</v>
      </c>
      <c r="K836" s="395" t="n">
        <v>5</v>
      </c>
      <c r="L836" s="397" t="n">
        <v>2953</v>
      </c>
      <c r="M836" s="113" t="n"/>
      <c r="N836" s="113" t="n"/>
      <c r="O836" s="113" t="n"/>
      <c r="P836" s="398" t="n"/>
      <c r="Q836" s="398" t="n"/>
      <c r="R836" s="113" t="n"/>
      <c r="S836" s="113" t="n"/>
      <c r="T836" s="113" t="n"/>
      <c r="U836" s="113" t="n"/>
      <c r="V836" s="113" t="n"/>
    </row>
    <row r="837" ht="15.75" customHeight="1">
      <c r="A837" s="146" t="n">
        <v>15</v>
      </c>
      <c r="B837" s="238" t="n"/>
      <c r="C837" s="399" t="n">
        <v>45903</v>
      </c>
      <c r="D837" s="146" t="inlineStr">
        <is>
          <t>200 G. GARCERAS</t>
        </is>
      </c>
      <c r="E837" s="146" t="n">
        <v>43048</v>
      </c>
      <c r="F837" s="146" t="inlineStr">
        <is>
          <t>JAIRO CUBULLOS</t>
        </is>
      </c>
      <c r="G837" s="395" t="n">
        <v>2953</v>
      </c>
      <c r="H837" s="395" t="n">
        <v>2937</v>
      </c>
      <c r="I837" s="395" t="n">
        <v>4</v>
      </c>
      <c r="J837" s="395" t="n">
        <v>11</v>
      </c>
      <c r="K837" s="395" t="n">
        <v>1</v>
      </c>
      <c r="L837" s="397" t="n">
        <v>3160</v>
      </c>
      <c r="M837" s="113" t="n"/>
      <c r="N837" s="113" t="n"/>
      <c r="O837" s="113" t="n"/>
      <c r="P837" s="398" t="n"/>
      <c r="Q837" s="398" t="n"/>
      <c r="R837" s="113" t="n"/>
      <c r="S837" s="113" t="n"/>
      <c r="T837" s="113" t="n"/>
      <c r="U837" s="113" t="n"/>
      <c r="V837" s="113" t="n"/>
    </row>
    <row r="838" ht="15.75" customHeight="1">
      <c r="A838" s="146" t="n">
        <v>15</v>
      </c>
      <c r="B838" s="238" t="n"/>
      <c r="C838" s="481" t="n">
        <v>45904</v>
      </c>
      <c r="D838" s="484" t="inlineStr">
        <is>
          <t>202 G. HUERTAS</t>
        </is>
      </c>
      <c r="E838" s="484" t="n">
        <v>203198</v>
      </c>
      <c r="F838" s="484" t="inlineStr">
        <is>
          <t>JONATHAN DAVID GOMEZ</t>
        </is>
      </c>
      <c r="G838" s="493" t="n">
        <v>3160</v>
      </c>
      <c r="H838" s="493" t="n">
        <v>3128</v>
      </c>
      <c r="I838" s="493" t="n">
        <v>8</v>
      </c>
      <c r="J838" s="493" t="n">
        <v>16</v>
      </c>
      <c r="K838" s="493" t="n">
        <v>8</v>
      </c>
      <c r="L838" s="397" t="n">
        <v>3160</v>
      </c>
      <c r="M838" s="113" t="n"/>
      <c r="N838" s="113" t="n"/>
      <c r="O838" s="113" t="n"/>
      <c r="P838" s="398" t="n"/>
      <c r="Q838" s="398" t="n"/>
      <c r="R838" s="113" t="n"/>
      <c r="S838" s="113" t="n"/>
      <c r="T838" s="113" t="n"/>
      <c r="U838" s="113" t="n"/>
      <c r="V838" s="113" t="n"/>
    </row>
    <row r="839" ht="15.75" customHeight="1">
      <c r="A839" s="146" t="n">
        <v>15</v>
      </c>
      <c r="B839" s="238" t="n"/>
      <c r="C839" s="481" t="n">
        <v>45904</v>
      </c>
      <c r="D839" s="484" t="inlineStr">
        <is>
          <t>202 G. HUERTAS</t>
        </is>
      </c>
      <c r="E839" s="484" t="n">
        <v>203199</v>
      </c>
      <c r="F839" s="484" t="inlineStr">
        <is>
          <t xml:space="preserve"> LEONARDO LUGO</t>
        </is>
      </c>
      <c r="G839" s="493" t="n">
        <v>2980</v>
      </c>
      <c r="H839" s="493" t="n">
        <v>2944</v>
      </c>
      <c r="I839" s="493" t="n">
        <v>9</v>
      </c>
      <c r="J839" s="493" t="n">
        <v>27</v>
      </c>
      <c r="K839" s="493" t="n">
        <v>0</v>
      </c>
      <c r="L839" s="397" t="n">
        <v>2980</v>
      </c>
      <c r="M839" s="113" t="n"/>
      <c r="N839" s="113" t="n"/>
      <c r="O839" s="113" t="n"/>
      <c r="P839" s="398" t="n"/>
      <c r="Q839" s="398" t="n"/>
      <c r="R839" s="113" t="n"/>
      <c r="S839" s="113" t="n"/>
      <c r="T839" s="113" t="n"/>
      <c r="U839" s="113" t="n"/>
      <c r="V839" s="113" t="n"/>
    </row>
    <row r="840" ht="15.75" customHeight="1">
      <c r="A840" s="146" t="n">
        <v>15</v>
      </c>
      <c r="B840" s="238" t="n"/>
      <c r="C840" s="399" t="n">
        <v>45904</v>
      </c>
      <c r="D840" s="146" t="inlineStr">
        <is>
          <t>200 G. GARCERAS</t>
        </is>
      </c>
      <c r="E840" s="146" t="n">
        <v>43065</v>
      </c>
      <c r="F840" s="146" t="inlineStr">
        <is>
          <t>HENRY ROMERO</t>
        </is>
      </c>
      <c r="G840" s="395" t="n">
        <v>3118</v>
      </c>
      <c r="H840" s="395" t="n">
        <v>3095</v>
      </c>
      <c r="I840" s="395" t="n">
        <v>7</v>
      </c>
      <c r="J840" s="395" t="n">
        <v>16</v>
      </c>
      <c r="K840" s="395" t="n">
        <v>0</v>
      </c>
      <c r="L840" s="397" t="n">
        <v>3118</v>
      </c>
      <c r="M840" s="113" t="n"/>
      <c r="N840" s="113" t="n"/>
      <c r="O840" s="113" t="n"/>
      <c r="P840" s="398" t="n"/>
      <c r="Q840" s="398" t="n"/>
      <c r="R840" s="113" t="n"/>
      <c r="S840" s="113" t="n"/>
      <c r="T840" s="113" t="n"/>
      <c r="U840" s="113" t="n"/>
      <c r="V840" s="113" t="n"/>
    </row>
    <row r="841" ht="15.75" customHeight="1">
      <c r="A841" s="146" t="n">
        <v>15</v>
      </c>
      <c r="B841" s="238" t="n"/>
      <c r="C841" s="399" t="n">
        <v>45904</v>
      </c>
      <c r="D841" s="146" t="inlineStr">
        <is>
          <t>200 G. GARCERAS</t>
        </is>
      </c>
      <c r="E841" s="146" t="n">
        <v>43066</v>
      </c>
      <c r="F841" s="146" t="inlineStr">
        <is>
          <t>JAIRO CUBULLOS</t>
        </is>
      </c>
      <c r="G841" s="395" t="n">
        <v>3118</v>
      </c>
      <c r="H841" s="395" t="n">
        <v>3099</v>
      </c>
      <c r="I841" s="395" t="n">
        <v>3</v>
      </c>
      <c r="J841" s="395" t="n">
        <v>16</v>
      </c>
      <c r="K841" s="395" t="n">
        <v>0</v>
      </c>
      <c r="L841" s="397" t="n">
        <v>3118</v>
      </c>
      <c r="M841" s="113" t="n"/>
      <c r="N841" s="113" t="n"/>
      <c r="O841" s="113" t="n"/>
      <c r="P841" s="398" t="n"/>
      <c r="Q841" s="398" t="n"/>
      <c r="R841" s="113" t="n"/>
      <c r="S841" s="113" t="n"/>
      <c r="T841" s="113" t="n"/>
      <c r="U841" s="113" t="n"/>
      <c r="V841" s="113" t="n"/>
    </row>
    <row r="842" ht="15.75" customHeight="1">
      <c r="A842" s="146" t="n">
        <v>15</v>
      </c>
      <c r="B842" s="238" t="n"/>
      <c r="C842" s="399" t="n">
        <v>45904</v>
      </c>
      <c r="D842" s="146" t="inlineStr">
        <is>
          <t>200 G. GARCERAS</t>
        </is>
      </c>
      <c r="E842" s="146" t="n">
        <v>43067</v>
      </c>
      <c r="F842" s="146" t="inlineStr">
        <is>
          <t>FABIO ALDANA</t>
        </is>
      </c>
      <c r="G842" s="395" t="n">
        <v>3118</v>
      </c>
      <c r="H842" s="395" t="n">
        <v>3112</v>
      </c>
      <c r="I842" s="395" t="n">
        <v>1</v>
      </c>
      <c r="J842" s="395" t="n">
        <v>5</v>
      </c>
      <c r="K842" s="395" t="n">
        <v>0</v>
      </c>
      <c r="L842" s="397" t="n">
        <v>3118</v>
      </c>
      <c r="M842" s="113" t="n"/>
      <c r="N842" s="113" t="n"/>
      <c r="O842" s="113" t="n"/>
      <c r="P842" s="398" t="n"/>
      <c r="Q842" s="398" t="n"/>
      <c r="R842" s="113" t="n"/>
      <c r="S842" s="113" t="n"/>
      <c r="T842" s="113" t="n"/>
      <c r="U842" s="113" t="n"/>
      <c r="V842" s="113" t="n"/>
    </row>
    <row r="843" ht="15.75" customHeight="1">
      <c r="A843" s="146" t="n">
        <v>15</v>
      </c>
      <c r="B843" s="238" t="n"/>
      <c r="C843" s="399" t="n">
        <v>45904</v>
      </c>
      <c r="D843" s="146" t="inlineStr">
        <is>
          <t>200 G. GARCERAS</t>
        </is>
      </c>
      <c r="E843" s="146" t="n">
        <v>43068</v>
      </c>
      <c r="F843" s="146" t="inlineStr">
        <is>
          <t>YAIR RIVEROS</t>
        </is>
      </c>
      <c r="G843" s="395" t="n">
        <v>3118</v>
      </c>
      <c r="H843" s="395" t="n">
        <v>3105</v>
      </c>
      <c r="I843" s="395" t="n">
        <v>2</v>
      </c>
      <c r="J843" s="395" t="n">
        <v>11</v>
      </c>
      <c r="K843" s="395" t="n">
        <v>0</v>
      </c>
      <c r="L843" s="397" t="n">
        <v>3118</v>
      </c>
      <c r="M843" s="113" t="n"/>
      <c r="N843" s="113" t="n"/>
      <c r="O843" s="113" t="n"/>
      <c r="P843" s="398" t="n"/>
      <c r="Q843" s="398" t="n"/>
      <c r="R843" s="113" t="n"/>
      <c r="S843" s="113" t="n"/>
      <c r="T843" s="113" t="n"/>
      <c r="U843" s="113" t="n"/>
      <c r="V843" s="113" t="n"/>
    </row>
    <row r="844" ht="15.75" customHeight="1">
      <c r="A844" s="146" t="n">
        <v>15</v>
      </c>
      <c r="B844" s="238" t="n"/>
      <c r="C844" s="399" t="n">
        <v>45904</v>
      </c>
      <c r="D844" s="146" t="inlineStr">
        <is>
          <t>200 G. GARCERAS</t>
        </is>
      </c>
      <c r="E844" s="146" t="n">
        <v>43069</v>
      </c>
      <c r="F844" s="146" t="inlineStr">
        <is>
          <t>WILMER PIÑEROS</t>
        </is>
      </c>
      <c r="G844" s="395" t="n">
        <v>3118</v>
      </c>
      <c r="H844" s="395" t="n">
        <v>3110</v>
      </c>
      <c r="I844" s="395" t="n">
        <v>2</v>
      </c>
      <c r="J844" s="395" t="n">
        <v>6</v>
      </c>
      <c r="K844" s="395" t="n">
        <v>0</v>
      </c>
      <c r="L844" s="397" t="n">
        <v>3118</v>
      </c>
      <c r="M844" s="113" t="n"/>
      <c r="N844" s="113" t="n"/>
      <c r="O844" s="113" t="n"/>
      <c r="P844" s="398" t="n"/>
      <c r="Q844" s="398" t="n"/>
      <c r="R844" s="113" t="n"/>
      <c r="S844" s="113" t="n"/>
      <c r="T844" s="113" t="n"/>
      <c r="U844" s="113" t="n"/>
      <c r="V844" s="113" t="n"/>
    </row>
    <row r="845" ht="15.75" customHeight="1">
      <c r="A845" s="146" t="n">
        <v>15</v>
      </c>
      <c r="B845" s="238" t="n"/>
      <c r="C845" s="399" t="n">
        <v>45904</v>
      </c>
      <c r="D845" s="146" t="inlineStr">
        <is>
          <t>200 G. GARCERAS</t>
        </is>
      </c>
      <c r="E845" s="146" t="n">
        <v>43070</v>
      </c>
      <c r="F845" s="146" t="inlineStr">
        <is>
          <t>EDWIN ROJAS</t>
        </is>
      </c>
      <c r="G845" s="395" t="n">
        <v>3018</v>
      </c>
      <c r="H845" s="395" t="n">
        <v>3015</v>
      </c>
      <c r="I845" s="395" t="n">
        <v>1</v>
      </c>
      <c r="J845" s="395" t="n">
        <v>2</v>
      </c>
      <c r="K845" s="395" t="n">
        <v>0</v>
      </c>
      <c r="L845" s="397" t="n">
        <v>3018</v>
      </c>
      <c r="M845" s="113" t="n"/>
      <c r="N845" s="113" t="n"/>
      <c r="O845" s="113" t="n"/>
      <c r="P845" s="398" t="n"/>
      <c r="Q845" s="398" t="n"/>
      <c r="R845" s="113" t="n"/>
      <c r="S845" s="113" t="n"/>
      <c r="T845" s="113" t="n"/>
      <c r="U845" s="113" t="n"/>
      <c r="V845" s="113" t="n"/>
    </row>
    <row r="846" ht="15.75" customHeight="1">
      <c r="A846" s="146" t="n">
        <v>15</v>
      </c>
      <c r="B846" s="238" t="n"/>
      <c r="C846" s="399" t="n">
        <v>45904</v>
      </c>
      <c r="D846" s="146" t="inlineStr">
        <is>
          <t>200 G. GARCERAS</t>
        </is>
      </c>
      <c r="E846" s="146" t="n">
        <v>43071</v>
      </c>
      <c r="F846" s="146" t="inlineStr">
        <is>
          <t>JHON AIRAS</t>
        </is>
      </c>
      <c r="G846" s="395" t="n">
        <v>3018</v>
      </c>
      <c r="H846" s="395" t="n">
        <v>3014</v>
      </c>
      <c r="I846" s="395" t="n">
        <v>1</v>
      </c>
      <c r="J846" s="395" t="n">
        <v>3</v>
      </c>
      <c r="K846" s="395" t="n">
        <v>0</v>
      </c>
      <c r="L846" s="397" t="n">
        <v>3018</v>
      </c>
      <c r="M846" s="113" t="n"/>
      <c r="N846" s="113" t="n"/>
      <c r="O846" s="113" t="n"/>
      <c r="P846" s="398" t="n"/>
      <c r="Q846" s="398" t="n"/>
      <c r="R846" s="113" t="n"/>
      <c r="S846" s="113" t="n"/>
      <c r="T846" s="113" t="n"/>
      <c r="U846" s="113" t="n"/>
      <c r="V846" s="113" t="n"/>
    </row>
    <row r="847" ht="15.75" customHeight="1">
      <c r="A847" s="146" t="n">
        <v>15</v>
      </c>
      <c r="B847" s="238" t="n"/>
      <c r="C847" s="399" t="n">
        <v>45904</v>
      </c>
      <c r="D847" s="146" t="inlineStr">
        <is>
          <t>200 G. GARCERAS</t>
        </is>
      </c>
      <c r="E847" s="146" t="n">
        <v>43072</v>
      </c>
      <c r="F847" s="146" t="inlineStr">
        <is>
          <t>ALBERTO LOPEZ</t>
        </is>
      </c>
      <c r="G847" s="395" t="n">
        <v>3018</v>
      </c>
      <c r="H847" s="395" t="n">
        <v>3005</v>
      </c>
      <c r="I847" s="395" t="n">
        <v>2</v>
      </c>
      <c r="J847" s="395" t="n">
        <v>11</v>
      </c>
      <c r="K847" s="395" t="n">
        <v>0</v>
      </c>
      <c r="L847" s="397" t="n">
        <v>3018</v>
      </c>
      <c r="M847" s="113" t="n"/>
      <c r="N847" s="113" t="n"/>
      <c r="O847" s="113" t="n"/>
      <c r="P847" s="398" t="n"/>
      <c r="Q847" s="398" t="n"/>
      <c r="R847" s="113" t="n"/>
      <c r="S847" s="113" t="n"/>
      <c r="T847" s="113" t="n"/>
      <c r="U847" s="113" t="n"/>
      <c r="V847" s="113" t="n"/>
    </row>
    <row r="848" ht="15.75" customHeight="1">
      <c r="A848" s="146" t="n">
        <v>15</v>
      </c>
      <c r="B848" s="238" t="n"/>
      <c r="C848" s="399" t="n">
        <v>45904</v>
      </c>
      <c r="D848" s="146" t="inlineStr">
        <is>
          <t>200 G. GARCERAS</t>
        </is>
      </c>
      <c r="E848" s="146" t="n">
        <v>43073</v>
      </c>
      <c r="F848" s="146" t="inlineStr">
        <is>
          <t xml:space="preserve">ALEX GOMEZ </t>
        </is>
      </c>
      <c r="G848" s="395" t="n">
        <v>3018</v>
      </c>
      <c r="H848" s="395" t="n">
        <v>3008</v>
      </c>
      <c r="I848" s="395" t="n">
        <v>2</v>
      </c>
      <c r="J848" s="395" t="n">
        <v>8</v>
      </c>
      <c r="K848" s="395" t="n">
        <v>0</v>
      </c>
      <c r="L848" s="397" t="n">
        <v>3018</v>
      </c>
      <c r="M848" s="113" t="n"/>
      <c r="N848" s="113" t="n"/>
      <c r="O848" s="113" t="n"/>
      <c r="P848" s="398" t="n"/>
      <c r="Q848" s="398" t="n"/>
      <c r="R848" s="113" t="n"/>
      <c r="S848" s="113" t="n"/>
      <c r="T848" s="113" t="n"/>
      <c r="U848" s="113" t="n"/>
      <c r="V848" s="113" t="n"/>
    </row>
    <row r="849" ht="15.75" customHeight="1">
      <c r="A849" s="146" t="n">
        <v>15</v>
      </c>
      <c r="B849" s="238" t="n"/>
      <c r="C849" s="399" t="n">
        <v>45904</v>
      </c>
      <c r="D849" s="146" t="inlineStr">
        <is>
          <t>200 G. GARCERAS</t>
        </is>
      </c>
      <c r="E849" s="146" t="n">
        <v>43074</v>
      </c>
      <c r="F849" s="146" t="inlineStr">
        <is>
          <t>DIEGO NIÑO</t>
        </is>
      </c>
      <c r="G849" s="395" t="n">
        <v>3159</v>
      </c>
      <c r="H849" s="395" t="n">
        <v>3142</v>
      </c>
      <c r="I849" s="395" t="n">
        <v>1</v>
      </c>
      <c r="J849" s="395" t="n">
        <v>16</v>
      </c>
      <c r="K849" s="395" t="n">
        <v>0</v>
      </c>
      <c r="L849" s="397" t="n">
        <v>3160</v>
      </c>
      <c r="M849" s="113" t="n"/>
      <c r="N849" s="113" t="n"/>
      <c r="O849" s="113" t="n"/>
      <c r="P849" s="398" t="n"/>
      <c r="Q849" s="398" t="n"/>
      <c r="R849" s="113" t="n"/>
      <c r="S849" s="113" t="n"/>
      <c r="T849" s="113" t="n"/>
      <c r="U849" s="113" t="n"/>
      <c r="V849" s="113" t="n"/>
    </row>
    <row r="850" ht="15.75" customHeight="1">
      <c r="A850" s="146" t="n">
        <v>15</v>
      </c>
      <c r="B850" s="238" t="n"/>
      <c r="C850" s="399" t="n">
        <v>45905</v>
      </c>
      <c r="D850" s="146" t="inlineStr">
        <is>
          <t>200 G. GARCERAS</t>
        </is>
      </c>
      <c r="E850" s="146" t="n">
        <v>43089</v>
      </c>
      <c r="F850" s="146" t="inlineStr">
        <is>
          <t>JOSE SOLER</t>
        </is>
      </c>
      <c r="G850" s="395" t="n">
        <v>2762</v>
      </c>
      <c r="H850" s="395" t="n">
        <v>2752</v>
      </c>
      <c r="I850" s="395" t="n">
        <v>2</v>
      </c>
      <c r="J850" s="395" t="n">
        <v>8</v>
      </c>
      <c r="K850" s="395" t="n">
        <v>0</v>
      </c>
      <c r="L850" s="397" t="n">
        <v>2776</v>
      </c>
      <c r="M850" s="113" t="n"/>
      <c r="N850" s="113" t="n"/>
      <c r="O850" s="113" t="n"/>
      <c r="P850" s="398" t="n"/>
      <c r="Q850" s="398" t="n"/>
      <c r="R850" s="113" t="n"/>
      <c r="S850" s="113" t="n"/>
      <c r="T850" s="113" t="n"/>
      <c r="U850" s="113" t="n"/>
      <c r="V850" s="113" t="n"/>
    </row>
    <row r="851" ht="15.75" customHeight="1">
      <c r="A851" s="146" t="n">
        <v>15</v>
      </c>
      <c r="B851" s="238" t="n"/>
      <c r="C851" s="399" t="n">
        <v>45905</v>
      </c>
      <c r="D851" s="146" t="inlineStr">
        <is>
          <t>200 G. GARCERAS</t>
        </is>
      </c>
      <c r="E851" s="146" t="n">
        <v>43090</v>
      </c>
      <c r="F851" s="146" t="inlineStr">
        <is>
          <t>ALBERTO LOPEZ</t>
        </is>
      </c>
      <c r="G851" s="395" t="n">
        <v>2762</v>
      </c>
      <c r="H851" s="395" t="n">
        <v>2749</v>
      </c>
      <c r="I851" s="395" t="n">
        <v>1</v>
      </c>
      <c r="J851" s="395" t="n">
        <v>12</v>
      </c>
      <c r="K851" s="395" t="n">
        <v>0</v>
      </c>
      <c r="L851" s="397" t="n">
        <v>2772</v>
      </c>
      <c r="M851" s="113" t="n"/>
      <c r="N851" s="113" t="n"/>
      <c r="O851" s="113" t="n"/>
      <c r="P851" s="398" t="n"/>
      <c r="Q851" s="398" t="n"/>
      <c r="R851" s="113" t="n"/>
      <c r="S851" s="113" t="n"/>
      <c r="T851" s="113" t="n"/>
      <c r="U851" s="113" t="n"/>
      <c r="V851" s="113" t="n"/>
    </row>
    <row r="852" ht="15.75" customHeight="1">
      <c r="A852" s="146" t="n">
        <v>15</v>
      </c>
      <c r="B852" s="238" t="n"/>
      <c r="C852" s="399" t="n">
        <v>45905</v>
      </c>
      <c r="D852" s="146" t="inlineStr">
        <is>
          <t>200 G. GARCERAS</t>
        </is>
      </c>
      <c r="E852" s="146" t="n">
        <v>43091</v>
      </c>
      <c r="F852" s="146" t="inlineStr">
        <is>
          <t xml:space="preserve">ALEX GOMEZ </t>
        </is>
      </c>
      <c r="G852" s="395" t="n">
        <v>2762</v>
      </c>
      <c r="H852" s="395" t="n">
        <v>2760</v>
      </c>
      <c r="I852" s="395" t="n">
        <v>0</v>
      </c>
      <c r="J852" s="395" t="n">
        <v>2</v>
      </c>
      <c r="K852" s="395" t="n">
        <v>0</v>
      </c>
      <c r="L852" s="397" t="n">
        <v>2762</v>
      </c>
      <c r="M852" s="113" t="n"/>
      <c r="N852" s="113" t="n"/>
      <c r="O852" s="113" t="n"/>
      <c r="P852" s="398" t="n"/>
      <c r="Q852" s="398" t="n"/>
      <c r="R852" s="113" t="n"/>
      <c r="S852" s="113" t="n"/>
      <c r="T852" s="113" t="n"/>
      <c r="U852" s="113" t="n"/>
      <c r="V852" s="113" t="n"/>
    </row>
    <row r="853" ht="15.75" customHeight="1">
      <c r="A853" s="146" t="n">
        <v>15</v>
      </c>
      <c r="B853" s="238" t="n"/>
      <c r="C853" s="399" t="n">
        <v>45905</v>
      </c>
      <c r="D853" s="146" t="inlineStr">
        <is>
          <t>200 G. GARCERAS</t>
        </is>
      </c>
      <c r="E853" s="146" t="n">
        <v>43092</v>
      </c>
      <c r="F853" s="146" t="inlineStr">
        <is>
          <t>DIEGO NIÑO</t>
        </is>
      </c>
      <c r="G853" s="395" t="n">
        <v>3028</v>
      </c>
      <c r="H853" s="395" t="n">
        <v>3025</v>
      </c>
      <c r="I853" s="395" t="n">
        <v>3</v>
      </c>
      <c r="J853" s="395" t="n">
        <v>2</v>
      </c>
      <c r="K853" s="395" t="n">
        <v>-2</v>
      </c>
      <c r="L853" s="397" t="n">
        <v>3018</v>
      </c>
      <c r="M853" s="113" t="n"/>
      <c r="N853" s="113" t="n"/>
      <c r="O853" s="113" t="n"/>
      <c r="P853" s="398" t="n"/>
      <c r="Q853" s="398" t="n"/>
      <c r="R853" s="113" t="n"/>
      <c r="S853" s="113" t="n"/>
      <c r="T853" s="113" t="n"/>
      <c r="U853" s="113" t="n"/>
      <c r="V853" s="113" t="n"/>
    </row>
    <row r="854" ht="15.75" customHeight="1">
      <c r="A854" s="146" t="n">
        <v>15</v>
      </c>
      <c r="B854" s="238" t="n"/>
      <c r="C854" s="399" t="n">
        <v>45905</v>
      </c>
      <c r="D854" s="146" t="inlineStr">
        <is>
          <t>200 G. GARCERAS</t>
        </is>
      </c>
      <c r="E854" s="146" t="n">
        <v>43093</v>
      </c>
      <c r="F854" s="146" t="inlineStr">
        <is>
          <t>FABIO ALDANA</t>
        </is>
      </c>
      <c r="G854" s="395" t="n">
        <v>3028</v>
      </c>
      <c r="H854" s="395" t="n">
        <v>3028</v>
      </c>
      <c r="I854" s="395" t="n">
        <v>4</v>
      </c>
      <c r="J854" s="395" t="n">
        <v>3</v>
      </c>
      <c r="K854" s="395" t="n">
        <v>-7</v>
      </c>
      <c r="L854" s="397" t="n">
        <v>3018</v>
      </c>
      <c r="M854" s="113" t="n"/>
      <c r="N854" s="113" t="n"/>
      <c r="O854" s="113" t="n"/>
      <c r="P854" s="398" t="n"/>
      <c r="Q854" s="398" t="n"/>
      <c r="R854" s="113" t="n"/>
      <c r="S854" s="113" t="n"/>
      <c r="T854" s="113" t="n"/>
      <c r="U854" s="113" t="n"/>
      <c r="V854" s="113" t="n"/>
    </row>
    <row r="855" ht="15.75" customHeight="1">
      <c r="A855" s="146" t="n">
        <v>15</v>
      </c>
      <c r="B855" s="238" t="n"/>
      <c r="C855" s="399" t="n">
        <v>45905</v>
      </c>
      <c r="D855" s="146" t="inlineStr">
        <is>
          <t>200 G. GARCERAS</t>
        </is>
      </c>
      <c r="E855" s="146" t="n">
        <v>43094</v>
      </c>
      <c r="F855" s="146" t="inlineStr">
        <is>
          <t>DUMAR ANGARITA</t>
        </is>
      </c>
      <c r="G855" s="395" t="n">
        <v>3028</v>
      </c>
      <c r="H855" s="395" t="n">
        <v>3022</v>
      </c>
      <c r="I855" s="395" t="n">
        <v>4</v>
      </c>
      <c r="J855" s="395" t="n">
        <v>2</v>
      </c>
      <c r="K855" s="395" t="n">
        <v>0</v>
      </c>
      <c r="L855" s="397" t="n">
        <v>3018</v>
      </c>
      <c r="M855" s="113" t="n"/>
      <c r="N855" s="113" t="n"/>
      <c r="O855" s="113" t="n"/>
      <c r="P855" s="398" t="n"/>
      <c r="Q855" s="398" t="n"/>
      <c r="R855" s="113" t="n"/>
      <c r="S855" s="113" t="n"/>
      <c r="T855" s="113" t="n"/>
      <c r="U855" s="113" t="n"/>
      <c r="V855" s="113" t="n"/>
    </row>
    <row r="856" ht="15.75" customHeight="1">
      <c r="A856" s="146" t="n">
        <v>15</v>
      </c>
      <c r="B856" s="238" t="n"/>
      <c r="C856" s="399" t="n">
        <v>45905</v>
      </c>
      <c r="D856" s="146" t="inlineStr">
        <is>
          <t>200 G. GARCERAS</t>
        </is>
      </c>
      <c r="E856" s="146" t="n">
        <v>43095</v>
      </c>
      <c r="F856" s="146" t="inlineStr">
        <is>
          <t>ALBERTO HERRERA</t>
        </is>
      </c>
      <c r="G856" s="395" t="n">
        <v>3028</v>
      </c>
      <c r="H856" s="395" t="n">
        <v>3016</v>
      </c>
      <c r="I856" s="395" t="n">
        <v>2</v>
      </c>
      <c r="J856" s="395" t="n">
        <v>10</v>
      </c>
      <c r="K856" s="395" t="n">
        <v>0</v>
      </c>
      <c r="L856" s="397" t="n">
        <v>3018</v>
      </c>
      <c r="M856" s="113" t="n"/>
      <c r="N856" s="113" t="n"/>
      <c r="O856" s="113" t="n"/>
      <c r="P856" s="398" t="n"/>
      <c r="Q856" s="398" t="n"/>
      <c r="R856" s="113" t="n"/>
      <c r="S856" s="113" t="n"/>
      <c r="T856" s="113" t="n"/>
      <c r="U856" s="113" t="n"/>
      <c r="V856" s="113" t="n"/>
    </row>
    <row r="857" ht="15.75" customHeight="1">
      <c r="A857" s="146" t="n">
        <v>15</v>
      </c>
      <c r="B857" s="238" t="n"/>
      <c r="C857" s="399" t="n">
        <v>45905</v>
      </c>
      <c r="D857" s="146" t="inlineStr">
        <is>
          <t>200 G. GARCERAS</t>
        </is>
      </c>
      <c r="E857" s="146" t="n">
        <v>43096</v>
      </c>
      <c r="F857" s="146" t="inlineStr">
        <is>
          <t>YAIR RIVEROS</t>
        </is>
      </c>
      <c r="G857" s="395" t="n">
        <v>3028</v>
      </c>
      <c r="H857" s="395" t="n">
        <v>3022</v>
      </c>
      <c r="I857" s="395" t="n">
        <v>5</v>
      </c>
      <c r="J857" s="395" t="n">
        <v>8</v>
      </c>
      <c r="K857" s="395" t="n">
        <v>-7</v>
      </c>
      <c r="L857" s="397" t="n">
        <v>3018</v>
      </c>
      <c r="M857" s="113" t="n"/>
      <c r="N857" s="113" t="n"/>
      <c r="O857" s="113" t="n"/>
      <c r="P857" s="398" t="n"/>
      <c r="Q857" s="398" t="n"/>
      <c r="R857" s="113" t="n"/>
      <c r="S857" s="113" t="n"/>
      <c r="T857" s="113" t="n"/>
      <c r="U857" s="113" t="n"/>
      <c r="V857" s="113" t="n"/>
    </row>
    <row r="858" ht="15.75" customHeight="1">
      <c r="A858" s="146" t="n">
        <v>15</v>
      </c>
      <c r="B858" s="238" t="n"/>
      <c r="C858" s="399" t="n">
        <v>45906</v>
      </c>
      <c r="D858" s="146" t="inlineStr">
        <is>
          <t>200 G. GARCERAS</t>
        </is>
      </c>
      <c r="E858" s="146" t="n">
        <v>43107</v>
      </c>
      <c r="F858" s="146" t="inlineStr">
        <is>
          <t>DUMAR ANGARITA</t>
        </is>
      </c>
      <c r="G858" s="395" t="n">
        <v>2836</v>
      </c>
      <c r="H858" s="395" t="n">
        <v>2818</v>
      </c>
      <c r="I858" s="395" t="n">
        <v>3</v>
      </c>
      <c r="J858" s="395" t="n">
        <v>15</v>
      </c>
      <c r="K858" s="395" t="n">
        <v>0</v>
      </c>
      <c r="L858" s="397" t="n">
        <v>2836</v>
      </c>
      <c r="M858" s="113" t="n"/>
      <c r="N858" s="113" t="n"/>
      <c r="O858" s="113" t="n"/>
      <c r="P858" s="398" t="n"/>
      <c r="Q858" s="398" t="n"/>
      <c r="R858" s="113" t="n"/>
      <c r="S858" s="113" t="n"/>
      <c r="T858" s="113" t="n"/>
      <c r="U858" s="113" t="n"/>
      <c r="V858" s="113" t="n"/>
    </row>
    <row r="859" ht="15.75" customHeight="1">
      <c r="A859" s="146" t="n">
        <v>15</v>
      </c>
      <c r="B859" s="238" t="n"/>
      <c r="C859" s="399" t="n">
        <v>45906</v>
      </c>
      <c r="D859" s="146" t="inlineStr">
        <is>
          <t>200 G. GARCERAS</t>
        </is>
      </c>
      <c r="E859" s="146" t="n">
        <v>43108</v>
      </c>
      <c r="F859" s="146" t="inlineStr">
        <is>
          <t>FABIO ALDANA</t>
        </is>
      </c>
      <c r="G859" s="395" t="n">
        <v>2836</v>
      </c>
      <c r="H859" s="395" t="n">
        <v>2824</v>
      </c>
      <c r="I859" s="395" t="n">
        <v>5</v>
      </c>
      <c r="J859" s="395" t="n">
        <v>6</v>
      </c>
      <c r="K859" s="395" t="n">
        <v>1</v>
      </c>
      <c r="L859" s="397" t="n">
        <v>2836</v>
      </c>
      <c r="M859" s="113" t="n"/>
      <c r="N859" s="113" t="n"/>
      <c r="O859" s="113" t="n"/>
      <c r="P859" s="398" t="n"/>
      <c r="Q859" s="398" t="n"/>
      <c r="R859" s="113" t="n"/>
      <c r="S859" s="113" t="n"/>
      <c r="T859" s="113" t="n"/>
      <c r="U859" s="113" t="n"/>
      <c r="V859" s="113" t="n"/>
    </row>
    <row r="860" ht="15.75" customHeight="1">
      <c r="A860" s="146" t="n">
        <v>15</v>
      </c>
      <c r="B860" s="238" t="n"/>
      <c r="C860" s="399" t="n">
        <v>45906</v>
      </c>
      <c r="D860" s="146" t="inlineStr">
        <is>
          <t>200 G. GARCERAS</t>
        </is>
      </c>
      <c r="E860" s="146" t="n">
        <v>43109</v>
      </c>
      <c r="F860" s="146" t="inlineStr">
        <is>
          <t>JOSE SOLER</t>
        </is>
      </c>
      <c r="G860" s="395" t="n">
        <v>2836</v>
      </c>
      <c r="H860" s="395" t="n">
        <v>2819</v>
      </c>
      <c r="I860" s="395" t="n">
        <v>3</v>
      </c>
      <c r="J860" s="395" t="n">
        <v>14</v>
      </c>
      <c r="K860" s="395" t="n">
        <v>0</v>
      </c>
      <c r="L860" s="397" t="n">
        <v>2836</v>
      </c>
      <c r="M860" s="113" t="n"/>
      <c r="N860" s="113" t="n"/>
      <c r="O860" s="113" t="n"/>
      <c r="P860" s="398" t="n"/>
      <c r="Q860" s="398" t="n"/>
      <c r="R860" s="113" t="n"/>
      <c r="S860" s="113" t="n"/>
      <c r="T860" s="113" t="n"/>
      <c r="U860" s="113" t="n"/>
      <c r="V860" s="113" t="n"/>
    </row>
    <row r="861" ht="15.75" customHeight="1">
      <c r="A861" s="146" t="n">
        <v>15</v>
      </c>
      <c r="B861" s="238" t="n"/>
      <c r="C861" s="399" t="n">
        <v>45906</v>
      </c>
      <c r="D861" s="146" t="inlineStr">
        <is>
          <t>200 G. GARCERAS</t>
        </is>
      </c>
      <c r="E861" s="146" t="n">
        <v>43110</v>
      </c>
      <c r="F861" s="146" t="inlineStr">
        <is>
          <t xml:space="preserve">ALEX GOMEZ </t>
        </is>
      </c>
      <c r="G861" s="395" t="n">
        <v>2219</v>
      </c>
      <c r="H861" s="395" t="n">
        <v>2205</v>
      </c>
      <c r="I861" s="395" t="n">
        <v>5</v>
      </c>
      <c r="J861" s="395" t="n">
        <v>9</v>
      </c>
      <c r="K861" s="395" t="n">
        <v>0</v>
      </c>
      <c r="L861" s="397" t="n">
        <v>2219</v>
      </c>
      <c r="M861" s="113" t="n"/>
      <c r="N861" s="113" t="n"/>
      <c r="O861" s="113" t="n"/>
      <c r="P861" s="398" t="n"/>
      <c r="Q861" s="398" t="n"/>
      <c r="R861" s="113" t="n"/>
      <c r="S861" s="113" t="n"/>
      <c r="T861" s="113" t="n"/>
      <c r="U861" s="113" t="n"/>
      <c r="V861" s="113" t="n"/>
    </row>
    <row r="862" ht="15.75" customHeight="1">
      <c r="A862" s="146" t="n">
        <v>15</v>
      </c>
      <c r="B862" s="238" t="n"/>
      <c r="C862" s="399" t="n">
        <v>45906</v>
      </c>
      <c r="D862" s="146" t="inlineStr">
        <is>
          <t>200 G. GARCERAS</t>
        </is>
      </c>
      <c r="E862" s="146" t="n">
        <v>43111</v>
      </c>
      <c r="F862" s="146" t="inlineStr">
        <is>
          <t>JAIRO CUBULLOS</t>
        </is>
      </c>
      <c r="G862" s="395" t="n">
        <v>2942</v>
      </c>
      <c r="H862" s="395" t="n">
        <v>2922</v>
      </c>
      <c r="I862" s="395" t="n">
        <v>2</v>
      </c>
      <c r="J862" s="395" t="n">
        <v>18</v>
      </c>
      <c r="K862" s="395" t="n">
        <v>0</v>
      </c>
      <c r="L862" s="397" t="n">
        <v>2942</v>
      </c>
      <c r="M862" s="113" t="n"/>
      <c r="N862" s="113" t="n"/>
      <c r="O862" s="113" t="n"/>
      <c r="P862" s="398" t="n"/>
      <c r="Q862" s="398" t="n"/>
      <c r="R862" s="113" t="n"/>
      <c r="S862" s="113" t="n"/>
      <c r="T862" s="113" t="n"/>
      <c r="U862" s="113" t="n"/>
      <c r="V862" s="113" t="n"/>
    </row>
    <row r="863" ht="15.75" customHeight="1">
      <c r="A863" s="146" t="n">
        <v>15</v>
      </c>
      <c r="B863" s="238" t="n"/>
      <c r="C863" s="399" t="n">
        <v>45906</v>
      </c>
      <c r="D863" s="146" t="inlineStr">
        <is>
          <t>200 G. GARCERAS</t>
        </is>
      </c>
      <c r="E863" s="146" t="n">
        <v>43112</v>
      </c>
      <c r="F863" s="146" t="inlineStr">
        <is>
          <t>JHON ARIAS</t>
        </is>
      </c>
      <c r="G863" s="395" t="n">
        <v>2942</v>
      </c>
      <c r="H863" s="395" t="n">
        <v>2938</v>
      </c>
      <c r="I863" s="395" t="n">
        <v>2</v>
      </c>
      <c r="J863" s="395" t="n">
        <v>2</v>
      </c>
      <c r="K863" s="395" t="n">
        <v>0</v>
      </c>
      <c r="L863" s="397" t="n">
        <v>2942</v>
      </c>
      <c r="M863" s="113" t="n"/>
      <c r="N863" s="113" t="n"/>
      <c r="O863" s="113" t="n"/>
      <c r="P863" s="398" t="n"/>
      <c r="Q863" s="398" t="n"/>
      <c r="R863" s="113" t="n"/>
      <c r="S863" s="113" t="n"/>
      <c r="T863" s="113" t="n"/>
      <c r="U863" s="113" t="n"/>
      <c r="V863" s="113" t="n"/>
    </row>
    <row r="864" ht="15.75" customHeight="1">
      <c r="A864" s="146" t="n">
        <v>15</v>
      </c>
      <c r="B864" s="238" t="n"/>
      <c r="C864" s="399" t="n">
        <v>45906</v>
      </c>
      <c r="D864" s="146" t="inlineStr">
        <is>
          <t>200 G. GARCERAS</t>
        </is>
      </c>
      <c r="E864" s="146" t="n">
        <v>43113</v>
      </c>
      <c r="F864" s="146" t="inlineStr">
        <is>
          <t>DIEGO NIÑO</t>
        </is>
      </c>
      <c r="G864" s="395" t="n">
        <v>3240</v>
      </c>
      <c r="H864" s="395" t="n">
        <v>3240</v>
      </c>
      <c r="I864" s="395" t="n">
        <v>3</v>
      </c>
      <c r="J864" s="395" t="n">
        <v>2</v>
      </c>
      <c r="K864" s="395" t="n">
        <v>-5</v>
      </c>
      <c r="L864" s="397" t="n">
        <v>3240</v>
      </c>
      <c r="M864" s="113" t="n"/>
      <c r="N864" s="113" t="n"/>
      <c r="O864" s="113" t="n"/>
      <c r="P864" s="398" t="n"/>
      <c r="Q864" s="398" t="n"/>
      <c r="R864" s="113" t="n"/>
      <c r="S864" s="113" t="n"/>
      <c r="T864" s="113" t="n"/>
      <c r="U864" s="113" t="n"/>
      <c r="V864" s="113" t="n"/>
    </row>
    <row r="865" ht="15.75" customHeight="1">
      <c r="A865" s="146" t="n">
        <v>15</v>
      </c>
      <c r="B865" s="238" t="n"/>
      <c r="C865" s="399" t="n">
        <v>45906</v>
      </c>
      <c r="D865" s="146" t="inlineStr">
        <is>
          <t>200 G. GARCERAS</t>
        </is>
      </c>
      <c r="E865" s="146" t="n">
        <v>43121</v>
      </c>
      <c r="F865" s="146" t="inlineStr">
        <is>
          <t>ALBERTO LOPEZ</t>
        </is>
      </c>
      <c r="G865" s="395" t="n">
        <v>2942</v>
      </c>
      <c r="H865" s="395" t="n">
        <v>2937</v>
      </c>
      <c r="I865" s="395" t="n">
        <v>2</v>
      </c>
      <c r="J865" s="395" t="n">
        <v>3</v>
      </c>
      <c r="K865" s="395" t="n">
        <v>0</v>
      </c>
      <c r="L865" s="397" t="n">
        <v>2940</v>
      </c>
      <c r="M865" s="113" t="n"/>
      <c r="N865" s="113" t="n"/>
      <c r="O865" s="113" t="n"/>
      <c r="P865" s="398" t="n"/>
      <c r="Q865" s="398" t="n"/>
      <c r="R865" s="113" t="n"/>
      <c r="S865" s="113" t="n"/>
      <c r="T865" s="113" t="n"/>
      <c r="U865" s="113" t="n"/>
      <c r="V865" s="113" t="n"/>
    </row>
    <row r="866" ht="15.75" customHeight="1">
      <c r="A866" s="146" t="n">
        <v>15</v>
      </c>
      <c r="B866" s="238" t="n"/>
      <c r="C866" s="399" t="n">
        <v>45906</v>
      </c>
      <c r="D866" s="146" t="inlineStr">
        <is>
          <t>200 G. GARCERAS</t>
        </is>
      </c>
      <c r="E866" s="146" t="n">
        <v>43122</v>
      </c>
      <c r="F866" s="146" t="inlineStr">
        <is>
          <t>HENRY ROMERO</t>
        </is>
      </c>
      <c r="G866" s="395" t="n">
        <v>2830</v>
      </c>
      <c r="H866" s="395" t="n">
        <v>2823</v>
      </c>
      <c r="I866" s="395" t="n">
        <v>3</v>
      </c>
      <c r="J866" s="395" t="n">
        <v>4</v>
      </c>
      <c r="K866" s="395" t="n">
        <v>0</v>
      </c>
      <c r="L866" s="397" t="n">
        <v>2830</v>
      </c>
      <c r="M866" s="113" t="n"/>
      <c r="N866" s="113" t="n"/>
      <c r="O866" s="113" t="n"/>
      <c r="P866" s="398" t="n"/>
      <c r="Q866" s="398" t="n"/>
      <c r="R866" s="113" t="n"/>
      <c r="S866" s="113" t="n"/>
      <c r="T866" s="113" t="n"/>
      <c r="U866" s="113" t="n"/>
      <c r="V866" s="113" t="n"/>
    </row>
    <row r="867" ht="15.75" customHeight="1">
      <c r="A867" s="146" t="n">
        <v>15</v>
      </c>
      <c r="B867" s="238" t="n"/>
      <c r="C867" s="399" t="n">
        <v>45906</v>
      </c>
      <c r="D867" s="146" t="inlineStr">
        <is>
          <t>200 G. GARCERAS</t>
        </is>
      </c>
      <c r="E867" s="146" t="n">
        <v>43123</v>
      </c>
      <c r="F867" s="146" t="inlineStr">
        <is>
          <t>FABIO ALDANA</t>
        </is>
      </c>
      <c r="G867" s="395" t="n">
        <v>3136</v>
      </c>
      <c r="H867" s="395" t="n">
        <v>3133</v>
      </c>
      <c r="I867" s="395" t="n">
        <v>1</v>
      </c>
      <c r="J867" s="395" t="n">
        <v>2</v>
      </c>
      <c r="K867" s="395" t="n">
        <v>0</v>
      </c>
      <c r="L867" s="397" t="n">
        <v>3136</v>
      </c>
      <c r="M867" s="113" t="n"/>
      <c r="N867" s="113" t="n"/>
      <c r="O867" s="113" t="n"/>
      <c r="P867" s="398" t="n"/>
      <c r="Q867" s="398" t="n"/>
      <c r="R867" s="113" t="n"/>
      <c r="S867" s="113" t="n"/>
      <c r="T867" s="113" t="n"/>
      <c r="U867" s="113" t="n"/>
      <c r="V867" s="113" t="n"/>
    </row>
    <row r="868" ht="15.75" customHeight="1">
      <c r="A868" s="146" t="n">
        <v>15</v>
      </c>
      <c r="B868" s="238" t="n"/>
      <c r="C868" s="399" t="n">
        <v>45906</v>
      </c>
      <c r="D868" s="146" t="inlineStr">
        <is>
          <t>200 G. GARCERAS</t>
        </is>
      </c>
      <c r="E868" s="146" t="n">
        <v>43124</v>
      </c>
      <c r="F868" s="146" t="inlineStr">
        <is>
          <t>JOSE SOLER</t>
        </is>
      </c>
      <c r="G868" s="395" t="n">
        <v>3136</v>
      </c>
      <c r="H868" s="395" t="n">
        <v>3120</v>
      </c>
      <c r="I868" s="395" t="n">
        <v>3</v>
      </c>
      <c r="J868" s="395" t="n">
        <v>13</v>
      </c>
      <c r="K868" s="395" t="n">
        <v>0</v>
      </c>
      <c r="L868" s="397" t="n">
        <v>3136</v>
      </c>
      <c r="M868" s="113" t="n"/>
      <c r="N868" s="113" t="n"/>
      <c r="O868" s="113" t="n"/>
      <c r="P868" s="398" t="n"/>
      <c r="Q868" s="398" t="n"/>
      <c r="R868" s="113" t="n"/>
      <c r="S868" s="113" t="n"/>
      <c r="T868" s="113" t="n"/>
      <c r="U868" s="113" t="n"/>
      <c r="V868" s="113" t="n"/>
    </row>
    <row r="869" ht="15.75" customHeight="1">
      <c r="A869" s="146" t="n">
        <v>15</v>
      </c>
      <c r="B869" s="238" t="n"/>
      <c r="C869" s="399" t="n"/>
      <c r="D869" s="113" t="n"/>
      <c r="E869" s="113" t="n"/>
      <c r="F869" s="113" t="n"/>
      <c r="G869" s="477">
        <f>SUBTOTAL(9,G780:G868)</f>
        <v/>
      </c>
      <c r="H869" s="477">
        <f>SUBTOTAL(9,H780:H868)</f>
        <v/>
      </c>
      <c r="I869" s="477">
        <f>SUBTOTAL(9,I780:I868)</f>
        <v/>
      </c>
      <c r="J869" s="477">
        <f>SUBTOTAL(9,J780:J868)</f>
        <v/>
      </c>
      <c r="K869" s="477">
        <f>SUBTOTAL(9,K780:K868)</f>
        <v/>
      </c>
      <c r="L869" s="477">
        <f>SUBTOTAL(9,L780:L868)</f>
        <v/>
      </c>
      <c r="M869" s="113" t="n"/>
      <c r="N869" s="395">
        <f>L869-G869</f>
        <v/>
      </c>
      <c r="O869" s="395">
        <f>N869*125</f>
        <v/>
      </c>
      <c r="P869" s="398" t="n"/>
      <c r="Q869" s="398" t="n"/>
      <c r="R869" s="113" t="n"/>
      <c r="S869" s="113" t="n"/>
      <c r="T869" s="113" t="n"/>
      <c r="U869" s="113" t="n"/>
      <c r="V869" s="113" t="n"/>
    </row>
    <row r="870" ht="15.75" customHeight="1">
      <c r="A870" s="146" t="n">
        <v>16</v>
      </c>
      <c r="B870" s="238" t="n"/>
      <c r="C870" s="399" t="n">
        <v>45908</v>
      </c>
      <c r="D870" s="162" t="inlineStr">
        <is>
          <t>221 G. MALAGUEÑA</t>
        </is>
      </c>
      <c r="E870" s="162" t="n">
        <v>43125</v>
      </c>
      <c r="F870" s="162" t="inlineStr">
        <is>
          <t>JAIRO CUBULLOS</t>
        </is>
      </c>
      <c r="G870" s="162" t="n">
        <v>3431</v>
      </c>
      <c r="H870" s="162" t="n">
        <v>3413</v>
      </c>
      <c r="I870" s="162" t="n">
        <v>1</v>
      </c>
      <c r="J870" s="162" t="n">
        <v>17</v>
      </c>
      <c r="K870" s="162" t="n">
        <v>0</v>
      </c>
      <c r="L870" s="397" t="n">
        <v>3431</v>
      </c>
      <c r="M870" s="113" t="n"/>
      <c r="N870" s="113" t="n"/>
      <c r="O870" s="113" t="n"/>
      <c r="P870" s="398" t="n"/>
      <c r="Q870" s="398" t="n"/>
      <c r="R870" s="113" t="n"/>
      <c r="S870" s="113" t="n"/>
      <c r="T870" s="113" t="n"/>
      <c r="U870" s="113" t="n"/>
      <c r="V870" s="113" t="n"/>
    </row>
    <row r="871" ht="15.75" customHeight="1">
      <c r="A871" s="146" t="n">
        <v>16</v>
      </c>
      <c r="B871" s="238" t="n"/>
      <c r="C871" s="399" t="n">
        <v>45908</v>
      </c>
      <c r="D871" s="162" t="inlineStr">
        <is>
          <t>221 G. MALAGUEÑA</t>
        </is>
      </c>
      <c r="E871" s="162" t="n">
        <v>43126</v>
      </c>
      <c r="F871" s="162" t="inlineStr">
        <is>
          <t>DIEGO NIÑO</t>
        </is>
      </c>
      <c r="G871" s="162" t="n">
        <v>3431</v>
      </c>
      <c r="H871" s="162" t="n">
        <v>3410</v>
      </c>
      <c r="I871" s="162" t="n">
        <v>5</v>
      </c>
      <c r="J871" s="162" t="n">
        <v>17</v>
      </c>
      <c r="K871" s="162" t="n">
        <v>-1</v>
      </c>
      <c r="L871" s="397" t="n">
        <v>3431</v>
      </c>
      <c r="M871" s="113" t="n"/>
      <c r="N871" s="113" t="n"/>
      <c r="O871" s="113" t="n"/>
      <c r="P871" s="398" t="n"/>
      <c r="Q871" s="398" t="n"/>
      <c r="R871" s="113" t="n"/>
      <c r="S871" s="113" t="n"/>
      <c r="T871" s="113" t="n"/>
      <c r="U871" s="113" t="n"/>
      <c r="V871" s="113" t="n"/>
    </row>
    <row r="872" ht="15.75" customHeight="1">
      <c r="A872" s="146" t="n">
        <v>16</v>
      </c>
      <c r="B872" s="238" t="n"/>
      <c r="C872" s="399" t="n">
        <v>45908</v>
      </c>
      <c r="D872" s="162" t="inlineStr">
        <is>
          <t>200 G. GARCERAS</t>
        </is>
      </c>
      <c r="E872" s="162" t="n">
        <v>43127</v>
      </c>
      <c r="F872" s="162" t="inlineStr">
        <is>
          <t>WILMER PIÑEROS</t>
        </is>
      </c>
      <c r="G872" s="162" t="n">
        <v>2797</v>
      </c>
      <c r="H872" s="162" t="n">
        <v>2790</v>
      </c>
      <c r="I872" s="162" t="n">
        <v>3</v>
      </c>
      <c r="J872" s="162" t="n">
        <v>4</v>
      </c>
      <c r="K872" s="162" t="n">
        <v>0</v>
      </c>
      <c r="L872" s="397" t="n">
        <v>2797</v>
      </c>
      <c r="M872" s="113" t="n"/>
      <c r="N872" s="113" t="n"/>
      <c r="O872" s="113" t="n"/>
      <c r="P872" s="398" t="n"/>
      <c r="Q872" s="398" t="n"/>
      <c r="R872" s="113" t="n"/>
      <c r="S872" s="113" t="n"/>
      <c r="T872" s="113" t="n"/>
      <c r="U872" s="113" t="n"/>
      <c r="V872" s="113" t="n"/>
    </row>
    <row r="873" ht="15.75" customHeight="1">
      <c r="A873" s="146" t="n">
        <v>16</v>
      </c>
      <c r="B873" s="238" t="n"/>
      <c r="C873" s="399" t="n">
        <v>45908</v>
      </c>
      <c r="D873" s="162" t="inlineStr">
        <is>
          <t>200 G. GARCERAS</t>
        </is>
      </c>
      <c r="E873" s="162" t="n">
        <v>43128</v>
      </c>
      <c r="F873" s="162" t="inlineStr">
        <is>
          <t>ALBERTO HERRERA</t>
        </is>
      </c>
      <c r="G873" s="162" t="n">
        <v>2797</v>
      </c>
      <c r="H873" s="162" t="n">
        <v>2786</v>
      </c>
      <c r="I873" s="162" t="n">
        <v>3</v>
      </c>
      <c r="J873" s="162" t="n">
        <v>6</v>
      </c>
      <c r="K873" s="162" t="n">
        <v>2</v>
      </c>
      <c r="L873" s="397" t="n">
        <v>2797</v>
      </c>
      <c r="M873" s="113" t="n"/>
      <c r="N873" s="113" t="n"/>
      <c r="O873" s="113" t="n"/>
      <c r="P873" s="398" t="n"/>
      <c r="Q873" s="398" t="n"/>
      <c r="R873" s="113" t="n"/>
      <c r="S873" s="113" t="n"/>
      <c r="T873" s="113" t="n"/>
      <c r="U873" s="113" t="n"/>
      <c r="V873" s="113" t="n"/>
    </row>
    <row r="874" ht="15.75" customHeight="1">
      <c r="A874" s="146" t="n">
        <v>16</v>
      </c>
      <c r="B874" s="238" t="n"/>
      <c r="C874" s="399" t="n">
        <v>45908</v>
      </c>
      <c r="D874" s="162" t="inlineStr">
        <is>
          <t>200 G. GARCERAS</t>
        </is>
      </c>
      <c r="E874" s="162" t="n">
        <v>43129</v>
      </c>
      <c r="F874" s="162" t="inlineStr">
        <is>
          <t>MANUEL QUITIAN</t>
        </is>
      </c>
      <c r="G874" s="162" t="n">
        <v>2797</v>
      </c>
      <c r="H874" s="162" t="n">
        <v>2783</v>
      </c>
      <c r="I874" s="162" t="n">
        <v>3</v>
      </c>
      <c r="J874" s="162" t="n">
        <v>11</v>
      </c>
      <c r="K874" s="162" t="n">
        <v>0</v>
      </c>
      <c r="L874" s="397" t="n">
        <v>2797</v>
      </c>
      <c r="M874" s="113" t="n"/>
      <c r="N874" s="113" t="n"/>
      <c r="O874" s="113" t="n"/>
      <c r="P874" s="398" t="n"/>
      <c r="Q874" s="398" t="n"/>
      <c r="R874" s="113" t="n"/>
      <c r="S874" s="113" t="n"/>
      <c r="T874" s="113" t="n"/>
      <c r="U874" s="113" t="n"/>
      <c r="V874" s="113" t="n"/>
    </row>
    <row r="875" ht="15.75" customHeight="1">
      <c r="A875" s="146" t="n">
        <v>16</v>
      </c>
      <c r="B875" s="238" t="n"/>
      <c r="C875" s="399" t="n">
        <v>45908</v>
      </c>
      <c r="D875" s="162" t="inlineStr">
        <is>
          <t>200 G. GARCERAS</t>
        </is>
      </c>
      <c r="E875" s="162" t="n">
        <v>43130</v>
      </c>
      <c r="F875" s="162" t="inlineStr">
        <is>
          <t>YAIR RIVEROS</t>
        </is>
      </c>
      <c r="G875" s="162" t="n">
        <v>3024</v>
      </c>
      <c r="H875" s="162" t="n">
        <v>3052</v>
      </c>
      <c r="I875" s="162" t="n">
        <v>5</v>
      </c>
      <c r="J875" s="162" t="n">
        <v>1</v>
      </c>
      <c r="K875" s="162" t="n">
        <v>-34</v>
      </c>
      <c r="L875" s="397" t="n">
        <v>3024</v>
      </c>
      <c r="M875" s="113" t="n"/>
      <c r="N875" s="113" t="n"/>
      <c r="O875" s="113" t="n"/>
      <c r="P875" s="398" t="n"/>
      <c r="Q875" s="398" t="n"/>
      <c r="R875" s="113" t="n"/>
      <c r="S875" s="113" t="n"/>
      <c r="T875" s="113" t="n"/>
      <c r="U875" s="113" t="n"/>
      <c r="V875" s="113" t="n"/>
    </row>
    <row r="876" ht="15.75" customHeight="1">
      <c r="A876" s="146" t="n">
        <v>16</v>
      </c>
      <c r="B876" s="238" t="n"/>
      <c r="C876" s="399" t="n">
        <v>45909</v>
      </c>
      <c r="D876" s="146" t="inlineStr">
        <is>
          <t>202 G. HUERTAS</t>
        </is>
      </c>
      <c r="E876" s="146" t="n">
        <v>43144</v>
      </c>
      <c r="F876" s="146" t="inlineStr">
        <is>
          <t>DIEGO NIÑO</t>
        </is>
      </c>
      <c r="G876" s="395" t="n">
        <v>1944</v>
      </c>
      <c r="H876" s="395" t="n">
        <v>1921</v>
      </c>
      <c r="I876" s="395" t="n">
        <v>2</v>
      </c>
      <c r="J876" s="395" t="n">
        <v>21</v>
      </c>
      <c r="K876" s="395" t="n">
        <v>0</v>
      </c>
      <c r="L876" s="397" t="n">
        <v>1944</v>
      </c>
      <c r="M876" s="113" t="n"/>
      <c r="N876" s="113" t="n"/>
      <c r="O876" s="113" t="n"/>
      <c r="P876" s="398" t="n"/>
      <c r="Q876" s="398" t="n"/>
      <c r="R876" s="113" t="n"/>
      <c r="S876" s="113" t="n"/>
      <c r="T876" s="113" t="n"/>
      <c r="U876" s="113" t="n"/>
      <c r="V876" s="113" t="n"/>
    </row>
    <row r="877" ht="15.75" customHeight="1">
      <c r="A877" s="146" t="n">
        <v>16</v>
      </c>
      <c r="B877" s="238" t="n"/>
      <c r="C877" s="399" t="n">
        <v>45909</v>
      </c>
      <c r="D877" s="146" t="inlineStr">
        <is>
          <t>202 G. HUERTAS</t>
        </is>
      </c>
      <c r="E877" s="146" t="n">
        <v>43145</v>
      </c>
      <c r="F877" s="146" t="inlineStr">
        <is>
          <t>YAIR RIVEROS</t>
        </is>
      </c>
      <c r="G877" s="395" t="n">
        <v>2160</v>
      </c>
      <c r="H877" s="395" t="n">
        <v>2225</v>
      </c>
      <c r="I877" s="395" t="n">
        <v>22</v>
      </c>
      <c r="J877" s="395" t="n">
        <v>20</v>
      </c>
      <c r="K877" s="395" t="n">
        <v>-107</v>
      </c>
      <c r="L877" s="397" t="n">
        <v>2241</v>
      </c>
      <c r="M877" s="113" t="n"/>
      <c r="N877" s="113" t="n"/>
      <c r="O877" s="113" t="n"/>
      <c r="P877" s="398" t="n"/>
      <c r="Q877" s="398" t="n"/>
      <c r="R877" s="113" t="n"/>
      <c r="S877" s="113" t="n"/>
      <c r="T877" s="113" t="n"/>
      <c r="U877" s="113" t="n"/>
      <c r="V877" s="113" t="n"/>
    </row>
    <row r="878" ht="15.75" customHeight="1">
      <c r="A878" s="146" t="n">
        <v>16</v>
      </c>
      <c r="B878" s="238" t="n"/>
      <c r="C878" s="399" t="n">
        <v>45909</v>
      </c>
      <c r="D878" s="146" t="inlineStr">
        <is>
          <t>200 G. GARCERAS</t>
        </is>
      </c>
      <c r="E878" s="146" t="n">
        <v>43146</v>
      </c>
      <c r="F878" s="146" t="inlineStr">
        <is>
          <t>JOSE SOLER</t>
        </is>
      </c>
      <c r="G878" s="395" t="n">
        <v>3013</v>
      </c>
      <c r="H878" s="395" t="n">
        <v>2999</v>
      </c>
      <c r="I878" s="395" t="n">
        <v>3</v>
      </c>
      <c r="J878" s="395" t="n">
        <v>11</v>
      </c>
      <c r="K878" s="395" t="n">
        <v>0</v>
      </c>
      <c r="L878" s="397" t="n">
        <v>3013</v>
      </c>
      <c r="M878" s="113" t="n"/>
      <c r="N878" s="113" t="n"/>
      <c r="O878" s="113" t="n"/>
      <c r="P878" s="398" t="n"/>
      <c r="Q878" s="398" t="n"/>
      <c r="R878" s="113" t="n"/>
      <c r="S878" s="113" t="n"/>
      <c r="T878" s="113" t="n"/>
      <c r="U878" s="113" t="n"/>
      <c r="V878" s="113" t="n"/>
    </row>
    <row r="879" ht="15.75" customHeight="1">
      <c r="A879" s="146" t="n">
        <v>16</v>
      </c>
      <c r="B879" s="238" t="n"/>
      <c r="C879" s="399" t="n">
        <v>45909</v>
      </c>
      <c r="D879" s="146" t="inlineStr">
        <is>
          <t>200 G. GARCERAS</t>
        </is>
      </c>
      <c r="E879" s="146" t="n">
        <v>43147</v>
      </c>
      <c r="F879" s="146" t="inlineStr">
        <is>
          <t>FABIO ALDANA</t>
        </is>
      </c>
      <c r="G879" s="395" t="n">
        <v>3013</v>
      </c>
      <c r="H879" s="395" t="n">
        <v>2998</v>
      </c>
      <c r="I879" s="395" t="n">
        <v>4</v>
      </c>
      <c r="J879" s="395" t="n">
        <v>18</v>
      </c>
      <c r="K879" s="395" t="n">
        <v>-7</v>
      </c>
      <c r="L879" s="397" t="n">
        <v>2013</v>
      </c>
      <c r="M879" s="113" t="n"/>
      <c r="N879" s="113" t="n"/>
      <c r="O879" s="113" t="n"/>
      <c r="P879" s="398" t="n"/>
      <c r="Q879" s="398" t="n"/>
      <c r="R879" s="113" t="n"/>
      <c r="S879" s="113" t="n"/>
      <c r="T879" s="113" t="n"/>
      <c r="U879" s="113" t="n"/>
      <c r="V879" s="113" t="n"/>
    </row>
    <row r="880" ht="15.75" customHeight="1">
      <c r="A880" s="146" t="n">
        <v>16</v>
      </c>
      <c r="B880" s="238" t="n"/>
      <c r="C880" s="399" t="n">
        <v>45909</v>
      </c>
      <c r="D880" s="146" t="inlineStr">
        <is>
          <t>200 G. GARCERAS</t>
        </is>
      </c>
      <c r="E880" s="146" t="n">
        <v>43148</v>
      </c>
      <c r="F880" s="146" t="inlineStr">
        <is>
          <t>DUMAR ANGARITA</t>
        </is>
      </c>
      <c r="G880" s="395" t="n">
        <v>3013</v>
      </c>
      <c r="H880" s="395" t="n">
        <v>3007</v>
      </c>
      <c r="I880" s="395" t="n">
        <v>3</v>
      </c>
      <c r="J880" s="395" t="n">
        <v>5</v>
      </c>
      <c r="K880" s="395" t="n">
        <v>-2</v>
      </c>
      <c r="L880" s="397" t="n">
        <v>3013</v>
      </c>
      <c r="M880" s="113" t="n"/>
      <c r="N880" s="113" t="n"/>
      <c r="O880" s="113" t="n"/>
      <c r="P880" s="398" t="n"/>
      <c r="Q880" s="398" t="n"/>
      <c r="R880" s="113" t="n"/>
      <c r="S880" s="113" t="n"/>
      <c r="T880" s="113" t="n"/>
      <c r="U880" s="113" t="n"/>
      <c r="V880" s="113" t="n"/>
    </row>
    <row r="881" ht="15.75" customHeight="1">
      <c r="A881" s="146" t="n">
        <v>16</v>
      </c>
      <c r="B881" s="238" t="n"/>
      <c r="C881" s="399" t="n">
        <v>45909</v>
      </c>
      <c r="D881" s="146" t="inlineStr">
        <is>
          <t>200 G. GARCERAS</t>
        </is>
      </c>
      <c r="E881" s="146" t="n">
        <v>43149</v>
      </c>
      <c r="F881" s="146" t="inlineStr">
        <is>
          <t>JAIRO CUBULLOS</t>
        </is>
      </c>
      <c r="G881" s="395" t="n">
        <v>3205</v>
      </c>
      <c r="H881" s="395" t="n">
        <v>3197</v>
      </c>
      <c r="I881" s="395" t="n">
        <v>8</v>
      </c>
      <c r="J881" s="395" t="n">
        <v>1</v>
      </c>
      <c r="K881" s="395" t="n">
        <v>-1</v>
      </c>
      <c r="L881" s="397" t="n">
        <v>3205</v>
      </c>
      <c r="M881" s="113" t="n"/>
      <c r="N881" s="113" t="n"/>
      <c r="O881" s="113" t="n"/>
      <c r="P881" s="398" t="n"/>
      <c r="Q881" s="398" t="n"/>
      <c r="R881" s="113" t="n"/>
      <c r="S881" s="113" t="n"/>
      <c r="T881" s="113" t="n"/>
      <c r="U881" s="113" t="n"/>
      <c r="V881" s="113" t="n"/>
    </row>
    <row r="882" ht="15.75" customHeight="1">
      <c r="A882" s="146" t="n">
        <v>16</v>
      </c>
      <c r="B882" s="238" t="n"/>
      <c r="C882" s="399" t="n">
        <v>45909</v>
      </c>
      <c r="D882" s="146" t="inlineStr">
        <is>
          <t>221 G. MALAGUEÑA</t>
        </is>
      </c>
      <c r="E882" s="146" t="n">
        <v>43150</v>
      </c>
      <c r="F882" s="146" t="inlineStr">
        <is>
          <t>ALBERTO HERRERA</t>
        </is>
      </c>
      <c r="G882" s="395" t="n">
        <v>3278</v>
      </c>
      <c r="H882" s="395" t="n">
        <v>3254</v>
      </c>
      <c r="I882" s="395" t="n">
        <v>2</v>
      </c>
      <c r="J882" s="395" t="n">
        <v>17</v>
      </c>
      <c r="K882" s="395" t="n">
        <v>5</v>
      </c>
      <c r="L882" s="397" t="n">
        <v>3278</v>
      </c>
      <c r="M882" s="113" t="n"/>
      <c r="N882" s="113" t="n"/>
      <c r="O882" s="113" t="n"/>
      <c r="P882" s="398" t="n"/>
      <c r="Q882" s="398" t="n"/>
      <c r="R882" s="113" t="n"/>
      <c r="S882" s="113" t="n"/>
      <c r="T882" s="113" t="n"/>
      <c r="U882" s="113" t="n"/>
      <c r="V882" s="113" t="n"/>
    </row>
    <row r="883" ht="15.75" customHeight="1">
      <c r="A883" s="146" t="n">
        <v>16</v>
      </c>
      <c r="B883" s="238" t="n"/>
      <c r="C883" s="399" t="n">
        <v>45909</v>
      </c>
      <c r="D883" s="146" t="inlineStr">
        <is>
          <t>221 G. MALAGUEÑA</t>
        </is>
      </c>
      <c r="E883" s="146" t="n">
        <v>43151</v>
      </c>
      <c r="F883" s="146" t="inlineStr">
        <is>
          <t>EDWIN ROJAS</t>
        </is>
      </c>
      <c r="G883" s="395" t="n">
        <v>3278</v>
      </c>
      <c r="H883" s="395" t="n">
        <v>3254</v>
      </c>
      <c r="I883" s="395" t="n">
        <v>3</v>
      </c>
      <c r="J883" s="395" t="n">
        <v>20</v>
      </c>
      <c r="K883" s="395" t="n">
        <v>1</v>
      </c>
      <c r="L883" s="397" t="n">
        <v>3278</v>
      </c>
      <c r="M883" s="113" t="n"/>
      <c r="N883" s="113" t="n"/>
      <c r="O883" s="113" t="n"/>
      <c r="P883" s="398" t="n"/>
      <c r="Q883" s="398" t="n"/>
      <c r="R883" s="113" t="n"/>
      <c r="S883" s="113" t="n"/>
      <c r="T883" s="113" t="n"/>
      <c r="U883" s="113" t="n"/>
      <c r="V883" s="113" t="n"/>
    </row>
    <row r="884" ht="15.75" customHeight="1">
      <c r="A884" s="146" t="n">
        <v>16</v>
      </c>
      <c r="B884" s="238" t="n"/>
      <c r="C884" s="399" t="n">
        <v>45909</v>
      </c>
      <c r="D884" s="146" t="inlineStr">
        <is>
          <t>221 G. MALAGUEÑA</t>
        </is>
      </c>
      <c r="E884" s="146" t="n">
        <v>43152</v>
      </c>
      <c r="F884" s="146" t="inlineStr">
        <is>
          <t>ROVINSON PULIDO</t>
        </is>
      </c>
      <c r="G884" s="395" t="n">
        <v>3278</v>
      </c>
      <c r="H884" s="395" t="n">
        <v>3259</v>
      </c>
      <c r="I884" s="395" t="n">
        <v>3</v>
      </c>
      <c r="J884" s="395" t="n">
        <v>13</v>
      </c>
      <c r="K884" s="395" t="n">
        <v>3</v>
      </c>
      <c r="L884" s="397" t="n">
        <v>3278</v>
      </c>
      <c r="M884" s="113" t="n"/>
      <c r="N884" s="113" t="n"/>
      <c r="O884" s="113" t="n"/>
      <c r="P884" s="398" t="n"/>
      <c r="Q884" s="398" t="n"/>
      <c r="R884" s="113" t="n"/>
      <c r="S884" s="113" t="n"/>
      <c r="T884" s="113" t="n"/>
      <c r="U884" s="113" t="n"/>
      <c r="V884" s="113" t="n"/>
    </row>
    <row r="885" ht="15.75" customHeight="1">
      <c r="A885" s="146" t="n">
        <v>16</v>
      </c>
      <c r="B885" s="238" t="n"/>
      <c r="C885" s="399" t="n">
        <v>45910</v>
      </c>
      <c r="D885" s="146" t="inlineStr">
        <is>
          <t>221 G. MALAGUEÑA</t>
        </is>
      </c>
      <c r="E885" s="146" t="n">
        <v>43167</v>
      </c>
      <c r="F885" s="146" t="inlineStr">
        <is>
          <t>YAIR RIVEROS</t>
        </is>
      </c>
      <c r="G885" s="395" t="n">
        <v>3368</v>
      </c>
      <c r="H885" s="395" t="n">
        <v>3355</v>
      </c>
      <c r="I885" s="395" t="n">
        <v>1</v>
      </c>
      <c r="J885" s="395" t="n">
        <v>10</v>
      </c>
      <c r="K885" s="395" t="n">
        <v>2</v>
      </c>
      <c r="L885" s="397" t="n">
        <v>3368</v>
      </c>
      <c r="M885" s="113" t="n"/>
      <c r="N885" s="113" t="n"/>
      <c r="O885" s="113" t="n"/>
      <c r="P885" s="398" t="n"/>
      <c r="Q885" s="398" t="n"/>
      <c r="R885" s="113" t="n"/>
      <c r="S885" s="113" t="n"/>
      <c r="T885" s="113" t="n"/>
      <c r="U885" s="113" t="n"/>
      <c r="V885" s="113" t="n"/>
    </row>
    <row r="886" ht="15.75" customHeight="1">
      <c r="A886" s="146" t="n">
        <v>16</v>
      </c>
      <c r="B886" s="238" t="n"/>
      <c r="C886" s="399" t="n">
        <v>45910</v>
      </c>
      <c r="D886" s="146" t="inlineStr">
        <is>
          <t>221 G. MALAGUEÑA</t>
        </is>
      </c>
      <c r="E886" s="146" t="n">
        <v>43168</v>
      </c>
      <c r="F886" s="146" t="inlineStr">
        <is>
          <t xml:space="preserve">ALEX GOMEZ </t>
        </is>
      </c>
      <c r="G886" s="395" t="n">
        <v>3368</v>
      </c>
      <c r="H886" s="395" t="n">
        <v>3340</v>
      </c>
      <c r="I886" s="395" t="n">
        <v>1</v>
      </c>
      <c r="J886" s="395" t="n">
        <v>21</v>
      </c>
      <c r="K886" s="395" t="n">
        <v>6</v>
      </c>
      <c r="L886" s="397" t="n">
        <v>3368</v>
      </c>
      <c r="M886" s="113" t="n"/>
      <c r="N886" s="113" t="n"/>
      <c r="O886" s="113" t="n"/>
      <c r="P886" s="398" t="n"/>
      <c r="Q886" s="398" t="n"/>
      <c r="R886" s="113" t="n"/>
      <c r="S886" s="113" t="n"/>
      <c r="T886" s="113" t="n"/>
      <c r="U886" s="113" t="n"/>
      <c r="V886" s="113" t="n"/>
    </row>
    <row r="887" ht="15.75" customHeight="1">
      <c r="A887" s="146" t="n">
        <v>16</v>
      </c>
      <c r="B887" s="238" t="n"/>
      <c r="C887" s="399" t="n">
        <v>45910</v>
      </c>
      <c r="D887" s="146" t="inlineStr">
        <is>
          <t>221 G. MALAGUEÑA</t>
        </is>
      </c>
      <c r="E887" s="146" t="n">
        <v>43169</v>
      </c>
      <c r="F887" s="146" t="inlineStr">
        <is>
          <t>ALEXANDER CHAGUALO</t>
        </is>
      </c>
      <c r="G887" s="395" t="n">
        <v>3379</v>
      </c>
      <c r="H887" s="395" t="n">
        <v>3359</v>
      </c>
      <c r="I887" s="395" t="n">
        <v>1</v>
      </c>
      <c r="J887" s="395" t="n">
        <v>16</v>
      </c>
      <c r="K887" s="395" t="n">
        <v>3</v>
      </c>
      <c r="L887" s="397" t="n">
        <v>3379</v>
      </c>
      <c r="M887" s="113" t="n"/>
      <c r="N887" s="113" t="n"/>
      <c r="O887" s="113" t="n"/>
      <c r="P887" s="398" t="n"/>
      <c r="Q887" s="398" t="n"/>
      <c r="R887" s="113" t="n"/>
      <c r="S887" s="113" t="n"/>
      <c r="T887" s="113" t="n"/>
      <c r="U887" s="113" t="n"/>
      <c r="V887" s="113" t="n"/>
    </row>
    <row r="888" ht="15.75" customHeight="1">
      <c r="A888" s="146" t="n">
        <v>16</v>
      </c>
      <c r="B888" s="238" t="n"/>
      <c r="C888" s="399" t="n">
        <v>45910</v>
      </c>
      <c r="D888" s="146" t="inlineStr">
        <is>
          <t>221 G. MALAGUEÑA</t>
        </is>
      </c>
      <c r="E888" s="146" t="n">
        <v>43170</v>
      </c>
      <c r="F888" s="146" t="inlineStr">
        <is>
          <t>MANUEL QUITIAN</t>
        </is>
      </c>
      <c r="G888" s="395" t="n">
        <v>3379</v>
      </c>
      <c r="H888" s="395" t="n">
        <v>3366</v>
      </c>
      <c r="I888" s="395" t="n">
        <v>3</v>
      </c>
      <c r="J888" s="395" t="n">
        <v>7</v>
      </c>
      <c r="K888" s="395" t="n">
        <v>3</v>
      </c>
      <c r="L888" s="397" t="n">
        <v>3379</v>
      </c>
      <c r="M888" s="113" t="n"/>
      <c r="N888" s="113" t="n"/>
      <c r="O888" s="113" t="n"/>
      <c r="P888" s="398" t="n"/>
      <c r="Q888" s="398" t="n"/>
      <c r="R888" s="113" t="n"/>
      <c r="S888" s="113" t="n"/>
      <c r="T888" s="113" t="n"/>
      <c r="U888" s="113" t="n"/>
      <c r="V888" s="113" t="n"/>
    </row>
    <row r="889" ht="15.75" customHeight="1">
      <c r="A889" s="146" t="n">
        <v>16</v>
      </c>
      <c r="B889" s="238" t="n"/>
      <c r="C889" s="399" t="n">
        <v>45910</v>
      </c>
      <c r="D889" s="146" t="inlineStr">
        <is>
          <t>200 G. GARCERAS</t>
        </is>
      </c>
      <c r="E889" s="146" t="n">
        <v>43171</v>
      </c>
      <c r="F889" s="146" t="inlineStr">
        <is>
          <t>JHON ARIAS</t>
        </is>
      </c>
      <c r="G889" s="395" t="n">
        <v>3306</v>
      </c>
      <c r="H889" s="395" t="n">
        <v>3295</v>
      </c>
      <c r="I889" s="395" t="n">
        <v>3</v>
      </c>
      <c r="J889" s="395" t="n">
        <v>8</v>
      </c>
      <c r="K889" s="395" t="n">
        <v>0</v>
      </c>
      <c r="L889" s="397" t="n">
        <v>3306</v>
      </c>
      <c r="M889" s="113" t="n"/>
      <c r="N889" s="113" t="n"/>
      <c r="O889" s="113" t="n"/>
      <c r="P889" s="398" t="n"/>
      <c r="Q889" s="398" t="n"/>
      <c r="R889" s="113" t="n"/>
      <c r="S889" s="113" t="n"/>
      <c r="T889" s="113" t="n"/>
      <c r="U889" s="113" t="n"/>
      <c r="V889" s="113" t="n"/>
    </row>
    <row r="890" ht="15.75" customHeight="1">
      <c r="A890" s="146" t="n">
        <v>16</v>
      </c>
      <c r="B890" s="238" t="n"/>
      <c r="C890" s="399" t="n">
        <v>45910</v>
      </c>
      <c r="D890" s="146" t="inlineStr">
        <is>
          <t>200 G. GARCERAS</t>
        </is>
      </c>
      <c r="E890" s="146" t="n">
        <v>43172</v>
      </c>
      <c r="F890" s="146" t="inlineStr">
        <is>
          <t>HENRY ROMERO</t>
        </is>
      </c>
      <c r="G890" s="395" t="n">
        <v>3306</v>
      </c>
      <c r="H890" s="395" t="n">
        <v>3304</v>
      </c>
      <c r="I890" s="395" t="n">
        <v>2</v>
      </c>
      <c r="J890" s="395" t="n">
        <v>0</v>
      </c>
      <c r="K890" s="395" t="n">
        <v>0</v>
      </c>
      <c r="L890" s="397" t="n">
        <v>3306</v>
      </c>
      <c r="M890" s="113" t="n"/>
      <c r="N890" s="113" t="n"/>
      <c r="O890" s="113" t="n"/>
      <c r="P890" s="398" t="n"/>
      <c r="Q890" s="398" t="n"/>
      <c r="R890" s="113" t="n"/>
      <c r="S890" s="113" t="n"/>
      <c r="T890" s="113" t="n"/>
      <c r="U890" s="113" t="n"/>
      <c r="V890" s="113" t="n"/>
    </row>
    <row r="891" ht="15.75" customHeight="1">
      <c r="A891" s="146" t="n">
        <v>16</v>
      </c>
      <c r="B891" s="238" t="n"/>
      <c r="C891" s="399" t="n">
        <v>45910</v>
      </c>
      <c r="D891" s="146" t="inlineStr">
        <is>
          <t>200 G. GARCERAS</t>
        </is>
      </c>
      <c r="E891" s="146" t="n">
        <v>43173</v>
      </c>
      <c r="F891" s="146" t="inlineStr">
        <is>
          <t>ALBERTO HERRERA</t>
        </is>
      </c>
      <c r="G891" s="395" t="n">
        <v>3396</v>
      </c>
      <c r="H891" s="395" t="n">
        <v>3372</v>
      </c>
      <c r="I891" s="395" t="n">
        <v>2</v>
      </c>
      <c r="J891" s="395" t="n">
        <v>22</v>
      </c>
      <c r="K891" s="395" t="n">
        <v>0</v>
      </c>
      <c r="L891" s="397" t="n">
        <v>3397</v>
      </c>
      <c r="M891" s="113" t="n"/>
      <c r="N891" s="113" t="n"/>
      <c r="O891" s="113" t="n"/>
      <c r="P891" s="398" t="n"/>
      <c r="Q891" s="398" t="n"/>
      <c r="R891" s="113" t="n"/>
      <c r="S891" s="113" t="n"/>
      <c r="T891" s="113" t="n"/>
      <c r="U891" s="113" t="n"/>
      <c r="V891" s="113" t="n"/>
    </row>
    <row r="892" ht="15.75" customHeight="1">
      <c r="A892" s="146" t="n">
        <v>16</v>
      </c>
      <c r="B892" s="238" t="n"/>
      <c r="C892" s="399" t="n">
        <v>45911</v>
      </c>
      <c r="D892" s="146" t="inlineStr">
        <is>
          <t>200 G. GARCERAS</t>
        </is>
      </c>
      <c r="E892" s="146" t="n">
        <v>43188</v>
      </c>
      <c r="F892" s="146" t="inlineStr">
        <is>
          <t>ROBINSON PULIDO</t>
        </is>
      </c>
      <c r="G892" s="395" t="n">
        <v>2590</v>
      </c>
      <c r="H892" s="395" t="n">
        <v>2572</v>
      </c>
      <c r="I892" s="395" t="n">
        <v>9</v>
      </c>
      <c r="J892" s="395" t="n">
        <v>10</v>
      </c>
      <c r="K892" s="395" t="n">
        <v>-1</v>
      </c>
      <c r="L892" s="397" t="n">
        <v>2592</v>
      </c>
      <c r="M892" s="113" t="n"/>
      <c r="N892" s="113" t="n"/>
      <c r="O892" s="113" t="n"/>
      <c r="P892" s="398" t="n"/>
      <c r="Q892" s="398" t="n"/>
      <c r="R892" s="113" t="n"/>
      <c r="S892" s="113" t="n"/>
      <c r="T892" s="113" t="n"/>
      <c r="U892" s="113" t="n"/>
      <c r="V892" s="113" t="n"/>
    </row>
    <row r="893" ht="15.75" customHeight="1">
      <c r="A893" s="146" t="n">
        <v>16</v>
      </c>
      <c r="B893" s="238" t="n"/>
      <c r="C893" s="399" t="n">
        <v>45911</v>
      </c>
      <c r="D893" s="146" t="inlineStr">
        <is>
          <t>200 G. GARCERAS</t>
        </is>
      </c>
      <c r="E893" s="146" t="n">
        <v>43189</v>
      </c>
      <c r="F893" s="146" t="inlineStr">
        <is>
          <t>DUMAR ANGARITA</t>
        </is>
      </c>
      <c r="G893" s="395" t="n">
        <v>2590</v>
      </c>
      <c r="H893" s="395" t="n">
        <v>2581</v>
      </c>
      <c r="I893" s="395" t="n">
        <v>3</v>
      </c>
      <c r="J893" s="395" t="n">
        <v>6</v>
      </c>
      <c r="K893" s="395" t="n">
        <v>0</v>
      </c>
      <c r="L893" s="397" t="n">
        <v>2592</v>
      </c>
      <c r="M893" s="113" t="n"/>
      <c r="N893" s="113" t="n"/>
      <c r="O893" s="113" t="n"/>
      <c r="P893" s="398" t="n"/>
      <c r="Q893" s="398" t="n"/>
      <c r="R893" s="113" t="n"/>
      <c r="S893" s="113" t="n"/>
      <c r="T893" s="113" t="n"/>
      <c r="U893" s="113" t="n"/>
      <c r="V893" s="113" t="n"/>
    </row>
    <row r="894" ht="15.75" customHeight="1">
      <c r="A894" s="146" t="n">
        <v>16</v>
      </c>
      <c r="B894" s="238" t="n"/>
      <c r="C894" s="399" t="n">
        <v>45911</v>
      </c>
      <c r="D894" s="146" t="inlineStr">
        <is>
          <t>200 G. GARCERAS</t>
        </is>
      </c>
      <c r="E894" s="146" t="n">
        <v>43190</v>
      </c>
      <c r="F894" s="146" t="inlineStr">
        <is>
          <t>EDUAN CAVIEDES</t>
        </is>
      </c>
      <c r="G894" s="395" t="n">
        <v>2590</v>
      </c>
      <c r="H894" s="395" t="n">
        <v>2579</v>
      </c>
      <c r="I894" s="395" t="n">
        <v>2</v>
      </c>
      <c r="J894" s="395" t="n">
        <v>5</v>
      </c>
      <c r="K894" s="395" t="n">
        <v>4</v>
      </c>
      <c r="L894" s="397" t="n">
        <v>2592</v>
      </c>
      <c r="M894" s="113" t="n"/>
      <c r="N894" s="113" t="n"/>
      <c r="O894" s="113" t="n"/>
      <c r="P894" s="398" t="n"/>
      <c r="Q894" s="398" t="n"/>
      <c r="R894" s="113" t="n"/>
      <c r="S894" s="113" t="n"/>
      <c r="T894" s="113" t="n"/>
      <c r="U894" s="113" t="n"/>
      <c r="V894" s="113" t="n"/>
    </row>
    <row r="895" ht="15.75" customHeight="1">
      <c r="A895" s="146" t="n">
        <v>16</v>
      </c>
      <c r="B895" s="238" t="n"/>
      <c r="C895" s="399" t="n">
        <v>45911</v>
      </c>
      <c r="D895" s="146" t="inlineStr">
        <is>
          <t>200 G. GARCERAS</t>
        </is>
      </c>
      <c r="E895" s="146" t="n">
        <v>43191</v>
      </c>
      <c r="F895" s="146" t="inlineStr">
        <is>
          <t>YAIR RIVEROS</t>
        </is>
      </c>
      <c r="G895" s="395" t="n">
        <v>2590</v>
      </c>
      <c r="H895" s="395" t="n">
        <v>2571</v>
      </c>
      <c r="I895" s="395" t="n">
        <v>6</v>
      </c>
      <c r="J895" s="395" t="n">
        <v>9</v>
      </c>
      <c r="K895" s="395" t="n">
        <v>4</v>
      </c>
      <c r="L895" s="397" t="n">
        <v>2592</v>
      </c>
      <c r="M895" s="113" t="n"/>
      <c r="N895" s="113" t="n"/>
      <c r="O895" s="113" t="n"/>
      <c r="P895" s="398" t="n"/>
      <c r="Q895" s="398" t="n"/>
      <c r="R895" s="113" t="n"/>
      <c r="S895" s="113" t="n"/>
      <c r="T895" s="113" t="n"/>
      <c r="U895" s="113" t="n"/>
      <c r="V895" s="113" t="n"/>
    </row>
    <row r="896" ht="15.75" customHeight="1">
      <c r="A896" s="146" t="n">
        <v>16</v>
      </c>
      <c r="B896" s="238" t="n"/>
      <c r="C896" s="399" t="n">
        <v>45911</v>
      </c>
      <c r="D896" s="146" t="inlineStr">
        <is>
          <t>200 G. GARCERAS</t>
        </is>
      </c>
      <c r="E896" s="146" t="n">
        <v>43192</v>
      </c>
      <c r="F896" s="146" t="inlineStr">
        <is>
          <t>DIEGO NIÑO</t>
        </is>
      </c>
      <c r="G896" s="395" t="n">
        <v>2809</v>
      </c>
      <c r="H896" s="395" t="n">
        <v>2792</v>
      </c>
      <c r="I896" s="395" t="n">
        <v>10</v>
      </c>
      <c r="J896" s="395" t="n">
        <v>8</v>
      </c>
      <c r="K896" s="395" t="n">
        <v>-1</v>
      </c>
      <c r="L896" s="397" t="n">
        <v>2809</v>
      </c>
      <c r="M896" s="113" t="n"/>
      <c r="N896" s="113" t="n"/>
      <c r="O896" s="113" t="n"/>
      <c r="P896" s="398" t="n"/>
      <c r="Q896" s="398" t="n"/>
      <c r="R896" s="113" t="n"/>
      <c r="S896" s="113" t="n"/>
      <c r="T896" s="113" t="n"/>
      <c r="U896" s="113" t="n"/>
      <c r="V896" s="113" t="n"/>
    </row>
    <row r="897" ht="15.75" customHeight="1">
      <c r="A897" s="146" t="n">
        <v>16</v>
      </c>
      <c r="B897" s="238" t="n"/>
      <c r="C897" s="399" t="n">
        <v>45911</v>
      </c>
      <c r="D897" s="146" t="inlineStr">
        <is>
          <t>200 G. GARCERAS</t>
        </is>
      </c>
      <c r="E897" s="146" t="n">
        <v>43193</v>
      </c>
      <c r="F897" s="146" t="inlineStr">
        <is>
          <t>JOSE SOLER</t>
        </is>
      </c>
      <c r="G897" s="395" t="n">
        <v>2809</v>
      </c>
      <c r="H897" s="395" t="n">
        <v>2778</v>
      </c>
      <c r="I897" s="395" t="n">
        <v>22</v>
      </c>
      <c r="J897" s="395" t="n">
        <v>7</v>
      </c>
      <c r="K897" s="395" t="n">
        <v>2</v>
      </c>
      <c r="L897" s="397" t="n">
        <v>2809</v>
      </c>
      <c r="M897" s="113" t="n"/>
      <c r="N897" s="113" t="n"/>
      <c r="O897" s="113" t="n"/>
      <c r="P897" s="398" t="n"/>
      <c r="Q897" s="398" t="n"/>
      <c r="R897" s="113" t="n"/>
      <c r="S897" s="113" t="n"/>
      <c r="T897" s="113" t="n"/>
      <c r="U897" s="113" t="n"/>
      <c r="V897" s="113" t="n"/>
    </row>
    <row r="898" ht="15.75" customHeight="1">
      <c r="A898" s="146" t="n">
        <v>16</v>
      </c>
      <c r="B898" s="238" t="n"/>
      <c r="C898" s="399" t="n">
        <v>45911</v>
      </c>
      <c r="D898" s="146" t="inlineStr">
        <is>
          <t>200 G. GARCERAS</t>
        </is>
      </c>
      <c r="E898" s="146" t="n">
        <v>43194</v>
      </c>
      <c r="F898" s="146" t="inlineStr">
        <is>
          <t>FABIO ALDANA</t>
        </is>
      </c>
      <c r="G898" s="395" t="n">
        <v>2809</v>
      </c>
      <c r="H898" s="395" t="n">
        <v>2799</v>
      </c>
      <c r="I898" s="395" t="n">
        <v>4</v>
      </c>
      <c r="J898" s="395" t="n">
        <v>5</v>
      </c>
      <c r="K898" s="395" t="n">
        <v>1</v>
      </c>
      <c r="L898" s="397" t="n">
        <v>2809</v>
      </c>
      <c r="M898" s="113" t="n"/>
      <c r="N898" s="113" t="n"/>
      <c r="O898" s="113" t="n"/>
      <c r="P898" s="398" t="n"/>
      <c r="Q898" s="398" t="n"/>
      <c r="R898" s="113" t="n"/>
      <c r="S898" s="113" t="n"/>
      <c r="T898" s="113" t="n"/>
      <c r="U898" s="113" t="n"/>
      <c r="V898" s="113" t="n"/>
    </row>
    <row r="899" ht="15.75" customHeight="1">
      <c r="A899" s="146" t="n">
        <v>16</v>
      </c>
      <c r="B899" s="238" t="n"/>
      <c r="C899" s="399" t="n">
        <v>45911</v>
      </c>
      <c r="D899" s="146" t="inlineStr">
        <is>
          <t>200 G. GARCERAS</t>
        </is>
      </c>
      <c r="E899" s="146" t="n">
        <v>43195</v>
      </c>
      <c r="F899" s="146" t="inlineStr">
        <is>
          <t>JAIRO CUBULLOS</t>
        </is>
      </c>
      <c r="G899" s="395" t="n">
        <v>2380</v>
      </c>
      <c r="H899" s="395" t="n">
        <v>2381</v>
      </c>
      <c r="I899" s="395" t="n">
        <v>3</v>
      </c>
      <c r="J899" s="395" t="n">
        <v>10</v>
      </c>
      <c r="K899" s="395" t="n">
        <v>-14</v>
      </c>
      <c r="L899" s="397" t="n">
        <v>2384</v>
      </c>
      <c r="M899" s="113" t="n"/>
      <c r="N899" s="113" t="n"/>
      <c r="O899" s="113" t="n"/>
      <c r="P899" s="398" t="n"/>
      <c r="Q899" s="398" t="n"/>
      <c r="R899" s="113" t="n"/>
      <c r="S899" s="113" t="n"/>
      <c r="T899" s="113" t="n"/>
      <c r="U899" s="113" t="n"/>
      <c r="V899" s="113" t="n"/>
    </row>
    <row r="900" ht="15.75" customHeight="1">
      <c r="A900" s="146" t="n">
        <v>16</v>
      </c>
      <c r="B900" s="238" t="n"/>
      <c r="C900" s="399" t="n">
        <v>45911</v>
      </c>
      <c r="D900" s="146" t="inlineStr">
        <is>
          <t>211 G. MALAGUEÑA</t>
        </is>
      </c>
      <c r="E900" s="146" t="n">
        <v>43204</v>
      </c>
      <c r="F900" s="146" t="inlineStr">
        <is>
          <t>ALEX CHAGUALO</t>
        </is>
      </c>
      <c r="G900" s="395" t="n">
        <v>3349</v>
      </c>
      <c r="H900" s="395" t="n">
        <v>3319</v>
      </c>
      <c r="I900" s="395" t="n">
        <v>3</v>
      </c>
      <c r="J900" s="395" t="n">
        <v>6</v>
      </c>
      <c r="K900" s="395" t="n">
        <v>21</v>
      </c>
      <c r="L900" s="397" t="n">
        <v>3349</v>
      </c>
      <c r="M900" s="113" t="n"/>
      <c r="N900" s="113" t="n"/>
      <c r="O900" s="113" t="n"/>
      <c r="P900" s="398" t="n"/>
      <c r="Q900" s="398" t="n"/>
      <c r="R900" s="113" t="n"/>
      <c r="S900" s="113" t="n"/>
      <c r="T900" s="113" t="n"/>
      <c r="U900" s="113" t="n"/>
      <c r="V900" s="113" t="n"/>
    </row>
    <row r="901" ht="15.75" customHeight="1">
      <c r="A901" s="146" t="n">
        <v>16</v>
      </c>
      <c r="B901" s="238" t="n"/>
      <c r="C901" s="399" t="n">
        <v>45911</v>
      </c>
      <c r="D901" s="146" t="inlineStr">
        <is>
          <t>211 G. MALAGUEÑA</t>
        </is>
      </c>
      <c r="E901" s="146" t="n">
        <v>43205</v>
      </c>
      <c r="F901" s="146" t="inlineStr">
        <is>
          <t>YAIR RIVEROS</t>
        </is>
      </c>
      <c r="G901" s="395" t="n">
        <v>3232</v>
      </c>
      <c r="H901" s="395" t="n">
        <v>3196</v>
      </c>
      <c r="I901" s="395" t="n">
        <v>3</v>
      </c>
      <c r="J901" s="395" t="n">
        <v>6</v>
      </c>
      <c r="K901" s="395" t="n">
        <v>27</v>
      </c>
      <c r="L901" s="397" t="n">
        <v>3232</v>
      </c>
      <c r="M901" s="113" t="n"/>
      <c r="N901" s="113" t="n"/>
      <c r="O901" s="113" t="n"/>
      <c r="P901" s="398" t="n"/>
      <c r="Q901" s="398" t="n"/>
      <c r="R901" s="113" t="n"/>
      <c r="S901" s="113" t="n"/>
      <c r="T901" s="113" t="n"/>
      <c r="U901" s="113" t="n"/>
      <c r="V901" s="113" t="n"/>
    </row>
    <row r="902" ht="15.75" customHeight="1">
      <c r="A902" s="146" t="n">
        <v>16</v>
      </c>
      <c r="B902" s="238" t="n"/>
      <c r="C902" s="399" t="n">
        <v>45911</v>
      </c>
      <c r="D902" s="146" t="inlineStr">
        <is>
          <t>211 G. MALAGUEÑA</t>
        </is>
      </c>
      <c r="E902" s="146" t="n">
        <v>43206</v>
      </c>
      <c r="F902" s="146" t="inlineStr">
        <is>
          <t>JOSE SOLER</t>
        </is>
      </c>
      <c r="G902" s="395" t="n">
        <v>3360</v>
      </c>
      <c r="H902" s="395" t="n">
        <v>3317</v>
      </c>
      <c r="I902" s="395" t="n">
        <v>5</v>
      </c>
      <c r="J902" s="395" t="n">
        <v>10</v>
      </c>
      <c r="K902" s="395" t="n">
        <v>28</v>
      </c>
      <c r="L902" s="397" t="n">
        <v>3360</v>
      </c>
      <c r="M902" s="113" t="n"/>
      <c r="N902" s="113" t="n"/>
      <c r="O902" s="113" t="n"/>
      <c r="P902" s="398" t="n"/>
      <c r="Q902" s="398" t="n"/>
      <c r="R902" s="113" t="n"/>
      <c r="S902" s="113" t="n"/>
      <c r="T902" s="113" t="n"/>
      <c r="U902" s="113" t="n"/>
      <c r="V902" s="113" t="n"/>
    </row>
    <row r="903" ht="15.75" customHeight="1">
      <c r="A903" s="146" t="n">
        <v>16</v>
      </c>
      <c r="B903" s="238" t="n"/>
      <c r="C903" s="399" t="n">
        <v>45911</v>
      </c>
      <c r="D903" s="146" t="inlineStr">
        <is>
          <t>211 G. MALAGUEÑA</t>
        </is>
      </c>
      <c r="E903" s="146" t="n">
        <v>43207</v>
      </c>
      <c r="F903" s="146" t="inlineStr">
        <is>
          <t>JAIRO CUBULLOS</t>
        </is>
      </c>
      <c r="G903" s="395" t="n">
        <v>3360</v>
      </c>
      <c r="H903" s="395" t="n">
        <v>3329</v>
      </c>
      <c r="I903" s="395" t="n">
        <v>5</v>
      </c>
      <c r="J903" s="395" t="n">
        <v>11</v>
      </c>
      <c r="K903" s="395" t="n">
        <v>15</v>
      </c>
      <c r="L903" s="397" t="n">
        <v>3360</v>
      </c>
      <c r="M903" s="113" t="n"/>
      <c r="N903" s="113" t="n"/>
      <c r="O903" s="113" t="n"/>
      <c r="P903" s="398" t="n"/>
      <c r="Q903" s="398" t="n"/>
      <c r="R903" s="113" t="n"/>
      <c r="S903" s="113" t="n"/>
      <c r="T903" s="113" t="n"/>
      <c r="U903" s="113" t="n"/>
      <c r="V903" s="113" t="n"/>
    </row>
    <row r="904" ht="15.75" customHeight="1">
      <c r="A904" s="146" t="n">
        <v>16</v>
      </c>
      <c r="B904" s="238" t="n"/>
      <c r="C904" s="399" t="n">
        <v>45912</v>
      </c>
      <c r="D904" s="146" t="inlineStr">
        <is>
          <t>200 G. GARCERAS</t>
        </is>
      </c>
      <c r="E904" s="146" t="n">
        <v>43214</v>
      </c>
      <c r="F904" s="146" t="inlineStr">
        <is>
          <t>HENRY ROMERO</t>
        </is>
      </c>
      <c r="G904" s="395" t="n">
        <v>2942</v>
      </c>
      <c r="H904" s="395" t="n">
        <v>2930</v>
      </c>
      <c r="I904" s="395" t="n">
        <v>3</v>
      </c>
      <c r="J904" s="395" t="n">
        <v>9</v>
      </c>
      <c r="K904" s="395" t="n">
        <v>0</v>
      </c>
      <c r="L904" s="397" t="n">
        <v>2942</v>
      </c>
      <c r="M904" s="113" t="n"/>
      <c r="N904" s="113" t="n"/>
      <c r="O904" s="113" t="n"/>
      <c r="P904" s="398" t="n"/>
      <c r="Q904" s="398" t="n"/>
      <c r="R904" s="113" t="n"/>
      <c r="S904" s="113" t="n"/>
      <c r="T904" s="113" t="n"/>
      <c r="U904" s="113" t="n"/>
      <c r="V904" s="113" t="n"/>
    </row>
    <row r="905" ht="15.75" customHeight="1">
      <c r="A905" s="146" t="n">
        <v>16</v>
      </c>
      <c r="B905" s="238" t="n"/>
      <c r="C905" s="399" t="n">
        <v>45912</v>
      </c>
      <c r="D905" s="146" t="inlineStr">
        <is>
          <t>200 G. GARCERAS</t>
        </is>
      </c>
      <c r="E905" s="146" t="n">
        <v>43215</v>
      </c>
      <c r="F905" s="146" t="inlineStr">
        <is>
          <t>WILMER PIÑEROS</t>
        </is>
      </c>
      <c r="G905" s="395" t="n">
        <v>2978</v>
      </c>
      <c r="H905" s="395" t="n">
        <v>2966</v>
      </c>
      <c r="I905" s="395" t="n">
        <v>4</v>
      </c>
      <c r="J905" s="395" t="n">
        <v>8</v>
      </c>
      <c r="K905" s="395" t="n">
        <v>0</v>
      </c>
      <c r="L905" s="397" t="n">
        <v>2978</v>
      </c>
      <c r="M905" s="113" t="n"/>
      <c r="N905" s="113" t="n"/>
      <c r="O905" s="113" t="n"/>
      <c r="P905" s="398" t="n"/>
      <c r="Q905" s="398" t="n"/>
      <c r="R905" s="113" t="n"/>
      <c r="S905" s="113" t="n"/>
      <c r="T905" s="113" t="n"/>
      <c r="U905" s="113" t="n"/>
      <c r="V905" s="113" t="n"/>
    </row>
    <row r="906" ht="15.75" customHeight="1">
      <c r="A906" s="146" t="n">
        <v>16</v>
      </c>
      <c r="B906" s="238" t="n"/>
      <c r="C906" s="399" t="n">
        <v>45912</v>
      </c>
      <c r="D906" s="146" t="inlineStr">
        <is>
          <t>200 G. GARCERAS</t>
        </is>
      </c>
      <c r="E906" s="146" t="n">
        <v>43216</v>
      </c>
      <c r="F906" s="146" t="inlineStr">
        <is>
          <t>ALBERTO HERRERA</t>
        </is>
      </c>
      <c r="G906" s="395" t="n">
        <v>2978</v>
      </c>
      <c r="H906" s="395" t="n">
        <v>2958</v>
      </c>
      <c r="I906" s="395" t="n">
        <v>2</v>
      </c>
      <c r="J906" s="395" t="n">
        <v>12</v>
      </c>
      <c r="K906" s="395" t="n">
        <v>6</v>
      </c>
      <c r="L906" s="397" t="n">
        <v>2978</v>
      </c>
      <c r="M906" s="113" t="n"/>
      <c r="N906" s="113" t="n"/>
      <c r="O906" s="113" t="n"/>
      <c r="P906" s="398" t="n"/>
      <c r="Q906" s="398" t="n"/>
      <c r="R906" s="113" t="n"/>
      <c r="S906" s="113" t="n"/>
      <c r="T906" s="113" t="n"/>
      <c r="U906" s="113" t="n"/>
      <c r="V906" s="113" t="n"/>
    </row>
    <row r="907" ht="15.75" customHeight="1">
      <c r="A907" s="146" t="n">
        <v>16</v>
      </c>
      <c r="B907" s="238" t="n"/>
      <c r="C907" s="399" t="n">
        <v>45912</v>
      </c>
      <c r="D907" s="146" t="inlineStr">
        <is>
          <t>200 G. GARCERAS</t>
        </is>
      </c>
      <c r="E907" s="146" t="n">
        <v>43217</v>
      </c>
      <c r="F907" s="146" t="inlineStr">
        <is>
          <t xml:space="preserve">ALEX GOMEZ </t>
        </is>
      </c>
      <c r="G907" s="395" t="n">
        <v>2978</v>
      </c>
      <c r="H907" s="395" t="n">
        <v>2966</v>
      </c>
      <c r="I907" s="395" t="n">
        <v>2</v>
      </c>
      <c r="J907" s="395" t="n">
        <v>7</v>
      </c>
      <c r="K907" s="395" t="n">
        <v>3</v>
      </c>
      <c r="L907" s="397" t="n">
        <v>2978</v>
      </c>
      <c r="M907" s="113" t="n"/>
      <c r="N907" s="113" t="n"/>
      <c r="O907" s="113" t="n"/>
      <c r="P907" s="398" t="n"/>
      <c r="Q907" s="398" t="n"/>
      <c r="R907" s="113" t="n"/>
      <c r="S907" s="113" t="n"/>
      <c r="T907" s="113" t="n"/>
      <c r="U907" s="113" t="n"/>
      <c r="V907" s="113" t="n"/>
    </row>
    <row r="908" ht="15.75" customHeight="1">
      <c r="A908" s="146" t="n">
        <v>16</v>
      </c>
      <c r="B908" s="238" t="n"/>
      <c r="C908" s="399" t="n">
        <v>45912</v>
      </c>
      <c r="D908" s="146" t="inlineStr">
        <is>
          <t>200 G. GARCERAS</t>
        </is>
      </c>
      <c r="E908" s="146" t="n">
        <v>43218</v>
      </c>
      <c r="F908" s="146" t="inlineStr">
        <is>
          <t>ROBINSON PULIDO</t>
        </is>
      </c>
      <c r="G908" s="395" t="n">
        <v>2978</v>
      </c>
      <c r="H908" s="395" t="n">
        <v>2970</v>
      </c>
      <c r="I908" s="395" t="n">
        <v>3</v>
      </c>
      <c r="J908" s="395" t="n">
        <v>5</v>
      </c>
      <c r="K908" s="395" t="n">
        <v>0</v>
      </c>
      <c r="L908" s="397" t="n">
        <v>2978</v>
      </c>
      <c r="M908" s="113" t="n"/>
      <c r="N908" s="113" t="n"/>
      <c r="O908" s="113" t="n"/>
      <c r="P908" s="398" t="n"/>
      <c r="Q908" s="398" t="n"/>
      <c r="R908" s="113" t="n"/>
      <c r="S908" s="113" t="n"/>
      <c r="T908" s="113" t="n"/>
      <c r="U908" s="113" t="n"/>
      <c r="V908" s="113" t="n"/>
    </row>
    <row r="909" ht="15.75" customHeight="1">
      <c r="A909" s="146" t="n">
        <v>16</v>
      </c>
      <c r="B909" s="238" t="n"/>
      <c r="C909" s="399" t="n">
        <v>45912</v>
      </c>
      <c r="D909" s="146" t="inlineStr">
        <is>
          <t>200 G. GARCERAS</t>
        </is>
      </c>
      <c r="E909" s="146" t="n">
        <v>43219</v>
      </c>
      <c r="F909" s="146" t="inlineStr">
        <is>
          <t>MANUEL QUITIAN</t>
        </is>
      </c>
      <c r="G909" s="395" t="n">
        <v>2978</v>
      </c>
      <c r="H909" s="395" t="n">
        <v>2968</v>
      </c>
      <c r="I909" s="395" t="n">
        <v>5</v>
      </c>
      <c r="J909" s="395" t="n">
        <v>2</v>
      </c>
      <c r="K909" s="395" t="n">
        <v>3</v>
      </c>
      <c r="L909" s="397" t="n">
        <v>2978</v>
      </c>
      <c r="M909" s="113" t="n"/>
      <c r="N909" s="113" t="n"/>
      <c r="O909" s="113" t="n"/>
      <c r="P909" s="398" t="n"/>
      <c r="Q909" s="398" t="n"/>
      <c r="R909" s="113" t="n"/>
      <c r="S909" s="113" t="n"/>
      <c r="T909" s="113" t="n"/>
      <c r="U909" s="113" t="n"/>
      <c r="V909" s="113" t="n"/>
    </row>
    <row r="910" ht="15.75" customHeight="1">
      <c r="A910" s="146" t="n">
        <v>16</v>
      </c>
      <c r="B910" s="238" t="n"/>
      <c r="C910" s="399" t="n">
        <v>45912</v>
      </c>
      <c r="D910" s="146" t="inlineStr">
        <is>
          <t>221 G. MALAGUEÑA</t>
        </is>
      </c>
      <c r="E910" s="146" t="n">
        <v>43225</v>
      </c>
      <c r="F910" s="146" t="inlineStr">
        <is>
          <t>JAIRO CUBULLOS</t>
        </is>
      </c>
      <c r="G910" s="395" t="n">
        <v>3341</v>
      </c>
      <c r="H910" s="395" t="n">
        <v>3331</v>
      </c>
      <c r="I910" s="395" t="n">
        <v>2</v>
      </c>
      <c r="J910" s="395" t="n">
        <v>4</v>
      </c>
      <c r="K910" s="395" t="n">
        <v>4</v>
      </c>
      <c r="L910" s="397" t="n">
        <v>3341</v>
      </c>
      <c r="M910" s="113" t="n"/>
      <c r="N910" s="113" t="n"/>
      <c r="O910" s="113" t="n"/>
      <c r="P910" s="398" t="n"/>
      <c r="Q910" s="398" t="n"/>
      <c r="R910" s="113" t="n"/>
      <c r="S910" s="113" t="n"/>
      <c r="T910" s="113" t="n"/>
      <c r="U910" s="113" t="n"/>
      <c r="V910" s="113" t="n"/>
    </row>
    <row r="911" ht="15.75" customHeight="1">
      <c r="A911" s="146" t="n">
        <v>16</v>
      </c>
      <c r="B911" s="238" t="n"/>
      <c r="C911" s="399" t="n">
        <v>45912</v>
      </c>
      <c r="D911" s="146" t="inlineStr">
        <is>
          <t>221 G. MALAGUEÑA</t>
        </is>
      </c>
      <c r="E911" s="146" t="n">
        <v>43226</v>
      </c>
      <c r="F911" s="146" t="inlineStr">
        <is>
          <t>DIEGO NIÑO</t>
        </is>
      </c>
      <c r="G911" s="395" t="n">
        <v>3527</v>
      </c>
      <c r="H911" s="395" t="n">
        <v>3519</v>
      </c>
      <c r="I911" s="395" t="n">
        <v>1</v>
      </c>
      <c r="J911" s="395" t="n">
        <v>5</v>
      </c>
      <c r="K911" s="395" t="n">
        <v>2</v>
      </c>
      <c r="L911" s="397" t="n">
        <v>3527</v>
      </c>
      <c r="M911" s="113" t="n"/>
      <c r="N911" s="113" t="n"/>
      <c r="O911" s="113" t="n"/>
      <c r="P911" s="398" t="n"/>
      <c r="Q911" s="398" t="n"/>
      <c r="R911" s="113" t="n"/>
      <c r="S911" s="113" t="n"/>
      <c r="T911" s="113" t="n"/>
      <c r="U911" s="113" t="n"/>
      <c r="V911" s="113" t="n"/>
    </row>
    <row r="912" ht="15.75" customHeight="1">
      <c r="A912" s="146" t="n">
        <v>16</v>
      </c>
      <c r="B912" s="238" t="n"/>
      <c r="C912" s="399" t="n">
        <v>45912</v>
      </c>
      <c r="D912" s="146" t="inlineStr">
        <is>
          <t>221 G. MALAGUEÑA</t>
        </is>
      </c>
      <c r="E912" s="146" t="n">
        <v>43227</v>
      </c>
      <c r="F912" s="146" t="inlineStr">
        <is>
          <t>HENRY ROMERO</t>
        </is>
      </c>
      <c r="G912" s="395" t="n">
        <v>3527</v>
      </c>
      <c r="H912" s="395" t="n">
        <v>3520</v>
      </c>
      <c r="I912" s="395" t="n">
        <v>2</v>
      </c>
      <c r="J912" s="395" t="n">
        <v>3</v>
      </c>
      <c r="K912" s="395" t="n">
        <v>2</v>
      </c>
      <c r="L912" s="397" t="n">
        <v>3527</v>
      </c>
      <c r="M912" s="113" t="n"/>
      <c r="N912" s="113" t="n"/>
      <c r="O912" s="113" t="n"/>
      <c r="P912" s="398" t="n"/>
      <c r="Q912" s="398" t="n"/>
      <c r="R912" s="113" t="n"/>
      <c r="S912" s="113" t="n"/>
      <c r="T912" s="113" t="n"/>
      <c r="U912" s="113" t="n"/>
      <c r="V912" s="113" t="n"/>
    </row>
    <row r="913" ht="15.75" customHeight="1">
      <c r="A913" s="146" t="n">
        <v>16</v>
      </c>
      <c r="B913" s="238" t="n"/>
      <c r="C913" s="399" t="n">
        <v>45912</v>
      </c>
      <c r="D913" s="146" t="inlineStr">
        <is>
          <t>221 G. MALAGUEÑA</t>
        </is>
      </c>
      <c r="E913" s="146" t="n">
        <v>43228</v>
      </c>
      <c r="F913" s="146" t="inlineStr">
        <is>
          <t xml:space="preserve">ALEX GOMEZ </t>
        </is>
      </c>
      <c r="G913" s="395" t="n">
        <v>3564</v>
      </c>
      <c r="H913" s="395" t="n">
        <v>3547</v>
      </c>
      <c r="I913" s="395" t="n">
        <v>1</v>
      </c>
      <c r="J913" s="395" t="n">
        <v>8</v>
      </c>
      <c r="K913" s="395" t="n">
        <v>8</v>
      </c>
      <c r="L913" s="397" t="n">
        <v>3527</v>
      </c>
      <c r="M913" s="113" t="n"/>
      <c r="N913" s="113" t="n"/>
      <c r="O913" s="113" t="n"/>
      <c r="P913" s="398" t="n"/>
      <c r="Q913" s="398" t="n"/>
      <c r="R913" s="113" t="n"/>
      <c r="S913" s="113" t="n"/>
      <c r="T913" s="113" t="n"/>
      <c r="U913" s="113" t="n"/>
      <c r="V913" s="113" t="n"/>
    </row>
    <row r="914" ht="15.75" customHeight="1">
      <c r="A914" s="146" t="n">
        <v>16</v>
      </c>
      <c r="B914" s="238" t="n"/>
      <c r="C914" s="399" t="n">
        <v>45912</v>
      </c>
      <c r="D914" s="146" t="inlineStr">
        <is>
          <t>221 G. MALAGUEÑA</t>
        </is>
      </c>
      <c r="E914" s="146" t="n">
        <v>43229</v>
      </c>
      <c r="F914" s="146" t="inlineStr">
        <is>
          <t>MANUEL QUITIAN</t>
        </is>
      </c>
      <c r="G914" s="395" t="n">
        <v>3465</v>
      </c>
      <c r="H914" s="395" t="n">
        <v>3447</v>
      </c>
      <c r="I914" s="395" t="n">
        <v>2</v>
      </c>
      <c r="J914" s="395" t="n">
        <v>10</v>
      </c>
      <c r="K914" s="395" t="n">
        <v>6</v>
      </c>
      <c r="L914" s="397" t="n">
        <v>3428</v>
      </c>
      <c r="M914" s="113" t="n"/>
      <c r="N914" s="113" t="n"/>
      <c r="O914" s="113" t="n"/>
      <c r="P914" s="398" t="n"/>
      <c r="Q914" s="398" t="n"/>
      <c r="R914" s="113" t="n"/>
      <c r="S914" s="113" t="n"/>
      <c r="T914" s="113" t="n"/>
      <c r="U914" s="113" t="n"/>
      <c r="V914" s="113" t="n"/>
    </row>
    <row r="915" ht="15.75" customHeight="1">
      <c r="A915" s="146" t="n">
        <v>16</v>
      </c>
      <c r="B915" s="238" t="n"/>
      <c r="C915" s="399" t="n">
        <v>45913</v>
      </c>
      <c r="D915" s="146" t="inlineStr">
        <is>
          <t>200 G. GARCERAS</t>
        </is>
      </c>
      <c r="E915" s="146" t="n">
        <v>43239</v>
      </c>
      <c r="F915" s="146" t="inlineStr">
        <is>
          <t>JAIRO CUBULLOS</t>
        </is>
      </c>
      <c r="G915" s="395" t="n">
        <v>3203</v>
      </c>
      <c r="H915" s="395" t="n">
        <v>3194</v>
      </c>
      <c r="I915" s="395" t="n">
        <v>3</v>
      </c>
      <c r="J915" s="395" t="n">
        <v>6</v>
      </c>
      <c r="K915" s="395" t="n">
        <v>0</v>
      </c>
      <c r="L915" s="397" t="n">
        <v>3203</v>
      </c>
      <c r="M915" s="113" t="n"/>
      <c r="N915" s="113" t="n"/>
      <c r="O915" s="113" t="n"/>
      <c r="P915" s="398" t="n"/>
      <c r="Q915" s="398" t="n"/>
      <c r="R915" s="113" t="n"/>
      <c r="S915" s="113" t="n"/>
      <c r="T915" s="113" t="n"/>
      <c r="U915" s="113" t="n"/>
      <c r="V915" s="113" t="n"/>
    </row>
    <row r="916" ht="15.75" customHeight="1">
      <c r="A916" s="146" t="n">
        <v>16</v>
      </c>
      <c r="B916" s="238" t="n"/>
      <c r="C916" s="399" t="n">
        <v>45913</v>
      </c>
      <c r="D916" s="146" t="inlineStr">
        <is>
          <t>200 G. GARCERAS</t>
        </is>
      </c>
      <c r="E916" s="146" t="n">
        <v>43240</v>
      </c>
      <c r="F916" s="146" t="inlineStr">
        <is>
          <t>DIEGO NIÑO</t>
        </is>
      </c>
      <c r="G916" s="395" t="n">
        <v>3203</v>
      </c>
      <c r="H916" s="395" t="n">
        <v>3190</v>
      </c>
      <c r="I916" s="395" t="n">
        <v>4</v>
      </c>
      <c r="J916" s="395" t="n">
        <v>9</v>
      </c>
      <c r="K916" s="395" t="n">
        <v>0</v>
      </c>
      <c r="L916" s="397" t="n">
        <v>3203</v>
      </c>
      <c r="M916" s="113" t="n"/>
      <c r="N916" s="113" t="n"/>
      <c r="O916" s="113" t="n"/>
      <c r="P916" s="398" t="n"/>
      <c r="Q916" s="398" t="n"/>
      <c r="R916" s="113" t="n"/>
      <c r="S916" s="113" t="n"/>
      <c r="T916" s="113" t="n"/>
      <c r="U916" s="113" t="n"/>
      <c r="V916" s="113" t="n"/>
    </row>
    <row r="917" ht="15.75" customHeight="1">
      <c r="A917" s="146" t="n">
        <v>16</v>
      </c>
      <c r="B917" s="238" t="n"/>
      <c r="C917" s="399" t="n">
        <v>45913</v>
      </c>
      <c r="D917" s="146" t="inlineStr">
        <is>
          <t>200 G. GARCERAS</t>
        </is>
      </c>
      <c r="E917" s="146" t="n">
        <v>43241</v>
      </c>
      <c r="F917" s="146" t="inlineStr">
        <is>
          <t>DUMAR ANGARITA</t>
        </is>
      </c>
      <c r="G917" s="395" t="n">
        <v>3203</v>
      </c>
      <c r="H917" s="395" t="n">
        <v>3198</v>
      </c>
      <c r="I917" s="395" t="n">
        <v>3</v>
      </c>
      <c r="J917" s="395" t="n">
        <v>2</v>
      </c>
      <c r="K917" s="395" t="n">
        <v>0</v>
      </c>
      <c r="L917" s="397" t="n">
        <v>3203</v>
      </c>
      <c r="M917" s="113" t="n"/>
      <c r="N917" s="113" t="n"/>
      <c r="O917" s="113" t="n"/>
      <c r="P917" s="398" t="n"/>
      <c r="Q917" s="398" t="n"/>
      <c r="R917" s="113" t="n"/>
      <c r="S917" s="113" t="n"/>
      <c r="T917" s="113" t="n"/>
      <c r="U917" s="113" t="n"/>
      <c r="V917" s="113" t="n"/>
    </row>
    <row r="918" ht="15.75" customHeight="1">
      <c r="A918" s="146" t="n">
        <v>16</v>
      </c>
      <c r="B918" s="238" t="n"/>
      <c r="C918" s="399" t="n">
        <v>45913</v>
      </c>
      <c r="D918" s="146" t="inlineStr">
        <is>
          <t>200 G. GARCERAS</t>
        </is>
      </c>
      <c r="E918" s="146" t="n">
        <v>43242</v>
      </c>
      <c r="F918" s="146" t="inlineStr">
        <is>
          <t>ALBERTO LOPEZ</t>
        </is>
      </c>
      <c r="G918" s="395" t="n">
        <v>3203</v>
      </c>
      <c r="H918" s="395" t="n">
        <v>3192</v>
      </c>
      <c r="I918" s="395" t="n">
        <v>3</v>
      </c>
      <c r="J918" s="395" t="n">
        <v>5</v>
      </c>
      <c r="K918" s="395" t="n">
        <v>3</v>
      </c>
      <c r="L918" s="397" t="n">
        <v>3203</v>
      </c>
      <c r="M918" s="113" t="n"/>
      <c r="N918" s="113" t="n"/>
      <c r="O918" s="113" t="n"/>
      <c r="P918" s="398" t="n"/>
      <c r="Q918" s="398" t="n"/>
      <c r="R918" s="113" t="n"/>
      <c r="S918" s="113" t="n"/>
      <c r="T918" s="113" t="n"/>
      <c r="U918" s="113" t="n"/>
      <c r="V918" s="113" t="n"/>
    </row>
    <row r="919" ht="15.75" customHeight="1">
      <c r="A919" s="146" t="n">
        <v>16</v>
      </c>
      <c r="B919" s="238" t="n"/>
      <c r="C919" s="399" t="n">
        <v>45913</v>
      </c>
      <c r="D919" s="146" t="inlineStr">
        <is>
          <t>200 G. GARCERAS</t>
        </is>
      </c>
      <c r="E919" s="146" t="n">
        <v>43243</v>
      </c>
      <c r="F919" s="146" t="inlineStr">
        <is>
          <t>MANUEL QUITIAN</t>
        </is>
      </c>
      <c r="G919" s="395" t="n">
        <v>3574</v>
      </c>
      <c r="H919" s="395" t="n">
        <v>3555</v>
      </c>
      <c r="I919" s="395" t="n">
        <v>3</v>
      </c>
      <c r="J919" s="395" t="n">
        <v>12</v>
      </c>
      <c r="K919" s="395" t="n">
        <v>4</v>
      </c>
      <c r="L919" s="397" t="n">
        <v>3574</v>
      </c>
      <c r="M919" s="113" t="n"/>
      <c r="N919" s="113" t="n"/>
      <c r="O919" s="113" t="n"/>
      <c r="P919" s="398" t="n"/>
      <c r="Q919" s="398" t="n"/>
      <c r="R919" s="113" t="n"/>
      <c r="S919" s="113" t="n"/>
      <c r="T919" s="113" t="n"/>
      <c r="U919" s="113" t="n"/>
      <c r="V919" s="113" t="n"/>
    </row>
    <row r="920" ht="15.75" customHeight="1">
      <c r="A920" s="146" t="n">
        <v>16</v>
      </c>
      <c r="B920" s="238" t="n"/>
      <c r="C920" s="399" t="n">
        <v>45913</v>
      </c>
      <c r="D920" s="146" t="inlineStr">
        <is>
          <t>200 G. GARCERAS</t>
        </is>
      </c>
      <c r="E920" s="146" t="n">
        <v>43244</v>
      </c>
      <c r="F920" s="146" t="inlineStr">
        <is>
          <t>EDWIN ROJAS</t>
        </is>
      </c>
      <c r="G920" s="395" t="n">
        <v>3574</v>
      </c>
      <c r="H920" s="395" t="n">
        <v>3564</v>
      </c>
      <c r="I920" s="395" t="n">
        <v>2</v>
      </c>
      <c r="J920" s="395" t="n">
        <v>6</v>
      </c>
      <c r="K920" s="395" t="n">
        <v>2</v>
      </c>
      <c r="L920" s="397" t="n">
        <v>3574</v>
      </c>
      <c r="M920" s="113" t="n"/>
      <c r="N920" s="113" t="n"/>
      <c r="O920" s="113" t="n"/>
      <c r="P920" s="398" t="n"/>
      <c r="Q920" s="398" t="n"/>
      <c r="R920" s="113" t="n"/>
      <c r="S920" s="113" t="n"/>
      <c r="T920" s="113" t="n"/>
      <c r="U920" s="113" t="n"/>
      <c r="V920" s="113" t="n"/>
    </row>
    <row r="921" ht="15.75" customHeight="1">
      <c r="A921" s="146" t="n">
        <v>16</v>
      </c>
      <c r="B921" s="238" t="n"/>
      <c r="C921" s="399" t="n">
        <v>45913</v>
      </c>
      <c r="D921" s="146" t="inlineStr">
        <is>
          <t>200 G. GARCERAS</t>
        </is>
      </c>
      <c r="E921" s="146" t="n">
        <v>43245</v>
      </c>
      <c r="F921" s="146" t="inlineStr">
        <is>
          <t>ALBERTO ROJAS</t>
        </is>
      </c>
      <c r="G921" s="395" t="n">
        <v>3574</v>
      </c>
      <c r="H921" s="395" t="n">
        <v>3552</v>
      </c>
      <c r="I921" s="395" t="n">
        <v>8</v>
      </c>
      <c r="J921" s="395" t="n">
        <v>11</v>
      </c>
      <c r="K921" s="395" t="n">
        <v>3</v>
      </c>
      <c r="L921" s="397" t="n">
        <v>3574</v>
      </c>
      <c r="M921" s="113" t="n"/>
      <c r="N921" s="113" t="n"/>
      <c r="O921" s="113" t="n"/>
      <c r="P921" s="398" t="n"/>
      <c r="Q921" s="398" t="n"/>
      <c r="R921" s="113" t="n"/>
      <c r="S921" s="113" t="n"/>
      <c r="T921" s="113" t="n"/>
      <c r="U921" s="113" t="n"/>
      <c r="V921" s="113" t="n"/>
    </row>
    <row r="922" ht="15.75" customHeight="1">
      <c r="A922" s="146" t="n">
        <v>16</v>
      </c>
      <c r="B922" s="238" t="n"/>
      <c r="C922" s="399" t="n">
        <v>45913</v>
      </c>
      <c r="D922" s="146" t="inlineStr">
        <is>
          <t>200 G. GARCERAS</t>
        </is>
      </c>
      <c r="E922" s="146" t="n">
        <v>43246</v>
      </c>
      <c r="F922" s="146" t="inlineStr">
        <is>
          <t xml:space="preserve">ALEX GOMEZ </t>
        </is>
      </c>
      <c r="G922" s="395" t="n">
        <v>3514</v>
      </c>
      <c r="H922" s="395" t="n">
        <v>3482</v>
      </c>
      <c r="I922" s="395" t="n">
        <v>5</v>
      </c>
      <c r="J922" s="395" t="n">
        <v>17</v>
      </c>
      <c r="K922" s="395" t="n">
        <v>10</v>
      </c>
      <c r="L922" s="397" t="n">
        <v>3513</v>
      </c>
      <c r="M922" s="113" t="n"/>
      <c r="N922" s="113" t="n"/>
      <c r="O922" s="113" t="n"/>
      <c r="P922" s="398" t="n"/>
      <c r="Q922" s="398" t="n"/>
      <c r="R922" s="113" t="n"/>
      <c r="S922" s="113" t="n"/>
      <c r="T922" s="113" t="n"/>
      <c r="U922" s="113" t="n"/>
      <c r="V922" s="113" t="n"/>
    </row>
    <row r="923" ht="15.75" customHeight="1">
      <c r="A923" s="146" t="n">
        <v>16</v>
      </c>
      <c r="B923" s="238" t="n"/>
      <c r="C923" s="399" t="n"/>
      <c r="D923" s="113" t="n"/>
      <c r="E923" s="113" t="n"/>
      <c r="F923" s="113" t="n"/>
      <c r="G923" s="477">
        <f>SUBTOTAL(9,G870:G922)</f>
        <v/>
      </c>
      <c r="H923" s="477">
        <f>SUBTOTAL(9,H870:H922)</f>
        <v/>
      </c>
      <c r="I923" s="477">
        <f>SUBTOTAL(9,I870:I922)</f>
        <v/>
      </c>
      <c r="J923" s="477">
        <f>SUBTOTAL(9,J870:J922)</f>
        <v/>
      </c>
      <c r="K923" s="477">
        <f>SUBTOTAL(9,K870:K922)</f>
        <v/>
      </c>
      <c r="L923" s="477">
        <f>SUBTOTAL(9,L870:L922)</f>
        <v/>
      </c>
      <c r="M923" s="113" t="n"/>
      <c r="N923" s="113" t="n"/>
      <c r="O923" s="113" t="n"/>
      <c r="P923" s="398" t="n"/>
      <c r="Q923" s="398" t="n"/>
      <c r="R923" s="113" t="n"/>
      <c r="S923" s="113" t="n"/>
      <c r="T923" s="113" t="n"/>
      <c r="U923" s="113" t="n"/>
      <c r="V923" s="113" t="n"/>
    </row>
    <row r="924" ht="15.75" customHeight="1">
      <c r="A924" s="146" t="n">
        <v>17</v>
      </c>
      <c r="B924" s="238" t="n"/>
      <c r="C924" s="399" t="n">
        <v>45915</v>
      </c>
      <c r="D924" s="146" t="inlineStr">
        <is>
          <t>200 G. GARCERAS</t>
        </is>
      </c>
      <c r="E924" s="146" t="n">
        <v>43261</v>
      </c>
      <c r="F924" s="146" t="inlineStr">
        <is>
          <t>JAIRO CUBULLOS</t>
        </is>
      </c>
      <c r="G924" s="395" t="n">
        <v>3381</v>
      </c>
      <c r="H924" s="395" t="n">
        <v>3365</v>
      </c>
      <c r="I924" s="395" t="n">
        <v>4</v>
      </c>
      <c r="J924" s="395" t="n">
        <v>10</v>
      </c>
      <c r="K924" s="395" t="n">
        <v>-2</v>
      </c>
      <c r="L924" s="397" t="n">
        <v>3381</v>
      </c>
      <c r="M924" s="113" t="n"/>
      <c r="N924" s="113" t="n"/>
      <c r="O924" s="113" t="n"/>
      <c r="P924" s="398" t="n"/>
      <c r="Q924" s="398" t="n"/>
      <c r="R924" s="113" t="n"/>
      <c r="S924" s="113" t="n"/>
      <c r="T924" s="113" t="n"/>
      <c r="U924" s="113" t="n"/>
      <c r="V924" s="113" t="n"/>
    </row>
    <row r="925" ht="15.75" customHeight="1">
      <c r="A925" s="146" t="n">
        <v>17</v>
      </c>
      <c r="B925" s="238" t="n"/>
      <c r="C925" s="399" t="n">
        <v>45915</v>
      </c>
      <c r="D925" s="146" t="inlineStr">
        <is>
          <t>200 G. GARCERAS</t>
        </is>
      </c>
      <c r="E925" s="146" t="n">
        <v>43262</v>
      </c>
      <c r="F925" s="146" t="inlineStr">
        <is>
          <t>HENRY ROMERO</t>
        </is>
      </c>
      <c r="G925" s="395" t="n">
        <v>3381</v>
      </c>
      <c r="H925" s="395" t="n">
        <v>3368</v>
      </c>
      <c r="I925" s="395" t="n">
        <v>4</v>
      </c>
      <c r="J925" s="395" t="n">
        <v>6</v>
      </c>
      <c r="K925" s="395" t="n">
        <v>-3</v>
      </c>
      <c r="L925" s="397" t="n">
        <v>3381</v>
      </c>
      <c r="M925" s="113" t="n"/>
      <c r="N925" s="113" t="n"/>
      <c r="O925" s="113" t="n"/>
      <c r="P925" s="398" t="n"/>
      <c r="Q925" s="398" t="n"/>
      <c r="R925" s="113" t="n"/>
      <c r="S925" s="113" t="n"/>
      <c r="T925" s="113" t="n"/>
      <c r="U925" s="113" t="n"/>
      <c r="V925" s="113" t="n"/>
    </row>
    <row r="926" ht="15.75" customHeight="1">
      <c r="A926" s="146" t="n">
        <v>17</v>
      </c>
      <c r="B926" s="238" t="n"/>
      <c r="C926" s="399" t="n">
        <v>45915</v>
      </c>
      <c r="D926" s="146" t="inlineStr">
        <is>
          <t>200 G. GARCERAS</t>
        </is>
      </c>
      <c r="E926" s="146" t="n">
        <v>43263</v>
      </c>
      <c r="F926" s="146" t="inlineStr">
        <is>
          <t>DUMAR ANGARITA</t>
        </is>
      </c>
      <c r="G926" s="395" t="n">
        <v>3287</v>
      </c>
      <c r="H926" s="395" t="n">
        <v>3274</v>
      </c>
      <c r="I926" s="395" t="n">
        <v>5</v>
      </c>
      <c r="J926" s="395" t="n">
        <v>6</v>
      </c>
      <c r="K926" s="395" t="n">
        <v>-2</v>
      </c>
      <c r="L926" s="397" t="n">
        <v>3287</v>
      </c>
      <c r="M926" s="113" t="n"/>
      <c r="N926" s="113" t="n"/>
      <c r="O926" s="113" t="n"/>
      <c r="P926" s="398" t="n"/>
      <c r="Q926" s="398" t="n"/>
      <c r="R926" s="113" t="n"/>
      <c r="S926" s="113" t="n"/>
      <c r="T926" s="113" t="n"/>
      <c r="U926" s="113" t="n"/>
      <c r="V926" s="113" t="n"/>
    </row>
    <row r="927" ht="15.75" customHeight="1">
      <c r="A927" s="146" t="n">
        <v>17</v>
      </c>
      <c r="B927" s="238" t="n"/>
      <c r="C927" s="399" t="n">
        <v>45915</v>
      </c>
      <c r="D927" s="146" t="inlineStr">
        <is>
          <t>200 G. GARCERAS</t>
        </is>
      </c>
      <c r="E927" s="146" t="n">
        <v>43264</v>
      </c>
      <c r="F927" s="146" t="inlineStr">
        <is>
          <t>JOSE SOLER</t>
        </is>
      </c>
      <c r="G927" s="395" t="n">
        <v>3287</v>
      </c>
      <c r="H927" s="395" t="n">
        <v>3277</v>
      </c>
      <c r="I927" s="395" t="n">
        <v>2</v>
      </c>
      <c r="J927" s="395" t="n">
        <v>8</v>
      </c>
      <c r="K927" s="395" t="n">
        <v>0</v>
      </c>
      <c r="L927" s="397" t="n">
        <v>3287</v>
      </c>
      <c r="M927" s="113" t="n"/>
      <c r="N927" s="113" t="n"/>
      <c r="O927" s="113" t="n"/>
      <c r="P927" s="398" t="n"/>
      <c r="Q927" s="398" t="n"/>
      <c r="R927" s="113" t="n"/>
      <c r="S927" s="113" t="n"/>
      <c r="T927" s="113" t="n"/>
      <c r="U927" s="113" t="n"/>
      <c r="V927" s="113" t="n"/>
    </row>
    <row r="928" ht="15.75" customHeight="1">
      <c r="A928" s="146" t="n">
        <v>17</v>
      </c>
      <c r="B928" s="238" t="n"/>
      <c r="C928" s="399" t="n">
        <v>45915</v>
      </c>
      <c r="D928" s="146" t="inlineStr">
        <is>
          <t>200 G. GARCERAS</t>
        </is>
      </c>
      <c r="E928" s="146" t="n">
        <v>43265</v>
      </c>
      <c r="F928" s="146" t="inlineStr">
        <is>
          <t>JHON ARIAS</t>
        </is>
      </c>
      <c r="G928" s="395" t="n">
        <v>3287</v>
      </c>
      <c r="H928" s="395" t="n">
        <v>3275</v>
      </c>
      <c r="I928" s="395" t="n">
        <v>4</v>
      </c>
      <c r="J928" s="395" t="n">
        <v>8</v>
      </c>
      <c r="K928" s="395" t="n">
        <v>0</v>
      </c>
      <c r="L928" s="397" t="n">
        <v>3287</v>
      </c>
      <c r="M928" s="113" t="n"/>
      <c r="N928" s="113" t="n"/>
      <c r="O928" s="113" t="n"/>
      <c r="P928" s="398" t="n"/>
      <c r="Q928" s="398" t="n"/>
      <c r="R928" s="113" t="n"/>
      <c r="S928" s="113" t="n"/>
      <c r="T928" s="113" t="n"/>
      <c r="U928" s="113" t="n"/>
      <c r="V928" s="113" t="n"/>
    </row>
    <row r="929" ht="15.75" customHeight="1">
      <c r="A929" s="146" t="n">
        <v>17</v>
      </c>
      <c r="B929" s="238" t="n"/>
      <c r="C929" s="399" t="n">
        <v>45915</v>
      </c>
      <c r="D929" s="146" t="inlineStr">
        <is>
          <t>200 G. GARCERAS</t>
        </is>
      </c>
      <c r="E929" s="146" t="n">
        <v>43266</v>
      </c>
      <c r="F929" s="146" t="inlineStr">
        <is>
          <t>YAIR RIVEROS</t>
        </is>
      </c>
      <c r="G929" s="395" t="n">
        <v>3287</v>
      </c>
      <c r="H929" s="395" t="n">
        <v>3271</v>
      </c>
      <c r="I929" s="395" t="n">
        <v>7</v>
      </c>
      <c r="J929" s="395" t="n">
        <v>9</v>
      </c>
      <c r="K929" s="395" t="n">
        <v>0</v>
      </c>
      <c r="L929" s="397" t="n">
        <v>3287</v>
      </c>
      <c r="M929" s="113" t="n"/>
      <c r="N929" s="113" t="n"/>
      <c r="O929" s="113" t="n"/>
      <c r="P929" s="398" t="n"/>
      <c r="Q929" s="398" t="n"/>
      <c r="R929" s="113" t="n"/>
      <c r="S929" s="113" t="n"/>
      <c r="T929" s="113" t="n"/>
      <c r="U929" s="113" t="n"/>
      <c r="V929" s="113" t="n"/>
    </row>
    <row r="930" ht="15.75" customHeight="1">
      <c r="A930" s="146" t="n">
        <v>17</v>
      </c>
      <c r="B930" s="238" t="n"/>
      <c r="C930" s="399" t="n">
        <v>45916</v>
      </c>
      <c r="D930" s="146" t="inlineStr">
        <is>
          <t>200 G. GARCERAS</t>
        </is>
      </c>
      <c r="E930" s="146" t="n">
        <v>43281</v>
      </c>
      <c r="F930" s="146" t="inlineStr">
        <is>
          <t>DUMAR ANGARITA</t>
        </is>
      </c>
      <c r="G930" s="395" t="n">
        <v>3043</v>
      </c>
      <c r="H930" s="395" t="n">
        <v>3019</v>
      </c>
      <c r="I930" s="395" t="n">
        <v>7</v>
      </c>
      <c r="J930" s="395" t="n">
        <v>17</v>
      </c>
      <c r="K930" s="395" t="n">
        <v>0</v>
      </c>
      <c r="L930" s="397" t="n">
        <v>3048</v>
      </c>
      <c r="M930" s="113" t="n"/>
      <c r="N930" s="113" t="n"/>
      <c r="O930" s="113" t="n"/>
      <c r="P930" s="398" t="n"/>
      <c r="Q930" s="398" t="n"/>
      <c r="R930" s="113" t="n"/>
      <c r="S930" s="113" t="n"/>
      <c r="T930" s="113" t="n"/>
      <c r="U930" s="113" t="n"/>
      <c r="V930" s="113" t="n"/>
    </row>
    <row r="931" ht="15.75" customHeight="1">
      <c r="A931" s="146" t="n">
        <v>17</v>
      </c>
      <c r="B931" s="238" t="n"/>
      <c r="C931" s="399" t="n">
        <v>45916</v>
      </c>
      <c r="D931" s="146" t="inlineStr">
        <is>
          <t>200 G. GARCERAS</t>
        </is>
      </c>
      <c r="E931" s="146" t="n">
        <v>43282</v>
      </c>
      <c r="F931" s="146" t="inlineStr">
        <is>
          <t>HENRY ROMERO</t>
        </is>
      </c>
      <c r="G931" s="395" t="n">
        <v>3043</v>
      </c>
      <c r="H931" s="395" t="n">
        <v>3018</v>
      </c>
      <c r="I931" s="395" t="n">
        <v>8</v>
      </c>
      <c r="J931" s="395" t="n">
        <v>17</v>
      </c>
      <c r="K931" s="395" t="n">
        <v>0</v>
      </c>
      <c r="L931" s="397" t="n">
        <v>3048</v>
      </c>
      <c r="M931" s="113" t="n"/>
      <c r="N931" s="113" t="n"/>
      <c r="O931" s="113" t="n"/>
      <c r="P931" s="398" t="n"/>
      <c r="Q931" s="398" t="n"/>
      <c r="R931" s="113" t="n"/>
      <c r="S931" s="113" t="n"/>
      <c r="T931" s="113" t="n"/>
      <c r="U931" s="113" t="n"/>
      <c r="V931" s="113" t="n"/>
    </row>
    <row r="932" ht="15.75" customHeight="1">
      <c r="A932" s="146" t="n">
        <v>17</v>
      </c>
      <c r="B932" s="238" t="n"/>
      <c r="C932" s="399" t="n">
        <v>45916</v>
      </c>
      <c r="D932" s="146" t="inlineStr">
        <is>
          <t>200 G. GARCERAS</t>
        </is>
      </c>
      <c r="E932" s="146" t="n">
        <v>43283</v>
      </c>
      <c r="F932" s="146" t="inlineStr">
        <is>
          <t>MANUEL QUITIAN</t>
        </is>
      </c>
      <c r="G932" s="395" t="n">
        <v>3043</v>
      </c>
      <c r="H932" s="395" t="n">
        <v>3022</v>
      </c>
      <c r="I932" s="395" t="n">
        <v>9</v>
      </c>
      <c r="J932" s="395" t="n">
        <v>9</v>
      </c>
      <c r="K932" s="395" t="n">
        <v>-3</v>
      </c>
      <c r="L932" s="397" t="n">
        <v>3048</v>
      </c>
      <c r="M932" s="113" t="n"/>
      <c r="N932" s="113" t="n"/>
      <c r="O932" s="113" t="n"/>
      <c r="P932" s="398" t="n"/>
      <c r="Q932" s="398" t="n"/>
      <c r="R932" s="113" t="n"/>
      <c r="S932" s="113" t="n"/>
      <c r="T932" s="113" t="n"/>
      <c r="U932" s="113" t="n"/>
      <c r="V932" s="113" t="n"/>
    </row>
    <row r="933" ht="15.75" customHeight="1">
      <c r="A933" s="146" t="n">
        <v>17</v>
      </c>
      <c r="B933" s="238" t="n"/>
      <c r="C933" s="399" t="n">
        <v>45916</v>
      </c>
      <c r="D933" s="146" t="inlineStr">
        <is>
          <t>200 G. GARCERAS</t>
        </is>
      </c>
      <c r="E933" s="146" t="n">
        <v>43284</v>
      </c>
      <c r="F933" s="146" t="inlineStr">
        <is>
          <t>ALEXANDER CHAGUALA</t>
        </is>
      </c>
      <c r="G933" s="395" t="n">
        <v>3043</v>
      </c>
      <c r="H933" s="395" t="n">
        <v>3026</v>
      </c>
      <c r="I933" s="395" t="n">
        <v>5</v>
      </c>
      <c r="J933" s="395" t="n">
        <v>8</v>
      </c>
      <c r="K933" s="395" t="n">
        <v>-4</v>
      </c>
      <c r="L933" s="397" t="n">
        <v>3048</v>
      </c>
      <c r="M933" s="113" t="n"/>
      <c r="N933" s="113" t="n"/>
      <c r="O933" s="113" t="n"/>
      <c r="P933" s="398" t="n"/>
      <c r="Q933" s="398" t="n"/>
      <c r="R933" s="113" t="n"/>
      <c r="S933" s="113" t="n"/>
      <c r="T933" s="113" t="n"/>
      <c r="U933" s="113" t="n"/>
      <c r="V933" s="113" t="n"/>
    </row>
    <row r="934" ht="15.75" customHeight="1">
      <c r="A934" s="146" t="n">
        <v>17</v>
      </c>
      <c r="B934" s="238" t="n"/>
      <c r="C934" s="399" t="n">
        <v>45916</v>
      </c>
      <c r="D934" s="146" t="inlineStr">
        <is>
          <t>200 G. GARCERAS</t>
        </is>
      </c>
      <c r="E934" s="146" t="n">
        <v>43285</v>
      </c>
      <c r="F934" s="146" t="inlineStr">
        <is>
          <t>FERNANDO OYUELA</t>
        </is>
      </c>
      <c r="G934" s="395" t="n">
        <v>3043</v>
      </c>
      <c r="H934" s="395" t="n">
        <v>3020</v>
      </c>
      <c r="I934" s="395" t="n">
        <v>8</v>
      </c>
      <c r="J934" s="395" t="n">
        <v>12</v>
      </c>
      <c r="K934" s="395" t="n">
        <v>-3</v>
      </c>
      <c r="L934" s="397" t="n">
        <v>3048</v>
      </c>
      <c r="M934" s="113" t="n"/>
      <c r="N934" s="113" t="n"/>
      <c r="O934" s="113" t="n"/>
      <c r="P934" s="398" t="n"/>
      <c r="Q934" s="398" t="n"/>
      <c r="R934" s="113" t="n"/>
      <c r="S934" s="113" t="n"/>
      <c r="T934" s="113" t="n"/>
      <c r="U934" s="113" t="n"/>
      <c r="V934" s="113" t="n"/>
    </row>
    <row r="935" ht="15.75" customHeight="1">
      <c r="A935" s="146" t="n">
        <v>17</v>
      </c>
      <c r="B935" s="238" t="n"/>
      <c r="C935" s="399" t="n">
        <v>45916</v>
      </c>
      <c r="D935" s="146" t="inlineStr">
        <is>
          <t>200 G. GARCERAS</t>
        </is>
      </c>
      <c r="E935" s="146" t="n">
        <v>43286</v>
      </c>
      <c r="F935" s="146" t="inlineStr">
        <is>
          <t>WILMER PIÑEROS</t>
        </is>
      </c>
      <c r="G935" s="395" t="n">
        <v>3043</v>
      </c>
      <c r="H935" s="395" t="n">
        <v>3028</v>
      </c>
      <c r="I935" s="395" t="n">
        <v>4</v>
      </c>
      <c r="J935" s="395" t="n">
        <v>6</v>
      </c>
      <c r="K935" s="395" t="n">
        <v>-5</v>
      </c>
      <c r="L935" s="397" t="n">
        <v>3048</v>
      </c>
      <c r="M935" s="113" t="n"/>
      <c r="N935" s="113" t="n"/>
      <c r="O935" s="113" t="n"/>
      <c r="P935" s="398" t="n"/>
      <c r="Q935" s="398" t="n"/>
      <c r="R935" s="113" t="n"/>
      <c r="S935" s="113" t="n"/>
      <c r="T935" s="113" t="n"/>
      <c r="U935" s="113" t="n"/>
      <c r="V935" s="113" t="n"/>
    </row>
    <row r="936" ht="15.75" customHeight="1">
      <c r="A936" s="146" t="n">
        <v>17</v>
      </c>
      <c r="B936" s="238" t="n"/>
      <c r="C936" s="399" t="n">
        <v>45916</v>
      </c>
      <c r="D936" s="146" t="inlineStr">
        <is>
          <t>200 G. GARCERAS</t>
        </is>
      </c>
      <c r="E936" s="146" t="n">
        <v>43287</v>
      </c>
      <c r="F936" s="146" t="inlineStr">
        <is>
          <t>DIEGO NIÑO</t>
        </is>
      </c>
      <c r="G936" s="395" t="n">
        <v>3025</v>
      </c>
      <c r="H936" s="395" t="n">
        <v>3014</v>
      </c>
      <c r="I936" s="395" t="n">
        <v>5</v>
      </c>
      <c r="J936" s="395" t="n">
        <v>6</v>
      </c>
      <c r="K936" s="395" t="n">
        <v>0</v>
      </c>
      <c r="L936" s="397" t="n">
        <v>3028</v>
      </c>
      <c r="M936" s="113" t="n"/>
      <c r="N936" s="113" t="n"/>
      <c r="O936" s="113" t="n"/>
      <c r="P936" s="398" t="n"/>
      <c r="Q936" s="398" t="n"/>
      <c r="R936" s="113" t="n"/>
      <c r="S936" s="113" t="n"/>
      <c r="T936" s="113" t="n"/>
      <c r="U936" s="113" t="n"/>
      <c r="V936" s="113" t="n"/>
    </row>
    <row r="937" ht="15.75" customHeight="1">
      <c r="A937" s="146" t="n">
        <v>17</v>
      </c>
      <c r="B937" s="238" t="n"/>
      <c r="C937" s="399" t="n">
        <v>45918</v>
      </c>
      <c r="D937" s="146" t="inlineStr">
        <is>
          <t>221 G. MALAGUEÑA</t>
        </is>
      </c>
      <c r="E937" s="146" t="n">
        <v>43330</v>
      </c>
      <c r="F937" s="146" t="inlineStr">
        <is>
          <t>JHON ARIAS</t>
        </is>
      </c>
      <c r="G937" s="395" t="n">
        <v>3045</v>
      </c>
      <c r="H937" s="395" t="n">
        <v>3028</v>
      </c>
      <c r="I937" s="395" t="n">
        <v>2</v>
      </c>
      <c r="J937" s="395" t="n">
        <v>15</v>
      </c>
      <c r="K937" s="395" t="n">
        <v>0</v>
      </c>
      <c r="L937" s="397" t="n">
        <v>3045</v>
      </c>
      <c r="M937" s="113" t="n"/>
      <c r="N937" s="113" t="n"/>
      <c r="O937" s="113" t="n"/>
      <c r="P937" s="398" t="n"/>
      <c r="Q937" s="398" t="n"/>
      <c r="R937" s="113" t="n"/>
      <c r="S937" s="113" t="n"/>
      <c r="T937" s="113" t="n"/>
      <c r="U937" s="113" t="n"/>
      <c r="V937" s="113" t="n"/>
    </row>
    <row r="938" ht="15.75" customHeight="1">
      <c r="A938" s="146" t="n">
        <v>17</v>
      </c>
      <c r="B938" s="238" t="n"/>
      <c r="C938" s="399" t="n">
        <v>45918</v>
      </c>
      <c r="D938" s="146" t="inlineStr">
        <is>
          <t>221 G. MALAGUEÑA</t>
        </is>
      </c>
      <c r="E938" s="146" t="n">
        <v>43331</v>
      </c>
      <c r="F938" s="146" t="inlineStr">
        <is>
          <t>JOSE SOLER</t>
        </is>
      </c>
      <c r="G938" s="395" t="n">
        <v>3045</v>
      </c>
      <c r="H938" s="395" t="n">
        <v>3027</v>
      </c>
      <c r="I938" s="395" t="n">
        <v>2</v>
      </c>
      <c r="J938" s="395" t="n">
        <v>16</v>
      </c>
      <c r="K938" s="395" t="n">
        <v>0</v>
      </c>
      <c r="L938" s="397" t="n">
        <v>3045</v>
      </c>
      <c r="M938" s="113" t="n"/>
      <c r="N938" s="113" t="n"/>
      <c r="O938" s="113" t="n"/>
      <c r="P938" s="398" t="n"/>
      <c r="Q938" s="398" t="n"/>
      <c r="R938" s="113" t="n"/>
      <c r="S938" s="113" t="n"/>
      <c r="T938" s="113" t="n"/>
      <c r="U938" s="113" t="n"/>
      <c r="V938" s="113" t="n"/>
    </row>
    <row r="939" ht="15.75" customHeight="1">
      <c r="A939" s="146" t="n">
        <v>17</v>
      </c>
      <c r="B939" s="238" t="n"/>
      <c r="C939" s="399" t="n">
        <v>45918</v>
      </c>
      <c r="D939" s="146" t="inlineStr">
        <is>
          <t>221 G. MALAGUEÑA</t>
        </is>
      </c>
      <c r="E939" s="146" t="n">
        <v>43332</v>
      </c>
      <c r="F939" s="146" t="inlineStr">
        <is>
          <t>YAIR RIVEROS</t>
        </is>
      </c>
      <c r="G939" s="395" t="n">
        <v>3220</v>
      </c>
      <c r="H939" s="395" t="n">
        <v>3202</v>
      </c>
      <c r="I939" s="395" t="n">
        <v>2</v>
      </c>
      <c r="J939" s="395" t="n">
        <v>16</v>
      </c>
      <c r="K939" s="395" t="n">
        <v>0</v>
      </c>
      <c r="L939" s="397" t="n">
        <v>3220</v>
      </c>
      <c r="M939" s="113" t="n"/>
      <c r="N939" s="113" t="n"/>
      <c r="O939" s="113" t="n"/>
      <c r="P939" s="398" t="n"/>
      <c r="Q939" s="398" t="n"/>
      <c r="R939" s="113" t="n"/>
      <c r="S939" s="113" t="n"/>
      <c r="T939" s="113" t="n"/>
      <c r="U939" s="113" t="n"/>
      <c r="V939" s="113" t="n"/>
    </row>
    <row r="940" ht="15.75" customHeight="1">
      <c r="A940" s="146" t="n">
        <v>17</v>
      </c>
      <c r="B940" s="238" t="n"/>
      <c r="C940" s="399" t="n">
        <v>45918</v>
      </c>
      <c r="D940" s="146" t="inlineStr">
        <is>
          <t>221 G. MALAGUEÑA</t>
        </is>
      </c>
      <c r="E940" s="146" t="n">
        <v>43333</v>
      </c>
      <c r="F940" s="146" t="inlineStr">
        <is>
          <t>EDUAN CAVIEDES</t>
        </is>
      </c>
      <c r="G940" s="395" t="n">
        <v>3220</v>
      </c>
      <c r="H940" s="395" t="n">
        <v>3201</v>
      </c>
      <c r="I940" s="395" t="n">
        <v>3</v>
      </c>
      <c r="J940" s="395" t="n">
        <v>16</v>
      </c>
      <c r="K940" s="395" t="n">
        <v>0</v>
      </c>
      <c r="L940" s="397" t="n">
        <v>3220</v>
      </c>
      <c r="M940" s="113" t="n"/>
      <c r="N940" s="113" t="n"/>
      <c r="O940" s="113" t="n"/>
      <c r="P940" s="398" t="n"/>
      <c r="Q940" s="398" t="n"/>
      <c r="R940" s="113" t="n"/>
      <c r="S940" s="113" t="n"/>
      <c r="T940" s="113" t="n"/>
      <c r="U940" s="113" t="n"/>
      <c r="V940" s="113" t="n"/>
    </row>
    <row r="941" ht="15.75" customHeight="1">
      <c r="A941" s="146" t="n">
        <v>17</v>
      </c>
      <c r="B941" s="238" t="n"/>
      <c r="C941" s="399" t="n">
        <v>45918</v>
      </c>
      <c r="D941" s="146" t="inlineStr">
        <is>
          <t>221 G. MALAGUEÑA</t>
        </is>
      </c>
      <c r="E941" s="146" t="n">
        <v>43334</v>
      </c>
      <c r="F941" s="146" t="inlineStr">
        <is>
          <t>DIEGO NIÑO</t>
        </is>
      </c>
      <c r="G941" s="395" t="n">
        <v>3220</v>
      </c>
      <c r="H941" s="395" t="n">
        <v>3201</v>
      </c>
      <c r="I941" s="395" t="n">
        <v>2</v>
      </c>
      <c r="J941" s="395" t="n">
        <v>17</v>
      </c>
      <c r="K941" s="395" t="n">
        <v>0</v>
      </c>
      <c r="L941" s="397" t="n">
        <v>3220</v>
      </c>
      <c r="M941" s="113" t="n"/>
      <c r="N941" s="113" t="n"/>
      <c r="O941" s="113" t="n"/>
      <c r="P941" s="398" t="n"/>
      <c r="Q941" s="398" t="n"/>
      <c r="R941" s="113" t="n"/>
      <c r="S941" s="113" t="n"/>
      <c r="T941" s="113" t="n"/>
      <c r="U941" s="113" t="n"/>
      <c r="V941" s="113" t="n"/>
    </row>
    <row r="942" ht="15.75" customHeight="1">
      <c r="A942" s="146" t="n">
        <v>17</v>
      </c>
      <c r="B942" s="238" t="n"/>
      <c r="C942" s="399" t="n">
        <v>45918</v>
      </c>
      <c r="D942" s="146" t="inlineStr">
        <is>
          <t>221 G. MALAGUEÑA</t>
        </is>
      </c>
      <c r="E942" s="146" t="n">
        <v>43335</v>
      </c>
      <c r="F942" s="146" t="inlineStr">
        <is>
          <t>DUMAR ANGARITA</t>
        </is>
      </c>
      <c r="G942" s="395" t="n">
        <v>3220</v>
      </c>
      <c r="H942" s="395" t="n">
        <v>3199</v>
      </c>
      <c r="I942" s="395" t="n">
        <v>2</v>
      </c>
      <c r="J942" s="395" t="n">
        <v>19</v>
      </c>
      <c r="K942" s="395" t="n">
        <v>0</v>
      </c>
      <c r="L942" s="397" t="n">
        <v>3220</v>
      </c>
      <c r="M942" s="113" t="n"/>
      <c r="N942" s="113" t="n"/>
      <c r="O942" s="113" t="n"/>
      <c r="P942" s="398" t="n"/>
      <c r="Q942" s="398" t="n"/>
      <c r="R942" s="113" t="n"/>
      <c r="S942" s="113" t="n"/>
      <c r="T942" s="113" t="n"/>
      <c r="U942" s="113" t="n"/>
      <c r="V942" s="113" t="n"/>
    </row>
    <row r="943" ht="15.75" customHeight="1">
      <c r="A943" s="146" t="n">
        <v>17</v>
      </c>
      <c r="B943" s="238" t="n"/>
      <c r="C943" s="399" t="n">
        <v>45918</v>
      </c>
      <c r="D943" s="146" t="inlineStr">
        <is>
          <t>221 G. MALAGUEÑA</t>
        </is>
      </c>
      <c r="E943" s="146" t="n">
        <v>43336</v>
      </c>
      <c r="F943" s="146" t="inlineStr">
        <is>
          <t>HENRY ROMERO</t>
        </is>
      </c>
      <c r="G943" s="395" t="n">
        <v>3220</v>
      </c>
      <c r="H943" s="395" t="n">
        <v>3196</v>
      </c>
      <c r="I943" s="395" t="n">
        <v>7</v>
      </c>
      <c r="J943" s="395" t="n">
        <v>17</v>
      </c>
      <c r="K943" s="395" t="n">
        <v>0</v>
      </c>
      <c r="L943" s="397" t="n">
        <v>3220</v>
      </c>
      <c r="M943" s="113" t="n"/>
      <c r="N943" s="113" t="n"/>
      <c r="O943" s="113" t="n"/>
      <c r="P943" s="398" t="n"/>
      <c r="Q943" s="398" t="n"/>
      <c r="R943" s="113" t="n"/>
      <c r="S943" s="113" t="n"/>
      <c r="T943" s="113" t="n"/>
      <c r="U943" s="113" t="n"/>
      <c r="V943" s="113" t="n"/>
    </row>
    <row r="944" ht="15.75" customHeight="1">
      <c r="A944" s="146" t="n">
        <v>17</v>
      </c>
      <c r="B944" s="238" t="n"/>
      <c r="C944" s="399" t="n">
        <v>45918</v>
      </c>
      <c r="D944" s="146" t="inlineStr">
        <is>
          <t>219 G. SAN JOSE 2</t>
        </is>
      </c>
      <c r="E944" s="146" t="n">
        <v>43337</v>
      </c>
      <c r="F944" s="146" t="inlineStr">
        <is>
          <t>WILMER PIÑEROS</t>
        </is>
      </c>
      <c r="G944" s="395" t="n">
        <v>3800</v>
      </c>
      <c r="H944" s="395" t="n">
        <v>3786</v>
      </c>
      <c r="I944" s="395" t="n">
        <v>3</v>
      </c>
      <c r="J944" s="395" t="n">
        <v>18</v>
      </c>
      <c r="K944" s="395" t="n">
        <v>7</v>
      </c>
      <c r="L944" s="397" t="n">
        <v>3800</v>
      </c>
      <c r="M944" s="113" t="n"/>
      <c r="N944" s="113" t="n"/>
      <c r="O944" s="113" t="n"/>
      <c r="P944" s="398" t="n"/>
      <c r="Q944" s="398" t="n"/>
      <c r="R944" s="113" t="n"/>
      <c r="S944" s="113" t="n"/>
      <c r="T944" s="113" t="n"/>
      <c r="U944" s="113" t="n"/>
      <c r="V944" s="113" t="n"/>
    </row>
    <row r="945" ht="15.75" customHeight="1">
      <c r="A945" s="146" t="n">
        <v>17</v>
      </c>
      <c r="B945" s="238" t="n"/>
      <c r="C945" s="399" t="n">
        <v>45918</v>
      </c>
      <c r="D945" s="146" t="inlineStr">
        <is>
          <t>219 G. SAN JOSE 2</t>
        </is>
      </c>
      <c r="E945" s="146" t="n">
        <v>43338</v>
      </c>
      <c r="F945" s="146" t="inlineStr">
        <is>
          <t>ALEXANDER CHAGUALA</t>
        </is>
      </c>
      <c r="G945" s="395" t="n">
        <v>3800</v>
      </c>
      <c r="H945" s="395" t="n">
        <v>3782</v>
      </c>
      <c r="I945" s="395" t="n">
        <v>2</v>
      </c>
      <c r="J945" s="395" t="n">
        <v>20</v>
      </c>
      <c r="K945" s="395" t="n">
        <v>4</v>
      </c>
      <c r="L945" s="397" t="n">
        <v>3800</v>
      </c>
      <c r="M945" s="113" t="n"/>
      <c r="N945" s="113" t="n"/>
      <c r="O945" s="113" t="n"/>
      <c r="P945" s="398" t="n"/>
      <c r="Q945" s="398" t="n"/>
      <c r="R945" s="113" t="n"/>
      <c r="S945" s="113" t="n"/>
      <c r="T945" s="113" t="n"/>
      <c r="U945" s="113" t="n"/>
      <c r="V945" s="113" t="n"/>
    </row>
    <row r="946" ht="15.75" customHeight="1">
      <c r="A946" s="146" t="n">
        <v>17</v>
      </c>
      <c r="B946" s="238" t="n"/>
      <c r="C946" s="399" t="n">
        <v>45918</v>
      </c>
      <c r="D946" s="146" t="inlineStr">
        <is>
          <t>219 G. SAN JOSE 2</t>
        </is>
      </c>
      <c r="E946" s="146" t="n">
        <v>43339</v>
      </c>
      <c r="F946" s="146" t="inlineStr">
        <is>
          <t>ALBERTO HERRERA</t>
        </is>
      </c>
      <c r="G946" s="395" t="n">
        <v>3033</v>
      </c>
      <c r="H946" s="395" t="n">
        <v>3014</v>
      </c>
      <c r="I946" s="395" t="n">
        <v>4</v>
      </c>
      <c r="J946" s="395" t="n">
        <v>22</v>
      </c>
      <c r="K946" s="395" t="n">
        <v>7</v>
      </c>
      <c r="L946" s="397" t="n">
        <v>3033</v>
      </c>
      <c r="M946" s="113" t="n"/>
      <c r="N946" s="113" t="n"/>
      <c r="O946" s="113" t="n"/>
      <c r="P946" s="398" t="n"/>
      <c r="Q946" s="398" t="n"/>
      <c r="R946" s="113" t="n"/>
      <c r="S946" s="113" t="n"/>
      <c r="T946" s="113" t="n"/>
      <c r="U946" s="113" t="n"/>
      <c r="V946" s="113" t="n"/>
    </row>
    <row r="947" ht="15.75" customHeight="1">
      <c r="A947" s="146" t="n">
        <v>17</v>
      </c>
      <c r="B947" s="238" t="n"/>
      <c r="C947" s="399" t="n">
        <v>45918</v>
      </c>
      <c r="D947" s="146" t="inlineStr">
        <is>
          <t>219 G. SAN JOSE 2</t>
        </is>
      </c>
      <c r="E947" s="146" t="n">
        <v>43340</v>
      </c>
      <c r="F947" s="146" t="inlineStr">
        <is>
          <t>EDWIN ROJAS</t>
        </is>
      </c>
      <c r="G947" s="395" t="n">
        <v>3033</v>
      </c>
      <c r="H947" s="395" t="n">
        <v>3014</v>
      </c>
      <c r="I947" s="395" t="n">
        <v>5</v>
      </c>
      <c r="J947" s="395" t="n">
        <v>20</v>
      </c>
      <c r="K947" s="395" t="n">
        <v>6</v>
      </c>
      <c r="L947" s="397" t="n">
        <v>3033</v>
      </c>
      <c r="M947" s="113" t="n"/>
      <c r="N947" s="113" t="n"/>
      <c r="O947" s="113" t="n"/>
      <c r="P947" s="398" t="n"/>
      <c r="Q947" s="398" t="n"/>
      <c r="R947" s="113" t="n"/>
      <c r="S947" s="113" t="n"/>
      <c r="T947" s="113" t="n"/>
      <c r="U947" s="113" t="n"/>
      <c r="V947" s="113" t="n"/>
    </row>
    <row r="948" ht="15.75" customHeight="1">
      <c r="A948" s="146" t="n">
        <v>17</v>
      </c>
      <c r="B948" s="238" t="n"/>
      <c r="C948" s="399" t="n">
        <v>45918</v>
      </c>
      <c r="D948" s="146" t="inlineStr">
        <is>
          <t>219 G. SAN JOSE 2</t>
        </is>
      </c>
      <c r="E948" s="146" t="n">
        <v>43341</v>
      </c>
      <c r="F948" s="146" t="inlineStr">
        <is>
          <t>FERNANDO OYUELA</t>
        </is>
      </c>
      <c r="G948" s="395" t="n">
        <v>3033</v>
      </c>
      <c r="H948" s="395" t="n">
        <v>3056</v>
      </c>
      <c r="I948" s="395" t="n">
        <v>2</v>
      </c>
      <c r="J948" s="395" t="n">
        <v>9</v>
      </c>
      <c r="K948" s="395" t="n">
        <v>34</v>
      </c>
      <c r="L948" s="397" t="n">
        <v>3033</v>
      </c>
      <c r="M948" s="113" t="n"/>
      <c r="N948" s="113" t="n"/>
      <c r="O948" s="113" t="n"/>
      <c r="P948" s="398" t="n"/>
      <c r="Q948" s="398" t="n"/>
      <c r="R948" s="113" t="n"/>
      <c r="S948" s="113" t="n"/>
      <c r="T948" s="113" t="n"/>
      <c r="U948" s="113" t="n"/>
      <c r="V948" s="113" t="n"/>
    </row>
    <row r="949" ht="15.75" customHeight="1">
      <c r="A949" s="146" t="n">
        <v>17</v>
      </c>
      <c r="B949" s="238" t="n"/>
      <c r="C949" s="399" t="n">
        <v>45919</v>
      </c>
      <c r="D949" s="146" t="inlineStr">
        <is>
          <t>221 G. MALAGUEÑA</t>
        </is>
      </c>
      <c r="E949" s="146" t="n">
        <v>43350</v>
      </c>
      <c r="F949" s="146" t="inlineStr">
        <is>
          <t>ALEXANDER CHAGUALA</t>
        </is>
      </c>
      <c r="G949" s="395" t="n">
        <v>3006</v>
      </c>
      <c r="H949" s="395" t="n">
        <v>2984</v>
      </c>
      <c r="I949" s="395" t="n">
        <v>2</v>
      </c>
      <c r="J949" s="395" t="n">
        <v>20</v>
      </c>
      <c r="K949" s="395" t="n">
        <v>0</v>
      </c>
      <c r="L949" s="397" t="n">
        <v>3006</v>
      </c>
      <c r="M949" s="113" t="n"/>
      <c r="N949" s="113" t="n"/>
      <c r="O949" s="113" t="n"/>
      <c r="P949" s="398" t="n"/>
      <c r="Q949" s="398" t="n"/>
      <c r="R949" s="113" t="n"/>
      <c r="S949" s="113" t="n"/>
      <c r="T949" s="113" t="n"/>
      <c r="U949" s="113" t="n"/>
      <c r="V949" s="113" t="n"/>
    </row>
    <row r="950" ht="15.75" customHeight="1">
      <c r="A950" s="146" t="n">
        <v>17</v>
      </c>
      <c r="B950" s="238" t="n"/>
      <c r="C950" s="399" t="n">
        <v>45919</v>
      </c>
      <c r="D950" s="146" t="inlineStr">
        <is>
          <t>221 G. MALAGUEÑA</t>
        </is>
      </c>
      <c r="E950" s="146" t="n">
        <v>43351</v>
      </c>
      <c r="F950" s="146" t="inlineStr">
        <is>
          <t>JHON ARIAS</t>
        </is>
      </c>
      <c r="G950" s="395" t="n">
        <v>3006</v>
      </c>
      <c r="H950" s="395" t="n">
        <v>2985</v>
      </c>
      <c r="I950" s="395" t="n">
        <v>1</v>
      </c>
      <c r="J950" s="395" t="n">
        <v>20</v>
      </c>
      <c r="K950" s="395" t="n">
        <v>0</v>
      </c>
      <c r="L950" s="397" t="n">
        <v>3006</v>
      </c>
      <c r="M950" s="113" t="n"/>
      <c r="N950" s="113" t="n"/>
      <c r="O950" s="113" t="n"/>
      <c r="P950" s="398" t="n"/>
      <c r="Q950" s="398" t="n"/>
      <c r="R950" s="113" t="n"/>
      <c r="S950" s="113" t="n"/>
      <c r="T950" s="113" t="n"/>
      <c r="U950" s="113" t="n"/>
      <c r="V950" s="113" t="n"/>
    </row>
    <row r="951" ht="15.75" customHeight="1">
      <c r="A951" s="146" t="n">
        <v>17</v>
      </c>
      <c r="B951" s="238" t="n"/>
      <c r="C951" s="399" t="n">
        <v>45919</v>
      </c>
      <c r="D951" s="146" t="inlineStr">
        <is>
          <t>221 G. MALAGUEÑA</t>
        </is>
      </c>
      <c r="E951" s="146" t="n">
        <v>43352</v>
      </c>
      <c r="F951" s="146" t="inlineStr">
        <is>
          <t>EDUAN CAVIEDES</t>
        </is>
      </c>
      <c r="G951" s="395" t="n">
        <v>3143</v>
      </c>
      <c r="H951" s="395" t="n">
        <v>3135</v>
      </c>
      <c r="I951" s="395" t="n">
        <v>2</v>
      </c>
      <c r="J951" s="395" t="n">
        <v>6</v>
      </c>
      <c r="K951" s="395" t="n">
        <v>0</v>
      </c>
      <c r="L951" s="397" t="n">
        <v>3143</v>
      </c>
      <c r="M951" s="113" t="n"/>
      <c r="N951" s="113" t="n"/>
      <c r="O951" s="113" t="n"/>
      <c r="P951" s="398" t="n"/>
      <c r="Q951" s="398" t="n"/>
      <c r="R951" s="113" t="n"/>
      <c r="S951" s="113" t="n"/>
      <c r="T951" s="113" t="n"/>
      <c r="U951" s="113" t="n"/>
      <c r="V951" s="113" t="n"/>
    </row>
    <row r="952" ht="15.75" customHeight="1">
      <c r="A952" s="146" t="n">
        <v>17</v>
      </c>
      <c r="B952" s="238" t="n"/>
      <c r="C952" s="399" t="n">
        <v>45919</v>
      </c>
      <c r="D952" s="146" t="inlineStr">
        <is>
          <t>221 G. MALAGUEÑA</t>
        </is>
      </c>
      <c r="E952" s="146" t="n">
        <v>43353</v>
      </c>
      <c r="F952" s="146" t="inlineStr">
        <is>
          <t>ROBINSON PULIDO</t>
        </is>
      </c>
      <c r="G952" s="395" t="n">
        <v>2533</v>
      </c>
      <c r="H952" s="395" t="n">
        <v>2526</v>
      </c>
      <c r="I952" s="395" t="n">
        <v>2</v>
      </c>
      <c r="J952" s="395" t="n">
        <v>5</v>
      </c>
      <c r="K952" s="395" t="n">
        <v>0</v>
      </c>
      <c r="L952" s="397" t="n">
        <v>3143</v>
      </c>
      <c r="M952" s="113" t="n"/>
      <c r="N952" s="113" t="n"/>
      <c r="O952" s="113" t="n"/>
      <c r="P952" s="398" t="n"/>
      <c r="Q952" s="398" t="n"/>
      <c r="R952" s="113" t="n"/>
      <c r="S952" s="113" t="n"/>
      <c r="T952" s="113" t="n"/>
      <c r="U952" s="113" t="n"/>
      <c r="V952" s="113" t="n"/>
    </row>
    <row r="953" ht="15.75" customHeight="1">
      <c r="A953" s="146" t="n">
        <v>17</v>
      </c>
      <c r="B953" s="238" t="n"/>
      <c r="C953" s="399" t="n">
        <v>45919</v>
      </c>
      <c r="D953" s="146" t="inlineStr">
        <is>
          <t>221 G. MALAGUEÑA</t>
        </is>
      </c>
      <c r="E953" s="146" t="n">
        <v>43354</v>
      </c>
      <c r="F953" s="146" t="inlineStr">
        <is>
          <t>DIEGO NIÑO</t>
        </is>
      </c>
      <c r="G953" s="395" t="n">
        <v>2886</v>
      </c>
      <c r="H953" s="395" t="n">
        <v>2875</v>
      </c>
      <c r="I953" s="395" t="n">
        <v>3</v>
      </c>
      <c r="J953" s="395" t="n">
        <v>6</v>
      </c>
      <c r="K953" s="395" t="n">
        <v>-2</v>
      </c>
      <c r="L953" s="397" t="n">
        <v>2886</v>
      </c>
      <c r="M953" s="113" t="n"/>
      <c r="N953" s="113" t="n"/>
      <c r="O953" s="113" t="n"/>
      <c r="P953" s="398" t="n"/>
      <c r="Q953" s="398" t="n"/>
      <c r="R953" s="113" t="n"/>
      <c r="S953" s="113" t="n"/>
      <c r="T953" s="113" t="n"/>
      <c r="U953" s="113" t="n"/>
      <c r="V953" s="113" t="n"/>
    </row>
    <row r="954" ht="15.75" customHeight="1">
      <c r="A954" s="146" t="n">
        <v>17</v>
      </c>
      <c r="B954" s="238" t="n"/>
      <c r="C954" s="399" t="n">
        <v>45919</v>
      </c>
      <c r="D954" s="146" t="inlineStr">
        <is>
          <t>221 G. MALAGUEÑA</t>
        </is>
      </c>
      <c r="E954" s="146" t="n">
        <v>43355</v>
      </c>
      <c r="F954" s="146" t="inlineStr">
        <is>
          <t>MANUEL QUITIAN</t>
        </is>
      </c>
      <c r="G954" s="395" t="n">
        <v>3000</v>
      </c>
      <c r="H954" s="395" t="n">
        <v>2995</v>
      </c>
      <c r="I954" s="395" t="n">
        <v>2</v>
      </c>
      <c r="J954" s="395" t="n">
        <v>3</v>
      </c>
      <c r="K954" s="395" t="n">
        <v>0</v>
      </c>
      <c r="L954" s="397" t="n">
        <v>3000</v>
      </c>
      <c r="M954" s="113" t="n"/>
      <c r="N954" s="113" t="n"/>
      <c r="O954" s="113" t="n"/>
      <c r="P954" s="398" t="n"/>
      <c r="Q954" s="398" t="n"/>
      <c r="R954" s="113" t="n"/>
      <c r="S954" s="113" t="n"/>
      <c r="T954" s="113" t="n"/>
      <c r="U954" s="113" t="n"/>
      <c r="V954" s="113" t="n"/>
    </row>
    <row r="955" ht="15.75" customHeight="1">
      <c r="A955" s="146" t="n">
        <v>17</v>
      </c>
      <c r="B955" s="238" t="n"/>
      <c r="C955" s="399" t="n">
        <v>45919</v>
      </c>
      <c r="D955" s="146" t="inlineStr">
        <is>
          <t>200 G. GARCERAS</t>
        </is>
      </c>
      <c r="E955" s="146" t="n">
        <v>43356</v>
      </c>
      <c r="F955" s="146" t="inlineStr">
        <is>
          <t>FABIO ALDANA</t>
        </is>
      </c>
      <c r="G955" s="395" t="n">
        <v>2160</v>
      </c>
      <c r="H955" s="395" t="n">
        <v>2152</v>
      </c>
      <c r="I955" s="395" t="n">
        <v>3</v>
      </c>
      <c r="J955" s="395" t="n">
        <v>3</v>
      </c>
      <c r="K955" s="395" t="n">
        <v>-2</v>
      </c>
      <c r="L955" s="397" t="n">
        <v>2160</v>
      </c>
      <c r="M955" s="113" t="n"/>
      <c r="N955" s="113" t="n"/>
      <c r="O955" s="113" t="n"/>
      <c r="P955" s="398" t="n"/>
      <c r="Q955" s="398" t="n"/>
      <c r="R955" s="113" t="n"/>
      <c r="S955" s="113" t="n"/>
      <c r="T955" s="113" t="n"/>
      <c r="U955" s="113" t="n"/>
      <c r="V955" s="113" t="n"/>
    </row>
    <row r="956" ht="15.75" customHeight="1">
      <c r="A956" s="146" t="n">
        <v>17</v>
      </c>
      <c r="B956" s="238" t="n"/>
      <c r="C956" s="399" t="n">
        <v>45919</v>
      </c>
      <c r="D956" s="146" t="inlineStr">
        <is>
          <t>219 G. SAN JOSE 2</t>
        </is>
      </c>
      <c r="E956" s="146" t="n">
        <v>43357</v>
      </c>
      <c r="F956" s="146" t="inlineStr">
        <is>
          <t>DUMAR ANGARITA</t>
        </is>
      </c>
      <c r="G956" s="395" t="n">
        <v>2825</v>
      </c>
      <c r="H956" s="395" t="n">
        <v>2806</v>
      </c>
      <c r="I956" s="395" t="n">
        <v>4</v>
      </c>
      <c r="J956" s="395" t="n">
        <v>14</v>
      </c>
      <c r="K956" s="395" t="n">
        <v>-1</v>
      </c>
      <c r="L956" s="397" t="n">
        <v>2825</v>
      </c>
      <c r="M956" s="113" t="n"/>
      <c r="N956" s="113" t="n"/>
      <c r="O956" s="113" t="n"/>
      <c r="P956" s="398" t="n"/>
      <c r="Q956" s="398" t="n"/>
      <c r="R956" s="113" t="n"/>
      <c r="S956" s="113" t="n"/>
      <c r="T956" s="113" t="n"/>
      <c r="U956" s="113" t="n"/>
      <c r="V956" s="113" t="n"/>
    </row>
    <row r="957" ht="15.75" customHeight="1">
      <c r="A957" s="146" t="n">
        <v>17</v>
      </c>
      <c r="B957" s="238" t="n"/>
      <c r="C957" s="399" t="n">
        <v>45919</v>
      </c>
      <c r="D957" s="146" t="inlineStr">
        <is>
          <t>219 G. SAN JOSE 2</t>
        </is>
      </c>
      <c r="E957" s="146" t="n">
        <v>43358</v>
      </c>
      <c r="F957" s="146" t="inlineStr">
        <is>
          <t>YAIR RIVEROS</t>
        </is>
      </c>
      <c r="G957" s="395" t="n">
        <v>2825</v>
      </c>
      <c r="H957" s="395" t="n">
        <v>2807</v>
      </c>
      <c r="I957" s="395" t="n">
        <v>5</v>
      </c>
      <c r="J957" s="395" t="n">
        <v>14</v>
      </c>
      <c r="K957" s="395" t="n">
        <v>1</v>
      </c>
      <c r="L957" s="397" t="n">
        <v>2825</v>
      </c>
      <c r="M957" s="113" t="n"/>
      <c r="N957" s="113" t="n"/>
      <c r="O957" s="113" t="n"/>
      <c r="P957" s="398" t="n"/>
      <c r="Q957" s="398" t="n"/>
      <c r="R957" s="113" t="n"/>
      <c r="S957" s="113" t="n"/>
      <c r="T957" s="113" t="n"/>
      <c r="U957" s="113" t="n"/>
      <c r="V957" s="113" t="n"/>
    </row>
    <row r="958" ht="15.75" customHeight="1">
      <c r="A958" s="146" t="n">
        <v>17</v>
      </c>
      <c r="B958" s="238" t="n"/>
      <c r="C958" s="399" t="n">
        <v>45919</v>
      </c>
      <c r="D958" s="146" t="inlineStr">
        <is>
          <t>219 G. SAN JOSE 2</t>
        </is>
      </c>
      <c r="E958" s="146" t="n">
        <v>43359</v>
      </c>
      <c r="F958" s="146" t="inlineStr">
        <is>
          <t>JOSE SOLER</t>
        </is>
      </c>
      <c r="G958" s="395" t="n">
        <v>2825</v>
      </c>
      <c r="H958" s="395" t="n">
        <v>2813</v>
      </c>
      <c r="I958" s="395" t="n">
        <v>2</v>
      </c>
      <c r="J958" s="395" t="n">
        <v>10</v>
      </c>
      <c r="K958" s="395" t="n">
        <v>0</v>
      </c>
      <c r="L958" s="397" t="n">
        <v>2825</v>
      </c>
      <c r="M958" s="113" t="n"/>
      <c r="N958" s="113" t="n"/>
      <c r="O958" s="113" t="n"/>
      <c r="P958" s="398" t="n"/>
      <c r="Q958" s="398" t="n"/>
      <c r="R958" s="113" t="n"/>
      <c r="S958" s="113" t="n"/>
      <c r="T958" s="113" t="n"/>
      <c r="U958" s="113" t="n"/>
      <c r="V958" s="113" t="n"/>
    </row>
    <row r="959" ht="15.75" customHeight="1">
      <c r="A959" s="146" t="n">
        <v>17</v>
      </c>
      <c r="B959" s="238" t="n"/>
      <c r="C959" s="399" t="n">
        <v>45919</v>
      </c>
      <c r="D959" s="146" t="inlineStr">
        <is>
          <t>219 G. SAN JOSE 2</t>
        </is>
      </c>
      <c r="E959" s="146" t="n">
        <v>43360</v>
      </c>
      <c r="F959" s="146" t="inlineStr">
        <is>
          <t>EDWIN ROJAS</t>
        </is>
      </c>
      <c r="G959" s="395" t="n">
        <v>2825</v>
      </c>
      <c r="H959" s="395" t="n">
        <v>2815</v>
      </c>
      <c r="I959" s="395" t="n">
        <v>1</v>
      </c>
      <c r="J959" s="395" t="n">
        <v>6</v>
      </c>
      <c r="K959" s="395" t="n">
        <v>-3</v>
      </c>
      <c r="L959" s="397" t="n">
        <v>2825</v>
      </c>
      <c r="M959" s="113" t="n"/>
      <c r="N959" s="113" t="n"/>
      <c r="O959" s="113" t="n"/>
      <c r="P959" s="398" t="n"/>
      <c r="Q959" s="398" t="n"/>
      <c r="R959" s="113" t="n"/>
      <c r="S959" s="113" t="n"/>
      <c r="T959" s="113" t="n"/>
      <c r="U959" s="113" t="n"/>
      <c r="V959" s="113" t="n"/>
    </row>
    <row r="960" ht="15.75" customHeight="1">
      <c r="A960" s="146" t="n">
        <v>17</v>
      </c>
      <c r="B960" s="238" t="n"/>
      <c r="C960" s="399" t="n">
        <v>45919</v>
      </c>
      <c r="D960" s="146" t="inlineStr">
        <is>
          <t>219 G. SAN JOSE 2</t>
        </is>
      </c>
      <c r="E960" s="146" t="n">
        <v>43361</v>
      </c>
      <c r="F960" s="146" t="inlineStr">
        <is>
          <t>FERNANDO OYUELA</t>
        </is>
      </c>
      <c r="G960" s="395" t="n">
        <v>2797</v>
      </c>
      <c r="H960" s="395" t="n">
        <v>2785</v>
      </c>
      <c r="I960" s="395" t="n">
        <v>3</v>
      </c>
      <c r="J960" s="395" t="n">
        <v>9</v>
      </c>
      <c r="K960" s="395" t="n">
        <v>0</v>
      </c>
      <c r="L960" s="397" t="n">
        <v>2797</v>
      </c>
      <c r="M960" s="113" t="n"/>
      <c r="N960" s="113" t="n"/>
      <c r="O960" s="113" t="n"/>
      <c r="P960" s="398" t="n"/>
      <c r="Q960" s="398" t="n"/>
      <c r="R960" s="113" t="n"/>
      <c r="S960" s="113" t="n"/>
      <c r="T960" s="113" t="n"/>
      <c r="U960" s="113" t="n"/>
      <c r="V960" s="113" t="n"/>
    </row>
    <row r="961" ht="15.75" customHeight="1">
      <c r="A961" s="146" t="n">
        <v>17</v>
      </c>
      <c r="B961" s="238" t="n"/>
      <c r="C961" s="399" t="n">
        <v>45919</v>
      </c>
      <c r="D961" s="146" t="inlineStr">
        <is>
          <t>219 G. SAN JOSE 2</t>
        </is>
      </c>
      <c r="E961" s="146" t="n">
        <v>43362</v>
      </c>
      <c r="F961" s="146" t="inlineStr">
        <is>
          <t>WILMER PIÑEROS</t>
        </is>
      </c>
      <c r="G961" s="395" t="n">
        <v>2797</v>
      </c>
      <c r="H961" s="395" t="n">
        <v>2787</v>
      </c>
      <c r="I961" s="395" t="n">
        <v>1</v>
      </c>
      <c r="J961" s="395" t="n">
        <v>8</v>
      </c>
      <c r="K961" s="395" t="n">
        <v>-1</v>
      </c>
      <c r="L961" s="397" t="n">
        <v>2797</v>
      </c>
      <c r="M961" s="113" t="n"/>
      <c r="N961" s="113" t="n"/>
      <c r="O961" s="113" t="n"/>
      <c r="P961" s="398" t="n"/>
      <c r="Q961" s="398" t="n"/>
      <c r="R961" s="113" t="n"/>
      <c r="S961" s="113" t="n"/>
      <c r="T961" s="113" t="n"/>
      <c r="U961" s="113" t="n"/>
      <c r="V961" s="113" t="n"/>
    </row>
    <row r="962" ht="15.75" customHeight="1">
      <c r="A962" s="146" t="n">
        <v>17</v>
      </c>
      <c r="B962" s="238" t="n"/>
      <c r="C962" s="399" t="n">
        <v>45919</v>
      </c>
      <c r="D962" s="146" t="inlineStr">
        <is>
          <t>219 G. SAN JOSE 2</t>
        </is>
      </c>
      <c r="E962" s="146" t="n">
        <v>43363</v>
      </c>
      <c r="F962" s="146" t="inlineStr">
        <is>
          <t>HENRY ROMERO</t>
        </is>
      </c>
      <c r="G962" s="395" t="n">
        <v>2797</v>
      </c>
      <c r="H962" s="395" t="n">
        <v>2783</v>
      </c>
      <c r="I962" s="395" t="n">
        <v>1</v>
      </c>
      <c r="J962" s="395" t="n">
        <v>10</v>
      </c>
      <c r="K962" s="395" t="n">
        <v>-3</v>
      </c>
      <c r="L962" s="397" t="n">
        <v>2797</v>
      </c>
      <c r="M962" s="113" t="n"/>
      <c r="N962" s="113" t="n"/>
      <c r="O962" s="113" t="n"/>
      <c r="P962" s="398" t="n"/>
      <c r="Q962" s="398" t="n"/>
      <c r="R962" s="113" t="n"/>
      <c r="S962" s="113" t="n"/>
      <c r="T962" s="113" t="n"/>
      <c r="U962" s="113" t="n"/>
      <c r="V962" s="113" t="n"/>
    </row>
    <row r="963" ht="15.75" customHeight="1">
      <c r="A963" s="146" t="n">
        <v>17</v>
      </c>
      <c r="B963" s="238" t="n"/>
      <c r="C963" s="399" t="n">
        <v>45920</v>
      </c>
      <c r="D963" s="146" t="inlineStr">
        <is>
          <t>221 G. MALAGUEÑA</t>
        </is>
      </c>
      <c r="E963" s="146" t="n">
        <v>43372</v>
      </c>
      <c r="F963" s="146" t="inlineStr">
        <is>
          <t>DUMAR ANGARITA</t>
        </is>
      </c>
      <c r="G963" s="395" t="n">
        <v>2894</v>
      </c>
      <c r="H963" s="395" t="n">
        <v>2875</v>
      </c>
      <c r="I963" s="395" t="n">
        <v>3</v>
      </c>
      <c r="J963" s="395" t="n">
        <v>16</v>
      </c>
      <c r="K963" s="395" t="n">
        <v>0</v>
      </c>
      <c r="L963" s="397" t="n">
        <v>2884</v>
      </c>
      <c r="M963" s="113" t="n"/>
      <c r="N963" s="113" t="n"/>
      <c r="O963" s="113" t="n"/>
      <c r="P963" s="398" t="n"/>
      <c r="Q963" s="398" t="n"/>
      <c r="R963" s="113" t="n"/>
      <c r="S963" s="113" t="n"/>
      <c r="T963" s="113" t="n"/>
      <c r="U963" s="113" t="n"/>
      <c r="V963" s="113" t="n"/>
    </row>
    <row r="964" ht="15.75" customHeight="1">
      <c r="A964" s="146" t="n">
        <v>17</v>
      </c>
      <c r="B964" s="238" t="n"/>
      <c r="C964" s="399" t="n">
        <v>45920</v>
      </c>
      <c r="D964" s="146" t="inlineStr">
        <is>
          <t>221 G. MALAGUEÑA</t>
        </is>
      </c>
      <c r="E964" s="146" t="n">
        <v>43373</v>
      </c>
      <c r="F964" s="146" t="inlineStr">
        <is>
          <t>ALBERTO HERRERA</t>
        </is>
      </c>
      <c r="G964" s="395" t="n">
        <v>2884</v>
      </c>
      <c r="H964" s="395" t="n">
        <v>2864</v>
      </c>
      <c r="I964" s="395" t="n">
        <v>4</v>
      </c>
      <c r="J964" s="395" t="n">
        <v>16</v>
      </c>
      <c r="K964" s="395" t="n">
        <v>0</v>
      </c>
      <c r="L964" s="397" t="n">
        <v>2884</v>
      </c>
      <c r="M964" s="113" t="n"/>
      <c r="N964" s="113" t="n"/>
      <c r="O964" s="113" t="n"/>
      <c r="P964" s="398" t="n"/>
      <c r="Q964" s="398" t="n"/>
      <c r="R964" s="113" t="n"/>
      <c r="S964" s="113" t="n"/>
      <c r="T964" s="113" t="n"/>
      <c r="U964" s="113" t="n"/>
      <c r="V964" s="113" t="n"/>
    </row>
    <row r="965" ht="15.75" customHeight="1">
      <c r="A965" s="146" t="n">
        <v>17</v>
      </c>
      <c r="B965" s="238" t="n"/>
      <c r="C965" s="399" t="n">
        <v>45920</v>
      </c>
      <c r="D965" s="146" t="inlineStr">
        <is>
          <t>221 G. MALAGUEÑA</t>
        </is>
      </c>
      <c r="E965" s="146" t="n">
        <v>43374</v>
      </c>
      <c r="F965" s="146" t="inlineStr">
        <is>
          <t>EDUAN CAVIEDES</t>
        </is>
      </c>
      <c r="G965" s="395" t="n">
        <v>2884</v>
      </c>
      <c r="H965" s="395" t="n">
        <v>2865</v>
      </c>
      <c r="I965" s="395" t="n">
        <v>8</v>
      </c>
      <c r="J965" s="395" t="n">
        <v>11</v>
      </c>
      <c r="K965" s="395" t="n">
        <v>0</v>
      </c>
      <c r="L965" s="397" t="n">
        <v>2884</v>
      </c>
      <c r="M965" s="113" t="n"/>
      <c r="N965" s="113" t="n"/>
      <c r="O965" s="113" t="n"/>
      <c r="P965" s="398" t="n"/>
      <c r="Q965" s="398" t="n"/>
      <c r="R965" s="113" t="n"/>
      <c r="S965" s="113" t="n"/>
      <c r="T965" s="113" t="n"/>
      <c r="U965" s="113" t="n"/>
      <c r="V965" s="113" t="n"/>
    </row>
    <row r="966" ht="15.75" customHeight="1">
      <c r="A966" s="146" t="n">
        <v>17</v>
      </c>
      <c r="B966" s="238" t="n"/>
      <c r="C966" s="399" t="n">
        <v>45920</v>
      </c>
      <c r="D966" s="146" t="inlineStr">
        <is>
          <t>221 G. MALAGUEÑA</t>
        </is>
      </c>
      <c r="E966" s="146" t="n">
        <v>43377</v>
      </c>
      <c r="F966" s="146" t="inlineStr">
        <is>
          <t>JHON ARIAS</t>
        </is>
      </c>
      <c r="G966" s="395" t="n">
        <v>2884</v>
      </c>
      <c r="H966" s="395" t="n">
        <v>2864</v>
      </c>
      <c r="I966" s="395" t="n">
        <v>10</v>
      </c>
      <c r="J966" s="395" t="n">
        <v>10</v>
      </c>
      <c r="K966" s="395" t="n">
        <v>0</v>
      </c>
      <c r="L966" s="397" t="n">
        <v>2884</v>
      </c>
      <c r="M966" s="113" t="n"/>
      <c r="N966" s="113" t="n"/>
      <c r="O966" s="113" t="n"/>
      <c r="P966" s="398" t="n"/>
      <c r="Q966" s="398" t="n"/>
      <c r="R966" s="113" t="n"/>
      <c r="S966" s="113" t="n"/>
      <c r="T966" s="113" t="n"/>
      <c r="U966" s="113" t="n"/>
      <c r="V966" s="113" t="n"/>
    </row>
    <row r="967" ht="15.75" customHeight="1">
      <c r="A967" s="146" t="n">
        <v>17</v>
      </c>
      <c r="B967" s="238" t="n"/>
      <c r="C967" s="399" t="n">
        <v>45920</v>
      </c>
      <c r="D967" s="146" t="inlineStr">
        <is>
          <t>221 G. MALAGUEÑA</t>
        </is>
      </c>
      <c r="E967" s="146" t="n">
        <v>43378</v>
      </c>
      <c r="F967" s="146" t="inlineStr">
        <is>
          <t>ALEXANDER CHAGUALA</t>
        </is>
      </c>
      <c r="G967" s="395" t="n">
        <v>2977</v>
      </c>
      <c r="H967" s="395" t="n">
        <v>2956</v>
      </c>
      <c r="I967" s="395" t="n">
        <v>11</v>
      </c>
      <c r="J967" s="395" t="n">
        <v>10</v>
      </c>
      <c r="K967" s="395" t="n">
        <v>0</v>
      </c>
      <c r="L967" s="397" t="n">
        <v>2997</v>
      </c>
      <c r="M967" s="113" t="n"/>
      <c r="N967" s="113" t="n"/>
      <c r="O967" s="113" t="n"/>
      <c r="P967" s="398" t="n"/>
      <c r="Q967" s="398" t="n"/>
      <c r="R967" s="113" t="n"/>
      <c r="S967" s="113" t="n"/>
      <c r="T967" s="113" t="n"/>
      <c r="U967" s="113" t="n"/>
      <c r="V967" s="113" t="n"/>
    </row>
    <row r="968" ht="15.75" customHeight="1">
      <c r="A968" s="146" t="n">
        <v>17</v>
      </c>
      <c r="B968" s="238" t="n"/>
      <c r="C968" s="399" t="n">
        <v>45920</v>
      </c>
      <c r="D968" s="146" t="inlineStr">
        <is>
          <t>221 G. MALAGUEÑA</t>
        </is>
      </c>
      <c r="E968" s="146" t="n">
        <v>43379</v>
      </c>
      <c r="F968" s="146" t="inlineStr">
        <is>
          <t>WILMER PIÑEROS</t>
        </is>
      </c>
      <c r="G968" s="395" t="n">
        <v>2977</v>
      </c>
      <c r="H968" s="395" t="n">
        <v>2963</v>
      </c>
      <c r="I968" s="395" t="n">
        <v>5</v>
      </c>
      <c r="J968" s="395" t="n">
        <v>9</v>
      </c>
      <c r="K968" s="395" t="n">
        <v>0</v>
      </c>
      <c r="L968" s="397" t="n">
        <v>2977</v>
      </c>
      <c r="M968" s="113" t="n"/>
      <c r="N968" s="113" t="n"/>
      <c r="O968" s="113" t="n"/>
      <c r="P968" s="398" t="n"/>
      <c r="Q968" s="398" t="n"/>
      <c r="R968" s="113" t="n"/>
      <c r="S968" s="113" t="n"/>
      <c r="T968" s="113" t="n"/>
      <c r="U968" s="113" t="n"/>
      <c r="V968" s="113" t="n"/>
    </row>
    <row r="969" ht="15.75" customHeight="1">
      <c r="A969" s="146" t="n">
        <v>17</v>
      </c>
      <c r="B969" s="238" t="n"/>
      <c r="C969" s="399" t="n">
        <v>45920</v>
      </c>
      <c r="D969" s="146" t="inlineStr">
        <is>
          <t>221 G. MALAGUEÑA</t>
        </is>
      </c>
      <c r="E969" s="146" t="n">
        <v>43380</v>
      </c>
      <c r="F969" s="146" t="inlineStr">
        <is>
          <t>HENRY ROMERO</t>
        </is>
      </c>
      <c r="G969" s="395" t="n">
        <v>3564</v>
      </c>
      <c r="H969" s="395" t="n">
        <v>3554</v>
      </c>
      <c r="I969" s="395" t="n">
        <v>4</v>
      </c>
      <c r="J969" s="395" t="n">
        <v>6</v>
      </c>
      <c r="K969" s="395" t="n">
        <v>0</v>
      </c>
      <c r="L969" s="397" t="n">
        <v>3574</v>
      </c>
      <c r="M969" s="113" t="n"/>
      <c r="N969" s="113" t="n"/>
      <c r="O969" s="113" t="n"/>
      <c r="P969" s="398" t="n"/>
      <c r="Q969" s="398" t="n"/>
      <c r="R969" s="113" t="n"/>
      <c r="S969" s="113" t="n"/>
      <c r="T969" s="113" t="n"/>
      <c r="U969" s="113" t="n"/>
      <c r="V969" s="113" t="n"/>
    </row>
    <row r="970" ht="15.75" customHeight="1">
      <c r="A970" s="146" t="n">
        <v>17</v>
      </c>
      <c r="B970" s="238" t="n"/>
      <c r="C970" s="399" t="n">
        <v>45920</v>
      </c>
      <c r="D970" s="146" t="inlineStr">
        <is>
          <t>221 G. MALAGUEÑA</t>
        </is>
      </c>
      <c r="E970" s="146" t="n">
        <v>43381</v>
      </c>
      <c r="F970" s="146" t="inlineStr">
        <is>
          <t>MANUEL QUITIAN</t>
        </is>
      </c>
      <c r="G970" s="395" t="n">
        <v>3025</v>
      </c>
      <c r="H970" s="395" t="n">
        <v>3002</v>
      </c>
      <c r="I970" s="395" t="n">
        <v>5</v>
      </c>
      <c r="J970" s="395" t="n">
        <v>18</v>
      </c>
      <c r="K970" s="395" t="n">
        <v>0</v>
      </c>
      <c r="L970" s="397" t="n">
        <v>3025</v>
      </c>
      <c r="M970" s="113" t="n"/>
      <c r="N970" s="113" t="n"/>
      <c r="O970" s="113" t="n"/>
      <c r="P970" s="398" t="n"/>
      <c r="Q970" s="398" t="n"/>
      <c r="R970" s="113" t="n"/>
      <c r="S970" s="113" t="n"/>
      <c r="T970" s="113" t="n"/>
      <c r="U970" s="113" t="n"/>
      <c r="V970" s="113" t="n"/>
    </row>
    <row r="971" ht="15.75" customHeight="1">
      <c r="A971" s="146" t="n">
        <v>17</v>
      </c>
      <c r="B971" s="238" t="n"/>
      <c r="C971" s="399" t="n">
        <v>45920</v>
      </c>
      <c r="D971" s="146" t="inlineStr">
        <is>
          <t>221 G. MALAGUEÑA</t>
        </is>
      </c>
      <c r="E971" s="146" t="n">
        <v>43382</v>
      </c>
      <c r="F971" s="146" t="inlineStr">
        <is>
          <t>FERNANDO OYUELA</t>
        </is>
      </c>
      <c r="G971" s="395" t="n">
        <v>3025</v>
      </c>
      <c r="H971" s="395" t="n">
        <v>3001</v>
      </c>
      <c r="I971" s="395" t="n">
        <v>3</v>
      </c>
      <c r="J971" s="395" t="n">
        <v>21</v>
      </c>
      <c r="K971" s="395" t="n">
        <v>0</v>
      </c>
      <c r="L971" s="397" t="n">
        <v>3025</v>
      </c>
      <c r="M971" s="113" t="n"/>
      <c r="N971" s="113" t="n"/>
      <c r="O971" s="113" t="n"/>
      <c r="P971" s="398" t="n"/>
      <c r="Q971" s="398" t="n"/>
      <c r="R971" s="113" t="n"/>
      <c r="S971" s="113" t="n"/>
      <c r="T971" s="113" t="n"/>
      <c r="U971" s="113" t="n"/>
      <c r="V971" s="113" t="n"/>
    </row>
    <row r="972" ht="15.75" customHeight="1">
      <c r="A972" s="146" t="n">
        <v>17</v>
      </c>
      <c r="B972" s="238" t="n"/>
      <c r="C972" s="399" t="n"/>
      <c r="D972" s="113" t="n"/>
      <c r="E972" s="113" t="n"/>
      <c r="F972" s="113" t="n"/>
      <c r="G972" s="477">
        <f>SUBTOTAL(9,G924:G971)</f>
        <v/>
      </c>
      <c r="H972" s="477">
        <f>SUBTOTAL(9,H924:H971)</f>
        <v/>
      </c>
      <c r="I972" s="477">
        <f>SUBTOTAL(9,I924:I971)</f>
        <v/>
      </c>
      <c r="J972" s="477">
        <f>SUBTOTAL(9,J924:J971)</f>
        <v/>
      </c>
      <c r="K972" s="477">
        <f>SUBTOTAL(9,K924:K971)</f>
        <v/>
      </c>
      <c r="L972" s="477">
        <f>SUBTOTAL(9,L924:L971)</f>
        <v/>
      </c>
      <c r="M972" s="113" t="n"/>
      <c r="N972" s="113" t="n"/>
      <c r="O972" s="113" t="n"/>
      <c r="P972" s="398" t="n"/>
      <c r="Q972" s="398" t="n"/>
      <c r="R972" s="113" t="n"/>
      <c r="S972" s="113" t="n"/>
      <c r="T972" s="113" t="n"/>
      <c r="U972" s="113" t="n"/>
      <c r="V972" s="113" t="n"/>
    </row>
    <row r="973" ht="15.75" customHeight="1">
      <c r="A973" s="146" t="n">
        <v>18</v>
      </c>
      <c r="B973" s="238" t="n"/>
      <c r="C973" s="399" t="n">
        <v>45922</v>
      </c>
      <c r="D973" s="146" t="inlineStr">
        <is>
          <t>221 G. MALAGUEÑA</t>
        </is>
      </c>
      <c r="E973" s="146" t="n">
        <v>43383</v>
      </c>
      <c r="F973" s="146" t="inlineStr">
        <is>
          <t>EDUAN CAVIEDES</t>
        </is>
      </c>
      <c r="G973" s="395" t="n">
        <v>2916</v>
      </c>
      <c r="H973" s="395" t="n">
        <v>2903</v>
      </c>
      <c r="I973" s="395" t="n">
        <v>3</v>
      </c>
      <c r="J973" s="395" t="n">
        <v>10</v>
      </c>
      <c r="K973" s="395" t="n">
        <v>0</v>
      </c>
      <c r="L973" s="397" t="n">
        <v>2916</v>
      </c>
      <c r="M973" s="113" t="n"/>
      <c r="N973" s="113" t="n"/>
      <c r="O973" s="113" t="n"/>
      <c r="P973" s="398" t="n"/>
      <c r="Q973" s="398" t="n"/>
      <c r="R973" s="113" t="n"/>
      <c r="S973" s="113" t="n"/>
      <c r="T973" s="113" t="n"/>
      <c r="U973" s="113" t="n"/>
      <c r="V973" s="113" t="n"/>
    </row>
    <row r="974" ht="15.75" customHeight="1">
      <c r="A974" s="146" t="n">
        <v>18</v>
      </c>
      <c r="B974" s="238" t="n"/>
      <c r="C974" s="399" t="n">
        <v>45922</v>
      </c>
      <c r="D974" s="146" t="inlineStr">
        <is>
          <t>221 G. MALAGUEÑA</t>
        </is>
      </c>
      <c r="E974" s="146" t="n">
        <v>43384</v>
      </c>
      <c r="F974" s="146" t="inlineStr">
        <is>
          <t>YAIR RIVEROS</t>
        </is>
      </c>
      <c r="G974" s="395" t="n">
        <v>3333</v>
      </c>
      <c r="H974" s="395" t="n">
        <v>3320</v>
      </c>
      <c r="I974" s="395" t="n">
        <v>3</v>
      </c>
      <c r="J974" s="395" t="n">
        <v>10</v>
      </c>
      <c r="K974" s="395" t="n">
        <v>0</v>
      </c>
      <c r="L974" s="397" t="n">
        <v>3333</v>
      </c>
      <c r="M974" s="113" t="n"/>
      <c r="N974" s="113" t="n"/>
      <c r="O974" s="113" t="n"/>
      <c r="P974" s="398" t="n"/>
      <c r="Q974" s="398" t="n"/>
      <c r="R974" s="113" t="n"/>
      <c r="S974" s="113" t="n"/>
      <c r="T974" s="113" t="n"/>
      <c r="U974" s="113" t="n"/>
      <c r="V974" s="113" t="n"/>
    </row>
    <row r="975" ht="15.75" customHeight="1">
      <c r="A975" s="146" t="n">
        <v>18</v>
      </c>
      <c r="B975" s="238" t="n"/>
      <c r="C975" s="399" t="n">
        <v>45922</v>
      </c>
      <c r="D975" s="146" t="inlineStr">
        <is>
          <t>221 G. MALAGUEÑA</t>
        </is>
      </c>
      <c r="E975" s="146" t="n">
        <v>43385</v>
      </c>
      <c r="F975" s="146" t="inlineStr">
        <is>
          <t>MANUEL QUITIAN</t>
        </is>
      </c>
      <c r="G975" s="395" t="n">
        <v>3240</v>
      </c>
      <c r="H975" s="395" t="n">
        <v>3226</v>
      </c>
      <c r="I975" s="395" t="n">
        <v>5</v>
      </c>
      <c r="J975" s="395" t="n">
        <v>9</v>
      </c>
      <c r="K975" s="395" t="n">
        <v>0</v>
      </c>
      <c r="L975" s="397" t="n">
        <v>3240</v>
      </c>
      <c r="M975" s="113" t="n"/>
      <c r="N975" s="113" t="n"/>
      <c r="O975" s="113" t="n"/>
      <c r="P975" s="398" t="n"/>
      <c r="Q975" s="398" t="n"/>
      <c r="R975" s="113" t="n"/>
      <c r="S975" s="113" t="n"/>
      <c r="T975" s="113" t="n"/>
      <c r="U975" s="113" t="n"/>
      <c r="V975" s="113" t="n"/>
    </row>
    <row r="976" ht="15.75" customHeight="1">
      <c r="A976" s="146" t="n">
        <v>18</v>
      </c>
      <c r="B976" s="238" t="n"/>
      <c r="C976" s="399" t="n">
        <v>45922</v>
      </c>
      <c r="D976" s="146" t="inlineStr">
        <is>
          <t>221 G. MALAGUEÑA</t>
        </is>
      </c>
      <c r="E976" s="146" t="n">
        <v>43386</v>
      </c>
      <c r="F976" s="146" t="inlineStr">
        <is>
          <t>ALBERTO HERRERA</t>
        </is>
      </c>
      <c r="G976" s="395" t="n">
        <v>3564</v>
      </c>
      <c r="H976" s="395" t="n">
        <v>3553</v>
      </c>
      <c r="I976" s="395" t="n">
        <v>4</v>
      </c>
      <c r="J976" s="395" t="n">
        <v>7</v>
      </c>
      <c r="K976" s="395" t="n">
        <v>0</v>
      </c>
      <c r="L976" s="397" t="n">
        <v>3564</v>
      </c>
      <c r="M976" s="113" t="n"/>
      <c r="N976" s="113" t="n"/>
      <c r="O976" s="113" t="n"/>
      <c r="P976" s="398" t="n"/>
      <c r="Q976" s="398" t="n"/>
      <c r="R976" s="113" t="n"/>
      <c r="S976" s="113" t="n"/>
      <c r="T976" s="113" t="n"/>
      <c r="U976" s="113" t="n"/>
      <c r="V976" s="113" t="n"/>
    </row>
    <row r="977" ht="15.75" customHeight="1">
      <c r="A977" s="146" t="n">
        <v>18</v>
      </c>
      <c r="B977" s="238" t="n"/>
      <c r="C977" s="399" t="n">
        <v>45922</v>
      </c>
      <c r="D977" s="146" t="inlineStr">
        <is>
          <t>221 G. MALAGUEÑA</t>
        </is>
      </c>
      <c r="E977" s="146" t="n">
        <v>43387</v>
      </c>
      <c r="F977" s="146" t="inlineStr">
        <is>
          <t>HENRY ROMERO</t>
        </is>
      </c>
      <c r="G977" s="395" t="n">
        <v>3564</v>
      </c>
      <c r="H977" s="395" t="n">
        <v>3553</v>
      </c>
      <c r="I977" s="395" t="n">
        <v>6</v>
      </c>
      <c r="J977" s="395" t="n">
        <v>5</v>
      </c>
      <c r="K977" s="395" t="n">
        <v>0</v>
      </c>
      <c r="L977" s="397" t="n">
        <v>3564</v>
      </c>
      <c r="M977" s="113" t="n"/>
      <c r="N977" s="113" t="n"/>
      <c r="O977" s="113" t="n"/>
      <c r="P977" s="398" t="n"/>
      <c r="Q977" s="398" t="n"/>
      <c r="R977" s="113" t="n"/>
      <c r="S977" s="113" t="n"/>
      <c r="T977" s="113" t="n"/>
      <c r="U977" s="113" t="n"/>
      <c r="V977" s="113" t="n"/>
    </row>
    <row r="978" ht="15.75" customHeight="1">
      <c r="A978" s="146" t="n">
        <v>18</v>
      </c>
      <c r="B978" s="238" t="n"/>
      <c r="C978" s="399" t="n">
        <v>45922</v>
      </c>
      <c r="D978" s="146" t="inlineStr">
        <is>
          <t>219 G. SAN JOSE 2</t>
        </is>
      </c>
      <c r="E978" s="146" t="n">
        <v>43388</v>
      </c>
      <c r="F978" s="146" t="inlineStr">
        <is>
          <t>WILMER PIÑEROS</t>
        </is>
      </c>
      <c r="G978" s="395" t="n">
        <v>2800</v>
      </c>
      <c r="H978" s="395" t="n">
        <v>2778</v>
      </c>
      <c r="I978" s="395" t="n">
        <v>2</v>
      </c>
      <c r="J978" s="395" t="n">
        <v>20</v>
      </c>
      <c r="K978" s="395" t="n">
        <v>0</v>
      </c>
      <c r="L978" s="397" t="n">
        <v>2800</v>
      </c>
      <c r="M978" s="113" t="n"/>
      <c r="N978" s="113" t="n"/>
      <c r="O978" s="113" t="n"/>
      <c r="P978" s="398" t="n"/>
      <c r="Q978" s="398" t="n"/>
      <c r="R978" s="113" t="n"/>
      <c r="S978" s="113" t="n"/>
      <c r="T978" s="113" t="n"/>
      <c r="U978" s="113" t="n"/>
      <c r="V978" s="113" t="n"/>
    </row>
    <row r="979" ht="15.75" customHeight="1">
      <c r="A979" s="146" t="n">
        <v>18</v>
      </c>
      <c r="B979" s="238" t="n"/>
      <c r="C979" s="399" t="n">
        <v>45922</v>
      </c>
      <c r="D979" s="146" t="inlineStr">
        <is>
          <t>219 G. SAN JOSE 2</t>
        </is>
      </c>
      <c r="E979" s="146" t="n">
        <v>43389</v>
      </c>
      <c r="F979" s="146" t="inlineStr">
        <is>
          <t>ROBINSON PULIDO</t>
        </is>
      </c>
      <c r="G979" s="395" t="n">
        <v>2800</v>
      </c>
      <c r="H979" s="395" t="n">
        <v>2777</v>
      </c>
      <c r="I979" s="395" t="n">
        <v>2</v>
      </c>
      <c r="J979" s="395" t="n">
        <v>21</v>
      </c>
      <c r="K979" s="395" t="n">
        <v>0</v>
      </c>
      <c r="L979" s="397" t="n">
        <v>2800</v>
      </c>
      <c r="M979" s="113" t="n"/>
      <c r="N979" s="113" t="n"/>
      <c r="O979" s="113" t="n"/>
      <c r="P979" s="398" t="n"/>
      <c r="Q979" s="398" t="n"/>
      <c r="R979" s="113" t="n"/>
      <c r="S979" s="113" t="n"/>
      <c r="T979" s="113" t="n"/>
      <c r="U979" s="113" t="n"/>
      <c r="V979" s="113" t="n"/>
    </row>
    <row r="980" ht="15.75" customHeight="1">
      <c r="A980" s="146" t="n">
        <v>18</v>
      </c>
      <c r="B980" s="238" t="n"/>
      <c r="C980" s="399" t="n">
        <v>45922</v>
      </c>
      <c r="D980" s="146" t="inlineStr">
        <is>
          <t>219 G. SAN JOSE 2</t>
        </is>
      </c>
      <c r="E980" s="146" t="n">
        <v>43390</v>
      </c>
      <c r="F980" s="146" t="inlineStr">
        <is>
          <t>EDUAN CAVIEDES</t>
        </is>
      </c>
      <c r="G980" s="395" t="n">
        <v>2800</v>
      </c>
      <c r="H980" s="395" t="n">
        <v>2778</v>
      </c>
      <c r="I980" s="395" t="n">
        <v>3</v>
      </c>
      <c r="J980" s="395" t="n">
        <v>19</v>
      </c>
      <c r="K980" s="395" t="n">
        <v>0</v>
      </c>
      <c r="L980" s="397" t="n">
        <v>2800</v>
      </c>
      <c r="M980" s="113" t="n"/>
      <c r="N980" s="113" t="n"/>
      <c r="O980" s="113" t="n"/>
      <c r="P980" s="398" t="n"/>
      <c r="Q980" s="398" t="n"/>
      <c r="R980" s="113" t="n"/>
      <c r="S980" s="113" t="n"/>
      <c r="T980" s="113" t="n"/>
      <c r="U980" s="113" t="n"/>
      <c r="V980" s="113" t="n"/>
    </row>
    <row r="981" ht="15.75" customHeight="1">
      <c r="A981" s="146" t="n">
        <v>18</v>
      </c>
      <c r="B981" s="238" t="n"/>
      <c r="C981" s="399" t="n">
        <v>45922</v>
      </c>
      <c r="D981" s="146" t="inlineStr">
        <is>
          <t>219 G. SAN JOSE 2</t>
        </is>
      </c>
      <c r="E981" s="146" t="n">
        <v>43399</v>
      </c>
      <c r="F981" s="146" t="inlineStr">
        <is>
          <t>MANUEL QUITIAN</t>
        </is>
      </c>
      <c r="G981" s="395" t="n">
        <v>2800</v>
      </c>
      <c r="H981" s="395" t="n">
        <v>2771</v>
      </c>
      <c r="I981" s="395" t="n">
        <v>3</v>
      </c>
      <c r="J981" s="395" t="n">
        <v>26</v>
      </c>
      <c r="K981" s="395" t="n">
        <v>0</v>
      </c>
      <c r="L981" s="397" t="n">
        <v>2800</v>
      </c>
      <c r="M981" s="113" t="n"/>
      <c r="N981" s="113" t="n"/>
      <c r="O981" s="113" t="n"/>
      <c r="P981" s="398" t="n"/>
      <c r="Q981" s="398" t="n"/>
      <c r="R981" s="113" t="n"/>
      <c r="S981" s="113" t="n"/>
      <c r="T981" s="113" t="n"/>
      <c r="U981" s="113" t="n"/>
      <c r="V981" s="113" t="n"/>
    </row>
    <row r="982" ht="15.75" customHeight="1">
      <c r="A982" s="146" t="n">
        <v>18</v>
      </c>
      <c r="B982" s="238" t="n"/>
      <c r="C982" s="399" t="n">
        <v>45922</v>
      </c>
      <c r="D982" s="146" t="inlineStr">
        <is>
          <t>219 G. SAN JOSE 2</t>
        </is>
      </c>
      <c r="E982" s="146" t="n">
        <v>43400</v>
      </c>
      <c r="F982" s="146" t="inlineStr">
        <is>
          <t>HENRY ROMERO</t>
        </is>
      </c>
      <c r="G982" s="395" t="n">
        <v>2916</v>
      </c>
      <c r="H982" s="395" t="n">
        <v>2889</v>
      </c>
      <c r="I982" s="395" t="n">
        <v>3</v>
      </c>
      <c r="J982" s="395" t="n">
        <v>27</v>
      </c>
      <c r="K982" s="395" t="n">
        <v>3</v>
      </c>
      <c r="L982" s="397" t="n">
        <v>2916</v>
      </c>
      <c r="M982" s="113" t="n"/>
      <c r="N982" s="113" t="n"/>
      <c r="O982" s="113" t="n"/>
      <c r="P982" s="398" t="n"/>
      <c r="Q982" s="398" t="n"/>
      <c r="R982" s="113" t="n"/>
      <c r="S982" s="113" t="n"/>
      <c r="T982" s="113" t="n"/>
      <c r="U982" s="113" t="n"/>
      <c r="V982" s="113" t="n"/>
    </row>
    <row r="983" ht="15.75" customHeight="1">
      <c r="A983" s="146" t="n">
        <v>18</v>
      </c>
      <c r="B983" s="238" t="n"/>
      <c r="C983" s="399" t="n">
        <v>45922</v>
      </c>
      <c r="D983" s="146" t="inlineStr">
        <is>
          <t>219 G. SAN JOSE 2</t>
        </is>
      </c>
      <c r="E983" s="146" t="n">
        <v>43401</v>
      </c>
      <c r="F983" s="146" t="inlineStr">
        <is>
          <t>ROBINSON PULIDO</t>
        </is>
      </c>
      <c r="G983" s="395" t="n">
        <v>3600</v>
      </c>
      <c r="H983" s="395" t="n">
        <v>3587</v>
      </c>
      <c r="I983" s="395" t="n">
        <v>5</v>
      </c>
      <c r="J983" s="395" t="n">
        <v>10</v>
      </c>
      <c r="K983" s="395" t="n">
        <v>2</v>
      </c>
      <c r="L983" s="397" t="n">
        <v>3600</v>
      </c>
      <c r="M983" s="113" t="n"/>
      <c r="N983" s="113" t="n"/>
      <c r="O983" s="113" t="n"/>
      <c r="P983" s="398" t="n"/>
      <c r="Q983" s="398" t="n"/>
      <c r="R983" s="113" t="n"/>
      <c r="S983" s="113" t="n"/>
      <c r="T983" s="113" t="n"/>
      <c r="U983" s="113" t="n"/>
      <c r="V983" s="113" t="n"/>
    </row>
    <row r="984" ht="15.75" customHeight="1">
      <c r="A984" s="146" t="n">
        <v>18</v>
      </c>
      <c r="B984" s="238" t="n"/>
      <c r="C984" s="399" t="n">
        <v>45922</v>
      </c>
      <c r="D984" s="146" t="inlineStr">
        <is>
          <t>219 G. SAN JOSE 2</t>
        </is>
      </c>
      <c r="E984" s="146" t="n">
        <v>43402</v>
      </c>
      <c r="F984" s="146" t="inlineStr">
        <is>
          <t xml:space="preserve">ALEX GOMEZ </t>
        </is>
      </c>
      <c r="G984" s="395" t="n">
        <v>3600</v>
      </c>
      <c r="H984" s="395" t="n">
        <v>3585</v>
      </c>
      <c r="I984" s="395" t="n">
        <v>4</v>
      </c>
      <c r="J984" s="395" t="n">
        <v>11</v>
      </c>
      <c r="K984" s="395" t="n">
        <v>0</v>
      </c>
      <c r="L984" s="397" t="n">
        <v>3600</v>
      </c>
      <c r="M984" s="113" t="n"/>
      <c r="N984" s="113" t="n"/>
      <c r="O984" s="113" t="n"/>
      <c r="P984" s="398" t="n"/>
      <c r="Q984" s="398" t="n"/>
      <c r="R984" s="113" t="n"/>
      <c r="S984" s="113" t="n"/>
      <c r="T984" s="113" t="n"/>
      <c r="U984" s="113" t="n"/>
      <c r="V984" s="113" t="n"/>
    </row>
    <row r="985" ht="15.75" customHeight="1">
      <c r="A985" s="146" t="n">
        <v>18</v>
      </c>
      <c r="B985" s="238" t="n"/>
      <c r="C985" s="399" t="n">
        <v>45922</v>
      </c>
      <c r="D985" s="146" t="inlineStr">
        <is>
          <t>219 G. SAN JOSE 2</t>
        </is>
      </c>
      <c r="E985" s="146" t="n">
        <v>43403</v>
      </c>
      <c r="F985" s="146" t="inlineStr">
        <is>
          <t>FABIO ALDANA</t>
        </is>
      </c>
      <c r="G985" s="395" t="n">
        <v>3640</v>
      </c>
      <c r="H985" s="395" t="n">
        <v>3626</v>
      </c>
      <c r="I985" s="395" t="n">
        <v>4</v>
      </c>
      <c r="J985" s="395" t="n">
        <v>12</v>
      </c>
      <c r="K985" s="395" t="n">
        <v>2</v>
      </c>
      <c r="L985" s="397" t="n">
        <v>3640</v>
      </c>
      <c r="M985" s="113" t="n"/>
      <c r="N985" s="113" t="n"/>
      <c r="O985" s="113" t="n"/>
      <c r="P985" s="398" t="n"/>
      <c r="Q985" s="398" t="n"/>
      <c r="R985" s="113" t="n"/>
      <c r="S985" s="113" t="n"/>
      <c r="T985" s="113" t="n"/>
      <c r="U985" s="113" t="n"/>
      <c r="V985" s="113" t="n"/>
    </row>
    <row r="986" ht="15.75" customHeight="1">
      <c r="A986" s="146" t="n">
        <v>18</v>
      </c>
      <c r="B986" s="238" t="n"/>
      <c r="C986" s="399" t="n">
        <v>45922</v>
      </c>
      <c r="D986" s="146" t="inlineStr">
        <is>
          <t>219 G. SAN JOSE 2</t>
        </is>
      </c>
      <c r="E986" s="146" t="n">
        <v>43404</v>
      </c>
      <c r="F986" s="146" t="inlineStr">
        <is>
          <t>JHON ARIAS</t>
        </is>
      </c>
      <c r="G986" s="395" t="n">
        <v>3640</v>
      </c>
      <c r="H986" s="395" t="n">
        <v>3625</v>
      </c>
      <c r="I986" s="395" t="n">
        <v>3</v>
      </c>
      <c r="J986" s="395" t="n">
        <v>15</v>
      </c>
      <c r="K986" s="395" t="n">
        <v>3</v>
      </c>
      <c r="L986" s="397" t="n">
        <v>3640</v>
      </c>
      <c r="M986" s="113" t="n"/>
      <c r="N986" s="113" t="n"/>
      <c r="O986" s="113" t="n"/>
      <c r="P986" s="398" t="n"/>
      <c r="Q986" s="398" t="n"/>
      <c r="R986" s="113" t="n"/>
      <c r="S986" s="113" t="n"/>
      <c r="T986" s="113" t="n"/>
      <c r="U986" s="113" t="n"/>
      <c r="V986" s="113" t="n"/>
    </row>
    <row r="987" ht="15.75" customHeight="1">
      <c r="A987" s="146" t="n">
        <v>18</v>
      </c>
      <c r="B987" s="238" t="n"/>
      <c r="C987" s="399" t="n">
        <v>45923</v>
      </c>
      <c r="D987" s="146" t="inlineStr">
        <is>
          <t>221 G. MALAGUEÑA</t>
        </is>
      </c>
      <c r="E987" s="146" t="n">
        <v>43415</v>
      </c>
      <c r="F987" s="146" t="inlineStr">
        <is>
          <t>HENRY ROMERO</t>
        </is>
      </c>
      <c r="G987" s="395" t="n">
        <v>3227</v>
      </c>
      <c r="H987" s="395" t="n">
        <v>3220</v>
      </c>
      <c r="I987" s="395" t="n">
        <v>1</v>
      </c>
      <c r="J987" s="395" t="n">
        <v>6</v>
      </c>
      <c r="K987" s="395" t="n">
        <v>0</v>
      </c>
      <c r="L987" s="397" t="n">
        <v>3227</v>
      </c>
      <c r="M987" s="113" t="n"/>
      <c r="N987" s="113" t="n"/>
      <c r="O987" s="113" t="n"/>
      <c r="P987" s="398" t="n"/>
      <c r="Q987" s="398" t="n"/>
      <c r="R987" s="113" t="n"/>
      <c r="S987" s="113" t="n"/>
      <c r="T987" s="113" t="n"/>
      <c r="U987" s="113" t="n"/>
      <c r="V987" s="113" t="n"/>
    </row>
    <row r="988" ht="15.75" customHeight="1">
      <c r="A988" s="146" t="n">
        <v>18</v>
      </c>
      <c r="B988" s="238" t="n"/>
      <c r="C988" s="399" t="n">
        <v>45923</v>
      </c>
      <c r="D988" s="146" t="inlineStr">
        <is>
          <t>221 G. MALAGUEÑA</t>
        </is>
      </c>
      <c r="E988" s="146" t="n">
        <v>43416</v>
      </c>
      <c r="F988" s="146" t="inlineStr">
        <is>
          <t>JOSE SOLER</t>
        </is>
      </c>
      <c r="G988" s="395" t="n">
        <v>3257</v>
      </c>
      <c r="H988" s="395" t="n">
        <v>3252</v>
      </c>
      <c r="I988" s="395" t="n">
        <v>2</v>
      </c>
      <c r="J988" s="395" t="n">
        <v>5</v>
      </c>
      <c r="K988" s="395" t="n">
        <v>2</v>
      </c>
      <c r="L988" s="397" t="n">
        <v>3257</v>
      </c>
      <c r="M988" s="113" t="n"/>
      <c r="N988" s="113" t="n"/>
      <c r="O988" s="113" t="n"/>
      <c r="P988" s="398" t="n"/>
      <c r="Q988" s="398" t="n"/>
      <c r="R988" s="113" t="n"/>
      <c r="S988" s="113" t="n"/>
      <c r="T988" s="113" t="n"/>
      <c r="U988" s="113" t="n"/>
      <c r="V988" s="113" t="n"/>
    </row>
    <row r="989" ht="15.75" customHeight="1">
      <c r="A989" s="146" t="n">
        <v>18</v>
      </c>
      <c r="B989" s="238" t="n"/>
      <c r="C989" s="399" t="n">
        <v>45923</v>
      </c>
      <c r="D989" s="146" t="inlineStr">
        <is>
          <t>221 G. MALAGUEÑA</t>
        </is>
      </c>
      <c r="E989" s="146" t="n">
        <v>43417</v>
      </c>
      <c r="F989" s="146" t="inlineStr">
        <is>
          <t xml:space="preserve">ALEX GOMEZ </t>
        </is>
      </c>
      <c r="G989" s="395" t="n">
        <v>3182</v>
      </c>
      <c r="H989" s="395" t="n">
        <v>3162</v>
      </c>
      <c r="I989" s="395" t="n">
        <v>8</v>
      </c>
      <c r="J989" s="395" t="n">
        <v>15</v>
      </c>
      <c r="K989" s="395" t="n">
        <v>3</v>
      </c>
      <c r="L989" s="397" t="n">
        <v>3182</v>
      </c>
      <c r="M989" s="113" t="n"/>
      <c r="N989" s="113" t="n"/>
      <c r="O989" s="113" t="n"/>
      <c r="P989" s="398" t="n"/>
      <c r="Q989" s="398" t="n"/>
      <c r="R989" s="113" t="n"/>
      <c r="S989" s="113" t="n"/>
      <c r="T989" s="113" t="n"/>
      <c r="U989" s="113" t="n"/>
      <c r="V989" s="113" t="n"/>
    </row>
    <row r="990" ht="15.75" customHeight="1">
      <c r="A990" s="146" t="n">
        <v>18</v>
      </c>
      <c r="B990" s="238" t="n"/>
      <c r="C990" s="399" t="n">
        <v>45923</v>
      </c>
      <c r="D990" s="146" t="inlineStr">
        <is>
          <t>221 G. MALAGUEÑA</t>
        </is>
      </c>
      <c r="E990" s="146" t="n">
        <v>43418</v>
      </c>
      <c r="F990" s="146" t="inlineStr">
        <is>
          <t>ALEXANDER CHAGUALA</t>
        </is>
      </c>
      <c r="G990" s="395" t="n">
        <v>3182</v>
      </c>
      <c r="H990" s="395" t="n">
        <v>3165</v>
      </c>
      <c r="I990" s="395" t="n">
        <v>4</v>
      </c>
      <c r="J990" s="395" t="n">
        <v>16</v>
      </c>
      <c r="K990" s="395" t="n">
        <v>3</v>
      </c>
      <c r="L990" s="397" t="n">
        <v>3182</v>
      </c>
      <c r="M990" s="113" t="n"/>
      <c r="N990" s="113" t="n"/>
      <c r="O990" s="113" t="n"/>
      <c r="P990" s="398" t="n"/>
      <c r="Q990" s="398" t="n"/>
      <c r="R990" s="113" t="n"/>
      <c r="S990" s="113" t="n"/>
      <c r="T990" s="113" t="n"/>
      <c r="U990" s="113" t="n"/>
      <c r="V990" s="113" t="n"/>
    </row>
    <row r="991" ht="15.75" customHeight="1">
      <c r="A991" s="146" t="n">
        <v>18</v>
      </c>
      <c r="B991" s="238" t="n"/>
      <c r="C991" s="399" t="n">
        <v>45923</v>
      </c>
      <c r="D991" s="146" t="inlineStr">
        <is>
          <t>221 G. MALAGUEÑA</t>
        </is>
      </c>
      <c r="E991" s="146" t="n">
        <v>43419</v>
      </c>
      <c r="F991" s="146" t="inlineStr">
        <is>
          <t>DUMAR ANGARITA</t>
        </is>
      </c>
      <c r="G991" s="395" t="n">
        <v>3182</v>
      </c>
      <c r="H991" s="395" t="n">
        <v>3166</v>
      </c>
      <c r="I991" s="395" t="n">
        <v>2</v>
      </c>
      <c r="J991" s="395" t="n">
        <v>16</v>
      </c>
      <c r="K991" s="395" t="n">
        <v>2</v>
      </c>
      <c r="L991" s="397" t="n">
        <v>3183</v>
      </c>
      <c r="M991" s="113" t="n"/>
      <c r="N991" s="113" t="n"/>
      <c r="O991" s="113" t="n"/>
      <c r="P991" s="398" t="n"/>
      <c r="Q991" s="398" t="n"/>
      <c r="R991" s="113" t="n"/>
      <c r="S991" s="113" t="n"/>
      <c r="T991" s="113" t="n"/>
      <c r="U991" s="113" t="n"/>
      <c r="V991" s="113" t="n"/>
    </row>
    <row r="992" ht="15.75" customHeight="1">
      <c r="A992" s="146" t="n">
        <v>18</v>
      </c>
      <c r="B992" s="238" t="n"/>
      <c r="C992" s="399" t="n">
        <v>45923</v>
      </c>
      <c r="D992" s="146" t="inlineStr">
        <is>
          <t>221 G. MALAGUEÑA</t>
        </is>
      </c>
      <c r="E992" s="146" t="n">
        <v>43420</v>
      </c>
      <c r="F992" s="146" t="inlineStr">
        <is>
          <t>FERNANDO OYUELA</t>
        </is>
      </c>
      <c r="G992" s="395" t="n">
        <v>2830</v>
      </c>
      <c r="H992" s="395" t="n">
        <v>2826</v>
      </c>
      <c r="I992" s="395" t="n">
        <v>2</v>
      </c>
      <c r="J992" s="395" t="n">
        <v>11</v>
      </c>
      <c r="K992" s="395" t="n">
        <v>9</v>
      </c>
      <c r="L992" s="397" t="n">
        <v>2830</v>
      </c>
      <c r="M992" s="113" t="n"/>
      <c r="N992" s="113" t="n"/>
      <c r="O992" s="113" t="n"/>
      <c r="P992" s="398" t="n"/>
      <c r="Q992" s="398" t="n"/>
      <c r="R992" s="113" t="n"/>
      <c r="S992" s="113" t="n"/>
      <c r="T992" s="113" t="n"/>
      <c r="U992" s="113" t="n"/>
      <c r="V992" s="113" t="n"/>
    </row>
    <row r="993" ht="15.75" customHeight="1">
      <c r="A993" s="146" t="n">
        <v>18</v>
      </c>
      <c r="B993" s="238" t="n"/>
      <c r="C993" s="399" t="n">
        <v>45923</v>
      </c>
      <c r="D993" s="146" t="inlineStr">
        <is>
          <t>221 G. MALAGUEÑA</t>
        </is>
      </c>
      <c r="E993" s="146" t="n">
        <v>43421</v>
      </c>
      <c r="F993" s="146" t="inlineStr">
        <is>
          <t>FABIO ALDANA</t>
        </is>
      </c>
      <c r="G993" s="395" t="n">
        <v>2830</v>
      </c>
      <c r="H993" s="395" t="n">
        <v>2831</v>
      </c>
      <c r="I993" s="395" t="n">
        <v>2</v>
      </c>
      <c r="J993" s="395" t="n">
        <v>7</v>
      </c>
      <c r="K993" s="395" t="n">
        <v>10</v>
      </c>
      <c r="L993" s="397" t="n">
        <v>2830</v>
      </c>
      <c r="M993" s="113" t="n"/>
      <c r="N993" s="113" t="n"/>
      <c r="O993" s="113" t="n"/>
      <c r="P993" s="398" t="n"/>
      <c r="Q993" s="398" t="n"/>
      <c r="R993" s="113" t="n"/>
      <c r="S993" s="113" t="n"/>
      <c r="T993" s="113" t="n"/>
      <c r="U993" s="113" t="n"/>
      <c r="V993" s="113" t="n"/>
    </row>
    <row r="994" ht="15.75" customHeight="1">
      <c r="A994" s="146" t="n">
        <v>18</v>
      </c>
      <c r="B994" s="238" t="n"/>
      <c r="C994" s="399" t="n">
        <v>45923</v>
      </c>
      <c r="D994" s="146" t="inlineStr">
        <is>
          <t>221 G. MALAGUEÑA</t>
        </is>
      </c>
      <c r="E994" s="146" t="n">
        <v>43422</v>
      </c>
      <c r="F994" s="146" t="inlineStr">
        <is>
          <t>HENRY ROMERO</t>
        </is>
      </c>
      <c r="G994" s="395" t="n">
        <v>2830</v>
      </c>
      <c r="H994" s="395" t="n">
        <v>2821</v>
      </c>
      <c r="I994" s="395" t="n">
        <v>2</v>
      </c>
      <c r="J994" s="395" t="n">
        <v>13</v>
      </c>
      <c r="K994" s="395" t="n">
        <v>6</v>
      </c>
      <c r="L994" s="397" t="n">
        <v>2830</v>
      </c>
      <c r="M994" s="113" t="n"/>
      <c r="N994" s="113" t="n"/>
      <c r="O994" s="113" t="n"/>
      <c r="P994" s="398" t="n"/>
      <c r="Q994" s="398" t="n"/>
      <c r="R994" s="113" t="n"/>
      <c r="S994" s="113" t="n"/>
      <c r="T994" s="113" t="n"/>
      <c r="U994" s="113" t="n"/>
      <c r="V994" s="113" t="n"/>
    </row>
    <row r="995" ht="15.75" customHeight="1">
      <c r="A995" s="146" t="n">
        <v>18</v>
      </c>
      <c r="B995" s="238" t="n"/>
      <c r="C995" s="399" t="n">
        <v>45923</v>
      </c>
      <c r="D995" s="146" t="inlineStr">
        <is>
          <t>219 G. SAN JOSE 2</t>
        </is>
      </c>
      <c r="E995" s="146" t="n">
        <v>43432</v>
      </c>
      <c r="F995" s="146" t="inlineStr">
        <is>
          <t>ALEXANDER CHAGUALA</t>
        </is>
      </c>
      <c r="G995" s="395" t="n">
        <v>3340</v>
      </c>
      <c r="H995" s="395" t="n">
        <v>3342</v>
      </c>
      <c r="I995" s="395" t="n">
        <v>2</v>
      </c>
      <c r="J995" s="395" t="n">
        <v>4</v>
      </c>
      <c r="K995" s="395" t="n">
        <v>8</v>
      </c>
      <c r="L995" s="397" t="n">
        <v>3340</v>
      </c>
      <c r="M995" s="113" t="n"/>
      <c r="N995" s="113" t="n"/>
      <c r="O995" s="113" t="n"/>
      <c r="P995" s="398" t="n"/>
      <c r="Q995" s="398" t="n"/>
      <c r="R995" s="113" t="n"/>
      <c r="S995" s="113" t="n"/>
      <c r="T995" s="113" t="n"/>
      <c r="U995" s="113" t="n"/>
      <c r="V995" s="113" t="n"/>
    </row>
    <row r="996" ht="15.75" customHeight="1">
      <c r="A996" s="146" t="n">
        <v>18</v>
      </c>
      <c r="B996" s="238" t="n"/>
      <c r="C996" s="399" t="n">
        <v>45923</v>
      </c>
      <c r="D996" s="146" t="inlineStr">
        <is>
          <t>219 G. SAN JOSE 2</t>
        </is>
      </c>
      <c r="E996" s="146" t="n">
        <v>43433</v>
      </c>
      <c r="F996" s="146" t="inlineStr">
        <is>
          <t>FABIO ALDANA</t>
        </is>
      </c>
      <c r="G996" s="395" t="n">
        <v>3340</v>
      </c>
      <c r="H996" s="395" t="n">
        <v>3346</v>
      </c>
      <c r="I996" s="395" t="n">
        <v>1</v>
      </c>
      <c r="J996" s="395" t="n">
        <v>1</v>
      </c>
      <c r="K996" s="395" t="n">
        <v>8</v>
      </c>
      <c r="L996" s="397" t="n">
        <v>3340</v>
      </c>
      <c r="M996" s="113" t="n"/>
      <c r="N996" s="113" t="n"/>
      <c r="O996" s="113" t="n"/>
      <c r="P996" s="398" t="n"/>
      <c r="Q996" s="398" t="n"/>
      <c r="R996" s="113" t="n"/>
      <c r="S996" s="113" t="n"/>
      <c r="T996" s="113" t="n"/>
      <c r="U996" s="113" t="n"/>
      <c r="V996" s="113" t="n"/>
    </row>
    <row r="997" ht="15.75" customHeight="1">
      <c r="A997" s="146" t="n">
        <v>18</v>
      </c>
      <c r="B997" s="238" t="n"/>
      <c r="C997" s="399" t="n">
        <v>45923</v>
      </c>
      <c r="D997" s="146" t="inlineStr">
        <is>
          <t>219 G. SAN JOSE 2</t>
        </is>
      </c>
      <c r="E997" s="146" t="n">
        <v>43434</v>
      </c>
      <c r="F997" s="146" t="inlineStr">
        <is>
          <t>WILMER PIÑEROS</t>
        </is>
      </c>
      <c r="G997" s="395" t="n">
        <v>3340</v>
      </c>
      <c r="H997" s="395" t="n">
        <v>3330</v>
      </c>
      <c r="I997" s="395" t="n">
        <v>4</v>
      </c>
      <c r="J997" s="395" t="n">
        <v>13</v>
      </c>
      <c r="K997" s="395" t="n">
        <v>7</v>
      </c>
      <c r="L997" s="397" t="n">
        <v>3340</v>
      </c>
      <c r="M997" s="113" t="n"/>
      <c r="N997" s="113" t="n"/>
      <c r="O997" s="113" t="n"/>
      <c r="P997" s="398" t="n"/>
      <c r="Q997" s="398" t="n"/>
      <c r="R997" s="113" t="n"/>
      <c r="S997" s="113" t="n"/>
      <c r="T997" s="113" t="n"/>
      <c r="U997" s="113" t="n"/>
      <c r="V997" s="113" t="n"/>
    </row>
    <row r="998" ht="15.75" customHeight="1">
      <c r="A998" s="146" t="n">
        <v>18</v>
      </c>
      <c r="B998" s="238" t="n"/>
      <c r="C998" s="399" t="n">
        <v>45923</v>
      </c>
      <c r="D998" s="146" t="inlineStr">
        <is>
          <t>219 G. SAN JOSE 2</t>
        </is>
      </c>
      <c r="E998" s="146" t="n">
        <v>43435</v>
      </c>
      <c r="F998" s="146" t="inlineStr">
        <is>
          <t>MANUEL QUITIAN</t>
        </is>
      </c>
      <c r="G998" s="395" t="n">
        <v>3564</v>
      </c>
      <c r="H998" s="395" t="n">
        <v>3561</v>
      </c>
      <c r="I998" s="395" t="n">
        <v>3</v>
      </c>
      <c r="J998" s="395" t="n">
        <v>5</v>
      </c>
      <c r="K998" s="395" t="n">
        <v>5</v>
      </c>
      <c r="L998" s="397" t="n">
        <v>3564</v>
      </c>
      <c r="M998" s="113" t="n"/>
      <c r="N998" s="113" t="n"/>
      <c r="O998" s="113" t="n"/>
      <c r="P998" s="398" t="n"/>
      <c r="Q998" s="398" t="n"/>
      <c r="R998" s="113" t="n"/>
      <c r="S998" s="113" t="n"/>
      <c r="T998" s="113" t="n"/>
      <c r="U998" s="113" t="n"/>
      <c r="V998" s="113" t="n"/>
    </row>
    <row r="999" ht="15.75" customHeight="1">
      <c r="A999" s="146" t="n">
        <v>18</v>
      </c>
      <c r="B999" s="238" t="n"/>
      <c r="C999" s="399" t="n">
        <v>45923</v>
      </c>
      <c r="D999" s="146" t="inlineStr">
        <is>
          <t>219 G. SAN JOSE 2</t>
        </is>
      </c>
      <c r="E999" s="146" t="n">
        <v>43436</v>
      </c>
      <c r="F999" s="146" t="inlineStr">
        <is>
          <t>ALBERTO HERRERA</t>
        </is>
      </c>
      <c r="G999" s="395" t="n">
        <v>3422</v>
      </c>
      <c r="H999" s="395" t="n">
        <v>3423</v>
      </c>
      <c r="I999" s="395" t="n">
        <v>2</v>
      </c>
      <c r="J999" s="395" t="n">
        <v>4</v>
      </c>
      <c r="K999" s="395" t="n">
        <v>7</v>
      </c>
      <c r="L999" s="397" t="n">
        <v>3422</v>
      </c>
      <c r="M999" s="113" t="n"/>
      <c r="N999" s="113" t="n"/>
      <c r="O999" s="113" t="n"/>
      <c r="P999" s="398" t="n"/>
      <c r="Q999" s="398" t="n"/>
      <c r="R999" s="113" t="n"/>
      <c r="S999" s="113" t="n"/>
      <c r="T999" s="113" t="n"/>
      <c r="U999" s="113" t="n"/>
      <c r="V999" s="113" t="n"/>
    </row>
    <row r="1000" ht="15.75" customHeight="1">
      <c r="A1000" s="146" t="n">
        <v>18</v>
      </c>
      <c r="B1000" s="238" t="n"/>
      <c r="C1000" s="399" t="n">
        <v>45924</v>
      </c>
      <c r="D1000" s="146" t="inlineStr">
        <is>
          <t>221 G. MALAGUEÑA</t>
        </is>
      </c>
      <c r="E1000" s="146" t="n">
        <v>42445</v>
      </c>
      <c r="F1000" s="146" t="inlineStr">
        <is>
          <t xml:space="preserve">ALEX GOMEZ </t>
        </is>
      </c>
      <c r="G1000" s="395" t="n">
        <v>2715</v>
      </c>
      <c r="H1000" s="395" t="n">
        <v>2695</v>
      </c>
      <c r="I1000" s="395" t="n">
        <v>4</v>
      </c>
      <c r="J1000" s="395" t="n">
        <v>16</v>
      </c>
      <c r="K1000" s="395" t="n">
        <v>0</v>
      </c>
      <c r="L1000" s="397" t="n">
        <v>2715</v>
      </c>
      <c r="M1000" s="113" t="n"/>
      <c r="N1000" s="113" t="n"/>
      <c r="O1000" s="113" t="n"/>
      <c r="P1000" s="398" t="n"/>
      <c r="Q1000" s="398" t="n"/>
      <c r="R1000" s="113" t="n"/>
      <c r="S1000" s="113" t="n"/>
      <c r="T1000" s="113" t="n"/>
      <c r="U1000" s="113" t="n"/>
      <c r="V1000" s="113" t="n"/>
    </row>
    <row r="1001" ht="15.75" customHeight="1">
      <c r="A1001" s="146" t="n">
        <v>18</v>
      </c>
      <c r="B1001" s="238" t="n"/>
      <c r="C1001" s="399" t="n">
        <v>45924</v>
      </c>
      <c r="D1001" s="146" t="inlineStr">
        <is>
          <t>221 G. MALAGUEÑA</t>
        </is>
      </c>
      <c r="E1001" s="146" t="n">
        <v>42446</v>
      </c>
      <c r="F1001" s="146" t="inlineStr">
        <is>
          <t>ROBINSON PULIDO</t>
        </is>
      </c>
      <c r="G1001" s="395" t="n">
        <v>3171</v>
      </c>
      <c r="H1001" s="395" t="n">
        <v>3148</v>
      </c>
      <c r="I1001" s="395" t="n">
        <v>7</v>
      </c>
      <c r="J1001" s="395" t="n">
        <v>16</v>
      </c>
      <c r="K1001" s="395" t="n">
        <v>0</v>
      </c>
      <c r="L1001" s="397" t="n">
        <v>3174</v>
      </c>
      <c r="M1001" s="113" t="n"/>
      <c r="N1001" s="113" t="n"/>
      <c r="O1001" s="113" t="n"/>
      <c r="P1001" s="398" t="n"/>
      <c r="Q1001" s="398" t="n"/>
      <c r="R1001" s="113" t="n"/>
      <c r="S1001" s="113" t="n"/>
      <c r="T1001" s="113" t="n"/>
      <c r="U1001" s="113" t="n"/>
      <c r="V1001" s="113" t="n"/>
    </row>
    <row r="1002" ht="15.75" customHeight="1">
      <c r="A1002" s="146" t="n">
        <v>18</v>
      </c>
      <c r="B1002" s="238" t="n"/>
      <c r="C1002" s="399" t="n">
        <v>45924</v>
      </c>
      <c r="D1002" s="146" t="inlineStr">
        <is>
          <t>221 G. MALAGUEÑA</t>
        </is>
      </c>
      <c r="E1002" s="146" t="n">
        <v>42447</v>
      </c>
      <c r="F1002" s="146" t="inlineStr">
        <is>
          <t>YAIR RIVEROS</t>
        </is>
      </c>
      <c r="G1002" s="395" t="n">
        <v>3171</v>
      </c>
      <c r="H1002" s="395" t="n">
        <v>3147</v>
      </c>
      <c r="I1002" s="395" t="n">
        <v>6</v>
      </c>
      <c r="J1002" s="395" t="n">
        <v>18</v>
      </c>
      <c r="K1002" s="395" t="n">
        <v>0</v>
      </c>
      <c r="L1002" s="397" t="n">
        <v>3174</v>
      </c>
      <c r="M1002" s="113" t="n"/>
      <c r="N1002" s="113" t="n"/>
      <c r="O1002" s="113" t="n"/>
      <c r="P1002" s="398" t="n"/>
      <c r="Q1002" s="398" t="n"/>
      <c r="R1002" s="113" t="n"/>
      <c r="S1002" s="113" t="n"/>
      <c r="T1002" s="113" t="n"/>
      <c r="U1002" s="113" t="n"/>
      <c r="V1002" s="113" t="n"/>
    </row>
    <row r="1003" ht="15.75" customHeight="1">
      <c r="A1003" s="146" t="n">
        <v>18</v>
      </c>
      <c r="B1003" s="238" t="n"/>
      <c r="C1003" s="399" t="n">
        <v>45924</v>
      </c>
      <c r="D1003" s="146" t="inlineStr">
        <is>
          <t>221 G. MALAGUEÑA</t>
        </is>
      </c>
      <c r="E1003" s="146" t="n">
        <v>42448</v>
      </c>
      <c r="F1003" s="146" t="inlineStr">
        <is>
          <t>DUMAR ANGARITA</t>
        </is>
      </c>
      <c r="G1003" s="395" t="n">
        <v>3171</v>
      </c>
      <c r="H1003" s="395" t="n">
        <v>3156</v>
      </c>
      <c r="I1003" s="395" t="n">
        <v>7</v>
      </c>
      <c r="J1003" s="395" t="n">
        <v>6</v>
      </c>
      <c r="K1003" s="395" t="n">
        <v>-2</v>
      </c>
      <c r="L1003" s="397" t="n">
        <v>3174</v>
      </c>
      <c r="M1003" s="113" t="n"/>
      <c r="N1003" s="113" t="n"/>
      <c r="O1003" s="113" t="n"/>
      <c r="P1003" s="398" t="n"/>
      <c r="Q1003" s="398" t="n"/>
      <c r="R1003" s="113" t="n"/>
      <c r="S1003" s="113" t="n"/>
      <c r="T1003" s="113" t="n"/>
      <c r="U1003" s="113" t="n"/>
      <c r="V1003" s="113" t="n"/>
    </row>
    <row r="1004" ht="15.75" customHeight="1">
      <c r="A1004" s="146" t="n">
        <v>18</v>
      </c>
      <c r="B1004" s="238" t="n"/>
      <c r="C1004" s="399" t="n">
        <v>45924</v>
      </c>
      <c r="D1004" s="146" t="inlineStr">
        <is>
          <t>221 G. MALAGUEÑA</t>
        </is>
      </c>
      <c r="E1004" s="146" t="n">
        <v>42449</v>
      </c>
      <c r="F1004" s="146" t="inlineStr">
        <is>
          <t>FERNANDO OYUELA</t>
        </is>
      </c>
      <c r="G1004" s="395" t="n">
        <v>3171</v>
      </c>
      <c r="H1004" s="395" t="n">
        <v>3157</v>
      </c>
      <c r="I1004" s="395" t="n">
        <v>6</v>
      </c>
      <c r="J1004" s="395" t="n">
        <v>6</v>
      </c>
      <c r="K1004" s="395" t="n">
        <v>-2</v>
      </c>
      <c r="L1004" s="397" t="n">
        <v>3174</v>
      </c>
      <c r="M1004" s="113" t="n"/>
      <c r="N1004" s="113" t="n"/>
      <c r="O1004" s="113" t="n"/>
      <c r="P1004" s="398" t="n"/>
      <c r="Q1004" s="398" t="n"/>
      <c r="R1004" s="113" t="n"/>
      <c r="S1004" s="113" t="n"/>
      <c r="T1004" s="113" t="n"/>
      <c r="U1004" s="113" t="n"/>
      <c r="V1004" s="113" t="n"/>
    </row>
    <row r="1005" ht="15.75" customHeight="1">
      <c r="A1005" s="146" t="n">
        <v>18</v>
      </c>
      <c r="B1005" s="238" t="n"/>
      <c r="C1005" s="399" t="n">
        <v>45924</v>
      </c>
      <c r="D1005" s="146" t="inlineStr">
        <is>
          <t>221 G. MALAGUEÑA</t>
        </is>
      </c>
      <c r="E1005" s="146" t="n">
        <v>42450</v>
      </c>
      <c r="F1005" s="146" t="inlineStr">
        <is>
          <t>JOSE SOLER</t>
        </is>
      </c>
      <c r="G1005" s="395" t="n">
        <v>3171</v>
      </c>
      <c r="H1005" s="395" t="n">
        <v>3156</v>
      </c>
      <c r="I1005" s="395" t="n">
        <v>7</v>
      </c>
      <c r="J1005" s="395" t="n">
        <v>6</v>
      </c>
      <c r="K1005" s="395" t="n">
        <v>-2</v>
      </c>
      <c r="L1005" s="397" t="n">
        <v>3174</v>
      </c>
      <c r="M1005" s="113" t="n"/>
      <c r="N1005" s="113" t="n"/>
      <c r="O1005" s="113" t="n"/>
      <c r="P1005" s="398" t="n"/>
      <c r="Q1005" s="398" t="n"/>
      <c r="R1005" s="113" t="n"/>
      <c r="S1005" s="113" t="n"/>
      <c r="T1005" s="113" t="n"/>
      <c r="U1005" s="113" t="n"/>
      <c r="V1005" s="113" t="n"/>
    </row>
    <row r="1006" ht="15.75" customHeight="1">
      <c r="A1006" s="146" t="n">
        <v>18</v>
      </c>
      <c r="B1006" s="238" t="n"/>
      <c r="C1006" s="399" t="n">
        <v>45924</v>
      </c>
      <c r="D1006" s="146" t="inlineStr">
        <is>
          <t>221 G. MALAGUEÑA</t>
        </is>
      </c>
      <c r="E1006" s="146" t="n">
        <v>42451</v>
      </c>
      <c r="F1006" s="146" t="inlineStr">
        <is>
          <t>EDUAN CAVIEDES</t>
        </is>
      </c>
      <c r="G1006" s="395" t="n">
        <v>3171</v>
      </c>
      <c r="H1006" s="395" t="n">
        <v>3153</v>
      </c>
      <c r="I1006" s="395" t="n">
        <v>7</v>
      </c>
      <c r="J1006" s="395" t="n">
        <v>10</v>
      </c>
      <c r="K1006" s="395" t="n">
        <v>-1</v>
      </c>
      <c r="L1006" s="397" t="n">
        <v>3174</v>
      </c>
      <c r="M1006" s="113" t="n"/>
      <c r="N1006" s="113" t="n"/>
      <c r="O1006" s="113" t="n"/>
      <c r="P1006" s="398" t="n"/>
      <c r="Q1006" s="398" t="n"/>
      <c r="R1006" s="113" t="n"/>
      <c r="S1006" s="113" t="n"/>
      <c r="T1006" s="113" t="n"/>
      <c r="U1006" s="113" t="n"/>
      <c r="V1006" s="113" t="n"/>
    </row>
    <row r="1007" ht="15.75" customHeight="1">
      <c r="A1007" s="146" t="n">
        <v>18</v>
      </c>
      <c r="B1007" s="238" t="n"/>
      <c r="C1007" s="399" t="n">
        <v>45924</v>
      </c>
      <c r="D1007" s="146" t="inlineStr">
        <is>
          <t>221 G. MALAGUEÑA</t>
        </is>
      </c>
      <c r="E1007" s="146" t="n">
        <v>42459</v>
      </c>
      <c r="F1007" s="146" t="inlineStr">
        <is>
          <t xml:space="preserve">ALEX GOMEZ </t>
        </is>
      </c>
      <c r="G1007" s="395" t="n">
        <v>3171</v>
      </c>
      <c r="H1007" s="395" t="n">
        <v>3157</v>
      </c>
      <c r="I1007" s="395" t="n">
        <v>3</v>
      </c>
      <c r="J1007" s="395" t="n">
        <v>12</v>
      </c>
      <c r="K1007" s="395" t="n">
        <v>1</v>
      </c>
      <c r="L1007" s="397" t="n">
        <v>3174</v>
      </c>
      <c r="M1007" s="113" t="n"/>
      <c r="N1007" s="113" t="n"/>
      <c r="O1007" s="113" t="n"/>
      <c r="P1007" s="398" t="n"/>
      <c r="Q1007" s="398" t="n"/>
      <c r="R1007" s="113" t="n"/>
      <c r="S1007" s="113" t="n"/>
      <c r="T1007" s="113" t="n"/>
      <c r="U1007" s="113" t="n"/>
      <c r="V1007" s="113" t="n"/>
    </row>
    <row r="1008" ht="15.75" customHeight="1">
      <c r="A1008" s="146" t="n">
        <v>18</v>
      </c>
      <c r="B1008" s="238" t="n"/>
      <c r="C1008" s="399" t="n">
        <v>45924</v>
      </c>
      <c r="D1008" s="146" t="inlineStr">
        <is>
          <t>221 G. MALAGUEÑA</t>
        </is>
      </c>
      <c r="E1008" s="146" t="n">
        <v>42460</v>
      </c>
      <c r="F1008" s="146" t="inlineStr">
        <is>
          <t>YAIR RIVEROS</t>
        </is>
      </c>
      <c r="G1008" s="395" t="n">
        <v>3171</v>
      </c>
      <c r="H1008" s="395" t="n">
        <v>3160</v>
      </c>
      <c r="I1008" s="395" t="n">
        <v>3</v>
      </c>
      <c r="J1008" s="395" t="n">
        <v>13</v>
      </c>
      <c r="K1008" s="395" t="n">
        <v>5</v>
      </c>
      <c r="L1008" s="397" t="n">
        <v>3174</v>
      </c>
      <c r="M1008" s="113" t="n"/>
      <c r="N1008" s="113" t="n"/>
      <c r="O1008" s="113" t="n"/>
      <c r="P1008" s="398" t="n"/>
      <c r="Q1008" s="398" t="n"/>
      <c r="R1008" s="113" t="n"/>
      <c r="S1008" s="113" t="n"/>
      <c r="T1008" s="113" t="n"/>
      <c r="U1008" s="113" t="n"/>
      <c r="V1008" s="113" t="n"/>
    </row>
    <row r="1009" ht="15.75" customHeight="1">
      <c r="A1009" s="146" t="n">
        <v>18</v>
      </c>
      <c r="B1009" s="238" t="n"/>
      <c r="C1009" s="399" t="n">
        <v>45924</v>
      </c>
      <c r="D1009" s="146" t="inlineStr">
        <is>
          <t>221 G. MALAGUEÑA</t>
        </is>
      </c>
      <c r="E1009" s="146" t="n">
        <v>42461</v>
      </c>
      <c r="F1009" s="146" t="inlineStr">
        <is>
          <t>DUMAR ANGARITA</t>
        </is>
      </c>
      <c r="G1009" s="395" t="n">
        <v>3308</v>
      </c>
      <c r="H1009" s="395" t="n">
        <v>3283</v>
      </c>
      <c r="I1009" s="395" t="n">
        <v>2</v>
      </c>
      <c r="J1009" s="395" t="n">
        <v>11</v>
      </c>
      <c r="K1009" s="395" t="n">
        <v>-12</v>
      </c>
      <c r="L1009" s="397" t="n">
        <v>3308</v>
      </c>
      <c r="M1009" s="113" t="n"/>
      <c r="N1009" s="113" t="n"/>
      <c r="O1009" s="113" t="n"/>
      <c r="P1009" s="398" t="n"/>
      <c r="Q1009" s="398" t="n"/>
      <c r="R1009" s="113" t="n"/>
      <c r="S1009" s="113" t="n"/>
      <c r="T1009" s="113" t="n"/>
      <c r="U1009" s="113" t="n"/>
      <c r="V1009" s="113" t="n"/>
    </row>
    <row r="1010" ht="15.75" customHeight="1">
      <c r="A1010" s="146" t="n">
        <v>18</v>
      </c>
      <c r="B1010" s="238" t="n"/>
      <c r="C1010" s="399" t="n">
        <v>45924</v>
      </c>
      <c r="D1010" s="146" t="inlineStr">
        <is>
          <t>221 G. MALAGUEÑA</t>
        </is>
      </c>
      <c r="E1010" s="146" t="n">
        <v>42462</v>
      </c>
      <c r="F1010" s="146" t="inlineStr">
        <is>
          <t>JOSE SOLER</t>
        </is>
      </c>
      <c r="G1010" s="395" t="n">
        <v>3308</v>
      </c>
      <c r="H1010" s="395" t="n">
        <v>3285</v>
      </c>
      <c r="I1010" s="395" t="n">
        <v>3</v>
      </c>
      <c r="J1010" s="395" t="n">
        <v>16</v>
      </c>
      <c r="K1010" s="395" t="n">
        <v>-4</v>
      </c>
      <c r="L1010" s="397" t="n">
        <v>3308</v>
      </c>
      <c r="M1010" s="113" t="n"/>
      <c r="N1010" s="113" t="n"/>
      <c r="O1010" s="113" t="n"/>
      <c r="P1010" s="398" t="n"/>
      <c r="Q1010" s="398" t="n"/>
      <c r="R1010" s="113" t="n"/>
      <c r="S1010" s="113" t="n"/>
      <c r="T1010" s="113" t="n"/>
      <c r="U1010" s="113" t="n"/>
      <c r="V1010" s="113" t="n"/>
    </row>
    <row r="1011" ht="15.75" customHeight="1">
      <c r="A1011" s="146" t="n">
        <v>18</v>
      </c>
      <c r="B1011" s="238" t="n"/>
      <c r="C1011" s="399" t="n">
        <v>45925</v>
      </c>
      <c r="D1011" s="146" t="inlineStr">
        <is>
          <t>221 G. MALAGUEÑA</t>
        </is>
      </c>
      <c r="E1011" s="146" t="n">
        <v>42472</v>
      </c>
      <c r="F1011" s="146" t="inlineStr">
        <is>
          <t>EDUAN CAVIEDES</t>
        </is>
      </c>
      <c r="G1011" s="395" t="n">
        <v>3204</v>
      </c>
      <c r="H1011" s="395" t="n">
        <v>3190</v>
      </c>
      <c r="I1011" s="395" t="n">
        <v>2</v>
      </c>
      <c r="J1011" s="395" t="n">
        <v>10</v>
      </c>
      <c r="K1011" s="395" t="n">
        <v>-2</v>
      </c>
      <c r="L1011" s="397" t="n">
        <v>3204</v>
      </c>
      <c r="M1011" s="113" t="n"/>
      <c r="N1011" s="113" t="n"/>
      <c r="O1011" s="113" t="n"/>
      <c r="P1011" s="398" t="n"/>
      <c r="Q1011" s="398" t="n"/>
      <c r="R1011" s="113" t="n"/>
      <c r="S1011" s="113" t="n"/>
      <c r="T1011" s="113" t="n"/>
      <c r="U1011" s="113" t="n"/>
      <c r="V1011" s="113" t="n"/>
    </row>
    <row r="1012" ht="15.75" customHeight="1">
      <c r="A1012" s="146" t="n">
        <v>18</v>
      </c>
      <c r="B1012" s="238" t="n"/>
      <c r="C1012" s="399" t="n">
        <v>45925</v>
      </c>
      <c r="D1012" s="146" t="inlineStr">
        <is>
          <t>221 G. MALAGUEÑA</t>
        </is>
      </c>
      <c r="E1012" s="146" t="n">
        <v>42473</v>
      </c>
      <c r="F1012" s="146" t="inlineStr">
        <is>
          <t>DUMAR ANGARITA</t>
        </is>
      </c>
      <c r="G1012" s="395" t="n">
        <v>3204</v>
      </c>
      <c r="H1012" s="395" t="n">
        <v>3187</v>
      </c>
      <c r="I1012" s="395" t="n">
        <v>2</v>
      </c>
      <c r="J1012" s="395" t="n">
        <v>12</v>
      </c>
      <c r="K1012" s="395" t="n">
        <v>-3</v>
      </c>
      <c r="L1012" s="397" t="n">
        <v>3204</v>
      </c>
      <c r="M1012" s="113" t="n"/>
      <c r="N1012" s="113" t="n"/>
      <c r="O1012" s="113" t="n"/>
      <c r="P1012" s="398" t="n"/>
      <c r="Q1012" s="398" t="n"/>
      <c r="R1012" s="113" t="n"/>
      <c r="S1012" s="113" t="n"/>
      <c r="T1012" s="113" t="n"/>
      <c r="U1012" s="113" t="n"/>
      <c r="V1012" s="113" t="n"/>
    </row>
    <row r="1013" ht="15.75" customHeight="1">
      <c r="A1013" s="146" t="n">
        <v>18</v>
      </c>
      <c r="B1013" s="238" t="n"/>
      <c r="C1013" s="399" t="n">
        <v>45925</v>
      </c>
      <c r="D1013" s="146" t="inlineStr">
        <is>
          <t>221 G. MALAGUEÑA</t>
        </is>
      </c>
      <c r="E1013" s="146" t="n">
        <v>42474</v>
      </c>
      <c r="F1013" s="146" t="inlineStr">
        <is>
          <t>YAIR RIVEROS</t>
        </is>
      </c>
      <c r="G1013" s="395" t="n">
        <v>3204</v>
      </c>
      <c r="H1013" s="395" t="n">
        <v>3207</v>
      </c>
      <c r="I1013" s="395" t="n">
        <v>1</v>
      </c>
      <c r="J1013" s="395" t="n">
        <v>10</v>
      </c>
      <c r="K1013" s="395" t="n">
        <v>14</v>
      </c>
      <c r="L1013" s="397" t="n">
        <v>3204</v>
      </c>
      <c r="M1013" s="113" t="n"/>
      <c r="N1013" s="113" t="n"/>
      <c r="O1013" s="113" t="n"/>
      <c r="P1013" s="398" t="n"/>
      <c r="Q1013" s="398" t="n"/>
      <c r="R1013" s="113" t="n"/>
      <c r="S1013" s="113" t="n"/>
      <c r="T1013" s="113" t="n"/>
      <c r="U1013" s="113" t="n"/>
      <c r="V1013" s="113" t="n"/>
    </row>
    <row r="1014" ht="15.75" customHeight="1">
      <c r="A1014" s="146" t="n">
        <v>18</v>
      </c>
      <c r="B1014" s="238" t="n"/>
      <c r="C1014" s="399" t="n">
        <v>45925</v>
      </c>
      <c r="D1014" s="146" t="inlineStr">
        <is>
          <t>221 G. MALAGUEÑA</t>
        </is>
      </c>
      <c r="E1014" s="146" t="n">
        <v>42475</v>
      </c>
      <c r="F1014" s="146" t="inlineStr">
        <is>
          <t>ALBERTO HERRERA</t>
        </is>
      </c>
      <c r="G1014" s="395" t="n">
        <v>2858</v>
      </c>
      <c r="H1014" s="395" t="n">
        <v>2841</v>
      </c>
      <c r="I1014" s="395" t="n">
        <v>9</v>
      </c>
      <c r="J1014" s="395" t="n">
        <v>8</v>
      </c>
      <c r="K1014" s="395" t="n">
        <v>0</v>
      </c>
      <c r="L1014" s="397" t="n">
        <v>2858</v>
      </c>
      <c r="M1014" s="113" t="n"/>
      <c r="N1014" s="113" t="n"/>
      <c r="O1014" s="113" t="n"/>
      <c r="P1014" s="398" t="n"/>
      <c r="Q1014" s="398" t="n"/>
      <c r="R1014" s="113" t="n"/>
      <c r="S1014" s="113" t="n"/>
      <c r="T1014" s="113" t="n"/>
      <c r="U1014" s="113" t="n"/>
      <c r="V1014" s="113" t="n"/>
    </row>
    <row r="1015" ht="15.75" customHeight="1">
      <c r="A1015" s="146" t="n">
        <v>18</v>
      </c>
      <c r="B1015" s="238" t="n"/>
      <c r="C1015" s="399" t="n">
        <v>45925</v>
      </c>
      <c r="D1015" s="146" t="inlineStr">
        <is>
          <t>221 G. MALAGUEÑA</t>
        </is>
      </c>
      <c r="E1015" s="146" t="n">
        <v>42476</v>
      </c>
      <c r="F1015" s="146" t="inlineStr">
        <is>
          <t xml:space="preserve">ALEX GOMEZ </t>
        </is>
      </c>
      <c r="G1015" s="395" t="n">
        <v>3487</v>
      </c>
      <c r="H1015" s="395" t="n">
        <v>3455</v>
      </c>
      <c r="I1015" s="395" t="n">
        <v>24</v>
      </c>
      <c r="J1015" s="395" t="n">
        <v>8</v>
      </c>
      <c r="K1015" s="395" t="n">
        <v>0</v>
      </c>
      <c r="L1015" s="397" t="n">
        <v>3478</v>
      </c>
      <c r="M1015" s="113" t="n"/>
      <c r="N1015" s="113" t="n"/>
      <c r="O1015" s="113" t="n"/>
      <c r="P1015" s="398" t="n"/>
      <c r="Q1015" s="398" t="n"/>
      <c r="R1015" s="113" t="n"/>
      <c r="S1015" s="113" t="n"/>
      <c r="T1015" s="113" t="n"/>
      <c r="U1015" s="113" t="n"/>
      <c r="V1015" s="113" t="n"/>
    </row>
    <row r="1016" ht="15.75" customHeight="1">
      <c r="A1016" s="146" t="n">
        <v>18</v>
      </c>
      <c r="B1016" s="238" t="n"/>
      <c r="C1016" s="399" t="n">
        <v>45925</v>
      </c>
      <c r="D1016" s="146" t="inlineStr">
        <is>
          <t>221 G. MALAGUEÑA</t>
        </is>
      </c>
      <c r="E1016" s="146" t="n">
        <v>42477</v>
      </c>
      <c r="F1016" s="146" t="inlineStr">
        <is>
          <t>ALEXADER CHAGUALA</t>
        </is>
      </c>
      <c r="G1016" s="395" t="n">
        <v>3487</v>
      </c>
      <c r="H1016" s="395" t="n">
        <v>3471</v>
      </c>
      <c r="I1016" s="395" t="n">
        <v>10</v>
      </c>
      <c r="J1016" s="395" t="n">
        <v>6</v>
      </c>
      <c r="K1016" s="395" t="n">
        <v>0</v>
      </c>
      <c r="L1016" s="397" t="n">
        <v>3478</v>
      </c>
      <c r="M1016" s="113" t="n"/>
      <c r="N1016" s="113" t="n"/>
      <c r="O1016" s="113" t="n"/>
      <c r="P1016" s="398" t="n"/>
      <c r="Q1016" s="398" t="n"/>
      <c r="R1016" s="113" t="n"/>
      <c r="S1016" s="113" t="n"/>
      <c r="T1016" s="113" t="n"/>
      <c r="U1016" s="113" t="n"/>
      <c r="V1016" s="113" t="n"/>
    </row>
    <row r="1017" ht="15.75" customHeight="1">
      <c r="A1017" s="146" t="n">
        <v>18</v>
      </c>
      <c r="B1017" s="238" t="n"/>
      <c r="C1017" s="399" t="n">
        <v>45925</v>
      </c>
      <c r="D1017" s="146" t="inlineStr">
        <is>
          <t>219 G. SAN JOSE 2</t>
        </is>
      </c>
      <c r="E1017" s="146" t="n">
        <v>42489</v>
      </c>
      <c r="F1017" s="146" t="inlineStr">
        <is>
          <t>YAIR RIVEROS</t>
        </is>
      </c>
      <c r="G1017" s="395" t="n">
        <v>3240</v>
      </c>
      <c r="H1017" s="395" t="n">
        <v>3228</v>
      </c>
      <c r="I1017" s="395" t="n">
        <v>7</v>
      </c>
      <c r="J1017" s="395" t="n">
        <v>3</v>
      </c>
      <c r="K1017" s="395" t="n">
        <v>-2</v>
      </c>
      <c r="L1017" s="397" t="n">
        <v>3240</v>
      </c>
      <c r="M1017" s="113" t="n"/>
      <c r="N1017" s="113" t="n"/>
      <c r="O1017" s="113" t="n"/>
      <c r="P1017" s="398" t="n"/>
      <c r="Q1017" s="398" t="n"/>
      <c r="R1017" s="113" t="n"/>
      <c r="S1017" s="113" t="n"/>
      <c r="T1017" s="113" t="n"/>
      <c r="U1017" s="113" t="n"/>
      <c r="V1017" s="113" t="n"/>
    </row>
    <row r="1018" ht="15.75" customHeight="1">
      <c r="A1018" s="146" t="n">
        <v>18</v>
      </c>
      <c r="B1018" s="238" t="n"/>
      <c r="C1018" s="399" t="n">
        <v>45925</v>
      </c>
      <c r="D1018" s="146" t="inlineStr">
        <is>
          <t>219 G. SAN JOSE 2</t>
        </is>
      </c>
      <c r="E1018" s="146" t="n">
        <v>42890</v>
      </c>
      <c r="F1018" s="146" t="inlineStr">
        <is>
          <t>ALBERTO LOPEZ</t>
        </is>
      </c>
      <c r="G1018" s="395" t="n">
        <v>3240</v>
      </c>
      <c r="H1018" s="395" t="n">
        <v>3244</v>
      </c>
      <c r="I1018" s="395" t="n">
        <v>3</v>
      </c>
      <c r="J1018" s="395" t="n">
        <v>2</v>
      </c>
      <c r="K1018" s="395" t="n">
        <v>9</v>
      </c>
      <c r="L1018" s="397" t="n">
        <v>3240</v>
      </c>
      <c r="M1018" s="113" t="n"/>
      <c r="N1018" s="113" t="n"/>
      <c r="O1018" s="113" t="n"/>
      <c r="P1018" s="398" t="n"/>
      <c r="Q1018" s="398" t="n"/>
      <c r="R1018" s="113" t="n"/>
      <c r="S1018" s="113" t="n"/>
      <c r="T1018" s="113" t="n"/>
      <c r="U1018" s="113" t="n"/>
      <c r="V1018" s="113" t="n"/>
    </row>
    <row r="1019" ht="15.75" customHeight="1">
      <c r="A1019" s="146" t="n">
        <v>18</v>
      </c>
      <c r="B1019" s="238" t="n"/>
      <c r="C1019" s="399" t="n">
        <v>45925</v>
      </c>
      <c r="D1019" s="146" t="inlineStr">
        <is>
          <t>219 G. SAN JOSE 2</t>
        </is>
      </c>
      <c r="E1019" s="146" t="n">
        <v>42891</v>
      </c>
      <c r="F1019" s="146" t="inlineStr">
        <is>
          <t xml:space="preserve">ALEX GOMEZ </t>
        </is>
      </c>
      <c r="G1019" s="395" t="n">
        <v>3240</v>
      </c>
      <c r="H1019" s="395" t="n">
        <v>3227</v>
      </c>
      <c r="I1019" s="395" t="n">
        <v>7</v>
      </c>
      <c r="J1019" s="395" t="n">
        <v>9</v>
      </c>
      <c r="K1019" s="395" t="n">
        <v>3</v>
      </c>
      <c r="L1019" s="397" t="n">
        <v>3240</v>
      </c>
      <c r="M1019" s="113" t="n"/>
      <c r="N1019" s="113" t="n"/>
      <c r="O1019" s="113" t="n"/>
      <c r="P1019" s="398" t="n"/>
      <c r="Q1019" s="398" t="n"/>
      <c r="R1019" s="113" t="n"/>
      <c r="S1019" s="113" t="n"/>
      <c r="T1019" s="113" t="n"/>
      <c r="U1019" s="113" t="n"/>
      <c r="V1019" s="113" t="n"/>
    </row>
    <row r="1020" ht="15.75" customHeight="1">
      <c r="A1020" s="146" t="n">
        <v>18</v>
      </c>
      <c r="B1020" s="238" t="n"/>
      <c r="C1020" s="399" t="n">
        <v>45925</v>
      </c>
      <c r="D1020" s="146" t="inlineStr">
        <is>
          <t>219 G. SAN JOSE 2</t>
        </is>
      </c>
      <c r="E1020" s="146" t="n">
        <v>42492</v>
      </c>
      <c r="F1020" s="146" t="inlineStr">
        <is>
          <t>ALEXANDER CHAGUALA</t>
        </is>
      </c>
      <c r="G1020" s="395" t="n">
        <v>3240</v>
      </c>
      <c r="H1020" s="395" t="n">
        <v>3230</v>
      </c>
      <c r="I1020" s="395" t="n">
        <v>5</v>
      </c>
      <c r="J1020" s="395" t="n">
        <v>5</v>
      </c>
      <c r="K1020" s="395" t="n">
        <v>0</v>
      </c>
      <c r="L1020" s="397" t="n">
        <v>3240</v>
      </c>
      <c r="M1020" s="113" t="n"/>
      <c r="N1020" s="113" t="n"/>
      <c r="O1020" s="113" t="n"/>
      <c r="P1020" s="398" t="n"/>
      <c r="Q1020" s="398" t="n"/>
      <c r="R1020" s="113" t="n"/>
      <c r="S1020" s="113" t="n"/>
      <c r="T1020" s="113" t="n"/>
      <c r="U1020" s="113" t="n"/>
      <c r="V1020" s="113" t="n"/>
    </row>
    <row r="1021" ht="15.75" customHeight="1">
      <c r="A1021" s="146" t="n">
        <v>18</v>
      </c>
      <c r="B1021" s="238" t="n"/>
      <c r="C1021" s="399" t="n">
        <v>45925</v>
      </c>
      <c r="D1021" s="146" t="inlineStr">
        <is>
          <t>219 G. SAN JOSE 2</t>
        </is>
      </c>
      <c r="E1021" s="146" t="n">
        <v>42493</v>
      </c>
      <c r="F1021" s="146" t="inlineStr">
        <is>
          <t>HENRY ROMERO</t>
        </is>
      </c>
      <c r="G1021" s="395" t="n">
        <v>3240</v>
      </c>
      <c r="H1021" s="395" t="n">
        <v>3229</v>
      </c>
      <c r="I1021" s="395" t="n">
        <v>5</v>
      </c>
      <c r="J1021" s="395" t="n">
        <v>6</v>
      </c>
      <c r="K1021" s="395" t="n">
        <v>0</v>
      </c>
      <c r="L1021" s="397" t="n">
        <v>3240</v>
      </c>
      <c r="M1021" s="113" t="n"/>
      <c r="N1021" s="113" t="n"/>
      <c r="O1021" s="113" t="n"/>
      <c r="P1021" s="398" t="n"/>
      <c r="Q1021" s="398" t="n"/>
      <c r="R1021" s="113" t="n"/>
      <c r="S1021" s="113" t="n"/>
      <c r="T1021" s="113" t="n"/>
      <c r="U1021" s="113" t="n"/>
      <c r="V1021" s="113" t="n"/>
    </row>
    <row r="1022" ht="15.75" customHeight="1">
      <c r="A1022" s="146" t="n">
        <v>18</v>
      </c>
      <c r="B1022" s="238" t="n"/>
      <c r="C1022" s="399" t="n">
        <v>45926</v>
      </c>
      <c r="D1022" s="146" t="inlineStr">
        <is>
          <t>219 G. SAN JOSE 2</t>
        </is>
      </c>
      <c r="E1022" s="146" t="n">
        <v>43490</v>
      </c>
      <c r="F1022" s="146" t="inlineStr">
        <is>
          <t>MANUEL QUITIAN</t>
        </is>
      </c>
      <c r="G1022" s="395" t="n">
        <v>3300</v>
      </c>
      <c r="H1022" s="395" t="n">
        <v>3289</v>
      </c>
      <c r="I1022" s="395" t="n">
        <v>7</v>
      </c>
      <c r="J1022" s="395" t="n">
        <v>5</v>
      </c>
      <c r="K1022" s="395" t="n">
        <v>1</v>
      </c>
      <c r="L1022" s="397" t="n">
        <v>3300</v>
      </c>
      <c r="M1022" s="113" t="n"/>
      <c r="N1022" s="113" t="n"/>
      <c r="O1022" s="113" t="n"/>
      <c r="P1022" s="398" t="n"/>
      <c r="Q1022" s="398" t="n"/>
      <c r="R1022" s="113" t="n"/>
      <c r="S1022" s="113" t="n"/>
      <c r="T1022" s="113" t="n"/>
      <c r="U1022" s="113" t="n"/>
      <c r="V1022" s="113" t="n"/>
    </row>
    <row r="1023" ht="15.75" customHeight="1">
      <c r="A1023" s="146" t="n">
        <v>18</v>
      </c>
      <c r="B1023" s="238" t="n"/>
      <c r="C1023" s="399" t="n">
        <v>45926</v>
      </c>
      <c r="D1023" s="146" t="inlineStr">
        <is>
          <t>219 G. SAN JOSE 2</t>
        </is>
      </c>
      <c r="E1023" s="146" t="n">
        <v>43491</v>
      </c>
      <c r="F1023" s="146" t="inlineStr">
        <is>
          <t>JOSE SOLER</t>
        </is>
      </c>
      <c r="G1023" s="395" t="n">
        <v>3300</v>
      </c>
      <c r="H1023" s="395" t="n">
        <v>3276</v>
      </c>
      <c r="I1023" s="395" t="n">
        <v>14</v>
      </c>
      <c r="J1023" s="395" t="n">
        <v>2</v>
      </c>
      <c r="K1023" s="395" t="n">
        <v>-8</v>
      </c>
      <c r="L1023" s="397" t="n">
        <v>3300</v>
      </c>
      <c r="M1023" s="113" t="n"/>
      <c r="N1023" s="113" t="n"/>
      <c r="O1023" s="113" t="n"/>
      <c r="P1023" s="398" t="n"/>
      <c r="Q1023" s="398" t="n"/>
      <c r="R1023" s="113" t="n"/>
      <c r="S1023" s="113" t="n"/>
      <c r="T1023" s="113" t="n"/>
      <c r="U1023" s="113" t="n"/>
      <c r="V1023" s="113" t="n"/>
    </row>
    <row r="1024" ht="15.75" customHeight="1">
      <c r="A1024" s="146" t="n">
        <v>18</v>
      </c>
      <c r="B1024" s="238" t="n"/>
      <c r="C1024" s="399" t="n">
        <v>45926</v>
      </c>
      <c r="D1024" s="146" t="inlineStr">
        <is>
          <t>219 G. SAN JOSE 2</t>
        </is>
      </c>
      <c r="E1024" s="146" t="n">
        <v>43492</v>
      </c>
      <c r="F1024" s="146" t="inlineStr">
        <is>
          <t>WILMER PIÑEROS</t>
        </is>
      </c>
      <c r="G1024" s="395" t="n">
        <v>3300</v>
      </c>
      <c r="H1024" s="395" t="n">
        <v>3282</v>
      </c>
      <c r="I1024" s="395" t="n">
        <v>4</v>
      </c>
      <c r="J1024" s="395" t="n">
        <v>5</v>
      </c>
      <c r="K1024" s="395" t="n">
        <v>-9</v>
      </c>
      <c r="L1024" s="397" t="n">
        <v>3300</v>
      </c>
      <c r="M1024" s="113" t="n"/>
      <c r="N1024" s="113" t="n"/>
      <c r="O1024" s="113" t="n"/>
      <c r="P1024" s="398" t="n"/>
      <c r="Q1024" s="398" t="n"/>
      <c r="R1024" s="113" t="n"/>
      <c r="S1024" s="113" t="n"/>
      <c r="T1024" s="113" t="n"/>
      <c r="U1024" s="113" t="n"/>
      <c r="V1024" s="113" t="n"/>
    </row>
    <row r="1025" ht="15.75" customHeight="1">
      <c r="A1025" s="146" t="n">
        <v>18</v>
      </c>
      <c r="B1025" s="238" t="n"/>
      <c r="C1025" s="399" t="n">
        <v>45926</v>
      </c>
      <c r="D1025" s="146" t="inlineStr">
        <is>
          <t>219 G. SAN JOSE 2</t>
        </is>
      </c>
      <c r="E1025" s="146" t="n">
        <v>43493</v>
      </c>
      <c r="F1025" s="146" t="inlineStr">
        <is>
          <t>ALBERTO HERRERA</t>
        </is>
      </c>
      <c r="G1025" s="395" t="n">
        <v>3300</v>
      </c>
      <c r="H1025" s="395" t="n">
        <v>3285</v>
      </c>
      <c r="I1025" s="395" t="n">
        <v>5</v>
      </c>
      <c r="J1025" s="395" t="n">
        <v>5</v>
      </c>
      <c r="K1025" s="395" t="n">
        <v>-5</v>
      </c>
      <c r="L1025" s="397" t="n">
        <v>3300</v>
      </c>
      <c r="M1025" s="113" t="n"/>
      <c r="N1025" s="113" t="n"/>
      <c r="O1025" s="113" t="n"/>
      <c r="P1025" s="398" t="n"/>
      <c r="Q1025" s="398" t="n"/>
      <c r="R1025" s="113" t="n"/>
      <c r="S1025" s="113" t="n"/>
      <c r="T1025" s="113" t="n"/>
      <c r="U1025" s="113" t="n"/>
      <c r="V1025" s="113" t="n"/>
    </row>
    <row r="1026" ht="15.75" customHeight="1">
      <c r="A1026" s="146" t="n">
        <v>18</v>
      </c>
      <c r="B1026" s="238" t="n"/>
      <c r="C1026" s="399" t="n">
        <v>45927</v>
      </c>
      <c r="D1026" s="146" t="inlineStr">
        <is>
          <t>221 G. MALAGUEÑA</t>
        </is>
      </c>
      <c r="E1026" s="146" t="n">
        <v>43501</v>
      </c>
      <c r="F1026" s="146" t="inlineStr">
        <is>
          <t>HENRY ROMERO</t>
        </is>
      </c>
      <c r="G1026" s="395" t="n">
        <v>3050</v>
      </c>
      <c r="H1026" s="395" t="n">
        <v>3044</v>
      </c>
      <c r="I1026" s="395" t="n">
        <v>2</v>
      </c>
      <c r="J1026" s="395" t="n">
        <v>5</v>
      </c>
      <c r="K1026" s="395" t="n">
        <v>1</v>
      </c>
      <c r="L1026" s="397" t="n">
        <v>3050</v>
      </c>
      <c r="M1026" s="113" t="n"/>
      <c r="N1026" s="113" t="n"/>
      <c r="O1026" s="113" t="n"/>
      <c r="P1026" s="398" t="n"/>
      <c r="Q1026" s="398" t="n"/>
      <c r="R1026" s="113" t="n"/>
      <c r="S1026" s="113" t="n"/>
      <c r="T1026" s="113" t="n"/>
      <c r="U1026" s="113" t="n"/>
      <c r="V1026" s="113" t="n"/>
    </row>
    <row r="1027" ht="15.75" customHeight="1">
      <c r="A1027" s="146" t="n">
        <v>18</v>
      </c>
      <c r="B1027" s="238" t="n"/>
      <c r="C1027" s="399" t="n">
        <v>45927</v>
      </c>
      <c r="D1027" s="146" t="inlineStr">
        <is>
          <t>221 G. MALAGUEÑA</t>
        </is>
      </c>
      <c r="E1027" s="146" t="n">
        <v>43502</v>
      </c>
      <c r="F1027" s="146" t="inlineStr">
        <is>
          <t>FERNANDO OYUELA</t>
        </is>
      </c>
      <c r="G1027" s="395" t="n">
        <v>3050</v>
      </c>
      <c r="H1027" s="395" t="n">
        <v>3043</v>
      </c>
      <c r="I1027" s="395" t="n">
        <v>3</v>
      </c>
      <c r="J1027" s="395" t="n">
        <v>5</v>
      </c>
      <c r="K1027" s="395" t="n">
        <v>1</v>
      </c>
      <c r="L1027" s="397" t="n">
        <v>3052</v>
      </c>
      <c r="M1027" s="113" t="n"/>
      <c r="N1027" s="113" t="n"/>
      <c r="O1027" s="113" t="n"/>
      <c r="P1027" s="398" t="n"/>
      <c r="Q1027" s="398" t="n"/>
      <c r="R1027" s="113" t="n"/>
      <c r="S1027" s="113" t="n"/>
      <c r="T1027" s="113" t="n"/>
      <c r="U1027" s="113" t="n"/>
      <c r="V1027" s="113" t="n"/>
    </row>
    <row r="1028" ht="15.75" customHeight="1">
      <c r="A1028" s="146" t="n">
        <v>18</v>
      </c>
      <c r="B1028" s="238" t="n"/>
      <c r="C1028" s="399" t="n">
        <v>45927</v>
      </c>
      <c r="D1028" s="146" t="inlineStr">
        <is>
          <t>219 G. SAN JOSE 2</t>
        </is>
      </c>
      <c r="E1028" s="146" t="n">
        <v>43506</v>
      </c>
      <c r="F1028" s="146" t="inlineStr">
        <is>
          <t>ROBINSON PULIDO</t>
        </is>
      </c>
      <c r="G1028" s="395" t="n">
        <v>3333</v>
      </c>
      <c r="H1028" s="395" t="n">
        <v>3323</v>
      </c>
      <c r="I1028" s="395" t="n">
        <v>3</v>
      </c>
      <c r="J1028" s="395" t="n">
        <v>9</v>
      </c>
      <c r="K1028" s="395" t="n">
        <v>2</v>
      </c>
      <c r="L1028" s="397" t="n">
        <v>3333</v>
      </c>
      <c r="M1028" s="113" t="n"/>
      <c r="N1028" s="113" t="n"/>
      <c r="O1028" s="113" t="n"/>
      <c r="P1028" s="398" t="n"/>
      <c r="Q1028" s="398" t="n"/>
      <c r="R1028" s="113" t="n"/>
      <c r="S1028" s="113" t="n"/>
      <c r="T1028" s="113" t="n"/>
      <c r="U1028" s="113" t="n"/>
      <c r="V1028" s="113" t="n"/>
    </row>
    <row r="1029" ht="15.75" customHeight="1">
      <c r="A1029" s="146" t="n">
        <v>18</v>
      </c>
      <c r="B1029" s="238" t="n"/>
      <c r="C1029" s="399" t="n">
        <v>45927</v>
      </c>
      <c r="D1029" s="146" t="inlineStr">
        <is>
          <t>219 G. SAN JOSE 2</t>
        </is>
      </c>
      <c r="E1029" s="146" t="n">
        <v>43507</v>
      </c>
      <c r="F1029" s="146" t="inlineStr">
        <is>
          <t>ALBERTO LOPEZ</t>
        </is>
      </c>
      <c r="G1029" s="395" t="n">
        <v>3333</v>
      </c>
      <c r="H1029" s="395" t="n">
        <v>3327</v>
      </c>
      <c r="I1029" s="395" t="n">
        <v>3</v>
      </c>
      <c r="J1029" s="395" t="n">
        <v>5</v>
      </c>
      <c r="K1029" s="395" t="n">
        <v>2</v>
      </c>
      <c r="L1029" s="397" t="n">
        <v>3333</v>
      </c>
      <c r="M1029" s="113" t="n"/>
      <c r="N1029" s="113" t="n"/>
      <c r="O1029" s="113" t="n"/>
      <c r="P1029" s="398" t="n"/>
      <c r="Q1029" s="398" t="n"/>
      <c r="R1029" s="113" t="n"/>
      <c r="S1029" s="113" t="n"/>
      <c r="T1029" s="113" t="n"/>
      <c r="U1029" s="113" t="n"/>
      <c r="V1029" s="113" t="n"/>
    </row>
    <row r="1030" ht="15.75" customHeight="1">
      <c r="A1030" s="146" t="n">
        <v>18</v>
      </c>
      <c r="B1030" s="238" t="n"/>
      <c r="C1030" s="399" t="n">
        <v>45927</v>
      </c>
      <c r="D1030" s="146" t="inlineStr">
        <is>
          <t>219 G. SAN JOSE 2</t>
        </is>
      </c>
      <c r="E1030" s="146" t="n">
        <v>43508</v>
      </c>
      <c r="F1030" s="146" t="inlineStr">
        <is>
          <t>WILMER PIÑEROS</t>
        </is>
      </c>
      <c r="G1030" s="395" t="n">
        <v>3333</v>
      </c>
      <c r="H1030" s="395" t="n">
        <v>3333</v>
      </c>
      <c r="I1030" s="395" t="n">
        <v>2</v>
      </c>
      <c r="J1030" s="395" t="n">
        <v>4</v>
      </c>
      <c r="K1030" s="395" t="n">
        <v>6</v>
      </c>
      <c r="L1030" s="397" t="n">
        <v>3333</v>
      </c>
      <c r="M1030" s="113" t="n"/>
      <c r="N1030" s="113" t="n"/>
      <c r="O1030" s="113" t="n"/>
      <c r="P1030" s="398" t="n"/>
      <c r="Q1030" s="398" t="n"/>
      <c r="R1030" s="113" t="n"/>
      <c r="S1030" s="113" t="n"/>
      <c r="T1030" s="113" t="n"/>
      <c r="U1030" s="113" t="n"/>
      <c r="V1030" s="113" t="n"/>
    </row>
    <row r="1031" ht="15.75" customHeight="1">
      <c r="A1031" s="146" t="n">
        <v>18</v>
      </c>
      <c r="B1031" s="238" t="n"/>
      <c r="C1031" s="399" t="n">
        <v>45927</v>
      </c>
      <c r="D1031" s="146" t="inlineStr">
        <is>
          <t>219 G. SAN JOSE 2</t>
        </is>
      </c>
      <c r="E1031" s="146" t="n">
        <v>43511</v>
      </c>
      <c r="F1031" s="146" t="inlineStr">
        <is>
          <t>EDUAN CAVIEDES</t>
        </is>
      </c>
      <c r="G1031" s="395" t="n">
        <v>3333</v>
      </c>
      <c r="H1031" s="395" t="n">
        <v>3309</v>
      </c>
      <c r="I1031" s="395" t="n">
        <v>19</v>
      </c>
      <c r="J1031" s="395" t="n">
        <v>6</v>
      </c>
      <c r="K1031" s="395" t="n">
        <v>1</v>
      </c>
      <c r="L1031" s="397" t="n">
        <v>3333</v>
      </c>
      <c r="M1031" s="113" t="n"/>
      <c r="N1031" s="113" t="n"/>
      <c r="O1031" s="113" t="n"/>
      <c r="P1031" s="398" t="n"/>
      <c r="Q1031" s="398" t="n"/>
      <c r="R1031" s="113" t="n"/>
      <c r="S1031" s="113" t="n"/>
      <c r="T1031" s="113" t="n"/>
      <c r="U1031" s="113" t="n"/>
      <c r="V1031" s="113" t="n"/>
    </row>
    <row r="1032" ht="15.75" customHeight="1">
      <c r="A1032" s="146" t="n">
        <v>18</v>
      </c>
      <c r="B1032" s="238" t="n"/>
      <c r="C1032" s="399" t="n">
        <v>45927</v>
      </c>
      <c r="D1032" s="146" t="inlineStr">
        <is>
          <t>219 G. SAN JOSE 2</t>
        </is>
      </c>
      <c r="E1032" s="146" t="n">
        <v>43512</v>
      </c>
      <c r="F1032" s="146" t="inlineStr">
        <is>
          <t>DUMAR ANGARITA</t>
        </is>
      </c>
      <c r="G1032" s="395" t="n">
        <v>3333</v>
      </c>
      <c r="H1032" s="395" t="n">
        <v>3291</v>
      </c>
      <c r="I1032" s="395" t="n">
        <v>29</v>
      </c>
      <c r="J1032" s="395" t="n">
        <v>8</v>
      </c>
      <c r="K1032" s="395" t="n">
        <v>-5</v>
      </c>
      <c r="L1032" s="397" t="n">
        <v>3333</v>
      </c>
      <c r="M1032" s="113" t="n"/>
      <c r="N1032" s="113" t="n"/>
      <c r="O1032" s="113" t="n"/>
      <c r="P1032" s="398" t="n"/>
      <c r="Q1032" s="398" t="n"/>
      <c r="R1032" s="113" t="n"/>
      <c r="S1032" s="113" t="n"/>
      <c r="T1032" s="113" t="n"/>
      <c r="U1032" s="113" t="n"/>
      <c r="V1032" s="113" t="n"/>
    </row>
    <row r="1033" ht="15.75" customHeight="1">
      <c r="A1033" s="146" t="n">
        <v>18</v>
      </c>
      <c r="B1033" s="238" t="n"/>
      <c r="C1033" s="399" t="n">
        <v>45927</v>
      </c>
      <c r="D1033" s="146" t="inlineStr">
        <is>
          <t>219 G. SAN JOSE 2</t>
        </is>
      </c>
      <c r="E1033" s="146" t="n">
        <v>43513</v>
      </c>
      <c r="F1033" s="146" t="inlineStr">
        <is>
          <t>ALBERTO HERRERA</t>
        </is>
      </c>
      <c r="G1033" s="395" t="n">
        <v>3333</v>
      </c>
      <c r="H1033" s="395" t="n">
        <v>3301</v>
      </c>
      <c r="I1033" s="395" t="n">
        <v>8</v>
      </c>
      <c r="J1033" s="395" t="n">
        <v>8</v>
      </c>
      <c r="K1033" s="395" t="n">
        <v>-16</v>
      </c>
      <c r="L1033" s="397" t="n">
        <v>3333</v>
      </c>
      <c r="M1033" s="113" t="n"/>
      <c r="N1033" s="113" t="n"/>
      <c r="O1033" s="113" t="n"/>
      <c r="P1033" s="398" t="n"/>
      <c r="Q1033" s="398" t="n"/>
      <c r="R1033" s="113" t="n"/>
      <c r="S1033" s="113" t="n"/>
      <c r="T1033" s="113" t="n"/>
      <c r="U1033" s="113" t="n"/>
      <c r="V1033" s="113" t="n"/>
    </row>
    <row r="1034" ht="15.75" customHeight="1">
      <c r="A1034" s="146" t="n">
        <v>18</v>
      </c>
      <c r="B1034" s="238" t="n"/>
      <c r="C1034" s="399" t="n">
        <v>45929</v>
      </c>
      <c r="D1034" s="146" t="inlineStr">
        <is>
          <t>221 G. MALAGUEÑA</t>
        </is>
      </c>
      <c r="E1034" s="146" t="n">
        <v>43530</v>
      </c>
      <c r="F1034" s="146" t="inlineStr">
        <is>
          <t>ALBERTO HERRERA</t>
        </is>
      </c>
      <c r="G1034" s="395" t="n">
        <v>2993</v>
      </c>
      <c r="H1034" s="395" t="n">
        <v>2988</v>
      </c>
      <c r="I1034" s="395" t="n">
        <v>2</v>
      </c>
      <c r="J1034" s="395" t="n">
        <v>6</v>
      </c>
      <c r="K1034" s="395" t="n">
        <v>3</v>
      </c>
      <c r="L1034" s="397" t="n">
        <v>2993</v>
      </c>
      <c r="M1034" s="113" t="n"/>
      <c r="N1034" s="113" t="n"/>
      <c r="O1034" s="113" t="n"/>
      <c r="P1034" s="398" t="n"/>
      <c r="Q1034" s="398" t="n"/>
      <c r="R1034" s="113" t="n"/>
      <c r="S1034" s="113" t="n"/>
      <c r="T1034" s="113" t="n"/>
      <c r="U1034" s="113" t="n"/>
      <c r="V1034" s="113" t="n"/>
    </row>
    <row r="1035" ht="15.75" customHeight="1">
      <c r="A1035" s="146" t="n">
        <v>18</v>
      </c>
      <c r="B1035" s="238" t="n"/>
      <c r="C1035" s="399" t="n">
        <v>45929</v>
      </c>
      <c r="D1035" s="146" t="inlineStr">
        <is>
          <t>221 G. MALAGUEÑA</t>
        </is>
      </c>
      <c r="E1035" s="146" t="n">
        <v>43531</v>
      </c>
      <c r="F1035" s="146" t="inlineStr">
        <is>
          <t>HENRY ROMERO</t>
        </is>
      </c>
      <c r="G1035" s="395" t="n">
        <v>2993</v>
      </c>
      <c r="H1035" s="395" t="n">
        <v>2988</v>
      </c>
      <c r="I1035" s="395" t="n">
        <v>3</v>
      </c>
      <c r="J1035" s="395" t="n">
        <v>5</v>
      </c>
      <c r="K1035" s="395" t="n">
        <v>3</v>
      </c>
      <c r="L1035" s="397" t="n">
        <v>2993</v>
      </c>
      <c r="M1035" s="113" t="n"/>
      <c r="N1035" s="113" t="n"/>
      <c r="O1035" s="113" t="n"/>
      <c r="P1035" s="398" t="n"/>
      <c r="Q1035" s="398" t="n"/>
      <c r="R1035" s="113" t="n"/>
      <c r="S1035" s="113" t="n"/>
      <c r="T1035" s="113" t="n"/>
      <c r="U1035" s="113" t="n"/>
      <c r="V1035" s="113" t="n"/>
    </row>
    <row r="1036" ht="15.75" customHeight="1">
      <c r="A1036" s="146" t="n">
        <v>18</v>
      </c>
      <c r="B1036" s="238" t="n"/>
      <c r="C1036" s="399" t="n">
        <v>45929</v>
      </c>
      <c r="D1036" s="146" t="inlineStr">
        <is>
          <t>219 G. SAN JOSE 2</t>
        </is>
      </c>
      <c r="E1036" s="146" t="n">
        <v>43532</v>
      </c>
      <c r="F1036" s="146" t="inlineStr">
        <is>
          <t>JOSE SOLER</t>
        </is>
      </c>
      <c r="G1036" s="395" t="n">
        <v>3350</v>
      </c>
      <c r="H1036" s="395" t="n">
        <v>3349</v>
      </c>
      <c r="I1036" s="395" t="n">
        <v>3</v>
      </c>
      <c r="J1036" s="395" t="n">
        <v>6</v>
      </c>
      <c r="K1036" s="395" t="n">
        <v>8</v>
      </c>
      <c r="L1036" s="397" t="n">
        <v>3350</v>
      </c>
      <c r="M1036" s="113" t="n"/>
      <c r="N1036" s="113" t="n"/>
      <c r="O1036" s="113" t="n"/>
      <c r="P1036" s="398" t="n"/>
      <c r="Q1036" s="398" t="n"/>
      <c r="R1036" s="113" t="n"/>
      <c r="S1036" s="113" t="n"/>
      <c r="T1036" s="113" t="n"/>
      <c r="U1036" s="113" t="n"/>
      <c r="V1036" s="113" t="n"/>
    </row>
    <row r="1037" ht="15.75" customHeight="1">
      <c r="A1037" s="146" t="n">
        <v>18</v>
      </c>
      <c r="B1037" s="238" t="n"/>
      <c r="C1037" s="399" t="n">
        <v>45929</v>
      </c>
      <c r="D1037" s="146" t="inlineStr">
        <is>
          <t>219 G. SAN JOSE 2</t>
        </is>
      </c>
      <c r="E1037" s="146" t="n">
        <v>43533</v>
      </c>
      <c r="F1037" s="146" t="inlineStr">
        <is>
          <t>ROBINSON PULIDO</t>
        </is>
      </c>
      <c r="G1037" s="395" t="n">
        <v>3320</v>
      </c>
      <c r="H1037" s="395" t="n">
        <v>3355</v>
      </c>
      <c r="I1037" s="395" t="n">
        <v>7</v>
      </c>
      <c r="J1037" s="395" t="n">
        <v>6</v>
      </c>
      <c r="K1037" s="395" t="n">
        <v>48</v>
      </c>
      <c r="L1037" s="397" t="n">
        <v>3350</v>
      </c>
      <c r="M1037" s="113" t="n"/>
      <c r="N1037" s="113" t="n"/>
      <c r="O1037" s="113" t="n"/>
      <c r="P1037" s="398" t="n"/>
      <c r="Q1037" s="398" t="n"/>
      <c r="R1037" s="113" t="n"/>
      <c r="S1037" s="113" t="n"/>
      <c r="T1037" s="113" t="n"/>
      <c r="U1037" s="113" t="n"/>
      <c r="V1037" s="113" t="n"/>
    </row>
    <row r="1038" ht="15.75" customHeight="1">
      <c r="A1038" s="146" t="n">
        <v>18</v>
      </c>
      <c r="B1038" s="238" t="n"/>
      <c r="C1038" s="399" t="n">
        <v>45929</v>
      </c>
      <c r="D1038" s="146" t="inlineStr">
        <is>
          <t>219 G. SAN JOSE 2</t>
        </is>
      </c>
      <c r="E1038" s="146" t="n">
        <v>43541</v>
      </c>
      <c r="F1038" s="146" t="inlineStr">
        <is>
          <t>ALEX CHAGUALA</t>
        </is>
      </c>
      <c r="G1038" s="395" t="n">
        <v>3320</v>
      </c>
      <c r="H1038" s="395" t="n">
        <v>3338</v>
      </c>
      <c r="I1038" s="395" t="n">
        <v>5</v>
      </c>
      <c r="J1038" s="395" t="n">
        <v>3</v>
      </c>
      <c r="K1038" s="395" t="n">
        <v>26</v>
      </c>
      <c r="L1038" s="397" t="n">
        <v>3350</v>
      </c>
      <c r="M1038" s="113" t="n"/>
      <c r="N1038" s="113" t="n"/>
      <c r="O1038" s="113" t="n"/>
      <c r="P1038" s="398" t="n"/>
      <c r="Q1038" s="398" t="n"/>
      <c r="R1038" s="113" t="n"/>
      <c r="S1038" s="113" t="n"/>
      <c r="T1038" s="113" t="n"/>
      <c r="U1038" s="113" t="n"/>
      <c r="V1038" s="113" t="n"/>
    </row>
    <row r="1039" ht="15.75" customHeight="1">
      <c r="A1039" s="146" t="n">
        <v>18</v>
      </c>
      <c r="B1039" s="238" t="n"/>
      <c r="C1039" s="399" t="n">
        <v>45929</v>
      </c>
      <c r="D1039" s="146" t="inlineStr">
        <is>
          <t>219 G. SAN JOSE 2</t>
        </is>
      </c>
      <c r="E1039" s="146" t="n">
        <v>43542</v>
      </c>
      <c r="F1039" s="146" t="inlineStr">
        <is>
          <t>EDWIN ROJAS</t>
        </is>
      </c>
      <c r="G1039" s="395" t="n">
        <v>3320</v>
      </c>
      <c r="H1039" s="395" t="n">
        <v>3338</v>
      </c>
      <c r="I1039" s="395" t="n">
        <v>5</v>
      </c>
      <c r="J1039" s="395" t="n">
        <v>3</v>
      </c>
      <c r="K1039" s="395" t="n">
        <v>26</v>
      </c>
      <c r="L1039" s="397" t="n">
        <v>3350</v>
      </c>
      <c r="M1039" s="113" t="n"/>
      <c r="N1039" s="113" t="n"/>
      <c r="O1039" s="113" t="n"/>
      <c r="P1039" s="398" t="n"/>
      <c r="Q1039" s="398" t="n"/>
      <c r="R1039" s="113" t="n"/>
      <c r="S1039" s="113" t="n"/>
      <c r="T1039" s="113" t="n"/>
      <c r="U1039" s="113" t="n"/>
      <c r="V1039" s="113" t="n"/>
    </row>
    <row r="1040" ht="15.75" customHeight="1">
      <c r="A1040" s="146" t="n">
        <v>18</v>
      </c>
      <c r="B1040" s="238" t="n"/>
      <c r="C1040" s="399" t="n">
        <v>45929</v>
      </c>
      <c r="D1040" s="146" t="inlineStr">
        <is>
          <t>219 G. SAN JOSE 2</t>
        </is>
      </c>
      <c r="E1040" s="146" t="n">
        <v>43543</v>
      </c>
      <c r="F1040" s="146" t="inlineStr">
        <is>
          <t>WILMER PIÑEROS</t>
        </is>
      </c>
      <c r="G1040" s="395" t="n">
        <v>3320</v>
      </c>
      <c r="H1040" s="395" t="n">
        <v>3375</v>
      </c>
      <c r="I1040" s="395" t="n">
        <v>4</v>
      </c>
      <c r="J1040" s="395" t="n">
        <v>5</v>
      </c>
      <c r="K1040" s="395" t="n">
        <v>64</v>
      </c>
      <c r="L1040" s="397" t="n">
        <v>3350</v>
      </c>
      <c r="M1040" s="113" t="n"/>
      <c r="N1040" s="113" t="n"/>
      <c r="O1040" s="113" t="n"/>
      <c r="P1040" s="398" t="n"/>
      <c r="Q1040" s="398" t="n"/>
      <c r="R1040" s="113" t="n"/>
      <c r="S1040" s="113" t="n"/>
      <c r="T1040" s="113" t="n"/>
      <c r="U1040" s="113" t="n"/>
      <c r="V1040" s="113" t="n"/>
    </row>
    <row r="1041" ht="15.75" customHeight="1">
      <c r="A1041" s="146" t="n">
        <v>18</v>
      </c>
      <c r="B1041" s="238" t="n"/>
      <c r="C1041" s="399" t="n">
        <v>45929</v>
      </c>
      <c r="D1041" s="146" t="inlineStr">
        <is>
          <t>219 G. SAN JOSE 2</t>
        </is>
      </c>
      <c r="E1041" s="146" t="n">
        <v>43544</v>
      </c>
      <c r="F1041" s="146" t="inlineStr">
        <is>
          <t xml:space="preserve">ALEX GOMEZ </t>
        </is>
      </c>
      <c r="G1041" s="395" t="n">
        <v>3320</v>
      </c>
      <c r="H1041" s="395" t="n">
        <v>3314</v>
      </c>
      <c r="I1041" s="395" t="n">
        <v>4</v>
      </c>
      <c r="J1041" s="395" t="n">
        <v>6</v>
      </c>
      <c r="K1041" s="395" t="n">
        <v>4</v>
      </c>
      <c r="L1041" s="397" t="n">
        <v>3350</v>
      </c>
      <c r="M1041" s="113" t="n"/>
      <c r="N1041" s="113" t="n"/>
      <c r="O1041" s="113" t="n"/>
      <c r="P1041" s="398" t="n"/>
      <c r="Q1041" s="398" t="n"/>
      <c r="R1041" s="113" t="n"/>
      <c r="S1041" s="113" t="n"/>
      <c r="T1041" s="113" t="n"/>
      <c r="U1041" s="113" t="n"/>
      <c r="V1041" s="113" t="n"/>
    </row>
    <row r="1042" ht="15.75" customHeight="1">
      <c r="A1042" s="146" t="n">
        <v>18</v>
      </c>
      <c r="B1042" s="238" t="n"/>
      <c r="C1042" s="399" t="n">
        <v>45929</v>
      </c>
      <c r="D1042" s="146" t="inlineStr">
        <is>
          <t>219 G. SAN JOSE 2</t>
        </is>
      </c>
      <c r="E1042" s="146" t="n">
        <v>43545</v>
      </c>
      <c r="F1042" s="146" t="inlineStr">
        <is>
          <t>ALBERTO HERRERA</t>
        </is>
      </c>
      <c r="G1042" s="395" t="n">
        <v>3000</v>
      </c>
      <c r="H1042" s="395" t="n">
        <v>3012</v>
      </c>
      <c r="I1042" s="395" t="n">
        <v>6</v>
      </c>
      <c r="J1042" s="395" t="n">
        <v>3</v>
      </c>
      <c r="K1042" s="395" t="n">
        <v>21</v>
      </c>
      <c r="L1042" s="397" t="n">
        <v>3000</v>
      </c>
      <c r="M1042" s="113" t="n"/>
      <c r="N1042" s="113" t="n"/>
      <c r="O1042" s="113" t="n"/>
      <c r="P1042" s="398" t="n"/>
      <c r="Q1042" s="398" t="n"/>
      <c r="R1042" s="113" t="n"/>
      <c r="S1042" s="113" t="n"/>
      <c r="T1042" s="113" t="n"/>
      <c r="U1042" s="113" t="n"/>
      <c r="V1042" s="113" t="n"/>
    </row>
    <row r="1043" ht="15.75" customHeight="1">
      <c r="A1043" s="146" t="n">
        <v>18</v>
      </c>
      <c r="B1043" s="238" t="n"/>
      <c r="C1043" s="399" t="n">
        <v>45929</v>
      </c>
      <c r="D1043" s="146" t="inlineStr">
        <is>
          <t>219 G. SAN JOSE 2</t>
        </is>
      </c>
      <c r="E1043" s="146" t="n">
        <v>43546</v>
      </c>
      <c r="F1043" s="146" t="inlineStr">
        <is>
          <t>HENRY ROMERO</t>
        </is>
      </c>
      <c r="G1043" s="395" t="n">
        <v>3000</v>
      </c>
      <c r="H1043" s="395" t="n">
        <v>3015</v>
      </c>
      <c r="I1043" s="395" t="n">
        <v>8</v>
      </c>
      <c r="J1043" s="395" t="n">
        <v>3</v>
      </c>
      <c r="K1043" s="395" t="n">
        <v>26</v>
      </c>
      <c r="L1043" s="397" t="n">
        <v>3000</v>
      </c>
      <c r="M1043" s="113" t="n"/>
      <c r="N1043" s="113" t="n"/>
      <c r="O1043" s="113" t="n"/>
      <c r="P1043" s="398" t="n"/>
      <c r="Q1043" s="398" t="n"/>
      <c r="R1043" s="113" t="n"/>
      <c r="S1043" s="113" t="n"/>
      <c r="T1043" s="113" t="n"/>
      <c r="U1043" s="113" t="n"/>
      <c r="V1043" s="113" t="n"/>
    </row>
    <row r="1044" ht="15.75" customHeight="1">
      <c r="A1044" s="146" t="n">
        <v>18</v>
      </c>
      <c r="B1044" s="238" t="n"/>
      <c r="C1044" s="399" t="n">
        <v>45929</v>
      </c>
      <c r="D1044" s="146" t="inlineStr">
        <is>
          <t>219 G. SAN JOSE 2</t>
        </is>
      </c>
      <c r="E1044" s="146" t="n">
        <v>43547</v>
      </c>
      <c r="F1044" s="146" t="inlineStr">
        <is>
          <t>JOSE SOLER</t>
        </is>
      </c>
      <c r="G1044" s="395" t="n">
        <v>3383</v>
      </c>
      <c r="H1044" s="395" t="n">
        <v>3366</v>
      </c>
      <c r="I1044" s="395" t="n">
        <v>8</v>
      </c>
      <c r="J1044" s="395" t="n">
        <v>4</v>
      </c>
      <c r="K1044" s="395" t="n">
        <v>-5</v>
      </c>
      <c r="L1044" s="397" t="n">
        <v>3383</v>
      </c>
      <c r="M1044" s="113" t="n"/>
      <c r="N1044" s="113" t="n"/>
      <c r="O1044" s="113" t="n"/>
      <c r="P1044" s="398" t="n"/>
      <c r="Q1044" s="398" t="n"/>
      <c r="R1044" s="113" t="n"/>
      <c r="S1044" s="113" t="n"/>
      <c r="T1044" s="113" t="n"/>
      <c r="U1044" s="113" t="n"/>
      <c r="V1044" s="113" t="n"/>
    </row>
    <row r="1045" ht="15.75" customHeight="1">
      <c r="A1045" s="146" t="n">
        <v>18</v>
      </c>
      <c r="B1045" s="238" t="n"/>
      <c r="C1045" s="399" t="n">
        <v>45929</v>
      </c>
      <c r="D1045" s="146" t="inlineStr">
        <is>
          <t>219 G. SAN JOSE 2</t>
        </is>
      </c>
      <c r="E1045" s="146" t="n">
        <v>43548</v>
      </c>
      <c r="F1045" s="146" t="inlineStr">
        <is>
          <t>DIEGO NIÑO</t>
        </is>
      </c>
      <c r="G1045" s="395" t="n">
        <v>3383</v>
      </c>
      <c r="H1045" s="395" t="n">
        <v>3366</v>
      </c>
      <c r="I1045" s="395" t="n">
        <v>4</v>
      </c>
      <c r="J1045" s="395" t="n">
        <v>3</v>
      </c>
      <c r="K1045" s="395" t="n">
        <v>-10</v>
      </c>
      <c r="L1045" s="397" t="n">
        <v>3383</v>
      </c>
      <c r="M1045" s="113" t="n"/>
      <c r="N1045" s="113" t="n"/>
      <c r="O1045" s="113" t="n"/>
      <c r="P1045" s="398" t="n"/>
      <c r="Q1045" s="398" t="n"/>
      <c r="R1045" s="113" t="n"/>
      <c r="S1045" s="113" t="n"/>
      <c r="T1045" s="113" t="n"/>
      <c r="U1045" s="113" t="n"/>
      <c r="V1045" s="113" t="n"/>
    </row>
    <row r="1046" ht="15.75" customHeight="1">
      <c r="A1046" s="146" t="n">
        <v>18</v>
      </c>
      <c r="B1046" s="238" t="n"/>
      <c r="C1046" s="399" t="n">
        <v>45929</v>
      </c>
      <c r="D1046" s="146" t="inlineStr">
        <is>
          <t>219 G. SAN JOSE 2</t>
        </is>
      </c>
      <c r="E1046" s="146" t="n">
        <v>43549</v>
      </c>
      <c r="F1046" s="146" t="inlineStr">
        <is>
          <t>DUMAR ANGARITA</t>
        </is>
      </c>
      <c r="G1046" s="395" t="n">
        <v>3383</v>
      </c>
      <c r="H1046" s="395" t="n">
        <v>3363</v>
      </c>
      <c r="I1046" s="395" t="n">
        <v>6</v>
      </c>
      <c r="J1046" s="395" t="n">
        <v>7</v>
      </c>
      <c r="K1046" s="395" t="n">
        <v>-7</v>
      </c>
      <c r="L1046" s="397" t="n">
        <v>3383</v>
      </c>
      <c r="M1046" s="113" t="n"/>
      <c r="N1046" s="113" t="n"/>
      <c r="O1046" s="113" t="n"/>
      <c r="P1046" s="398" t="n"/>
      <c r="Q1046" s="398" t="n"/>
      <c r="R1046" s="113" t="n"/>
      <c r="S1046" s="113" t="n"/>
      <c r="T1046" s="113" t="n"/>
      <c r="U1046" s="113" t="n"/>
      <c r="V1046" s="113" t="n"/>
    </row>
    <row r="1047" ht="15.75" customHeight="1">
      <c r="A1047" s="146" t="n">
        <v>18</v>
      </c>
      <c r="B1047" s="238" t="n"/>
      <c r="C1047" s="399" t="n"/>
      <c r="D1047" s="113" t="n"/>
      <c r="E1047" s="113" t="n"/>
      <c r="F1047" s="113" t="n"/>
      <c r="G1047" s="477">
        <f>SUBTOTAL(9,G973:G1046)</f>
        <v/>
      </c>
      <c r="H1047" s="477">
        <f>SUBTOTAL(9,H973:H1046)</f>
        <v/>
      </c>
      <c r="I1047" s="477">
        <f>SUBTOTAL(9,I973:I1046)</f>
        <v/>
      </c>
      <c r="J1047" s="477">
        <f>SUBTOTAL(9,J973:J1046)</f>
        <v/>
      </c>
      <c r="K1047" s="477">
        <f>SUBTOTAL(9,K973:K1046)</f>
        <v/>
      </c>
      <c r="L1047" s="477">
        <f>SUBTOTAL(9,L973:L1046)</f>
        <v/>
      </c>
      <c r="M1047" s="113" t="n"/>
      <c r="N1047" s="113" t="n"/>
      <c r="O1047" s="113" t="n"/>
      <c r="P1047" s="398" t="n"/>
      <c r="Q1047" s="398" t="n"/>
      <c r="R1047" s="113" t="n"/>
      <c r="S1047" s="113" t="n"/>
      <c r="T1047" s="113" t="n"/>
      <c r="U1047" s="113" t="n"/>
      <c r="V1047" s="113" t="n"/>
    </row>
    <row r="1048" ht="15.75" customHeight="1">
      <c r="A1048" s="146" t="n">
        <v>19</v>
      </c>
      <c r="B1048" s="238" t="n"/>
      <c r="C1048" s="399" t="n">
        <v>45930</v>
      </c>
      <c r="D1048" s="146" t="inlineStr">
        <is>
          <t>219 G. SAN JOSE 2</t>
        </is>
      </c>
      <c r="E1048" s="146" t="n">
        <v>43561</v>
      </c>
      <c r="F1048" s="146" t="inlineStr">
        <is>
          <t>FERNANDO OYUELA</t>
        </is>
      </c>
      <c r="G1048" s="395" t="n">
        <v>3240</v>
      </c>
      <c r="H1048" s="395" t="n">
        <v>3231</v>
      </c>
      <c r="I1048" s="395" t="n">
        <v>7</v>
      </c>
      <c r="J1048" s="395" t="n">
        <v>2</v>
      </c>
      <c r="K1048" s="395" t="n">
        <v>0</v>
      </c>
      <c r="L1048" s="397" t="n">
        <v>3240</v>
      </c>
      <c r="M1048" s="113" t="n"/>
      <c r="N1048" s="113" t="n"/>
      <c r="O1048" s="113" t="n"/>
      <c r="P1048" s="398" t="n"/>
      <c r="Q1048" s="398" t="n"/>
      <c r="R1048" s="113" t="n"/>
      <c r="S1048" s="113" t="n"/>
      <c r="T1048" s="113" t="n"/>
      <c r="U1048" s="113" t="n"/>
      <c r="V1048" s="113" t="n"/>
    </row>
    <row r="1049" ht="15.75" customHeight="1">
      <c r="A1049" s="146" t="n">
        <v>19</v>
      </c>
      <c r="B1049" s="238" t="n"/>
      <c r="C1049" s="399" t="n">
        <v>45930</v>
      </c>
      <c r="D1049" s="146" t="inlineStr">
        <is>
          <t>219 G. SAN JOSE 2</t>
        </is>
      </c>
      <c r="E1049" s="146" t="n">
        <v>43562</v>
      </c>
      <c r="F1049" s="146" t="inlineStr">
        <is>
          <t>MANUEL QUITIAN</t>
        </is>
      </c>
      <c r="G1049" s="395" t="n">
        <v>3240</v>
      </c>
      <c r="H1049" s="395" t="n">
        <v>3228</v>
      </c>
      <c r="I1049" s="395" t="n">
        <v>8</v>
      </c>
      <c r="J1049" s="395" t="n">
        <v>4</v>
      </c>
      <c r="K1049" s="395" t="n">
        <v>0</v>
      </c>
      <c r="L1049" s="397" t="n">
        <v>3240</v>
      </c>
      <c r="M1049" s="113" t="n"/>
      <c r="N1049" s="113" t="n"/>
      <c r="O1049" s="113" t="n"/>
      <c r="P1049" s="398" t="n"/>
      <c r="Q1049" s="398" t="n"/>
      <c r="R1049" s="113" t="n"/>
      <c r="S1049" s="113" t="n"/>
      <c r="T1049" s="113" t="n"/>
      <c r="U1049" s="113" t="n"/>
      <c r="V1049" s="113" t="n"/>
    </row>
    <row r="1050" ht="15.75" customHeight="1">
      <c r="A1050" s="146" t="n">
        <v>19</v>
      </c>
      <c r="B1050" s="238" t="n"/>
      <c r="C1050" s="399" t="n">
        <v>45930</v>
      </c>
      <c r="D1050" s="146" t="inlineStr">
        <is>
          <t>219 G. SAN JOSE 2</t>
        </is>
      </c>
      <c r="E1050" s="146" t="n">
        <v>43563</v>
      </c>
      <c r="F1050" s="146" t="inlineStr">
        <is>
          <t>EDWIN ROJAS</t>
        </is>
      </c>
      <c r="G1050" s="395" t="n">
        <v>3267</v>
      </c>
      <c r="H1050" s="395" t="n">
        <v>3260</v>
      </c>
      <c r="I1050" s="395" t="n">
        <v>6</v>
      </c>
      <c r="J1050" s="395" t="n">
        <v>1</v>
      </c>
      <c r="K1050" s="395" t="n">
        <v>0</v>
      </c>
      <c r="L1050" s="397" t="n">
        <v>3277</v>
      </c>
      <c r="M1050" s="113" t="n"/>
      <c r="N1050" s="113" t="n"/>
      <c r="O1050" s="113" t="n"/>
      <c r="P1050" s="398" t="n"/>
      <c r="Q1050" s="398" t="n"/>
      <c r="R1050" s="113" t="n"/>
      <c r="S1050" s="113" t="n"/>
      <c r="T1050" s="113" t="n"/>
      <c r="U1050" s="113" t="n"/>
      <c r="V1050" s="113" t="n"/>
    </row>
    <row r="1051" ht="15.75" customHeight="1">
      <c r="A1051" s="146" t="n">
        <v>19</v>
      </c>
      <c r="B1051" s="238" t="n"/>
      <c r="C1051" s="399" t="n">
        <v>45930</v>
      </c>
      <c r="D1051" s="146" t="inlineStr">
        <is>
          <t>219 G. SAN JOSE 2</t>
        </is>
      </c>
      <c r="E1051" s="146" t="n">
        <v>43564</v>
      </c>
      <c r="F1051" s="146" t="inlineStr">
        <is>
          <t>JOSE SOLER</t>
        </is>
      </c>
      <c r="G1051" s="395" t="n">
        <v>3117</v>
      </c>
      <c r="H1051" s="395" t="n">
        <v>3108</v>
      </c>
      <c r="I1051" s="395" t="n">
        <v>5</v>
      </c>
      <c r="J1051" s="395" t="n">
        <v>4</v>
      </c>
      <c r="K1051" s="395" t="n">
        <v>0</v>
      </c>
      <c r="L1051" s="397" t="n">
        <v>3117</v>
      </c>
      <c r="M1051" s="113" t="n"/>
      <c r="N1051" s="113" t="n"/>
      <c r="O1051" s="113" t="n"/>
      <c r="P1051" s="398" t="n"/>
      <c r="Q1051" s="398" t="n"/>
      <c r="R1051" s="113" t="n"/>
      <c r="S1051" s="113" t="n"/>
      <c r="T1051" s="113" t="n"/>
      <c r="U1051" s="113" t="n"/>
      <c r="V1051" s="113" t="n"/>
    </row>
    <row r="1052" ht="15.75" customHeight="1">
      <c r="A1052" s="146" t="n">
        <v>19</v>
      </c>
      <c r="B1052" s="238" t="n"/>
      <c r="C1052" s="399" t="n">
        <v>45930</v>
      </c>
      <c r="D1052" s="146" t="inlineStr">
        <is>
          <t>219 G. SAN JOSE 2</t>
        </is>
      </c>
      <c r="E1052" s="146" t="n">
        <v>43572</v>
      </c>
      <c r="F1052" s="146" t="inlineStr">
        <is>
          <t>EDUAN CAVIEDES</t>
        </is>
      </c>
      <c r="G1052" s="395" t="n">
        <v>3117</v>
      </c>
      <c r="H1052" s="395" t="n">
        <v>3113</v>
      </c>
      <c r="I1052" s="395" t="n">
        <v>8</v>
      </c>
      <c r="J1052" s="395" t="n">
        <v>4</v>
      </c>
      <c r="K1052" s="395" t="n">
        <v>8</v>
      </c>
      <c r="L1052" s="397" t="n">
        <v>3117</v>
      </c>
      <c r="M1052" s="113" t="n"/>
      <c r="N1052" s="113" t="n"/>
      <c r="O1052" s="113" t="n"/>
      <c r="P1052" s="398" t="n"/>
      <c r="Q1052" s="398" t="n"/>
      <c r="R1052" s="113" t="n"/>
      <c r="S1052" s="113" t="n"/>
      <c r="T1052" s="113" t="n"/>
      <c r="U1052" s="113" t="n"/>
      <c r="V1052" s="113" t="n"/>
    </row>
    <row r="1053" ht="15.75" customHeight="1">
      <c r="A1053" s="146" t="n">
        <v>19</v>
      </c>
      <c r="B1053" s="238" t="n"/>
      <c r="C1053" s="399" t="n">
        <v>45930</v>
      </c>
      <c r="D1053" s="146" t="inlineStr">
        <is>
          <t>219 G. SAN JOSE 2</t>
        </is>
      </c>
      <c r="E1053" s="146" t="n">
        <v>43573</v>
      </c>
      <c r="F1053" s="146" t="inlineStr">
        <is>
          <t>FABIO ALDANA</t>
        </is>
      </c>
      <c r="G1053" s="395" t="n">
        <v>2883</v>
      </c>
      <c r="H1053" s="395" t="n">
        <v>2886</v>
      </c>
      <c r="I1053" s="395" t="n">
        <v>8</v>
      </c>
      <c r="J1053" s="395" t="n">
        <v>4</v>
      </c>
      <c r="K1053" s="395" t="n">
        <v>15</v>
      </c>
      <c r="L1053" s="397" t="n">
        <v>3117</v>
      </c>
      <c r="M1053" s="113" t="n"/>
      <c r="N1053" s="113" t="n"/>
      <c r="O1053" s="113" t="n"/>
      <c r="P1053" s="398" t="n"/>
      <c r="Q1053" s="398" t="n"/>
      <c r="R1053" s="113" t="n"/>
      <c r="S1053" s="113" t="n"/>
      <c r="T1053" s="113" t="n"/>
      <c r="U1053" s="113" t="n"/>
      <c r="V1053" s="113" t="n"/>
    </row>
    <row r="1054" ht="15.75" customHeight="1">
      <c r="A1054" s="146" t="n">
        <v>19</v>
      </c>
      <c r="B1054" s="238" t="n"/>
      <c r="C1054" s="399" t="n">
        <v>45930</v>
      </c>
      <c r="D1054" s="146" t="inlineStr">
        <is>
          <t>219 G. SAN JOSE 2</t>
        </is>
      </c>
      <c r="E1054" s="146" t="n">
        <v>43574</v>
      </c>
      <c r="F1054" s="146" t="inlineStr">
        <is>
          <t>MANUEL QUITIAN</t>
        </is>
      </c>
      <c r="G1054" s="395" t="n">
        <v>2883</v>
      </c>
      <c r="H1054" s="395" t="n">
        <v>2886</v>
      </c>
      <c r="I1054" s="395" t="n">
        <v>8</v>
      </c>
      <c r="J1054" s="395" t="n">
        <v>5</v>
      </c>
      <c r="K1054" s="395" t="n">
        <v>16</v>
      </c>
      <c r="L1054" s="397" t="n">
        <v>2883</v>
      </c>
      <c r="M1054" s="113" t="n"/>
      <c r="N1054" s="113" t="n"/>
      <c r="O1054" s="113" t="n"/>
      <c r="P1054" s="398" t="n"/>
      <c r="Q1054" s="398" t="n"/>
      <c r="R1054" s="113" t="n"/>
      <c r="S1054" s="113" t="n"/>
      <c r="T1054" s="113" t="n"/>
      <c r="U1054" s="113" t="n"/>
      <c r="V1054" s="113" t="n"/>
    </row>
    <row r="1055" ht="15.75" customHeight="1">
      <c r="A1055" s="146" t="n">
        <v>19</v>
      </c>
      <c r="B1055" s="238" t="n"/>
      <c r="C1055" s="399" t="n">
        <v>45930</v>
      </c>
      <c r="D1055" s="146" t="inlineStr">
        <is>
          <t>219 G. SAN JOSE 2</t>
        </is>
      </c>
      <c r="E1055" s="146" t="n">
        <v>43575</v>
      </c>
      <c r="F1055" s="146" t="inlineStr">
        <is>
          <t>EDWIN ROJAS</t>
        </is>
      </c>
      <c r="G1055" s="395" t="n">
        <v>2883</v>
      </c>
      <c r="H1055" s="395" t="n">
        <v>2864</v>
      </c>
      <c r="I1055" s="395" t="n">
        <v>13</v>
      </c>
      <c r="J1055" s="395" t="n">
        <v>6</v>
      </c>
      <c r="K1055" s="395" t="n">
        <v>0</v>
      </c>
      <c r="L1055" s="397" t="n">
        <v>2883</v>
      </c>
      <c r="M1055" s="113" t="n"/>
      <c r="N1055" s="113" t="n"/>
      <c r="O1055" s="113" t="n"/>
      <c r="P1055" s="398" t="n"/>
      <c r="Q1055" s="398" t="n"/>
      <c r="R1055" s="113" t="n"/>
      <c r="S1055" s="113" t="n"/>
      <c r="T1055" s="113" t="n"/>
      <c r="U1055" s="113" t="n"/>
      <c r="V1055" s="113" t="n"/>
    </row>
    <row r="1056" ht="15.75" customHeight="1">
      <c r="A1056" s="146" t="n">
        <v>19</v>
      </c>
      <c r="B1056" s="238" t="n"/>
      <c r="C1056" s="399" t="n">
        <v>45930</v>
      </c>
      <c r="D1056" s="146" t="inlineStr">
        <is>
          <t>219 G. SAN JOSE 2</t>
        </is>
      </c>
      <c r="E1056" s="146" t="n">
        <v>43576</v>
      </c>
      <c r="F1056" s="146" t="inlineStr">
        <is>
          <t>ALBERTO HERRERA</t>
        </is>
      </c>
      <c r="G1056" s="395" t="n">
        <v>3117</v>
      </c>
      <c r="H1056" s="395" t="n">
        <v>3100</v>
      </c>
      <c r="I1056" s="395" t="n">
        <v>12</v>
      </c>
      <c r="J1056" s="395" t="n">
        <v>5</v>
      </c>
      <c r="K1056" s="395" t="n">
        <v>0</v>
      </c>
      <c r="L1056" s="397" t="n">
        <v>2883</v>
      </c>
      <c r="M1056" s="113" t="n"/>
      <c r="N1056" s="113" t="n"/>
      <c r="O1056" s="113" t="n"/>
      <c r="P1056" s="398" t="n"/>
      <c r="Q1056" s="398" t="n"/>
      <c r="R1056" s="113" t="n"/>
      <c r="S1056" s="113" t="n"/>
      <c r="T1056" s="113" t="n"/>
      <c r="U1056" s="113" t="n"/>
      <c r="V1056" s="113" t="n"/>
    </row>
    <row r="1057" ht="15.75" customHeight="1">
      <c r="A1057" s="146" t="n">
        <v>19</v>
      </c>
      <c r="B1057" s="238" t="n"/>
      <c r="C1057" s="399" t="n">
        <v>45931</v>
      </c>
      <c r="D1057" s="146" t="inlineStr">
        <is>
          <t>221 G. MALAGUEÑA</t>
        </is>
      </c>
      <c r="E1057" s="146" t="n">
        <v>43586</v>
      </c>
      <c r="F1057" s="146" t="inlineStr">
        <is>
          <t>MANUEL QUITIAN</t>
        </is>
      </c>
      <c r="G1057" s="395" t="n">
        <v>3200</v>
      </c>
      <c r="H1057" s="395" t="n">
        <v>3174</v>
      </c>
      <c r="I1057" s="395" t="n">
        <v>7</v>
      </c>
      <c r="J1057" s="395" t="n">
        <v>19</v>
      </c>
      <c r="K1057" s="395" t="n">
        <v>0</v>
      </c>
      <c r="L1057" s="397" t="n">
        <v>3200</v>
      </c>
      <c r="M1057" s="113" t="n"/>
      <c r="N1057" s="113" t="n"/>
      <c r="O1057" s="113" t="n"/>
      <c r="P1057" s="398" t="n"/>
      <c r="Q1057" s="398" t="n"/>
      <c r="R1057" s="113" t="n"/>
      <c r="S1057" s="113" t="n"/>
      <c r="T1057" s="113" t="n"/>
      <c r="U1057" s="113" t="n"/>
      <c r="V1057" s="113" t="n"/>
    </row>
    <row r="1058" ht="15.75" customHeight="1">
      <c r="A1058" s="146" t="n">
        <v>19</v>
      </c>
      <c r="B1058" s="238" t="n"/>
      <c r="C1058" s="399" t="n">
        <v>45931</v>
      </c>
      <c r="D1058" s="146" t="inlineStr">
        <is>
          <t>221 G. MALAGUEÑA</t>
        </is>
      </c>
      <c r="E1058" s="146" t="n">
        <v>43587</v>
      </c>
      <c r="F1058" s="146" t="inlineStr">
        <is>
          <t>EDUAN CAVIEDES</t>
        </is>
      </c>
      <c r="G1058" s="395" t="n">
        <v>2448</v>
      </c>
      <c r="H1058" s="395" t="n">
        <v>2412</v>
      </c>
      <c r="I1058" s="395" t="n">
        <v>2</v>
      </c>
      <c r="J1058" s="395" t="n">
        <v>34</v>
      </c>
      <c r="K1058" s="395" t="n">
        <v>0</v>
      </c>
      <c r="L1058" s="397" t="n">
        <v>2448</v>
      </c>
      <c r="M1058" s="113" t="n"/>
      <c r="N1058" s="113" t="n"/>
      <c r="O1058" s="113" t="n"/>
      <c r="P1058" s="398" t="n"/>
      <c r="Q1058" s="398" t="n"/>
      <c r="R1058" s="113" t="n"/>
      <c r="S1058" s="113" t="n"/>
      <c r="T1058" s="113" t="n"/>
      <c r="U1058" s="113" t="n"/>
      <c r="V1058" s="113" t="n"/>
    </row>
    <row r="1059" ht="15.75" customHeight="1">
      <c r="A1059" s="146" t="n">
        <v>19</v>
      </c>
      <c r="B1059" s="238" t="n"/>
      <c r="C1059" s="399" t="n">
        <v>45931</v>
      </c>
      <c r="D1059" s="146" t="inlineStr">
        <is>
          <t>219 G. SAN JOSE 2</t>
        </is>
      </c>
      <c r="E1059" s="146" t="n">
        <v>43588</v>
      </c>
      <c r="F1059" s="146" t="inlineStr">
        <is>
          <t>ALBERTO HERRERA</t>
        </is>
      </c>
      <c r="G1059" s="395" t="n">
        <v>3333</v>
      </c>
      <c r="H1059" s="395" t="n">
        <v>3320</v>
      </c>
      <c r="I1059" s="395" t="n">
        <v>2</v>
      </c>
      <c r="J1059" s="395" t="n">
        <v>11</v>
      </c>
      <c r="K1059" s="395" t="n">
        <v>0</v>
      </c>
      <c r="L1059" s="397" t="n">
        <v>3333</v>
      </c>
      <c r="M1059" s="113" t="n"/>
      <c r="N1059" s="113" t="n"/>
      <c r="O1059" s="113" t="n"/>
      <c r="P1059" s="398" t="n"/>
      <c r="Q1059" s="398" t="n"/>
      <c r="R1059" s="113" t="n"/>
      <c r="S1059" s="113" t="n"/>
      <c r="T1059" s="113" t="n"/>
      <c r="U1059" s="113" t="n"/>
      <c r="V1059" s="113" t="n"/>
    </row>
    <row r="1060" ht="15.75" customHeight="1">
      <c r="A1060" s="146" t="n">
        <v>19</v>
      </c>
      <c r="B1060" s="238" t="n"/>
      <c r="C1060" s="399" t="n">
        <v>45931</v>
      </c>
      <c r="D1060" s="146" t="inlineStr">
        <is>
          <t>219 G. SAN JOSE 2</t>
        </is>
      </c>
      <c r="E1060" s="146" t="n">
        <v>43589</v>
      </c>
      <c r="F1060" s="146" t="inlineStr">
        <is>
          <t>JHON ARIAS</t>
        </is>
      </c>
      <c r="G1060" s="395" t="n">
        <v>3333</v>
      </c>
      <c r="H1060" s="395" t="n">
        <v>3317</v>
      </c>
      <c r="I1060" s="395" t="n">
        <v>5</v>
      </c>
      <c r="J1060" s="395" t="n">
        <v>11</v>
      </c>
      <c r="K1060" s="395" t="n">
        <v>0</v>
      </c>
      <c r="L1060" s="397" t="n">
        <v>3333</v>
      </c>
      <c r="M1060" s="113" t="n"/>
      <c r="N1060" s="113" t="n"/>
      <c r="O1060" s="113" t="n"/>
      <c r="P1060" s="398" t="n"/>
      <c r="Q1060" s="398" t="n"/>
      <c r="R1060" s="113" t="n"/>
      <c r="S1060" s="113" t="n"/>
      <c r="T1060" s="113" t="n"/>
      <c r="U1060" s="113" t="n"/>
      <c r="V1060" s="113" t="n"/>
    </row>
    <row r="1061" ht="15.75" customHeight="1">
      <c r="A1061" s="146" t="n">
        <v>19</v>
      </c>
      <c r="B1061" s="238" t="n"/>
      <c r="C1061" s="399" t="n">
        <v>45931</v>
      </c>
      <c r="D1061" s="146" t="inlineStr">
        <is>
          <t>219 G. SAN JOSE 2</t>
        </is>
      </c>
      <c r="E1061" s="146" t="n">
        <v>43590</v>
      </c>
      <c r="F1061" s="146" t="inlineStr">
        <is>
          <t>JOSE SOLER</t>
        </is>
      </c>
      <c r="G1061" s="395" t="n">
        <v>3333</v>
      </c>
      <c r="H1061" s="395" t="n">
        <v>3317</v>
      </c>
      <c r="I1061" s="395" t="n">
        <v>4</v>
      </c>
      <c r="J1061" s="395" t="n">
        <v>12</v>
      </c>
      <c r="K1061" s="395" t="n">
        <v>0</v>
      </c>
      <c r="L1061" s="397" t="n">
        <v>3333</v>
      </c>
      <c r="M1061" s="113" t="n"/>
      <c r="N1061" s="113" t="n"/>
      <c r="O1061" s="113" t="n"/>
      <c r="P1061" s="398" t="n"/>
      <c r="Q1061" s="398" t="n"/>
      <c r="R1061" s="113" t="n"/>
      <c r="S1061" s="113" t="n"/>
      <c r="T1061" s="113" t="n"/>
      <c r="U1061" s="113" t="n"/>
      <c r="V1061" s="113" t="n"/>
    </row>
    <row r="1062" ht="15.75" customHeight="1">
      <c r="A1062" s="146" t="n">
        <v>19</v>
      </c>
      <c r="B1062" s="238" t="n"/>
      <c r="C1062" s="399" t="n">
        <v>45931</v>
      </c>
      <c r="D1062" s="146" t="inlineStr">
        <is>
          <t>219 G. SAN JOSE 2</t>
        </is>
      </c>
      <c r="E1062" s="146" t="n">
        <v>43591</v>
      </c>
      <c r="F1062" s="146" t="inlineStr">
        <is>
          <t>WILMER PIÑEROS</t>
        </is>
      </c>
      <c r="G1062" s="395" t="n">
        <v>3000</v>
      </c>
      <c r="H1062" s="395" t="n">
        <v>2986</v>
      </c>
      <c r="I1062" s="395" t="n">
        <v>4</v>
      </c>
      <c r="J1062" s="395" t="n">
        <v>10</v>
      </c>
      <c r="K1062" s="395" t="n">
        <v>0</v>
      </c>
      <c r="L1062" s="397" t="n">
        <v>3000</v>
      </c>
      <c r="M1062" s="113" t="n"/>
      <c r="N1062" s="113" t="n"/>
      <c r="O1062" s="113" t="n"/>
      <c r="P1062" s="398" t="n"/>
      <c r="Q1062" s="398" t="n"/>
      <c r="R1062" s="113" t="n"/>
      <c r="S1062" s="113" t="n"/>
      <c r="T1062" s="113" t="n"/>
      <c r="U1062" s="113" t="n"/>
      <c r="V1062" s="113" t="n"/>
    </row>
    <row r="1063" ht="15.75" customHeight="1">
      <c r="A1063" s="146" t="n">
        <v>19</v>
      </c>
      <c r="B1063" s="238" t="n"/>
      <c r="C1063" s="399" t="n">
        <v>45931</v>
      </c>
      <c r="D1063" s="146" t="inlineStr">
        <is>
          <t>219 G. SAN JOSE 2</t>
        </is>
      </c>
      <c r="E1063" s="146" t="n">
        <v>43599</v>
      </c>
      <c r="F1063" s="146" t="inlineStr">
        <is>
          <t>FABIO ALDANA</t>
        </is>
      </c>
      <c r="G1063" s="395" t="n">
        <v>3000</v>
      </c>
      <c r="H1063" s="395" t="n">
        <v>2980</v>
      </c>
      <c r="I1063" s="395" t="n">
        <v>15</v>
      </c>
      <c r="J1063" s="395" t="n">
        <v>8</v>
      </c>
      <c r="K1063" s="395" t="n">
        <v>3</v>
      </c>
      <c r="L1063" s="397" t="n">
        <v>3000</v>
      </c>
      <c r="M1063" s="113" t="n"/>
      <c r="N1063" s="113" t="n"/>
      <c r="O1063" s="113" t="n"/>
      <c r="P1063" s="398" t="n"/>
      <c r="Q1063" s="398" t="n"/>
      <c r="R1063" s="113" t="n"/>
      <c r="S1063" s="113" t="n"/>
      <c r="T1063" s="113" t="n"/>
      <c r="U1063" s="113" t="n"/>
      <c r="V1063" s="113" t="n"/>
    </row>
    <row r="1064" ht="15.75" customHeight="1">
      <c r="A1064" s="146" t="n">
        <v>19</v>
      </c>
      <c r="B1064" s="238" t="n"/>
      <c r="C1064" s="399" t="n">
        <v>45931</v>
      </c>
      <c r="D1064" s="146" t="inlineStr">
        <is>
          <t>219 G. SAN JOSE 2</t>
        </is>
      </c>
      <c r="E1064" s="146" t="n">
        <v>43600</v>
      </c>
      <c r="F1064" s="146" t="inlineStr">
        <is>
          <t>MANUEL QUITIAN</t>
        </is>
      </c>
      <c r="G1064" s="395" t="n">
        <v>3000</v>
      </c>
      <c r="H1064" s="395" t="n">
        <v>2985</v>
      </c>
      <c r="I1064" s="395" t="n">
        <v>7</v>
      </c>
      <c r="J1064" s="395" t="n">
        <v>6</v>
      </c>
      <c r="K1064" s="395" t="n">
        <v>-2</v>
      </c>
      <c r="L1064" s="397" t="n">
        <v>3000</v>
      </c>
      <c r="M1064" s="113" t="n"/>
      <c r="N1064" s="113" t="n"/>
      <c r="O1064" s="113" t="n"/>
      <c r="P1064" s="398" t="n"/>
      <c r="Q1064" s="398" t="n"/>
      <c r="R1064" s="113" t="n"/>
      <c r="S1064" s="113" t="n"/>
      <c r="T1064" s="113" t="n"/>
      <c r="U1064" s="113" t="n"/>
      <c r="V1064" s="113" t="n"/>
    </row>
    <row r="1065" ht="15.75" customHeight="1">
      <c r="A1065" s="146" t="n">
        <v>19</v>
      </c>
      <c r="B1065" s="238" t="n"/>
      <c r="C1065" s="399" t="n">
        <v>45931</v>
      </c>
      <c r="D1065" s="146" t="inlineStr">
        <is>
          <t>219 G. SAN JOSE 2</t>
        </is>
      </c>
      <c r="E1065" s="146" t="n">
        <v>43601</v>
      </c>
      <c r="F1065" s="146" t="inlineStr">
        <is>
          <t>WILMER PIÑEROS</t>
        </is>
      </c>
      <c r="G1065" s="395" t="n">
        <v>3160</v>
      </c>
      <c r="H1065" s="395" t="n">
        <v>3145</v>
      </c>
      <c r="I1065" s="395" t="n">
        <v>9</v>
      </c>
      <c r="J1065" s="395" t="n">
        <v>5</v>
      </c>
      <c r="K1065" s="395" t="n">
        <v>-1</v>
      </c>
      <c r="L1065" s="397" t="n">
        <v>3160</v>
      </c>
      <c r="M1065" s="113" t="n"/>
      <c r="N1065" s="113" t="n"/>
      <c r="O1065" s="113" t="n"/>
      <c r="P1065" s="398" t="n"/>
      <c r="Q1065" s="398" t="n"/>
      <c r="R1065" s="113" t="n"/>
      <c r="S1065" s="113" t="n"/>
      <c r="T1065" s="113" t="n"/>
      <c r="U1065" s="113" t="n"/>
      <c r="V1065" s="113" t="n"/>
    </row>
    <row r="1066" ht="15.75" customHeight="1">
      <c r="A1066" s="146" t="n">
        <v>19</v>
      </c>
      <c r="B1066" s="238" t="n"/>
      <c r="C1066" s="399" t="n">
        <v>45931</v>
      </c>
      <c r="D1066" s="146" t="inlineStr">
        <is>
          <t>219 G. SAN JOSE 2</t>
        </is>
      </c>
      <c r="E1066" s="146" t="n">
        <v>43602</v>
      </c>
      <c r="F1066" s="146" t="inlineStr">
        <is>
          <t>ROBINSON PULIDO</t>
        </is>
      </c>
      <c r="G1066" s="395" t="n">
        <v>3240</v>
      </c>
      <c r="H1066" s="395" t="n">
        <v>3223</v>
      </c>
      <c r="I1066" s="395" t="n">
        <v>12</v>
      </c>
      <c r="J1066" s="395" t="n">
        <v>5</v>
      </c>
      <c r="K1066" s="395" t="n">
        <v>0</v>
      </c>
      <c r="L1066" s="397" t="n">
        <v>3240</v>
      </c>
      <c r="M1066" s="113" t="n"/>
      <c r="N1066" s="113" t="n"/>
      <c r="O1066" s="113" t="n"/>
      <c r="P1066" s="398" t="n"/>
      <c r="Q1066" s="398" t="n"/>
      <c r="R1066" s="113" t="n"/>
      <c r="S1066" s="113" t="n"/>
      <c r="T1066" s="113" t="n"/>
      <c r="U1066" s="113" t="n"/>
      <c r="V1066" s="113" t="n"/>
    </row>
    <row r="1067" ht="15.75" customHeight="1">
      <c r="A1067" s="146" t="n">
        <v>19</v>
      </c>
      <c r="B1067" s="238" t="n"/>
      <c r="C1067" s="399" t="n">
        <v>45931</v>
      </c>
      <c r="D1067" s="146" t="inlineStr">
        <is>
          <t>219 G. SAN JOSE 2</t>
        </is>
      </c>
      <c r="E1067" s="146" t="n">
        <v>43603</v>
      </c>
      <c r="F1067" s="146" t="inlineStr">
        <is>
          <t>HENRY ROMERO</t>
        </is>
      </c>
      <c r="G1067" s="395" t="n">
        <v>3160</v>
      </c>
      <c r="H1067" s="395" t="n">
        <v>3138</v>
      </c>
      <c r="I1067" s="395" t="n">
        <v>13</v>
      </c>
      <c r="J1067" s="395" t="n">
        <v>9</v>
      </c>
      <c r="K1067" s="395" t="n">
        <v>0</v>
      </c>
      <c r="L1067" s="397" t="n">
        <v>3170</v>
      </c>
      <c r="M1067" s="113" t="n"/>
      <c r="N1067" s="113" t="n"/>
      <c r="O1067" s="113" t="n"/>
      <c r="P1067" s="398" t="n"/>
      <c r="Q1067" s="398" t="n"/>
      <c r="R1067" s="113" t="n"/>
      <c r="S1067" s="113" t="n"/>
      <c r="T1067" s="113" t="n"/>
      <c r="U1067" s="113" t="n"/>
      <c r="V1067" s="113" t="n"/>
    </row>
    <row r="1068" ht="15.75" customHeight="1">
      <c r="A1068" s="146" t="n">
        <v>19</v>
      </c>
      <c r="B1068" s="238" t="n"/>
      <c r="C1068" s="399" t="n">
        <v>45932</v>
      </c>
      <c r="D1068" s="146" t="inlineStr">
        <is>
          <t>219 G. SAN JOSE 2</t>
        </is>
      </c>
      <c r="E1068" s="146" t="n">
        <v>43616</v>
      </c>
      <c r="F1068" s="146" t="inlineStr">
        <is>
          <t>DUMAR ANGARITA</t>
        </is>
      </c>
      <c r="G1068" s="395" t="n">
        <v>2925</v>
      </c>
      <c r="H1068" s="395" t="n">
        <v>2915</v>
      </c>
      <c r="I1068" s="395" t="n">
        <v>7</v>
      </c>
      <c r="J1068" s="395" t="n">
        <v>3</v>
      </c>
      <c r="K1068" s="395" t="n">
        <v>0</v>
      </c>
      <c r="L1068" s="397" t="n">
        <v>2925</v>
      </c>
      <c r="M1068" s="113" t="n"/>
      <c r="N1068" s="113" t="n"/>
      <c r="O1068" s="113" t="n"/>
      <c r="P1068" s="398" t="n"/>
      <c r="Q1068" s="398" t="n"/>
      <c r="R1068" s="113" t="n"/>
      <c r="S1068" s="113" t="n"/>
      <c r="T1068" s="113" t="n"/>
      <c r="U1068" s="113" t="n"/>
      <c r="V1068" s="113" t="n"/>
    </row>
    <row r="1069" ht="15.75" customHeight="1">
      <c r="A1069" s="146" t="n">
        <v>19</v>
      </c>
      <c r="B1069" s="238" t="n"/>
      <c r="C1069" s="399" t="n">
        <v>45932</v>
      </c>
      <c r="D1069" s="146" t="inlineStr">
        <is>
          <t>219 G. SAN JOSE 2</t>
        </is>
      </c>
      <c r="E1069" s="146" t="n">
        <v>43617</v>
      </c>
      <c r="F1069" s="146" t="inlineStr">
        <is>
          <t>EDWIN ROJAS</t>
        </is>
      </c>
      <c r="G1069" s="395" t="n">
        <v>2925</v>
      </c>
      <c r="H1069" s="395" t="n">
        <v>2918</v>
      </c>
      <c r="I1069" s="395" t="n">
        <v>6</v>
      </c>
      <c r="J1069" s="395" t="n">
        <v>1</v>
      </c>
      <c r="K1069" s="395" t="n">
        <v>0</v>
      </c>
      <c r="L1069" s="397" t="n">
        <v>2925</v>
      </c>
      <c r="M1069" s="113" t="n"/>
      <c r="N1069" s="113" t="n"/>
      <c r="O1069" s="113" t="n"/>
      <c r="P1069" s="398" t="n"/>
      <c r="Q1069" s="398" t="n"/>
      <c r="R1069" s="113" t="n"/>
      <c r="S1069" s="113" t="n"/>
      <c r="T1069" s="113" t="n"/>
      <c r="U1069" s="113" t="n"/>
      <c r="V1069" s="113" t="n"/>
    </row>
    <row r="1070" ht="15.75" customHeight="1">
      <c r="A1070" s="146" t="n">
        <v>19</v>
      </c>
      <c r="B1070" s="238" t="n"/>
      <c r="C1070" s="399" t="n">
        <v>45932</v>
      </c>
      <c r="D1070" s="146" t="inlineStr">
        <is>
          <t>219 G. SAN JOSE 2</t>
        </is>
      </c>
      <c r="E1070" s="146" t="n">
        <v>43618</v>
      </c>
      <c r="F1070" s="146" t="inlineStr">
        <is>
          <t>FERNANDO OYUELA</t>
        </is>
      </c>
      <c r="G1070" s="395" t="n">
        <v>2667</v>
      </c>
      <c r="H1070" s="395" t="n">
        <v>2659</v>
      </c>
      <c r="I1070" s="395" t="n">
        <v>6</v>
      </c>
      <c r="J1070" s="395" t="n">
        <v>2</v>
      </c>
      <c r="K1070" s="395" t="n">
        <v>0</v>
      </c>
      <c r="L1070" s="397" t="n">
        <v>2667</v>
      </c>
      <c r="M1070" s="113" t="n"/>
      <c r="N1070" s="113" t="n"/>
      <c r="O1070" s="113" t="n"/>
      <c r="P1070" s="398" t="n"/>
      <c r="Q1070" s="398" t="n"/>
      <c r="R1070" s="113" t="n"/>
      <c r="S1070" s="113" t="n"/>
      <c r="T1070" s="113" t="n"/>
      <c r="U1070" s="113" t="n"/>
      <c r="V1070" s="113" t="n"/>
    </row>
    <row r="1071" ht="15.75" customHeight="1">
      <c r="A1071" s="146" t="n">
        <v>19</v>
      </c>
      <c r="B1071" s="238" t="n"/>
      <c r="C1071" s="399" t="n">
        <v>45932</v>
      </c>
      <c r="D1071" s="146" t="inlineStr">
        <is>
          <t>219 G. SAN JOSE 2</t>
        </is>
      </c>
      <c r="E1071" s="146" t="n">
        <v>43619</v>
      </c>
      <c r="F1071" s="146" t="inlineStr">
        <is>
          <t>JOSE SOLER</t>
        </is>
      </c>
      <c r="G1071" s="395" t="n">
        <v>2667</v>
      </c>
      <c r="H1071" s="395" t="n">
        <v>2663</v>
      </c>
      <c r="I1071" s="395" t="n">
        <v>4</v>
      </c>
      <c r="J1071" s="395" t="n">
        <v>2</v>
      </c>
      <c r="K1071" s="395" t="n">
        <v>2</v>
      </c>
      <c r="L1071" s="397" t="n">
        <v>2667</v>
      </c>
      <c r="M1071" s="113" t="n"/>
      <c r="N1071" s="113" t="n"/>
      <c r="O1071" s="113" t="n"/>
      <c r="P1071" s="398" t="n"/>
      <c r="Q1071" s="398" t="n"/>
      <c r="R1071" s="113" t="n"/>
      <c r="S1071" s="113" t="n"/>
      <c r="T1071" s="113" t="n"/>
      <c r="U1071" s="113" t="n"/>
      <c r="V1071" s="113" t="n"/>
    </row>
    <row r="1072" ht="15.75" customHeight="1">
      <c r="A1072" s="146" t="n">
        <v>19</v>
      </c>
      <c r="B1072" s="238" t="n"/>
      <c r="C1072" s="399" t="n">
        <v>45932</v>
      </c>
      <c r="D1072" s="146" t="inlineStr">
        <is>
          <t>219 G. SAN JOSE 2</t>
        </is>
      </c>
      <c r="E1072" s="146" t="n">
        <v>43620</v>
      </c>
      <c r="F1072" s="146" t="inlineStr">
        <is>
          <t>MANUEL QUITIAN</t>
        </is>
      </c>
      <c r="G1072" s="395" t="n">
        <v>2667</v>
      </c>
      <c r="H1072" s="395" t="n">
        <v>2616</v>
      </c>
      <c r="I1072" s="395" t="n">
        <v>47</v>
      </c>
      <c r="J1072" s="395" t="n">
        <v>4</v>
      </c>
      <c r="K1072" s="395" t="n">
        <v>0</v>
      </c>
      <c r="L1072" s="397" t="n">
        <v>2667</v>
      </c>
      <c r="M1072" s="113" t="n"/>
      <c r="N1072" s="113" t="n"/>
      <c r="O1072" s="113" t="n"/>
      <c r="P1072" s="398" t="n"/>
      <c r="Q1072" s="398" t="n"/>
      <c r="R1072" s="113" t="n"/>
      <c r="S1072" s="113" t="n"/>
      <c r="T1072" s="113" t="n"/>
      <c r="U1072" s="113" t="n"/>
      <c r="V1072" s="113" t="n"/>
    </row>
    <row r="1073" ht="15.75" customHeight="1">
      <c r="A1073" s="146" t="n">
        <v>19</v>
      </c>
      <c r="B1073" s="238" t="n"/>
      <c r="C1073" s="399" t="n">
        <v>45932</v>
      </c>
      <c r="D1073" s="146" t="inlineStr">
        <is>
          <t>219 G. SAN JOSE 2</t>
        </is>
      </c>
      <c r="E1073" s="146" t="n">
        <v>43621</v>
      </c>
      <c r="F1073" s="146" t="inlineStr">
        <is>
          <t>ALBERTO HERRERA</t>
        </is>
      </c>
      <c r="G1073" s="395" t="n">
        <v>3000</v>
      </c>
      <c r="H1073" s="395" t="n">
        <v>2996</v>
      </c>
      <c r="I1073" s="395" t="n">
        <v>5</v>
      </c>
      <c r="J1073" s="395" t="n">
        <v>2</v>
      </c>
      <c r="K1073" s="395" t="n">
        <v>3</v>
      </c>
      <c r="L1073" s="397" t="n">
        <v>3000</v>
      </c>
      <c r="M1073" s="113" t="n"/>
      <c r="N1073" s="113" t="n"/>
      <c r="O1073" s="113" t="n"/>
      <c r="P1073" s="398" t="n"/>
      <c r="Q1073" s="398" t="n"/>
      <c r="R1073" s="113" t="n"/>
      <c r="S1073" s="113" t="n"/>
      <c r="T1073" s="113" t="n"/>
      <c r="U1073" s="113" t="n"/>
      <c r="V1073" s="113" t="n"/>
    </row>
    <row r="1074" ht="15.75" customHeight="1">
      <c r="A1074" s="146" t="n">
        <v>19</v>
      </c>
      <c r="B1074" s="238" t="n"/>
      <c r="C1074" s="399" t="n">
        <v>45933</v>
      </c>
      <c r="D1074" s="146" t="inlineStr">
        <is>
          <t>219 G. SAN JOSE 2</t>
        </is>
      </c>
      <c r="E1074" s="146" t="n">
        <v>43647</v>
      </c>
      <c r="F1074" s="146" t="inlineStr">
        <is>
          <t>JHON ARIAS</t>
        </is>
      </c>
      <c r="G1074" s="395" t="n">
        <v>2625</v>
      </c>
      <c r="H1074" s="395" t="n">
        <v>2612</v>
      </c>
      <c r="I1074" s="395" t="n">
        <v>3</v>
      </c>
      <c r="J1074" s="395" t="n">
        <v>3</v>
      </c>
      <c r="K1074" s="395" t="n">
        <v>-7</v>
      </c>
      <c r="L1074" s="397" t="n">
        <v>2625</v>
      </c>
      <c r="M1074" s="113" t="n"/>
      <c r="N1074" s="113" t="n"/>
      <c r="O1074" s="113" t="n"/>
      <c r="P1074" s="398" t="n"/>
      <c r="Q1074" s="398" t="n"/>
      <c r="R1074" s="113" t="n"/>
      <c r="S1074" s="113" t="n"/>
      <c r="T1074" s="113" t="n"/>
      <c r="U1074" s="113" t="n"/>
      <c r="V1074" s="113" t="n"/>
    </row>
    <row r="1075" ht="15.75" customHeight="1">
      <c r="A1075" s="146" t="n">
        <v>19</v>
      </c>
      <c r="B1075" s="238" t="n"/>
      <c r="C1075" s="399" t="n">
        <v>45933</v>
      </c>
      <c r="D1075" s="146" t="inlineStr">
        <is>
          <t>219 G. SAN JOSE 2</t>
        </is>
      </c>
      <c r="E1075" s="146" t="n">
        <v>43652</v>
      </c>
      <c r="F1075" s="146" t="inlineStr">
        <is>
          <t>EDUAN CAVIEDES</t>
        </is>
      </c>
      <c r="G1075" s="395" t="n">
        <v>2625</v>
      </c>
      <c r="H1075" s="395" t="n">
        <v>2613</v>
      </c>
      <c r="I1075" s="395" t="n">
        <v>7</v>
      </c>
      <c r="J1075" s="395" t="n">
        <v>2</v>
      </c>
      <c r="K1075" s="395" t="n">
        <v>-3</v>
      </c>
      <c r="L1075" s="397" t="n">
        <v>2625</v>
      </c>
      <c r="M1075" s="113" t="n"/>
      <c r="N1075" s="113" t="n"/>
      <c r="O1075" s="113" t="n"/>
      <c r="P1075" s="398" t="n"/>
      <c r="Q1075" s="398" t="n"/>
      <c r="R1075" s="113" t="n"/>
      <c r="S1075" s="113" t="n"/>
      <c r="T1075" s="113" t="n"/>
      <c r="U1075" s="113" t="n"/>
      <c r="V1075" s="113" t="n"/>
    </row>
    <row r="1076" ht="15.75" customHeight="1">
      <c r="A1076" s="146" t="n">
        <v>19</v>
      </c>
      <c r="B1076" s="238" t="n"/>
      <c r="C1076" s="399" t="n">
        <v>45933</v>
      </c>
      <c r="D1076" s="146" t="inlineStr">
        <is>
          <t>219 G. SAN JOSE 2</t>
        </is>
      </c>
      <c r="E1076" s="146" t="n">
        <v>43653</v>
      </c>
      <c r="F1076" s="146" t="inlineStr">
        <is>
          <t>ALBERTO LOPEZ</t>
        </is>
      </c>
      <c r="G1076" s="395" t="n">
        <v>2625</v>
      </c>
      <c r="H1076" s="395" t="n">
        <v>2600</v>
      </c>
      <c r="I1076" s="395" t="n">
        <v>7</v>
      </c>
      <c r="J1076" s="395" t="n">
        <v>13</v>
      </c>
      <c r="K1076" s="395" t="n">
        <v>-5</v>
      </c>
      <c r="L1076" s="397" t="n">
        <v>2625</v>
      </c>
      <c r="M1076" s="113" t="n"/>
      <c r="N1076" s="113" t="n"/>
      <c r="O1076" s="113" t="n"/>
      <c r="P1076" s="398" t="n"/>
      <c r="Q1076" s="398" t="n"/>
      <c r="R1076" s="113" t="n"/>
      <c r="S1076" s="113" t="n"/>
      <c r="T1076" s="113" t="n"/>
      <c r="U1076" s="113" t="n"/>
      <c r="V1076" s="113" t="n"/>
    </row>
    <row r="1077" ht="15.75" customHeight="1">
      <c r="A1077" s="146" t="n">
        <v>19</v>
      </c>
      <c r="B1077" s="238" t="n"/>
      <c r="C1077" s="399" t="n">
        <v>45933</v>
      </c>
      <c r="D1077" s="146" t="inlineStr">
        <is>
          <t>219 G. SAN JOSE 2</t>
        </is>
      </c>
      <c r="E1077" s="146" t="n">
        <v>43657</v>
      </c>
      <c r="F1077" s="146" t="inlineStr">
        <is>
          <t>FABIO ALDANA</t>
        </is>
      </c>
      <c r="G1077" s="395" t="n">
        <v>2625</v>
      </c>
      <c r="H1077" s="395" t="n">
        <v>2603</v>
      </c>
      <c r="I1077" s="395" t="n">
        <v>14</v>
      </c>
      <c r="J1077" s="395" t="n">
        <v>7</v>
      </c>
      <c r="K1077" s="395" t="n">
        <v>-1</v>
      </c>
      <c r="L1077" s="397" t="n">
        <v>2625</v>
      </c>
      <c r="M1077" s="113" t="n"/>
      <c r="N1077" s="113" t="n"/>
      <c r="O1077" s="113" t="n"/>
      <c r="P1077" s="398" t="n"/>
      <c r="Q1077" s="398" t="n"/>
      <c r="R1077" s="113" t="n"/>
      <c r="S1077" s="113" t="n"/>
      <c r="T1077" s="113" t="n"/>
      <c r="U1077" s="113" t="n"/>
      <c r="V1077" s="113" t="n"/>
    </row>
    <row r="1078" ht="15.75" customHeight="1">
      <c r="A1078" s="146" t="n">
        <v>19</v>
      </c>
      <c r="B1078" s="238" t="n"/>
      <c r="C1078" s="399" t="n">
        <v>45933</v>
      </c>
      <c r="D1078" s="146" t="inlineStr">
        <is>
          <t>219 G. SAN JOSE 2</t>
        </is>
      </c>
      <c r="E1078" s="146" t="n">
        <v>43658</v>
      </c>
      <c r="F1078" s="146" t="inlineStr">
        <is>
          <t>WILMER PIÑEROS</t>
        </is>
      </c>
      <c r="G1078" s="395" t="n">
        <v>2333</v>
      </c>
      <c r="H1078" s="395" t="n">
        <v>2317</v>
      </c>
      <c r="I1078" s="395" t="n">
        <v>12</v>
      </c>
      <c r="J1078" s="395" t="n">
        <v>4</v>
      </c>
      <c r="K1078" s="395" t="n">
        <v>0</v>
      </c>
      <c r="L1078" s="397" t="n">
        <v>2333</v>
      </c>
      <c r="M1078" s="113" t="n"/>
      <c r="N1078" s="113" t="n"/>
      <c r="O1078" s="113" t="n"/>
      <c r="P1078" s="398" t="n"/>
      <c r="Q1078" s="398" t="n"/>
      <c r="R1078" s="113" t="n"/>
      <c r="S1078" s="113" t="n"/>
      <c r="T1078" s="113" t="n"/>
      <c r="U1078" s="113" t="n"/>
      <c r="V1078" s="113" t="n"/>
    </row>
    <row r="1079" ht="15.75" customHeight="1">
      <c r="A1079" s="146" t="n">
        <v>19</v>
      </c>
      <c r="B1079" s="238" t="n"/>
      <c r="C1079" s="399" t="n">
        <v>45933</v>
      </c>
      <c r="D1079" s="146" t="inlineStr">
        <is>
          <t>219 G. SAN JOSE 2</t>
        </is>
      </c>
      <c r="E1079" s="146" t="n">
        <v>43659</v>
      </c>
      <c r="F1079" s="146" t="inlineStr">
        <is>
          <t>JOSE SOLER</t>
        </is>
      </c>
      <c r="G1079" s="395" t="n">
        <v>2333</v>
      </c>
      <c r="H1079" s="395" t="n">
        <v>2323</v>
      </c>
      <c r="I1079" s="395" t="n">
        <v>7</v>
      </c>
      <c r="J1079" s="395" t="n">
        <v>3</v>
      </c>
      <c r="K1079" s="395" t="n">
        <v>0</v>
      </c>
      <c r="L1079" s="397" t="n">
        <v>2333</v>
      </c>
      <c r="M1079" s="113" t="n"/>
      <c r="N1079" s="113" t="n"/>
      <c r="O1079" s="113" t="n"/>
      <c r="P1079" s="398" t="n"/>
      <c r="Q1079" s="398" t="n"/>
      <c r="R1079" s="113" t="n"/>
      <c r="S1079" s="113" t="n"/>
      <c r="T1079" s="113" t="n"/>
      <c r="U1079" s="113" t="n"/>
      <c r="V1079" s="113" t="n"/>
    </row>
    <row r="1080" ht="15.75" customHeight="1">
      <c r="A1080" s="146" t="n">
        <v>19</v>
      </c>
      <c r="B1080" s="238" t="n"/>
      <c r="C1080" s="399" t="n">
        <v>45933</v>
      </c>
      <c r="D1080" s="146" t="inlineStr">
        <is>
          <t>219 G. SAN JOSE 2</t>
        </is>
      </c>
      <c r="E1080" s="146" t="n">
        <v>43660</v>
      </c>
      <c r="F1080" s="146" t="inlineStr">
        <is>
          <t>DUMAR ANGARITA</t>
        </is>
      </c>
      <c r="G1080" s="395" t="n">
        <v>2333</v>
      </c>
      <c r="H1080" s="395" t="n">
        <v>2326</v>
      </c>
      <c r="I1080" s="395" t="n">
        <v>5</v>
      </c>
      <c r="J1080" s="395" t="n">
        <v>2</v>
      </c>
      <c r="K1080" s="395" t="n">
        <v>0</v>
      </c>
      <c r="L1080" s="397" t="n">
        <v>2333</v>
      </c>
      <c r="M1080" s="113" t="n"/>
      <c r="N1080" s="113" t="n"/>
      <c r="O1080" s="113" t="n"/>
      <c r="P1080" s="398" t="n"/>
      <c r="Q1080" s="398" t="n"/>
      <c r="R1080" s="113" t="n"/>
      <c r="S1080" s="113" t="n"/>
      <c r="T1080" s="113" t="n"/>
      <c r="U1080" s="113" t="n"/>
      <c r="V1080" s="113" t="n"/>
    </row>
    <row r="1081" ht="15.75" customHeight="1">
      <c r="A1081" s="146" t="n">
        <v>19</v>
      </c>
      <c r="B1081" s="238" t="n"/>
      <c r="C1081" s="399" t="n">
        <v>45934</v>
      </c>
      <c r="D1081" s="146" t="inlineStr">
        <is>
          <t>219 G. SAN JOSE 2</t>
        </is>
      </c>
      <c r="E1081" s="146" t="n">
        <v>43663</v>
      </c>
      <c r="F1081" s="146" t="inlineStr">
        <is>
          <t>ALEX GOMEZ</t>
        </is>
      </c>
      <c r="G1081" s="395" t="n">
        <v>3500</v>
      </c>
      <c r="H1081" s="395" t="n">
        <v>3487</v>
      </c>
      <c r="I1081" s="395" t="n">
        <v>3</v>
      </c>
      <c r="J1081" s="395" t="n">
        <v>6</v>
      </c>
      <c r="K1081" s="395" t="n">
        <v>-4</v>
      </c>
      <c r="L1081" s="397" t="n">
        <v>3500</v>
      </c>
      <c r="M1081" s="113" t="n"/>
      <c r="N1081" s="113" t="n"/>
      <c r="O1081" s="113" t="n"/>
      <c r="P1081" s="398" t="n"/>
      <c r="Q1081" s="398" t="n"/>
      <c r="R1081" s="113" t="n"/>
      <c r="S1081" s="113" t="n"/>
      <c r="T1081" s="113" t="n"/>
      <c r="U1081" s="113" t="n"/>
      <c r="V1081" s="113" t="n"/>
    </row>
    <row r="1082" ht="15.75" customHeight="1">
      <c r="A1082" s="146" t="n">
        <v>19</v>
      </c>
      <c r="B1082" s="238" t="n"/>
      <c r="C1082" s="399" t="n">
        <v>45934</v>
      </c>
      <c r="D1082" s="146" t="inlineStr">
        <is>
          <t>219 G. SAN JOSE 2</t>
        </is>
      </c>
      <c r="E1082" s="146" t="n">
        <v>43664</v>
      </c>
      <c r="F1082" s="146" t="inlineStr">
        <is>
          <t>FABIO ALDANA</t>
        </is>
      </c>
      <c r="G1082" s="395" t="n">
        <v>3500</v>
      </c>
      <c r="H1082" s="395" t="n">
        <v>3487</v>
      </c>
      <c r="I1082" s="395" t="n">
        <v>4</v>
      </c>
      <c r="J1082" s="395" t="n">
        <v>4</v>
      </c>
      <c r="K1082" s="395" t="n">
        <v>-5</v>
      </c>
      <c r="L1082" s="397" t="n">
        <v>3500</v>
      </c>
      <c r="M1082" s="113" t="n"/>
      <c r="N1082" s="113" t="n"/>
      <c r="O1082" s="113" t="n"/>
      <c r="P1082" s="398" t="n"/>
      <c r="Q1082" s="398" t="n"/>
      <c r="R1082" s="113" t="n"/>
      <c r="S1082" s="113" t="n"/>
      <c r="T1082" s="113" t="n"/>
      <c r="U1082" s="113" t="n"/>
      <c r="V1082" s="113" t="n"/>
    </row>
    <row r="1083" ht="15.75" customHeight="1">
      <c r="A1083" s="146" t="n">
        <v>19</v>
      </c>
      <c r="B1083" s="238" t="n"/>
      <c r="C1083" s="399" t="n">
        <v>45934</v>
      </c>
      <c r="D1083" s="146" t="inlineStr">
        <is>
          <t>219 G. SAN JOSE 2</t>
        </is>
      </c>
      <c r="E1083" s="146" t="n">
        <v>43665</v>
      </c>
      <c r="F1083" s="146" t="inlineStr">
        <is>
          <t>JHON ARIAS</t>
        </is>
      </c>
      <c r="G1083" s="395" t="n">
        <v>3500</v>
      </c>
      <c r="H1083" s="395" t="n">
        <v>3489</v>
      </c>
      <c r="I1083" s="395" t="n">
        <v>4</v>
      </c>
      <c r="J1083" s="395" t="n">
        <v>3</v>
      </c>
      <c r="K1083" s="395" t="n">
        <v>-4</v>
      </c>
      <c r="L1083" s="397" t="n">
        <v>3500</v>
      </c>
      <c r="M1083" s="113" t="n"/>
      <c r="N1083" s="113" t="n"/>
      <c r="O1083" s="113" t="n"/>
      <c r="P1083" s="398" t="n"/>
      <c r="Q1083" s="398" t="n"/>
      <c r="R1083" s="113" t="n"/>
      <c r="S1083" s="113" t="n"/>
      <c r="T1083" s="113" t="n"/>
      <c r="U1083" s="113" t="n"/>
      <c r="V1083" s="113" t="n"/>
    </row>
    <row r="1084" ht="15.75" customHeight="1">
      <c r="A1084" s="146" t="n">
        <v>19</v>
      </c>
      <c r="B1084" s="238" t="n"/>
      <c r="C1084" s="399" t="n">
        <v>45934</v>
      </c>
      <c r="D1084" s="146" t="inlineStr">
        <is>
          <t>219 G. SAN JOSE 2</t>
        </is>
      </c>
      <c r="E1084" s="146" t="n">
        <v>43666</v>
      </c>
      <c r="F1084" s="146" t="inlineStr">
        <is>
          <t>MANUEL QUITIAN</t>
        </is>
      </c>
      <c r="G1084" s="395" t="n">
        <v>2567</v>
      </c>
      <c r="H1084" s="395" t="n">
        <v>2552</v>
      </c>
      <c r="I1084" s="395" t="n">
        <v>2</v>
      </c>
      <c r="J1084" s="395" t="n">
        <v>8</v>
      </c>
      <c r="K1084" s="395" t="n">
        <v>-5</v>
      </c>
      <c r="L1084" s="397" t="n">
        <v>2567</v>
      </c>
      <c r="M1084" s="113" t="n"/>
      <c r="N1084" s="113" t="n"/>
      <c r="O1084" s="113" t="n"/>
      <c r="P1084" s="398" t="n"/>
      <c r="Q1084" s="398" t="n"/>
      <c r="R1084" s="113" t="n"/>
      <c r="S1084" s="113" t="n"/>
      <c r="T1084" s="113" t="n"/>
      <c r="U1084" s="113" t="n"/>
      <c r="V1084" s="113" t="n"/>
    </row>
    <row r="1085" ht="15.75" customHeight="1">
      <c r="A1085" s="146" t="n">
        <v>19</v>
      </c>
      <c r="B1085" s="238" t="n"/>
      <c r="C1085" s="399" t="n">
        <v>45934</v>
      </c>
      <c r="D1085" s="146" t="inlineStr">
        <is>
          <t>219 G. SAN JOSE 2</t>
        </is>
      </c>
      <c r="E1085" s="146" t="n">
        <v>43667</v>
      </c>
      <c r="F1085" s="146" t="inlineStr">
        <is>
          <t>ROBINSON PULIDO</t>
        </is>
      </c>
      <c r="G1085" s="395" t="n">
        <v>2567</v>
      </c>
      <c r="H1085" s="395" t="n">
        <v>2558</v>
      </c>
      <c r="I1085" s="395" t="n">
        <v>3</v>
      </c>
      <c r="J1085" s="395" t="n">
        <v>6</v>
      </c>
      <c r="K1085" s="395" t="n">
        <v>0</v>
      </c>
      <c r="L1085" s="397" t="n">
        <v>2567</v>
      </c>
      <c r="M1085" s="113" t="n"/>
      <c r="N1085" s="113" t="n"/>
      <c r="O1085" s="113" t="n"/>
      <c r="P1085" s="398" t="n"/>
      <c r="Q1085" s="398" t="n"/>
      <c r="R1085" s="113" t="n"/>
      <c r="S1085" s="113" t="n"/>
      <c r="T1085" s="113" t="n"/>
      <c r="U1085" s="113" t="n"/>
      <c r="V1085" s="113" t="n"/>
    </row>
    <row r="1086" ht="15.75" customHeight="1">
      <c r="A1086" s="146" t="n">
        <v>19</v>
      </c>
      <c r="B1086" s="238" t="n"/>
      <c r="C1086" s="399" t="n">
        <v>45934</v>
      </c>
      <c r="D1086" s="146" t="inlineStr">
        <is>
          <t>219 G. SAN JOSE 2</t>
        </is>
      </c>
      <c r="E1086" s="146" t="n">
        <v>43668</v>
      </c>
      <c r="F1086" s="146" t="inlineStr">
        <is>
          <t>ALEXANDER CHAGUALA</t>
        </is>
      </c>
      <c r="G1086" s="395" t="n">
        <v>2567</v>
      </c>
      <c r="H1086" s="395" t="n">
        <v>2557</v>
      </c>
      <c r="I1086" s="395" t="n">
        <v>4</v>
      </c>
      <c r="J1086" s="395" t="n">
        <v>6</v>
      </c>
      <c r="K1086" s="395" t="n">
        <v>0</v>
      </c>
      <c r="L1086" s="397" t="n">
        <v>2567</v>
      </c>
      <c r="M1086" s="113" t="n"/>
      <c r="N1086" s="113" t="n"/>
      <c r="O1086" s="113" t="n"/>
      <c r="P1086" s="398" t="n"/>
      <c r="Q1086" s="398" t="n"/>
      <c r="R1086" s="113" t="n"/>
      <c r="S1086" s="113" t="n"/>
      <c r="T1086" s="113" t="n"/>
      <c r="U1086" s="113" t="n"/>
      <c r="V1086" s="113" t="n"/>
    </row>
    <row r="1087" ht="15.75" customHeight="1">
      <c r="A1087" s="146" t="n">
        <v>19</v>
      </c>
      <c r="B1087" s="238" t="n"/>
      <c r="C1087" s="399" t="n"/>
      <c r="D1087" s="113" t="n"/>
      <c r="E1087" s="113" t="n"/>
      <c r="F1087" s="113" t="n"/>
      <c r="G1087" s="477">
        <f>SUBTOTAL(9,G1048:G1086)</f>
        <v/>
      </c>
      <c r="H1087" s="477">
        <f>SUBTOTAL(9,H1048:H1086)</f>
        <v/>
      </c>
      <c r="I1087" s="477">
        <f>SUBTOTAL(9,I1048:I1086)</f>
        <v/>
      </c>
      <c r="J1087" s="477">
        <f>SUBTOTAL(9,J1048:J1086)</f>
        <v/>
      </c>
      <c r="K1087" s="477">
        <f>SUBTOTAL(9,K1048:K1086)</f>
        <v/>
      </c>
      <c r="L1087" s="477">
        <f>SUBTOTAL(9,L1048:L1086)</f>
        <v/>
      </c>
      <c r="M1087" s="113" t="n"/>
      <c r="N1087" s="113" t="n"/>
      <c r="O1087" s="113" t="n"/>
      <c r="P1087" s="398" t="n"/>
      <c r="Q1087" s="398" t="n"/>
      <c r="R1087" s="113" t="n"/>
      <c r="S1087" s="113" t="n"/>
      <c r="T1087" s="113" t="n"/>
      <c r="U1087" s="113" t="n"/>
      <c r="V1087" s="113" t="n"/>
    </row>
    <row r="1088" ht="15.75" customHeight="1">
      <c r="A1088" s="146" t="n">
        <v>20</v>
      </c>
      <c r="B1088" s="238" t="n"/>
      <c r="C1088" s="164" t="n">
        <v>45936</v>
      </c>
      <c r="D1088" s="165" t="inlineStr">
        <is>
          <t>202 G. HUERTAS</t>
        </is>
      </c>
      <c r="E1088" s="165" t="n">
        <v>43669</v>
      </c>
      <c r="F1088" s="165" t="inlineStr">
        <is>
          <t>JAIRO CUBILLOS</t>
        </is>
      </c>
      <c r="G1088" s="165" t="n">
        <v>3000</v>
      </c>
      <c r="H1088" s="165" t="n">
        <v>2987</v>
      </c>
      <c r="I1088" s="165" t="n">
        <v>2</v>
      </c>
      <c r="J1088" s="165" t="n">
        <v>8</v>
      </c>
      <c r="K1088" s="165" t="n">
        <v>-3</v>
      </c>
      <c r="L1088" s="397" t="n">
        <v>3000</v>
      </c>
      <c r="M1088" s="113" t="n"/>
      <c r="N1088" s="113" t="n"/>
      <c r="O1088" s="113" t="n"/>
      <c r="P1088" s="398" t="n"/>
      <c r="Q1088" s="398" t="n"/>
      <c r="R1088" s="113" t="n"/>
      <c r="S1088" s="113" t="n"/>
      <c r="T1088" s="113" t="n"/>
      <c r="U1088" s="113" t="n"/>
      <c r="V1088" s="113" t="n"/>
    </row>
    <row r="1089" ht="15.75" customHeight="1">
      <c r="A1089" s="146" t="n">
        <v>20</v>
      </c>
      <c r="B1089" s="238" t="n"/>
      <c r="C1089" s="164" t="n">
        <v>45936</v>
      </c>
      <c r="D1089" s="165" t="inlineStr">
        <is>
          <t>202 G. HUERTAS</t>
        </is>
      </c>
      <c r="E1089" s="165" t="n">
        <v>43670</v>
      </c>
      <c r="F1089" s="165" t="inlineStr">
        <is>
          <t>WILMER PIÑEROS</t>
        </is>
      </c>
      <c r="G1089" s="165" t="n">
        <v>3000</v>
      </c>
      <c r="H1089" s="165" t="n">
        <v>2990</v>
      </c>
      <c r="I1089" s="165" t="n">
        <v>2</v>
      </c>
      <c r="J1089" s="165" t="n">
        <v>7</v>
      </c>
      <c r="K1089" s="165" t="n">
        <v>-1</v>
      </c>
      <c r="L1089" s="397" t="n">
        <v>3000</v>
      </c>
      <c r="M1089" s="113" t="n"/>
      <c r="N1089" s="113" t="n"/>
      <c r="O1089" s="113" t="n"/>
      <c r="P1089" s="398" t="n"/>
      <c r="Q1089" s="398" t="n"/>
      <c r="R1089" s="113" t="n"/>
      <c r="S1089" s="113" t="n"/>
      <c r="T1089" s="113" t="n"/>
      <c r="U1089" s="113" t="n"/>
      <c r="V1089" s="113" t="n"/>
    </row>
    <row r="1090" ht="15.75" customHeight="1">
      <c r="A1090" s="146" t="n">
        <v>20</v>
      </c>
      <c r="B1090" s="238" t="n"/>
      <c r="C1090" s="164" t="n">
        <v>45936</v>
      </c>
      <c r="D1090" s="165" t="inlineStr">
        <is>
          <t>202 G. HUERTAS</t>
        </is>
      </c>
      <c r="E1090" s="165" t="n">
        <v>43671</v>
      </c>
      <c r="F1090" s="165" t="inlineStr">
        <is>
          <t>EDUAN CAVIEDES</t>
        </is>
      </c>
      <c r="G1090" s="165" t="n">
        <v>3000</v>
      </c>
      <c r="H1090" s="165" t="n">
        <v>2991</v>
      </c>
      <c r="I1090" s="165" t="n">
        <v>1</v>
      </c>
      <c r="J1090" s="165" t="n">
        <v>6</v>
      </c>
      <c r="K1090" s="165" t="n">
        <v>-2</v>
      </c>
      <c r="L1090" s="397" t="n">
        <v>3000</v>
      </c>
      <c r="M1090" s="113" t="n"/>
      <c r="N1090" s="113" t="n"/>
      <c r="O1090" s="113" t="n"/>
      <c r="P1090" s="398" t="n"/>
      <c r="Q1090" s="398" t="n"/>
      <c r="R1090" s="113" t="n"/>
      <c r="S1090" s="113" t="n"/>
      <c r="T1090" s="113" t="n"/>
      <c r="U1090" s="113" t="n"/>
      <c r="V1090" s="113" t="n"/>
    </row>
    <row r="1091" ht="15.75" customHeight="1">
      <c r="A1091" s="146" t="n">
        <v>20</v>
      </c>
      <c r="B1091" s="238" t="n"/>
      <c r="C1091" s="164" t="n">
        <v>45936</v>
      </c>
      <c r="D1091" s="165" t="inlineStr">
        <is>
          <t>202 G. HUERTAS</t>
        </is>
      </c>
      <c r="E1091" s="165" t="n">
        <v>43672</v>
      </c>
      <c r="F1091" s="165" t="inlineStr">
        <is>
          <t>DUMAR ANGARITA</t>
        </is>
      </c>
      <c r="G1091" s="165" t="n">
        <v>3000</v>
      </c>
      <c r="H1091" s="165" t="n">
        <v>2986</v>
      </c>
      <c r="I1091" s="165" t="n">
        <v>1</v>
      </c>
      <c r="J1091" s="165" t="n">
        <v>10</v>
      </c>
      <c r="K1091" s="165" t="n">
        <v>-3</v>
      </c>
      <c r="L1091" s="397" t="n">
        <v>3000</v>
      </c>
      <c r="M1091" s="113" t="n"/>
      <c r="N1091" s="113" t="n"/>
      <c r="O1091" s="113" t="n"/>
      <c r="P1091" s="398" t="n"/>
      <c r="Q1091" s="398" t="n"/>
      <c r="R1091" s="113" t="n"/>
      <c r="S1091" s="113" t="n"/>
      <c r="T1091" s="113" t="n"/>
      <c r="U1091" s="113" t="n"/>
      <c r="V1091" s="113" t="n"/>
    </row>
    <row r="1092" ht="15.75" customHeight="1">
      <c r="A1092" s="146" t="n">
        <v>20</v>
      </c>
      <c r="B1092" s="238" t="n"/>
      <c r="C1092" s="399" t="n">
        <v>45936</v>
      </c>
      <c r="D1092" s="146" t="inlineStr">
        <is>
          <t>219 G. SAN JOSE 2</t>
        </is>
      </c>
      <c r="E1092" s="146" t="n">
        <v>43684</v>
      </c>
      <c r="F1092" s="146" t="inlineStr">
        <is>
          <t>JAIRO CUBILLOS</t>
        </is>
      </c>
      <c r="G1092" s="395" t="n">
        <v>3305</v>
      </c>
      <c r="H1092" s="395" t="n">
        <v>3293</v>
      </c>
      <c r="I1092" s="395" t="n">
        <v>7</v>
      </c>
      <c r="J1092" s="395" t="n">
        <v>2</v>
      </c>
      <c r="K1092" s="395" t="n">
        <v>-3</v>
      </c>
      <c r="L1092" s="397" t="n">
        <v>3305</v>
      </c>
      <c r="M1092" s="113" t="n"/>
      <c r="N1092" s="113" t="n"/>
      <c r="O1092" s="113" t="n"/>
      <c r="P1092" s="398" t="n"/>
      <c r="Q1092" s="398" t="n"/>
      <c r="R1092" s="113" t="n"/>
      <c r="S1092" s="113" t="n"/>
      <c r="T1092" s="113" t="n"/>
      <c r="U1092" s="113" t="n"/>
      <c r="V1092" s="113" t="n"/>
    </row>
    <row r="1093" ht="15.75" customHeight="1">
      <c r="A1093" s="146" t="n">
        <v>20</v>
      </c>
      <c r="B1093" s="238" t="n"/>
      <c r="C1093" s="399" t="n">
        <v>45936</v>
      </c>
      <c r="D1093" s="146" t="inlineStr">
        <is>
          <t>219 G. SAN JOSE 2</t>
        </is>
      </c>
      <c r="E1093" s="146" t="n">
        <v>43685</v>
      </c>
      <c r="F1093" s="146" t="inlineStr">
        <is>
          <t>WILMER PIÑEROS</t>
        </is>
      </c>
      <c r="G1093" s="395" t="n">
        <v>3305</v>
      </c>
      <c r="H1093" s="395" t="n">
        <v>3294</v>
      </c>
      <c r="I1093" s="395" t="n">
        <v>7</v>
      </c>
      <c r="J1093" s="395" t="n">
        <v>4</v>
      </c>
      <c r="K1093" s="395" t="n">
        <v>0</v>
      </c>
      <c r="L1093" s="397" t="n">
        <v>3305</v>
      </c>
      <c r="M1093" s="113" t="n"/>
      <c r="N1093" s="113" t="n"/>
      <c r="O1093" s="113" t="n"/>
      <c r="P1093" s="398" t="n"/>
      <c r="Q1093" s="398" t="n"/>
      <c r="R1093" s="113" t="n"/>
      <c r="S1093" s="113" t="n"/>
      <c r="T1093" s="113" t="n"/>
      <c r="U1093" s="113" t="n"/>
      <c r="V1093" s="113" t="n"/>
    </row>
    <row r="1094" ht="15.75" customHeight="1">
      <c r="A1094" s="146" t="n">
        <v>20</v>
      </c>
      <c r="B1094" s="238" t="n"/>
      <c r="C1094" s="399" t="n">
        <v>45936</v>
      </c>
      <c r="D1094" s="146" t="inlineStr">
        <is>
          <t>219 G. SAN JOSE 2</t>
        </is>
      </c>
      <c r="E1094" s="146" t="n">
        <v>43686</v>
      </c>
      <c r="F1094" s="146" t="inlineStr">
        <is>
          <t>EDUAN CAVIEDES</t>
        </is>
      </c>
      <c r="G1094" s="395" t="n">
        <v>3240</v>
      </c>
      <c r="H1094" s="395" t="n">
        <v>3230</v>
      </c>
      <c r="I1094" s="395" t="n">
        <v>8</v>
      </c>
      <c r="J1094" s="395" t="n">
        <v>7</v>
      </c>
      <c r="K1094" s="395" t="n">
        <v>5</v>
      </c>
      <c r="L1094" s="397" t="n">
        <v>3240</v>
      </c>
      <c r="M1094" s="113" t="n"/>
      <c r="N1094" s="113" t="n"/>
      <c r="O1094" s="113" t="n"/>
      <c r="P1094" s="398" t="n"/>
      <c r="Q1094" s="398" t="n"/>
      <c r="R1094" s="113" t="n"/>
      <c r="S1094" s="113" t="n"/>
      <c r="T1094" s="113" t="n"/>
      <c r="U1094" s="113" t="n"/>
      <c r="V1094" s="113" t="n"/>
    </row>
    <row r="1095" ht="15.75" customHeight="1">
      <c r="A1095" s="146" t="n">
        <v>20</v>
      </c>
      <c r="B1095" s="238" t="n"/>
      <c r="C1095" s="164" t="n">
        <v>45937</v>
      </c>
      <c r="D1095" s="165" t="inlineStr">
        <is>
          <t>202 G. HUERTAS</t>
        </is>
      </c>
      <c r="E1095" s="165" t="n">
        <v>43687</v>
      </c>
      <c r="F1095" s="165" t="inlineStr">
        <is>
          <t>ALEXANDER CHAGUALA</t>
        </is>
      </c>
      <c r="G1095" s="165" t="n">
        <v>3240</v>
      </c>
      <c r="H1095" s="165" t="n">
        <v>3231</v>
      </c>
      <c r="I1095" s="165" t="n">
        <v>4</v>
      </c>
      <c r="J1095" s="165" t="n">
        <v>5</v>
      </c>
      <c r="K1095" s="165" t="n">
        <v>0</v>
      </c>
      <c r="L1095" s="397" t="n">
        <v>3240</v>
      </c>
      <c r="M1095" s="113" t="n"/>
      <c r="N1095" s="113" t="n"/>
      <c r="O1095" s="113" t="n"/>
      <c r="P1095" s="398" t="n"/>
      <c r="Q1095" s="398" t="n"/>
      <c r="R1095" s="113" t="n"/>
      <c r="S1095" s="113" t="n"/>
      <c r="T1095" s="113" t="n"/>
      <c r="U1095" s="113" t="n"/>
      <c r="V1095" s="113" t="n"/>
    </row>
    <row r="1096" ht="15.75" customHeight="1">
      <c r="A1096" s="146" t="n">
        <v>20</v>
      </c>
      <c r="B1096" s="238" t="n"/>
      <c r="C1096" s="164" t="n">
        <v>45937</v>
      </c>
      <c r="D1096" s="166" t="inlineStr">
        <is>
          <t>202 G. HUERTAS</t>
        </is>
      </c>
      <c r="E1096" s="166" t="n">
        <v>43688</v>
      </c>
      <c r="F1096" s="166" t="inlineStr">
        <is>
          <t>FABIO ALDANA</t>
        </is>
      </c>
      <c r="G1096" s="166" t="n">
        <v>3240</v>
      </c>
      <c r="H1096" s="166" t="n">
        <v>3232</v>
      </c>
      <c r="I1096" s="166" t="n">
        <v>2</v>
      </c>
      <c r="J1096" s="166" t="n">
        <v>6</v>
      </c>
      <c r="K1096" s="166" t="n">
        <v>0</v>
      </c>
      <c r="L1096" s="397" t="n">
        <v>3240</v>
      </c>
      <c r="M1096" s="113" t="n"/>
      <c r="N1096" s="113" t="n"/>
      <c r="O1096" s="113" t="n"/>
      <c r="P1096" s="398" t="n"/>
      <c r="Q1096" s="398" t="n"/>
      <c r="R1096" s="113" t="n"/>
      <c r="S1096" s="113" t="n"/>
      <c r="T1096" s="113" t="n"/>
      <c r="U1096" s="113" t="n"/>
      <c r="V1096" s="113" t="n"/>
    </row>
    <row r="1097" ht="15.75" customHeight="1">
      <c r="A1097" s="146" t="n">
        <v>20</v>
      </c>
      <c r="B1097" s="238" t="n"/>
      <c r="C1097" s="164" t="n">
        <v>45937</v>
      </c>
      <c r="D1097" s="166" t="inlineStr">
        <is>
          <t>202 G. HUERTAS</t>
        </is>
      </c>
      <c r="E1097" s="166" t="n">
        <v>43689</v>
      </c>
      <c r="F1097" s="166" t="inlineStr">
        <is>
          <t>ALEX GOMEZ</t>
        </is>
      </c>
      <c r="G1097" s="166" t="n">
        <v>3240</v>
      </c>
      <c r="H1097" s="166" t="n">
        <v>3218</v>
      </c>
      <c r="I1097" s="166" t="n">
        <v>7</v>
      </c>
      <c r="J1097" s="166" t="n">
        <v>6</v>
      </c>
      <c r="K1097" s="166" t="n">
        <v>-9</v>
      </c>
      <c r="L1097" s="397" t="n">
        <v>3240</v>
      </c>
      <c r="M1097" s="113" t="n"/>
      <c r="N1097" s="113" t="n"/>
      <c r="O1097" s="113" t="n"/>
      <c r="P1097" s="398" t="n"/>
      <c r="Q1097" s="398" t="n"/>
      <c r="R1097" s="113" t="n"/>
      <c r="S1097" s="113" t="n"/>
      <c r="T1097" s="113" t="n"/>
      <c r="U1097" s="113" t="n"/>
      <c r="V1097" s="113" t="n"/>
    </row>
    <row r="1098" ht="15.75" customHeight="1">
      <c r="A1098" s="146" t="n">
        <v>20</v>
      </c>
      <c r="B1098" s="238" t="n"/>
      <c r="C1098" s="164" t="n">
        <v>45937</v>
      </c>
      <c r="D1098" s="166" t="inlineStr">
        <is>
          <t>202 G. HUERTAS</t>
        </is>
      </c>
      <c r="E1098" s="166" t="n">
        <v>43690</v>
      </c>
      <c r="F1098" s="166" t="inlineStr">
        <is>
          <t>YAIR RIVEROS</t>
        </is>
      </c>
      <c r="G1098" s="166" t="n">
        <v>2880</v>
      </c>
      <c r="H1098" s="166" t="n">
        <v>2857</v>
      </c>
      <c r="I1098" s="166" t="n">
        <v>6</v>
      </c>
      <c r="J1098" s="166" t="n">
        <v>7</v>
      </c>
      <c r="K1098" s="166" t="n">
        <v>-10</v>
      </c>
      <c r="L1098" s="397" t="n">
        <v>2880</v>
      </c>
      <c r="M1098" s="113" t="n"/>
      <c r="N1098" s="113" t="n"/>
      <c r="O1098" s="113" t="n"/>
      <c r="P1098" s="398" t="n"/>
      <c r="Q1098" s="398" t="n"/>
      <c r="R1098" s="113" t="n"/>
      <c r="S1098" s="113" t="n"/>
      <c r="T1098" s="113" t="n"/>
      <c r="U1098" s="113" t="n"/>
      <c r="V1098" s="113" t="n"/>
    </row>
    <row r="1099" ht="15.75" customHeight="1">
      <c r="A1099" s="146" t="n">
        <v>20</v>
      </c>
      <c r="B1099" s="238" t="n"/>
      <c r="C1099" s="164" t="n">
        <v>45937</v>
      </c>
      <c r="D1099" s="166" t="inlineStr">
        <is>
          <t>202 G. HUERTAS</t>
        </is>
      </c>
      <c r="E1099" s="166" t="n">
        <v>43691</v>
      </c>
      <c r="F1099" s="166" t="inlineStr">
        <is>
          <t>ALBERTO HERRERA</t>
        </is>
      </c>
      <c r="G1099" s="166" t="n">
        <v>2916</v>
      </c>
      <c r="H1099" s="166" t="n">
        <v>2901</v>
      </c>
      <c r="I1099" s="166" t="n">
        <v>7</v>
      </c>
      <c r="J1099" s="166" t="n">
        <v>1</v>
      </c>
      <c r="K1099" s="166" t="n">
        <v>-7</v>
      </c>
      <c r="L1099" s="397" t="n">
        <v>2916</v>
      </c>
      <c r="M1099" s="113" t="n"/>
      <c r="N1099" s="113" t="n"/>
      <c r="O1099" s="113" t="n"/>
      <c r="P1099" s="398" t="n"/>
      <c r="Q1099" s="398" t="n"/>
      <c r="R1099" s="113" t="n"/>
      <c r="S1099" s="113" t="n"/>
      <c r="T1099" s="113" t="n"/>
      <c r="U1099" s="113" t="n"/>
      <c r="V1099" s="113" t="n"/>
    </row>
    <row r="1100" ht="15.75" customHeight="1">
      <c r="A1100" s="146" t="n">
        <v>20</v>
      </c>
      <c r="B1100" s="238" t="n"/>
      <c r="C1100" s="164" t="n">
        <v>45937</v>
      </c>
      <c r="D1100" s="166" t="inlineStr">
        <is>
          <t>202 G. HUERTAS</t>
        </is>
      </c>
      <c r="E1100" s="166" t="n">
        <v>43692</v>
      </c>
      <c r="F1100" s="166" t="inlineStr">
        <is>
          <t>ROBINSON PULIDO</t>
        </is>
      </c>
      <c r="G1100" s="166" t="n">
        <v>3240</v>
      </c>
      <c r="H1100" s="166" t="n">
        <v>3218</v>
      </c>
      <c r="I1100" s="166" t="n">
        <v>5</v>
      </c>
      <c r="J1100" s="166" t="n">
        <v>9</v>
      </c>
      <c r="K1100" s="166" t="n">
        <v>-8</v>
      </c>
      <c r="L1100" s="397" t="n">
        <v>3240</v>
      </c>
      <c r="M1100" s="113" t="n"/>
      <c r="N1100" s="113" t="n"/>
      <c r="O1100" s="113" t="n"/>
      <c r="P1100" s="398" t="n"/>
      <c r="Q1100" s="398" t="n"/>
      <c r="R1100" s="113" t="n"/>
      <c r="S1100" s="113" t="n"/>
      <c r="T1100" s="113" t="n"/>
      <c r="U1100" s="113" t="n"/>
      <c r="V1100" s="113" t="n"/>
    </row>
    <row r="1101" ht="15.75" customHeight="1">
      <c r="A1101" s="146" t="n">
        <v>20</v>
      </c>
      <c r="B1101" s="238" t="n"/>
      <c r="C1101" s="164" t="n">
        <v>45937</v>
      </c>
      <c r="D1101" s="166" t="inlineStr">
        <is>
          <t>202 G. HUERTAS</t>
        </is>
      </c>
      <c r="E1101" s="166" t="n">
        <v>43700</v>
      </c>
      <c r="F1101" s="166" t="inlineStr">
        <is>
          <t>HENRY ROMERO</t>
        </is>
      </c>
      <c r="G1101" s="166" t="n">
        <v>3240</v>
      </c>
      <c r="H1101" s="166" t="n">
        <v>3234</v>
      </c>
      <c r="I1101" s="166" t="n">
        <v>2</v>
      </c>
      <c r="J1101" s="166" t="n">
        <v>4</v>
      </c>
      <c r="K1101" s="166" t="n">
        <v>0</v>
      </c>
      <c r="L1101" s="397" t="n">
        <v>3240</v>
      </c>
      <c r="M1101" s="113" t="n"/>
      <c r="N1101" s="113" t="n"/>
      <c r="O1101" s="113" t="n"/>
      <c r="P1101" s="398" t="n"/>
      <c r="Q1101" s="398" t="n"/>
      <c r="R1101" s="113" t="n"/>
      <c r="S1101" s="113" t="n"/>
      <c r="T1101" s="113" t="n"/>
      <c r="U1101" s="113" t="n"/>
      <c r="V1101" s="113" t="n"/>
    </row>
    <row r="1102" ht="15.75" customHeight="1">
      <c r="A1102" s="146" t="n">
        <v>20</v>
      </c>
      <c r="B1102" s="238" t="n"/>
      <c r="C1102" s="399" t="n">
        <v>45937</v>
      </c>
      <c r="D1102" s="146" t="inlineStr">
        <is>
          <t>219 G. SAN JOSE 2</t>
        </is>
      </c>
      <c r="E1102" s="146" t="n">
        <v>43701</v>
      </c>
      <c r="F1102" s="146" t="inlineStr">
        <is>
          <t>FABIO ALDANA</t>
        </is>
      </c>
      <c r="G1102" s="395" t="n">
        <v>3100</v>
      </c>
      <c r="H1102" s="395" t="n">
        <v>3095</v>
      </c>
      <c r="I1102" s="395" t="n">
        <v>2</v>
      </c>
      <c r="J1102" s="395" t="n">
        <v>3</v>
      </c>
      <c r="K1102" s="395" t="n">
        <v>0</v>
      </c>
      <c r="L1102" s="397" t="n">
        <v>3100</v>
      </c>
      <c r="M1102" s="113" t="n"/>
      <c r="N1102" s="113" t="n"/>
      <c r="O1102" s="113" t="n"/>
      <c r="P1102" s="398" t="n"/>
      <c r="Q1102" s="398" t="n"/>
      <c r="R1102" s="113" t="n"/>
      <c r="S1102" s="113" t="n"/>
      <c r="T1102" s="113" t="n"/>
      <c r="U1102" s="113" t="n"/>
      <c r="V1102" s="113" t="n"/>
    </row>
    <row r="1103" ht="15.75" customHeight="1">
      <c r="A1103" s="146" t="n">
        <v>20</v>
      </c>
      <c r="B1103" s="238" t="n"/>
      <c r="C1103" s="399" t="n">
        <v>45937</v>
      </c>
      <c r="D1103" s="146" t="inlineStr">
        <is>
          <t>219 G. SAN JOSE 2</t>
        </is>
      </c>
      <c r="E1103" s="146" t="n">
        <v>43702</v>
      </c>
      <c r="F1103" s="146" t="inlineStr">
        <is>
          <t>ALEX GOMEZ</t>
        </is>
      </c>
      <c r="G1103" s="395" t="n">
        <v>3250</v>
      </c>
      <c r="H1103" s="395" t="n">
        <v>3244</v>
      </c>
      <c r="I1103" s="395" t="n">
        <v>2</v>
      </c>
      <c r="J1103" s="395" t="n">
        <v>4</v>
      </c>
      <c r="K1103" s="395" t="n">
        <v>0</v>
      </c>
      <c r="L1103" s="397" t="n">
        <v>3250</v>
      </c>
      <c r="M1103" s="113" t="n"/>
      <c r="N1103" s="113" t="n"/>
      <c r="O1103" s="113" t="n"/>
      <c r="P1103" s="398" t="n"/>
      <c r="Q1103" s="398" t="n"/>
      <c r="R1103" s="113" t="n"/>
      <c r="S1103" s="113" t="n"/>
      <c r="T1103" s="113" t="n"/>
      <c r="U1103" s="113" t="n"/>
      <c r="V1103" s="113" t="n"/>
    </row>
    <row r="1104" ht="15.75" customHeight="1">
      <c r="A1104" s="146" t="n">
        <v>20</v>
      </c>
      <c r="B1104" s="238" t="n"/>
      <c r="C1104" s="399" t="n">
        <v>45937</v>
      </c>
      <c r="D1104" s="146" t="inlineStr">
        <is>
          <t>219 G. SAN JOSE 2</t>
        </is>
      </c>
      <c r="E1104" s="146" t="n">
        <v>43703</v>
      </c>
      <c r="F1104" s="146" t="inlineStr">
        <is>
          <t>YAIR RIVEROS</t>
        </is>
      </c>
      <c r="G1104" s="395" t="n">
        <v>3250</v>
      </c>
      <c r="H1104" s="395" t="n">
        <v>3243</v>
      </c>
      <c r="I1104" s="395" t="n">
        <v>3</v>
      </c>
      <c r="J1104" s="395" t="n">
        <v>4</v>
      </c>
      <c r="K1104" s="395" t="n">
        <v>0</v>
      </c>
      <c r="L1104" s="397" t="n">
        <v>3250</v>
      </c>
      <c r="M1104" s="113" t="n"/>
      <c r="N1104" s="113" t="n"/>
      <c r="O1104" s="113" t="n"/>
      <c r="P1104" s="398" t="n"/>
      <c r="Q1104" s="398" t="n"/>
      <c r="R1104" s="113" t="n"/>
      <c r="S1104" s="113" t="n"/>
      <c r="T1104" s="113" t="n"/>
      <c r="U1104" s="113" t="n"/>
      <c r="V1104" s="113" t="n"/>
    </row>
    <row r="1105" ht="15.75" customHeight="1">
      <c r="A1105" s="146" t="n">
        <v>20</v>
      </c>
      <c r="B1105" s="238" t="n"/>
      <c r="C1105" s="399" t="n">
        <v>45937</v>
      </c>
      <c r="D1105" s="146" t="inlineStr">
        <is>
          <t>219 G. SAN JOSE 2</t>
        </is>
      </c>
      <c r="E1105" s="146" t="n">
        <v>43704</v>
      </c>
      <c r="F1105" s="146" t="inlineStr">
        <is>
          <t>ALBERTO HERRERA</t>
        </is>
      </c>
      <c r="G1105" s="395" t="n">
        <v>2875</v>
      </c>
      <c r="H1105" s="395" t="n">
        <v>2870</v>
      </c>
      <c r="I1105" s="395" t="n">
        <v>3</v>
      </c>
      <c r="J1105" s="395" t="n">
        <v>2</v>
      </c>
      <c r="K1105" s="395" t="n">
        <v>0</v>
      </c>
      <c r="L1105" s="397" t="n">
        <v>2875</v>
      </c>
      <c r="M1105" s="113" t="n"/>
      <c r="N1105" s="113" t="n"/>
      <c r="O1105" s="113" t="n"/>
      <c r="P1105" s="398" t="n"/>
      <c r="Q1105" s="398" t="n"/>
      <c r="R1105" s="113" t="n"/>
      <c r="S1105" s="113" t="n"/>
      <c r="T1105" s="113" t="n"/>
      <c r="U1105" s="113" t="n"/>
      <c r="V1105" s="113" t="n"/>
    </row>
    <row r="1106" ht="15.75" customHeight="1">
      <c r="A1106" s="146" t="n">
        <v>20</v>
      </c>
      <c r="B1106" s="238" t="n"/>
      <c r="C1106" s="399" t="n">
        <v>45937</v>
      </c>
      <c r="D1106" s="146" t="inlineStr">
        <is>
          <t>219 G. SAN JOSE 2</t>
        </is>
      </c>
      <c r="E1106" s="146" t="n">
        <v>43705</v>
      </c>
      <c r="F1106" s="146" t="inlineStr">
        <is>
          <t>ROBINSON PULIDO</t>
        </is>
      </c>
      <c r="G1106" s="395" t="n">
        <v>2520</v>
      </c>
      <c r="H1106" s="395" t="n">
        <v>2517</v>
      </c>
      <c r="I1106" s="395" t="n">
        <v>2</v>
      </c>
      <c r="J1106" s="395" t="n">
        <v>1</v>
      </c>
      <c r="K1106" s="395" t="n">
        <v>0</v>
      </c>
      <c r="L1106" s="397" t="n">
        <v>2520</v>
      </c>
      <c r="M1106" s="113" t="n"/>
      <c r="N1106" s="113" t="n"/>
      <c r="O1106" s="113" t="n"/>
      <c r="P1106" s="398" t="n"/>
      <c r="Q1106" s="398" t="n"/>
      <c r="R1106" s="113" t="n"/>
      <c r="S1106" s="113" t="n"/>
      <c r="T1106" s="113" t="n"/>
      <c r="U1106" s="113" t="n"/>
      <c r="V1106" s="113" t="n"/>
    </row>
    <row r="1107" ht="15.75" customHeight="1">
      <c r="A1107" s="146" t="n">
        <v>20</v>
      </c>
      <c r="B1107" s="238" t="n"/>
      <c r="C1107" s="399" t="n">
        <v>45937</v>
      </c>
      <c r="D1107" s="146" t="inlineStr">
        <is>
          <t>219 G. SAN JOSE 2</t>
        </is>
      </c>
      <c r="E1107" s="146" t="n">
        <v>43706</v>
      </c>
      <c r="F1107" s="146" t="inlineStr">
        <is>
          <t>JAIRO CUBILLOS</t>
        </is>
      </c>
      <c r="G1107" s="395" t="n">
        <v>2500</v>
      </c>
      <c r="H1107" s="395" t="n">
        <v>2494</v>
      </c>
      <c r="I1107" s="395" t="n">
        <v>3</v>
      </c>
      <c r="J1107" s="395" t="n">
        <v>3</v>
      </c>
      <c r="K1107" s="395" t="n">
        <v>0</v>
      </c>
      <c r="L1107" s="397" t="n">
        <v>2500</v>
      </c>
      <c r="M1107" s="113" t="n"/>
      <c r="N1107" s="113" t="n"/>
      <c r="O1107" s="113" t="n"/>
      <c r="P1107" s="398" t="n"/>
      <c r="Q1107" s="398" t="n"/>
      <c r="R1107" s="113" t="n"/>
      <c r="S1107" s="113" t="n"/>
      <c r="T1107" s="113" t="n"/>
      <c r="U1107" s="113" t="n"/>
      <c r="V1107" s="113" t="n"/>
    </row>
    <row r="1108" ht="15.75" customHeight="1">
      <c r="A1108" s="146" t="n">
        <v>20</v>
      </c>
      <c r="B1108" s="238" t="n"/>
      <c r="C1108" s="399" t="n">
        <v>45937</v>
      </c>
      <c r="D1108" s="146" t="inlineStr">
        <is>
          <t>219 G. SAN JOSE 2</t>
        </is>
      </c>
      <c r="E1108" s="146" t="n">
        <v>43711</v>
      </c>
      <c r="F1108" s="146" t="inlineStr">
        <is>
          <t>HENRY ROMERO</t>
        </is>
      </c>
      <c r="G1108" s="395" t="n">
        <v>2748</v>
      </c>
      <c r="H1108" s="395" t="n">
        <v>2708</v>
      </c>
      <c r="I1108" s="395" t="n">
        <v>6</v>
      </c>
      <c r="J1108" s="395" t="n">
        <v>12</v>
      </c>
      <c r="K1108" s="395" t="n">
        <v>-22</v>
      </c>
      <c r="L1108" s="397" t="n">
        <v>2748</v>
      </c>
      <c r="M1108" s="113" t="n"/>
      <c r="N1108" s="113" t="n"/>
      <c r="O1108" s="113" t="n"/>
      <c r="P1108" s="398" t="n"/>
      <c r="Q1108" s="398" t="n"/>
      <c r="R1108" s="113" t="n"/>
      <c r="S1108" s="113" t="n"/>
      <c r="T1108" s="113" t="n"/>
      <c r="U1108" s="113" t="n"/>
      <c r="V1108" s="113" t="n"/>
    </row>
    <row r="1109" ht="15.75" customHeight="1">
      <c r="A1109" s="146" t="n">
        <v>20</v>
      </c>
      <c r="B1109" s="238" t="n"/>
      <c r="C1109" s="164" t="n">
        <v>45938</v>
      </c>
      <c r="D1109" s="166" t="inlineStr">
        <is>
          <t xml:space="preserve">202 G. HUERTAS </t>
        </is>
      </c>
      <c r="E1109" s="166" t="n">
        <v>43717</v>
      </c>
      <c r="F1109" s="166" t="inlineStr">
        <is>
          <t>EDUAN CAVIEDES</t>
        </is>
      </c>
      <c r="G1109" s="166" t="n">
        <v>3300</v>
      </c>
      <c r="H1109" s="166" t="n">
        <v>3286</v>
      </c>
      <c r="I1109" s="166" t="n">
        <v>6</v>
      </c>
      <c r="J1109" s="166" t="n">
        <v>5</v>
      </c>
      <c r="K1109" s="166" t="n">
        <v>-3</v>
      </c>
      <c r="L1109" s="397" t="n">
        <v>3300</v>
      </c>
      <c r="M1109" s="113" t="n"/>
      <c r="N1109" s="113" t="n"/>
      <c r="O1109" s="113" t="n"/>
      <c r="P1109" s="398" t="n"/>
      <c r="Q1109" s="398" t="n"/>
      <c r="R1109" s="113" t="n"/>
      <c r="S1109" s="113" t="n"/>
      <c r="T1109" s="113" t="n"/>
      <c r="U1109" s="113" t="n"/>
      <c r="V1109" s="113" t="n"/>
    </row>
    <row r="1110" ht="15.75" customHeight="1">
      <c r="A1110" s="146" t="n">
        <v>20</v>
      </c>
      <c r="B1110" s="238" t="n"/>
      <c r="C1110" s="164" t="n">
        <v>45938</v>
      </c>
      <c r="D1110" s="166" t="inlineStr">
        <is>
          <t xml:space="preserve">202 G. HUERTAS </t>
        </is>
      </c>
      <c r="E1110" s="166" t="n">
        <v>43718</v>
      </c>
      <c r="F1110" s="166" t="inlineStr">
        <is>
          <t>ALBERTO LOPEZ</t>
        </is>
      </c>
      <c r="G1110" s="166" t="n">
        <v>3300</v>
      </c>
      <c r="H1110" s="166" t="n">
        <v>3286</v>
      </c>
      <c r="I1110" s="166" t="n">
        <v>5</v>
      </c>
      <c r="J1110" s="166" t="n">
        <v>7</v>
      </c>
      <c r="K1110" s="166" t="n">
        <v>-2</v>
      </c>
      <c r="L1110" s="397" t="n">
        <v>3300</v>
      </c>
      <c r="M1110" s="113" t="n"/>
      <c r="N1110" s="113" t="n"/>
      <c r="O1110" s="113" t="n"/>
      <c r="P1110" s="398" t="n"/>
      <c r="Q1110" s="398" t="n"/>
      <c r="R1110" s="113" t="n"/>
      <c r="S1110" s="113" t="n"/>
      <c r="T1110" s="113" t="n"/>
      <c r="U1110" s="113" t="n"/>
      <c r="V1110" s="113" t="n"/>
    </row>
    <row r="1111" ht="15.75" customHeight="1">
      <c r="A1111" s="146" t="n">
        <v>20</v>
      </c>
      <c r="B1111" s="238" t="n"/>
      <c r="C1111" s="164" t="n">
        <v>45938</v>
      </c>
      <c r="D1111" s="166" t="inlineStr">
        <is>
          <t xml:space="preserve">202 G. HUERTAS </t>
        </is>
      </c>
      <c r="E1111" s="166" t="n">
        <v>43719</v>
      </c>
      <c r="F1111" s="166" t="inlineStr">
        <is>
          <t>WILMER PIÑEROS</t>
        </is>
      </c>
      <c r="G1111" s="166" t="n">
        <v>2836</v>
      </c>
      <c r="H1111" s="166" t="n">
        <v>2808</v>
      </c>
      <c r="I1111" s="166" t="n">
        <v>5</v>
      </c>
      <c r="J1111" s="166" t="n">
        <v>7</v>
      </c>
      <c r="K1111" s="166" t="n">
        <v>-16</v>
      </c>
      <c r="L1111" s="397" t="n">
        <v>2836</v>
      </c>
      <c r="M1111" s="113" t="n"/>
      <c r="N1111" s="113" t="n"/>
      <c r="O1111" s="113" t="n"/>
      <c r="P1111" s="398" t="n"/>
      <c r="Q1111" s="398" t="n"/>
      <c r="R1111" s="113" t="n"/>
      <c r="S1111" s="113" t="n"/>
      <c r="T1111" s="113" t="n"/>
      <c r="U1111" s="113" t="n"/>
      <c r="V1111" s="113" t="n"/>
    </row>
    <row r="1112" ht="15.75" customHeight="1">
      <c r="A1112" s="146" t="n">
        <v>20</v>
      </c>
      <c r="B1112" s="238" t="n"/>
      <c r="C1112" s="164" t="n">
        <v>45938</v>
      </c>
      <c r="D1112" s="166" t="inlineStr">
        <is>
          <t xml:space="preserve">202 G. HUERTAS </t>
        </is>
      </c>
      <c r="E1112" s="166" t="n">
        <v>43720</v>
      </c>
      <c r="F1112" s="166" t="inlineStr">
        <is>
          <t>JAIRO CUBILLOS</t>
        </is>
      </c>
      <c r="G1112" s="166" t="n">
        <v>2836</v>
      </c>
      <c r="H1112" s="166" t="n">
        <v>2812</v>
      </c>
      <c r="I1112" s="166" t="n">
        <v>6</v>
      </c>
      <c r="J1112" s="166" t="n">
        <v>9</v>
      </c>
      <c r="K1112" s="166" t="n">
        <v>-9</v>
      </c>
      <c r="L1112" s="397" t="n">
        <v>2826</v>
      </c>
      <c r="M1112" s="113" t="n"/>
      <c r="N1112" s="113" t="n"/>
      <c r="O1112" s="113" t="n"/>
      <c r="P1112" s="398" t="n"/>
      <c r="Q1112" s="398" t="n"/>
      <c r="R1112" s="113" t="n"/>
      <c r="S1112" s="113" t="n"/>
      <c r="T1112" s="113" t="n"/>
      <c r="U1112" s="113" t="n"/>
      <c r="V1112" s="113" t="n"/>
    </row>
    <row r="1113" ht="15.75" customHeight="1">
      <c r="A1113" s="146" t="n">
        <v>20</v>
      </c>
      <c r="B1113" s="238" t="n"/>
      <c r="C1113" s="164" t="n">
        <v>45938</v>
      </c>
      <c r="D1113" s="166" t="inlineStr">
        <is>
          <t xml:space="preserve">202 G. HUERTAS </t>
        </is>
      </c>
      <c r="E1113" s="166" t="n">
        <v>43721</v>
      </c>
      <c r="F1113" s="166" t="inlineStr">
        <is>
          <t>EDWIN ROJAS</t>
        </is>
      </c>
      <c r="G1113" s="166" t="n">
        <v>2836</v>
      </c>
      <c r="H1113" s="166" t="n">
        <v>2807</v>
      </c>
      <c r="I1113" s="166" t="n">
        <v>4</v>
      </c>
      <c r="J1113" s="166" t="n">
        <v>13</v>
      </c>
      <c r="K1113" s="166" t="n">
        <v>-12</v>
      </c>
      <c r="L1113" s="397" t="n">
        <v>2826</v>
      </c>
      <c r="M1113" s="113" t="n"/>
      <c r="N1113" s="113" t="n"/>
      <c r="O1113" s="113" t="n"/>
      <c r="P1113" s="398" t="n"/>
      <c r="Q1113" s="398" t="n"/>
      <c r="R1113" s="113" t="n"/>
      <c r="S1113" s="113" t="n"/>
      <c r="T1113" s="113" t="n"/>
      <c r="U1113" s="113" t="n"/>
      <c r="V1113" s="113" t="n"/>
    </row>
    <row r="1114" ht="15.75" customHeight="1">
      <c r="A1114" s="146" t="n">
        <v>20</v>
      </c>
      <c r="B1114" s="238" t="n"/>
      <c r="C1114" s="164" t="n">
        <v>45938</v>
      </c>
      <c r="D1114" s="166" t="inlineStr">
        <is>
          <t xml:space="preserve">202 G. HUERTAS </t>
        </is>
      </c>
      <c r="E1114" s="166" t="n">
        <v>43722</v>
      </c>
      <c r="F1114" s="166" t="inlineStr">
        <is>
          <t>DUMAR ANGARITA</t>
        </is>
      </c>
      <c r="G1114" s="166" t="n">
        <v>2620</v>
      </c>
      <c r="H1114" s="166" t="n">
        <v>2605</v>
      </c>
      <c r="I1114" s="166" t="n">
        <v>7</v>
      </c>
      <c r="J1114" s="166" t="n">
        <v>2</v>
      </c>
      <c r="K1114" s="166" t="n">
        <v>-6</v>
      </c>
      <c r="L1114" s="397" t="n">
        <v>2628</v>
      </c>
      <c r="M1114" s="113" t="n"/>
      <c r="N1114" s="113" t="n"/>
      <c r="O1114" s="113" t="n"/>
      <c r="P1114" s="398" t="n"/>
      <c r="Q1114" s="398" t="n"/>
      <c r="R1114" s="113" t="n"/>
      <c r="S1114" s="113" t="n"/>
      <c r="T1114" s="113" t="n"/>
      <c r="U1114" s="113" t="n"/>
      <c r="V1114" s="113" t="n"/>
    </row>
    <row r="1115" ht="15.75" customHeight="1">
      <c r="A1115" s="146" t="n">
        <v>20</v>
      </c>
      <c r="B1115" s="238" t="n"/>
      <c r="C1115" s="164" t="n">
        <v>45938</v>
      </c>
      <c r="D1115" s="166" t="inlineStr">
        <is>
          <t xml:space="preserve">202 G. HUERTAS </t>
        </is>
      </c>
      <c r="E1115" s="166" t="n">
        <v>43723</v>
      </c>
      <c r="F1115" s="166" t="inlineStr">
        <is>
          <t>JOSE SOLER</t>
        </is>
      </c>
      <c r="G1115" s="166" t="n">
        <v>3240</v>
      </c>
      <c r="H1115" s="166" t="n">
        <v>3221</v>
      </c>
      <c r="I1115" s="166" t="n">
        <v>5</v>
      </c>
      <c r="J1115" s="166" t="n">
        <v>2</v>
      </c>
      <c r="K1115" s="166" t="n">
        <v>-12</v>
      </c>
      <c r="L1115" s="397" t="n">
        <v>3240</v>
      </c>
      <c r="M1115" s="113" t="n"/>
      <c r="N1115" s="113" t="n"/>
      <c r="O1115" s="113" t="n"/>
      <c r="P1115" s="398" t="n"/>
      <c r="Q1115" s="398" t="n"/>
      <c r="R1115" s="113" t="n"/>
      <c r="S1115" s="113" t="n"/>
      <c r="T1115" s="113" t="n"/>
      <c r="U1115" s="113" t="n"/>
      <c r="V1115" s="113" t="n"/>
    </row>
    <row r="1116" ht="15.75" customHeight="1">
      <c r="A1116" s="146" t="n">
        <v>20</v>
      </c>
      <c r="B1116" s="238" t="n"/>
      <c r="C1116" s="164" t="n">
        <v>45938</v>
      </c>
      <c r="D1116" s="166" t="inlineStr">
        <is>
          <t xml:space="preserve">202 G. HUERTAS </t>
        </is>
      </c>
      <c r="E1116" s="166" t="n">
        <v>43731</v>
      </c>
      <c r="F1116" s="166" t="inlineStr">
        <is>
          <t>FABIO ALDANA</t>
        </is>
      </c>
      <c r="G1116" s="166" t="n">
        <v>3240</v>
      </c>
      <c r="H1116" s="166" t="n">
        <v>3225</v>
      </c>
      <c r="I1116" s="166" t="n">
        <v>12</v>
      </c>
      <c r="J1116" s="166" t="n">
        <v>2</v>
      </c>
      <c r="K1116" s="166" t="n">
        <v>-1</v>
      </c>
      <c r="L1116" s="397" t="n">
        <v>3240</v>
      </c>
      <c r="M1116" s="113" t="n"/>
      <c r="N1116" s="113" t="n"/>
      <c r="O1116" s="113" t="n"/>
      <c r="P1116" s="398" t="n"/>
      <c r="Q1116" s="398" t="n"/>
      <c r="R1116" s="113" t="n"/>
      <c r="S1116" s="113" t="n"/>
      <c r="T1116" s="113" t="n"/>
      <c r="U1116" s="113" t="n"/>
      <c r="V1116" s="113" t="n"/>
    </row>
    <row r="1117" ht="15.75" customHeight="1">
      <c r="A1117" s="146" t="n">
        <v>20</v>
      </c>
      <c r="B1117" s="238" t="n"/>
      <c r="C1117" s="164" t="n">
        <v>45938</v>
      </c>
      <c r="D1117" s="166" t="inlineStr">
        <is>
          <t xml:space="preserve">202 G. HUERTAS </t>
        </is>
      </c>
      <c r="E1117" s="166" t="n">
        <v>43732</v>
      </c>
      <c r="F1117" s="166" t="inlineStr">
        <is>
          <t>ALBERTO HERRERA</t>
        </is>
      </c>
      <c r="G1117" s="166" t="n">
        <v>2916</v>
      </c>
      <c r="H1117" s="166" t="n">
        <v>2895</v>
      </c>
      <c r="I1117" s="166" t="n">
        <v>10</v>
      </c>
      <c r="J1117" s="166" t="n">
        <v>6</v>
      </c>
      <c r="K1117" s="166" t="n">
        <v>-5</v>
      </c>
      <c r="L1117" s="397" t="n">
        <v>2916</v>
      </c>
      <c r="M1117" s="113" t="n"/>
      <c r="N1117" s="113" t="n"/>
      <c r="O1117" s="113" t="n"/>
      <c r="P1117" s="398" t="n"/>
      <c r="Q1117" s="398" t="n"/>
      <c r="R1117" s="113" t="n"/>
      <c r="S1117" s="113" t="n"/>
      <c r="T1117" s="113" t="n"/>
      <c r="U1117" s="113" t="n"/>
      <c r="V1117" s="113" t="n"/>
    </row>
    <row r="1118" ht="15.75" customHeight="1">
      <c r="A1118" s="146" t="n">
        <v>20</v>
      </c>
      <c r="B1118" s="238" t="n"/>
      <c r="C1118" s="399" t="n">
        <v>45938</v>
      </c>
      <c r="D1118" s="146" t="inlineStr">
        <is>
          <t>218 G. SAN JOSE 1</t>
        </is>
      </c>
      <c r="E1118" s="146" t="n">
        <v>43733</v>
      </c>
      <c r="F1118" s="146" t="inlineStr">
        <is>
          <t>ALBERTO LOPEZ</t>
        </is>
      </c>
      <c r="G1118" s="395" t="n">
        <v>3006</v>
      </c>
      <c r="H1118" s="395" t="n">
        <v>2975</v>
      </c>
      <c r="I1118" s="395" t="n">
        <v>7</v>
      </c>
      <c r="J1118" s="395" t="n">
        <v>17</v>
      </c>
      <c r="K1118" s="395" t="n">
        <v>-7</v>
      </c>
      <c r="L1118" s="397" t="n">
        <v>3006</v>
      </c>
      <c r="M1118" s="113" t="n"/>
      <c r="N1118" s="113" t="n"/>
      <c r="O1118" s="113" t="n"/>
      <c r="P1118" s="398" t="n"/>
      <c r="Q1118" s="398" t="n"/>
      <c r="R1118" s="113" t="n"/>
      <c r="S1118" s="113" t="n"/>
      <c r="T1118" s="113" t="n"/>
      <c r="U1118" s="113" t="n"/>
      <c r="V1118" s="113" t="n"/>
    </row>
    <row r="1119" ht="15.75" customHeight="1">
      <c r="A1119" s="146" t="n">
        <v>20</v>
      </c>
      <c r="B1119" s="238" t="n"/>
      <c r="C1119" s="399" t="n">
        <v>45938</v>
      </c>
      <c r="D1119" s="146" t="inlineStr">
        <is>
          <t>218 G. SAN JOSE 1</t>
        </is>
      </c>
      <c r="E1119" s="146" t="n">
        <v>43734</v>
      </c>
      <c r="F1119" s="146" t="inlineStr">
        <is>
          <t>JAIRO CUBILLOS</t>
        </is>
      </c>
      <c r="G1119" s="395" t="n">
        <v>3006</v>
      </c>
      <c r="H1119" s="395" t="n">
        <v>2973</v>
      </c>
      <c r="I1119" s="395" t="n">
        <v>8</v>
      </c>
      <c r="J1119" s="395" t="n">
        <v>17</v>
      </c>
      <c r="K1119" s="395" t="n">
        <v>-8</v>
      </c>
      <c r="L1119" s="397" t="n">
        <v>3006</v>
      </c>
      <c r="M1119" s="113" t="n"/>
      <c r="N1119" s="113" t="n"/>
      <c r="O1119" s="113" t="n"/>
      <c r="P1119" s="398" t="n"/>
      <c r="Q1119" s="398" t="n"/>
      <c r="R1119" s="113" t="n"/>
      <c r="S1119" s="113" t="n"/>
      <c r="T1119" s="113" t="n"/>
      <c r="U1119" s="113" t="n"/>
      <c r="V1119" s="113" t="n"/>
    </row>
    <row r="1120" ht="15.75" customHeight="1">
      <c r="A1120" s="146" t="n">
        <v>20</v>
      </c>
      <c r="B1120" s="238" t="n"/>
      <c r="C1120" s="399" t="n">
        <v>45938</v>
      </c>
      <c r="D1120" s="146" t="inlineStr">
        <is>
          <t>218 G. SAN JOSE 1</t>
        </is>
      </c>
      <c r="E1120" s="146" t="n">
        <v>43735</v>
      </c>
      <c r="F1120" s="146" t="inlineStr">
        <is>
          <t>DUMAR ANGARITA</t>
        </is>
      </c>
      <c r="G1120" s="395" t="n">
        <v>3006</v>
      </c>
      <c r="H1120" s="395" t="n">
        <v>2988</v>
      </c>
      <c r="I1120" s="395" t="n">
        <v>7</v>
      </c>
      <c r="J1120" s="395" t="n">
        <v>7</v>
      </c>
      <c r="K1120" s="395" t="n">
        <v>-4</v>
      </c>
      <c r="L1120" s="397" t="n">
        <v>3006</v>
      </c>
      <c r="M1120" s="113" t="n"/>
      <c r="N1120" s="113" t="n"/>
      <c r="O1120" s="113" t="n"/>
      <c r="P1120" s="398" t="n"/>
      <c r="Q1120" s="398" t="n"/>
      <c r="R1120" s="113" t="n"/>
      <c r="S1120" s="113" t="n"/>
      <c r="T1120" s="113" t="n"/>
      <c r="U1120" s="113" t="n"/>
      <c r="V1120" s="113" t="n"/>
    </row>
    <row r="1121" ht="15.75" customHeight="1">
      <c r="A1121" s="146" t="n">
        <v>20</v>
      </c>
      <c r="B1121" s="238" t="n"/>
      <c r="C1121" s="399" t="n">
        <v>45938</v>
      </c>
      <c r="D1121" s="146" t="inlineStr">
        <is>
          <t>218 G. SAN JOSE 1</t>
        </is>
      </c>
      <c r="E1121" s="146" t="n">
        <v>43736</v>
      </c>
      <c r="F1121" s="146" t="inlineStr">
        <is>
          <t>JHON ARIAS</t>
        </is>
      </c>
      <c r="G1121" s="395" t="n">
        <v>3093</v>
      </c>
      <c r="H1121" s="395" t="n">
        <v>3071</v>
      </c>
      <c r="I1121" s="395" t="n">
        <v>8</v>
      </c>
      <c r="J1121" s="395" t="n">
        <v>7</v>
      </c>
      <c r="K1121" s="395" t="n">
        <v>-7</v>
      </c>
      <c r="L1121" s="397" t="n">
        <v>3093</v>
      </c>
      <c r="M1121" s="113" t="n"/>
      <c r="N1121" s="113" t="n"/>
      <c r="O1121" s="113" t="n"/>
      <c r="P1121" s="398" t="n"/>
      <c r="Q1121" s="398" t="n"/>
      <c r="R1121" s="113" t="n"/>
      <c r="S1121" s="113" t="n"/>
      <c r="T1121" s="113" t="n"/>
      <c r="U1121" s="113" t="n"/>
      <c r="V1121" s="113" t="n"/>
    </row>
    <row r="1122" ht="15.75" customHeight="1">
      <c r="A1122" s="146" t="n">
        <v>20</v>
      </c>
      <c r="B1122" s="238" t="n"/>
      <c r="C1122" s="399" t="n">
        <v>45938</v>
      </c>
      <c r="D1122" s="146" t="inlineStr">
        <is>
          <t>218 G. SAN JOSE 1</t>
        </is>
      </c>
      <c r="E1122" s="146" t="n">
        <v>43737</v>
      </c>
      <c r="F1122" s="146" t="inlineStr">
        <is>
          <t>ALEXANDER CHAGUALA</t>
        </is>
      </c>
      <c r="G1122" s="395" t="n">
        <v>3093</v>
      </c>
      <c r="H1122" s="395" t="n">
        <v>3071</v>
      </c>
      <c r="I1122" s="395" t="n">
        <v>6</v>
      </c>
      <c r="J1122" s="395" t="n">
        <v>9</v>
      </c>
      <c r="K1122" s="395" t="n">
        <v>-7</v>
      </c>
      <c r="L1122" s="397" t="n">
        <v>3093</v>
      </c>
      <c r="M1122" s="113" t="n"/>
      <c r="N1122" s="113" t="n"/>
      <c r="O1122" s="113" t="n"/>
      <c r="P1122" s="398" t="n"/>
      <c r="Q1122" s="398" t="n"/>
      <c r="R1122" s="113" t="n"/>
      <c r="S1122" s="113" t="n"/>
      <c r="T1122" s="113" t="n"/>
      <c r="U1122" s="113" t="n"/>
      <c r="V1122" s="113" t="n"/>
    </row>
    <row r="1123" ht="15.75" customHeight="1">
      <c r="A1123" s="146" t="n">
        <v>20</v>
      </c>
      <c r="B1123" s="238" t="n"/>
      <c r="C1123" s="399" t="n">
        <v>45938</v>
      </c>
      <c r="D1123" s="146" t="inlineStr">
        <is>
          <t>218 G. SAN JOSE 1</t>
        </is>
      </c>
      <c r="E1123" s="146" t="n">
        <v>43738</v>
      </c>
      <c r="F1123" s="146" t="inlineStr">
        <is>
          <t>HENRY ROMERO</t>
        </is>
      </c>
      <c r="G1123" s="395" t="n">
        <v>3093</v>
      </c>
      <c r="H1123" s="395" t="n">
        <v>3088</v>
      </c>
      <c r="I1123" s="395" t="n">
        <v>4</v>
      </c>
      <c r="J1123" s="395" t="n">
        <v>10</v>
      </c>
      <c r="K1123" s="395" t="n">
        <v>9</v>
      </c>
      <c r="L1123" s="397" t="n">
        <v>3093</v>
      </c>
      <c r="M1123" s="113" t="n"/>
      <c r="N1123" s="113" t="n"/>
      <c r="O1123" s="113" t="n"/>
      <c r="P1123" s="398" t="n"/>
      <c r="Q1123" s="398" t="n"/>
      <c r="R1123" s="113" t="n"/>
      <c r="S1123" s="113" t="n"/>
      <c r="T1123" s="113" t="n"/>
      <c r="U1123" s="113" t="n"/>
      <c r="V1123" s="113" t="n"/>
    </row>
    <row r="1124" ht="15.75" customHeight="1">
      <c r="A1124" s="146" t="n">
        <v>20</v>
      </c>
      <c r="B1124" s="238" t="n"/>
      <c r="C1124" s="164" t="n">
        <v>45939</v>
      </c>
      <c r="D1124" s="166" t="inlineStr">
        <is>
          <t>202 G. HUERTAS</t>
        </is>
      </c>
      <c r="E1124" s="166" t="n">
        <v>43746</v>
      </c>
      <c r="F1124" s="166" t="inlineStr">
        <is>
          <t>HENRY ROMERO</t>
        </is>
      </c>
      <c r="G1124" s="166" t="n">
        <v>3240</v>
      </c>
      <c r="H1124" s="166" t="n">
        <v>3236</v>
      </c>
      <c r="I1124" s="166" t="n">
        <v>2</v>
      </c>
      <c r="J1124" s="166" t="n">
        <v>2</v>
      </c>
      <c r="K1124" s="166" t="n">
        <v>0</v>
      </c>
      <c r="L1124" s="397" t="n">
        <v>3240</v>
      </c>
      <c r="M1124" s="113" t="n"/>
      <c r="N1124" s="113" t="n"/>
      <c r="O1124" s="113" t="n"/>
      <c r="P1124" s="398" t="n"/>
      <c r="Q1124" s="398" t="n"/>
      <c r="R1124" s="113" t="n"/>
      <c r="S1124" s="113" t="n"/>
      <c r="T1124" s="113" t="n"/>
      <c r="U1124" s="113" t="n"/>
      <c r="V1124" s="113" t="n"/>
    </row>
    <row r="1125" ht="15.75" customHeight="1">
      <c r="A1125" s="146" t="n">
        <v>20</v>
      </c>
      <c r="B1125" s="238" t="n"/>
      <c r="C1125" s="164" t="n">
        <v>45939</v>
      </c>
      <c r="D1125" s="165" t="inlineStr">
        <is>
          <t>202 G. HUERTAS</t>
        </is>
      </c>
      <c r="E1125" s="165" t="n">
        <v>43747</v>
      </c>
      <c r="F1125" s="165" t="inlineStr">
        <is>
          <t>ROBINSON PULIDO</t>
        </is>
      </c>
      <c r="G1125" s="165" t="n">
        <v>3240</v>
      </c>
      <c r="H1125" s="165" t="n">
        <v>3231</v>
      </c>
      <c r="I1125" s="165" t="n">
        <v>3</v>
      </c>
      <c r="J1125" s="165" t="n">
        <v>4</v>
      </c>
      <c r="K1125" s="165" t="n">
        <v>-2</v>
      </c>
      <c r="L1125" s="397" t="n">
        <v>3240</v>
      </c>
      <c r="M1125" s="113" t="n"/>
      <c r="N1125" s="113" t="n"/>
      <c r="O1125" s="113" t="n"/>
      <c r="P1125" s="398" t="n"/>
      <c r="Q1125" s="398" t="n"/>
      <c r="R1125" s="113" t="n"/>
      <c r="S1125" s="113" t="n"/>
      <c r="T1125" s="113" t="n"/>
      <c r="U1125" s="113" t="n"/>
      <c r="V1125" s="113" t="n"/>
    </row>
    <row r="1126" ht="15.75" customHeight="1">
      <c r="A1126" s="146" t="n">
        <v>20</v>
      </c>
      <c r="B1126" s="238" t="n"/>
      <c r="C1126" s="164" t="n">
        <v>45939</v>
      </c>
      <c r="D1126" s="165" t="inlineStr">
        <is>
          <t>202 G. HUERTAS</t>
        </is>
      </c>
      <c r="E1126" s="165" t="n">
        <v>43748</v>
      </c>
      <c r="F1126" s="165" t="inlineStr">
        <is>
          <t>JAIRO CUBILLOS</t>
        </is>
      </c>
      <c r="G1126" s="165" t="n">
        <v>3240</v>
      </c>
      <c r="H1126" s="165" t="n">
        <v>3236</v>
      </c>
      <c r="I1126" s="165" t="n">
        <v>2</v>
      </c>
      <c r="J1126" s="165" t="n">
        <v>2</v>
      </c>
      <c r="K1126" s="165" t="n">
        <v>0</v>
      </c>
      <c r="L1126" s="397" t="n">
        <v>3240</v>
      </c>
      <c r="M1126" s="113" t="n"/>
      <c r="N1126" s="113" t="n"/>
      <c r="O1126" s="113" t="n"/>
      <c r="P1126" s="398" t="n"/>
      <c r="Q1126" s="398" t="n"/>
      <c r="R1126" s="113" t="n"/>
      <c r="S1126" s="113" t="n"/>
      <c r="T1126" s="113" t="n"/>
      <c r="U1126" s="113" t="n"/>
      <c r="V1126" s="113" t="n"/>
    </row>
    <row r="1127" ht="15.75" customHeight="1">
      <c r="A1127" s="146" t="n">
        <v>20</v>
      </c>
      <c r="B1127" s="238" t="n"/>
      <c r="C1127" s="164" t="n">
        <v>45939</v>
      </c>
      <c r="D1127" s="165" t="inlineStr">
        <is>
          <t>202 G. HUERTAS</t>
        </is>
      </c>
      <c r="E1127" s="165" t="n">
        <v>43749</v>
      </c>
      <c r="F1127" s="165" t="inlineStr">
        <is>
          <t>ALEXANDER CHAGUALA</t>
        </is>
      </c>
      <c r="G1127" s="165" t="n">
        <v>3240</v>
      </c>
      <c r="H1127" s="165" t="n">
        <v>3231</v>
      </c>
      <c r="I1127" s="165" t="n">
        <v>2</v>
      </c>
      <c r="J1127" s="165" t="n">
        <v>1</v>
      </c>
      <c r="K1127" s="165" t="n">
        <v>-6</v>
      </c>
      <c r="L1127" s="397" t="n">
        <v>3240</v>
      </c>
      <c r="M1127" s="113" t="n"/>
      <c r="N1127" s="113" t="n"/>
      <c r="O1127" s="113" t="n"/>
      <c r="P1127" s="398" t="n"/>
      <c r="Q1127" s="398" t="n"/>
      <c r="R1127" s="113" t="n"/>
      <c r="S1127" s="113" t="n"/>
      <c r="T1127" s="113" t="n"/>
      <c r="U1127" s="113" t="n"/>
      <c r="V1127" s="113" t="n"/>
    </row>
    <row r="1128" ht="15.75" customHeight="1">
      <c r="A1128" s="146" t="n">
        <v>20</v>
      </c>
      <c r="B1128" s="238" t="n"/>
      <c r="C1128" s="164" t="n">
        <v>45939</v>
      </c>
      <c r="D1128" s="165" t="inlineStr">
        <is>
          <t>202 G. HUERTAS</t>
        </is>
      </c>
      <c r="E1128" s="165" t="n">
        <v>43750</v>
      </c>
      <c r="F1128" s="165" t="inlineStr">
        <is>
          <t>ALEX GOMEZ</t>
        </is>
      </c>
      <c r="G1128" s="165" t="n">
        <v>2979</v>
      </c>
      <c r="H1128" s="165" t="n">
        <v>2977</v>
      </c>
      <c r="I1128" s="165" t="n">
        <v>1</v>
      </c>
      <c r="J1128" s="165" t="n">
        <v>1</v>
      </c>
      <c r="K1128" s="165" t="n">
        <v>0</v>
      </c>
      <c r="L1128" s="397" t="n">
        <v>2979</v>
      </c>
      <c r="M1128" s="113" t="n"/>
      <c r="N1128" s="113" t="n"/>
      <c r="O1128" s="113" t="n"/>
      <c r="P1128" s="398" t="n"/>
      <c r="Q1128" s="398" t="n"/>
      <c r="R1128" s="113" t="n"/>
      <c r="S1128" s="113" t="n"/>
      <c r="T1128" s="113" t="n"/>
      <c r="U1128" s="113" t="n"/>
      <c r="V1128" s="113" t="n"/>
    </row>
    <row r="1129" ht="15.75" customHeight="1">
      <c r="A1129" s="146" t="n">
        <v>20</v>
      </c>
      <c r="B1129" s="238" t="n"/>
      <c r="C1129" s="164" t="n">
        <v>45939</v>
      </c>
      <c r="D1129" s="165" t="inlineStr">
        <is>
          <t>202 G. HUERTAS</t>
        </is>
      </c>
      <c r="E1129" s="165" t="n">
        <v>43751</v>
      </c>
      <c r="F1129" s="165" t="inlineStr">
        <is>
          <t>YAIR RIVEROS</t>
        </is>
      </c>
      <c r="G1129" s="165" t="n">
        <v>2880</v>
      </c>
      <c r="H1129" s="165" t="n">
        <v>2876</v>
      </c>
      <c r="I1129" s="165" t="n">
        <v>2</v>
      </c>
      <c r="J1129" s="165" t="n">
        <v>2</v>
      </c>
      <c r="K1129" s="165" t="n">
        <v>0</v>
      </c>
      <c r="L1129" s="397" t="n">
        <v>2880</v>
      </c>
      <c r="M1129" s="113" t="n"/>
      <c r="N1129" s="113" t="n"/>
      <c r="O1129" s="113" t="n"/>
      <c r="P1129" s="398" t="n"/>
      <c r="Q1129" s="398" t="n"/>
      <c r="R1129" s="113" t="n"/>
      <c r="S1129" s="113" t="n"/>
      <c r="T1129" s="113" t="n"/>
      <c r="U1129" s="113" t="n"/>
      <c r="V1129" s="113" t="n"/>
    </row>
    <row r="1130" ht="15.75" customHeight="1">
      <c r="A1130" s="146" t="n">
        <v>20</v>
      </c>
      <c r="B1130" s="238" t="n"/>
      <c r="C1130" s="399" t="n">
        <v>45939</v>
      </c>
      <c r="D1130" s="146" t="inlineStr">
        <is>
          <t>218 G. SAN JOSE 1</t>
        </is>
      </c>
      <c r="E1130" s="146" t="n">
        <v>43752</v>
      </c>
      <c r="F1130" s="146" t="inlineStr">
        <is>
          <t>ALBERTO HERRERA</t>
        </is>
      </c>
      <c r="G1130" s="395" t="n">
        <v>2664</v>
      </c>
      <c r="H1130" s="395" t="n">
        <v>2655</v>
      </c>
      <c r="I1130" s="395" t="n">
        <v>5</v>
      </c>
      <c r="J1130" s="395" t="n">
        <v>4</v>
      </c>
      <c r="K1130" s="395" t="n">
        <v>0</v>
      </c>
      <c r="L1130" s="397" t="n">
        <v>2664</v>
      </c>
      <c r="M1130" s="113" t="n"/>
      <c r="N1130" s="113" t="n"/>
      <c r="O1130" s="113" t="n"/>
      <c r="P1130" s="398" t="n"/>
      <c r="Q1130" s="398" t="n"/>
      <c r="R1130" s="113" t="n"/>
      <c r="S1130" s="113" t="n"/>
      <c r="T1130" s="113" t="n"/>
      <c r="U1130" s="113" t="n"/>
      <c r="V1130" s="113" t="n"/>
    </row>
    <row r="1131" ht="15.75" customHeight="1">
      <c r="A1131" s="146" t="n">
        <v>20</v>
      </c>
      <c r="B1131" s="238" t="n"/>
      <c r="C1131" s="399" t="n">
        <v>45939</v>
      </c>
      <c r="D1131" s="146" t="inlineStr">
        <is>
          <t>218 G. SAN JOSE 1</t>
        </is>
      </c>
      <c r="E1131" s="146" t="n">
        <v>43753</v>
      </c>
      <c r="F1131" s="146" t="inlineStr">
        <is>
          <t>HENRY ROMERO</t>
        </is>
      </c>
      <c r="G1131" s="395" t="n">
        <v>2664</v>
      </c>
      <c r="H1131" s="395" t="n">
        <v>2656</v>
      </c>
      <c r="I1131" s="395" t="n">
        <v>4</v>
      </c>
      <c r="J1131" s="395" t="n">
        <v>4</v>
      </c>
      <c r="K1131" s="395" t="n">
        <v>0</v>
      </c>
      <c r="L1131" s="397" t="n">
        <v>2664</v>
      </c>
      <c r="M1131" s="113" t="n"/>
      <c r="N1131" s="113" t="n"/>
      <c r="O1131" s="113" t="n"/>
      <c r="P1131" s="398" t="n"/>
      <c r="Q1131" s="398" t="n"/>
      <c r="R1131" s="113" t="n"/>
      <c r="S1131" s="113" t="n"/>
      <c r="T1131" s="113" t="n"/>
      <c r="U1131" s="113" t="n"/>
      <c r="V1131" s="113" t="n"/>
    </row>
    <row r="1132" ht="15.75" customHeight="1">
      <c r="A1132" s="146" t="n">
        <v>20</v>
      </c>
      <c r="B1132" s="238" t="n"/>
      <c r="C1132" s="399" t="n">
        <v>45939</v>
      </c>
      <c r="D1132" s="146" t="inlineStr">
        <is>
          <t>218 G. SAN JOSE 1</t>
        </is>
      </c>
      <c r="E1132" s="146" t="n">
        <v>43754</v>
      </c>
      <c r="F1132" s="146" t="inlineStr">
        <is>
          <t>ROBINSON PULIDO</t>
        </is>
      </c>
      <c r="G1132" s="395" t="n">
        <v>2664</v>
      </c>
      <c r="H1132" s="395" t="n">
        <v>2656</v>
      </c>
      <c r="I1132" s="395" t="n">
        <v>4</v>
      </c>
      <c r="J1132" s="395" t="n">
        <v>4</v>
      </c>
      <c r="K1132" s="395" t="n">
        <v>0</v>
      </c>
      <c r="L1132" s="397" t="n">
        <v>2763</v>
      </c>
      <c r="M1132" s="113" t="n"/>
      <c r="N1132" s="113" t="n"/>
      <c r="O1132" s="113" t="n"/>
      <c r="P1132" s="398" t="n"/>
      <c r="Q1132" s="398" t="n"/>
      <c r="R1132" s="113" t="n"/>
      <c r="S1132" s="113" t="n"/>
      <c r="T1132" s="113" t="n"/>
      <c r="U1132" s="113" t="n"/>
      <c r="V1132" s="113" t="n"/>
    </row>
    <row r="1133" ht="15.75" customHeight="1">
      <c r="A1133" s="146" t="n">
        <v>20</v>
      </c>
      <c r="B1133" s="238" t="n"/>
      <c r="C1133" s="399" t="n">
        <v>45939</v>
      </c>
      <c r="D1133" s="146" t="inlineStr">
        <is>
          <t>218 G. SAN JOSE 1</t>
        </is>
      </c>
      <c r="E1133" s="146" t="n">
        <v>43764</v>
      </c>
      <c r="F1133" s="146" t="inlineStr">
        <is>
          <t>JAIRO CUBILLOS</t>
        </is>
      </c>
      <c r="G1133" s="395" t="n">
        <v>2763</v>
      </c>
      <c r="H1133" s="395" t="n">
        <v>2754</v>
      </c>
      <c r="I1133" s="395" t="n">
        <v>4</v>
      </c>
      <c r="J1133" s="395" t="n">
        <v>1</v>
      </c>
      <c r="K1133" s="395" t="n">
        <v>-4</v>
      </c>
      <c r="L1133" s="397" t="n">
        <v>2664</v>
      </c>
      <c r="M1133" s="113" t="n"/>
      <c r="N1133" s="113" t="n"/>
      <c r="O1133" s="113" t="n"/>
      <c r="P1133" s="398" t="n"/>
      <c r="Q1133" s="398" t="n"/>
      <c r="R1133" s="113" t="n"/>
      <c r="S1133" s="113" t="n"/>
      <c r="T1133" s="113" t="n"/>
      <c r="U1133" s="113" t="n"/>
      <c r="V1133" s="113" t="n"/>
    </row>
    <row r="1134" ht="15.75" customHeight="1">
      <c r="A1134" s="146" t="n">
        <v>20</v>
      </c>
      <c r="B1134" s="238" t="n"/>
      <c r="C1134" s="399" t="n">
        <v>45939</v>
      </c>
      <c r="D1134" s="146" t="inlineStr">
        <is>
          <t>218 G. SAN JOSE 1</t>
        </is>
      </c>
      <c r="E1134" s="146" t="n">
        <v>43765</v>
      </c>
      <c r="F1134" s="146" t="inlineStr">
        <is>
          <t>YAIR RIVEROS</t>
        </is>
      </c>
      <c r="G1134" s="395" t="n">
        <v>2781</v>
      </c>
      <c r="H1134" s="395" t="n">
        <v>2772</v>
      </c>
      <c r="I1134" s="395" t="n">
        <v>3</v>
      </c>
      <c r="J1134" s="395" t="n">
        <v>2</v>
      </c>
      <c r="K1134" s="395" t="n">
        <v>-4</v>
      </c>
      <c r="L1134" s="397" t="n">
        <v>2763</v>
      </c>
      <c r="M1134" s="113" t="n"/>
      <c r="N1134" s="113" t="n"/>
      <c r="O1134" s="113" t="n"/>
      <c r="P1134" s="398" t="n"/>
      <c r="Q1134" s="398" t="n"/>
      <c r="R1134" s="113" t="n"/>
      <c r="S1134" s="113" t="n"/>
      <c r="T1134" s="113" t="n"/>
      <c r="U1134" s="113" t="n"/>
      <c r="V1134" s="113" t="n"/>
    </row>
    <row r="1135" ht="15.75" customHeight="1">
      <c r="A1135" s="146" t="n">
        <v>20</v>
      </c>
      <c r="B1135" s="238" t="n"/>
      <c r="C1135" s="399" t="n">
        <v>45939</v>
      </c>
      <c r="D1135" s="146" t="inlineStr">
        <is>
          <t>218 G. SAN JOSE 1</t>
        </is>
      </c>
      <c r="E1135" s="146" t="n">
        <v>43766</v>
      </c>
      <c r="F1135" s="146" t="inlineStr">
        <is>
          <t>ALBERTO HERRERA</t>
        </is>
      </c>
      <c r="G1135" s="395" t="n">
        <v>2781</v>
      </c>
      <c r="H1135" s="395" t="n">
        <v>2771</v>
      </c>
      <c r="I1135" s="395" t="n">
        <v>4</v>
      </c>
      <c r="J1135" s="395" t="n">
        <v>2</v>
      </c>
      <c r="K1135" s="395" t="n">
        <v>-4</v>
      </c>
      <c r="L1135" s="397" t="n">
        <v>2763</v>
      </c>
      <c r="M1135" s="113" t="n"/>
      <c r="N1135" s="113" t="n"/>
      <c r="O1135" s="113" t="n"/>
      <c r="P1135" s="398" t="n"/>
      <c r="Q1135" s="398" t="n"/>
      <c r="R1135" s="113" t="n"/>
      <c r="S1135" s="113" t="n"/>
      <c r="T1135" s="113" t="n"/>
      <c r="U1135" s="113" t="n"/>
      <c r="V1135" s="113" t="n"/>
    </row>
    <row r="1136" ht="15.75" customHeight="1">
      <c r="A1136" s="146" t="n">
        <v>20</v>
      </c>
      <c r="B1136" s="238" t="n"/>
      <c r="C1136" s="399" t="n">
        <v>45939</v>
      </c>
      <c r="D1136" s="146" t="inlineStr">
        <is>
          <t>218 G. SAN JOSE 1</t>
        </is>
      </c>
      <c r="E1136" s="146" t="n">
        <v>43767</v>
      </c>
      <c r="F1136" s="146" t="inlineStr">
        <is>
          <t>EDUAN CAVIEDES</t>
        </is>
      </c>
      <c r="G1136" s="395" t="n">
        <v>3617</v>
      </c>
      <c r="H1136" s="395" t="n">
        <v>3609</v>
      </c>
      <c r="I1136" s="395" t="n">
        <v>5</v>
      </c>
      <c r="J1136" s="395" t="n">
        <v>2</v>
      </c>
      <c r="K1136" s="395" t="n">
        <v>-1</v>
      </c>
      <c r="L1136" s="397" t="n">
        <v>3617</v>
      </c>
      <c r="M1136" s="113" t="n"/>
      <c r="N1136" s="113" t="n"/>
      <c r="O1136" s="113" t="n"/>
      <c r="P1136" s="398" t="n"/>
      <c r="Q1136" s="398" t="n"/>
      <c r="R1136" s="113" t="n"/>
      <c r="S1136" s="113" t="n"/>
      <c r="T1136" s="113" t="n"/>
      <c r="U1136" s="113" t="n"/>
      <c r="V1136" s="113" t="n"/>
    </row>
    <row r="1137" ht="15.75" customHeight="1">
      <c r="A1137" s="146" t="n">
        <v>20</v>
      </c>
      <c r="B1137" s="238" t="n"/>
      <c r="C1137" s="399" t="n">
        <v>45939</v>
      </c>
      <c r="D1137" s="146" t="inlineStr">
        <is>
          <t>218 G. SAN JOSE 1</t>
        </is>
      </c>
      <c r="E1137" s="146" t="n">
        <v>43768</v>
      </c>
      <c r="F1137" s="146" t="inlineStr">
        <is>
          <t>JOSE SOLER</t>
        </is>
      </c>
      <c r="G1137" s="395" t="n">
        <v>2666</v>
      </c>
      <c r="H1137" s="395" t="n">
        <v>2657</v>
      </c>
      <c r="I1137" s="395" t="n">
        <v>4</v>
      </c>
      <c r="J1137" s="395" t="n">
        <v>4</v>
      </c>
      <c r="K1137" s="395" t="n">
        <v>-1</v>
      </c>
      <c r="L1137" s="397" t="n">
        <v>2663</v>
      </c>
      <c r="M1137" s="113" t="n"/>
      <c r="N1137" s="113" t="n"/>
      <c r="O1137" s="113" t="n"/>
      <c r="P1137" s="398" t="n"/>
      <c r="Q1137" s="398" t="n"/>
      <c r="R1137" s="113" t="n"/>
      <c r="S1137" s="113" t="n"/>
      <c r="T1137" s="113" t="n"/>
      <c r="U1137" s="113" t="n"/>
      <c r="V1137" s="113" t="n"/>
    </row>
    <row r="1138" ht="15.75" customHeight="1">
      <c r="A1138" s="146" t="n">
        <v>20</v>
      </c>
      <c r="B1138" s="238" t="n"/>
      <c r="C1138" s="399" t="n">
        <v>45939</v>
      </c>
      <c r="D1138" s="146" t="inlineStr">
        <is>
          <t>218 G. SAN JOSE 1</t>
        </is>
      </c>
      <c r="E1138" s="146" t="n">
        <v>43769</v>
      </c>
      <c r="F1138" s="146" t="inlineStr">
        <is>
          <t>EDWIN ROJAS</t>
        </is>
      </c>
      <c r="G1138" s="395" t="n">
        <v>2916</v>
      </c>
      <c r="H1138" s="395" t="n">
        <v>2908</v>
      </c>
      <c r="I1138" s="395" t="n">
        <v>7</v>
      </c>
      <c r="J1138" s="395" t="n">
        <v>2</v>
      </c>
      <c r="K1138" s="395" t="n">
        <v>1</v>
      </c>
      <c r="L1138" s="397" t="n">
        <v>2916</v>
      </c>
      <c r="M1138" s="113" t="n"/>
      <c r="N1138" s="113" t="n"/>
      <c r="O1138" s="113" t="n"/>
      <c r="P1138" s="398" t="n"/>
      <c r="Q1138" s="398" t="n"/>
      <c r="R1138" s="113" t="n"/>
      <c r="S1138" s="113" t="n"/>
      <c r="T1138" s="113" t="n"/>
      <c r="U1138" s="113" t="n"/>
      <c r="V1138" s="113" t="n"/>
    </row>
    <row r="1139" ht="15.75" customHeight="1">
      <c r="A1139" s="146" t="n">
        <v>20</v>
      </c>
      <c r="B1139" s="238" t="n"/>
      <c r="C1139" s="399" t="n">
        <v>45939</v>
      </c>
      <c r="D1139" s="146" t="inlineStr">
        <is>
          <t>218 G. SAN JOSE 1</t>
        </is>
      </c>
      <c r="E1139" s="146" t="n">
        <v>43770</v>
      </c>
      <c r="F1139" s="146" t="inlineStr">
        <is>
          <t>DUMAR ANGARITA</t>
        </is>
      </c>
      <c r="G1139" s="395" t="n">
        <v>2916</v>
      </c>
      <c r="H1139" s="395" t="n">
        <v>2906</v>
      </c>
      <c r="I1139" s="395" t="n">
        <v>8</v>
      </c>
      <c r="J1139" s="395" t="n">
        <v>4</v>
      </c>
      <c r="K1139" s="395" t="n">
        <v>2</v>
      </c>
      <c r="L1139" s="397" t="n">
        <v>2916</v>
      </c>
      <c r="M1139" s="113" t="n"/>
      <c r="N1139" s="113" t="n"/>
      <c r="O1139" s="113" t="n"/>
      <c r="P1139" s="398" t="n"/>
      <c r="Q1139" s="398" t="n"/>
      <c r="R1139" s="113" t="n"/>
      <c r="S1139" s="113" t="n"/>
      <c r="T1139" s="113" t="n"/>
      <c r="U1139" s="113" t="n"/>
      <c r="V1139" s="113" t="n"/>
    </row>
    <row r="1140" ht="15.75" customHeight="1">
      <c r="A1140" s="146" t="n">
        <v>20</v>
      </c>
      <c r="B1140" s="238" t="n"/>
      <c r="C1140" s="164" t="n">
        <v>45940</v>
      </c>
      <c r="D1140" s="165" t="inlineStr">
        <is>
          <t xml:space="preserve">202 G. HUERTAS </t>
        </is>
      </c>
      <c r="E1140" s="165" t="n">
        <v>43771</v>
      </c>
      <c r="F1140" s="165" t="inlineStr">
        <is>
          <t>JOSE SOLER</t>
        </is>
      </c>
      <c r="G1140" s="165" t="n">
        <v>3400</v>
      </c>
      <c r="H1140" s="165" t="n">
        <v>3386</v>
      </c>
      <c r="I1140" s="165" t="n">
        <v>2</v>
      </c>
      <c r="J1140" s="165" t="n">
        <v>4</v>
      </c>
      <c r="K1140" s="165" t="n">
        <v>-8</v>
      </c>
      <c r="L1140" s="397" t="n">
        <v>3400</v>
      </c>
      <c r="M1140" s="113" t="n"/>
      <c r="N1140" s="113" t="n"/>
      <c r="O1140" s="113" t="n"/>
      <c r="P1140" s="398" t="n"/>
      <c r="Q1140" s="398" t="n"/>
      <c r="R1140" s="113" t="n"/>
      <c r="S1140" s="113" t="n"/>
      <c r="T1140" s="113" t="n"/>
      <c r="U1140" s="113" t="n"/>
      <c r="V1140" s="113" t="n"/>
    </row>
    <row r="1141" ht="15.75" customHeight="1">
      <c r="A1141" s="146" t="n">
        <v>20</v>
      </c>
      <c r="B1141" s="238" t="n"/>
      <c r="C1141" s="164" t="n">
        <v>45940</v>
      </c>
      <c r="D1141" s="165" t="inlineStr">
        <is>
          <t xml:space="preserve">202 G. HUERTAS </t>
        </is>
      </c>
      <c r="E1141" s="165" t="n">
        <v>43772</v>
      </c>
      <c r="F1141" s="165" t="inlineStr">
        <is>
          <t>ALBERTO LOPEZ</t>
        </is>
      </c>
      <c r="G1141" s="165" t="n">
        <v>3400</v>
      </c>
      <c r="H1141" s="165" t="n">
        <v>3373</v>
      </c>
      <c r="I1141" s="165" t="n">
        <v>6</v>
      </c>
      <c r="J1141" s="165" t="n">
        <v>9</v>
      </c>
      <c r="K1141" s="165" t="n">
        <v>-12</v>
      </c>
      <c r="L1141" s="397" t="n">
        <v>3400</v>
      </c>
      <c r="M1141" s="113" t="n"/>
      <c r="N1141" s="113" t="n"/>
      <c r="O1141" s="113" t="n"/>
      <c r="P1141" s="398" t="n"/>
      <c r="Q1141" s="398" t="n"/>
      <c r="R1141" s="113" t="n"/>
      <c r="S1141" s="113" t="n"/>
      <c r="T1141" s="113" t="n"/>
      <c r="U1141" s="113" t="n"/>
      <c r="V1141" s="113" t="n"/>
    </row>
    <row r="1142" ht="15.75" customHeight="1">
      <c r="A1142" s="146" t="n">
        <v>20</v>
      </c>
      <c r="B1142" s="238" t="n"/>
      <c r="C1142" s="164" t="n">
        <v>45940</v>
      </c>
      <c r="D1142" s="165" t="inlineStr">
        <is>
          <t xml:space="preserve">202 G. HUERTAS </t>
        </is>
      </c>
      <c r="E1142" s="165" t="n">
        <v>43773</v>
      </c>
      <c r="F1142" s="165" t="inlineStr">
        <is>
          <t>DUMAR ANGARITA</t>
        </is>
      </c>
      <c r="G1142" s="165" t="n">
        <v>3240</v>
      </c>
      <c r="H1142" s="165" t="n">
        <v>3229</v>
      </c>
      <c r="I1142" s="165" t="n">
        <v>5</v>
      </c>
      <c r="J1142" s="165" t="n">
        <v>1</v>
      </c>
      <c r="K1142" s="165" t="n">
        <v>-5</v>
      </c>
      <c r="L1142" s="397" t="n">
        <v>3240</v>
      </c>
      <c r="M1142" s="113" t="n"/>
      <c r="N1142" s="113" t="n"/>
      <c r="O1142" s="113" t="n"/>
      <c r="P1142" s="398" t="n"/>
      <c r="Q1142" s="398" t="n"/>
      <c r="R1142" s="113" t="n"/>
      <c r="S1142" s="113" t="n"/>
      <c r="T1142" s="113" t="n"/>
      <c r="U1142" s="113" t="n"/>
      <c r="V1142" s="113" t="n"/>
    </row>
    <row r="1143" ht="15.75" customHeight="1">
      <c r="A1143" s="146" t="n">
        <v>20</v>
      </c>
      <c r="B1143" s="238" t="n"/>
      <c r="C1143" s="164" t="n">
        <v>45940</v>
      </c>
      <c r="D1143" s="165" t="inlineStr">
        <is>
          <t xml:space="preserve">202 G. HUERTAS </t>
        </is>
      </c>
      <c r="E1143" s="165" t="n">
        <v>43774</v>
      </c>
      <c r="F1143" s="165" t="inlineStr">
        <is>
          <t>WILMER PIÑEROS</t>
        </is>
      </c>
      <c r="G1143" s="165" t="n">
        <v>3400</v>
      </c>
      <c r="H1143" s="165" t="n">
        <v>3382</v>
      </c>
      <c r="I1143" s="165" t="n">
        <v>8</v>
      </c>
      <c r="J1143" s="165" t="n">
        <v>3</v>
      </c>
      <c r="K1143" s="165" t="n">
        <v>-7</v>
      </c>
      <c r="L1143" s="397" t="n">
        <v>3400</v>
      </c>
      <c r="M1143" s="113" t="n"/>
      <c r="N1143" s="113" t="n"/>
      <c r="O1143" s="113" t="n"/>
      <c r="P1143" s="398" t="n"/>
      <c r="Q1143" s="398" t="n"/>
      <c r="R1143" s="113" t="n"/>
      <c r="S1143" s="113" t="n"/>
      <c r="T1143" s="113" t="n"/>
      <c r="U1143" s="113" t="n"/>
      <c r="V1143" s="113" t="n"/>
    </row>
    <row r="1144" ht="15.75" customHeight="1">
      <c r="A1144" s="146" t="n">
        <v>20</v>
      </c>
      <c r="B1144" s="238" t="n"/>
      <c r="C1144" s="164" t="n">
        <v>45940</v>
      </c>
      <c r="D1144" s="165" t="inlineStr">
        <is>
          <t xml:space="preserve">202 G. HUERTAS </t>
        </is>
      </c>
      <c r="E1144" s="165" t="n">
        <v>43775</v>
      </c>
      <c r="F1144" s="165" t="inlineStr">
        <is>
          <t>EDWIN ROJAS</t>
        </is>
      </c>
      <c r="G1144" s="165" t="n">
        <v>3400</v>
      </c>
      <c r="H1144" s="165" t="n">
        <v>3381</v>
      </c>
      <c r="I1144" s="165" t="n">
        <v>4</v>
      </c>
      <c r="J1144" s="165" t="n">
        <v>4</v>
      </c>
      <c r="K1144" s="165" t="n">
        <v>-11</v>
      </c>
      <c r="L1144" s="397" t="n">
        <v>3400</v>
      </c>
      <c r="M1144" s="113" t="n"/>
      <c r="N1144" s="113" t="n"/>
      <c r="O1144" s="113" t="n"/>
      <c r="P1144" s="398" t="n"/>
      <c r="Q1144" s="398" t="n"/>
      <c r="R1144" s="113" t="n"/>
      <c r="S1144" s="113" t="n"/>
      <c r="T1144" s="113" t="n"/>
      <c r="U1144" s="113" t="n"/>
      <c r="V1144" s="113" t="n"/>
    </row>
    <row r="1145" ht="15.75" customHeight="1">
      <c r="A1145" s="146" t="n">
        <v>20</v>
      </c>
      <c r="B1145" s="238" t="n"/>
      <c r="C1145" s="164" t="n">
        <v>45940</v>
      </c>
      <c r="D1145" s="165" t="inlineStr">
        <is>
          <t xml:space="preserve">202 G. HUERTAS </t>
        </is>
      </c>
      <c r="E1145" s="165" t="n">
        <v>43776</v>
      </c>
      <c r="F1145" s="165" t="inlineStr">
        <is>
          <t>JAIRO CUBILLOS</t>
        </is>
      </c>
      <c r="G1145" s="165" t="n">
        <v>3432</v>
      </c>
      <c r="H1145" s="165" t="n">
        <v>3407</v>
      </c>
      <c r="I1145" s="165" t="n">
        <v>6</v>
      </c>
      <c r="J1145" s="165" t="n">
        <v>3</v>
      </c>
      <c r="K1145" s="165" t="n">
        <v>-16</v>
      </c>
      <c r="L1145" s="397" t="n">
        <v>3432</v>
      </c>
      <c r="M1145" s="113" t="n"/>
      <c r="N1145" s="113" t="n"/>
      <c r="O1145" s="113" t="n"/>
      <c r="P1145" s="398" t="n"/>
      <c r="Q1145" s="398" t="n"/>
      <c r="R1145" s="113" t="n"/>
      <c r="S1145" s="113" t="n"/>
      <c r="T1145" s="113" t="n"/>
      <c r="U1145" s="113" t="n"/>
      <c r="V1145" s="113" t="n"/>
    </row>
    <row r="1146" ht="15.75" customHeight="1">
      <c r="A1146" s="146" t="n">
        <v>20</v>
      </c>
      <c r="B1146" s="238" t="n"/>
      <c r="C1146" s="164" t="n">
        <v>45940</v>
      </c>
      <c r="D1146" s="165" t="inlineStr">
        <is>
          <t xml:space="preserve">202 G. HUERTAS </t>
        </is>
      </c>
      <c r="E1146" s="165" t="n">
        <v>43777</v>
      </c>
      <c r="F1146" s="165" t="inlineStr">
        <is>
          <t>ALEXANDER CHAGUALA</t>
        </is>
      </c>
      <c r="G1146" s="165" t="n">
        <v>3090</v>
      </c>
      <c r="H1146" s="165" t="n">
        <v>3066</v>
      </c>
      <c r="I1146" s="165" t="n">
        <v>6</v>
      </c>
      <c r="J1146" s="165" t="n">
        <v>4</v>
      </c>
      <c r="K1146" s="165" t="n">
        <v>-14</v>
      </c>
      <c r="L1146" s="397" t="n">
        <v>3090</v>
      </c>
      <c r="M1146" s="113" t="n"/>
      <c r="N1146" s="113" t="n"/>
      <c r="O1146" s="113" t="n"/>
      <c r="P1146" s="398" t="n"/>
      <c r="Q1146" s="398" t="n"/>
      <c r="R1146" s="113" t="n"/>
      <c r="S1146" s="113" t="n"/>
      <c r="T1146" s="113" t="n"/>
      <c r="U1146" s="113" t="n"/>
      <c r="V1146" s="113" t="n"/>
    </row>
    <row r="1147" ht="15.75" customHeight="1">
      <c r="A1147" s="146" t="n">
        <v>20</v>
      </c>
      <c r="B1147" s="238" t="n"/>
      <c r="C1147" s="164" t="n">
        <v>45940</v>
      </c>
      <c r="D1147" s="165" t="inlineStr">
        <is>
          <t xml:space="preserve">202 G. HUERTAS </t>
        </is>
      </c>
      <c r="E1147" s="165" t="n">
        <v>43785</v>
      </c>
      <c r="F1147" s="165" t="inlineStr">
        <is>
          <t>EDUAN CAVIEDES</t>
        </is>
      </c>
      <c r="G1147" s="165" t="n">
        <v>3090</v>
      </c>
      <c r="H1147" s="165" t="n">
        <v>3083</v>
      </c>
      <c r="I1147" s="165" t="n">
        <v>3</v>
      </c>
      <c r="J1147" s="165" t="n">
        <v>3</v>
      </c>
      <c r="K1147" s="165" t="n">
        <v>-1</v>
      </c>
      <c r="L1147" s="397" t="n">
        <v>3090</v>
      </c>
      <c r="M1147" s="113" t="n"/>
      <c r="N1147" s="113" t="n"/>
      <c r="O1147" s="113" t="n"/>
      <c r="P1147" s="398" t="n"/>
      <c r="Q1147" s="398" t="n"/>
      <c r="R1147" s="113" t="n"/>
      <c r="S1147" s="113" t="n"/>
      <c r="T1147" s="113" t="n"/>
      <c r="U1147" s="113" t="n"/>
      <c r="V1147" s="113" t="n"/>
    </row>
    <row r="1148" ht="15.75" customHeight="1">
      <c r="A1148" s="146" t="n">
        <v>20</v>
      </c>
      <c r="B1148" s="238" t="n"/>
      <c r="C1148" s="164" t="n">
        <v>45940</v>
      </c>
      <c r="D1148" s="165" t="inlineStr">
        <is>
          <t xml:space="preserve">202 G. HUERTAS </t>
        </is>
      </c>
      <c r="E1148" s="165" t="n">
        <v>43786</v>
      </c>
      <c r="F1148" s="165" t="inlineStr">
        <is>
          <t>ALBERTO HERRERA</t>
        </is>
      </c>
      <c r="G1148" s="165" t="n">
        <v>3090</v>
      </c>
      <c r="H1148" s="165" t="n">
        <v>3076</v>
      </c>
      <c r="I1148" s="165" t="n">
        <v>7</v>
      </c>
      <c r="J1148" s="165" t="n">
        <v>4</v>
      </c>
      <c r="K1148" s="165" t="n">
        <v>-3</v>
      </c>
      <c r="L1148" s="397" t="n">
        <v>3090</v>
      </c>
      <c r="M1148" s="113" t="n"/>
      <c r="N1148" s="113" t="n"/>
      <c r="O1148" s="113" t="n"/>
      <c r="P1148" s="398" t="n"/>
      <c r="Q1148" s="398" t="n"/>
      <c r="R1148" s="113" t="n"/>
      <c r="S1148" s="113" t="n"/>
      <c r="T1148" s="113" t="n"/>
      <c r="U1148" s="113" t="n"/>
      <c r="V1148" s="113" t="n"/>
    </row>
    <row r="1149" ht="15.75" customHeight="1">
      <c r="A1149" s="146" t="n">
        <v>20</v>
      </c>
      <c r="B1149" s="238" t="n"/>
      <c r="C1149" s="164" t="n">
        <v>45940</v>
      </c>
      <c r="D1149" s="165" t="inlineStr">
        <is>
          <t xml:space="preserve">202 G. HUERTAS </t>
        </is>
      </c>
      <c r="E1149" s="165" t="n">
        <v>43787</v>
      </c>
      <c r="F1149" s="165" t="inlineStr">
        <is>
          <t>FABIO ALDANA</t>
        </is>
      </c>
      <c r="G1149" s="165" t="n">
        <v>3110</v>
      </c>
      <c r="H1149" s="165" t="n">
        <v>3095</v>
      </c>
      <c r="I1149" s="165" t="n">
        <v>4</v>
      </c>
      <c r="J1149" s="165" t="n">
        <v>6</v>
      </c>
      <c r="K1149" s="165" t="n">
        <v>-5</v>
      </c>
      <c r="L1149" s="397" t="n">
        <v>3110</v>
      </c>
      <c r="M1149" s="113" t="n"/>
      <c r="N1149" s="113" t="n"/>
      <c r="O1149" s="113" t="n"/>
      <c r="P1149" s="398" t="n"/>
      <c r="Q1149" s="398" t="n"/>
      <c r="R1149" s="113" t="n"/>
      <c r="S1149" s="113" t="n"/>
      <c r="T1149" s="113" t="n"/>
      <c r="U1149" s="113" t="n"/>
      <c r="V1149" s="113" t="n"/>
    </row>
    <row r="1150" ht="15.75" customHeight="1">
      <c r="A1150" s="146" t="n">
        <v>20</v>
      </c>
      <c r="B1150" s="238" t="n"/>
      <c r="C1150" s="399" t="n">
        <v>45940</v>
      </c>
      <c r="D1150" s="146" t="inlineStr">
        <is>
          <t>218 G. SAN JOSE 1</t>
        </is>
      </c>
      <c r="E1150" s="146" t="n">
        <v>43788</v>
      </c>
      <c r="F1150" s="146" t="inlineStr">
        <is>
          <t>WILMER PIÑEROS</t>
        </is>
      </c>
      <c r="G1150" s="395" t="n">
        <v>2916</v>
      </c>
      <c r="H1150" s="395" t="n">
        <v>2911</v>
      </c>
      <c r="I1150" s="395" t="n">
        <v>2</v>
      </c>
      <c r="J1150" s="395" t="n">
        <v>3</v>
      </c>
      <c r="K1150" s="395" t="n">
        <v>0</v>
      </c>
      <c r="L1150" s="397" t="n">
        <v>2916</v>
      </c>
      <c r="M1150" s="113" t="n"/>
      <c r="N1150" s="113" t="n"/>
      <c r="O1150" s="113" t="n"/>
      <c r="P1150" s="398" t="n"/>
      <c r="Q1150" s="398" t="n"/>
      <c r="R1150" s="113" t="n"/>
      <c r="S1150" s="113" t="n"/>
      <c r="T1150" s="113" t="n"/>
      <c r="U1150" s="113" t="n"/>
      <c r="V1150" s="113" t="n"/>
    </row>
    <row r="1151" ht="15.75" customHeight="1">
      <c r="A1151" s="146" t="n">
        <v>20</v>
      </c>
      <c r="B1151" s="238" t="n"/>
      <c r="C1151" s="399" t="n">
        <v>45940</v>
      </c>
      <c r="D1151" s="146" t="inlineStr">
        <is>
          <t>218 G. SAN JOSE 1</t>
        </is>
      </c>
      <c r="E1151" s="146" t="n">
        <v>43789</v>
      </c>
      <c r="F1151" s="146" t="inlineStr">
        <is>
          <t>EDWIN ROJAS</t>
        </is>
      </c>
      <c r="G1151" s="395" t="n">
        <v>3564</v>
      </c>
      <c r="H1151" s="395" t="n">
        <v>3556</v>
      </c>
      <c r="I1151" s="395" t="n">
        <v>5</v>
      </c>
      <c r="J1151" s="395" t="n">
        <v>3</v>
      </c>
      <c r="K1151" s="395" t="n">
        <v>0</v>
      </c>
      <c r="L1151" s="397" t="n">
        <v>3564</v>
      </c>
      <c r="M1151" s="113" t="n"/>
      <c r="N1151" s="113" t="n"/>
      <c r="O1151" s="113" t="n"/>
      <c r="P1151" s="398" t="n"/>
      <c r="Q1151" s="398" t="n"/>
      <c r="R1151" s="113" t="n"/>
      <c r="S1151" s="113" t="n"/>
      <c r="T1151" s="113" t="n"/>
      <c r="U1151" s="113" t="n"/>
      <c r="V1151" s="113" t="n"/>
    </row>
    <row r="1152" ht="15.75" customHeight="1">
      <c r="A1152" s="146" t="n">
        <v>20</v>
      </c>
      <c r="B1152" s="238" t="n"/>
      <c r="C1152" s="399" t="n">
        <v>45940</v>
      </c>
      <c r="D1152" s="146" t="inlineStr">
        <is>
          <t>218 G. SAN JOSE 1</t>
        </is>
      </c>
      <c r="E1152" s="146" t="n">
        <v>43790</v>
      </c>
      <c r="F1152" s="146" t="inlineStr">
        <is>
          <t>JAIRO CUBILLOS</t>
        </is>
      </c>
      <c r="G1152" s="395" t="n">
        <v>3564</v>
      </c>
      <c r="H1152" s="395" t="n">
        <v>3556</v>
      </c>
      <c r="I1152" s="395" t="n">
        <v>6</v>
      </c>
      <c r="J1152" s="395" t="n">
        <v>2</v>
      </c>
      <c r="K1152" s="395" t="n">
        <v>0</v>
      </c>
      <c r="L1152" s="397" t="n">
        <v>3564</v>
      </c>
      <c r="M1152" s="113" t="n"/>
      <c r="N1152" s="113" t="n"/>
      <c r="O1152" s="113" t="n"/>
      <c r="P1152" s="398" t="n"/>
      <c r="Q1152" s="398" t="n"/>
      <c r="R1152" s="113" t="n"/>
      <c r="S1152" s="113" t="n"/>
      <c r="T1152" s="113" t="n"/>
      <c r="U1152" s="113" t="n"/>
      <c r="V1152" s="113" t="n"/>
    </row>
    <row r="1153" ht="15.75" customHeight="1">
      <c r="A1153" s="146" t="n">
        <v>20</v>
      </c>
      <c r="B1153" s="238" t="n"/>
      <c r="C1153" s="399" t="n">
        <v>45940</v>
      </c>
      <c r="D1153" s="146" t="inlineStr">
        <is>
          <t>219 G. SAN JOSE 2</t>
        </is>
      </c>
      <c r="E1153" s="146" t="n">
        <v>43791</v>
      </c>
      <c r="F1153" s="146" t="inlineStr">
        <is>
          <t>ALEXANDER CHAGUALA</t>
        </is>
      </c>
      <c r="G1153" s="395" t="n">
        <v>3564</v>
      </c>
      <c r="H1153" s="395" t="n">
        <v>3548</v>
      </c>
      <c r="I1153" s="395" t="n">
        <v>2</v>
      </c>
      <c r="J1153" s="395" t="n">
        <v>7</v>
      </c>
      <c r="K1153" s="395" t="n">
        <v>-7</v>
      </c>
      <c r="L1153" s="397" t="n">
        <v>3564</v>
      </c>
      <c r="M1153" s="113" t="n"/>
      <c r="N1153" s="113" t="n"/>
      <c r="O1153" s="113" t="n"/>
      <c r="P1153" s="398" t="n"/>
      <c r="Q1153" s="398" t="n"/>
      <c r="R1153" s="113" t="n"/>
      <c r="S1153" s="113" t="n"/>
      <c r="T1153" s="113" t="n"/>
      <c r="U1153" s="113" t="n"/>
      <c r="V1153" s="113" t="n"/>
    </row>
    <row r="1154" ht="15.75" customHeight="1">
      <c r="A1154" s="146" t="n">
        <v>20</v>
      </c>
      <c r="B1154" s="238" t="n"/>
      <c r="C1154" s="495" t="n">
        <v>45941</v>
      </c>
      <c r="D1154" s="23" t="inlineStr">
        <is>
          <t>202 G. HUERTAS</t>
        </is>
      </c>
      <c r="E1154" s="23" t="n">
        <v>43792</v>
      </c>
      <c r="F1154" s="23" t="inlineStr">
        <is>
          <t>JOSE SOLER</t>
        </is>
      </c>
      <c r="G1154" s="496" t="n">
        <v>2700</v>
      </c>
      <c r="H1154" s="496" t="n">
        <v>2691</v>
      </c>
      <c r="I1154" s="496" t="n">
        <v>1</v>
      </c>
      <c r="J1154" s="496" t="n">
        <v>8</v>
      </c>
      <c r="K1154" s="496" t="n">
        <v>0</v>
      </c>
      <c r="L1154" s="397" t="n">
        <v>2700</v>
      </c>
      <c r="M1154" s="113" t="n"/>
      <c r="N1154" s="113" t="n"/>
      <c r="O1154" s="113" t="n"/>
      <c r="P1154" s="398" t="n"/>
      <c r="Q1154" s="398" t="n"/>
      <c r="R1154" s="113" t="n"/>
      <c r="S1154" s="113" t="n"/>
      <c r="T1154" s="113" t="n"/>
      <c r="U1154" s="113" t="n"/>
      <c r="V1154" s="113" t="n"/>
    </row>
    <row r="1155" ht="15.75" customHeight="1">
      <c r="A1155" s="146" t="n">
        <v>20</v>
      </c>
      <c r="B1155" s="238" t="n"/>
      <c r="C1155" s="164" t="n">
        <v>45941</v>
      </c>
      <c r="D1155" s="165" t="inlineStr">
        <is>
          <t>202 G. HUERTAS</t>
        </is>
      </c>
      <c r="E1155" s="165" t="n">
        <v>43793</v>
      </c>
      <c r="F1155" s="165" t="inlineStr">
        <is>
          <t>ALEX GOMEZ</t>
        </is>
      </c>
      <c r="G1155" s="165" t="n">
        <v>2700</v>
      </c>
      <c r="H1155" s="165" t="n">
        <v>2690</v>
      </c>
      <c r="I1155" s="165" t="n">
        <v>1</v>
      </c>
      <c r="J1155" s="165" t="n">
        <v>9</v>
      </c>
      <c r="K1155" s="165" t="n">
        <v>0</v>
      </c>
      <c r="L1155" s="397" t="n">
        <v>2700</v>
      </c>
      <c r="M1155" s="113" t="n"/>
      <c r="N1155" s="113" t="n"/>
      <c r="O1155" s="113" t="n"/>
      <c r="P1155" s="398" t="n"/>
      <c r="Q1155" s="398" t="n"/>
      <c r="R1155" s="113" t="n"/>
      <c r="S1155" s="113" t="n"/>
      <c r="T1155" s="113" t="n"/>
      <c r="U1155" s="113" t="n"/>
      <c r="V1155" s="113" t="n"/>
    </row>
    <row r="1156" ht="15.75" customHeight="1">
      <c r="A1156" s="146" t="n">
        <v>20</v>
      </c>
      <c r="B1156" s="238" t="n"/>
      <c r="C1156" s="164" t="n">
        <v>45941</v>
      </c>
      <c r="D1156" s="165" t="inlineStr">
        <is>
          <t>202 G. HUERTAS</t>
        </is>
      </c>
      <c r="E1156" s="165" t="n">
        <v>43794</v>
      </c>
      <c r="F1156" s="165" t="inlineStr">
        <is>
          <t>FABIO ALDANA</t>
        </is>
      </c>
      <c r="G1156" s="165" t="n">
        <v>2916</v>
      </c>
      <c r="H1156" s="165" t="n">
        <v>2907</v>
      </c>
      <c r="I1156" s="165" t="n">
        <v>1</v>
      </c>
      <c r="J1156" s="165" t="n">
        <v>8</v>
      </c>
      <c r="K1156" s="165" t="n">
        <v>0</v>
      </c>
      <c r="L1156" s="397" t="n">
        <v>2916</v>
      </c>
      <c r="M1156" s="113" t="n"/>
      <c r="N1156" s="113" t="n"/>
      <c r="O1156" s="113" t="n"/>
      <c r="P1156" s="398" t="n"/>
      <c r="Q1156" s="398" t="n"/>
      <c r="R1156" s="113" t="n"/>
      <c r="S1156" s="113" t="n"/>
      <c r="T1156" s="113" t="n"/>
      <c r="U1156" s="113" t="n"/>
      <c r="V1156" s="113" t="n"/>
    </row>
    <row r="1157" ht="15.75" customHeight="1">
      <c r="A1157" s="146" t="n">
        <v>20</v>
      </c>
      <c r="B1157" s="238" t="n"/>
      <c r="C1157" s="164" t="n">
        <v>45941</v>
      </c>
      <c r="D1157" s="165" t="inlineStr">
        <is>
          <t>202 G. HUERTAS</t>
        </is>
      </c>
      <c r="E1157" s="165" t="n">
        <v>43795</v>
      </c>
      <c r="F1157" s="165" t="inlineStr">
        <is>
          <t>ROBINSON PULIDO</t>
        </is>
      </c>
      <c r="G1157" s="165" t="n">
        <v>2443</v>
      </c>
      <c r="H1157" s="165" t="n">
        <v>2429</v>
      </c>
      <c r="I1157" s="165" t="n">
        <v>3</v>
      </c>
      <c r="J1157" s="165" t="n">
        <v>11</v>
      </c>
      <c r="K1157" s="165" t="n">
        <v>0</v>
      </c>
      <c r="L1157" s="397" t="n">
        <v>2436</v>
      </c>
      <c r="M1157" s="113" t="n"/>
      <c r="N1157" s="113" t="n"/>
      <c r="O1157" s="113" t="n"/>
      <c r="P1157" s="398" t="n"/>
      <c r="Q1157" s="398" t="n"/>
      <c r="R1157" s="113" t="n"/>
      <c r="S1157" s="113" t="n"/>
      <c r="T1157" s="113" t="n"/>
      <c r="U1157" s="113" t="n"/>
      <c r="V1157" s="113" t="n"/>
    </row>
    <row r="1158" ht="15.75" customHeight="1">
      <c r="A1158" s="146" t="n">
        <v>20</v>
      </c>
      <c r="B1158" s="238" t="n"/>
      <c r="C1158" s="164" t="n">
        <v>45941</v>
      </c>
      <c r="D1158" s="165" t="inlineStr">
        <is>
          <t>202 G. HUERTAS</t>
        </is>
      </c>
      <c r="E1158" s="165" t="n">
        <v>43796</v>
      </c>
      <c r="F1158" s="165" t="inlineStr">
        <is>
          <t>HENRY ROMERO</t>
        </is>
      </c>
      <c r="G1158" s="165" t="n">
        <v>2592</v>
      </c>
      <c r="H1158" s="165" t="n">
        <v>2576</v>
      </c>
      <c r="I1158" s="165" t="n">
        <v>4</v>
      </c>
      <c r="J1158" s="165" t="n">
        <v>12</v>
      </c>
      <c r="K1158" s="165" t="n">
        <v>0</v>
      </c>
      <c r="L1158" s="397" t="n">
        <v>2592</v>
      </c>
      <c r="M1158" s="113" t="n"/>
      <c r="N1158" s="113" t="n"/>
      <c r="O1158" s="113" t="n"/>
      <c r="P1158" s="398" t="n"/>
      <c r="Q1158" s="398" t="n"/>
      <c r="R1158" s="113" t="n"/>
      <c r="S1158" s="113" t="n"/>
      <c r="T1158" s="113" t="n"/>
      <c r="U1158" s="113" t="n"/>
      <c r="V1158" s="113" t="n"/>
    </row>
    <row r="1159" ht="15.75" customHeight="1">
      <c r="A1159" s="146" t="n">
        <v>20</v>
      </c>
      <c r="B1159" s="238" t="n"/>
      <c r="C1159" s="164" t="n">
        <v>45941</v>
      </c>
      <c r="D1159" s="166" t="inlineStr">
        <is>
          <t>202 G. HUERTAS</t>
        </is>
      </c>
      <c r="E1159" s="166" t="n">
        <v>43797</v>
      </c>
      <c r="F1159" s="166" t="inlineStr">
        <is>
          <t>YAIR RIVEROS</t>
        </is>
      </c>
      <c r="G1159" s="166" t="n">
        <v>2616</v>
      </c>
      <c r="H1159" s="166" t="n">
        <v>2600</v>
      </c>
      <c r="I1159" s="166" t="n">
        <v>4</v>
      </c>
      <c r="J1159" s="166" t="n">
        <v>12</v>
      </c>
      <c r="K1159" s="166" t="n">
        <v>0</v>
      </c>
      <c r="L1159" s="397" t="n">
        <v>2616</v>
      </c>
      <c r="M1159" s="113" t="n"/>
      <c r="N1159" s="113" t="n"/>
      <c r="O1159" s="113" t="n"/>
      <c r="P1159" s="398" t="n"/>
      <c r="Q1159" s="398" t="n"/>
      <c r="R1159" s="113" t="n"/>
      <c r="S1159" s="113" t="n"/>
      <c r="T1159" s="113" t="n"/>
      <c r="U1159" s="113" t="n"/>
      <c r="V1159" s="113" t="n"/>
    </row>
    <row r="1160" ht="15.75" customHeight="1">
      <c r="A1160" s="146" t="n">
        <v>20</v>
      </c>
      <c r="B1160" s="238" t="n"/>
      <c r="C1160" s="399" t="n">
        <v>45941</v>
      </c>
      <c r="D1160" s="146" t="inlineStr">
        <is>
          <t>218 G. SAN JOSE 1</t>
        </is>
      </c>
      <c r="E1160" s="146" t="n">
        <v>43798</v>
      </c>
      <c r="F1160" s="146" t="inlineStr">
        <is>
          <t>JOSE SOLER</t>
        </is>
      </c>
      <c r="G1160" s="395" t="n">
        <v>2835</v>
      </c>
      <c r="H1160" s="395" t="n">
        <v>2816</v>
      </c>
      <c r="I1160" s="395" t="n">
        <v>5</v>
      </c>
      <c r="J1160" s="395" t="n">
        <v>14</v>
      </c>
      <c r="K1160" s="395" t="n">
        <v>0</v>
      </c>
      <c r="L1160" s="397" t="n">
        <v>2781</v>
      </c>
      <c r="M1160" s="113" t="n"/>
      <c r="N1160" s="113" t="n"/>
      <c r="O1160" s="113" t="n"/>
      <c r="P1160" s="398" t="n"/>
      <c r="Q1160" s="398" t="n"/>
      <c r="R1160" s="113" t="n"/>
      <c r="S1160" s="113" t="n"/>
      <c r="T1160" s="113" t="n"/>
      <c r="U1160" s="113" t="n"/>
      <c r="V1160" s="113" t="n"/>
    </row>
    <row r="1161" ht="15.75" customHeight="1">
      <c r="A1161" s="146" t="n">
        <v>20</v>
      </c>
      <c r="B1161" s="238" t="n"/>
      <c r="C1161" s="399" t="n">
        <v>45941</v>
      </c>
      <c r="D1161" s="146" t="inlineStr">
        <is>
          <t>218 G. SAN JOSE 1</t>
        </is>
      </c>
      <c r="E1161" s="146" t="n">
        <v>43806</v>
      </c>
      <c r="F1161" s="146" t="inlineStr">
        <is>
          <t>FABIO ALDANA</t>
        </is>
      </c>
      <c r="G1161" s="395" t="n">
        <v>2835</v>
      </c>
      <c r="H1161" s="395" t="n">
        <v>2806</v>
      </c>
      <c r="I1161" s="395" t="n">
        <v>12</v>
      </c>
      <c r="J1161" s="395" t="n">
        <v>4</v>
      </c>
      <c r="K1161" s="395" t="n">
        <v>-13</v>
      </c>
      <c r="L1161" s="397" t="n">
        <v>2835</v>
      </c>
      <c r="M1161" s="113" t="n"/>
      <c r="N1161" s="113" t="n"/>
      <c r="O1161" s="113" t="n"/>
      <c r="P1161" s="398" t="n"/>
      <c r="Q1161" s="398" t="n"/>
      <c r="R1161" s="113" t="n"/>
      <c r="S1161" s="113" t="n"/>
      <c r="T1161" s="113" t="n"/>
      <c r="U1161" s="113" t="n"/>
      <c r="V1161" s="113" t="n"/>
    </row>
    <row r="1162" ht="15.75" customHeight="1">
      <c r="A1162" s="146" t="n">
        <v>20</v>
      </c>
      <c r="B1162" s="238" t="n"/>
      <c r="C1162" s="399" t="n">
        <v>45941</v>
      </c>
      <c r="D1162" s="146" t="inlineStr">
        <is>
          <t>218 G. SAN JOSE 1</t>
        </is>
      </c>
      <c r="E1162" s="146" t="n">
        <v>43807</v>
      </c>
      <c r="F1162" s="146" t="inlineStr">
        <is>
          <t>HENRY ROMERO</t>
        </is>
      </c>
      <c r="G1162" s="395" t="n">
        <v>2835</v>
      </c>
      <c r="H1162" s="395" t="n">
        <v>2810</v>
      </c>
      <c r="I1162" s="395" t="n">
        <v>8</v>
      </c>
      <c r="J1162" s="395" t="n">
        <v>5</v>
      </c>
      <c r="K1162" s="395" t="n">
        <v>-12</v>
      </c>
      <c r="L1162" s="397" t="n">
        <v>2835</v>
      </c>
      <c r="M1162" s="113" t="n"/>
      <c r="N1162" s="113" t="n"/>
      <c r="O1162" s="113" t="n"/>
      <c r="P1162" s="398" t="n"/>
      <c r="Q1162" s="398" t="n"/>
      <c r="R1162" s="113" t="n"/>
      <c r="S1162" s="113" t="n"/>
      <c r="T1162" s="113" t="n"/>
      <c r="U1162" s="113" t="n"/>
      <c r="V1162" s="113" t="n"/>
    </row>
    <row r="1163" ht="15.75" customHeight="1">
      <c r="A1163" s="146" t="n">
        <v>20</v>
      </c>
      <c r="B1163" s="238" t="n"/>
      <c r="C1163" s="399" t="n">
        <v>45941</v>
      </c>
      <c r="D1163" s="146" t="inlineStr">
        <is>
          <t>218 G. SAN JOSE 1</t>
        </is>
      </c>
      <c r="E1163" s="146" t="n">
        <v>43808</v>
      </c>
      <c r="F1163" s="146" t="inlineStr">
        <is>
          <t>ALBERTO LOPEZ</t>
        </is>
      </c>
      <c r="G1163" s="395" t="n">
        <v>2700</v>
      </c>
      <c r="H1163" s="395" t="n">
        <v>2686</v>
      </c>
      <c r="I1163" s="395" t="n">
        <v>3</v>
      </c>
      <c r="J1163" s="395" t="n">
        <v>5</v>
      </c>
      <c r="K1163" s="395" t="n">
        <v>-6</v>
      </c>
      <c r="L1163" s="397" t="n">
        <v>2700</v>
      </c>
      <c r="M1163" s="113" t="n"/>
      <c r="N1163" s="113" t="n"/>
      <c r="O1163" s="113" t="n"/>
      <c r="P1163" s="398" t="n"/>
      <c r="Q1163" s="398" t="n"/>
      <c r="R1163" s="113" t="n"/>
      <c r="S1163" s="113" t="n"/>
      <c r="T1163" s="113" t="n"/>
      <c r="U1163" s="113" t="n"/>
      <c r="V1163" s="113" t="n"/>
    </row>
    <row r="1164" ht="15.75" customHeight="1">
      <c r="A1164" s="146" t="n">
        <v>20</v>
      </c>
      <c r="B1164" s="238" t="n"/>
      <c r="C1164" s="399" t="n">
        <v>45941</v>
      </c>
      <c r="D1164" s="146" t="inlineStr">
        <is>
          <t>218 G. SAN JOSE 1</t>
        </is>
      </c>
      <c r="E1164" s="146" t="n">
        <v>43809</v>
      </c>
      <c r="F1164" s="146" t="inlineStr">
        <is>
          <t>WILMER PIÑEROS</t>
        </is>
      </c>
      <c r="G1164" s="395" t="n">
        <v>2917</v>
      </c>
      <c r="H1164" s="395" t="n">
        <v>2900</v>
      </c>
      <c r="I1164" s="395" t="n">
        <v>4</v>
      </c>
      <c r="J1164" s="395" t="n">
        <v>3</v>
      </c>
      <c r="K1164" s="395" t="n">
        <v>-10</v>
      </c>
      <c r="L1164" s="397" t="n">
        <v>2799</v>
      </c>
      <c r="M1164" s="113" t="n"/>
      <c r="N1164" s="113" t="n"/>
      <c r="O1164" s="113" t="n"/>
      <c r="P1164" s="398" t="n"/>
      <c r="Q1164" s="398" t="n"/>
      <c r="R1164" s="113" t="n"/>
      <c r="S1164" s="113" t="n"/>
      <c r="T1164" s="113" t="n"/>
      <c r="U1164" s="113" t="n"/>
      <c r="V1164" s="113" t="n"/>
    </row>
    <row r="1165" ht="15.75" customHeight="1">
      <c r="A1165" s="146" t="n">
        <v>20</v>
      </c>
      <c r="B1165" s="238" t="n"/>
      <c r="C1165" s="399" t="n">
        <v>45941</v>
      </c>
      <c r="D1165" s="146" t="inlineStr">
        <is>
          <t>218 G. SAN JOSE 1</t>
        </is>
      </c>
      <c r="E1165" s="146" t="n">
        <v>43810</v>
      </c>
      <c r="F1165" s="146" t="inlineStr">
        <is>
          <t>EDWIN ROJAS</t>
        </is>
      </c>
      <c r="G1165" s="395" t="n">
        <v>2817</v>
      </c>
      <c r="H1165" s="395" t="n">
        <v>2796</v>
      </c>
      <c r="I1165" s="395" t="n">
        <v>5</v>
      </c>
      <c r="J1165" s="395" t="n">
        <v>5</v>
      </c>
      <c r="K1165" s="395" t="n">
        <v>-11</v>
      </c>
      <c r="L1165" s="397" t="n">
        <v>2799</v>
      </c>
      <c r="M1165" s="113" t="n"/>
      <c r="N1165" s="113" t="n"/>
      <c r="O1165" s="113" t="n"/>
      <c r="P1165" s="398" t="n"/>
      <c r="Q1165" s="398" t="n"/>
      <c r="R1165" s="113" t="n"/>
      <c r="S1165" s="113" t="n"/>
      <c r="T1165" s="113" t="n"/>
      <c r="U1165" s="113" t="n"/>
      <c r="V1165" s="113" t="n"/>
    </row>
    <row r="1166" ht="15.75" customHeight="1">
      <c r="A1166" s="146" t="n">
        <v>20</v>
      </c>
      <c r="B1166" s="238" t="n"/>
      <c r="C1166" s="399" t="n">
        <v>45941</v>
      </c>
      <c r="D1166" s="146" t="inlineStr">
        <is>
          <t>218 G. SAN JOSE 1</t>
        </is>
      </c>
      <c r="E1166" s="146" t="n">
        <v>43811</v>
      </c>
      <c r="F1166" s="146" t="inlineStr">
        <is>
          <t>DUMAR ANGARITA</t>
        </is>
      </c>
      <c r="G1166" s="395" t="n">
        <v>2817</v>
      </c>
      <c r="H1166" s="395" t="n">
        <v>2795</v>
      </c>
      <c r="I1166" s="395" t="n">
        <v>3</v>
      </c>
      <c r="J1166" s="395" t="n">
        <v>5</v>
      </c>
      <c r="K1166" s="395" t="n">
        <v>-14</v>
      </c>
      <c r="L1166" s="397" t="n">
        <v>2799</v>
      </c>
      <c r="M1166" s="113" t="n"/>
      <c r="N1166" s="113" t="n"/>
      <c r="O1166" s="113" t="n"/>
      <c r="P1166" s="398" t="n"/>
      <c r="Q1166" s="398" t="n"/>
      <c r="R1166" s="113" t="n"/>
      <c r="S1166" s="113" t="n"/>
      <c r="T1166" s="113" t="n"/>
      <c r="U1166" s="113" t="n"/>
      <c r="V1166" s="113" t="n"/>
    </row>
    <row r="1167" ht="15.75" customHeight="1">
      <c r="A1167" s="146" t="n">
        <v>20</v>
      </c>
      <c r="B1167" s="238" t="n"/>
      <c r="C1167" s="399" t="n">
        <v>45942</v>
      </c>
      <c r="D1167" s="146" t="inlineStr">
        <is>
          <t>218 G. SAN JOSE 1</t>
        </is>
      </c>
      <c r="E1167" s="146" t="n">
        <v>43827</v>
      </c>
      <c r="F1167" s="146" t="inlineStr">
        <is>
          <t>JOSE SOLER</t>
        </is>
      </c>
      <c r="G1167" s="395" t="n">
        <v>2700</v>
      </c>
      <c r="H1167" s="395" t="n">
        <v>2697</v>
      </c>
      <c r="I1167" s="395" t="n">
        <v>4</v>
      </c>
      <c r="J1167" s="395" t="n">
        <v>3</v>
      </c>
      <c r="K1167" s="395" t="n">
        <v>4</v>
      </c>
      <c r="L1167" s="397" t="n">
        <v>2763</v>
      </c>
      <c r="M1167" s="113" t="n"/>
      <c r="N1167" s="113" t="n"/>
      <c r="O1167" s="113" t="n"/>
      <c r="P1167" s="398" t="n"/>
      <c r="Q1167" s="398" t="n"/>
      <c r="R1167" s="113" t="n"/>
      <c r="S1167" s="113" t="n"/>
      <c r="T1167" s="113" t="n"/>
      <c r="U1167" s="113" t="n"/>
      <c r="V1167" s="113" t="n"/>
    </row>
    <row r="1168" ht="15.75" customHeight="1">
      <c r="A1168" s="146" t="n">
        <v>20</v>
      </c>
      <c r="B1168" s="238" t="n"/>
      <c r="C1168" s="399" t="n">
        <v>45942</v>
      </c>
      <c r="D1168" s="146" t="inlineStr">
        <is>
          <t>218 G. SAN JOSE 1</t>
        </is>
      </c>
      <c r="E1168" s="146" t="n">
        <v>43828</v>
      </c>
      <c r="F1168" s="146" t="inlineStr">
        <is>
          <t>HENRY ROMERO</t>
        </is>
      </c>
      <c r="G1168" s="395" t="n">
        <v>2763</v>
      </c>
      <c r="H1168" s="395" t="n">
        <v>2755</v>
      </c>
      <c r="I1168" s="395" t="n">
        <v>5</v>
      </c>
      <c r="J1168" s="395" t="n">
        <v>5</v>
      </c>
      <c r="K1168" s="395" t="n">
        <v>2</v>
      </c>
      <c r="L1168" s="397" t="n">
        <v>2700</v>
      </c>
      <c r="M1168" s="113" t="n"/>
      <c r="N1168" s="113" t="n"/>
      <c r="O1168" s="113" t="n"/>
      <c r="P1168" s="398" t="n"/>
      <c r="Q1168" s="398" t="n"/>
      <c r="R1168" s="113" t="n"/>
      <c r="S1168" s="113" t="n"/>
      <c r="T1168" s="113" t="n"/>
      <c r="U1168" s="113" t="n"/>
      <c r="V1168" s="113" t="n"/>
    </row>
    <row r="1169" ht="15.75" customHeight="1">
      <c r="A1169" s="146" t="n">
        <v>20</v>
      </c>
      <c r="B1169" s="238" t="n"/>
      <c r="C1169" s="399" t="n">
        <v>45942</v>
      </c>
      <c r="D1169" s="146" t="inlineStr">
        <is>
          <t>218 G. SAN JOSE 1</t>
        </is>
      </c>
      <c r="E1169" s="146" t="n">
        <v>43829</v>
      </c>
      <c r="F1169" s="146" t="inlineStr">
        <is>
          <t>ROBINSON PULIDO</t>
        </is>
      </c>
      <c r="G1169" s="395" t="n">
        <v>2763</v>
      </c>
      <c r="H1169" s="395" t="n">
        <v>2758</v>
      </c>
      <c r="I1169" s="395" t="n">
        <v>4</v>
      </c>
      <c r="J1169" s="395" t="n">
        <v>3</v>
      </c>
      <c r="K1169" s="395" t="n">
        <v>2</v>
      </c>
      <c r="L1169" s="397" t="n">
        <v>2763</v>
      </c>
      <c r="M1169" s="113" t="n"/>
      <c r="N1169" s="113" t="n"/>
      <c r="O1169" s="113" t="n"/>
      <c r="P1169" s="398" t="n"/>
      <c r="Q1169" s="398" t="n"/>
      <c r="R1169" s="113" t="n"/>
      <c r="S1169" s="113" t="n"/>
      <c r="T1169" s="113" t="n"/>
      <c r="U1169" s="113" t="n"/>
      <c r="V1169" s="113" t="n"/>
    </row>
    <row r="1170" ht="15.75" customHeight="1">
      <c r="A1170" s="146" t="n">
        <v>20</v>
      </c>
      <c r="B1170" s="238" t="n"/>
      <c r="C1170" s="399" t="n">
        <v>45942</v>
      </c>
      <c r="D1170" s="146" t="inlineStr">
        <is>
          <t>218 G. SAN JOSE 1</t>
        </is>
      </c>
      <c r="E1170" s="146" t="n">
        <v>43830</v>
      </c>
      <c r="F1170" s="146" t="inlineStr">
        <is>
          <t>ALEX GOMEZ</t>
        </is>
      </c>
      <c r="G1170" s="395" t="n">
        <v>2817</v>
      </c>
      <c r="H1170" s="395" t="n">
        <v>2818</v>
      </c>
      <c r="I1170" s="395" t="n">
        <v>3</v>
      </c>
      <c r="J1170" s="395" t="n">
        <v>1</v>
      </c>
      <c r="K1170" s="395" t="n">
        <v>5</v>
      </c>
      <c r="L1170" s="397" t="n">
        <v>2817</v>
      </c>
      <c r="M1170" s="113" t="n"/>
      <c r="N1170" s="113" t="n"/>
      <c r="O1170" s="113" t="n"/>
      <c r="P1170" s="398" t="n"/>
      <c r="Q1170" s="398" t="n"/>
      <c r="R1170" s="113" t="n"/>
      <c r="S1170" s="113" t="n"/>
      <c r="T1170" s="113" t="n"/>
      <c r="U1170" s="113" t="n"/>
      <c r="V1170" s="113" t="n"/>
    </row>
    <row r="1171" ht="15.75" customHeight="1">
      <c r="A1171" s="146" t="n">
        <v>20</v>
      </c>
      <c r="B1171" s="238" t="n"/>
      <c r="C1171" s="399" t="n">
        <v>45942</v>
      </c>
      <c r="D1171" s="146" t="inlineStr">
        <is>
          <t>218 G. SAN JOSE 1</t>
        </is>
      </c>
      <c r="E1171" s="146" t="n">
        <v>43831</v>
      </c>
      <c r="F1171" s="146" t="inlineStr">
        <is>
          <t>FABIO ALDANA</t>
        </is>
      </c>
      <c r="G1171" s="395" t="n">
        <v>2916</v>
      </c>
      <c r="H1171" s="395" t="n">
        <v>2907</v>
      </c>
      <c r="I1171" s="395" t="n">
        <v>3</v>
      </c>
      <c r="J1171" s="395" t="n">
        <v>11</v>
      </c>
      <c r="K1171" s="395" t="n">
        <v>5</v>
      </c>
      <c r="L1171" s="397" t="n">
        <v>2763</v>
      </c>
      <c r="M1171" s="113" t="n"/>
      <c r="N1171" s="113" t="n"/>
      <c r="O1171" s="113" t="n"/>
      <c r="P1171" s="398" t="n"/>
      <c r="Q1171" s="398" t="n"/>
      <c r="R1171" s="113" t="n"/>
      <c r="S1171" s="113" t="n"/>
      <c r="T1171" s="113" t="n"/>
      <c r="U1171" s="113" t="n"/>
      <c r="V1171" s="113" t="n"/>
    </row>
    <row r="1172" ht="15.75" customHeight="1">
      <c r="A1172" s="146" t="n">
        <v>20</v>
      </c>
      <c r="B1172" s="238" t="n"/>
      <c r="C1172" s="399" t="n">
        <v>45942</v>
      </c>
      <c r="D1172" s="146" t="inlineStr">
        <is>
          <t>218 G. SAN JOSE 1</t>
        </is>
      </c>
      <c r="E1172" s="146" t="n">
        <v>43832</v>
      </c>
      <c r="F1172" s="146" t="inlineStr">
        <is>
          <t>ALEXANDER CHAGUALA</t>
        </is>
      </c>
      <c r="G1172" s="395" t="n">
        <v>2763</v>
      </c>
      <c r="H1172" s="395" t="n">
        <v>2762</v>
      </c>
      <c r="I1172" s="395" t="n">
        <v>3</v>
      </c>
      <c r="J1172" s="395" t="n">
        <v>8</v>
      </c>
      <c r="K1172" s="395" t="n">
        <v>10</v>
      </c>
      <c r="L1172" s="397" t="n">
        <v>2916</v>
      </c>
      <c r="M1172" s="113" t="n"/>
      <c r="N1172" s="113" t="n"/>
      <c r="O1172" s="113" t="n"/>
      <c r="P1172" s="398" t="n"/>
      <c r="Q1172" s="398" t="n"/>
      <c r="R1172" s="113" t="n"/>
      <c r="S1172" s="113" t="n"/>
      <c r="T1172" s="113" t="n"/>
      <c r="U1172" s="113" t="n"/>
      <c r="V1172" s="113" t="n"/>
    </row>
    <row r="1173" ht="15.75" customHeight="1">
      <c r="A1173" s="146" t="n">
        <v>20</v>
      </c>
      <c r="B1173" s="238" t="n"/>
      <c r="C1173" s="399" t="n">
        <v>45942</v>
      </c>
      <c r="D1173" s="146" t="inlineStr">
        <is>
          <t>218 G. SAN JOSE 1</t>
        </is>
      </c>
      <c r="E1173" s="146" t="n">
        <v>43833</v>
      </c>
      <c r="F1173" s="146" t="inlineStr">
        <is>
          <t>YAIR RIVEROS</t>
        </is>
      </c>
      <c r="G1173" s="395" t="n">
        <v>3200</v>
      </c>
      <c r="H1173" s="395" t="n">
        <v>3198</v>
      </c>
      <c r="I1173" s="395" t="n">
        <v>3</v>
      </c>
      <c r="J1173" s="395" t="n">
        <v>9</v>
      </c>
      <c r="K1173" s="395" t="n">
        <v>10</v>
      </c>
      <c r="L1173" s="397" t="n">
        <v>3200</v>
      </c>
      <c r="M1173" s="113" t="n"/>
      <c r="N1173" s="113" t="n"/>
      <c r="O1173" s="113" t="n"/>
      <c r="P1173" s="398" t="n"/>
      <c r="Q1173" s="398" t="n"/>
      <c r="R1173" s="113" t="n"/>
      <c r="S1173" s="113" t="n"/>
      <c r="T1173" s="113" t="n"/>
      <c r="U1173" s="113" t="n"/>
      <c r="V1173" s="113" t="n"/>
    </row>
    <row r="1174" ht="15.75" customHeight="1">
      <c r="A1174" s="146" t="n">
        <v>20</v>
      </c>
      <c r="B1174" s="238" t="n"/>
      <c r="C1174" s="399" t="n">
        <v>45942</v>
      </c>
      <c r="D1174" s="146" t="inlineStr">
        <is>
          <t>218 G. SAN JOSE 1</t>
        </is>
      </c>
      <c r="E1174" s="146" t="n">
        <v>43834</v>
      </c>
      <c r="F1174" s="146" t="inlineStr">
        <is>
          <t>MANUEL QUITIAN</t>
        </is>
      </c>
      <c r="G1174" s="395" t="n">
        <v>3200</v>
      </c>
      <c r="H1174" s="395" t="n">
        <v>3194</v>
      </c>
      <c r="I1174" s="395" t="n">
        <v>4</v>
      </c>
      <c r="J1174" s="395" t="n">
        <v>7</v>
      </c>
      <c r="K1174" s="395" t="n">
        <v>5</v>
      </c>
      <c r="L1174" s="397" t="n">
        <v>3484</v>
      </c>
      <c r="M1174" s="113" t="n"/>
      <c r="N1174" s="113" t="n"/>
      <c r="O1174" s="113" t="n"/>
      <c r="P1174" s="398" t="n"/>
      <c r="Q1174" s="398" t="n"/>
      <c r="R1174" s="113" t="n"/>
      <c r="S1174" s="113" t="n"/>
      <c r="T1174" s="113" t="n"/>
      <c r="U1174" s="113" t="n"/>
      <c r="V1174" s="113" t="n"/>
    </row>
    <row r="1175" ht="15.75" customHeight="1">
      <c r="A1175" s="146" t="n">
        <v>20</v>
      </c>
      <c r="B1175" s="238" t="n"/>
      <c r="C1175" s="399" t="n">
        <v>45942</v>
      </c>
      <c r="D1175" s="146" t="inlineStr">
        <is>
          <t>218 G. SAN JOSE 1</t>
        </is>
      </c>
      <c r="E1175" s="146" t="n">
        <v>43835</v>
      </c>
      <c r="F1175" s="146" t="inlineStr">
        <is>
          <t>FERNANDO OYUELA</t>
        </is>
      </c>
      <c r="G1175" s="395" t="n">
        <v>3200</v>
      </c>
      <c r="H1175" s="395" t="n">
        <v>3195</v>
      </c>
      <c r="I1175" s="395" t="n">
        <v>2</v>
      </c>
      <c r="J1175" s="395" t="n">
        <v>7</v>
      </c>
      <c r="K1175" s="395" t="n">
        <v>4</v>
      </c>
      <c r="L1175" s="397" t="n">
        <v>3200</v>
      </c>
      <c r="M1175" s="113" t="n"/>
      <c r="N1175" s="113" t="n"/>
      <c r="O1175" s="113" t="n"/>
      <c r="P1175" s="398" t="n"/>
      <c r="Q1175" s="398" t="n"/>
      <c r="R1175" s="113" t="n"/>
      <c r="S1175" s="113" t="n"/>
      <c r="T1175" s="113" t="n"/>
      <c r="U1175" s="113" t="n"/>
      <c r="V1175" s="113" t="n"/>
    </row>
    <row r="1176" ht="15.75" customHeight="1">
      <c r="A1176" s="146" t="n">
        <v>20</v>
      </c>
      <c r="B1176" s="238" t="n"/>
      <c r="C1176" s="399" t="n">
        <v>45942</v>
      </c>
      <c r="D1176" s="146" t="inlineStr">
        <is>
          <t>218 G. SAN JOSE 1</t>
        </is>
      </c>
      <c r="E1176" s="146" t="n">
        <v>43836</v>
      </c>
      <c r="F1176" s="146" t="inlineStr">
        <is>
          <t>DUMAR ANGARITA</t>
        </is>
      </c>
      <c r="G1176" s="395" t="n">
        <v>3484</v>
      </c>
      <c r="H1176" s="395" t="n">
        <v>3481</v>
      </c>
      <c r="I1176" s="395" t="n">
        <v>2</v>
      </c>
      <c r="J1176" s="395" t="n">
        <v>13</v>
      </c>
      <c r="K1176" s="395" t="n">
        <v>12</v>
      </c>
      <c r="L1176" s="397" t="n">
        <v>3200</v>
      </c>
      <c r="M1176" s="113" t="n"/>
      <c r="N1176" s="113" t="n"/>
      <c r="O1176" s="113" t="n"/>
      <c r="P1176" s="398" t="n"/>
      <c r="Q1176" s="398" t="n"/>
      <c r="R1176" s="113" t="n"/>
      <c r="S1176" s="113" t="n"/>
      <c r="T1176" s="113" t="n"/>
      <c r="U1176" s="113" t="n"/>
      <c r="V1176" s="113" t="n"/>
    </row>
    <row r="1177" ht="15.75" customHeight="1">
      <c r="A1177" s="146" t="n">
        <v>20</v>
      </c>
      <c r="B1177" s="238" t="n"/>
      <c r="C1177" s="399" t="n">
        <v>45942</v>
      </c>
      <c r="D1177" s="146" t="inlineStr">
        <is>
          <t>218 G. SAN JOSE 1</t>
        </is>
      </c>
      <c r="E1177" s="146" t="n">
        <v>43837</v>
      </c>
      <c r="F1177" s="146" t="inlineStr">
        <is>
          <t>EDWIN ROJAS</t>
        </is>
      </c>
      <c r="G1177" s="395" t="n">
        <v>3200</v>
      </c>
      <c r="H1177" s="395" t="n">
        <v>3196</v>
      </c>
      <c r="I1177" s="395" t="n">
        <v>1</v>
      </c>
      <c r="J1177" s="395" t="n">
        <v>12</v>
      </c>
      <c r="K1177" s="395" t="n">
        <v>9</v>
      </c>
      <c r="L1177" s="397" t="n">
        <v>3200</v>
      </c>
      <c r="M1177" s="113" t="n"/>
      <c r="N1177" s="113" t="n"/>
      <c r="O1177" s="113" t="n"/>
      <c r="P1177" s="398" t="n"/>
      <c r="Q1177" s="398" t="n"/>
      <c r="R1177" s="113" t="n"/>
      <c r="S1177" s="113" t="n"/>
      <c r="T1177" s="113" t="n"/>
      <c r="U1177" s="113" t="n"/>
      <c r="V1177" s="113" t="n"/>
    </row>
    <row r="1178" ht="15.75" customHeight="1">
      <c r="A1178" s="146" t="n">
        <v>20</v>
      </c>
      <c r="B1178" s="238" t="n"/>
      <c r="C1178" s="399" t="n">
        <v>45942</v>
      </c>
      <c r="D1178" s="146" t="inlineStr">
        <is>
          <t>218 G. SAN JOSE 1</t>
        </is>
      </c>
      <c r="E1178" s="146" t="n">
        <v>43838</v>
      </c>
      <c r="F1178" s="146" t="inlineStr">
        <is>
          <t>WILMER PIÑEROS</t>
        </is>
      </c>
      <c r="G1178" s="395" t="n">
        <v>3200</v>
      </c>
      <c r="H1178" s="395" t="n">
        <v>3192</v>
      </c>
      <c r="I1178" s="395" t="n">
        <v>2</v>
      </c>
      <c r="J1178" s="395" t="n">
        <v>13</v>
      </c>
      <c r="K1178" s="395" t="n">
        <v>7</v>
      </c>
      <c r="L1178" s="397" t="n">
        <v>3200</v>
      </c>
      <c r="M1178" s="113" t="n"/>
      <c r="N1178" s="113" t="n"/>
      <c r="O1178" s="113" t="n"/>
      <c r="P1178" s="398" t="n"/>
      <c r="Q1178" s="398" t="n"/>
      <c r="R1178" s="113" t="n"/>
      <c r="S1178" s="113" t="n"/>
      <c r="T1178" s="113" t="n"/>
      <c r="U1178" s="113" t="n"/>
      <c r="V1178" s="113" t="n"/>
    </row>
    <row r="1179" ht="15.75" customHeight="1">
      <c r="A1179" s="146" t="n">
        <v>20</v>
      </c>
      <c r="B1179" s="238" t="n"/>
      <c r="C1179" s="399" t="n">
        <v>45942</v>
      </c>
      <c r="D1179" s="146" t="inlineStr">
        <is>
          <t>218 G. SAN JOSE 1</t>
        </is>
      </c>
      <c r="E1179" s="146" t="n">
        <v>43839</v>
      </c>
      <c r="F1179" s="146" t="inlineStr">
        <is>
          <t>ALBERTO LOPEZ</t>
        </is>
      </c>
      <c r="G1179" s="395" t="n">
        <v>3200</v>
      </c>
      <c r="H1179" s="395" t="n">
        <v>3200</v>
      </c>
      <c r="I1179" s="395" t="n">
        <v>2</v>
      </c>
      <c r="J1179" s="395" t="n">
        <v>10</v>
      </c>
      <c r="K1179" s="395" t="n">
        <v>12</v>
      </c>
      <c r="L1179" s="397" t="n">
        <v>3200</v>
      </c>
      <c r="M1179" s="113" t="n"/>
      <c r="N1179" s="113" t="n"/>
      <c r="O1179" s="113" t="n"/>
      <c r="P1179" s="398" t="n"/>
      <c r="Q1179" s="398" t="n"/>
      <c r="R1179" s="113" t="n"/>
      <c r="S1179" s="113" t="n"/>
      <c r="T1179" s="113" t="n"/>
      <c r="U1179" s="113" t="n"/>
      <c r="V1179" s="113" t="n"/>
    </row>
    <row r="1180" ht="15.75" customHeight="1">
      <c r="A1180" s="146" t="n">
        <v>20</v>
      </c>
      <c r="B1180" s="238" t="n"/>
      <c r="C1180" s="399" t="n">
        <v>45942</v>
      </c>
      <c r="D1180" s="146" t="inlineStr">
        <is>
          <t>218 G. SAN JOSE 1</t>
        </is>
      </c>
      <c r="E1180" s="146" t="n">
        <v>43840</v>
      </c>
      <c r="F1180" s="146" t="inlineStr">
        <is>
          <t>EDUAN CAVIEDES</t>
        </is>
      </c>
      <c r="G1180" s="395" t="n">
        <v>3200</v>
      </c>
      <c r="H1180" s="395" t="n">
        <v>3192</v>
      </c>
      <c r="I1180" s="395" t="n">
        <v>3</v>
      </c>
      <c r="J1180" s="395" t="n">
        <v>8</v>
      </c>
      <c r="K1180" s="395" t="n">
        <v>3</v>
      </c>
      <c r="L1180" s="397" t="n">
        <v>3200</v>
      </c>
      <c r="M1180" s="113" t="n"/>
      <c r="N1180" s="113" t="n"/>
      <c r="O1180" s="113" t="n"/>
      <c r="P1180" s="398" t="n"/>
      <c r="Q1180" s="398" t="n"/>
      <c r="R1180" s="113" t="n"/>
      <c r="S1180" s="113" t="n"/>
      <c r="T1180" s="113" t="n"/>
      <c r="U1180" s="113" t="n"/>
      <c r="V1180" s="113" t="n"/>
    </row>
    <row r="1181" ht="15.75" customHeight="1">
      <c r="A1181" s="146" t="n">
        <v>20</v>
      </c>
      <c r="B1181" s="238" t="n"/>
      <c r="C1181" s="399" t="n">
        <v>45942</v>
      </c>
      <c r="D1181" s="146" t="inlineStr">
        <is>
          <t>218 G. SAN JOSE 1</t>
        </is>
      </c>
      <c r="E1181" s="146" t="n">
        <v>43841</v>
      </c>
      <c r="F1181" s="146" t="inlineStr">
        <is>
          <t>JAIRO CUBILLOS</t>
        </is>
      </c>
      <c r="G1181" s="395" t="n">
        <v>3200</v>
      </c>
      <c r="H1181" s="395" t="n">
        <v>3190</v>
      </c>
      <c r="I1181" s="395" t="n">
        <v>3</v>
      </c>
      <c r="J1181" s="395" t="n">
        <v>10</v>
      </c>
      <c r="K1181" s="395" t="n">
        <v>3</v>
      </c>
      <c r="L1181" s="397" t="n">
        <v>3200</v>
      </c>
      <c r="M1181" s="113" t="n"/>
      <c r="N1181" s="113" t="n"/>
      <c r="O1181" s="113" t="n"/>
      <c r="P1181" s="398" t="n"/>
      <c r="Q1181" s="398" t="n"/>
      <c r="R1181" s="113" t="n"/>
      <c r="S1181" s="113" t="n"/>
      <c r="T1181" s="113" t="n"/>
      <c r="U1181" s="113" t="n"/>
      <c r="V1181" s="113" t="n"/>
    </row>
    <row r="1182" ht="15.75" customHeight="1">
      <c r="A1182" s="146" t="n">
        <v>20</v>
      </c>
      <c r="B1182" s="238" t="n"/>
      <c r="C1182" s="399" t="n"/>
      <c r="D1182" s="113" t="n"/>
      <c r="E1182" s="113" t="n"/>
      <c r="F1182" s="113" t="n"/>
      <c r="G1182" s="477">
        <f>SUBTOTAL(9,G1088:G1181)</f>
        <v/>
      </c>
      <c r="H1182" s="477">
        <f>SUBTOTAL(9,H1088:H1181)</f>
        <v/>
      </c>
      <c r="I1182" s="477">
        <f>SUBTOTAL(9,I1088:I1181)</f>
        <v/>
      </c>
      <c r="J1182" s="477">
        <f>SUBTOTAL(9,J1088:J1181)</f>
        <v/>
      </c>
      <c r="K1182" s="477">
        <f>SUBTOTAL(9,K1088:K1181)</f>
        <v/>
      </c>
      <c r="L1182" s="477">
        <f>SUBTOTAL(9,L1088:L1181)</f>
        <v/>
      </c>
      <c r="M1182" s="113" t="n"/>
      <c r="N1182" s="113" t="n"/>
      <c r="O1182" s="113" t="n"/>
      <c r="P1182" s="398" t="n"/>
      <c r="Q1182" s="398" t="n"/>
      <c r="R1182" s="113" t="n"/>
      <c r="S1182" s="113" t="n"/>
      <c r="T1182" s="113" t="n"/>
      <c r="U1182" s="113" t="n"/>
      <c r="V1182" s="113" t="n"/>
    </row>
    <row r="1183" ht="15.75" customHeight="1">
      <c r="A1183" s="146" t="n">
        <v>21</v>
      </c>
      <c r="B1183" s="238" t="n"/>
      <c r="C1183" s="164" t="n">
        <v>45944</v>
      </c>
      <c r="D1183" s="165" t="inlineStr">
        <is>
          <t>202 G. HUERTAS</t>
        </is>
      </c>
      <c r="E1183" s="165" t="n">
        <v>43842</v>
      </c>
      <c r="F1183" s="165" t="inlineStr">
        <is>
          <t>JAIRO CUBILLOS</t>
        </is>
      </c>
      <c r="G1183" s="165" t="n">
        <v>3090</v>
      </c>
      <c r="H1183" s="165" t="n">
        <v>3088</v>
      </c>
      <c r="I1183" s="165" t="n">
        <v>2</v>
      </c>
      <c r="J1183" s="165" t="n">
        <v>5</v>
      </c>
      <c r="K1183" s="165" t="n">
        <v>5</v>
      </c>
      <c r="L1183" s="477" t="n">
        <v>3090</v>
      </c>
      <c r="M1183" s="113" t="n"/>
      <c r="N1183" s="113" t="n"/>
      <c r="O1183" s="113" t="n"/>
      <c r="P1183" s="398" t="n"/>
      <c r="Q1183" s="398" t="n"/>
      <c r="R1183" s="113" t="n"/>
      <c r="S1183" s="113" t="n"/>
      <c r="T1183" s="113" t="n"/>
      <c r="U1183" s="113" t="n"/>
      <c r="V1183" s="113" t="n"/>
    </row>
    <row r="1184" ht="15.75" customHeight="1">
      <c r="A1184" s="146" t="n">
        <v>21</v>
      </c>
      <c r="B1184" s="238" t="n"/>
      <c r="C1184" s="164" t="n">
        <v>45944</v>
      </c>
      <c r="D1184" s="165" t="inlineStr">
        <is>
          <t>202 G. HUERTAS</t>
        </is>
      </c>
      <c r="E1184" s="165" t="n">
        <v>43843</v>
      </c>
      <c r="F1184" s="165" t="inlineStr">
        <is>
          <t>YAIR RIVEROS</t>
        </is>
      </c>
      <c r="G1184" s="165" t="n">
        <v>3114</v>
      </c>
      <c r="H1184" s="165" t="n">
        <v>3103</v>
      </c>
      <c r="I1184" s="165" t="n">
        <v>1</v>
      </c>
      <c r="J1184" s="165" t="n">
        <v>3</v>
      </c>
      <c r="K1184" s="165" t="n">
        <v>-7</v>
      </c>
      <c r="L1184" s="477" t="n">
        <v>3114</v>
      </c>
      <c r="M1184" s="113" t="n"/>
      <c r="N1184" s="113" t="n"/>
      <c r="O1184" s="113" t="n"/>
      <c r="P1184" s="398" t="n"/>
      <c r="Q1184" s="398" t="n"/>
      <c r="R1184" s="113" t="n"/>
      <c r="S1184" s="113" t="n"/>
      <c r="T1184" s="113" t="n"/>
      <c r="U1184" s="113" t="n"/>
      <c r="V1184" s="113" t="n"/>
    </row>
    <row r="1185" ht="15.75" customHeight="1">
      <c r="A1185" s="146" t="n">
        <v>21</v>
      </c>
      <c r="B1185" s="238" t="n"/>
      <c r="C1185" s="399" t="n">
        <v>43844</v>
      </c>
      <c r="D1185" s="146" t="inlineStr">
        <is>
          <t>218 G. SAN JOSE 1</t>
        </is>
      </c>
      <c r="E1185" s="146" t="n">
        <v>43844</v>
      </c>
      <c r="F1185" s="146" t="inlineStr">
        <is>
          <t>ROBINSON PULIDO</t>
        </is>
      </c>
      <c r="G1185" s="395" t="n">
        <v>2826</v>
      </c>
      <c r="H1185" s="395" t="n">
        <v>2817</v>
      </c>
      <c r="I1185" s="395" t="n">
        <v>2</v>
      </c>
      <c r="J1185" s="395" t="n">
        <v>8</v>
      </c>
      <c r="K1185" s="395" t="n">
        <v>1</v>
      </c>
      <c r="L1185" s="397" t="n">
        <v>2826</v>
      </c>
      <c r="M1185" s="113" t="n"/>
      <c r="N1185" s="113" t="n"/>
      <c r="O1185" s="113" t="n"/>
      <c r="P1185" s="398" t="n"/>
      <c r="Q1185" s="398" t="n"/>
      <c r="R1185" s="113" t="n"/>
      <c r="S1185" s="113" t="n"/>
      <c r="T1185" s="113" t="n"/>
      <c r="U1185" s="113" t="n"/>
      <c r="V1185" s="113" t="n"/>
    </row>
    <row r="1186" ht="15.75" customHeight="1">
      <c r="A1186" s="146" t="n">
        <v>21</v>
      </c>
      <c r="B1186" s="238" t="n"/>
      <c r="C1186" s="399" t="n">
        <v>43845</v>
      </c>
      <c r="D1186" s="146" t="inlineStr">
        <is>
          <t>218 G. SAN JOSE 1</t>
        </is>
      </c>
      <c r="E1186" s="146" t="n">
        <v>43845</v>
      </c>
      <c r="F1186" s="146" t="inlineStr">
        <is>
          <t>ALBERTO HERRERA</t>
        </is>
      </c>
      <c r="G1186" s="395" t="n">
        <v>2916</v>
      </c>
      <c r="H1186" s="395" t="n">
        <v>2914</v>
      </c>
      <c r="I1186" s="395" t="n">
        <v>1</v>
      </c>
      <c r="J1186" s="395" t="n">
        <v>4</v>
      </c>
      <c r="K1186" s="395" t="n">
        <v>3</v>
      </c>
      <c r="L1186" s="397" t="n">
        <v>2916</v>
      </c>
      <c r="M1186" s="113" t="n"/>
      <c r="N1186" s="113" t="n"/>
      <c r="O1186" s="113" t="n"/>
      <c r="P1186" s="398" t="n"/>
      <c r="Q1186" s="398" t="n"/>
      <c r="R1186" s="113" t="n"/>
      <c r="S1186" s="113" t="n"/>
      <c r="T1186" s="113" t="n"/>
      <c r="U1186" s="113" t="n"/>
      <c r="V1186" s="113" t="n"/>
    </row>
    <row r="1187" ht="15.75" customHeight="1">
      <c r="A1187" s="146" t="n">
        <v>21</v>
      </c>
      <c r="B1187" s="238" t="n"/>
      <c r="C1187" s="399" t="n">
        <v>43846</v>
      </c>
      <c r="D1187" s="146" t="inlineStr">
        <is>
          <t>218 G. SAN JOSE 1</t>
        </is>
      </c>
      <c r="E1187" s="146" t="n">
        <v>43846</v>
      </c>
      <c r="F1187" s="146" t="inlineStr">
        <is>
          <t>ALEXANDER CHAGUALA</t>
        </is>
      </c>
      <c r="G1187" s="395" t="n">
        <v>2853</v>
      </c>
      <c r="H1187" s="395" t="n">
        <v>2851</v>
      </c>
      <c r="I1187" s="395" t="n">
        <v>2</v>
      </c>
      <c r="J1187" s="395" t="n">
        <v>4</v>
      </c>
      <c r="K1187" s="395" t="n">
        <v>4</v>
      </c>
      <c r="L1187" s="397" t="n">
        <v>2853</v>
      </c>
      <c r="M1187" s="113" t="n"/>
      <c r="N1187" s="113" t="n"/>
      <c r="O1187" s="113" t="n"/>
      <c r="P1187" s="398" t="n"/>
      <c r="Q1187" s="398" t="n"/>
      <c r="R1187" s="113" t="n"/>
      <c r="S1187" s="113" t="n"/>
      <c r="T1187" s="113" t="n"/>
      <c r="U1187" s="113" t="n"/>
      <c r="V1187" s="113" t="n"/>
    </row>
    <row r="1188" ht="15.75" customHeight="1">
      <c r="A1188" s="146" t="n">
        <v>21</v>
      </c>
      <c r="B1188" s="238" t="n"/>
      <c r="C1188" s="399" t="n">
        <v>45946</v>
      </c>
      <c r="D1188" s="146" t="inlineStr">
        <is>
          <t>218 G. SAN JOSE 1</t>
        </is>
      </c>
      <c r="E1188" s="146" t="n">
        <v>43861</v>
      </c>
      <c r="F1188" s="146" t="inlineStr">
        <is>
          <t>JAIRO CUBILLOS</t>
        </is>
      </c>
      <c r="G1188" s="395" t="n">
        <v>2916</v>
      </c>
      <c r="H1188" s="395" t="n">
        <v>2907</v>
      </c>
      <c r="I1188" s="395" t="n">
        <v>3</v>
      </c>
      <c r="J1188" s="395" t="n">
        <v>3</v>
      </c>
      <c r="K1188" s="395" t="n">
        <v>-3</v>
      </c>
      <c r="L1188" s="397" t="n">
        <v>2916</v>
      </c>
      <c r="M1188" s="113" t="n"/>
      <c r="N1188" s="113" t="n"/>
      <c r="O1188" s="113" t="n"/>
      <c r="P1188" s="398" t="n"/>
      <c r="Q1188" s="398" t="n"/>
      <c r="R1188" s="113" t="n"/>
      <c r="S1188" s="113" t="n"/>
      <c r="T1188" s="113" t="n"/>
      <c r="U1188" s="113" t="n"/>
      <c r="V1188" s="113" t="n"/>
    </row>
    <row r="1189" ht="15.75" customHeight="1">
      <c r="A1189" s="146" t="n">
        <v>21</v>
      </c>
      <c r="B1189" s="238" t="n"/>
      <c r="C1189" s="399" t="n">
        <v>45946</v>
      </c>
      <c r="D1189" s="146" t="inlineStr">
        <is>
          <t>218 G. SAN JOSE 1</t>
        </is>
      </c>
      <c r="E1189" s="146" t="n">
        <v>43862</v>
      </c>
      <c r="F1189" s="146" t="inlineStr">
        <is>
          <t>EDWIN ROJAS</t>
        </is>
      </c>
      <c r="G1189" s="395" t="n">
        <v>3050</v>
      </c>
      <c r="H1189" s="395" t="n">
        <v>3041</v>
      </c>
      <c r="I1189" s="395" t="n">
        <v>2</v>
      </c>
      <c r="J1189" s="395" t="n">
        <v>5</v>
      </c>
      <c r="K1189" s="395" t="n">
        <v>-2</v>
      </c>
      <c r="L1189" s="397" t="n">
        <v>3050</v>
      </c>
      <c r="M1189" s="113" t="n"/>
      <c r="N1189" s="113" t="n"/>
      <c r="O1189" s="113" t="n"/>
      <c r="P1189" s="398" t="n"/>
      <c r="Q1189" s="398" t="n"/>
      <c r="R1189" s="113" t="n"/>
      <c r="S1189" s="113" t="n"/>
      <c r="T1189" s="113" t="n"/>
      <c r="U1189" s="113" t="n"/>
      <c r="V1189" s="113" t="n"/>
    </row>
    <row r="1190" ht="15.75" customHeight="1">
      <c r="A1190" s="146" t="n">
        <v>21</v>
      </c>
      <c r="B1190" s="238" t="n"/>
      <c r="C1190" s="399" t="n">
        <v>45946</v>
      </c>
      <c r="D1190" s="146" t="inlineStr">
        <is>
          <t>218 G. SAN JOSE 1</t>
        </is>
      </c>
      <c r="E1190" s="146" t="n">
        <v>43863</v>
      </c>
      <c r="F1190" s="146" t="inlineStr">
        <is>
          <t>DUMAR ANGARITA</t>
        </is>
      </c>
      <c r="G1190" s="395" t="n">
        <v>3050</v>
      </c>
      <c r="H1190" s="395" t="n">
        <v>3040</v>
      </c>
      <c r="I1190" s="395" t="n">
        <v>2</v>
      </c>
      <c r="J1190" s="395" t="n">
        <v>5</v>
      </c>
      <c r="K1190" s="395" t="n">
        <v>-3</v>
      </c>
      <c r="L1190" s="397" t="n">
        <v>3050</v>
      </c>
      <c r="M1190" s="113" t="n"/>
      <c r="N1190" s="113" t="n"/>
      <c r="O1190" s="113" t="n"/>
      <c r="P1190" s="398" t="n"/>
      <c r="Q1190" s="398" t="n"/>
      <c r="R1190" s="113" t="n"/>
      <c r="S1190" s="113" t="n"/>
      <c r="T1190" s="113" t="n"/>
      <c r="U1190" s="113" t="n"/>
      <c r="V1190" s="113" t="n"/>
    </row>
    <row r="1191" ht="15.75" customHeight="1">
      <c r="A1191" s="146" t="n">
        <v>21</v>
      </c>
      <c r="B1191" s="238" t="n"/>
      <c r="C1191" s="399" t="n">
        <v>45946</v>
      </c>
      <c r="D1191" s="146" t="inlineStr">
        <is>
          <t>218 G. SAN JOSE 1</t>
        </is>
      </c>
      <c r="E1191" s="146" t="n">
        <v>43864</v>
      </c>
      <c r="F1191" s="146" t="inlineStr">
        <is>
          <t>JOSE SOLER</t>
        </is>
      </c>
      <c r="G1191" s="395" t="n">
        <v>3142</v>
      </c>
      <c r="H1191" s="395" t="n">
        <v>3134</v>
      </c>
      <c r="I1191" s="395" t="n">
        <v>1</v>
      </c>
      <c r="J1191" s="395" t="n">
        <v>8</v>
      </c>
      <c r="K1191" s="395" t="n">
        <v>1</v>
      </c>
      <c r="L1191" s="397" t="n">
        <v>3142</v>
      </c>
      <c r="M1191" s="113" t="n"/>
      <c r="N1191" s="113" t="n"/>
      <c r="O1191" s="113" t="n"/>
      <c r="P1191" s="398" t="n"/>
      <c r="Q1191" s="398" t="n"/>
      <c r="R1191" s="113" t="n"/>
      <c r="S1191" s="113" t="n"/>
      <c r="T1191" s="113" t="n"/>
      <c r="U1191" s="113" t="n"/>
      <c r="V1191" s="113" t="n"/>
    </row>
    <row r="1192" ht="15.75" customHeight="1">
      <c r="A1192" s="146" t="n">
        <v>21</v>
      </c>
      <c r="B1192" s="238" t="n"/>
      <c r="C1192" s="399" t="n">
        <v>45946</v>
      </c>
      <c r="D1192" s="146" t="inlineStr">
        <is>
          <t>218 G. SAN JOSE 1</t>
        </is>
      </c>
      <c r="E1192" s="146" t="n">
        <v>43865</v>
      </c>
      <c r="F1192" s="146" t="inlineStr">
        <is>
          <t>FERNANDO OYUELA</t>
        </is>
      </c>
      <c r="G1192" s="395" t="n">
        <v>3142</v>
      </c>
      <c r="H1192" s="395" t="n">
        <v>3130</v>
      </c>
      <c r="I1192" s="395" t="n">
        <v>1</v>
      </c>
      <c r="J1192" s="395" t="n">
        <v>7</v>
      </c>
      <c r="K1192" s="395" t="n">
        <v>-4</v>
      </c>
      <c r="L1192" s="397" t="n">
        <v>3142</v>
      </c>
      <c r="M1192" s="113" t="n"/>
      <c r="N1192" s="113" t="n"/>
      <c r="O1192" s="113" t="n"/>
      <c r="P1192" s="398" t="n"/>
      <c r="Q1192" s="398" t="n"/>
      <c r="R1192" s="113" t="n"/>
      <c r="S1192" s="113" t="n"/>
      <c r="T1192" s="113" t="n"/>
      <c r="U1192" s="113" t="n"/>
      <c r="V1192" s="113" t="n"/>
    </row>
    <row r="1193" ht="15.75" customHeight="1">
      <c r="A1193" s="146" t="n">
        <v>21</v>
      </c>
      <c r="B1193" s="238" t="n"/>
      <c r="C1193" s="399" t="n">
        <v>45946</v>
      </c>
      <c r="D1193" s="146" t="inlineStr">
        <is>
          <t>218 G. SAN JOSE 1</t>
        </is>
      </c>
      <c r="E1193" s="146" t="n">
        <v>43866</v>
      </c>
      <c r="F1193" s="146" t="inlineStr">
        <is>
          <t>HENRY ROMERO</t>
        </is>
      </c>
      <c r="G1193" s="395" t="n">
        <v>3142</v>
      </c>
      <c r="H1193" s="395" t="n">
        <v>3149</v>
      </c>
      <c r="I1193" s="395" t="n">
        <v>0</v>
      </c>
      <c r="J1193" s="395" t="n">
        <v>9</v>
      </c>
      <c r="K1193" s="395" t="n">
        <v>16</v>
      </c>
      <c r="L1193" s="397" t="n">
        <v>3142</v>
      </c>
      <c r="M1193" s="113" t="n"/>
      <c r="N1193" s="113" t="n"/>
      <c r="O1193" s="113" t="n"/>
      <c r="P1193" s="398" t="n"/>
      <c r="Q1193" s="398" t="n"/>
      <c r="R1193" s="113" t="n"/>
      <c r="S1193" s="113" t="n"/>
      <c r="T1193" s="113" t="n"/>
      <c r="U1193" s="113" t="n"/>
      <c r="V1193" s="113" t="n"/>
    </row>
    <row r="1194" ht="15.75" customHeight="1">
      <c r="A1194" s="146" t="n">
        <v>21</v>
      </c>
      <c r="B1194" s="238" t="n"/>
      <c r="C1194" s="399" t="n">
        <v>45946</v>
      </c>
      <c r="D1194" s="146" t="inlineStr">
        <is>
          <t>218 G. SAN JOSE 1</t>
        </is>
      </c>
      <c r="E1194" s="146" t="n">
        <v>43869</v>
      </c>
      <c r="F1194" s="146" t="inlineStr">
        <is>
          <t>JHON ARIAS</t>
        </is>
      </c>
      <c r="G1194" s="395" t="n">
        <v>3142</v>
      </c>
      <c r="H1194" s="395" t="n">
        <v>3153</v>
      </c>
      <c r="I1194" s="395" t="n">
        <v>5</v>
      </c>
      <c r="J1194" s="395" t="n">
        <v>6</v>
      </c>
      <c r="K1194" s="395" t="n">
        <v>22</v>
      </c>
      <c r="L1194" s="397" t="n">
        <v>3142</v>
      </c>
      <c r="M1194" s="113" t="n"/>
      <c r="N1194" s="113" t="n"/>
      <c r="O1194" s="113" t="n"/>
      <c r="P1194" s="398" t="n"/>
      <c r="Q1194" s="398" t="n"/>
      <c r="R1194" s="113" t="n"/>
      <c r="S1194" s="113" t="n"/>
      <c r="T1194" s="113" t="n"/>
      <c r="U1194" s="113" t="n"/>
      <c r="V1194" s="113" t="n"/>
    </row>
    <row r="1195" ht="15.75" customHeight="1">
      <c r="A1195" s="146" t="n">
        <v>21</v>
      </c>
      <c r="B1195" s="238" t="n"/>
      <c r="C1195" s="399" t="n">
        <v>45946</v>
      </c>
      <c r="D1195" s="146" t="inlineStr">
        <is>
          <t>218 G. SAN JOSE 1</t>
        </is>
      </c>
      <c r="E1195" s="146" t="n">
        <v>43870</v>
      </c>
      <c r="F1195" s="146" t="inlineStr">
        <is>
          <t>ALEXANDER CHAGUALA</t>
        </is>
      </c>
      <c r="G1195" s="395" t="n">
        <v>3142</v>
      </c>
      <c r="H1195" s="395" t="n">
        <v>3153</v>
      </c>
      <c r="I1195" s="395" t="n">
        <v>5</v>
      </c>
      <c r="J1195" s="395" t="n">
        <v>1</v>
      </c>
      <c r="K1195" s="395" t="n">
        <v>17</v>
      </c>
      <c r="L1195" s="397" t="n">
        <v>3142</v>
      </c>
      <c r="M1195" s="113" t="n"/>
      <c r="N1195" s="113" t="n"/>
      <c r="O1195" s="113" t="n"/>
      <c r="P1195" s="398" t="n"/>
      <c r="Q1195" s="398" t="n"/>
      <c r="R1195" s="113" t="n"/>
      <c r="S1195" s="113" t="n"/>
      <c r="T1195" s="113" t="n"/>
      <c r="U1195" s="113" t="n"/>
      <c r="V1195" s="113" t="n"/>
    </row>
    <row r="1196" ht="15.75" customHeight="1">
      <c r="A1196" s="146" t="n">
        <v>21</v>
      </c>
      <c r="B1196" s="238" t="n"/>
      <c r="C1196" s="399" t="n">
        <v>45947</v>
      </c>
      <c r="D1196" s="146" t="inlineStr">
        <is>
          <t>218 G. SAN JOSE 1</t>
        </is>
      </c>
      <c r="E1196" s="146" t="n">
        <v>43879</v>
      </c>
      <c r="F1196" s="146" t="inlineStr">
        <is>
          <t>YAIR RIVEROS</t>
        </is>
      </c>
      <c r="G1196" s="395" t="n">
        <v>3240</v>
      </c>
      <c r="H1196" s="395" t="n">
        <v>3225</v>
      </c>
      <c r="I1196" s="395" t="n">
        <v>5</v>
      </c>
      <c r="J1196" s="395" t="n">
        <v>2</v>
      </c>
      <c r="K1196" s="395" t="n">
        <v>-8</v>
      </c>
      <c r="L1196" s="397" t="n">
        <v>3240</v>
      </c>
      <c r="M1196" s="113" t="n"/>
      <c r="N1196" s="113" t="n"/>
      <c r="O1196" s="113" t="n"/>
      <c r="P1196" s="398" t="n"/>
      <c r="Q1196" s="398" t="n"/>
      <c r="R1196" s="113" t="n"/>
      <c r="S1196" s="113" t="n"/>
      <c r="T1196" s="113" t="n"/>
      <c r="U1196" s="113" t="n"/>
      <c r="V1196" s="113" t="n"/>
    </row>
    <row r="1197" ht="15.75" customHeight="1">
      <c r="A1197" s="146" t="n">
        <v>21</v>
      </c>
      <c r="B1197" s="238" t="n"/>
      <c r="C1197" s="399" t="n">
        <v>45947</v>
      </c>
      <c r="D1197" s="146" t="inlineStr">
        <is>
          <t>218 G. SAN JOSE 1</t>
        </is>
      </c>
      <c r="E1197" s="146" t="n">
        <v>43880</v>
      </c>
      <c r="F1197" s="146" t="inlineStr">
        <is>
          <t>JHON ARIAS</t>
        </is>
      </c>
      <c r="G1197" s="395" t="n">
        <v>3050</v>
      </c>
      <c r="H1197" s="395" t="n">
        <v>3038</v>
      </c>
      <c r="I1197" s="395" t="n">
        <v>5</v>
      </c>
      <c r="J1197" s="395" t="n">
        <v>4</v>
      </c>
      <c r="K1197" s="395" t="n">
        <v>-3</v>
      </c>
      <c r="L1197" s="397" t="n">
        <v>3050</v>
      </c>
      <c r="M1197" s="113" t="n"/>
      <c r="N1197" s="113" t="n"/>
      <c r="O1197" s="113" t="n"/>
      <c r="P1197" s="398" t="n"/>
      <c r="Q1197" s="398" t="n"/>
      <c r="R1197" s="113" t="n"/>
      <c r="S1197" s="113" t="n"/>
      <c r="T1197" s="113" t="n"/>
      <c r="U1197" s="113" t="n"/>
      <c r="V1197" s="113" t="n"/>
    </row>
    <row r="1198" ht="15.75" customHeight="1">
      <c r="A1198" s="146" t="n">
        <v>21</v>
      </c>
      <c r="B1198" s="238" t="n"/>
      <c r="C1198" s="399" t="n">
        <v>45947</v>
      </c>
      <c r="D1198" s="146" t="inlineStr">
        <is>
          <t>218 G. SAN JOSE 1</t>
        </is>
      </c>
      <c r="E1198" s="146" t="n">
        <v>43881</v>
      </c>
      <c r="F1198" s="146" t="inlineStr">
        <is>
          <t>MANUEL QUITIAN</t>
        </is>
      </c>
      <c r="G1198" s="395" t="n">
        <v>3240</v>
      </c>
      <c r="H1198" s="395" t="n">
        <v>3228</v>
      </c>
      <c r="I1198" s="395" t="n">
        <v>5</v>
      </c>
      <c r="J1198" s="395" t="n">
        <v>3</v>
      </c>
      <c r="K1198" s="395" t="n">
        <v>-4</v>
      </c>
      <c r="L1198" s="397" t="n">
        <v>3050</v>
      </c>
      <c r="M1198" s="113" t="n"/>
      <c r="N1198" s="113" t="n"/>
      <c r="O1198" s="113" t="n"/>
      <c r="P1198" s="398" t="n"/>
      <c r="Q1198" s="398" t="n"/>
      <c r="R1198" s="113" t="n"/>
      <c r="S1198" s="113" t="n"/>
      <c r="T1198" s="113" t="n"/>
      <c r="U1198" s="113" t="n"/>
      <c r="V1198" s="113" t="n"/>
    </row>
    <row r="1199" ht="15.75" customHeight="1">
      <c r="A1199" s="146" t="n">
        <v>21</v>
      </c>
      <c r="B1199" s="238" t="n"/>
      <c r="C1199" s="399" t="n">
        <v>45947</v>
      </c>
      <c r="D1199" s="146" t="inlineStr">
        <is>
          <t>218 G. SAN JOSE 1</t>
        </is>
      </c>
      <c r="E1199" s="146" t="n">
        <v>43882</v>
      </c>
      <c r="F1199" s="146" t="inlineStr">
        <is>
          <t>EDUAN CAVIEDES</t>
        </is>
      </c>
      <c r="G1199" s="395" t="n">
        <v>3050</v>
      </c>
      <c r="H1199" s="395" t="n">
        <v>3038</v>
      </c>
      <c r="I1199" s="395" t="n">
        <v>2</v>
      </c>
      <c r="J1199" s="395" t="n">
        <v>3</v>
      </c>
      <c r="K1199" s="395" t="n">
        <v>-7</v>
      </c>
      <c r="L1199" s="397" t="n">
        <v>3240</v>
      </c>
      <c r="M1199" s="113" t="n"/>
      <c r="N1199" s="113" t="n"/>
      <c r="O1199" s="113" t="n"/>
      <c r="P1199" s="398" t="n"/>
      <c r="Q1199" s="398" t="n"/>
      <c r="R1199" s="113" t="n"/>
      <c r="S1199" s="113" t="n"/>
      <c r="T1199" s="113" t="n"/>
      <c r="U1199" s="113" t="n"/>
      <c r="V1199" s="113" t="n"/>
    </row>
    <row r="1200" ht="15.75" customHeight="1">
      <c r="A1200" s="146" t="n">
        <v>21</v>
      </c>
      <c r="B1200" s="238" t="n"/>
      <c r="C1200" s="399" t="n">
        <v>45947</v>
      </c>
      <c r="D1200" s="146" t="inlineStr">
        <is>
          <t>218 G. SAN JOSE 1</t>
        </is>
      </c>
      <c r="E1200" s="146" t="n">
        <v>43883</v>
      </c>
      <c r="F1200" s="146" t="inlineStr">
        <is>
          <t>FABIO ALDANA</t>
        </is>
      </c>
      <c r="G1200" s="395" t="n">
        <v>3240</v>
      </c>
      <c r="H1200" s="395" t="n">
        <v>3232</v>
      </c>
      <c r="I1200" s="395" t="n">
        <v>2</v>
      </c>
      <c r="J1200" s="395" t="n">
        <v>0</v>
      </c>
      <c r="K1200" s="395" t="n">
        <v>-6</v>
      </c>
      <c r="L1200" s="397" t="n">
        <v>3240</v>
      </c>
      <c r="M1200" s="113" t="n"/>
      <c r="N1200" s="113" t="n"/>
      <c r="O1200" s="113" t="n"/>
      <c r="P1200" s="398" t="n"/>
      <c r="Q1200" s="398" t="n"/>
      <c r="R1200" s="113" t="n"/>
      <c r="S1200" s="113" t="n"/>
      <c r="T1200" s="113" t="n"/>
      <c r="U1200" s="113" t="n"/>
      <c r="V1200" s="113" t="n"/>
    </row>
    <row r="1201" ht="15.75" customHeight="1">
      <c r="A1201" s="146" t="n">
        <v>21</v>
      </c>
      <c r="B1201" s="238" t="n"/>
      <c r="C1201" s="399" t="n">
        <v>45947</v>
      </c>
      <c r="D1201" s="146" t="inlineStr">
        <is>
          <t>218 G. SAN JOSE 1</t>
        </is>
      </c>
      <c r="E1201" s="146" t="n">
        <v>43884</v>
      </c>
      <c r="F1201" s="146" t="inlineStr">
        <is>
          <t>ROBINSON SAMBONI</t>
        </is>
      </c>
      <c r="G1201" s="395" t="n">
        <v>3240</v>
      </c>
      <c r="H1201" s="395" t="n">
        <v>3232</v>
      </c>
      <c r="I1201" s="395" t="inlineStr">
        <is>
          <t>¿</t>
        </is>
      </c>
      <c r="J1201" s="395" t="n">
        <v>3</v>
      </c>
      <c r="K1201" s="395" t="n">
        <v>-4</v>
      </c>
      <c r="L1201" s="397" t="n">
        <v>3240</v>
      </c>
      <c r="M1201" s="113" t="n"/>
      <c r="N1201" s="113" t="n"/>
      <c r="O1201" s="113" t="n"/>
      <c r="P1201" s="398" t="n"/>
      <c r="Q1201" s="398" t="n"/>
      <c r="R1201" s="113" t="n"/>
      <c r="S1201" s="113" t="n"/>
      <c r="T1201" s="113" t="n"/>
      <c r="U1201" s="113" t="n"/>
      <c r="V1201" s="113" t="n"/>
    </row>
    <row r="1202" ht="15.75" customHeight="1">
      <c r="A1202" s="146" t="n">
        <v>21</v>
      </c>
      <c r="B1202" s="238" t="n"/>
      <c r="C1202" s="399" t="n">
        <v>45947</v>
      </c>
      <c r="D1202" s="146" t="inlineStr">
        <is>
          <t>218 G. SAN JOSE 1</t>
        </is>
      </c>
      <c r="E1202" s="146" t="n">
        <v>43885</v>
      </c>
      <c r="F1202" s="146" t="inlineStr">
        <is>
          <t>ALEXANDER CHAGUALA</t>
        </is>
      </c>
      <c r="G1202" s="395" t="n">
        <v>3400</v>
      </c>
      <c r="H1202" s="395" t="n">
        <v>3388</v>
      </c>
      <c r="I1202" s="395" t="n">
        <v>2</v>
      </c>
      <c r="J1202" s="395" t="n">
        <v>3</v>
      </c>
      <c r="K1202" s="395" t="n">
        <v>-7</v>
      </c>
      <c r="L1202" s="397" t="n">
        <v>3400</v>
      </c>
      <c r="M1202" s="113" t="n"/>
      <c r="N1202" s="113" t="n"/>
      <c r="O1202" s="113" t="n"/>
      <c r="P1202" s="398" t="n"/>
      <c r="Q1202" s="398" t="n"/>
      <c r="R1202" s="113" t="n"/>
      <c r="S1202" s="113" t="n"/>
      <c r="T1202" s="113" t="n"/>
      <c r="U1202" s="113" t="n"/>
      <c r="V1202" s="113" t="n"/>
    </row>
    <row r="1203" ht="15.75" customHeight="1">
      <c r="A1203" s="146" t="n">
        <v>21</v>
      </c>
      <c r="B1203" s="238" t="n"/>
      <c r="C1203" s="399" t="n">
        <v>45947</v>
      </c>
      <c r="D1203" s="146" t="inlineStr">
        <is>
          <t>218 G. SAN JOSE 1</t>
        </is>
      </c>
      <c r="E1203" s="146" t="n">
        <v>43892</v>
      </c>
      <c r="F1203" s="146" t="inlineStr">
        <is>
          <t>JOSE SOLER</t>
        </is>
      </c>
      <c r="G1203" s="395" t="n">
        <v>3400</v>
      </c>
      <c r="H1203" s="395" t="n">
        <v>3387</v>
      </c>
      <c r="I1203" s="395" t="n">
        <v>3</v>
      </c>
      <c r="J1203" s="395" t="n">
        <v>4</v>
      </c>
      <c r="K1203" s="395" t="n">
        <v>-6</v>
      </c>
      <c r="L1203" s="397" t="n">
        <v>3400</v>
      </c>
      <c r="M1203" s="113" t="n"/>
      <c r="N1203" s="113" t="n"/>
      <c r="O1203" s="113" t="n"/>
      <c r="P1203" s="398" t="n"/>
      <c r="Q1203" s="398" t="n"/>
      <c r="R1203" s="113" t="n"/>
      <c r="S1203" s="113" t="n"/>
      <c r="T1203" s="113" t="n"/>
      <c r="U1203" s="113" t="n"/>
      <c r="V1203" s="113" t="n"/>
    </row>
    <row r="1204" ht="15.75" customHeight="1">
      <c r="A1204" s="146" t="n">
        <v>21</v>
      </c>
      <c r="B1204" s="238" t="n"/>
      <c r="C1204" s="399" t="n">
        <v>45947</v>
      </c>
      <c r="D1204" s="146" t="inlineStr">
        <is>
          <t>218 G. SAN JOSE 1</t>
        </is>
      </c>
      <c r="E1204" s="146" t="n">
        <v>43893</v>
      </c>
      <c r="F1204" s="146" t="inlineStr">
        <is>
          <t>ALBERTO LOPEZ</t>
        </is>
      </c>
      <c r="G1204" s="395" t="n">
        <v>3400</v>
      </c>
      <c r="H1204" s="395" t="n">
        <v>3383</v>
      </c>
      <c r="I1204" s="395" t="n">
        <v>3</v>
      </c>
      <c r="J1204" s="395" t="n">
        <v>2</v>
      </c>
      <c r="K1204" s="395" t="n">
        <v>-12</v>
      </c>
      <c r="L1204" s="397" t="n">
        <v>3400</v>
      </c>
      <c r="M1204" s="113" t="n"/>
      <c r="N1204" s="113" t="n"/>
      <c r="O1204" s="113" t="n"/>
      <c r="P1204" s="398" t="n"/>
      <c r="Q1204" s="398" t="n"/>
      <c r="R1204" s="113" t="n"/>
      <c r="S1204" s="113" t="n"/>
      <c r="T1204" s="113" t="n"/>
      <c r="U1204" s="113" t="n"/>
      <c r="V1204" s="113" t="n"/>
    </row>
    <row r="1205" ht="15.75" customHeight="1">
      <c r="A1205" s="146" t="n">
        <v>21</v>
      </c>
      <c r="B1205" s="238" t="n"/>
      <c r="C1205" s="399" t="n">
        <v>45947</v>
      </c>
      <c r="D1205" s="146" t="inlineStr">
        <is>
          <t>218 G. SAN JOSE 1</t>
        </is>
      </c>
      <c r="E1205" s="146" t="n">
        <v>43894</v>
      </c>
      <c r="F1205" s="146" t="inlineStr">
        <is>
          <t>YAIR RIVEROS</t>
        </is>
      </c>
      <c r="G1205" s="395" t="n">
        <v>3000</v>
      </c>
      <c r="H1205" s="395" t="n">
        <v>2981</v>
      </c>
      <c r="I1205" s="395" t="n">
        <v>3</v>
      </c>
      <c r="J1205" s="395" t="n">
        <v>4</v>
      </c>
      <c r="K1205" s="395" t="n">
        <v>-12</v>
      </c>
      <c r="L1205" s="397" t="n">
        <v>3000</v>
      </c>
      <c r="M1205" s="113" t="n"/>
      <c r="N1205" s="113" t="n"/>
      <c r="O1205" s="113" t="n"/>
      <c r="P1205" s="398" t="n"/>
      <c r="Q1205" s="398" t="n"/>
      <c r="R1205" s="113" t="n"/>
      <c r="S1205" s="113" t="n"/>
      <c r="T1205" s="113" t="n"/>
      <c r="U1205" s="113" t="n"/>
      <c r="V1205" s="113" t="n"/>
    </row>
    <row r="1206" ht="15.75" customHeight="1">
      <c r="A1206" s="146" t="n">
        <v>21</v>
      </c>
      <c r="B1206" s="238" t="n"/>
      <c r="C1206" s="399" t="n">
        <v>45947</v>
      </c>
      <c r="D1206" s="146" t="inlineStr">
        <is>
          <t>218 G. SAN JOSE 1</t>
        </is>
      </c>
      <c r="E1206" s="146" t="n">
        <v>43895</v>
      </c>
      <c r="F1206" s="146" t="inlineStr">
        <is>
          <t>JHON ARIAS</t>
        </is>
      </c>
      <c r="G1206" s="395" t="n">
        <v>2950</v>
      </c>
      <c r="H1206" s="395" t="n">
        <v>2935</v>
      </c>
      <c r="I1206" s="395" t="n">
        <v>3</v>
      </c>
      <c r="J1206" s="395" t="n">
        <v>2</v>
      </c>
      <c r="K1206" s="395" t="n">
        <v>-10</v>
      </c>
      <c r="L1206" s="397" t="n">
        <v>2950</v>
      </c>
      <c r="M1206" s="113" t="n"/>
      <c r="N1206" s="113" t="n"/>
      <c r="O1206" s="113" t="n"/>
      <c r="P1206" s="398" t="n"/>
      <c r="Q1206" s="398" t="n"/>
      <c r="R1206" s="113" t="n"/>
      <c r="S1206" s="113" t="n"/>
      <c r="T1206" s="113" t="n"/>
      <c r="U1206" s="113" t="n"/>
      <c r="V1206" s="113" t="n"/>
    </row>
    <row r="1207" ht="15.75" customHeight="1">
      <c r="A1207" s="146" t="n">
        <v>21</v>
      </c>
      <c r="B1207" s="238" t="n"/>
      <c r="C1207" s="399" t="n">
        <v>45947</v>
      </c>
      <c r="D1207" s="146" t="inlineStr">
        <is>
          <t>218 G. SAN JOSE 1</t>
        </is>
      </c>
      <c r="E1207" s="146" t="n">
        <v>43896</v>
      </c>
      <c r="F1207" s="146" t="inlineStr">
        <is>
          <t>MANUEL QUITIAN</t>
        </is>
      </c>
      <c r="G1207" s="395" t="n">
        <v>2950</v>
      </c>
      <c r="H1207" s="395" t="n">
        <v>2928</v>
      </c>
      <c r="I1207" s="395" t="n">
        <v>3</v>
      </c>
      <c r="J1207" s="395" t="n">
        <v>12</v>
      </c>
      <c r="K1207" s="395" t="n">
        <v>-7</v>
      </c>
      <c r="L1207" s="397" t="n">
        <v>2950</v>
      </c>
      <c r="M1207" s="113" t="n"/>
      <c r="N1207" s="113" t="n"/>
      <c r="O1207" s="113" t="n"/>
      <c r="P1207" s="398" t="n"/>
      <c r="Q1207" s="398" t="n"/>
      <c r="R1207" s="113" t="n"/>
      <c r="S1207" s="113" t="n"/>
      <c r="T1207" s="113" t="n"/>
      <c r="U1207" s="113" t="n"/>
      <c r="V1207" s="113" t="n"/>
    </row>
    <row r="1208" ht="15.75" customHeight="1">
      <c r="A1208" s="146" t="n">
        <v>21</v>
      </c>
      <c r="B1208" s="238" t="n"/>
      <c r="C1208" s="399" t="n">
        <v>45947</v>
      </c>
      <c r="D1208" s="146" t="inlineStr">
        <is>
          <t>218 G. SAN JOSE 1</t>
        </is>
      </c>
      <c r="E1208" s="146" t="n">
        <v>43897</v>
      </c>
      <c r="F1208" s="146" t="inlineStr">
        <is>
          <t>EDUAN CAVIEDES</t>
        </is>
      </c>
      <c r="G1208" s="395" t="n">
        <v>2916</v>
      </c>
      <c r="H1208" s="395" t="n">
        <v>2905</v>
      </c>
      <c r="I1208" s="395" t="n">
        <v>5</v>
      </c>
      <c r="J1208" s="395" t="n">
        <v>5</v>
      </c>
      <c r="K1208" s="395" t="n">
        <v>-1</v>
      </c>
      <c r="L1208" s="397" t="n">
        <v>2950</v>
      </c>
      <c r="M1208" s="113" t="n"/>
      <c r="N1208" s="113" t="n"/>
      <c r="O1208" s="113" t="n"/>
      <c r="P1208" s="398" t="n"/>
      <c r="Q1208" s="398" t="n"/>
      <c r="R1208" s="113" t="n"/>
      <c r="S1208" s="113" t="n"/>
      <c r="T1208" s="113" t="n"/>
      <c r="U1208" s="113" t="n"/>
      <c r="V1208" s="113" t="n"/>
    </row>
    <row r="1209" ht="15.75" customHeight="1">
      <c r="A1209" s="146" t="n">
        <v>21</v>
      </c>
      <c r="B1209" s="238" t="n"/>
      <c r="C1209" s="399" t="n">
        <v>45947</v>
      </c>
      <c r="D1209" s="146" t="inlineStr">
        <is>
          <t>218 G. SAN JOSE 1</t>
        </is>
      </c>
      <c r="E1209" s="146" t="n">
        <v>43898</v>
      </c>
      <c r="F1209" s="146" t="inlineStr">
        <is>
          <t>FABIO ALDANA</t>
        </is>
      </c>
      <c r="G1209" s="395" t="n">
        <v>2916</v>
      </c>
      <c r="H1209" s="395" t="n">
        <v>2897</v>
      </c>
      <c r="I1209" s="395" t="n">
        <v>3</v>
      </c>
      <c r="J1209" s="395" t="n">
        <v>13</v>
      </c>
      <c r="K1209" s="395" t="n">
        <v>-3</v>
      </c>
      <c r="L1209" s="397" t="n">
        <v>2916</v>
      </c>
      <c r="M1209" s="113" t="n"/>
      <c r="N1209" s="113" t="n"/>
      <c r="O1209" s="113" t="n"/>
      <c r="P1209" s="398" t="n"/>
      <c r="Q1209" s="398" t="n"/>
      <c r="R1209" s="113" t="n"/>
      <c r="S1209" s="113" t="n"/>
      <c r="T1209" s="113" t="n"/>
      <c r="U1209" s="113" t="n"/>
      <c r="V1209" s="113" t="n"/>
    </row>
    <row r="1210" ht="15.75" customHeight="1">
      <c r="A1210" s="146" t="n">
        <v>21</v>
      </c>
      <c r="B1210" s="238" t="n"/>
      <c r="C1210" s="495" t="n">
        <v>45948</v>
      </c>
      <c r="D1210" s="23" t="inlineStr">
        <is>
          <t>202 G. HUERTAS</t>
        </is>
      </c>
      <c r="E1210" s="23" t="n">
        <v>43913</v>
      </c>
      <c r="F1210" s="23" t="inlineStr">
        <is>
          <t>HENRY ROMERO</t>
        </is>
      </c>
      <c r="G1210" s="496" t="n">
        <v>2370</v>
      </c>
      <c r="H1210" s="496" t="n">
        <v>2363</v>
      </c>
      <c r="I1210" s="496" t="n">
        <v>1</v>
      </c>
      <c r="J1210" s="496" t="n">
        <v>6</v>
      </c>
      <c r="K1210" s="496" t="n">
        <v>0</v>
      </c>
      <c r="L1210" s="397" t="n">
        <v>2360</v>
      </c>
      <c r="M1210" s="113" t="n"/>
      <c r="N1210" s="113" t="n"/>
      <c r="O1210" s="113" t="n"/>
      <c r="P1210" s="398" t="n"/>
      <c r="Q1210" s="398" t="n"/>
      <c r="R1210" s="113" t="n"/>
      <c r="S1210" s="113" t="n"/>
      <c r="T1210" s="113" t="n"/>
      <c r="U1210" s="113" t="n"/>
      <c r="V1210" s="113" t="n"/>
    </row>
    <row r="1211" ht="15.75" customHeight="1">
      <c r="A1211" s="146" t="n">
        <v>21</v>
      </c>
      <c r="B1211" s="238" t="n"/>
      <c r="C1211" s="495" t="n">
        <v>45948</v>
      </c>
      <c r="D1211" s="23" t="inlineStr">
        <is>
          <t>202 G. HUERTAS</t>
        </is>
      </c>
      <c r="E1211" s="23" t="n">
        <v>43914</v>
      </c>
      <c r="F1211" s="23" t="inlineStr">
        <is>
          <t>JAIRO CUBILLOS</t>
        </is>
      </c>
      <c r="G1211" s="496" t="n">
        <v>2167</v>
      </c>
      <c r="H1211" s="496" t="n">
        <v>2162</v>
      </c>
      <c r="I1211" s="496" t="n">
        <v>1</v>
      </c>
      <c r="J1211" s="496" t="n">
        <v>4</v>
      </c>
      <c r="K1211" s="496" t="n">
        <v>0</v>
      </c>
      <c r="L1211" s="397" t="n">
        <v>2360</v>
      </c>
      <c r="M1211" s="113" t="n"/>
      <c r="N1211" s="113" t="n"/>
      <c r="O1211" s="113" t="n"/>
      <c r="P1211" s="398" t="n"/>
      <c r="Q1211" s="398" t="n"/>
      <c r="R1211" s="113" t="n"/>
      <c r="S1211" s="113" t="n"/>
      <c r="T1211" s="113" t="n"/>
      <c r="U1211" s="113" t="n"/>
      <c r="V1211" s="113" t="n"/>
    </row>
    <row r="1212" ht="15.75" customHeight="1">
      <c r="A1212" s="146" t="n">
        <v>21</v>
      </c>
      <c r="B1212" s="238" t="n"/>
      <c r="C1212" s="399" t="n">
        <v>45948</v>
      </c>
      <c r="D1212" s="146" t="inlineStr">
        <is>
          <t>218 G. SAN JOSE 1</t>
        </is>
      </c>
      <c r="E1212" s="146" t="n">
        <v>43919</v>
      </c>
      <c r="F1212" s="146" t="inlineStr">
        <is>
          <t>EDUAN CAVIEDES</t>
        </is>
      </c>
      <c r="G1212" s="395" t="n">
        <v>2916</v>
      </c>
      <c r="H1212" s="395" t="n">
        <v>2912</v>
      </c>
      <c r="I1212" s="395" t="n">
        <v>3</v>
      </c>
      <c r="J1212" s="395" t="n">
        <v>7</v>
      </c>
      <c r="K1212" s="395" t="n">
        <v>6</v>
      </c>
      <c r="L1212" s="397" t="n">
        <v>2916</v>
      </c>
      <c r="M1212" s="113" t="n"/>
      <c r="N1212" s="113" t="n"/>
      <c r="O1212" s="113" t="n"/>
      <c r="P1212" s="398" t="n"/>
      <c r="Q1212" s="398" t="n"/>
      <c r="R1212" s="113" t="n"/>
      <c r="S1212" s="113" t="n"/>
      <c r="T1212" s="113" t="n"/>
      <c r="U1212" s="113" t="n"/>
      <c r="V1212" s="113" t="n"/>
    </row>
    <row r="1213" ht="15.75" customHeight="1">
      <c r="A1213" s="146" t="n">
        <v>21</v>
      </c>
      <c r="B1213" s="238" t="n"/>
      <c r="C1213" s="399" t="n">
        <v>45948</v>
      </c>
      <c r="D1213" s="146" t="inlineStr">
        <is>
          <t>218 G. SAN JOSE 1</t>
        </is>
      </c>
      <c r="E1213" s="146" t="n">
        <v>43920</v>
      </c>
      <c r="F1213" s="146" t="inlineStr">
        <is>
          <t>JOSE SOLER</t>
        </is>
      </c>
      <c r="G1213" s="395" t="n">
        <v>1730</v>
      </c>
      <c r="H1213" s="395" t="n">
        <v>1720</v>
      </c>
      <c r="I1213" s="395" t="n">
        <v>4</v>
      </c>
      <c r="J1213" s="395" t="n">
        <v>5</v>
      </c>
      <c r="K1213" s="395" t="n">
        <v>-1</v>
      </c>
      <c r="L1213" s="397" t="n">
        <v>1730</v>
      </c>
      <c r="M1213" s="113" t="n"/>
      <c r="N1213" s="113" t="n"/>
      <c r="O1213" s="113" t="n"/>
      <c r="P1213" s="398" t="n"/>
      <c r="Q1213" s="398" t="n"/>
      <c r="R1213" s="113" t="n"/>
      <c r="S1213" s="113" t="n"/>
      <c r="T1213" s="113" t="n"/>
      <c r="U1213" s="113" t="n"/>
      <c r="V1213" s="113" t="n"/>
    </row>
    <row r="1214" ht="15.75" customHeight="1">
      <c r="A1214" s="146" t="n">
        <v>21</v>
      </c>
      <c r="B1214" s="238" t="n"/>
      <c r="C1214" s="399" t="n">
        <v>45948</v>
      </c>
      <c r="D1214" s="146" t="inlineStr">
        <is>
          <t>218 G. SAN JOSE 1</t>
        </is>
      </c>
      <c r="E1214" s="146" t="n">
        <v>43921</v>
      </c>
      <c r="F1214" s="146" t="inlineStr">
        <is>
          <t>YAIR RIVEROS</t>
        </is>
      </c>
      <c r="G1214" s="395" t="n">
        <v>3600</v>
      </c>
      <c r="H1214" s="395" t="n">
        <v>3595</v>
      </c>
      <c r="I1214" s="395" t="n">
        <v>4</v>
      </c>
      <c r="J1214" s="395" t="n">
        <v>6</v>
      </c>
      <c r="K1214" s="395" t="n">
        <v>5</v>
      </c>
      <c r="L1214" s="397" t="n">
        <v>3600</v>
      </c>
      <c r="M1214" s="113" t="n"/>
      <c r="N1214" s="113" t="n"/>
      <c r="O1214" s="113" t="n"/>
      <c r="P1214" s="398" t="n"/>
      <c r="Q1214" s="398" t="n"/>
      <c r="R1214" s="113" t="n"/>
      <c r="S1214" s="113" t="n"/>
      <c r="T1214" s="113" t="n"/>
      <c r="U1214" s="113" t="n"/>
      <c r="V1214" s="113" t="n"/>
    </row>
    <row r="1215" ht="15.75" customHeight="1">
      <c r="A1215" s="146" t="n">
        <v>21</v>
      </c>
      <c r="B1215" s="238" t="n"/>
      <c r="C1215" s="399" t="n"/>
      <c r="D1215" s="113" t="n"/>
      <c r="E1215" s="113" t="n"/>
      <c r="F1215" s="113" t="n"/>
      <c r="G1215" s="477">
        <f>SUBTOTAL(9,G1183:G1214)</f>
        <v/>
      </c>
      <c r="H1215" s="477">
        <f>SUBTOTAL(9,H1183:H1214)</f>
        <v/>
      </c>
      <c r="I1215" s="477">
        <f>SUBTOTAL(9,I1183:I1214)</f>
        <v/>
      </c>
      <c r="J1215" s="477">
        <f>SUBTOTAL(9,J1183:J1214)</f>
        <v/>
      </c>
      <c r="K1215" s="477">
        <f>SUBTOTAL(9,K1183:K1214)</f>
        <v/>
      </c>
      <c r="L1215" s="477">
        <f>SUBTOTAL(9,L1183:L1214)</f>
        <v/>
      </c>
      <c r="M1215" s="113" t="n"/>
      <c r="N1215" s="113" t="n"/>
      <c r="O1215" s="113" t="n"/>
      <c r="P1215" s="398" t="n"/>
      <c r="Q1215" s="398" t="n"/>
      <c r="R1215" s="113" t="n"/>
      <c r="S1215" s="113" t="n"/>
      <c r="T1215" s="113" t="n"/>
      <c r="U1215" s="113" t="n"/>
      <c r="V1215" s="113" t="n"/>
    </row>
    <row r="1216" ht="15.75" customHeight="1">
      <c r="A1216" s="146" t="n">
        <v>22</v>
      </c>
      <c r="B1216" s="238" t="n"/>
      <c r="C1216" s="399" t="n">
        <v>45950</v>
      </c>
      <c r="D1216" s="146" t="inlineStr">
        <is>
          <t>218 G. SAN JOSE 1</t>
        </is>
      </c>
      <c r="E1216" s="146" t="n">
        <v>43932</v>
      </c>
      <c r="F1216" s="146" t="inlineStr">
        <is>
          <t>ROBINSON PULIDO</t>
        </is>
      </c>
      <c r="G1216" s="395" t="n">
        <v>3420</v>
      </c>
      <c r="H1216" s="395" t="n">
        <v>3414</v>
      </c>
      <c r="I1216" s="395" t="n">
        <v>2</v>
      </c>
      <c r="J1216" s="395" t="n">
        <v>4</v>
      </c>
      <c r="K1216" s="395" t="n">
        <v>0</v>
      </c>
      <c r="L1216" s="397" t="n">
        <v>3420</v>
      </c>
      <c r="M1216" s="113" t="n"/>
      <c r="N1216" s="113" t="n"/>
      <c r="O1216" s="113" t="n"/>
      <c r="P1216" s="398" t="n"/>
      <c r="Q1216" s="398" t="n"/>
      <c r="R1216" s="113" t="n"/>
      <c r="S1216" s="113" t="n"/>
      <c r="T1216" s="113" t="n"/>
      <c r="U1216" s="113" t="n"/>
      <c r="V1216" s="113" t="n"/>
    </row>
    <row r="1217" ht="15.75" customHeight="1">
      <c r="A1217" s="146" t="n">
        <v>22</v>
      </c>
      <c r="B1217" s="238" t="n"/>
      <c r="C1217" s="399" t="n">
        <v>45950</v>
      </c>
      <c r="D1217" s="146" t="inlineStr">
        <is>
          <t>218 G. SAN JOSE 1</t>
        </is>
      </c>
      <c r="E1217" s="146" t="n">
        <v>43933</v>
      </c>
      <c r="F1217" s="146" t="inlineStr">
        <is>
          <t>JHON ARIAS</t>
        </is>
      </c>
      <c r="G1217" s="395" t="n">
        <v>3420</v>
      </c>
      <c r="H1217" s="395" t="n">
        <v>3411</v>
      </c>
      <c r="I1217" s="395" t="n">
        <v>2</v>
      </c>
      <c r="J1217" s="395" t="n">
        <v>8</v>
      </c>
      <c r="K1217" s="395" t="n">
        <v>1</v>
      </c>
      <c r="L1217" s="397" t="n">
        <v>3420</v>
      </c>
      <c r="M1217" s="113" t="n"/>
      <c r="N1217" s="113" t="n"/>
      <c r="O1217" s="113" t="n"/>
      <c r="P1217" s="398" t="n"/>
      <c r="Q1217" s="398" t="n"/>
      <c r="R1217" s="113" t="n"/>
      <c r="S1217" s="113" t="n"/>
      <c r="T1217" s="113" t="n"/>
      <c r="U1217" s="113" t="n"/>
      <c r="V1217" s="113" t="n"/>
    </row>
    <row r="1218" ht="15.75" customHeight="1">
      <c r="A1218" s="146" t="n">
        <v>22</v>
      </c>
      <c r="B1218" s="238" t="n"/>
      <c r="C1218" s="399" t="n">
        <v>45950</v>
      </c>
      <c r="D1218" s="146" t="inlineStr">
        <is>
          <t>218 G. SAN JOSE 1</t>
        </is>
      </c>
      <c r="E1218" s="146" t="n">
        <v>43934</v>
      </c>
      <c r="F1218" s="146" t="inlineStr">
        <is>
          <t>MANUEL QUITIAN</t>
        </is>
      </c>
      <c r="G1218" s="395" t="n">
        <v>2840</v>
      </c>
      <c r="H1218" s="395" t="n">
        <v>2830</v>
      </c>
      <c r="I1218" s="395" t="n">
        <v>3</v>
      </c>
      <c r="J1218" s="395" t="n">
        <v>7</v>
      </c>
      <c r="K1218" s="395" t="n">
        <v>0</v>
      </c>
      <c r="L1218" s="397" t="n">
        <v>2840</v>
      </c>
      <c r="M1218" s="113" t="n"/>
      <c r="N1218" s="113" t="n"/>
      <c r="O1218" s="113" t="n"/>
      <c r="P1218" s="398" t="n"/>
      <c r="Q1218" s="398" t="n"/>
      <c r="R1218" s="113" t="n"/>
      <c r="S1218" s="113" t="n"/>
      <c r="T1218" s="113" t="n"/>
      <c r="U1218" s="113" t="n"/>
      <c r="V1218" s="113" t="n"/>
    </row>
    <row r="1219" ht="15.75" customHeight="1">
      <c r="A1219" s="146" t="n">
        <v>22</v>
      </c>
      <c r="B1219" s="238" t="n"/>
      <c r="C1219" s="399" t="n">
        <v>45950</v>
      </c>
      <c r="D1219" s="146" t="inlineStr">
        <is>
          <t>218 G. SAN JOSE 1</t>
        </is>
      </c>
      <c r="E1219" s="146" t="n">
        <v>43935</v>
      </c>
      <c r="F1219" s="146" t="inlineStr">
        <is>
          <t>ALBERTO LOPEZ</t>
        </is>
      </c>
      <c r="G1219" s="395" t="n">
        <v>3000</v>
      </c>
      <c r="H1219" s="395" t="n">
        <v>2991</v>
      </c>
      <c r="I1219" s="395" t="n">
        <v>2</v>
      </c>
      <c r="J1219" s="395" t="n">
        <v>8</v>
      </c>
      <c r="K1219" s="395" t="n">
        <v>1</v>
      </c>
      <c r="L1219" s="397" t="n">
        <v>3000</v>
      </c>
      <c r="M1219" s="113" t="n"/>
      <c r="N1219" s="113" t="n"/>
      <c r="O1219" s="113" t="n"/>
      <c r="P1219" s="398" t="n"/>
      <c r="Q1219" s="398" t="n"/>
      <c r="R1219" s="113" t="n"/>
      <c r="S1219" s="113" t="n"/>
      <c r="T1219" s="113" t="n"/>
      <c r="U1219" s="113" t="n"/>
      <c r="V1219" s="113" t="n"/>
    </row>
    <row r="1220" ht="15.75" customHeight="1">
      <c r="A1220" s="146" t="n">
        <v>22</v>
      </c>
      <c r="B1220" s="238" t="n"/>
      <c r="C1220" s="399" t="n">
        <v>45950</v>
      </c>
      <c r="D1220" s="146" t="inlineStr">
        <is>
          <t>218 G. SAN JOSE 1</t>
        </is>
      </c>
      <c r="E1220" s="146" t="n">
        <v>43936</v>
      </c>
      <c r="F1220" s="146" t="inlineStr">
        <is>
          <t>EDUAN CAVIEDES</t>
        </is>
      </c>
      <c r="G1220" s="395" t="n">
        <v>3000</v>
      </c>
      <c r="H1220" s="395" t="n">
        <v>2965</v>
      </c>
      <c r="I1220" s="395" t="n">
        <v>8</v>
      </c>
      <c r="J1220" s="395" t="n">
        <v>5</v>
      </c>
      <c r="K1220" s="395" t="n">
        <v>-22</v>
      </c>
      <c r="L1220" s="397" t="n">
        <v>3000</v>
      </c>
      <c r="M1220" s="113" t="n"/>
      <c r="N1220" s="113" t="n"/>
      <c r="O1220" s="113" t="n"/>
      <c r="P1220" s="398" t="n"/>
      <c r="Q1220" s="398" t="n"/>
      <c r="R1220" s="113" t="n"/>
      <c r="S1220" s="113" t="n"/>
      <c r="T1220" s="113" t="n"/>
      <c r="U1220" s="113" t="n"/>
      <c r="V1220" s="113" t="n"/>
    </row>
    <row r="1221" ht="15.75" customHeight="1">
      <c r="A1221" s="146" t="n">
        <v>22</v>
      </c>
      <c r="B1221" s="238" t="n"/>
      <c r="C1221" s="399" t="n">
        <v>45950</v>
      </c>
      <c r="D1221" s="146" t="inlineStr">
        <is>
          <t>218 G. SAN JOSE 1</t>
        </is>
      </c>
      <c r="E1221" s="146" t="n">
        <v>43937</v>
      </c>
      <c r="F1221" s="146" t="inlineStr">
        <is>
          <t>ALEXANDER CHAGUALA</t>
        </is>
      </c>
      <c r="G1221" s="395" t="n">
        <v>3240</v>
      </c>
      <c r="H1221" s="395" t="n">
        <v>3204</v>
      </c>
      <c r="I1221" s="395" t="n">
        <v>7</v>
      </c>
      <c r="J1221" s="395" t="n">
        <v>7</v>
      </c>
      <c r="K1221" s="395" t="n">
        <v>-22</v>
      </c>
      <c r="L1221" s="397" t="n">
        <v>3240</v>
      </c>
      <c r="M1221" s="113" t="n"/>
      <c r="N1221" s="113" t="n"/>
      <c r="O1221" s="113" t="n"/>
      <c r="P1221" s="398" t="n"/>
      <c r="Q1221" s="398" t="n"/>
      <c r="R1221" s="113" t="n"/>
      <c r="S1221" s="113" t="n"/>
      <c r="T1221" s="113" t="n"/>
      <c r="U1221" s="113" t="n"/>
      <c r="V1221" s="113" t="n"/>
    </row>
    <row r="1222" ht="15.75" customHeight="1">
      <c r="A1222" s="146" t="n">
        <v>22</v>
      </c>
      <c r="B1222" s="238" t="n"/>
      <c r="C1222" s="399" t="n">
        <v>45950</v>
      </c>
      <c r="D1222" s="146" t="inlineStr">
        <is>
          <t>218 G. SAN JOSE 1</t>
        </is>
      </c>
      <c r="E1222" s="146" t="n">
        <v>43938</v>
      </c>
      <c r="F1222" s="146" t="inlineStr">
        <is>
          <t>JAIRO CUBILLOS</t>
        </is>
      </c>
      <c r="G1222" s="395" t="n">
        <v>2510</v>
      </c>
      <c r="H1222" s="395" t="n">
        <v>2468</v>
      </c>
      <c r="I1222" s="395" t="n">
        <v>7</v>
      </c>
      <c r="J1222" s="395" t="n">
        <v>4</v>
      </c>
      <c r="K1222" s="395" t="n">
        <v>-31</v>
      </c>
      <c r="L1222" s="397" t="n">
        <v>2510</v>
      </c>
      <c r="M1222" s="113" t="n"/>
      <c r="N1222" s="113" t="n"/>
      <c r="O1222" s="113" t="n"/>
      <c r="P1222" s="398" t="n"/>
      <c r="Q1222" s="398" t="n"/>
      <c r="R1222" s="113" t="n"/>
      <c r="S1222" s="113" t="n"/>
      <c r="T1222" s="113" t="n"/>
      <c r="U1222" s="113" t="n"/>
      <c r="V1222" s="113" t="n"/>
    </row>
    <row r="1223" ht="15.75" customHeight="1">
      <c r="A1223" s="146" t="n">
        <v>22</v>
      </c>
      <c r="B1223" s="238" t="n"/>
      <c r="C1223" s="164" t="n">
        <v>45951</v>
      </c>
      <c r="D1223" s="165" t="inlineStr">
        <is>
          <t>202 G. HUERTAS</t>
        </is>
      </c>
      <c r="E1223" s="165" t="n">
        <v>43950</v>
      </c>
      <c r="F1223" s="165" t="inlineStr">
        <is>
          <t>MANUEL QUITIAN</t>
        </is>
      </c>
      <c r="G1223" s="165" t="n">
        <v>3240</v>
      </c>
      <c r="H1223" s="165" t="n">
        <v>3225</v>
      </c>
      <c r="I1223" s="165" t="n">
        <v>3</v>
      </c>
      <c r="J1223" s="165" t="n">
        <v>9</v>
      </c>
      <c r="K1223" s="165" t="n">
        <v>-3</v>
      </c>
      <c r="L1223" s="397" t="n">
        <v>3240</v>
      </c>
      <c r="M1223" s="113" t="n"/>
      <c r="N1223" s="113" t="n"/>
      <c r="O1223" s="113" t="n"/>
      <c r="P1223" s="398" t="n"/>
      <c r="Q1223" s="398" t="n"/>
      <c r="R1223" s="113" t="n"/>
      <c r="S1223" s="113" t="n"/>
      <c r="T1223" s="113" t="n"/>
      <c r="U1223" s="113" t="n"/>
      <c r="V1223" s="113" t="n"/>
    </row>
    <row r="1224" ht="15.75" customHeight="1">
      <c r="A1224" s="146" t="n">
        <v>22</v>
      </c>
      <c r="B1224" s="238" t="n"/>
      <c r="C1224" s="164" t="n">
        <v>45951</v>
      </c>
      <c r="D1224" s="165" t="inlineStr">
        <is>
          <t>202 G. HUERTAS</t>
        </is>
      </c>
      <c r="E1224" s="165" t="n">
        <v>43951</v>
      </c>
      <c r="F1224" s="165" t="inlineStr">
        <is>
          <t>ALEX GOMEZ</t>
        </is>
      </c>
      <c r="G1224" s="165" t="n">
        <v>3240</v>
      </c>
      <c r="H1224" s="165" t="n">
        <v>3225</v>
      </c>
      <c r="I1224" s="165" t="n">
        <v>2</v>
      </c>
      <c r="J1224" s="165" t="n">
        <v>10</v>
      </c>
      <c r="K1224" s="165" t="n">
        <v>-3</v>
      </c>
      <c r="L1224" s="397" t="n">
        <v>3240</v>
      </c>
      <c r="M1224" s="113" t="n"/>
      <c r="N1224" s="113" t="n"/>
      <c r="O1224" s="113" t="n"/>
      <c r="P1224" s="398" t="n"/>
      <c r="Q1224" s="398" t="n"/>
      <c r="R1224" s="113" t="n"/>
      <c r="S1224" s="113" t="n"/>
      <c r="T1224" s="113" t="n"/>
      <c r="U1224" s="113" t="n"/>
      <c r="V1224" s="113" t="n"/>
    </row>
    <row r="1225" ht="15.75" customHeight="1">
      <c r="A1225" s="146" t="n">
        <v>22</v>
      </c>
      <c r="B1225" s="238" t="n"/>
      <c r="C1225" s="164" t="n">
        <v>45951</v>
      </c>
      <c r="D1225" s="165" t="inlineStr">
        <is>
          <t>202 G. HUERTAS</t>
        </is>
      </c>
      <c r="E1225" s="165" t="n">
        <v>43952</v>
      </c>
      <c r="F1225" s="165" t="inlineStr">
        <is>
          <t>ALBERTO HERRERA</t>
        </is>
      </c>
      <c r="G1225" s="165" t="n">
        <v>3240</v>
      </c>
      <c r="H1225" s="165" t="n">
        <v>3225</v>
      </c>
      <c r="I1225" s="165" t="n">
        <v>4</v>
      </c>
      <c r="J1225" s="165" t="n">
        <v>9</v>
      </c>
      <c r="K1225" s="165" t="n">
        <v>-2</v>
      </c>
      <c r="L1225" s="397" t="n">
        <v>3240</v>
      </c>
      <c r="M1225" s="113" t="n"/>
      <c r="N1225" s="113" t="n"/>
      <c r="O1225" s="113" t="n"/>
      <c r="P1225" s="398" t="n"/>
      <c r="Q1225" s="398" t="n"/>
      <c r="R1225" s="113" t="n"/>
      <c r="S1225" s="113" t="n"/>
      <c r="T1225" s="113" t="n"/>
      <c r="U1225" s="113" t="n"/>
      <c r="V1225" s="113" t="n"/>
    </row>
    <row r="1226" ht="15.75" customHeight="1">
      <c r="A1226" s="146" t="n">
        <v>22</v>
      </c>
      <c r="B1226" s="238" t="n"/>
      <c r="C1226" s="164" t="n">
        <v>45951</v>
      </c>
      <c r="D1226" s="165" t="inlineStr">
        <is>
          <t>202 G. HUERTAS</t>
        </is>
      </c>
      <c r="E1226" s="165" t="n">
        <v>43953</v>
      </c>
      <c r="F1226" s="165" t="inlineStr">
        <is>
          <t>ALBERTO LOPEZ</t>
        </is>
      </c>
      <c r="G1226" s="165" t="n">
        <v>2800</v>
      </c>
      <c r="H1226" s="165" t="n">
        <v>2765</v>
      </c>
      <c r="I1226" s="165" t="n">
        <v>6</v>
      </c>
      <c r="J1226" s="165" t="n">
        <v>25</v>
      </c>
      <c r="K1226" s="165" t="n">
        <v>-4</v>
      </c>
      <c r="L1226" s="397" t="n">
        <v>2800</v>
      </c>
      <c r="M1226" s="113" t="n"/>
      <c r="N1226" s="113" t="n"/>
      <c r="O1226" s="113" t="n"/>
      <c r="P1226" s="398" t="n"/>
      <c r="Q1226" s="398" t="n"/>
      <c r="R1226" s="113" t="n"/>
      <c r="S1226" s="113" t="n"/>
      <c r="T1226" s="113" t="n"/>
      <c r="U1226" s="113" t="n"/>
      <c r="V1226" s="113" t="n"/>
    </row>
    <row r="1227" ht="15.75" customHeight="1">
      <c r="A1227" s="146" t="n">
        <v>22</v>
      </c>
      <c r="B1227" s="238" t="n"/>
      <c r="C1227" s="164" t="n">
        <v>45951</v>
      </c>
      <c r="D1227" s="165" t="inlineStr">
        <is>
          <t>202 G. HUERTAS</t>
        </is>
      </c>
      <c r="E1227" s="165" t="n">
        <v>43954</v>
      </c>
      <c r="F1227" s="165" t="inlineStr">
        <is>
          <t>ALEXANDER CHAGUALA</t>
        </is>
      </c>
      <c r="G1227" s="165" t="n">
        <v>2760</v>
      </c>
      <c r="H1227" s="165" t="n">
        <v>2728</v>
      </c>
      <c r="I1227" s="165" t="n">
        <v>2</v>
      </c>
      <c r="J1227" s="165" t="n">
        <v>27</v>
      </c>
      <c r="K1227" s="165" t="n">
        <v>-3</v>
      </c>
      <c r="L1227" s="397" t="n">
        <v>2760</v>
      </c>
      <c r="M1227" s="113" t="n"/>
      <c r="N1227" s="113" t="n"/>
      <c r="O1227" s="113" t="n"/>
      <c r="P1227" s="398" t="n"/>
      <c r="Q1227" s="398" t="n"/>
      <c r="R1227" s="113" t="n"/>
      <c r="S1227" s="113" t="n"/>
      <c r="T1227" s="113" t="n"/>
      <c r="U1227" s="113" t="n"/>
      <c r="V1227" s="113" t="n"/>
    </row>
    <row r="1228" ht="15.75" customHeight="1">
      <c r="A1228" s="146" t="n">
        <v>22</v>
      </c>
      <c r="B1228" s="238" t="n"/>
      <c r="C1228" s="399" t="n">
        <v>45951</v>
      </c>
      <c r="D1228" s="146" t="inlineStr">
        <is>
          <t>218 G. SAN JOSE 1</t>
        </is>
      </c>
      <c r="E1228" s="146" t="n">
        <v>43955</v>
      </c>
      <c r="F1228" s="146" t="inlineStr">
        <is>
          <t>JAIRO CUBILLOS</t>
        </is>
      </c>
      <c r="G1228" s="395" t="n">
        <v>3000</v>
      </c>
      <c r="H1228" s="395" t="n">
        <v>2987</v>
      </c>
      <c r="I1228" s="395" t="n">
        <v>2</v>
      </c>
      <c r="J1228" s="395" t="n">
        <v>8</v>
      </c>
      <c r="K1228" s="395" t="n">
        <v>-3</v>
      </c>
      <c r="L1228" s="397" t="n">
        <v>3000</v>
      </c>
      <c r="M1228" s="113" t="n"/>
      <c r="N1228" s="113" t="n"/>
      <c r="O1228" s="113" t="n"/>
      <c r="P1228" s="398" t="n"/>
      <c r="Q1228" s="398" t="n"/>
      <c r="R1228" s="113" t="n"/>
      <c r="S1228" s="113" t="n"/>
      <c r="T1228" s="113" t="n"/>
      <c r="U1228" s="113" t="n"/>
      <c r="V1228" s="113" t="n"/>
    </row>
    <row r="1229" ht="15.75" customHeight="1">
      <c r="A1229" s="146" t="n">
        <v>22</v>
      </c>
      <c r="B1229" s="238" t="n"/>
      <c r="C1229" s="164" t="n">
        <v>45952</v>
      </c>
      <c r="D1229" s="166" t="inlineStr">
        <is>
          <t>202 G. HUERTAS</t>
        </is>
      </c>
      <c r="E1229" s="166" t="n">
        <v>43963</v>
      </c>
      <c r="F1229" s="166" t="inlineStr">
        <is>
          <t>ALEXANDER CHAGUALA</t>
        </is>
      </c>
      <c r="G1229" s="166" t="n">
        <v>3240</v>
      </c>
      <c r="H1229" s="166" t="n">
        <v>3233</v>
      </c>
      <c r="I1229" s="166" t="n">
        <v>3</v>
      </c>
      <c r="J1229" s="166" t="n">
        <v>4</v>
      </c>
      <c r="K1229" s="166" t="n">
        <v>0</v>
      </c>
      <c r="L1229" s="397" t="n">
        <v>3240</v>
      </c>
      <c r="M1229" s="113" t="n"/>
      <c r="N1229" s="113" t="n"/>
      <c r="O1229" s="113" t="n"/>
      <c r="P1229" s="398" t="n"/>
      <c r="Q1229" s="398" t="n"/>
      <c r="R1229" s="113" t="n"/>
      <c r="S1229" s="113" t="n"/>
      <c r="T1229" s="113" t="n"/>
      <c r="U1229" s="113" t="n"/>
      <c r="V1229" s="113" t="n"/>
    </row>
    <row r="1230" ht="15.75" customHeight="1">
      <c r="A1230" s="146" t="n">
        <v>22</v>
      </c>
      <c r="B1230" s="238" t="n"/>
      <c r="C1230" s="164" t="n">
        <v>45952</v>
      </c>
      <c r="D1230" s="166" t="inlineStr">
        <is>
          <t>202 G. HUERTAS</t>
        </is>
      </c>
      <c r="E1230" s="166" t="n">
        <v>43964</v>
      </c>
      <c r="F1230" s="166" t="inlineStr">
        <is>
          <t>HENRY ROMERO</t>
        </is>
      </c>
      <c r="G1230" s="166" t="n">
        <v>3240</v>
      </c>
      <c r="H1230" s="166" t="n">
        <v>3234</v>
      </c>
      <c r="I1230" s="166" t="n">
        <v>3</v>
      </c>
      <c r="J1230" s="166" t="n">
        <v>3</v>
      </c>
      <c r="K1230" s="166" t="n">
        <v>0</v>
      </c>
      <c r="L1230" s="397" t="n">
        <v>3240</v>
      </c>
      <c r="M1230" s="113" t="n"/>
      <c r="N1230" s="113" t="n"/>
      <c r="O1230" s="113" t="n"/>
      <c r="P1230" s="398" t="n"/>
      <c r="Q1230" s="398" t="n"/>
      <c r="R1230" s="113" t="n"/>
      <c r="S1230" s="113" t="n"/>
      <c r="T1230" s="113" t="n"/>
      <c r="U1230" s="113" t="n"/>
      <c r="V1230" s="113" t="n"/>
    </row>
    <row r="1231" ht="15.75" customHeight="1">
      <c r="A1231" s="146" t="n">
        <v>22</v>
      </c>
      <c r="B1231" s="238" t="n"/>
      <c r="C1231" s="164" t="n">
        <v>45952</v>
      </c>
      <c r="D1231" s="166" t="inlineStr">
        <is>
          <t>202 G. HUERTAS</t>
        </is>
      </c>
      <c r="E1231" s="166" t="n">
        <v>43965</v>
      </c>
      <c r="F1231" s="166" t="inlineStr">
        <is>
          <t>FERNANDO OYUELA</t>
        </is>
      </c>
      <c r="G1231" s="166" t="n">
        <v>3240</v>
      </c>
      <c r="H1231" s="166" t="n">
        <v>3233</v>
      </c>
      <c r="I1231" s="166" t="n">
        <v>3</v>
      </c>
      <c r="J1231" s="166" t="n">
        <v>10</v>
      </c>
      <c r="K1231" s="166" t="n">
        <v>6</v>
      </c>
      <c r="L1231" s="397" t="n">
        <v>3240</v>
      </c>
      <c r="M1231" s="113" t="n"/>
      <c r="N1231" s="113" t="n"/>
      <c r="O1231" s="113" t="n"/>
      <c r="P1231" s="398" t="n"/>
      <c r="Q1231" s="398" t="n"/>
      <c r="R1231" s="113" t="n"/>
      <c r="S1231" s="113" t="n"/>
      <c r="T1231" s="113" t="n"/>
      <c r="U1231" s="113" t="n"/>
      <c r="V1231" s="113" t="n"/>
    </row>
    <row r="1232" ht="15.75" customHeight="1">
      <c r="A1232" s="146" t="n">
        <v>22</v>
      </c>
      <c r="B1232" s="238" t="n"/>
      <c r="C1232" s="164" t="n">
        <v>45952</v>
      </c>
      <c r="D1232" s="166" t="inlineStr">
        <is>
          <t>202 G. HUERTAS</t>
        </is>
      </c>
      <c r="E1232" s="166" t="n">
        <v>43966</v>
      </c>
      <c r="F1232" s="166" t="inlineStr">
        <is>
          <t>EDUAN CAVIEDES</t>
        </is>
      </c>
      <c r="G1232" s="166" t="n">
        <v>3564</v>
      </c>
      <c r="H1232" s="166" t="n">
        <v>3551</v>
      </c>
      <c r="I1232" s="166" t="n">
        <v>3</v>
      </c>
      <c r="J1232" s="166" t="n">
        <v>10</v>
      </c>
      <c r="K1232" s="166" t="n">
        <v>0</v>
      </c>
      <c r="L1232" s="397" t="n">
        <v>3564</v>
      </c>
      <c r="M1232" s="113" t="n"/>
      <c r="N1232" s="113" t="n"/>
      <c r="O1232" s="113" t="n"/>
      <c r="P1232" s="398" t="n"/>
      <c r="Q1232" s="398" t="n"/>
      <c r="R1232" s="113" t="n"/>
      <c r="S1232" s="113" t="n"/>
      <c r="T1232" s="113" t="n"/>
      <c r="U1232" s="113" t="n"/>
      <c r="V1232" s="113" t="n"/>
    </row>
    <row r="1233" ht="15.75" customHeight="1">
      <c r="A1233" s="146" t="n">
        <v>22</v>
      </c>
      <c r="B1233" s="238" t="n"/>
      <c r="C1233" s="164" t="n">
        <v>45952</v>
      </c>
      <c r="D1233" s="166" t="inlineStr">
        <is>
          <t>202 G. HUERTAS</t>
        </is>
      </c>
      <c r="E1233" s="166" t="n">
        <v>43967</v>
      </c>
      <c r="F1233" s="166" t="inlineStr">
        <is>
          <t>ALBERTO LOPEZ</t>
        </is>
      </c>
      <c r="G1233" s="166" t="n">
        <v>3240</v>
      </c>
      <c r="H1233" s="166" t="n">
        <v>3229</v>
      </c>
      <c r="I1233" s="166" t="n">
        <v>2</v>
      </c>
      <c r="J1233" s="166" t="n">
        <v>9</v>
      </c>
      <c r="K1233" s="166" t="n">
        <v>0</v>
      </c>
      <c r="L1233" s="397" t="n">
        <v>3240</v>
      </c>
      <c r="M1233" s="113" t="n"/>
      <c r="N1233" s="113" t="n"/>
      <c r="O1233" s="113" t="n"/>
      <c r="P1233" s="398" t="n"/>
      <c r="Q1233" s="398" t="n"/>
      <c r="R1233" s="113" t="n"/>
      <c r="S1233" s="113" t="n"/>
      <c r="T1233" s="113" t="n"/>
      <c r="U1233" s="113" t="n"/>
      <c r="V1233" s="113" t="n"/>
    </row>
    <row r="1234" ht="15.75" customHeight="1">
      <c r="A1234" s="146" t="n">
        <v>22</v>
      </c>
      <c r="B1234" s="238" t="n"/>
      <c r="C1234" s="164" t="n">
        <v>45952</v>
      </c>
      <c r="D1234" s="166" t="inlineStr">
        <is>
          <t>202 G. HUERTAS</t>
        </is>
      </c>
      <c r="E1234" s="166" t="n">
        <v>43968</v>
      </c>
      <c r="F1234" s="166" t="inlineStr">
        <is>
          <t>ROBINSON PULIDO</t>
        </is>
      </c>
      <c r="G1234" s="166" t="n">
        <v>2670</v>
      </c>
      <c r="H1234" s="166" t="n">
        <v>2658</v>
      </c>
      <c r="I1234" s="166" t="n">
        <v>2</v>
      </c>
      <c r="J1234" s="166" t="n">
        <v>10</v>
      </c>
      <c r="K1234" s="166" t="n">
        <v>0</v>
      </c>
      <c r="L1234" s="397" t="n">
        <v>2670</v>
      </c>
      <c r="M1234" s="113" t="n"/>
      <c r="N1234" s="113" t="n"/>
      <c r="O1234" s="113" t="n"/>
      <c r="P1234" s="398" t="n"/>
      <c r="Q1234" s="398" t="n"/>
      <c r="R1234" s="113" t="n"/>
      <c r="S1234" s="113" t="n"/>
      <c r="T1234" s="113" t="n"/>
      <c r="U1234" s="113" t="n"/>
      <c r="V1234" s="113" t="n"/>
    </row>
    <row r="1235" ht="15.75" customHeight="1">
      <c r="A1235" s="146" t="n">
        <v>22</v>
      </c>
      <c r="B1235" s="238" t="n"/>
      <c r="C1235" s="399" t="n">
        <v>45952</v>
      </c>
      <c r="D1235" s="146" t="inlineStr">
        <is>
          <t>200 G. GARCERAS</t>
        </is>
      </c>
      <c r="E1235" s="146" t="n">
        <v>43969</v>
      </c>
      <c r="F1235" s="146" t="inlineStr">
        <is>
          <t>JAIRO CUBILLOS</t>
        </is>
      </c>
      <c r="G1235" s="395" t="n">
        <v>2673</v>
      </c>
      <c r="H1235" s="395" t="n">
        <v>2665</v>
      </c>
      <c r="I1235" s="395" t="n">
        <v>1</v>
      </c>
      <c r="J1235" s="395" t="n">
        <v>7</v>
      </c>
      <c r="K1235" s="395" t="n">
        <v>0</v>
      </c>
      <c r="L1235" s="397" t="n">
        <v>2673</v>
      </c>
      <c r="M1235" s="113" t="n"/>
      <c r="N1235" s="113" t="n"/>
      <c r="O1235" s="113" t="n"/>
      <c r="P1235" s="398" t="n"/>
      <c r="Q1235" s="398" t="n"/>
      <c r="R1235" s="113" t="n"/>
      <c r="S1235" s="113" t="n"/>
      <c r="T1235" s="113" t="n"/>
      <c r="U1235" s="113" t="n"/>
      <c r="V1235" s="113" t="n"/>
    </row>
    <row r="1236" ht="15.75" customHeight="1">
      <c r="A1236" s="146" t="n">
        <v>22</v>
      </c>
      <c r="B1236" s="238" t="n"/>
      <c r="C1236" s="399" t="n">
        <v>45952</v>
      </c>
      <c r="D1236" s="146" t="inlineStr">
        <is>
          <t>200 G. GARCERAS</t>
        </is>
      </c>
      <c r="E1236" s="146" t="n">
        <v>43970</v>
      </c>
      <c r="F1236" s="146" t="inlineStr">
        <is>
          <t>MANUEL QUITIAN</t>
        </is>
      </c>
      <c r="G1236" s="395" t="n">
        <v>2673</v>
      </c>
      <c r="H1236" s="395" t="n">
        <v>2665</v>
      </c>
      <c r="I1236" s="395" t="n">
        <v>2</v>
      </c>
      <c r="J1236" s="395" t="n">
        <v>6</v>
      </c>
      <c r="K1236" s="395" t="n">
        <v>0</v>
      </c>
      <c r="L1236" s="397" t="n">
        <v>2673</v>
      </c>
      <c r="M1236" s="113" t="n"/>
      <c r="N1236" s="113" t="n"/>
      <c r="O1236" s="113" t="n"/>
      <c r="P1236" s="398" t="n"/>
      <c r="Q1236" s="398" t="n"/>
      <c r="R1236" s="113" t="n"/>
      <c r="S1236" s="113" t="n"/>
      <c r="T1236" s="113" t="n"/>
      <c r="U1236" s="113" t="n"/>
      <c r="V1236" s="113" t="n"/>
    </row>
    <row r="1237" ht="15.75" customHeight="1">
      <c r="A1237" s="146" t="n">
        <v>22</v>
      </c>
      <c r="B1237" s="238" t="n"/>
      <c r="C1237" s="164" t="n">
        <v>45953</v>
      </c>
      <c r="D1237" s="166" t="inlineStr">
        <is>
          <t>202 G. HUERTAS</t>
        </is>
      </c>
      <c r="E1237" s="166" t="n">
        <v>43978</v>
      </c>
      <c r="F1237" s="166" t="inlineStr">
        <is>
          <t>JHON ARIAS</t>
        </is>
      </c>
      <c r="G1237" s="166" t="n">
        <v>2916</v>
      </c>
      <c r="H1237" s="166" t="n">
        <v>2902</v>
      </c>
      <c r="I1237" s="166" t="n">
        <v>3</v>
      </c>
      <c r="J1237" s="166" t="n">
        <v>8</v>
      </c>
      <c r="K1237" s="166" t="n">
        <v>-3</v>
      </c>
      <c r="L1237" s="397" t="n">
        <v>2916</v>
      </c>
      <c r="M1237" s="113" t="n"/>
      <c r="N1237" s="113" t="n"/>
      <c r="O1237" s="113" t="n"/>
      <c r="P1237" s="398" t="n"/>
      <c r="Q1237" s="398" t="n"/>
      <c r="R1237" s="113" t="n"/>
      <c r="S1237" s="113" t="n"/>
      <c r="T1237" s="113" t="n"/>
      <c r="U1237" s="113" t="n"/>
      <c r="V1237" s="113" t="n"/>
    </row>
    <row r="1238" ht="15.75" customHeight="1">
      <c r="A1238" s="146" t="n">
        <v>22</v>
      </c>
      <c r="B1238" s="238" t="n"/>
      <c r="C1238" s="164" t="n">
        <v>45953</v>
      </c>
      <c r="D1238" s="166" t="inlineStr">
        <is>
          <t>202 G. HUERTAS</t>
        </is>
      </c>
      <c r="E1238" s="166" t="n">
        <v>43979</v>
      </c>
      <c r="F1238" s="166" t="inlineStr">
        <is>
          <t>EDWIN ROJAS</t>
        </is>
      </c>
      <c r="G1238" s="166" t="n">
        <v>2916</v>
      </c>
      <c r="H1238" s="166" t="n">
        <v>2903</v>
      </c>
      <c r="I1238" s="166" t="n">
        <v>4</v>
      </c>
      <c r="J1238" s="166" t="n">
        <v>7</v>
      </c>
      <c r="K1238" s="166" t="n">
        <v>-2</v>
      </c>
      <c r="L1238" s="397" t="n">
        <v>2916</v>
      </c>
      <c r="M1238" s="113" t="n"/>
      <c r="N1238" s="113" t="n"/>
      <c r="O1238" s="113" t="n"/>
      <c r="P1238" s="398" t="n"/>
      <c r="Q1238" s="398" t="n"/>
      <c r="R1238" s="113" t="n"/>
      <c r="S1238" s="113" t="n"/>
      <c r="T1238" s="113" t="n"/>
      <c r="U1238" s="113" t="n"/>
      <c r="V1238" s="113" t="n"/>
    </row>
    <row r="1239" ht="15.75" customHeight="1">
      <c r="A1239" s="146" t="n">
        <v>22</v>
      </c>
      <c r="B1239" s="238" t="n"/>
      <c r="C1239" s="164" t="n">
        <v>45953</v>
      </c>
      <c r="D1239" s="166" t="inlineStr">
        <is>
          <t>202 G. HUERTAS</t>
        </is>
      </c>
      <c r="E1239" s="166" t="n">
        <v>43980</v>
      </c>
      <c r="F1239" s="166" t="inlineStr">
        <is>
          <t>YAIR RIVEROS</t>
        </is>
      </c>
      <c r="G1239" s="166" t="n">
        <v>2520</v>
      </c>
      <c r="H1239" s="166" t="n">
        <v>2504</v>
      </c>
      <c r="I1239" s="166" t="n">
        <v>5</v>
      </c>
      <c r="J1239" s="166" t="n">
        <v>8</v>
      </c>
      <c r="K1239" s="166" t="n">
        <v>-3</v>
      </c>
      <c r="L1239" s="397" t="n">
        <v>2520</v>
      </c>
      <c r="M1239" s="113" t="n"/>
      <c r="N1239" s="113" t="n"/>
      <c r="O1239" s="113" t="n"/>
      <c r="P1239" s="398" t="n"/>
      <c r="Q1239" s="398" t="n"/>
      <c r="R1239" s="113" t="n"/>
      <c r="S1239" s="113" t="n"/>
      <c r="T1239" s="113" t="n"/>
      <c r="U1239" s="113" t="n"/>
      <c r="V1239" s="113" t="n"/>
    </row>
    <row r="1240" ht="15.75" customHeight="1">
      <c r="A1240" s="146" t="n">
        <v>22</v>
      </c>
      <c r="B1240" s="238" t="n"/>
      <c r="C1240" s="164" t="n">
        <v>45953</v>
      </c>
      <c r="D1240" s="166" t="inlineStr">
        <is>
          <t>202 G. HUERTAS</t>
        </is>
      </c>
      <c r="E1240" s="166" t="n">
        <v>43981</v>
      </c>
      <c r="F1240" s="166" t="inlineStr">
        <is>
          <t>ROBINSON PULIDO</t>
        </is>
      </c>
      <c r="G1240" s="166" t="n">
        <v>2880</v>
      </c>
      <c r="H1240" s="166" t="n">
        <v>2868</v>
      </c>
      <c r="I1240" s="166" t="n">
        <v>3</v>
      </c>
      <c r="J1240" s="166" t="n">
        <v>3</v>
      </c>
      <c r="K1240" s="166" t="n">
        <v>-6</v>
      </c>
      <c r="L1240" s="397" t="n">
        <v>2916</v>
      </c>
      <c r="M1240" s="113" t="n"/>
      <c r="N1240" s="113" t="n"/>
      <c r="O1240" s="113" t="n"/>
      <c r="P1240" s="398" t="n"/>
      <c r="Q1240" s="398" t="n"/>
      <c r="R1240" s="113" t="n"/>
      <c r="S1240" s="113" t="n"/>
      <c r="T1240" s="113" t="n"/>
      <c r="U1240" s="113" t="n"/>
      <c r="V1240" s="113" t="n"/>
    </row>
    <row r="1241" ht="15.75" customHeight="1">
      <c r="A1241" s="146" t="n">
        <v>22</v>
      </c>
      <c r="B1241" s="238" t="n"/>
      <c r="C1241" s="164" t="n">
        <v>45953</v>
      </c>
      <c r="D1241" s="166" t="inlineStr">
        <is>
          <t>202 G. HUERTAS</t>
        </is>
      </c>
      <c r="E1241" s="166" t="n">
        <v>43982</v>
      </c>
      <c r="F1241" s="166" t="inlineStr">
        <is>
          <t>JHON ARIAS</t>
        </is>
      </c>
      <c r="G1241" s="166" t="n">
        <v>2916</v>
      </c>
      <c r="H1241" s="166" t="n">
        <v>2902</v>
      </c>
      <c r="I1241" s="166" t="n">
        <v>3</v>
      </c>
      <c r="J1241" s="166" t="n">
        <v>3</v>
      </c>
      <c r="K1241" s="166" t="n">
        <v>-8</v>
      </c>
      <c r="L1241" s="397" t="n">
        <v>2880</v>
      </c>
      <c r="M1241" s="113" t="n"/>
      <c r="N1241" s="113" t="n"/>
      <c r="O1241" s="113" t="n"/>
      <c r="P1241" s="398" t="n"/>
      <c r="Q1241" s="398" t="n"/>
      <c r="R1241" s="113" t="n"/>
      <c r="S1241" s="113" t="n"/>
      <c r="T1241" s="113" t="n"/>
      <c r="U1241" s="113" t="n"/>
      <c r="V1241" s="113" t="n"/>
    </row>
    <row r="1242" ht="15.75" customHeight="1">
      <c r="A1242" s="146" t="n">
        <v>22</v>
      </c>
      <c r="B1242" s="238" t="n"/>
      <c r="C1242" s="164" t="n">
        <v>45953</v>
      </c>
      <c r="D1242" s="166" t="inlineStr">
        <is>
          <t>202 G. HUERTAS</t>
        </is>
      </c>
      <c r="E1242" s="166" t="n">
        <v>43983</v>
      </c>
      <c r="F1242" s="166" t="inlineStr">
        <is>
          <t>WILMER PIÑEROS</t>
        </is>
      </c>
      <c r="G1242" s="166" t="n">
        <v>2718</v>
      </c>
      <c r="H1242" s="166" t="n">
        <v>2704</v>
      </c>
      <c r="I1242" s="166" t="n">
        <v>3</v>
      </c>
      <c r="J1242" s="166" t="n">
        <v>6</v>
      </c>
      <c r="K1242" s="166" t="n">
        <v>-5</v>
      </c>
      <c r="L1242" s="397" t="n">
        <v>2916</v>
      </c>
      <c r="M1242" s="113" t="n"/>
      <c r="N1242" s="113" t="n"/>
      <c r="O1242" s="113" t="n"/>
      <c r="P1242" s="398" t="n"/>
      <c r="Q1242" s="398" t="n"/>
      <c r="R1242" s="113" t="n"/>
      <c r="S1242" s="113" t="n"/>
      <c r="T1242" s="113" t="n"/>
      <c r="U1242" s="113" t="n"/>
      <c r="V1242" s="113" t="n"/>
    </row>
    <row r="1243" ht="15.75" customHeight="1">
      <c r="A1243" s="146" t="n">
        <v>22</v>
      </c>
      <c r="B1243" s="238" t="n"/>
      <c r="C1243" s="164" t="n">
        <v>45953</v>
      </c>
      <c r="D1243" s="166" t="inlineStr">
        <is>
          <t>202 G. HUERTAS</t>
        </is>
      </c>
      <c r="E1243" s="166" t="n">
        <v>43984</v>
      </c>
      <c r="F1243" s="166" t="inlineStr">
        <is>
          <t>ALBERTO HERRERA</t>
        </is>
      </c>
      <c r="G1243" s="166" t="n">
        <v>2916</v>
      </c>
      <c r="H1243" s="166" t="n">
        <v>2901</v>
      </c>
      <c r="I1243" s="166" t="n">
        <v>3</v>
      </c>
      <c r="J1243" s="166" t="n">
        <v>7</v>
      </c>
      <c r="K1243" s="166" t="n">
        <v>-5</v>
      </c>
      <c r="L1243" s="397" t="n">
        <v>2718</v>
      </c>
      <c r="M1243" s="113" t="n"/>
      <c r="N1243" s="113" t="n"/>
      <c r="O1243" s="113" t="n"/>
      <c r="P1243" s="398" t="n"/>
      <c r="Q1243" s="398" t="n"/>
      <c r="R1243" s="113" t="n"/>
      <c r="S1243" s="113" t="n"/>
      <c r="T1243" s="113" t="n"/>
      <c r="U1243" s="113" t="n"/>
      <c r="V1243" s="113" t="n"/>
    </row>
    <row r="1244" ht="15.75" customHeight="1">
      <c r="A1244" s="146" t="n">
        <v>22</v>
      </c>
      <c r="B1244" s="238" t="n"/>
      <c r="C1244" s="164" t="n">
        <v>45953</v>
      </c>
      <c r="D1244" s="166" t="inlineStr">
        <is>
          <t>202 G. HUERTAS</t>
        </is>
      </c>
      <c r="E1244" s="166" t="n">
        <v>43992</v>
      </c>
      <c r="F1244" s="166" t="inlineStr">
        <is>
          <t>FERNANDO OYUELA</t>
        </is>
      </c>
      <c r="G1244" s="166" t="n">
        <v>3100</v>
      </c>
      <c r="H1244" s="166" t="n">
        <v>3081</v>
      </c>
      <c r="I1244" s="166" t="n">
        <v>5</v>
      </c>
      <c r="J1244" s="166" t="n">
        <v>10</v>
      </c>
      <c r="K1244" s="166" t="n">
        <v>-4</v>
      </c>
      <c r="L1244" s="397" t="n">
        <v>3100</v>
      </c>
      <c r="M1244" s="113" t="n"/>
      <c r="N1244" s="113" t="n"/>
      <c r="O1244" s="113" t="n"/>
      <c r="P1244" s="398" t="n"/>
      <c r="Q1244" s="398" t="n"/>
      <c r="R1244" s="113" t="n"/>
      <c r="S1244" s="113" t="n"/>
      <c r="T1244" s="113" t="n"/>
      <c r="U1244" s="113" t="n"/>
      <c r="V1244" s="113" t="n"/>
    </row>
    <row r="1245" ht="15.75" customHeight="1">
      <c r="A1245" s="146" t="n">
        <v>22</v>
      </c>
      <c r="B1245" s="238" t="n"/>
      <c r="C1245" s="164" t="n">
        <v>45953</v>
      </c>
      <c r="D1245" s="166" t="inlineStr">
        <is>
          <t>202 G. HUERTAS</t>
        </is>
      </c>
      <c r="E1245" s="166" t="n">
        <v>43993</v>
      </c>
      <c r="F1245" s="166" t="inlineStr">
        <is>
          <t>ALEX GOMEZ</t>
        </is>
      </c>
      <c r="G1245" s="166" t="n">
        <v>3100</v>
      </c>
      <c r="H1245" s="166" t="n">
        <v>3084</v>
      </c>
      <c r="I1245" s="166" t="n">
        <v>3</v>
      </c>
      <c r="J1245" s="166" t="n">
        <v>6</v>
      </c>
      <c r="K1245" s="166" t="n">
        <v>-7</v>
      </c>
      <c r="L1245" s="397" t="n">
        <v>3100</v>
      </c>
      <c r="M1245" s="113" t="n"/>
      <c r="N1245" s="113" t="n"/>
      <c r="O1245" s="113" t="n"/>
      <c r="P1245" s="398" t="n"/>
      <c r="Q1245" s="398" t="n"/>
      <c r="R1245" s="113" t="n"/>
      <c r="S1245" s="113" t="n"/>
      <c r="T1245" s="113" t="n"/>
      <c r="U1245" s="113" t="n"/>
      <c r="V1245" s="113" t="n"/>
    </row>
    <row r="1246" ht="15.75" customHeight="1">
      <c r="A1246" s="146" t="n">
        <v>22</v>
      </c>
      <c r="B1246" s="238" t="n"/>
      <c r="C1246" s="164" t="n">
        <v>45953</v>
      </c>
      <c r="D1246" s="166" t="inlineStr">
        <is>
          <t>202 G. HUERTAS</t>
        </is>
      </c>
      <c r="E1246" s="166" t="n">
        <v>43994</v>
      </c>
      <c r="F1246" s="166" t="inlineStr">
        <is>
          <t>MANUEL QUITIAN</t>
        </is>
      </c>
      <c r="G1246" s="166" t="n">
        <v>2916</v>
      </c>
      <c r="H1246" s="166" t="n">
        <v>2906</v>
      </c>
      <c r="I1246" s="166" t="n">
        <v>5</v>
      </c>
      <c r="J1246" s="166" t="n">
        <v>4</v>
      </c>
      <c r="K1246" s="166" t="n">
        <v>-1</v>
      </c>
      <c r="L1246" s="397" t="n">
        <v>2916</v>
      </c>
      <c r="M1246" s="113" t="n"/>
      <c r="N1246" s="113" t="n"/>
      <c r="O1246" s="113" t="n"/>
      <c r="P1246" s="398" t="n"/>
      <c r="Q1246" s="398" t="n"/>
      <c r="R1246" s="113" t="n"/>
      <c r="S1246" s="113" t="n"/>
      <c r="T1246" s="113" t="n"/>
      <c r="U1246" s="113" t="n"/>
      <c r="V1246" s="113" t="n"/>
    </row>
    <row r="1247" ht="15.75" customHeight="1">
      <c r="A1247" s="146" t="n">
        <v>22</v>
      </c>
      <c r="B1247" s="238" t="n"/>
      <c r="C1247" s="399" t="n">
        <v>45953</v>
      </c>
      <c r="D1247" s="146" t="inlineStr">
        <is>
          <t>200 G. GARCERAS</t>
        </is>
      </c>
      <c r="E1247" s="146" t="n">
        <v>43995</v>
      </c>
      <c r="F1247" s="146" t="inlineStr">
        <is>
          <t>ALBERTO HERRERA</t>
        </is>
      </c>
      <c r="G1247" s="395" t="n">
        <v>3011</v>
      </c>
      <c r="H1247" s="395" t="n">
        <v>3007</v>
      </c>
      <c r="I1247" s="395" t="n">
        <v>5</v>
      </c>
      <c r="J1247" s="395" t="n">
        <v>3</v>
      </c>
      <c r="K1247" s="395" t="n">
        <v>4</v>
      </c>
      <c r="L1247" s="397" t="n">
        <v>3011</v>
      </c>
      <c r="M1247" s="113" t="n"/>
      <c r="N1247" s="113" t="n"/>
      <c r="O1247" s="113" t="n"/>
      <c r="P1247" s="398" t="n"/>
      <c r="Q1247" s="398" t="n"/>
      <c r="R1247" s="113" t="n"/>
      <c r="S1247" s="113" t="n"/>
      <c r="T1247" s="113" t="n"/>
      <c r="U1247" s="113" t="n"/>
      <c r="V1247" s="113" t="n"/>
    </row>
    <row r="1248" ht="15.75" customHeight="1">
      <c r="A1248" s="146" t="n">
        <v>22</v>
      </c>
      <c r="B1248" s="238" t="n"/>
      <c r="C1248" s="399" t="n">
        <v>45953</v>
      </c>
      <c r="D1248" s="146" t="inlineStr">
        <is>
          <t>200 G. GARCERAS</t>
        </is>
      </c>
      <c r="E1248" s="146" t="n">
        <v>43996</v>
      </c>
      <c r="F1248" s="146" t="inlineStr">
        <is>
          <t>YAIR RIVEROS</t>
        </is>
      </c>
      <c r="G1248" s="395" t="n">
        <v>3096</v>
      </c>
      <c r="H1248" s="395" t="n">
        <v>3096</v>
      </c>
      <c r="I1248" s="395" t="n">
        <v>3</v>
      </c>
      <c r="J1248" s="395" t="n">
        <v>3</v>
      </c>
      <c r="K1248" s="395" t="n">
        <v>6</v>
      </c>
      <c r="L1248" s="397" t="n">
        <v>3096</v>
      </c>
      <c r="M1248" s="113" t="n"/>
      <c r="N1248" s="113" t="n"/>
      <c r="O1248" s="113" t="n"/>
      <c r="P1248" s="398" t="n"/>
      <c r="Q1248" s="398" t="n"/>
      <c r="R1248" s="113" t="n"/>
      <c r="S1248" s="113" t="n"/>
      <c r="T1248" s="113" t="n"/>
      <c r="U1248" s="113" t="n"/>
      <c r="V1248" s="113" t="n"/>
    </row>
    <row r="1249" ht="15.75" customHeight="1">
      <c r="A1249" s="146" t="n">
        <v>22</v>
      </c>
      <c r="B1249" s="238" t="n"/>
      <c r="C1249" s="399" t="n">
        <v>45953</v>
      </c>
      <c r="D1249" s="146" t="inlineStr">
        <is>
          <t>200 G. GARCERAS</t>
        </is>
      </c>
      <c r="E1249" s="146" t="n">
        <v>43997</v>
      </c>
      <c r="F1249" s="146" t="inlineStr">
        <is>
          <t>JAIRO CUBILLOS</t>
        </is>
      </c>
      <c r="G1249" s="395" t="n">
        <v>3100</v>
      </c>
      <c r="H1249" s="395" t="n">
        <v>3095</v>
      </c>
      <c r="I1249" s="395" t="n">
        <v>3</v>
      </c>
      <c r="J1249" s="395" t="n">
        <v>3</v>
      </c>
      <c r="K1249" s="395" t="n">
        <v>1</v>
      </c>
      <c r="L1249" s="397" t="n">
        <v>3100</v>
      </c>
      <c r="M1249" s="113" t="n"/>
      <c r="N1249" s="113" t="n"/>
      <c r="O1249" s="113" t="n"/>
      <c r="P1249" s="398" t="n"/>
      <c r="Q1249" s="398" t="n"/>
      <c r="R1249" s="113" t="n"/>
      <c r="S1249" s="113" t="n"/>
      <c r="T1249" s="113" t="n"/>
      <c r="U1249" s="113" t="n"/>
      <c r="V1249" s="113" t="n"/>
    </row>
    <row r="1250" ht="15.75" customHeight="1">
      <c r="A1250" s="146" t="n">
        <v>22</v>
      </c>
      <c r="B1250" s="238" t="n"/>
      <c r="C1250" s="399" t="n">
        <v>45953</v>
      </c>
      <c r="D1250" s="146" t="inlineStr">
        <is>
          <t>200 G. GARCERAS</t>
        </is>
      </c>
      <c r="E1250" s="146" t="n">
        <v>44003</v>
      </c>
      <c r="F1250" s="146" t="inlineStr">
        <is>
          <t>EDUAN CAVIEDES</t>
        </is>
      </c>
      <c r="G1250" s="395" t="n">
        <v>3100</v>
      </c>
      <c r="H1250" s="395" t="n">
        <v>3108</v>
      </c>
      <c r="I1250" s="395" t="n">
        <v>3</v>
      </c>
      <c r="J1250" s="395" t="n">
        <v>2</v>
      </c>
      <c r="K1250" s="395" t="n">
        <v>13</v>
      </c>
      <c r="L1250" s="397" t="n">
        <v>3100</v>
      </c>
      <c r="M1250" s="113" t="n"/>
      <c r="N1250" s="113" t="n"/>
      <c r="O1250" s="113" t="n"/>
      <c r="P1250" s="398" t="n"/>
      <c r="Q1250" s="398" t="n"/>
      <c r="R1250" s="113" t="n"/>
      <c r="S1250" s="113" t="n"/>
      <c r="T1250" s="113" t="n"/>
      <c r="U1250" s="113" t="n"/>
      <c r="V1250" s="113" t="n"/>
    </row>
    <row r="1251" ht="15.75" customHeight="1">
      <c r="A1251" s="146" t="n">
        <v>22</v>
      </c>
      <c r="B1251" s="238" t="n"/>
      <c r="C1251" s="399" t="n">
        <v>45953</v>
      </c>
      <c r="D1251" s="146" t="inlineStr">
        <is>
          <t>200 G. GARCERAS</t>
        </is>
      </c>
      <c r="E1251" s="146" t="n">
        <v>44004</v>
      </c>
      <c r="F1251" s="146" t="inlineStr">
        <is>
          <t>ALEX GOMEZ</t>
        </is>
      </c>
      <c r="G1251" s="395" t="n">
        <v>3100</v>
      </c>
      <c r="H1251" s="395" t="n">
        <v>3107</v>
      </c>
      <c r="I1251" s="395" t="n">
        <v>4</v>
      </c>
      <c r="J1251" s="395" t="n">
        <v>1</v>
      </c>
      <c r="K1251" s="395" t="n">
        <v>12</v>
      </c>
      <c r="L1251" s="397" t="n">
        <v>3100</v>
      </c>
      <c r="M1251" s="113" t="n"/>
      <c r="N1251" s="113" t="n"/>
      <c r="O1251" s="113" t="n"/>
      <c r="P1251" s="398" t="n"/>
      <c r="Q1251" s="398" t="n"/>
      <c r="R1251" s="113" t="n"/>
      <c r="S1251" s="113" t="n"/>
      <c r="T1251" s="113" t="n"/>
      <c r="U1251" s="113" t="n"/>
      <c r="V1251" s="113" t="n"/>
    </row>
    <row r="1252" ht="15.75" customHeight="1">
      <c r="A1252" s="146" t="n">
        <v>22</v>
      </c>
      <c r="B1252" s="238" t="n"/>
      <c r="C1252" s="399" t="n">
        <v>45953</v>
      </c>
      <c r="D1252" s="146" t="inlineStr">
        <is>
          <t>200 G. GARCERAS</t>
        </is>
      </c>
      <c r="E1252" s="146" t="n">
        <v>44005</v>
      </c>
      <c r="F1252" s="146" t="inlineStr">
        <is>
          <t>MANUEL QUITIAN</t>
        </is>
      </c>
      <c r="G1252" s="395" t="n">
        <v>3100</v>
      </c>
      <c r="H1252" s="395" t="n">
        <v>3105</v>
      </c>
      <c r="I1252" s="395" t="n">
        <v>5</v>
      </c>
      <c r="J1252" s="395" t="n">
        <v>4</v>
      </c>
      <c r="K1252" s="395" t="n">
        <v>14</v>
      </c>
      <c r="L1252" s="397" t="n">
        <v>3100</v>
      </c>
      <c r="M1252" s="113" t="n"/>
      <c r="N1252" s="113" t="n"/>
      <c r="O1252" s="113" t="n"/>
      <c r="P1252" s="398" t="n"/>
      <c r="Q1252" s="398" t="n"/>
      <c r="R1252" s="113" t="n"/>
      <c r="S1252" s="113" t="n"/>
      <c r="T1252" s="113" t="n"/>
      <c r="U1252" s="113" t="n"/>
      <c r="V1252" s="113" t="n"/>
    </row>
    <row r="1253" ht="15.75" customHeight="1">
      <c r="A1253" s="146" t="n">
        <v>22</v>
      </c>
      <c r="B1253" s="238" t="n"/>
      <c r="C1253" s="399" t="n">
        <v>45953</v>
      </c>
      <c r="D1253" s="146" t="inlineStr">
        <is>
          <t>200 G. GARCERAS</t>
        </is>
      </c>
      <c r="E1253" s="146" t="n">
        <v>44006</v>
      </c>
      <c r="F1253" s="146" t="inlineStr">
        <is>
          <t>JOSE SOLER</t>
        </is>
      </c>
      <c r="G1253" s="395" t="n">
        <v>1744</v>
      </c>
      <c r="H1253" s="395" t="n">
        <v>1754</v>
      </c>
      <c r="I1253" s="395" t="n">
        <v>3</v>
      </c>
      <c r="J1253" s="395" t="n">
        <v>3</v>
      </c>
      <c r="K1253" s="395" t="n">
        <v>16</v>
      </c>
      <c r="L1253" s="397" t="n">
        <v>1744</v>
      </c>
      <c r="M1253" s="113" t="n"/>
      <c r="N1253" s="113" t="n"/>
      <c r="O1253" s="113" t="n"/>
      <c r="P1253" s="398" t="n"/>
      <c r="Q1253" s="398" t="n"/>
      <c r="R1253" s="113" t="n"/>
      <c r="S1253" s="113" t="n"/>
      <c r="T1253" s="113" t="n"/>
      <c r="U1253" s="113" t="n"/>
      <c r="V1253" s="113" t="n"/>
    </row>
    <row r="1254" ht="15.75" customHeight="1">
      <c r="A1254" s="146" t="n">
        <v>22</v>
      </c>
      <c r="B1254" s="238" t="n"/>
      <c r="C1254" s="164" t="n">
        <v>45954</v>
      </c>
      <c r="D1254" s="165" t="inlineStr">
        <is>
          <t xml:space="preserve">202 G. HUERTAS </t>
        </is>
      </c>
      <c r="E1254" s="165" t="n">
        <v>44007</v>
      </c>
      <c r="F1254" s="165" t="inlineStr">
        <is>
          <t>DIEGO NIÑO</t>
        </is>
      </c>
      <c r="G1254" s="165" t="n">
        <v>3300</v>
      </c>
      <c r="H1254" s="165" t="n">
        <v>3250</v>
      </c>
      <c r="I1254" s="165" t="n">
        <v>4</v>
      </c>
      <c r="J1254" s="165" t="n">
        <v>5</v>
      </c>
      <c r="K1254" s="165" t="n">
        <v>-41</v>
      </c>
      <c r="L1254" s="397" t="n">
        <v>2800</v>
      </c>
      <c r="M1254" s="113" t="n"/>
      <c r="N1254" s="113" t="n"/>
      <c r="O1254" s="113" t="n"/>
      <c r="P1254" s="398" t="n"/>
      <c r="Q1254" s="398" t="n"/>
      <c r="R1254" s="113" t="n"/>
      <c r="S1254" s="113" t="n"/>
      <c r="T1254" s="113" t="n"/>
      <c r="U1254" s="113" t="n"/>
      <c r="V1254" s="113" t="n"/>
    </row>
    <row r="1255" ht="15.75" customHeight="1">
      <c r="A1255" s="146" t="n">
        <v>22</v>
      </c>
      <c r="B1255" s="238" t="n"/>
      <c r="C1255" s="164" t="n">
        <v>45954</v>
      </c>
      <c r="D1255" s="165" t="inlineStr">
        <is>
          <t xml:space="preserve">202 G. HUERTAS </t>
        </is>
      </c>
      <c r="E1255" s="165" t="n">
        <v>44008</v>
      </c>
      <c r="F1255" s="165" t="inlineStr">
        <is>
          <t>JAIRO CUBILLOS</t>
        </is>
      </c>
      <c r="G1255" s="165" t="n">
        <v>3300</v>
      </c>
      <c r="H1255" s="165" t="n">
        <v>3254</v>
      </c>
      <c r="I1255" s="165" t="n">
        <v>5</v>
      </c>
      <c r="J1255" s="165" t="n">
        <v>4</v>
      </c>
      <c r="K1255" s="165" t="n">
        <v>-37</v>
      </c>
      <c r="L1255" s="397" t="n">
        <v>3300</v>
      </c>
      <c r="M1255" s="113" t="n"/>
      <c r="N1255" s="113" t="n"/>
      <c r="O1255" s="113" t="n"/>
      <c r="P1255" s="398" t="n"/>
      <c r="Q1255" s="398" t="n"/>
      <c r="R1255" s="113" t="n"/>
      <c r="S1255" s="113" t="n"/>
      <c r="T1255" s="113" t="n"/>
      <c r="U1255" s="113" t="n"/>
      <c r="V1255" s="113" t="n"/>
    </row>
    <row r="1256" ht="15.75" customHeight="1">
      <c r="A1256" s="146" t="n">
        <v>22</v>
      </c>
      <c r="B1256" s="238" t="n"/>
      <c r="C1256" s="164" t="n">
        <v>45954</v>
      </c>
      <c r="D1256" s="165" t="inlineStr">
        <is>
          <t xml:space="preserve">202 G. HUERTAS </t>
        </is>
      </c>
      <c r="E1256" s="165" t="n">
        <v>44009</v>
      </c>
      <c r="F1256" s="165" t="inlineStr">
        <is>
          <t>ALBERTO LOPEZ</t>
        </is>
      </c>
      <c r="G1256" s="165" t="n">
        <v>3300</v>
      </c>
      <c r="H1256" s="165" t="n">
        <v>3242</v>
      </c>
      <c r="I1256" s="165" t="n">
        <v>6</v>
      </c>
      <c r="J1256" s="165" t="n">
        <v>5</v>
      </c>
      <c r="K1256" s="165" t="n">
        <v>-47</v>
      </c>
      <c r="L1256" s="397" t="n">
        <v>3300</v>
      </c>
      <c r="M1256" s="113" t="n"/>
      <c r="N1256" s="113" t="n"/>
      <c r="O1256" s="113" t="n"/>
      <c r="P1256" s="398" t="n"/>
      <c r="Q1256" s="398" t="n"/>
      <c r="R1256" s="113" t="n"/>
      <c r="S1256" s="113" t="n"/>
      <c r="T1256" s="113" t="n"/>
      <c r="U1256" s="113" t="n"/>
      <c r="V1256" s="113" t="n"/>
    </row>
    <row r="1257" ht="15.75" customHeight="1">
      <c r="A1257" s="146" t="n">
        <v>22</v>
      </c>
      <c r="B1257" s="238" t="n"/>
      <c r="C1257" s="164" t="n">
        <v>45954</v>
      </c>
      <c r="D1257" s="165" t="inlineStr">
        <is>
          <t xml:space="preserve">202 G. HUERTAS </t>
        </is>
      </c>
      <c r="E1257" s="165" t="n">
        <v>44010</v>
      </c>
      <c r="F1257" s="165" t="inlineStr">
        <is>
          <t>ALEX GOMEZ</t>
        </is>
      </c>
      <c r="G1257" s="165" t="n">
        <v>3440</v>
      </c>
      <c r="H1257" s="165" t="n">
        <v>3403</v>
      </c>
      <c r="I1257" s="165" t="n">
        <v>5</v>
      </c>
      <c r="J1257" s="165" t="n">
        <v>5</v>
      </c>
      <c r="K1257" s="165" t="n">
        <v>-27</v>
      </c>
      <c r="L1257" s="397" t="n">
        <v>3300</v>
      </c>
      <c r="M1257" s="113" t="n"/>
      <c r="N1257" s="113" t="n"/>
      <c r="O1257" s="113" t="n"/>
      <c r="P1257" s="398" t="n"/>
      <c r="Q1257" s="398" t="n"/>
      <c r="R1257" s="113" t="n"/>
      <c r="S1257" s="113" t="n"/>
      <c r="T1257" s="113" t="n"/>
      <c r="U1257" s="113" t="n"/>
      <c r="V1257" s="113" t="n"/>
    </row>
    <row r="1258" ht="15.75" customHeight="1">
      <c r="A1258" s="146" t="n">
        <v>22</v>
      </c>
      <c r="B1258" s="238" t="n"/>
      <c r="C1258" s="164" t="n">
        <v>45954</v>
      </c>
      <c r="D1258" s="165" t="inlineStr">
        <is>
          <t xml:space="preserve">202 G. HUERTAS </t>
        </is>
      </c>
      <c r="E1258" s="165" t="n">
        <v>44011</v>
      </c>
      <c r="F1258" s="165" t="inlineStr">
        <is>
          <t>EDUAN CAVIEDES</t>
        </is>
      </c>
      <c r="G1258" s="165" t="n">
        <v>2800</v>
      </c>
      <c r="H1258" s="165" t="n">
        <v>2802</v>
      </c>
      <c r="I1258" s="165" t="n">
        <v>3</v>
      </c>
      <c r="J1258" s="165" t="n">
        <v>18</v>
      </c>
      <c r="K1258" s="165" t="n">
        <v>23</v>
      </c>
      <c r="L1258" s="397" t="n">
        <v>3440</v>
      </c>
      <c r="M1258" s="113" t="n"/>
      <c r="N1258" s="113" t="n"/>
      <c r="O1258" s="113" t="n"/>
      <c r="P1258" s="398" t="n"/>
      <c r="Q1258" s="398" t="n"/>
      <c r="R1258" s="113" t="n"/>
      <c r="S1258" s="113" t="n"/>
      <c r="T1258" s="113" t="n"/>
      <c r="U1258" s="113" t="n"/>
      <c r="V1258" s="113" t="n"/>
    </row>
    <row r="1259" ht="15.75" customHeight="1">
      <c r="A1259" s="146" t="n">
        <v>22</v>
      </c>
      <c r="B1259" s="238" t="n"/>
      <c r="C1259" s="399" t="n">
        <v>45954</v>
      </c>
      <c r="D1259" s="146" t="inlineStr">
        <is>
          <t>200 G. GARCERAS</t>
        </is>
      </c>
      <c r="E1259" s="146" t="n">
        <v>44012</v>
      </c>
      <c r="F1259" s="146" t="inlineStr">
        <is>
          <t>FERNANDO OYUELA</t>
        </is>
      </c>
      <c r="G1259" s="395" t="n">
        <v>2998</v>
      </c>
      <c r="H1259" s="395" t="n">
        <v>3011</v>
      </c>
      <c r="I1259" s="395" t="n">
        <v>3</v>
      </c>
      <c r="J1259" s="395" t="n">
        <v>8</v>
      </c>
      <c r="K1259" s="395" t="n">
        <v>24</v>
      </c>
      <c r="L1259" s="397" t="n">
        <v>2998</v>
      </c>
      <c r="M1259" s="113" t="n"/>
      <c r="N1259" s="113" t="n"/>
      <c r="O1259" s="113" t="n"/>
      <c r="P1259" s="398" t="n"/>
      <c r="Q1259" s="398" t="n"/>
      <c r="R1259" s="113" t="n"/>
      <c r="S1259" s="113" t="n"/>
      <c r="T1259" s="113" t="n"/>
      <c r="U1259" s="113" t="n"/>
      <c r="V1259" s="113" t="n"/>
    </row>
    <row r="1260" ht="15.75" customHeight="1">
      <c r="A1260" s="146" t="n">
        <v>22</v>
      </c>
      <c r="B1260" s="238" t="n"/>
      <c r="C1260" s="399" t="n">
        <v>45954</v>
      </c>
      <c r="D1260" s="146" t="inlineStr">
        <is>
          <t>200 G. GARCERAS</t>
        </is>
      </c>
      <c r="E1260" s="146" t="n">
        <v>44013</v>
      </c>
      <c r="F1260" s="146" t="inlineStr">
        <is>
          <t>HENRY ROMERO</t>
        </is>
      </c>
      <c r="G1260" s="395" t="n">
        <v>3000</v>
      </c>
      <c r="H1260" s="395" t="n">
        <v>3021</v>
      </c>
      <c r="I1260" s="395" t="n">
        <v>4</v>
      </c>
      <c r="J1260" s="395" t="n">
        <v>4</v>
      </c>
      <c r="K1260" s="395" t="n">
        <v>29</v>
      </c>
      <c r="L1260" s="397" t="n">
        <v>3000</v>
      </c>
      <c r="M1260" s="113" t="n"/>
      <c r="N1260" s="113" t="n"/>
      <c r="O1260" s="113" t="n"/>
      <c r="P1260" s="398" t="n"/>
      <c r="Q1260" s="398" t="n"/>
      <c r="R1260" s="113" t="n"/>
      <c r="S1260" s="113" t="n"/>
      <c r="T1260" s="113" t="n"/>
      <c r="U1260" s="113" t="n"/>
      <c r="V1260" s="113" t="n"/>
    </row>
    <row r="1261" ht="15.75" customHeight="1">
      <c r="A1261" s="146" t="n">
        <v>22</v>
      </c>
      <c r="B1261" s="238" t="n"/>
      <c r="C1261" s="399" t="n">
        <v>45954</v>
      </c>
      <c r="D1261" s="146" t="inlineStr">
        <is>
          <t>200 G. GARCERAS</t>
        </is>
      </c>
      <c r="E1261" s="146" t="n">
        <v>44022</v>
      </c>
      <c r="F1261" s="146" t="inlineStr">
        <is>
          <t>DIEGO NIÑO</t>
        </is>
      </c>
      <c r="G1261" s="395" t="n">
        <v>3000</v>
      </c>
      <c r="H1261" s="395" t="n">
        <v>2997</v>
      </c>
      <c r="I1261" s="395" t="n">
        <v>2</v>
      </c>
      <c r="J1261" s="395" t="n">
        <v>7</v>
      </c>
      <c r="K1261" s="395" t="n">
        <v>6</v>
      </c>
      <c r="L1261" s="397" t="n">
        <v>3000</v>
      </c>
      <c r="M1261" s="113" t="n"/>
      <c r="N1261" s="113" t="n"/>
      <c r="O1261" s="113" t="n"/>
      <c r="P1261" s="398" t="n"/>
      <c r="Q1261" s="398" t="n"/>
      <c r="R1261" s="113" t="n"/>
      <c r="S1261" s="113" t="n"/>
      <c r="T1261" s="113" t="n"/>
      <c r="U1261" s="113" t="n"/>
      <c r="V1261" s="113" t="n"/>
    </row>
    <row r="1262" ht="15.75" customHeight="1">
      <c r="A1262" s="146" t="n">
        <v>22</v>
      </c>
      <c r="B1262" s="238" t="n"/>
      <c r="C1262" s="399" t="n">
        <v>45954</v>
      </c>
      <c r="D1262" s="146" t="inlineStr">
        <is>
          <t>200 G. GARCERAS</t>
        </is>
      </c>
      <c r="E1262" s="146" t="n">
        <v>44023</v>
      </c>
      <c r="F1262" s="146" t="inlineStr">
        <is>
          <t>JAIRO CUBILLOS</t>
        </is>
      </c>
      <c r="G1262" s="395" t="n">
        <v>3230</v>
      </c>
      <c r="H1262" s="395" t="n">
        <v>3224</v>
      </c>
      <c r="I1262" s="395" t="n">
        <v>2</v>
      </c>
      <c r="J1262" s="395" t="n">
        <v>8</v>
      </c>
      <c r="K1262" s="395" t="n">
        <v>4</v>
      </c>
      <c r="L1262" s="397" t="n">
        <v>3230</v>
      </c>
      <c r="M1262" s="113" t="n"/>
      <c r="N1262" s="113" t="n"/>
      <c r="O1262" s="113" t="n"/>
      <c r="P1262" s="398" t="n"/>
      <c r="Q1262" s="398" t="n"/>
      <c r="R1262" s="113" t="n"/>
      <c r="S1262" s="113" t="n"/>
      <c r="T1262" s="113" t="n"/>
      <c r="U1262" s="113" t="n"/>
      <c r="V1262" s="113" t="n"/>
    </row>
    <row r="1263" ht="15.75" customHeight="1">
      <c r="A1263" s="146" t="n">
        <v>22</v>
      </c>
      <c r="B1263" s="238" t="n"/>
      <c r="C1263" s="399" t="n">
        <v>45954</v>
      </c>
      <c r="D1263" s="146" t="inlineStr">
        <is>
          <t>200 G. GARCERAS</t>
        </is>
      </c>
      <c r="E1263" s="146" t="n">
        <v>44024</v>
      </c>
      <c r="F1263" s="146" t="inlineStr">
        <is>
          <t>ALBERTO LOPEZ</t>
        </is>
      </c>
      <c r="G1263" s="395" t="n">
        <v>3273</v>
      </c>
      <c r="H1263" s="395" t="n">
        <v>3270</v>
      </c>
      <c r="I1263" s="395" t="n">
        <v>3</v>
      </c>
      <c r="J1263" s="395" t="n">
        <v>5</v>
      </c>
      <c r="K1263" s="395" t="n">
        <v>5</v>
      </c>
      <c r="L1263" s="397" t="n">
        <v>3272</v>
      </c>
      <c r="M1263" s="113" t="n"/>
      <c r="N1263" s="113" t="n"/>
      <c r="O1263" s="113" t="n"/>
      <c r="P1263" s="398" t="n"/>
      <c r="Q1263" s="398" t="n"/>
      <c r="R1263" s="113" t="n"/>
      <c r="S1263" s="113" t="n"/>
      <c r="T1263" s="113" t="n"/>
      <c r="U1263" s="113" t="n"/>
      <c r="V1263" s="113" t="n"/>
    </row>
    <row r="1264" ht="15.75" customHeight="1">
      <c r="A1264" s="146" t="n">
        <v>22</v>
      </c>
      <c r="B1264" s="238" t="n"/>
      <c r="C1264" s="399" t="n">
        <v>45954</v>
      </c>
      <c r="D1264" s="146" t="inlineStr">
        <is>
          <t>200 G. GARCERAS</t>
        </is>
      </c>
      <c r="E1264" s="146" t="n">
        <v>44025</v>
      </c>
      <c r="F1264" s="146" t="inlineStr">
        <is>
          <t>ALEX GOMEZ</t>
        </is>
      </c>
      <c r="G1264" s="395" t="n">
        <v>3272</v>
      </c>
      <c r="H1264" s="395" t="n">
        <v>3275</v>
      </c>
      <c r="I1264" s="395" t="n">
        <v>3</v>
      </c>
      <c r="J1264" s="395" t="n">
        <v>4</v>
      </c>
      <c r="K1264" s="395" t="n">
        <v>10</v>
      </c>
      <c r="L1264" s="397" t="n">
        <v>3272</v>
      </c>
      <c r="M1264" s="113" t="n"/>
      <c r="N1264" s="113" t="n"/>
      <c r="O1264" s="113" t="n"/>
      <c r="P1264" s="398" t="n"/>
      <c r="Q1264" s="398" t="n"/>
      <c r="R1264" s="113" t="n"/>
      <c r="S1264" s="113" t="n"/>
      <c r="T1264" s="113" t="n"/>
      <c r="U1264" s="113" t="n"/>
      <c r="V1264" s="113" t="n"/>
    </row>
    <row r="1265" ht="15.75" customHeight="1">
      <c r="A1265" s="146" t="n">
        <v>22</v>
      </c>
      <c r="B1265" s="238" t="n"/>
      <c r="C1265" s="399" t="n">
        <v>45954</v>
      </c>
      <c r="D1265" s="146" t="inlineStr">
        <is>
          <t>200 G. GARCERAS</t>
        </is>
      </c>
      <c r="E1265" s="146" t="n">
        <v>44026</v>
      </c>
      <c r="F1265" s="146" t="inlineStr">
        <is>
          <t>FERNANDO OYUELA</t>
        </is>
      </c>
      <c r="G1265" s="395" t="n">
        <v>3272</v>
      </c>
      <c r="H1265" s="395" t="n">
        <v>3272</v>
      </c>
      <c r="I1265" s="395" t="n">
        <v>3</v>
      </c>
      <c r="J1265" s="395" t="n">
        <v>7</v>
      </c>
      <c r="K1265" s="395" t="n">
        <v>10</v>
      </c>
      <c r="L1265" s="397" t="n">
        <v>3272</v>
      </c>
      <c r="M1265" s="113" t="n"/>
      <c r="N1265" s="113" t="n"/>
      <c r="O1265" s="113" t="n"/>
      <c r="P1265" s="398" t="n"/>
      <c r="Q1265" s="398" t="n"/>
      <c r="R1265" s="113" t="n"/>
      <c r="S1265" s="113" t="n"/>
      <c r="T1265" s="113" t="n"/>
      <c r="U1265" s="113" t="n"/>
      <c r="V1265" s="113" t="n"/>
    </row>
    <row r="1266" ht="15.75" customHeight="1">
      <c r="A1266" s="146" t="n">
        <v>22</v>
      </c>
      <c r="B1266" s="238" t="n"/>
      <c r="C1266" s="399" t="n">
        <v>45954</v>
      </c>
      <c r="D1266" s="146" t="inlineStr">
        <is>
          <t>200 G. GARCERAS</t>
        </is>
      </c>
      <c r="E1266" s="146" t="n">
        <v>44027</v>
      </c>
      <c r="F1266" s="146" t="inlineStr">
        <is>
          <t>HENRY ROMERO</t>
        </is>
      </c>
      <c r="G1266" s="395" t="n">
        <v>3272</v>
      </c>
      <c r="H1266" s="395" t="n">
        <v>3272</v>
      </c>
      <c r="I1266" s="395" t="n">
        <v>3</v>
      </c>
      <c r="J1266" s="395" t="n">
        <v>7</v>
      </c>
      <c r="K1266" s="395" t="n">
        <v>10</v>
      </c>
      <c r="L1266" s="397" t="n">
        <v>2840</v>
      </c>
      <c r="M1266" s="113" t="n"/>
      <c r="N1266" s="113" t="n"/>
      <c r="O1266" s="113" t="n"/>
      <c r="P1266" s="398" t="n"/>
      <c r="Q1266" s="398" t="n"/>
      <c r="R1266" s="113" t="n"/>
      <c r="S1266" s="113" t="n"/>
      <c r="T1266" s="113" t="n"/>
      <c r="U1266" s="113" t="n"/>
      <c r="V1266" s="113" t="n"/>
    </row>
    <row r="1267" ht="15.75" customHeight="1">
      <c r="A1267" s="146" t="n">
        <v>22</v>
      </c>
      <c r="B1267" s="238" t="n"/>
      <c r="C1267" s="399" t="n">
        <v>45954</v>
      </c>
      <c r="D1267" s="146" t="inlineStr">
        <is>
          <t>200 G. GARCERAS</t>
        </is>
      </c>
      <c r="E1267" s="146" t="n">
        <v>44028</v>
      </c>
      <c r="F1267" s="146" t="inlineStr">
        <is>
          <t>YAIR RIVEROS</t>
        </is>
      </c>
      <c r="G1267" s="395" t="n">
        <v>2840</v>
      </c>
      <c r="H1267" s="395" t="n">
        <v>2844</v>
      </c>
      <c r="I1267" s="395" t="n">
        <v>3</v>
      </c>
      <c r="J1267" s="395" t="n">
        <v>5</v>
      </c>
      <c r="K1267" s="395" t="n">
        <v>12</v>
      </c>
      <c r="L1267" s="397" t="n">
        <v>2840</v>
      </c>
      <c r="M1267" s="113" t="n"/>
      <c r="N1267" s="113" t="n"/>
      <c r="O1267" s="113" t="n"/>
      <c r="P1267" s="398" t="n"/>
      <c r="Q1267" s="398" t="n"/>
      <c r="R1267" s="113" t="n"/>
      <c r="S1267" s="113" t="n"/>
      <c r="T1267" s="113" t="n"/>
      <c r="U1267" s="113" t="n"/>
      <c r="V1267" s="113" t="n"/>
    </row>
    <row r="1268" ht="15.75" customHeight="1">
      <c r="A1268" s="146" t="n">
        <v>22</v>
      </c>
      <c r="B1268" s="238" t="n"/>
      <c r="C1268" s="399" t="n">
        <v>45954</v>
      </c>
      <c r="D1268" s="146" t="inlineStr">
        <is>
          <t>200 G. GARCERAS</t>
        </is>
      </c>
      <c r="E1268" s="146" t="n">
        <v>44036</v>
      </c>
      <c r="F1268" s="146" t="inlineStr">
        <is>
          <t>WILMER PIÑEROS</t>
        </is>
      </c>
      <c r="G1268" s="395" t="n">
        <v>2840</v>
      </c>
      <c r="H1268" s="395" t="n">
        <v>2836</v>
      </c>
      <c r="I1268" s="395" t="n">
        <v>8</v>
      </c>
      <c r="J1268" s="395" t="n">
        <v>4</v>
      </c>
      <c r="K1268" s="395" t="n">
        <v>8</v>
      </c>
      <c r="L1268" s="397" t="n">
        <v>2840</v>
      </c>
      <c r="M1268" s="113" t="n"/>
      <c r="N1268" s="113" t="n"/>
      <c r="O1268" s="113" t="n"/>
      <c r="P1268" s="398" t="n"/>
      <c r="Q1268" s="398" t="n"/>
      <c r="R1268" s="113" t="n"/>
      <c r="S1268" s="113" t="n"/>
      <c r="T1268" s="113" t="n"/>
      <c r="U1268" s="113" t="n"/>
      <c r="V1268" s="113" t="n"/>
    </row>
    <row r="1269" ht="15.75" customHeight="1">
      <c r="A1269" s="146" t="n">
        <v>22</v>
      </c>
      <c r="B1269" s="238" t="n"/>
      <c r="C1269" s="399" t="n">
        <v>45954</v>
      </c>
      <c r="D1269" s="146" t="inlineStr">
        <is>
          <t>200 G. GARCERAS</t>
        </is>
      </c>
      <c r="E1269" s="146" t="n">
        <v>44037</v>
      </c>
      <c r="F1269" s="146" t="inlineStr">
        <is>
          <t>ALBERTO HERRERA</t>
        </is>
      </c>
      <c r="G1269" s="395" t="n">
        <v>2840</v>
      </c>
      <c r="H1269" s="395" t="n">
        <v>2836</v>
      </c>
      <c r="I1269" s="395" t="n">
        <v>9</v>
      </c>
      <c r="J1269" s="395" t="n">
        <v>6</v>
      </c>
      <c r="K1269" s="395" t="n">
        <v>11</v>
      </c>
      <c r="L1269" s="397" t="n">
        <v>2840</v>
      </c>
      <c r="M1269" s="113" t="n"/>
      <c r="N1269" s="113" t="n"/>
      <c r="O1269" s="113" t="n"/>
      <c r="P1269" s="398" t="n"/>
      <c r="Q1269" s="398" t="n"/>
      <c r="R1269" s="113" t="n"/>
      <c r="S1269" s="113" t="n"/>
      <c r="T1269" s="113" t="n"/>
      <c r="U1269" s="113" t="n"/>
      <c r="V1269" s="113" t="n"/>
    </row>
    <row r="1270" ht="15.75" customHeight="1">
      <c r="A1270" s="146" t="n">
        <v>22</v>
      </c>
      <c r="B1270" s="238" t="n"/>
      <c r="C1270" s="399" t="n">
        <v>45954</v>
      </c>
      <c r="D1270" s="146" t="inlineStr">
        <is>
          <t>200 G. GARCERAS</t>
        </is>
      </c>
      <c r="E1270" s="146" t="n">
        <v>44038</v>
      </c>
      <c r="F1270" s="146" t="inlineStr">
        <is>
          <t>EDWIN ROJAS</t>
        </is>
      </c>
      <c r="G1270" s="395" t="n">
        <v>2890</v>
      </c>
      <c r="H1270" s="395" t="n">
        <v>2892</v>
      </c>
      <c r="I1270" s="395" t="n">
        <v>6</v>
      </c>
      <c r="J1270" s="395" t="n">
        <v>6</v>
      </c>
      <c r="K1270" s="395" t="n">
        <v>14</v>
      </c>
      <c r="L1270" s="397" t="n">
        <v>2890</v>
      </c>
      <c r="M1270" s="113" t="n"/>
      <c r="N1270" s="113" t="n"/>
      <c r="O1270" s="113" t="n"/>
      <c r="P1270" s="398" t="n"/>
      <c r="Q1270" s="398" t="n"/>
      <c r="R1270" s="113" t="n"/>
      <c r="S1270" s="113" t="n"/>
      <c r="T1270" s="113" t="n"/>
      <c r="U1270" s="113" t="n"/>
      <c r="V1270" s="113" t="n"/>
    </row>
    <row r="1271" ht="15.75" customHeight="1">
      <c r="A1271" s="146" t="n">
        <v>22</v>
      </c>
      <c r="B1271" s="238" t="n"/>
      <c r="C1271" s="164" t="n">
        <v>45955</v>
      </c>
      <c r="D1271" s="165" t="inlineStr">
        <is>
          <t xml:space="preserve">202 G. HUERTAS </t>
        </is>
      </c>
      <c r="E1271" s="165" t="n">
        <v>44039</v>
      </c>
      <c r="F1271" s="165" t="inlineStr">
        <is>
          <t>WILMER PIÑEROS</t>
        </is>
      </c>
      <c r="G1271" s="165" t="n">
        <v>3240</v>
      </c>
      <c r="H1271" s="165" t="n">
        <v>3224</v>
      </c>
      <c r="I1271" s="165" t="n">
        <v>6</v>
      </c>
      <c r="J1271" s="165" t="n">
        <v>10</v>
      </c>
      <c r="K1271" s="165" t="n">
        <v>0</v>
      </c>
      <c r="L1271" s="397" t="n">
        <v>3240</v>
      </c>
      <c r="M1271" s="113" t="n"/>
      <c r="N1271" s="113" t="n"/>
      <c r="O1271" s="113" t="n"/>
      <c r="P1271" s="398" t="n"/>
      <c r="Q1271" s="398" t="n"/>
      <c r="R1271" s="113" t="n"/>
      <c r="S1271" s="113" t="n"/>
      <c r="T1271" s="113" t="n"/>
      <c r="U1271" s="113" t="n"/>
      <c r="V1271" s="113" t="n"/>
    </row>
    <row r="1272" ht="15.75" customHeight="1">
      <c r="A1272" s="146" t="n">
        <v>22</v>
      </c>
      <c r="B1272" s="238" t="n"/>
      <c r="C1272" s="164" t="n">
        <v>45955</v>
      </c>
      <c r="D1272" s="165" t="inlineStr">
        <is>
          <t xml:space="preserve">202 G. HUERTAS </t>
        </is>
      </c>
      <c r="E1272" s="165" t="n">
        <v>44040</v>
      </c>
      <c r="F1272" s="165" t="inlineStr">
        <is>
          <t>HENRY ROMERO</t>
        </is>
      </c>
      <c r="G1272" s="165" t="n">
        <v>3240</v>
      </c>
      <c r="H1272" s="165" t="n">
        <v>3222</v>
      </c>
      <c r="I1272" s="165" t="n">
        <v>6</v>
      </c>
      <c r="J1272" s="165" t="n">
        <v>12</v>
      </c>
      <c r="K1272" s="165" t="n">
        <v>0</v>
      </c>
      <c r="L1272" s="397" t="n">
        <v>3240</v>
      </c>
      <c r="M1272" s="113" t="n"/>
      <c r="N1272" s="113" t="n"/>
      <c r="O1272" s="113" t="n"/>
      <c r="P1272" s="398" t="n"/>
      <c r="Q1272" s="398" t="n"/>
      <c r="R1272" s="113" t="n"/>
      <c r="S1272" s="113" t="n"/>
      <c r="T1272" s="113" t="n"/>
      <c r="U1272" s="113" t="n"/>
      <c r="V1272" s="113" t="n"/>
    </row>
    <row r="1273" ht="15.75" customHeight="1">
      <c r="A1273" s="146" t="n">
        <v>22</v>
      </c>
      <c r="B1273" s="238" t="n"/>
      <c r="C1273" s="164" t="n">
        <v>45955</v>
      </c>
      <c r="D1273" s="165" t="inlineStr">
        <is>
          <t xml:space="preserve">202 G. HUERTAS </t>
        </is>
      </c>
      <c r="E1273" s="165" t="n">
        <v>44041</v>
      </c>
      <c r="F1273" s="165" t="inlineStr">
        <is>
          <t>EDWIN ROJAS</t>
        </is>
      </c>
      <c r="G1273" s="165" t="n">
        <v>3240</v>
      </c>
      <c r="H1273" s="165" t="n">
        <v>3220</v>
      </c>
      <c r="I1273" s="165" t="n">
        <v>4</v>
      </c>
      <c r="J1273" s="165" t="n">
        <v>16</v>
      </c>
      <c r="K1273" s="165" t="n">
        <v>0</v>
      </c>
      <c r="L1273" s="397" t="n">
        <v>3240</v>
      </c>
      <c r="M1273" s="113" t="n"/>
      <c r="N1273" s="113" t="n"/>
      <c r="O1273" s="113" t="n"/>
      <c r="P1273" s="398" t="n"/>
      <c r="Q1273" s="398" t="n"/>
      <c r="R1273" s="113" t="n"/>
      <c r="S1273" s="113" t="n"/>
      <c r="T1273" s="113" t="n"/>
      <c r="U1273" s="113" t="n"/>
      <c r="V1273" s="113" t="n"/>
    </row>
    <row r="1274" ht="15.75" customHeight="1">
      <c r="A1274" s="146" t="n">
        <v>22</v>
      </c>
      <c r="B1274" s="238" t="n"/>
      <c r="C1274" s="164" t="n">
        <v>45955</v>
      </c>
      <c r="D1274" s="165" t="inlineStr">
        <is>
          <t xml:space="preserve">202 G. HUERTAS </t>
        </is>
      </c>
      <c r="E1274" s="165" t="n">
        <v>44042</v>
      </c>
      <c r="F1274" s="165" t="inlineStr">
        <is>
          <t>ROBINSON PULIDO</t>
        </is>
      </c>
      <c r="G1274" s="165" t="n">
        <v>3509</v>
      </c>
      <c r="H1274" s="165" t="n">
        <v>3475</v>
      </c>
      <c r="I1274" s="165" t="n">
        <v>3</v>
      </c>
      <c r="J1274" s="165" t="n">
        <v>18</v>
      </c>
      <c r="K1274" s="165" t="n">
        <v>-13</v>
      </c>
      <c r="L1274" s="397" t="n">
        <v>3509</v>
      </c>
      <c r="M1274" s="113" t="n"/>
      <c r="N1274" s="113" t="n"/>
      <c r="O1274" s="113" t="n"/>
      <c r="P1274" s="398" t="n"/>
      <c r="Q1274" s="398" t="n"/>
      <c r="R1274" s="113" t="n"/>
      <c r="S1274" s="113" t="n"/>
      <c r="T1274" s="113" t="n"/>
      <c r="U1274" s="113" t="n"/>
      <c r="V1274" s="113" t="n"/>
    </row>
    <row r="1275" ht="15.75" customHeight="1">
      <c r="A1275" s="146" t="n">
        <v>22</v>
      </c>
      <c r="B1275" s="238" t="n"/>
      <c r="C1275" s="164" t="n">
        <v>45955</v>
      </c>
      <c r="D1275" s="165" t="inlineStr">
        <is>
          <t xml:space="preserve">202 G. HUERTAS </t>
        </is>
      </c>
      <c r="E1275" s="165" t="n">
        <v>44043</v>
      </c>
      <c r="F1275" s="165" t="inlineStr">
        <is>
          <t>YAIR RIVEROS</t>
        </is>
      </c>
      <c r="G1275" s="165" t="n">
        <v>3600</v>
      </c>
      <c r="H1275" s="165" t="n">
        <v>3576</v>
      </c>
      <c r="I1275" s="165" t="n">
        <v>3</v>
      </c>
      <c r="J1275" s="165" t="n">
        <v>9</v>
      </c>
      <c r="K1275" s="165" t="n">
        <v>-12</v>
      </c>
      <c r="L1275" s="397" t="n">
        <v>3600</v>
      </c>
      <c r="M1275" s="113" t="n"/>
      <c r="N1275" s="113" t="n"/>
      <c r="O1275" s="113" t="n"/>
      <c r="P1275" s="398" t="n"/>
      <c r="Q1275" s="398" t="n"/>
      <c r="R1275" s="113" t="n"/>
      <c r="S1275" s="113" t="n"/>
      <c r="T1275" s="113" t="n"/>
      <c r="U1275" s="113" t="n"/>
      <c r="V1275" s="113" t="n"/>
    </row>
    <row r="1276" ht="15.75" customHeight="1">
      <c r="A1276" s="146" t="n">
        <v>22</v>
      </c>
      <c r="B1276" s="238" t="n"/>
      <c r="C1276" s="164" t="n">
        <v>45955</v>
      </c>
      <c r="D1276" s="165" t="inlineStr">
        <is>
          <t xml:space="preserve">202 G. HUERTAS </t>
        </is>
      </c>
      <c r="E1276" s="165" t="n">
        <v>44044</v>
      </c>
      <c r="F1276" s="165" t="inlineStr">
        <is>
          <t>DIEGO NIÑO</t>
        </is>
      </c>
      <c r="G1276" s="165" t="n">
        <v>3500</v>
      </c>
      <c r="H1276" s="165" t="n">
        <v>3471</v>
      </c>
      <c r="I1276" s="165" t="n">
        <v>4</v>
      </c>
      <c r="J1276" s="165" t="n">
        <v>4</v>
      </c>
      <c r="K1276" s="165" t="n">
        <v>-21</v>
      </c>
      <c r="L1276" s="397" t="n">
        <v>3490</v>
      </c>
      <c r="M1276" s="113" t="n"/>
      <c r="N1276" s="113" t="n"/>
      <c r="O1276" s="113" t="n"/>
      <c r="P1276" s="398" t="n"/>
      <c r="Q1276" s="398" t="n"/>
      <c r="R1276" s="113" t="n"/>
      <c r="S1276" s="113" t="n"/>
      <c r="T1276" s="113" t="n"/>
      <c r="U1276" s="113" t="n"/>
      <c r="V1276" s="113" t="n"/>
    </row>
    <row r="1277" ht="15.75" customHeight="1">
      <c r="A1277" s="146" t="n">
        <v>22</v>
      </c>
      <c r="B1277" s="238" t="n"/>
      <c r="C1277" s="164" t="n">
        <v>45955</v>
      </c>
      <c r="D1277" s="165" t="inlineStr">
        <is>
          <t xml:space="preserve">202 G. HUERTAS </t>
        </is>
      </c>
      <c r="E1277" s="165" t="n">
        <v>44045</v>
      </c>
      <c r="F1277" s="165" t="inlineStr">
        <is>
          <t>ALBERTO HERRERA</t>
        </is>
      </c>
      <c r="G1277" s="165" t="n">
        <v>3240</v>
      </c>
      <c r="H1277" s="165" t="n">
        <v>3213</v>
      </c>
      <c r="I1277" s="165" t="n">
        <v>6</v>
      </c>
      <c r="J1277" s="165" t="n">
        <v>4</v>
      </c>
      <c r="K1277" s="165" t="n">
        <v>-17</v>
      </c>
      <c r="L1277" s="397" t="n">
        <v>3240</v>
      </c>
      <c r="M1277" s="113" t="n"/>
      <c r="N1277" s="113" t="n"/>
      <c r="O1277" s="113" t="n"/>
      <c r="P1277" s="398" t="n"/>
      <c r="Q1277" s="398" t="n"/>
      <c r="R1277" s="113" t="n"/>
      <c r="S1277" s="113" t="n"/>
      <c r="T1277" s="113" t="n"/>
      <c r="U1277" s="113" t="n"/>
      <c r="V1277" s="113" t="n"/>
    </row>
    <row r="1278" ht="15.75" customHeight="1">
      <c r="A1278" s="146" t="n">
        <v>22</v>
      </c>
      <c r="B1278" s="238" t="n"/>
      <c r="C1278" s="164" t="n">
        <v>45955</v>
      </c>
      <c r="D1278" s="165" t="inlineStr">
        <is>
          <t xml:space="preserve">202 G. HUERTAS </t>
        </is>
      </c>
      <c r="E1278" s="165" t="n">
        <v>44046</v>
      </c>
      <c r="F1278" s="165" t="inlineStr">
        <is>
          <t>ALBERTO LOPEZ</t>
        </is>
      </c>
      <c r="G1278" s="165" t="n">
        <v>3240</v>
      </c>
      <c r="H1278" s="165" t="n">
        <v>3213</v>
      </c>
      <c r="I1278" s="165" t="n">
        <v>5</v>
      </c>
      <c r="J1278" s="165" t="n">
        <v>7</v>
      </c>
      <c r="K1278" s="165" t="n">
        <v>-15</v>
      </c>
      <c r="L1278" s="397" t="n">
        <v>3240</v>
      </c>
      <c r="M1278" s="113" t="n"/>
      <c r="N1278" s="113" t="n"/>
      <c r="O1278" s="113" t="n"/>
      <c r="P1278" s="398" t="n"/>
      <c r="Q1278" s="398" t="n"/>
      <c r="R1278" s="113" t="n"/>
      <c r="S1278" s="113" t="n"/>
      <c r="T1278" s="113" t="n"/>
      <c r="U1278" s="113" t="n"/>
      <c r="V1278" s="113" t="n"/>
    </row>
    <row r="1279" ht="15.75" customHeight="1">
      <c r="A1279" s="146" t="n">
        <v>22</v>
      </c>
      <c r="B1279" s="238" t="n"/>
      <c r="C1279" s="399" t="n">
        <v>45955</v>
      </c>
      <c r="D1279" s="146" t="inlineStr">
        <is>
          <t>200 G. GARCERAS</t>
        </is>
      </c>
      <c r="E1279" s="146" t="n">
        <v>44055</v>
      </c>
      <c r="F1279" s="146" t="inlineStr">
        <is>
          <t>EDWIN ROJAS</t>
        </is>
      </c>
      <c r="G1279" s="395" t="n">
        <v>3077</v>
      </c>
      <c r="H1279" s="395" t="n">
        <v>3070</v>
      </c>
      <c r="I1279" s="395" t="n">
        <v>3</v>
      </c>
      <c r="J1279" s="395" t="n">
        <v>4</v>
      </c>
      <c r="K1279" s="395" t="n">
        <v>0</v>
      </c>
      <c r="L1279" s="397" t="n">
        <v>3075</v>
      </c>
      <c r="M1279" s="113" t="n"/>
      <c r="N1279" s="113" t="n"/>
      <c r="O1279" s="113" t="n"/>
      <c r="P1279" s="398" t="n"/>
      <c r="Q1279" s="398" t="n"/>
      <c r="R1279" s="113" t="n"/>
      <c r="S1279" s="113" t="n"/>
      <c r="T1279" s="113" t="n"/>
      <c r="U1279" s="113" t="n"/>
      <c r="V1279" s="113" t="n"/>
    </row>
    <row r="1280" ht="15.75" customHeight="1">
      <c r="A1280" s="146" t="n">
        <v>22</v>
      </c>
      <c r="B1280" s="238" t="n"/>
      <c r="C1280" s="399" t="n">
        <v>45955</v>
      </c>
      <c r="D1280" s="146" t="inlineStr">
        <is>
          <t>200 G. GARCERAS</t>
        </is>
      </c>
      <c r="E1280" s="146" t="n">
        <v>44056</v>
      </c>
      <c r="F1280" s="146" t="inlineStr">
        <is>
          <t>FERNANDO OYUELA</t>
        </is>
      </c>
      <c r="G1280" s="395" t="n">
        <v>3077</v>
      </c>
      <c r="H1280" s="395" t="n">
        <v>3072</v>
      </c>
      <c r="I1280" s="395" t="n">
        <v>3</v>
      </c>
      <c r="J1280" s="395" t="n">
        <v>6</v>
      </c>
      <c r="K1280" s="395" t="n">
        <v>4</v>
      </c>
      <c r="L1280" s="397" t="n">
        <v>3077</v>
      </c>
      <c r="M1280" s="113" t="n"/>
      <c r="N1280" s="113" t="n"/>
      <c r="O1280" s="113" t="n"/>
      <c r="P1280" s="398" t="n"/>
      <c r="Q1280" s="398" t="n"/>
      <c r="R1280" s="113" t="n"/>
      <c r="S1280" s="113" t="n"/>
      <c r="T1280" s="113" t="n"/>
      <c r="U1280" s="113" t="n"/>
      <c r="V1280" s="113" t="n"/>
    </row>
    <row r="1281" ht="15.75" customHeight="1">
      <c r="A1281" s="146" t="n">
        <v>22</v>
      </c>
      <c r="B1281" s="238" t="n"/>
      <c r="C1281" s="399" t="n">
        <v>45955</v>
      </c>
      <c r="D1281" s="146" t="inlineStr">
        <is>
          <t>200 G. GARCERAS</t>
        </is>
      </c>
      <c r="E1281" s="146" t="n">
        <v>44057</v>
      </c>
      <c r="F1281" s="146" t="inlineStr">
        <is>
          <t>YAIR RIVEROS</t>
        </is>
      </c>
      <c r="G1281" s="395" t="n">
        <v>3080</v>
      </c>
      <c r="H1281" s="395" t="n">
        <v>3073</v>
      </c>
      <c r="I1281" s="395" t="n">
        <v>3</v>
      </c>
      <c r="J1281" s="395" t="n">
        <v>6</v>
      </c>
      <c r="K1281" s="395" t="n">
        <v>2</v>
      </c>
      <c r="L1281" s="397" t="n">
        <v>3080</v>
      </c>
      <c r="M1281" s="113" t="n"/>
      <c r="N1281" s="113" t="n"/>
      <c r="O1281" s="113" t="n"/>
      <c r="P1281" s="398" t="n"/>
      <c r="Q1281" s="398" t="n"/>
      <c r="R1281" s="113" t="n"/>
      <c r="S1281" s="113" t="n"/>
      <c r="T1281" s="113" t="n"/>
      <c r="U1281" s="113" t="n"/>
      <c r="V1281" s="113" t="n"/>
    </row>
    <row r="1282" ht="15.75" customHeight="1">
      <c r="A1282" s="146" t="n">
        <v>22</v>
      </c>
      <c r="B1282" s="238" t="n"/>
      <c r="C1282" s="399" t="n">
        <v>45955</v>
      </c>
      <c r="D1282" s="146" t="inlineStr">
        <is>
          <t>200 G. GARCERAS</t>
        </is>
      </c>
      <c r="E1282" s="146" t="n">
        <v>44058</v>
      </c>
      <c r="F1282" s="146" t="inlineStr">
        <is>
          <t>DIEGO NIÑO</t>
        </is>
      </c>
      <c r="G1282" s="395" t="n">
        <v>2830</v>
      </c>
      <c r="H1282" s="395" t="n">
        <v>2824</v>
      </c>
      <c r="I1282" s="395" t="n">
        <v>2</v>
      </c>
      <c r="J1282" s="395" t="n">
        <v>8</v>
      </c>
      <c r="K1282" s="395" t="n">
        <v>4</v>
      </c>
      <c r="L1282" s="397" t="n">
        <v>2830</v>
      </c>
      <c r="M1282" s="113" t="n"/>
      <c r="N1282" s="113" t="n"/>
      <c r="O1282" s="113" t="n"/>
      <c r="P1282" s="398" t="n"/>
      <c r="Q1282" s="398" t="n"/>
      <c r="R1282" s="113" t="n"/>
      <c r="S1282" s="113" t="n"/>
      <c r="T1282" s="113" t="n"/>
      <c r="U1282" s="113" t="n"/>
      <c r="V1282" s="113" t="n"/>
    </row>
    <row r="1283" ht="15.75" customHeight="1">
      <c r="A1283" s="146" t="n">
        <v>22</v>
      </c>
      <c r="B1283" s="238" t="n"/>
      <c r="C1283" s="399" t="n">
        <v>45955</v>
      </c>
      <c r="D1283" s="146" t="inlineStr">
        <is>
          <t>200 G. GARCERAS</t>
        </is>
      </c>
      <c r="E1283" s="146" t="n">
        <v>44059</v>
      </c>
      <c r="F1283" s="146" t="inlineStr">
        <is>
          <t>ALBERTO HERRERA</t>
        </is>
      </c>
      <c r="G1283" s="395" t="n">
        <v>2830</v>
      </c>
      <c r="H1283" s="395" t="n">
        <v>2828</v>
      </c>
      <c r="I1283" s="395" t="n">
        <v>3</v>
      </c>
      <c r="J1283" s="395" t="n">
        <v>5</v>
      </c>
      <c r="K1283" s="395" t="n">
        <v>6</v>
      </c>
      <c r="L1283" s="397" t="n">
        <v>2830</v>
      </c>
      <c r="M1283" s="113" t="n"/>
      <c r="N1283" s="113" t="n"/>
      <c r="O1283" s="113" t="n"/>
      <c r="P1283" s="398" t="n"/>
      <c r="Q1283" s="398" t="n"/>
      <c r="R1283" s="113" t="n"/>
      <c r="S1283" s="113" t="n"/>
      <c r="T1283" s="113" t="n"/>
      <c r="U1283" s="113" t="n"/>
      <c r="V1283" s="113" t="n"/>
    </row>
    <row r="1284" ht="15.75" customHeight="1">
      <c r="A1284" s="146" t="n">
        <v>22</v>
      </c>
      <c r="B1284" s="238" t="n"/>
      <c r="C1284" s="399" t="n"/>
      <c r="D1284" s="113" t="n"/>
      <c r="E1284" s="113" t="n"/>
      <c r="F1284" s="113" t="n"/>
      <c r="G1284" s="477">
        <f>SUBTOTAL(9,G1216:G1283)</f>
        <v/>
      </c>
      <c r="H1284" s="477">
        <f>SUBTOTAL(9,H1216:H1283)</f>
        <v/>
      </c>
      <c r="I1284" s="477">
        <f>SUBTOTAL(9,I1216:I1283)</f>
        <v/>
      </c>
      <c r="J1284" s="477">
        <f>SUBTOTAL(9,J1216:J1283)</f>
        <v/>
      </c>
      <c r="K1284" s="477">
        <f>SUBTOTAL(9,K1216:K1283)</f>
        <v/>
      </c>
      <c r="L1284" s="477">
        <f>SUBTOTAL(9,L1216:L1283)</f>
        <v/>
      </c>
      <c r="M1284" s="113" t="n"/>
      <c r="N1284" s="113" t="n"/>
      <c r="O1284" s="113" t="n"/>
      <c r="P1284" s="398" t="n"/>
      <c r="Q1284" s="398" t="n"/>
      <c r="R1284" s="113" t="n"/>
      <c r="S1284" s="113" t="n"/>
      <c r="T1284" s="113" t="n"/>
      <c r="U1284" s="113" t="n"/>
      <c r="V1284" s="113" t="n"/>
    </row>
    <row r="1285" ht="15.75" customHeight="1">
      <c r="A1285" s="146" t="n">
        <v>23</v>
      </c>
      <c r="B1285" s="238" t="n"/>
      <c r="C1285" s="164" t="n">
        <v>45957</v>
      </c>
      <c r="D1285" s="165" t="inlineStr">
        <is>
          <t xml:space="preserve">202 G. HUERTAS </t>
        </is>
      </c>
      <c r="E1285" s="165" t="n">
        <v>44068</v>
      </c>
      <c r="F1285" s="165" t="inlineStr">
        <is>
          <t>MANUEL QUITIAN</t>
        </is>
      </c>
      <c r="G1285" s="165" t="n">
        <v>2860</v>
      </c>
      <c r="H1285" s="165" t="n">
        <v>2832</v>
      </c>
      <c r="I1285" s="165" t="n">
        <v>10</v>
      </c>
      <c r="J1285" s="165" t="n">
        <v>8</v>
      </c>
      <c r="K1285" s="165" t="n">
        <v>-10</v>
      </c>
      <c r="L1285" s="397" t="n">
        <v>2980</v>
      </c>
      <c r="M1285" s="113" t="n"/>
      <c r="N1285" s="113" t="n"/>
      <c r="O1285" s="113" t="n"/>
      <c r="P1285" s="398" t="n"/>
      <c r="Q1285" s="398" t="n"/>
      <c r="R1285" s="113" t="n"/>
      <c r="S1285" s="113" t="n"/>
      <c r="T1285" s="113" t="n"/>
      <c r="U1285" s="113" t="n"/>
      <c r="V1285" s="113" t="n"/>
    </row>
    <row r="1286" ht="15.75" customHeight="1">
      <c r="A1286" s="146" t="n">
        <v>23</v>
      </c>
      <c r="B1286" s="238" t="n"/>
      <c r="C1286" s="399" t="n">
        <v>45957</v>
      </c>
      <c r="D1286" s="146" t="inlineStr">
        <is>
          <t>200 G. GARCERAS</t>
        </is>
      </c>
      <c r="E1286" s="146" t="n">
        <v>44069</v>
      </c>
      <c r="F1286" s="146" t="inlineStr">
        <is>
          <t>JOSE SOLER</t>
        </is>
      </c>
      <c r="G1286" s="395" t="n">
        <v>2980</v>
      </c>
      <c r="H1286" s="395" t="n">
        <v>2949</v>
      </c>
      <c r="I1286" s="395" t="n">
        <v>10</v>
      </c>
      <c r="J1286" s="395" t="n">
        <v>8</v>
      </c>
      <c r="K1286" s="395" t="n">
        <v>-13</v>
      </c>
      <c r="L1286" s="397" t="n">
        <v>2980</v>
      </c>
      <c r="M1286" s="113" t="n"/>
      <c r="N1286" s="113" t="n"/>
      <c r="O1286" s="113" t="n"/>
      <c r="P1286" s="398" t="n"/>
      <c r="Q1286" s="398" t="n"/>
      <c r="R1286" s="113" t="n"/>
      <c r="S1286" s="113" t="n"/>
      <c r="T1286" s="113" t="n"/>
      <c r="U1286" s="113" t="n"/>
      <c r="V1286" s="113" t="n"/>
    </row>
    <row r="1287" ht="15.75" customHeight="1">
      <c r="A1287" s="146" t="n">
        <v>23</v>
      </c>
      <c r="B1287" s="238" t="n"/>
      <c r="C1287" s="399" t="n">
        <v>45957</v>
      </c>
      <c r="D1287" s="146" t="inlineStr">
        <is>
          <t>200 G. GARCERAS</t>
        </is>
      </c>
      <c r="E1287" s="146" t="n">
        <v>44070</v>
      </c>
      <c r="F1287" s="146" t="inlineStr">
        <is>
          <t>YAIR RIVEROS</t>
        </is>
      </c>
      <c r="G1287" s="395" t="n">
        <v>2980</v>
      </c>
      <c r="H1287" s="395" t="n">
        <v>2959</v>
      </c>
      <c r="I1287" s="395" t="n">
        <v>12</v>
      </c>
      <c r="J1287" s="395" t="n">
        <v>1</v>
      </c>
      <c r="K1287" s="395" t="n">
        <v>-8</v>
      </c>
      <c r="L1287" s="397" t="n">
        <v>2980</v>
      </c>
      <c r="M1287" s="113" t="n"/>
      <c r="N1287" s="113" t="n"/>
      <c r="O1287" s="113" t="n"/>
      <c r="P1287" s="398" t="n"/>
      <c r="Q1287" s="398" t="n"/>
      <c r="R1287" s="113" t="n"/>
      <c r="S1287" s="113" t="n"/>
      <c r="T1287" s="113" t="n"/>
      <c r="U1287" s="113" t="n"/>
      <c r="V1287" s="113" t="n"/>
    </row>
    <row r="1288" ht="15.75" customHeight="1">
      <c r="A1288" s="146" t="n">
        <v>23</v>
      </c>
      <c r="B1288" s="238" t="n"/>
      <c r="C1288" s="399" t="n">
        <v>45957</v>
      </c>
      <c r="D1288" s="146" t="inlineStr">
        <is>
          <t>200 G. GARCERAS</t>
        </is>
      </c>
      <c r="E1288" s="146" t="n">
        <v>44071</v>
      </c>
      <c r="F1288" s="146" t="inlineStr">
        <is>
          <t>JOSE HERRERA</t>
        </is>
      </c>
      <c r="G1288" s="395" t="n">
        <v>2980</v>
      </c>
      <c r="H1288" s="395" t="n">
        <v>2968</v>
      </c>
      <c r="I1288" s="395" t="n">
        <v>3</v>
      </c>
      <c r="J1288" s="395" t="n">
        <v>4</v>
      </c>
      <c r="K1288" s="395" t="n">
        <v>-5</v>
      </c>
      <c r="L1288" s="397" t="n">
        <v>2860</v>
      </c>
      <c r="M1288" s="113" t="n"/>
      <c r="N1288" s="113" t="n"/>
      <c r="O1288" s="113" t="n"/>
      <c r="P1288" s="398" t="n"/>
      <c r="Q1288" s="398" t="n"/>
      <c r="R1288" s="113" t="n"/>
      <c r="S1288" s="113" t="n"/>
      <c r="T1288" s="113" t="n"/>
      <c r="U1288" s="113" t="n"/>
      <c r="V1288" s="113" t="n"/>
    </row>
    <row r="1289" ht="15.75" customHeight="1">
      <c r="A1289" s="146" t="n">
        <v>23</v>
      </c>
      <c r="B1289" s="238" t="n"/>
      <c r="C1289" s="399" t="n">
        <v>45957</v>
      </c>
      <c r="D1289" s="146" t="inlineStr">
        <is>
          <t>200 G. GARCERAS</t>
        </is>
      </c>
      <c r="E1289" s="146" t="n">
        <v>44072</v>
      </c>
      <c r="F1289" s="146" t="inlineStr">
        <is>
          <t>WILMER PIÑEROS</t>
        </is>
      </c>
      <c r="G1289" s="395" t="n">
        <v>2980</v>
      </c>
      <c r="H1289" s="395" t="n">
        <v>2967</v>
      </c>
      <c r="I1289" s="395" t="n">
        <v>3</v>
      </c>
      <c r="J1289" s="395" t="n">
        <v>4</v>
      </c>
      <c r="K1289" s="395" t="n">
        <v>-6</v>
      </c>
      <c r="L1289" s="397" t="n">
        <v>2980</v>
      </c>
      <c r="M1289" s="113" t="n"/>
      <c r="N1289" s="113" t="n"/>
      <c r="O1289" s="113" t="n"/>
      <c r="P1289" s="398" t="n"/>
      <c r="Q1289" s="398" t="n"/>
      <c r="R1289" s="113" t="n"/>
      <c r="S1289" s="113" t="n"/>
      <c r="T1289" s="113" t="n"/>
      <c r="U1289" s="113" t="n"/>
      <c r="V1289" s="113" t="n"/>
    </row>
    <row r="1290" ht="15.75" customHeight="1">
      <c r="A1290" s="146" t="n">
        <v>23</v>
      </c>
      <c r="B1290" s="238" t="n"/>
      <c r="C1290" s="399" t="n">
        <v>45957</v>
      </c>
      <c r="D1290" s="146" t="inlineStr">
        <is>
          <t>200 G. GARCERAS</t>
        </is>
      </c>
      <c r="E1290" s="146" t="n">
        <v>44073</v>
      </c>
      <c r="F1290" s="146" t="inlineStr">
        <is>
          <t>EDWIN ROJAS</t>
        </is>
      </c>
      <c r="G1290" s="395" t="n">
        <v>2980</v>
      </c>
      <c r="H1290" s="395" t="n">
        <v>2975</v>
      </c>
      <c r="I1290" s="395" t="n">
        <v>4</v>
      </c>
      <c r="J1290" s="395" t="n">
        <v>2</v>
      </c>
      <c r="K1290" s="395" t="n">
        <v>1</v>
      </c>
      <c r="L1290" s="397" t="n">
        <v>2980</v>
      </c>
      <c r="M1290" s="113" t="n"/>
      <c r="N1290" s="113" t="n"/>
      <c r="O1290" s="113" t="n"/>
      <c r="P1290" s="398" t="n"/>
      <c r="Q1290" s="398" t="n"/>
      <c r="R1290" s="113" t="n"/>
      <c r="S1290" s="113" t="n"/>
      <c r="T1290" s="113" t="n"/>
      <c r="U1290" s="113" t="n"/>
      <c r="V1290" s="113" t="n"/>
    </row>
    <row r="1291" ht="15.75" customHeight="1">
      <c r="A1291" s="146" t="n">
        <v>23</v>
      </c>
      <c r="B1291" s="238" t="n"/>
      <c r="C1291" s="399" t="n">
        <v>45957</v>
      </c>
      <c r="D1291" s="146" t="inlineStr">
        <is>
          <t>200 G. GARCERAS</t>
        </is>
      </c>
      <c r="E1291" s="146" t="n">
        <v>44074</v>
      </c>
      <c r="F1291" s="146" t="inlineStr">
        <is>
          <t>DUMAR ANGARITA</t>
        </is>
      </c>
      <c r="G1291" s="395" t="n">
        <v>2950</v>
      </c>
      <c r="H1291" s="395" t="n">
        <v>2944</v>
      </c>
      <c r="I1291" s="395" t="n">
        <v>3</v>
      </c>
      <c r="J1291" s="395" t="n">
        <v>4</v>
      </c>
      <c r="K1291" s="395" t="n">
        <v>1</v>
      </c>
      <c r="L1291" s="397" t="n">
        <v>2950</v>
      </c>
      <c r="M1291" s="113" t="n"/>
      <c r="N1291" s="113" t="n"/>
      <c r="O1291" s="113" t="n"/>
      <c r="P1291" s="398" t="n"/>
      <c r="Q1291" s="398" t="n"/>
      <c r="R1291" s="113" t="n"/>
      <c r="S1291" s="113" t="n"/>
      <c r="T1291" s="113" t="n"/>
      <c r="U1291" s="113" t="n"/>
      <c r="V1291" s="113" t="n"/>
    </row>
    <row r="1292" ht="15.75" customHeight="1">
      <c r="A1292" s="146" t="n">
        <v>23</v>
      </c>
      <c r="B1292" s="238" t="n"/>
      <c r="C1292" s="399" t="n">
        <v>45957</v>
      </c>
      <c r="D1292" s="146" t="inlineStr">
        <is>
          <t>200 G. GARCERAS</t>
        </is>
      </c>
      <c r="E1292" s="146" t="n">
        <v>44075</v>
      </c>
      <c r="F1292" s="146" t="inlineStr">
        <is>
          <t>ROBINSON PULIDO</t>
        </is>
      </c>
      <c r="G1292" s="395" t="n">
        <v>3090</v>
      </c>
      <c r="H1292" s="395" t="n">
        <v>3083</v>
      </c>
      <c r="I1292" s="395" t="n">
        <v>3</v>
      </c>
      <c r="J1292" s="395" t="n">
        <v>4</v>
      </c>
      <c r="K1292" s="395" t="n">
        <v>0</v>
      </c>
      <c r="L1292" s="397" t="n">
        <v>3090</v>
      </c>
      <c r="M1292" s="113" t="n"/>
      <c r="N1292" s="113" t="n"/>
      <c r="O1292" s="113" t="n"/>
      <c r="P1292" s="398" t="n"/>
      <c r="Q1292" s="398" t="n"/>
      <c r="R1292" s="113" t="n"/>
      <c r="S1292" s="113" t="n"/>
      <c r="T1292" s="113" t="n"/>
      <c r="U1292" s="113" t="n"/>
      <c r="V1292" s="113" t="n"/>
    </row>
    <row r="1293" ht="15.75" customHeight="1">
      <c r="A1293" s="146" t="n">
        <v>23</v>
      </c>
      <c r="B1293" s="238" t="n"/>
      <c r="C1293" s="399" t="n">
        <v>45957</v>
      </c>
      <c r="D1293" s="146" t="inlineStr">
        <is>
          <t>200 G. GARCERAS</t>
        </is>
      </c>
      <c r="E1293" s="146" t="n">
        <v>44084</v>
      </c>
      <c r="F1293" s="146" t="inlineStr">
        <is>
          <t>FERNANDO OYUELA</t>
        </is>
      </c>
      <c r="G1293" s="395" t="n">
        <v>2960</v>
      </c>
      <c r="H1293" s="395" t="n">
        <v>2967</v>
      </c>
      <c r="I1293" s="395" t="n">
        <v>3</v>
      </c>
      <c r="J1293" s="395" t="n">
        <v>3</v>
      </c>
      <c r="K1293" s="395" t="n">
        <v>13</v>
      </c>
      <c r="L1293" s="397" t="n">
        <v>3000</v>
      </c>
      <c r="M1293" s="113" t="n"/>
      <c r="N1293" s="113" t="n"/>
      <c r="O1293" s="113" t="n"/>
      <c r="P1293" s="398" t="n"/>
      <c r="Q1293" s="398" t="n"/>
      <c r="R1293" s="113" t="n"/>
      <c r="S1293" s="113" t="n"/>
      <c r="T1293" s="113" t="n"/>
      <c r="U1293" s="113" t="n"/>
      <c r="V1293" s="113" t="n"/>
    </row>
    <row r="1294" ht="15.75" customHeight="1">
      <c r="A1294" s="146" t="n">
        <v>23</v>
      </c>
      <c r="B1294" s="238" t="n"/>
      <c r="C1294" s="399" t="n">
        <v>45957</v>
      </c>
      <c r="D1294" s="146" t="inlineStr">
        <is>
          <t>200 G. GARCERAS</t>
        </is>
      </c>
      <c r="E1294" s="146" t="n">
        <v>44085</v>
      </c>
      <c r="F1294" s="146" t="inlineStr">
        <is>
          <t>MANUEL QUITIAN</t>
        </is>
      </c>
      <c r="G1294" s="395" t="n">
        <v>2960</v>
      </c>
      <c r="H1294" s="395" t="n">
        <v>2964</v>
      </c>
      <c r="I1294" s="395" t="n">
        <v>3</v>
      </c>
      <c r="J1294" s="395" t="n">
        <v>4</v>
      </c>
      <c r="K1294" s="395" t="n">
        <v>11</v>
      </c>
      <c r="L1294" s="397" t="n">
        <v>2960</v>
      </c>
      <c r="M1294" s="113" t="n"/>
      <c r="N1294" s="113" t="n"/>
      <c r="O1294" s="113" t="n"/>
      <c r="P1294" s="398" t="n"/>
      <c r="Q1294" s="398" t="n"/>
      <c r="R1294" s="113" t="n"/>
      <c r="S1294" s="113" t="n"/>
      <c r="T1294" s="113" t="n"/>
      <c r="U1294" s="113" t="n"/>
      <c r="V1294" s="113" t="n"/>
    </row>
    <row r="1295" ht="15.75" customHeight="1">
      <c r="A1295" s="146" t="n">
        <v>23</v>
      </c>
      <c r="B1295" s="238" t="n"/>
      <c r="C1295" s="399" t="n">
        <v>45957</v>
      </c>
      <c r="D1295" s="146" t="inlineStr">
        <is>
          <t>200 G. GARCERAS</t>
        </is>
      </c>
      <c r="E1295" s="146" t="n">
        <v>44086</v>
      </c>
      <c r="F1295" s="146" t="inlineStr">
        <is>
          <t>WILMER PIÑEROS</t>
        </is>
      </c>
      <c r="G1295" s="395" t="n">
        <v>2960</v>
      </c>
      <c r="H1295" s="395" t="n">
        <v>2960</v>
      </c>
      <c r="I1295" s="395" t="n">
        <v>8</v>
      </c>
      <c r="J1295" s="395" t="n">
        <v>5</v>
      </c>
      <c r="K1295" s="395" t="n">
        <v>13</v>
      </c>
      <c r="L1295" s="397" t="n">
        <v>2960</v>
      </c>
      <c r="M1295" s="113" t="n"/>
      <c r="N1295" s="113" t="n"/>
      <c r="O1295" s="113" t="n"/>
      <c r="P1295" s="398" t="n"/>
      <c r="Q1295" s="398" t="n"/>
      <c r="R1295" s="113" t="n"/>
      <c r="S1295" s="113" t="n"/>
      <c r="T1295" s="113" t="n"/>
      <c r="U1295" s="113" t="n"/>
      <c r="V1295" s="113" t="n"/>
    </row>
    <row r="1296" ht="15.75" customHeight="1">
      <c r="A1296" s="146" t="n">
        <v>23</v>
      </c>
      <c r="B1296" s="238" t="n"/>
      <c r="C1296" s="399" t="n">
        <v>45958</v>
      </c>
      <c r="D1296" s="146" t="inlineStr">
        <is>
          <t>200 G. GARCERAS</t>
        </is>
      </c>
      <c r="E1296" s="146" t="n">
        <v>44094</v>
      </c>
      <c r="F1296" s="146" t="inlineStr">
        <is>
          <t>DIEGO NIÑO</t>
        </is>
      </c>
      <c r="G1296" s="395" t="n">
        <v>2980</v>
      </c>
      <c r="H1296" s="395" t="n">
        <v>2975</v>
      </c>
      <c r="I1296" s="395" t="n">
        <v>2</v>
      </c>
      <c r="J1296" s="395" t="n">
        <v>10</v>
      </c>
      <c r="K1296" s="395" t="n">
        <v>7</v>
      </c>
      <c r="L1296" s="397" t="n">
        <v>2980</v>
      </c>
      <c r="M1296" s="113" t="n"/>
      <c r="N1296" s="113" t="n"/>
      <c r="O1296" s="113" t="n"/>
      <c r="P1296" s="398" t="n"/>
      <c r="Q1296" s="398" t="n"/>
      <c r="R1296" s="113" t="n"/>
      <c r="S1296" s="113" t="n"/>
      <c r="T1296" s="113" t="n"/>
      <c r="U1296" s="113" t="n"/>
      <c r="V1296" s="113" t="n"/>
    </row>
    <row r="1297" ht="15.75" customHeight="1">
      <c r="A1297" s="146" t="n">
        <v>23</v>
      </c>
      <c r="B1297" s="238" t="n"/>
      <c r="C1297" s="399" t="n">
        <v>45958</v>
      </c>
      <c r="D1297" s="146" t="inlineStr">
        <is>
          <t>200 G. GARCERAS</t>
        </is>
      </c>
      <c r="E1297" s="146" t="n">
        <v>44095</v>
      </c>
      <c r="F1297" s="146" t="inlineStr">
        <is>
          <t>DUMAR ANGARITA</t>
        </is>
      </c>
      <c r="G1297" s="395" t="n">
        <v>2980</v>
      </c>
      <c r="H1297" s="395" t="n">
        <v>2977</v>
      </c>
      <c r="I1297" s="395" t="n">
        <v>2</v>
      </c>
      <c r="J1297" s="395" t="n">
        <v>7</v>
      </c>
      <c r="K1297" s="395" t="n">
        <v>6</v>
      </c>
      <c r="L1297" s="397" t="n">
        <v>2980</v>
      </c>
      <c r="M1297" s="113" t="n"/>
      <c r="N1297" s="113" t="n"/>
      <c r="O1297" s="113" t="n"/>
      <c r="P1297" s="398" t="n"/>
      <c r="Q1297" s="398" t="n"/>
      <c r="R1297" s="113" t="n"/>
      <c r="S1297" s="113" t="n"/>
      <c r="T1297" s="113" t="n"/>
      <c r="U1297" s="113" t="n"/>
      <c r="V1297" s="113" t="n"/>
    </row>
    <row r="1298" ht="15.75" customHeight="1">
      <c r="A1298" s="146" t="n">
        <v>23</v>
      </c>
      <c r="B1298" s="238" t="n"/>
      <c r="C1298" s="399" t="n">
        <v>45958</v>
      </c>
      <c r="D1298" s="146" t="inlineStr">
        <is>
          <t>200 G. GARCERAS</t>
        </is>
      </c>
      <c r="E1298" s="146" t="n">
        <v>44096</v>
      </c>
      <c r="F1298" s="146" t="inlineStr">
        <is>
          <t>EDUAN CAVIEDES</t>
        </is>
      </c>
      <c r="G1298" s="395" t="n">
        <v>2980</v>
      </c>
      <c r="H1298" s="395" t="n">
        <v>2972</v>
      </c>
      <c r="I1298" s="395" t="n">
        <v>3</v>
      </c>
      <c r="J1298" s="395" t="n">
        <v>9</v>
      </c>
      <c r="K1298" s="395" t="n">
        <v>4</v>
      </c>
      <c r="L1298" s="397" t="n">
        <v>2980</v>
      </c>
      <c r="M1298" s="113" t="n"/>
      <c r="N1298" s="113" t="n"/>
      <c r="O1298" s="113" t="n"/>
      <c r="P1298" s="398" t="n"/>
      <c r="Q1298" s="398" t="n"/>
      <c r="R1298" s="113" t="n"/>
      <c r="S1298" s="113" t="n"/>
      <c r="T1298" s="113" t="n"/>
      <c r="U1298" s="113" t="n"/>
      <c r="V1298" s="113" t="n"/>
    </row>
    <row r="1299" ht="15.75" customHeight="1">
      <c r="A1299" s="146" t="n">
        <v>23</v>
      </c>
      <c r="B1299" s="238" t="n"/>
      <c r="C1299" s="399" t="n">
        <v>45958</v>
      </c>
      <c r="D1299" s="146" t="inlineStr">
        <is>
          <t>200 G. GARCERAS</t>
        </is>
      </c>
      <c r="E1299" s="146" t="n">
        <v>44097</v>
      </c>
      <c r="F1299" s="146" t="inlineStr">
        <is>
          <t>FERNANDO OYUELA</t>
        </is>
      </c>
      <c r="G1299" s="395" t="n">
        <v>2980</v>
      </c>
      <c r="H1299" s="395" t="n">
        <v>2978</v>
      </c>
      <c r="I1299" s="395" t="n">
        <v>2</v>
      </c>
      <c r="J1299" s="395" t="n">
        <v>2</v>
      </c>
      <c r="K1299" s="395" t="n">
        <v>2</v>
      </c>
      <c r="L1299" s="397" t="n">
        <v>2980</v>
      </c>
      <c r="M1299" s="113" t="n"/>
      <c r="N1299" s="113" t="n"/>
      <c r="O1299" s="113" t="n"/>
      <c r="P1299" s="398" t="n"/>
      <c r="Q1299" s="398" t="n"/>
      <c r="R1299" s="113" t="n"/>
      <c r="S1299" s="113" t="n"/>
      <c r="T1299" s="113" t="n"/>
      <c r="U1299" s="113" t="n"/>
      <c r="V1299" s="113" t="n"/>
    </row>
    <row r="1300" ht="15.75" customHeight="1">
      <c r="A1300" s="146" t="n">
        <v>23</v>
      </c>
      <c r="B1300" s="238" t="n"/>
      <c r="C1300" s="399" t="n">
        <v>45958</v>
      </c>
      <c r="D1300" s="146" t="inlineStr">
        <is>
          <t>200 G. GARCERAS</t>
        </is>
      </c>
      <c r="E1300" s="146" t="n">
        <v>44098</v>
      </c>
      <c r="F1300" s="146" t="inlineStr">
        <is>
          <t>JOSE SOLER</t>
        </is>
      </c>
      <c r="G1300" s="395" t="n">
        <v>2910</v>
      </c>
      <c r="H1300" s="395" t="n">
        <v>2909</v>
      </c>
      <c r="I1300" s="395" t="n">
        <v>1</v>
      </c>
      <c r="J1300" s="395" t="n">
        <v>2</v>
      </c>
      <c r="K1300" s="395" t="n">
        <v>2</v>
      </c>
      <c r="L1300" s="397" t="n">
        <v>2910</v>
      </c>
      <c r="M1300" s="113" t="n"/>
      <c r="N1300" s="113" t="n"/>
      <c r="O1300" s="113" t="n"/>
      <c r="P1300" s="398" t="n"/>
      <c r="Q1300" s="398" t="n"/>
      <c r="R1300" s="113" t="n"/>
      <c r="S1300" s="113" t="n"/>
      <c r="T1300" s="113" t="n"/>
      <c r="U1300" s="113" t="n"/>
      <c r="V1300" s="113" t="n"/>
    </row>
    <row r="1301" ht="15.75" customHeight="1">
      <c r="A1301" s="146" t="n">
        <v>23</v>
      </c>
      <c r="B1301" s="238" t="n"/>
      <c r="C1301" s="164" t="n">
        <v>45959</v>
      </c>
      <c r="D1301" s="165" t="inlineStr">
        <is>
          <t>202 G. HUERTAS</t>
        </is>
      </c>
      <c r="E1301" s="165" t="n">
        <v>44115</v>
      </c>
      <c r="F1301" s="165" t="inlineStr">
        <is>
          <t>ALEX GOMEZ</t>
        </is>
      </c>
      <c r="G1301" s="165" t="n">
        <v>3240</v>
      </c>
      <c r="H1301" s="165" t="n">
        <v>3223</v>
      </c>
      <c r="I1301" s="165" t="n">
        <v>4</v>
      </c>
      <c r="J1301" s="165" t="n">
        <v>13</v>
      </c>
      <c r="K1301" s="165" t="n">
        <v>0</v>
      </c>
      <c r="L1301" s="397" t="n">
        <v>3240</v>
      </c>
      <c r="M1301" s="113" t="n"/>
      <c r="N1301" s="113" t="n"/>
      <c r="O1301" s="113" t="n"/>
      <c r="P1301" s="398" t="n"/>
      <c r="Q1301" s="398" t="n"/>
      <c r="R1301" s="113" t="n"/>
      <c r="S1301" s="113" t="n"/>
      <c r="T1301" s="113" t="n"/>
      <c r="U1301" s="113" t="n"/>
      <c r="V1301" s="113" t="n"/>
    </row>
    <row r="1302" ht="15.75" customHeight="1">
      <c r="A1302" s="146" t="n">
        <v>23</v>
      </c>
      <c r="B1302" s="238" t="n"/>
      <c r="C1302" s="164" t="n">
        <v>45959</v>
      </c>
      <c r="D1302" s="165" t="inlineStr">
        <is>
          <t>202 G. HUERTAS</t>
        </is>
      </c>
      <c r="E1302" s="165" t="n">
        <v>44116</v>
      </c>
      <c r="F1302" s="165" t="inlineStr">
        <is>
          <t>ALEXANDER CHAGUALA</t>
        </is>
      </c>
      <c r="G1302" s="165" t="n">
        <v>3220</v>
      </c>
      <c r="H1302" s="165" t="n">
        <v>3201</v>
      </c>
      <c r="I1302" s="165" t="n">
        <v>5</v>
      </c>
      <c r="J1302" s="165" t="n">
        <v>14</v>
      </c>
      <c r="K1302" s="165" t="n">
        <v>0</v>
      </c>
      <c r="L1302" s="397" t="n">
        <v>3220</v>
      </c>
      <c r="M1302" s="113" t="n"/>
      <c r="N1302" s="113" t="n"/>
      <c r="O1302" s="113" t="n"/>
      <c r="P1302" s="398" t="n"/>
      <c r="Q1302" s="398" t="n"/>
      <c r="R1302" s="113" t="n"/>
      <c r="S1302" s="113" t="n"/>
      <c r="T1302" s="113" t="n"/>
      <c r="U1302" s="113" t="n"/>
      <c r="V1302" s="113" t="n"/>
    </row>
    <row r="1303" ht="15.75" customHeight="1">
      <c r="A1303" s="146" t="n">
        <v>23</v>
      </c>
      <c r="B1303" s="238" t="n"/>
      <c r="C1303" s="399" t="n">
        <v>45959</v>
      </c>
      <c r="D1303" s="146" t="inlineStr">
        <is>
          <t>200 G. GARCERAS</t>
        </is>
      </c>
      <c r="E1303" s="146" t="n">
        <v>44117</v>
      </c>
      <c r="F1303" s="146" t="inlineStr">
        <is>
          <t>JHON ARIAS</t>
        </is>
      </c>
      <c r="G1303" s="395" t="n">
        <v>2460</v>
      </c>
      <c r="H1303" s="395" t="n">
        <v>2439</v>
      </c>
      <c r="I1303" s="395" t="n">
        <v>5</v>
      </c>
      <c r="J1303" s="395" t="n">
        <v>14</v>
      </c>
      <c r="K1303" s="395" t="n">
        <v>-2</v>
      </c>
      <c r="L1303" s="397" t="n">
        <v>2460</v>
      </c>
      <c r="M1303" s="113" t="n"/>
      <c r="N1303" s="113" t="n"/>
      <c r="O1303" s="113" t="n"/>
      <c r="P1303" s="398" t="n"/>
      <c r="Q1303" s="398" t="n"/>
      <c r="R1303" s="113" t="n"/>
      <c r="S1303" s="113" t="n"/>
      <c r="T1303" s="113" t="n"/>
      <c r="U1303" s="113" t="n"/>
      <c r="V1303" s="113" t="n"/>
    </row>
    <row r="1304" ht="15.75" customHeight="1">
      <c r="A1304" s="146" t="n">
        <v>23</v>
      </c>
      <c r="B1304" s="238" t="n"/>
      <c r="C1304" s="399" t="n">
        <v>45959</v>
      </c>
      <c r="D1304" s="146" t="inlineStr">
        <is>
          <t>200 G. GARCERAS</t>
        </is>
      </c>
      <c r="E1304" s="146" t="n">
        <v>44118</v>
      </c>
      <c r="F1304" s="146" t="inlineStr">
        <is>
          <t>SEBASTIAN HIDALGO</t>
        </is>
      </c>
      <c r="G1304" s="395" t="n">
        <v>2460</v>
      </c>
      <c r="H1304" s="395" t="n">
        <v>2434</v>
      </c>
      <c r="I1304" s="395" t="n">
        <v>20</v>
      </c>
      <c r="J1304" s="395" t="n">
        <v>1</v>
      </c>
      <c r="K1304" s="395" t="n">
        <v>-5</v>
      </c>
      <c r="L1304" s="397" t="n">
        <v>2460</v>
      </c>
      <c r="M1304" s="113" t="n"/>
      <c r="N1304" s="113" t="n"/>
      <c r="O1304" s="113" t="n"/>
      <c r="P1304" s="398" t="n"/>
      <c r="Q1304" s="398" t="n"/>
      <c r="R1304" s="113" t="n"/>
      <c r="S1304" s="113" t="n"/>
      <c r="T1304" s="113" t="n"/>
      <c r="U1304" s="113" t="n"/>
      <c r="V1304" s="113" t="n"/>
    </row>
    <row r="1305" ht="15.75" customHeight="1">
      <c r="A1305" s="146" t="n">
        <v>23</v>
      </c>
      <c r="B1305" s="238" t="n"/>
      <c r="C1305" s="399" t="n">
        <v>45959</v>
      </c>
      <c r="D1305" s="146" t="inlineStr">
        <is>
          <t>200 G. GARCERAS</t>
        </is>
      </c>
      <c r="E1305" s="146" t="n">
        <v>44119</v>
      </c>
      <c r="F1305" s="146" t="inlineStr">
        <is>
          <t>EDWIN ROJAS</t>
        </is>
      </c>
      <c r="G1305" s="395" t="n">
        <v>2460</v>
      </c>
      <c r="H1305" s="395" t="n">
        <v>2443</v>
      </c>
      <c r="I1305" s="395" t="n">
        <v>14</v>
      </c>
      <c r="J1305" s="395" t="n">
        <v>3</v>
      </c>
      <c r="K1305" s="395" t="n">
        <v>0</v>
      </c>
      <c r="L1305" s="397" t="n">
        <v>2460</v>
      </c>
      <c r="M1305" s="113" t="n"/>
      <c r="N1305" s="113" t="n"/>
      <c r="O1305" s="113" t="n"/>
      <c r="P1305" s="398" t="n"/>
      <c r="Q1305" s="398" t="n"/>
      <c r="R1305" s="113" t="n"/>
      <c r="S1305" s="113" t="n"/>
      <c r="T1305" s="113" t="n"/>
      <c r="U1305" s="113" t="n"/>
      <c r="V1305" s="113" t="n"/>
    </row>
    <row r="1306" ht="15.75" customHeight="1">
      <c r="A1306" s="146" t="n">
        <v>23</v>
      </c>
      <c r="B1306" s="238" t="n"/>
      <c r="C1306" s="399" t="n">
        <v>45959</v>
      </c>
      <c r="D1306" s="146" t="inlineStr">
        <is>
          <t>200 G. GARCERAS</t>
        </is>
      </c>
      <c r="E1306" s="146" t="n">
        <v>44120</v>
      </c>
      <c r="F1306" s="146" t="inlineStr">
        <is>
          <t>ALBERTO LOPEZ</t>
        </is>
      </c>
      <c r="G1306" s="395" t="n">
        <v>3090</v>
      </c>
      <c r="H1306" s="395" t="n">
        <v>3085</v>
      </c>
      <c r="I1306" s="395" t="n">
        <v>4</v>
      </c>
      <c r="J1306" s="395" t="n">
        <v>1</v>
      </c>
      <c r="K1306" s="395" t="n">
        <v>0</v>
      </c>
      <c r="L1306" s="397" t="n">
        <v>3090</v>
      </c>
      <c r="M1306" s="113" t="n"/>
      <c r="N1306" s="113" t="n"/>
      <c r="O1306" s="113" t="n"/>
      <c r="P1306" s="398" t="n"/>
      <c r="Q1306" s="398" t="n"/>
      <c r="R1306" s="113" t="n"/>
      <c r="S1306" s="113" t="n"/>
      <c r="T1306" s="113" t="n"/>
      <c r="U1306" s="113" t="n"/>
      <c r="V1306" s="113" t="n"/>
    </row>
    <row r="1307" ht="15.75" customHeight="1">
      <c r="A1307" s="146" t="n">
        <v>23</v>
      </c>
      <c r="B1307" s="238" t="n"/>
      <c r="C1307" s="399" t="n">
        <v>45959</v>
      </c>
      <c r="D1307" s="146" t="inlineStr">
        <is>
          <t>200 G. GARCERAS</t>
        </is>
      </c>
      <c r="E1307" s="146" t="n">
        <v>44121</v>
      </c>
      <c r="F1307" s="146" t="inlineStr">
        <is>
          <t>DUMAR ANGARITA</t>
        </is>
      </c>
      <c r="G1307" s="395" t="n">
        <v>3090</v>
      </c>
      <c r="H1307" s="395" t="n">
        <v>3086</v>
      </c>
      <c r="I1307" s="395" t="n">
        <v>4</v>
      </c>
      <c r="J1307" s="395" t="n">
        <v>2</v>
      </c>
      <c r="K1307" s="395" t="n">
        <v>2</v>
      </c>
      <c r="L1307" s="397" t="n">
        <v>3090</v>
      </c>
      <c r="M1307" s="113" t="n"/>
      <c r="N1307" s="113" t="n"/>
      <c r="O1307" s="113" t="n"/>
      <c r="P1307" s="398" t="n"/>
      <c r="Q1307" s="398" t="n"/>
      <c r="R1307" s="113" t="n"/>
      <c r="S1307" s="113" t="n"/>
      <c r="T1307" s="113" t="n"/>
      <c r="U1307" s="113" t="n"/>
      <c r="V1307" s="113" t="n"/>
    </row>
    <row r="1308" ht="15.75" customHeight="1">
      <c r="A1308" s="146" t="n">
        <v>23</v>
      </c>
      <c r="B1308" s="238" t="n"/>
      <c r="C1308" s="399" t="n">
        <v>45959</v>
      </c>
      <c r="D1308" s="146" t="inlineStr">
        <is>
          <t>200 G. GARCERAS</t>
        </is>
      </c>
      <c r="E1308" s="146" t="n">
        <v>44128</v>
      </c>
      <c r="F1308" s="146" t="inlineStr">
        <is>
          <t>JOSE SOLER</t>
        </is>
      </c>
      <c r="G1308" s="395" t="n">
        <v>3090</v>
      </c>
      <c r="H1308" s="395" t="n">
        <v>3101</v>
      </c>
      <c r="I1308" s="395" t="n">
        <v>3</v>
      </c>
      <c r="J1308" s="395" t="n">
        <v>4</v>
      </c>
      <c r="K1308" s="395" t="n">
        <v>18</v>
      </c>
      <c r="L1308" s="397" t="n">
        <v>3090</v>
      </c>
      <c r="M1308" s="113" t="n"/>
      <c r="N1308" s="113" t="n"/>
      <c r="O1308" s="113" t="n"/>
      <c r="P1308" s="398" t="n"/>
      <c r="Q1308" s="398" t="n"/>
      <c r="R1308" s="113" t="n"/>
      <c r="S1308" s="113" t="n"/>
      <c r="T1308" s="113" t="n"/>
      <c r="U1308" s="113" t="n"/>
      <c r="V1308" s="113" t="n"/>
    </row>
    <row r="1309" ht="15.75" customHeight="1">
      <c r="A1309" s="146" t="n">
        <v>23</v>
      </c>
      <c r="B1309" s="238" t="n"/>
      <c r="C1309" s="399" t="n">
        <v>45959</v>
      </c>
      <c r="D1309" s="146" t="inlineStr">
        <is>
          <t>200 G. GARCERAS</t>
        </is>
      </c>
      <c r="E1309" s="146" t="n">
        <v>44129</v>
      </c>
      <c r="F1309" s="146" t="inlineStr">
        <is>
          <t>ALEX GOMEZ</t>
        </is>
      </c>
      <c r="G1309" s="395" t="n">
        <v>2620</v>
      </c>
      <c r="H1309" s="395" t="n">
        <v>2632</v>
      </c>
      <c r="I1309" s="395" t="n">
        <v>3</v>
      </c>
      <c r="J1309" s="395" t="n">
        <v>5</v>
      </c>
      <c r="K1309" s="395" t="n">
        <v>20</v>
      </c>
      <c r="L1309" s="397" t="n">
        <v>3640</v>
      </c>
      <c r="M1309" s="113" t="n"/>
      <c r="N1309" s="113" t="n"/>
      <c r="O1309" s="113" t="n"/>
      <c r="P1309" s="398" t="n"/>
      <c r="Q1309" s="398" t="n"/>
      <c r="R1309" s="113" t="n"/>
      <c r="S1309" s="113" t="n"/>
      <c r="T1309" s="113" t="n"/>
      <c r="U1309" s="113" t="n"/>
      <c r="V1309" s="113" t="n"/>
    </row>
    <row r="1310" ht="15.75" customHeight="1">
      <c r="A1310" s="146" t="n">
        <v>23</v>
      </c>
      <c r="B1310" s="238" t="n"/>
      <c r="C1310" s="399" t="n">
        <v>45960</v>
      </c>
      <c r="D1310" s="146" t="inlineStr">
        <is>
          <t>200 G. GARCERAS</t>
        </is>
      </c>
      <c r="E1310" s="146" t="n">
        <v>44145</v>
      </c>
      <c r="F1310" s="146" t="inlineStr">
        <is>
          <t>DUMAR ANGARITA</t>
        </is>
      </c>
      <c r="G1310" s="395" t="n">
        <v>2440</v>
      </c>
      <c r="H1310" s="395" t="n">
        <v>2436</v>
      </c>
      <c r="I1310" s="395" t="n">
        <v>1</v>
      </c>
      <c r="J1310" s="395" t="n">
        <v>1</v>
      </c>
      <c r="K1310" s="395" t="n">
        <v>-2</v>
      </c>
      <c r="L1310" s="397" t="n">
        <v>2440</v>
      </c>
      <c r="M1310" s="113" t="n"/>
      <c r="N1310" s="113" t="n"/>
      <c r="O1310" s="113" t="n"/>
      <c r="P1310" s="398" t="n"/>
      <c r="Q1310" s="398" t="n"/>
      <c r="R1310" s="113" t="n"/>
      <c r="S1310" s="113" t="n"/>
      <c r="T1310" s="113" t="n"/>
      <c r="U1310" s="113" t="n"/>
      <c r="V1310" s="113" t="n"/>
    </row>
    <row r="1311" ht="15.75" customHeight="1">
      <c r="A1311" s="146" t="n">
        <v>23</v>
      </c>
      <c r="B1311" s="238" t="n"/>
      <c r="C1311" s="399" t="n">
        <v>45960</v>
      </c>
      <c r="D1311" s="146" t="inlineStr">
        <is>
          <t>200 G. GARCERAS</t>
        </is>
      </c>
      <c r="E1311" s="146" t="n">
        <v>44146</v>
      </c>
      <c r="F1311" s="146" t="inlineStr">
        <is>
          <t>EDUAN CAVIEDES</t>
        </is>
      </c>
      <c r="G1311" s="395" t="n">
        <v>2460</v>
      </c>
      <c r="H1311" s="395" t="n">
        <v>2461</v>
      </c>
      <c r="I1311" s="395" t="n">
        <v>1</v>
      </c>
      <c r="J1311" s="395" t="n">
        <v>4</v>
      </c>
      <c r="K1311" s="395" t="n">
        <v>6</v>
      </c>
      <c r="L1311" s="397" t="n">
        <v>2520</v>
      </c>
      <c r="M1311" s="113" t="n"/>
      <c r="N1311" s="113" t="n"/>
      <c r="O1311" s="113" t="n"/>
      <c r="P1311" s="398" t="n"/>
      <c r="Q1311" s="398" t="n"/>
      <c r="R1311" s="113" t="n"/>
      <c r="S1311" s="113" t="n"/>
      <c r="T1311" s="113" t="n"/>
      <c r="U1311" s="113" t="n"/>
      <c r="V1311" s="113" t="n"/>
    </row>
    <row r="1312" ht="15.75" customHeight="1">
      <c r="A1312" s="146" t="n">
        <v>23</v>
      </c>
      <c r="B1312" s="238" t="n"/>
      <c r="C1312" s="399" t="n">
        <v>45960</v>
      </c>
      <c r="D1312" s="146" t="inlineStr">
        <is>
          <t>200 G. GARCERAS</t>
        </is>
      </c>
      <c r="E1312" s="146" t="n">
        <v>44147</v>
      </c>
      <c r="F1312" s="146" t="inlineStr">
        <is>
          <t>ROBINSON PULIDO</t>
        </is>
      </c>
      <c r="G1312" s="395" t="n">
        <v>2600</v>
      </c>
      <c r="H1312" s="395" t="n">
        <v>2596</v>
      </c>
      <c r="I1312" s="395" t="n">
        <v>1</v>
      </c>
      <c r="J1312" s="395" t="n">
        <v>3</v>
      </c>
      <c r="K1312" s="395" t="n">
        <v>0</v>
      </c>
      <c r="L1312" s="397" t="n">
        <v>2600</v>
      </c>
      <c r="M1312" s="113" t="n"/>
      <c r="N1312" s="113" t="n"/>
      <c r="O1312" s="113" t="n"/>
      <c r="P1312" s="398" t="n"/>
      <c r="Q1312" s="398" t="n"/>
      <c r="R1312" s="113" t="n"/>
      <c r="S1312" s="113" t="n"/>
      <c r="T1312" s="113" t="n"/>
      <c r="U1312" s="113" t="n"/>
      <c r="V1312" s="113" t="n"/>
    </row>
    <row r="1313" ht="15.75" customHeight="1">
      <c r="A1313" s="146" t="n">
        <v>23</v>
      </c>
      <c r="B1313" s="238" t="n"/>
      <c r="C1313" s="399" t="n">
        <v>45960</v>
      </c>
      <c r="D1313" s="146" t="inlineStr">
        <is>
          <t>200 G. GARCERAS</t>
        </is>
      </c>
      <c r="E1313" s="146" t="n">
        <v>44148</v>
      </c>
      <c r="F1313" s="146" t="inlineStr">
        <is>
          <t>ALBERTO HERRERA</t>
        </is>
      </c>
      <c r="G1313" s="395" t="n">
        <v>2720</v>
      </c>
      <c r="H1313" s="395" t="n">
        <v>2713</v>
      </c>
      <c r="I1313" s="395" t="n">
        <v>1</v>
      </c>
      <c r="J1313" s="395" t="n">
        <v>3</v>
      </c>
      <c r="K1313" s="395" t="n">
        <v>-3</v>
      </c>
      <c r="L1313" s="397" t="n">
        <v>2720</v>
      </c>
      <c r="M1313" s="113" t="n"/>
      <c r="N1313" s="113" t="n"/>
      <c r="O1313" s="113" t="n"/>
      <c r="P1313" s="398" t="n"/>
      <c r="Q1313" s="398" t="n"/>
      <c r="R1313" s="113" t="n"/>
      <c r="S1313" s="113" t="n"/>
      <c r="T1313" s="113" t="n"/>
      <c r="U1313" s="113" t="n"/>
      <c r="V1313" s="113" t="n"/>
    </row>
    <row r="1314" ht="15.75" customHeight="1">
      <c r="A1314" s="146" t="n">
        <v>23</v>
      </c>
      <c r="B1314" s="238" t="n"/>
      <c r="C1314" s="399" t="n">
        <v>45960</v>
      </c>
      <c r="D1314" s="146" t="inlineStr">
        <is>
          <t>200 G. GARCERAS</t>
        </is>
      </c>
      <c r="E1314" s="146" t="n">
        <v>44149</v>
      </c>
      <c r="F1314" s="146" t="inlineStr">
        <is>
          <t>ALEXANDER CHAGUALA</t>
        </is>
      </c>
      <c r="G1314" s="395" t="n">
        <v>2720</v>
      </c>
      <c r="H1314" s="395" t="n">
        <v>2716</v>
      </c>
      <c r="I1314" s="395" t="n">
        <v>1</v>
      </c>
      <c r="J1314" s="395" t="n">
        <v>3</v>
      </c>
      <c r="K1314" s="395" t="n">
        <v>0</v>
      </c>
      <c r="L1314" s="397" t="n">
        <v>2720</v>
      </c>
      <c r="M1314" s="113" t="n"/>
      <c r="N1314" s="113" t="n"/>
      <c r="O1314" s="113" t="n"/>
      <c r="P1314" s="398" t="n"/>
      <c r="Q1314" s="398" t="n"/>
      <c r="R1314" s="113" t="n"/>
      <c r="S1314" s="113" t="n"/>
      <c r="T1314" s="113" t="n"/>
      <c r="U1314" s="113" t="n"/>
      <c r="V1314" s="113" t="n"/>
    </row>
    <row r="1315" ht="15.75" customHeight="1">
      <c r="A1315" s="146" t="n">
        <v>23</v>
      </c>
      <c r="B1315" s="238" t="n"/>
      <c r="C1315" s="399" t="n">
        <v>45960</v>
      </c>
      <c r="D1315" s="146" t="inlineStr">
        <is>
          <t>200 G. GARCERAS</t>
        </is>
      </c>
      <c r="E1315" s="146" t="n">
        <v>44150</v>
      </c>
      <c r="F1315" s="146" t="inlineStr">
        <is>
          <t>FERNANDO OYUELA</t>
        </is>
      </c>
      <c r="G1315" s="395" t="n">
        <v>2670</v>
      </c>
      <c r="H1315" s="395" t="n">
        <v>2661</v>
      </c>
      <c r="I1315" s="395" t="n">
        <v>3</v>
      </c>
      <c r="J1315" s="395" t="n">
        <v>4</v>
      </c>
      <c r="K1315" s="395" t="n">
        <v>-2</v>
      </c>
      <c r="L1315" s="397" t="n">
        <v>2680</v>
      </c>
      <c r="M1315" s="113" t="n"/>
      <c r="N1315" s="113" t="n"/>
      <c r="O1315" s="113" t="n"/>
      <c r="P1315" s="398" t="n"/>
      <c r="Q1315" s="398" t="n"/>
      <c r="R1315" s="113" t="n"/>
      <c r="S1315" s="113" t="n"/>
      <c r="T1315" s="113" t="n"/>
      <c r="U1315" s="113" t="n"/>
      <c r="V1315" s="113" t="n"/>
    </row>
    <row r="1316" ht="15.75" customHeight="1">
      <c r="A1316" s="146" t="n">
        <v>23</v>
      </c>
      <c r="B1316" s="238" t="n"/>
      <c r="C1316" s="399" t="n">
        <v>45960</v>
      </c>
      <c r="D1316" s="146" t="inlineStr">
        <is>
          <t>200 G. GARCERAS</t>
        </is>
      </c>
      <c r="E1316" s="146" t="n">
        <v>44151</v>
      </c>
      <c r="F1316" s="146" t="inlineStr">
        <is>
          <t>YAIR RIVEROS</t>
        </is>
      </c>
      <c r="G1316" s="395" t="n">
        <v>2670</v>
      </c>
      <c r="H1316" s="395" t="n">
        <v>2661</v>
      </c>
      <c r="I1316" s="395" t="n">
        <v>4</v>
      </c>
      <c r="J1316" s="395" t="n">
        <v>5</v>
      </c>
      <c r="K1316" s="395" t="n">
        <v>0</v>
      </c>
      <c r="L1316" s="397" t="n">
        <v>2680</v>
      </c>
      <c r="M1316" s="113" t="n"/>
      <c r="N1316" s="113" t="n"/>
      <c r="O1316" s="113" t="n"/>
      <c r="P1316" s="398" t="n"/>
      <c r="Q1316" s="398" t="n"/>
      <c r="R1316" s="113" t="n"/>
      <c r="S1316" s="113" t="n"/>
      <c r="T1316" s="113" t="n"/>
      <c r="U1316" s="113" t="n"/>
      <c r="V1316" s="113" t="n"/>
    </row>
    <row r="1317" ht="15.75" customHeight="1">
      <c r="A1317" s="146" t="n">
        <v>23</v>
      </c>
      <c r="B1317" s="238" t="n"/>
      <c r="C1317" s="399" t="n">
        <v>45960</v>
      </c>
      <c r="D1317" s="146" t="inlineStr">
        <is>
          <t>200 G. GARCERAS</t>
        </is>
      </c>
      <c r="E1317" s="146" t="n">
        <v>44152</v>
      </c>
      <c r="F1317" s="146" t="inlineStr">
        <is>
          <t>SEBASTIAN HIDALGO</t>
        </is>
      </c>
      <c r="G1317" s="395" t="n">
        <v>2590</v>
      </c>
      <c r="H1317" s="395" t="n">
        <v>2577</v>
      </c>
      <c r="I1317" s="395" t="n">
        <v>3</v>
      </c>
      <c r="J1317" s="395" t="n">
        <v>4</v>
      </c>
      <c r="K1317" s="395" t="n">
        <v>-6</v>
      </c>
      <c r="L1317" s="397" t="n">
        <v>2580</v>
      </c>
      <c r="M1317" s="113" t="n"/>
      <c r="N1317" s="113" t="n"/>
      <c r="O1317" s="113" t="n"/>
      <c r="P1317" s="398" t="n"/>
      <c r="Q1317" s="398" t="n"/>
      <c r="R1317" s="113" t="n"/>
      <c r="S1317" s="113" t="n"/>
      <c r="T1317" s="113" t="n"/>
      <c r="U1317" s="113" t="n"/>
      <c r="V1317" s="113" t="n"/>
    </row>
    <row r="1318" ht="15.75" customHeight="1">
      <c r="A1318" s="146" t="n">
        <v>23</v>
      </c>
      <c r="B1318" s="238" t="n"/>
      <c r="C1318" s="399" t="n">
        <v>45960</v>
      </c>
      <c r="D1318" s="146" t="inlineStr">
        <is>
          <t>200 G. GARCERAS</t>
        </is>
      </c>
      <c r="E1318" s="146" t="n">
        <v>44153</v>
      </c>
      <c r="F1318" s="146" t="inlineStr">
        <is>
          <t>JHON ARIAS</t>
        </is>
      </c>
      <c r="G1318" s="395" t="n">
        <v>2590</v>
      </c>
      <c r="H1318" s="395" t="n">
        <v>2584</v>
      </c>
      <c r="I1318" s="395" t="n">
        <v>4</v>
      </c>
      <c r="J1318" s="395" t="n">
        <v>2</v>
      </c>
      <c r="K1318" s="395" t="n">
        <v>0</v>
      </c>
      <c r="L1318" s="397" t="n">
        <v>2580</v>
      </c>
      <c r="M1318" s="113" t="n"/>
      <c r="N1318" s="113" t="n"/>
      <c r="O1318" s="113" t="n"/>
      <c r="P1318" s="398" t="n"/>
      <c r="Q1318" s="398" t="n"/>
      <c r="R1318" s="113" t="n"/>
      <c r="S1318" s="113" t="n"/>
      <c r="T1318" s="113" t="n"/>
      <c r="U1318" s="113" t="n"/>
      <c r="V1318" s="113" t="n"/>
    </row>
    <row r="1319" ht="15.75" customHeight="1">
      <c r="A1319" s="146" t="n">
        <v>23</v>
      </c>
      <c r="B1319" s="238" t="n"/>
      <c r="C1319" s="399" t="n"/>
      <c r="D1319" s="113" t="n"/>
      <c r="E1319" s="113" t="n"/>
      <c r="F1319" s="113" t="n"/>
      <c r="G1319" s="477">
        <f>SUBTOTAL(9,G1285:G1318)</f>
        <v/>
      </c>
      <c r="H1319" s="477">
        <f>SUBTOTAL(9,H1285:H1318)</f>
        <v/>
      </c>
      <c r="I1319" s="477">
        <f>SUBTOTAL(9,I1285:I1318)</f>
        <v/>
      </c>
      <c r="J1319" s="477">
        <f>SUBTOTAL(9,J1285:J1318)</f>
        <v/>
      </c>
      <c r="K1319" s="477">
        <f>SUBTOTAL(9,K1285:K1318)</f>
        <v/>
      </c>
      <c r="L1319" s="477">
        <f>SUBTOTAL(9,L1285:L1318)</f>
        <v/>
      </c>
      <c r="M1319" s="113" t="n"/>
      <c r="N1319" s="113" t="n"/>
      <c r="O1319" s="113" t="n"/>
      <c r="P1319" s="398" t="n"/>
      <c r="Q1319" s="398" t="n"/>
      <c r="R1319" s="113" t="n"/>
      <c r="S1319" s="113" t="n"/>
      <c r="T1319" s="113" t="n"/>
      <c r="U1319" s="113" t="n"/>
      <c r="V1319" s="113" t="n"/>
    </row>
    <row r="1320" ht="15.75" customHeight="1">
      <c r="A1320" s="146" t="n">
        <v>24</v>
      </c>
      <c r="B1320" s="238" t="n"/>
      <c r="C1320" s="399" t="n">
        <v>45961</v>
      </c>
      <c r="D1320" s="146" t="inlineStr">
        <is>
          <t>200 G. GARCERAS</t>
        </is>
      </c>
      <c r="E1320" s="146" t="n">
        <v>44168</v>
      </c>
      <c r="F1320" s="146" t="inlineStr">
        <is>
          <t>EDWIN ROJAS</t>
        </is>
      </c>
      <c r="G1320" s="395" t="n">
        <v>2570</v>
      </c>
      <c r="H1320" s="395" t="n">
        <v>2569</v>
      </c>
      <c r="I1320" s="395" t="n">
        <v>3</v>
      </c>
      <c r="J1320" s="395" t="n">
        <v>0</v>
      </c>
      <c r="K1320" s="395" t="n">
        <v>2</v>
      </c>
      <c r="L1320" s="397" t="n">
        <v>2570</v>
      </c>
      <c r="M1320" s="113" t="n"/>
      <c r="N1320" s="113" t="n"/>
      <c r="O1320" s="113" t="n"/>
      <c r="P1320" s="398" t="n"/>
      <c r="Q1320" s="398" t="n"/>
      <c r="R1320" s="113" t="n"/>
      <c r="S1320" s="113" t="n"/>
      <c r="T1320" s="113" t="n"/>
      <c r="U1320" s="113" t="n"/>
      <c r="V1320" s="113" t="n"/>
    </row>
    <row r="1321" ht="15.75" customHeight="1">
      <c r="A1321" s="146" t="n">
        <v>24</v>
      </c>
      <c r="B1321" s="238" t="n"/>
      <c r="C1321" s="399" t="n">
        <v>45961</v>
      </c>
      <c r="D1321" s="146" t="inlineStr">
        <is>
          <t>200 G. GARCERAS</t>
        </is>
      </c>
      <c r="E1321" s="146" t="n">
        <v>44169</v>
      </c>
      <c r="F1321" s="146" t="inlineStr">
        <is>
          <t>WILMER PIÑEROS</t>
        </is>
      </c>
      <c r="G1321" s="395" t="n">
        <v>2570</v>
      </c>
      <c r="H1321" s="395" t="n">
        <v>2571</v>
      </c>
      <c r="I1321" s="395" t="n">
        <v>2</v>
      </c>
      <c r="J1321" s="395" t="n">
        <v>0</v>
      </c>
      <c r="K1321" s="395" t="n">
        <v>3</v>
      </c>
      <c r="L1321" s="397" t="n">
        <v>2570</v>
      </c>
      <c r="M1321" s="113" t="n"/>
      <c r="N1321" s="113" t="n"/>
      <c r="O1321" s="113" t="n"/>
      <c r="P1321" s="398" t="n"/>
      <c r="Q1321" s="398" t="n"/>
      <c r="R1321" s="113" t="n"/>
      <c r="S1321" s="113" t="n"/>
      <c r="T1321" s="113" t="n"/>
      <c r="U1321" s="113" t="n"/>
      <c r="V1321" s="113" t="n"/>
    </row>
    <row r="1322" ht="15.75" customHeight="1">
      <c r="A1322" s="146" t="n">
        <v>24</v>
      </c>
      <c r="B1322" s="238" t="n"/>
      <c r="C1322" s="399" t="n">
        <v>45961</v>
      </c>
      <c r="D1322" s="146" t="inlineStr">
        <is>
          <t>200 G. GARCERAS</t>
        </is>
      </c>
      <c r="E1322" s="146" t="n">
        <v>44170</v>
      </c>
      <c r="F1322" s="146" t="inlineStr">
        <is>
          <t>ALBERTO LOPEZ</t>
        </is>
      </c>
      <c r="G1322" s="395" t="n">
        <v>2570</v>
      </c>
      <c r="H1322" s="395" t="n">
        <v>2571</v>
      </c>
      <c r="I1322" s="395" t="n">
        <v>2</v>
      </c>
      <c r="J1322" s="395" t="n">
        <v>1</v>
      </c>
      <c r="K1322" s="395" t="n">
        <v>4</v>
      </c>
      <c r="L1322" s="397" t="n">
        <v>2570</v>
      </c>
      <c r="M1322" s="113" t="n"/>
      <c r="N1322" s="113" t="n"/>
      <c r="O1322" s="113" t="n"/>
      <c r="P1322" s="398" t="n"/>
      <c r="Q1322" s="398" t="n"/>
      <c r="R1322" s="113" t="n"/>
      <c r="S1322" s="113" t="n"/>
      <c r="T1322" s="113" t="n"/>
      <c r="U1322" s="113" t="n"/>
      <c r="V1322" s="113" t="n"/>
    </row>
    <row r="1323" ht="15.75" customHeight="1">
      <c r="A1323" s="146" t="n">
        <v>24</v>
      </c>
      <c r="B1323" s="238" t="n"/>
      <c r="C1323" s="399" t="n">
        <v>45961</v>
      </c>
      <c r="D1323" s="146" t="inlineStr">
        <is>
          <t>200 G. GARCERAS</t>
        </is>
      </c>
      <c r="E1323" s="146" t="n">
        <v>44171</v>
      </c>
      <c r="F1323" s="146" t="inlineStr">
        <is>
          <t>DIEGO NIÑO</t>
        </is>
      </c>
      <c r="G1323" s="395" t="n">
        <v>2590</v>
      </c>
      <c r="H1323" s="395" t="n">
        <v>2589</v>
      </c>
      <c r="I1323" s="395" t="n">
        <v>2</v>
      </c>
      <c r="J1323" s="395" t="n">
        <v>2</v>
      </c>
      <c r="K1323" s="395" t="n">
        <v>3</v>
      </c>
      <c r="L1323" s="397" t="n">
        <v>2590</v>
      </c>
      <c r="M1323" s="113" t="n"/>
      <c r="N1323" s="113" t="n"/>
      <c r="O1323" s="113" t="n"/>
      <c r="P1323" s="398" t="n"/>
      <c r="Q1323" s="398" t="n"/>
      <c r="R1323" s="113" t="n"/>
      <c r="S1323" s="113" t="n"/>
      <c r="T1323" s="113" t="n"/>
      <c r="U1323" s="113" t="n"/>
      <c r="V1323" s="113" t="n"/>
    </row>
    <row r="1324" ht="15.75" customHeight="1">
      <c r="A1324" s="146" t="n">
        <v>24</v>
      </c>
      <c r="B1324" s="238" t="n"/>
      <c r="C1324" s="399" t="n">
        <v>45961</v>
      </c>
      <c r="D1324" s="146" t="inlineStr">
        <is>
          <t>200 G. GARCERAS</t>
        </is>
      </c>
      <c r="E1324" s="146" t="n">
        <v>44172</v>
      </c>
      <c r="F1324" s="146" t="inlineStr">
        <is>
          <t>JHON ARIAS</t>
        </is>
      </c>
      <c r="G1324" s="395" t="n">
        <v>2590</v>
      </c>
      <c r="H1324" s="395" t="n">
        <v>2593</v>
      </c>
      <c r="I1324" s="395" t="n">
        <v>4</v>
      </c>
      <c r="J1324" s="395" t="n">
        <v>0</v>
      </c>
      <c r="K1324" s="395" t="n">
        <v>7</v>
      </c>
      <c r="L1324" s="397" t="n">
        <v>2570</v>
      </c>
      <c r="M1324" s="113" t="n"/>
      <c r="N1324" s="113" t="n"/>
      <c r="O1324" s="113" t="n"/>
      <c r="P1324" s="398" t="n"/>
      <c r="Q1324" s="398" t="n"/>
      <c r="R1324" s="113" t="n"/>
      <c r="S1324" s="113" t="n"/>
      <c r="T1324" s="113" t="n"/>
      <c r="U1324" s="113" t="n"/>
      <c r="V1324" s="113" t="n"/>
    </row>
    <row r="1325" ht="15.75" customHeight="1">
      <c r="A1325" s="146" t="n">
        <v>24</v>
      </c>
      <c r="B1325" s="238" t="n"/>
      <c r="C1325" s="399" t="n">
        <v>45961</v>
      </c>
      <c r="D1325" s="146" t="inlineStr">
        <is>
          <t>200 G. GARCERAS</t>
        </is>
      </c>
      <c r="E1325" s="146" t="n">
        <v>44173</v>
      </c>
      <c r="F1325" s="146" t="inlineStr">
        <is>
          <t>ALEXANDER CHAGUALA</t>
        </is>
      </c>
      <c r="G1325" s="395" t="n">
        <v>2950</v>
      </c>
      <c r="H1325" s="395" t="n">
        <v>2946</v>
      </c>
      <c r="I1325" s="395" t="n">
        <v>4</v>
      </c>
      <c r="J1325" s="395" t="n">
        <v>3</v>
      </c>
      <c r="K1325" s="395" t="n">
        <v>3</v>
      </c>
      <c r="L1325" s="397" t="n">
        <v>2950</v>
      </c>
      <c r="M1325" s="113" t="n"/>
      <c r="N1325" s="113" t="n"/>
      <c r="O1325" s="113" t="n"/>
      <c r="P1325" s="398" t="n"/>
      <c r="Q1325" s="398" t="n"/>
      <c r="R1325" s="113" t="n"/>
      <c r="S1325" s="113" t="n"/>
      <c r="T1325" s="113" t="n"/>
      <c r="U1325" s="113" t="n"/>
      <c r="V1325" s="113" t="n"/>
    </row>
    <row r="1326" ht="15.75" customHeight="1">
      <c r="A1326" s="146" t="n">
        <v>24</v>
      </c>
      <c r="B1326" s="238" t="n"/>
      <c r="C1326" s="399" t="n">
        <v>45961</v>
      </c>
      <c r="D1326" s="146" t="inlineStr">
        <is>
          <t>200 G. GARCERAS</t>
        </is>
      </c>
      <c r="E1326" s="146" t="n">
        <v>44174</v>
      </c>
      <c r="F1326" s="146" t="inlineStr">
        <is>
          <t>SEBASTIAN HIDALGO</t>
        </is>
      </c>
      <c r="G1326" s="395" t="n">
        <v>2950</v>
      </c>
      <c r="H1326" s="395" t="n">
        <v>2949</v>
      </c>
      <c r="I1326" s="395" t="n">
        <v>3</v>
      </c>
      <c r="J1326" s="395" t="n">
        <v>3</v>
      </c>
      <c r="K1326" s="395" t="n">
        <v>5</v>
      </c>
      <c r="L1326" s="397" t="n">
        <v>2950</v>
      </c>
      <c r="M1326" s="113" t="n"/>
      <c r="N1326" s="113" t="n"/>
      <c r="O1326" s="113" t="n"/>
      <c r="P1326" s="398" t="n"/>
      <c r="Q1326" s="398" t="n"/>
      <c r="R1326" s="113" t="n"/>
      <c r="S1326" s="113" t="n"/>
      <c r="T1326" s="113" t="n"/>
      <c r="U1326" s="113" t="n"/>
      <c r="V1326" s="113" t="n"/>
    </row>
    <row r="1327" ht="15.75" customHeight="1">
      <c r="A1327" s="146" t="n">
        <v>24</v>
      </c>
      <c r="B1327" s="238" t="n"/>
      <c r="C1327" s="399" t="n">
        <v>45961</v>
      </c>
      <c r="D1327" s="146" t="inlineStr">
        <is>
          <t>200 G. GARCERAS</t>
        </is>
      </c>
      <c r="E1327" s="146" t="n">
        <v>44182</v>
      </c>
      <c r="F1327" s="146" t="inlineStr">
        <is>
          <t>ALEX GOMEZ</t>
        </is>
      </c>
      <c r="G1327" s="395" t="n">
        <v>2950</v>
      </c>
      <c r="H1327" s="395" t="n">
        <v>2943</v>
      </c>
      <c r="I1327" s="395" t="n">
        <v>4</v>
      </c>
      <c r="J1327" s="395" t="n">
        <v>3</v>
      </c>
      <c r="K1327" s="395" t="n">
        <v>0</v>
      </c>
      <c r="L1327" s="397" t="n">
        <v>2950</v>
      </c>
      <c r="M1327" s="113" t="n"/>
      <c r="N1327" s="113" t="n"/>
      <c r="O1327" s="113" t="n"/>
      <c r="P1327" s="398" t="n"/>
      <c r="Q1327" s="398" t="n"/>
      <c r="R1327" s="113" t="n"/>
      <c r="S1327" s="113" t="n"/>
      <c r="T1327" s="113" t="n"/>
      <c r="U1327" s="113" t="n"/>
      <c r="V1327" s="113" t="n"/>
    </row>
    <row r="1328" ht="15.75" customHeight="1">
      <c r="A1328" s="146" t="n">
        <v>24</v>
      </c>
      <c r="B1328" s="238" t="n"/>
      <c r="C1328" s="399" t="n">
        <v>45961</v>
      </c>
      <c r="D1328" s="146" t="inlineStr">
        <is>
          <t>200 G. GARCERAS</t>
        </is>
      </c>
      <c r="E1328" s="146" t="n">
        <v>44183</v>
      </c>
      <c r="F1328" s="146" t="inlineStr">
        <is>
          <t>ROBINSON PULIDO</t>
        </is>
      </c>
      <c r="G1328" s="395" t="n">
        <v>2950</v>
      </c>
      <c r="H1328" s="395" t="n">
        <v>2936</v>
      </c>
      <c r="I1328" s="395" t="n">
        <v>4</v>
      </c>
      <c r="J1328" s="395" t="n">
        <v>10</v>
      </c>
      <c r="K1328" s="395" t="n">
        <v>0</v>
      </c>
      <c r="L1328" s="397" t="n">
        <v>2950</v>
      </c>
      <c r="M1328" s="113" t="n"/>
      <c r="N1328" s="113" t="n"/>
      <c r="O1328" s="113" t="n"/>
      <c r="P1328" s="398" t="n"/>
      <c r="Q1328" s="398" t="n"/>
      <c r="R1328" s="113" t="n"/>
      <c r="S1328" s="113" t="n"/>
      <c r="T1328" s="113" t="n"/>
      <c r="U1328" s="113" t="n"/>
      <c r="V1328" s="113" t="n"/>
    </row>
    <row r="1329" ht="15.75" customHeight="1">
      <c r="A1329" s="146" t="n">
        <v>24</v>
      </c>
      <c r="B1329" s="238" t="n"/>
      <c r="C1329" s="399" t="n">
        <v>45961</v>
      </c>
      <c r="D1329" s="146" t="inlineStr">
        <is>
          <t>200 G. GARCERAS</t>
        </is>
      </c>
      <c r="E1329" s="146" t="n">
        <v>44184</v>
      </c>
      <c r="F1329" s="146" t="inlineStr">
        <is>
          <t>EDUAN CAVIEDES</t>
        </is>
      </c>
      <c r="G1329" s="395" t="n">
        <v>3040</v>
      </c>
      <c r="H1329" s="395" t="n">
        <v>3034</v>
      </c>
      <c r="I1329" s="395" t="n">
        <v>4</v>
      </c>
      <c r="J1329" s="395" t="n">
        <v>2</v>
      </c>
      <c r="K1329" s="395" t="n">
        <v>0</v>
      </c>
      <c r="L1329" s="397" t="n">
        <v>3220</v>
      </c>
      <c r="M1329" s="113" t="n"/>
      <c r="N1329" s="113" t="n"/>
      <c r="O1329" s="113" t="n"/>
      <c r="P1329" s="398" t="n"/>
      <c r="Q1329" s="398" t="n"/>
      <c r="R1329" s="113" t="n"/>
      <c r="S1329" s="113" t="n"/>
      <c r="T1329" s="113" t="n"/>
      <c r="U1329" s="113" t="n"/>
      <c r="V1329" s="113" t="n"/>
    </row>
    <row r="1330" ht="15.75" customHeight="1">
      <c r="A1330" s="146" t="n">
        <v>24</v>
      </c>
      <c r="B1330" s="238" t="n"/>
      <c r="C1330" s="399" t="n">
        <v>45961</v>
      </c>
      <c r="D1330" s="146" t="inlineStr">
        <is>
          <t>200 G. GARCERAS</t>
        </is>
      </c>
      <c r="E1330" s="146" t="n">
        <v>44185</v>
      </c>
      <c r="F1330" s="146" t="inlineStr">
        <is>
          <t>EDWIN ROJAS</t>
        </is>
      </c>
      <c r="G1330" s="395" t="n">
        <v>3130</v>
      </c>
      <c r="H1330" s="395" t="n">
        <v>3116</v>
      </c>
      <c r="I1330" s="395" t="n">
        <v>4</v>
      </c>
      <c r="J1330" s="395" t="n">
        <v>10</v>
      </c>
      <c r="K1330" s="395" t="n">
        <v>0</v>
      </c>
      <c r="L1330" s="397" t="n">
        <v>3130</v>
      </c>
      <c r="M1330" s="113" t="n"/>
      <c r="N1330" s="113" t="n"/>
      <c r="O1330" s="113" t="n"/>
      <c r="P1330" s="398" t="n"/>
      <c r="Q1330" s="398" t="n"/>
      <c r="R1330" s="113" t="n"/>
      <c r="S1330" s="113" t="n"/>
      <c r="T1330" s="113" t="n"/>
      <c r="U1330" s="113" t="n"/>
      <c r="V1330" s="113" t="n"/>
    </row>
    <row r="1331" ht="15.75" customHeight="1">
      <c r="A1331" s="146" t="n">
        <v>24</v>
      </c>
      <c r="B1331" s="238" t="n"/>
      <c r="C1331" s="399" t="n">
        <v>45961</v>
      </c>
      <c r="D1331" s="146" t="inlineStr">
        <is>
          <t>200 G. GARCERAS</t>
        </is>
      </c>
      <c r="E1331" s="146" t="n">
        <v>44186</v>
      </c>
      <c r="F1331" s="146" t="inlineStr">
        <is>
          <t>ALBERTO ROJAS</t>
        </is>
      </c>
      <c r="G1331" s="395" t="n">
        <v>3130</v>
      </c>
      <c r="H1331" s="395" t="n">
        <v>3134</v>
      </c>
      <c r="I1331" s="395" t="n">
        <v>2</v>
      </c>
      <c r="J1331" s="395" t="n">
        <v>1</v>
      </c>
      <c r="K1331" s="395" t="n">
        <v>7</v>
      </c>
      <c r="L1331" s="397" t="n">
        <v>3130</v>
      </c>
      <c r="M1331" s="113" t="n"/>
      <c r="N1331" s="113" t="n"/>
      <c r="O1331" s="113" t="n"/>
      <c r="P1331" s="398" t="n"/>
      <c r="Q1331" s="398" t="n"/>
      <c r="R1331" s="113" t="n"/>
      <c r="S1331" s="113" t="n"/>
      <c r="T1331" s="113" t="n"/>
      <c r="U1331" s="113" t="n"/>
      <c r="V1331" s="113" t="n"/>
    </row>
    <row r="1332" ht="15.75" customHeight="1">
      <c r="A1332" s="146" t="n">
        <v>24</v>
      </c>
      <c r="B1332" s="238" t="n"/>
      <c r="C1332" s="399" t="n">
        <v>45961</v>
      </c>
      <c r="D1332" s="146" t="inlineStr">
        <is>
          <t>200 G. GARCERAS</t>
        </is>
      </c>
      <c r="E1332" s="146" t="n">
        <v>44187</v>
      </c>
      <c r="F1332" s="146" t="inlineStr">
        <is>
          <t>JHON ARIAS</t>
        </is>
      </c>
      <c r="G1332" s="395" t="n">
        <v>3130</v>
      </c>
      <c r="H1332" s="395" t="n">
        <v>3123</v>
      </c>
      <c r="I1332" s="395" t="n">
        <v>4</v>
      </c>
      <c r="J1332" s="395" t="n">
        <v>8</v>
      </c>
      <c r="K1332" s="395" t="n">
        <v>5</v>
      </c>
      <c r="L1332" s="397" t="n">
        <v>3130</v>
      </c>
      <c r="M1332" s="113" t="n"/>
      <c r="N1332" s="113" t="n"/>
      <c r="O1332" s="113" t="n"/>
      <c r="P1332" s="398" t="n"/>
      <c r="Q1332" s="398" t="n"/>
      <c r="R1332" s="113" t="n"/>
      <c r="S1332" s="113" t="n"/>
      <c r="T1332" s="113" t="n"/>
      <c r="U1332" s="113" t="n"/>
      <c r="V1332" s="113" t="n"/>
    </row>
    <row r="1333" ht="15.75" customHeight="1">
      <c r="A1333" s="146" t="n">
        <v>24</v>
      </c>
      <c r="B1333" s="238" t="n"/>
      <c r="C1333" s="399" t="n">
        <v>45963</v>
      </c>
      <c r="D1333" s="146" t="inlineStr">
        <is>
          <t>200 G. GARCERAS</t>
        </is>
      </c>
      <c r="E1333" s="146" t="n">
        <v>44188</v>
      </c>
      <c r="F1333" s="146" t="inlineStr">
        <is>
          <t>JOSE HERRERA</t>
        </is>
      </c>
      <c r="G1333" s="395" t="n">
        <v>3190</v>
      </c>
      <c r="H1333" s="395" t="n">
        <v>3180</v>
      </c>
      <c r="I1333" s="395" t="n">
        <v>2</v>
      </c>
      <c r="J1333" s="395" t="n">
        <v>3</v>
      </c>
      <c r="K1333" s="395" t="n">
        <v>-5</v>
      </c>
      <c r="L1333" s="397" t="n">
        <v>3190</v>
      </c>
      <c r="M1333" s="113" t="n"/>
      <c r="N1333" s="113" t="n"/>
      <c r="O1333" s="113" t="n"/>
      <c r="P1333" s="398" t="n"/>
      <c r="Q1333" s="398" t="n"/>
      <c r="R1333" s="113" t="n"/>
      <c r="S1333" s="113" t="n"/>
      <c r="T1333" s="113" t="n"/>
      <c r="U1333" s="113" t="n"/>
      <c r="V1333" s="113" t="n"/>
    </row>
    <row r="1334" ht="15.75" customHeight="1">
      <c r="A1334" s="146" t="n">
        <v>24</v>
      </c>
      <c r="B1334" s="238" t="n"/>
      <c r="C1334" s="399" t="n">
        <v>45963</v>
      </c>
      <c r="D1334" s="146" t="inlineStr">
        <is>
          <t>200 G. GARCERAS</t>
        </is>
      </c>
      <c r="E1334" s="146" t="n">
        <v>44189</v>
      </c>
      <c r="F1334" s="146" t="inlineStr">
        <is>
          <t>DIEGO NIÑO</t>
        </is>
      </c>
      <c r="G1334" s="395" t="n">
        <v>3774</v>
      </c>
      <c r="H1334" s="395" t="n">
        <v>3766</v>
      </c>
      <c r="I1334" s="395" t="n">
        <v>2</v>
      </c>
      <c r="J1334" s="395" t="n">
        <v>2</v>
      </c>
      <c r="K1334" s="395" t="n">
        <v>-4</v>
      </c>
      <c r="L1334" s="397" t="n">
        <v>3774</v>
      </c>
      <c r="M1334" s="113" t="n"/>
      <c r="N1334" s="113" t="n"/>
      <c r="O1334" s="113" t="n"/>
      <c r="P1334" s="398" t="n"/>
      <c r="Q1334" s="398" t="n"/>
      <c r="R1334" s="113" t="n"/>
      <c r="S1334" s="113" t="n"/>
      <c r="T1334" s="113" t="n"/>
      <c r="U1334" s="113" t="n"/>
      <c r="V1334" s="113" t="n"/>
    </row>
    <row r="1335" ht="15.75" customHeight="1">
      <c r="A1335" s="146" t="n">
        <v>24</v>
      </c>
      <c r="B1335" s="238" t="n"/>
      <c r="C1335" s="399" t="n">
        <v>45963</v>
      </c>
      <c r="D1335" s="146" t="inlineStr">
        <is>
          <t>200 G. GARCERAS</t>
        </is>
      </c>
      <c r="E1335" s="146" t="n">
        <v>44190</v>
      </c>
      <c r="F1335" s="146" t="inlineStr">
        <is>
          <t>MANUEL QUITIAN</t>
        </is>
      </c>
      <c r="G1335" s="395" t="n">
        <v>3190</v>
      </c>
      <c r="H1335" s="395" t="n">
        <v>3180</v>
      </c>
      <c r="I1335" s="395" t="n">
        <v>2</v>
      </c>
      <c r="J1335" s="395" t="n">
        <v>4</v>
      </c>
      <c r="K1335" s="395" t="n">
        <v>-4</v>
      </c>
      <c r="L1335" s="397" t="n">
        <v>3190</v>
      </c>
      <c r="M1335" s="113" t="n"/>
      <c r="N1335" s="113" t="n"/>
      <c r="O1335" s="113" t="n"/>
      <c r="P1335" s="398" t="n"/>
      <c r="Q1335" s="398" t="n"/>
      <c r="R1335" s="113" t="n"/>
      <c r="S1335" s="113" t="n"/>
      <c r="T1335" s="113" t="n"/>
      <c r="U1335" s="113" t="n"/>
      <c r="V1335" s="113" t="n"/>
    </row>
    <row r="1336" ht="15.75" customHeight="1">
      <c r="A1336" s="146" t="n">
        <v>24</v>
      </c>
      <c r="B1336" s="238" t="n"/>
      <c r="C1336" s="399" t="n">
        <v>45963</v>
      </c>
      <c r="D1336" s="146" t="inlineStr">
        <is>
          <t>200 G. GARCERAS</t>
        </is>
      </c>
      <c r="E1336" s="146" t="n">
        <v>44191</v>
      </c>
      <c r="F1336" s="146" t="inlineStr">
        <is>
          <t>EDWIN ROJAS</t>
        </is>
      </c>
      <c r="G1336" s="395" t="n">
        <v>2970</v>
      </c>
      <c r="H1336" s="395" t="n">
        <v>2958</v>
      </c>
      <c r="I1336" s="395" t="n">
        <v>4</v>
      </c>
      <c r="J1336" s="395" t="n">
        <v>6</v>
      </c>
      <c r="K1336" s="395" t="n">
        <v>-2</v>
      </c>
      <c r="L1336" s="397" t="n">
        <v>2970</v>
      </c>
      <c r="M1336" s="113" t="n"/>
      <c r="N1336" s="113" t="n"/>
      <c r="O1336" s="113" t="n"/>
      <c r="P1336" s="398" t="n"/>
      <c r="Q1336" s="398" t="n"/>
      <c r="R1336" s="113" t="n"/>
      <c r="S1336" s="113" t="n"/>
      <c r="T1336" s="113" t="n"/>
      <c r="U1336" s="113" t="n"/>
      <c r="V1336" s="113" t="n"/>
    </row>
    <row r="1337" ht="15.75" customHeight="1">
      <c r="A1337" s="146" t="n">
        <v>24</v>
      </c>
      <c r="B1337" s="238" t="n"/>
      <c r="C1337" s="399" t="n">
        <v>45963</v>
      </c>
      <c r="D1337" s="146" t="inlineStr">
        <is>
          <t>200 G. GARCERAS</t>
        </is>
      </c>
      <c r="E1337" s="146" t="n">
        <v>44192</v>
      </c>
      <c r="F1337" s="146" t="inlineStr">
        <is>
          <t>EDUAN CAVIEDES</t>
        </is>
      </c>
      <c r="G1337" s="395" t="n">
        <v>2976</v>
      </c>
      <c r="H1337" s="395" t="n">
        <v>2952</v>
      </c>
      <c r="I1337" s="395" t="n">
        <v>5</v>
      </c>
      <c r="J1337" s="395" t="n">
        <v>11</v>
      </c>
      <c r="K1337" s="395" t="n">
        <v>-8</v>
      </c>
      <c r="L1337" s="397" t="n">
        <v>2970</v>
      </c>
      <c r="M1337" s="113" t="n"/>
      <c r="N1337" s="113" t="n"/>
      <c r="O1337" s="113" t="n"/>
      <c r="P1337" s="398" t="n"/>
      <c r="Q1337" s="398" t="n"/>
      <c r="R1337" s="113" t="n"/>
      <c r="S1337" s="113" t="n"/>
      <c r="T1337" s="113" t="n"/>
      <c r="U1337" s="113" t="n"/>
      <c r="V1337" s="113" t="n"/>
    </row>
    <row r="1338" ht="15.75" customHeight="1">
      <c r="A1338" s="146" t="n">
        <v>24</v>
      </c>
      <c r="B1338" s="238" t="n"/>
      <c r="C1338" s="399" t="n">
        <v>45963</v>
      </c>
      <c r="D1338" s="146" t="inlineStr">
        <is>
          <t>200 G. GARCERAS</t>
        </is>
      </c>
      <c r="E1338" s="146" t="n">
        <v>44193</v>
      </c>
      <c r="F1338" s="146" t="inlineStr">
        <is>
          <t>HENRY ROMERO</t>
        </is>
      </c>
      <c r="G1338" s="395" t="n">
        <v>2970</v>
      </c>
      <c r="H1338" s="395" t="n">
        <v>2958</v>
      </c>
      <c r="I1338" s="395" t="n">
        <v>3</v>
      </c>
      <c r="J1338" s="395" t="n">
        <v>8</v>
      </c>
      <c r="K1338" s="395" t="n">
        <v>-1</v>
      </c>
      <c r="L1338" s="397" t="n">
        <v>2970</v>
      </c>
      <c r="M1338" s="113" t="n"/>
      <c r="N1338" s="113" t="n"/>
      <c r="O1338" s="113" t="n"/>
      <c r="P1338" s="398" t="n"/>
      <c r="Q1338" s="398" t="n"/>
      <c r="R1338" s="113" t="n"/>
      <c r="S1338" s="113" t="n"/>
      <c r="T1338" s="113" t="n"/>
      <c r="U1338" s="113" t="n"/>
      <c r="V1338" s="113" t="n"/>
    </row>
    <row r="1339" ht="15.75" customHeight="1">
      <c r="A1339" s="146" t="n">
        <v>24</v>
      </c>
      <c r="B1339" s="238" t="n"/>
      <c r="C1339" s="399" t="n">
        <v>45963</v>
      </c>
      <c r="D1339" s="146" t="inlineStr">
        <is>
          <t>200 G. GARCERAS</t>
        </is>
      </c>
      <c r="E1339" s="146" t="n">
        <v>44194</v>
      </c>
      <c r="F1339" s="146" t="inlineStr">
        <is>
          <t>ALBERTO LOPEZ</t>
        </is>
      </c>
      <c r="G1339" s="395" t="n">
        <v>2970</v>
      </c>
      <c r="H1339" s="395" t="n">
        <v>2958</v>
      </c>
      <c r="I1339" s="395" t="n">
        <v>2</v>
      </c>
      <c r="J1339" s="395" t="n">
        <v>7</v>
      </c>
      <c r="K1339" s="395" t="n">
        <v>-3</v>
      </c>
      <c r="L1339" s="397" t="n">
        <v>2960</v>
      </c>
      <c r="M1339" s="113" t="n"/>
      <c r="N1339" s="113" t="n"/>
      <c r="O1339" s="113" t="n"/>
      <c r="P1339" s="398" t="n"/>
      <c r="Q1339" s="398" t="n"/>
      <c r="R1339" s="113" t="n"/>
      <c r="S1339" s="113" t="n"/>
      <c r="T1339" s="113" t="n"/>
      <c r="U1339" s="113" t="n"/>
      <c r="V1339" s="113" t="n"/>
    </row>
    <row r="1340" ht="15.75" customHeight="1">
      <c r="A1340" s="146" t="n">
        <v>24</v>
      </c>
      <c r="B1340" s="238" t="n"/>
      <c r="C1340" s="399" t="n">
        <v>45963</v>
      </c>
      <c r="D1340" s="146" t="inlineStr">
        <is>
          <t>200 G. GARCERAS</t>
        </is>
      </c>
      <c r="E1340" s="146" t="n">
        <v>44195</v>
      </c>
      <c r="F1340" s="146" t="inlineStr">
        <is>
          <t>JHON ARIAS</t>
        </is>
      </c>
      <c r="G1340" s="395" t="n">
        <v>3441</v>
      </c>
      <c r="H1340" s="395" t="n">
        <v>3425</v>
      </c>
      <c r="I1340" s="395" t="n">
        <v>2</v>
      </c>
      <c r="J1340" s="395" t="n">
        <v>4</v>
      </c>
      <c r="K1340" s="395" t="n">
        <v>-10</v>
      </c>
      <c r="L1340" s="397" t="n">
        <v>3441</v>
      </c>
      <c r="M1340" s="113" t="n"/>
      <c r="N1340" s="113" t="n"/>
      <c r="O1340" s="113" t="n"/>
      <c r="P1340" s="398" t="n"/>
      <c r="Q1340" s="398" t="n"/>
      <c r="R1340" s="113" t="n"/>
      <c r="S1340" s="113" t="n"/>
      <c r="T1340" s="113" t="n"/>
      <c r="U1340" s="113" t="n"/>
      <c r="V1340" s="113" t="n"/>
    </row>
    <row r="1341" ht="15.75" customHeight="1">
      <c r="A1341" s="146" t="n">
        <v>24</v>
      </c>
      <c r="B1341" s="238" t="n"/>
      <c r="C1341" s="399" t="n">
        <v>45963</v>
      </c>
      <c r="D1341" s="146" t="inlineStr">
        <is>
          <t>200 G. GARCERAS</t>
        </is>
      </c>
      <c r="E1341" s="146" t="n">
        <v>44196</v>
      </c>
      <c r="F1341" s="146" t="inlineStr">
        <is>
          <t>ALEX GOMEZ</t>
        </is>
      </c>
      <c r="G1341" s="395" t="n">
        <v>3440</v>
      </c>
      <c r="H1341" s="395" t="n">
        <v>3425</v>
      </c>
      <c r="I1341" s="395" t="n">
        <v>2</v>
      </c>
      <c r="J1341" s="395" t="n">
        <v>4</v>
      </c>
      <c r="K1341" s="395" t="n">
        <v>-9</v>
      </c>
      <c r="L1341" s="397" t="n">
        <v>3440</v>
      </c>
      <c r="M1341" s="113" t="n"/>
      <c r="N1341" s="113" t="n"/>
      <c r="O1341" s="113" t="n"/>
      <c r="P1341" s="398" t="n"/>
      <c r="Q1341" s="398" t="n"/>
      <c r="R1341" s="113" t="n"/>
      <c r="S1341" s="113" t="n"/>
      <c r="T1341" s="113" t="n"/>
      <c r="U1341" s="113" t="n"/>
      <c r="V1341" s="113" t="n"/>
    </row>
    <row r="1342" ht="15.75" customHeight="1">
      <c r="A1342" s="146" t="n">
        <v>24</v>
      </c>
      <c r="B1342" s="238" t="n"/>
      <c r="C1342" s="399" t="n">
        <v>45963</v>
      </c>
      <c r="D1342" s="146" t="inlineStr">
        <is>
          <t>200 G. GARCERAS</t>
        </is>
      </c>
      <c r="E1342" s="146" t="n">
        <v>44197</v>
      </c>
      <c r="F1342" s="146" t="inlineStr">
        <is>
          <t>SESABTIAN HIDALGO</t>
        </is>
      </c>
      <c r="G1342" s="395" t="n">
        <v>3441</v>
      </c>
      <c r="H1342" s="395" t="n">
        <v>3430</v>
      </c>
      <c r="I1342" s="395" t="n">
        <v>3</v>
      </c>
      <c r="J1342" s="395" t="n">
        <v>2</v>
      </c>
      <c r="K1342" s="395" t="n">
        <v>-6</v>
      </c>
      <c r="L1342" s="397" t="n">
        <v>3441</v>
      </c>
      <c r="M1342" s="113" t="n"/>
      <c r="N1342" s="113" t="n"/>
      <c r="O1342" s="113" t="n"/>
      <c r="P1342" s="398" t="n"/>
      <c r="Q1342" s="398" t="n"/>
      <c r="R1342" s="113" t="n"/>
      <c r="S1342" s="113" t="n"/>
      <c r="T1342" s="113" t="n"/>
      <c r="U1342" s="113" t="n"/>
      <c r="V1342" s="113" t="n"/>
    </row>
    <row r="1343" ht="15.75" customHeight="1">
      <c r="A1343" s="146" t="n">
        <v>24</v>
      </c>
      <c r="B1343" s="238" t="n"/>
      <c r="C1343" s="399" t="n">
        <v>45963</v>
      </c>
      <c r="D1343" s="146" t="inlineStr">
        <is>
          <t>200 G. GARCERAS</t>
        </is>
      </c>
      <c r="E1343" s="146" t="n">
        <v>44198</v>
      </c>
      <c r="F1343" s="146" t="inlineStr">
        <is>
          <t>FERNANDO OYUELA</t>
        </is>
      </c>
      <c r="G1343" s="395" t="n">
        <v>3276</v>
      </c>
      <c r="H1343" s="395" t="n">
        <v>3256</v>
      </c>
      <c r="I1343" s="395" t="n">
        <v>3</v>
      </c>
      <c r="J1343" s="395" t="n">
        <v>5</v>
      </c>
      <c r="K1343" s="395" t="n">
        <v>-12</v>
      </c>
      <c r="L1343" s="397" t="n">
        <v>3279</v>
      </c>
      <c r="M1343" s="113" t="n"/>
      <c r="N1343" s="113" t="n"/>
      <c r="O1343" s="113" t="n"/>
      <c r="P1343" s="398" t="n"/>
      <c r="Q1343" s="398" t="n"/>
      <c r="R1343" s="113" t="n"/>
      <c r="S1343" s="113" t="n"/>
      <c r="T1343" s="113" t="n"/>
      <c r="U1343" s="113" t="n"/>
      <c r="V1343" s="113" t="n"/>
    </row>
    <row r="1344" ht="15.75" customHeight="1">
      <c r="A1344" s="146" t="n">
        <v>24</v>
      </c>
      <c r="B1344" s="238" t="n"/>
      <c r="C1344" s="399" t="n">
        <v>45963</v>
      </c>
      <c r="D1344" s="146" t="inlineStr">
        <is>
          <t>200 G. GARCERAS</t>
        </is>
      </c>
      <c r="E1344" s="146" t="n">
        <v>44199</v>
      </c>
      <c r="F1344" s="146" t="inlineStr">
        <is>
          <t>YAIR RIVEROS</t>
        </is>
      </c>
      <c r="G1344" s="395" t="n">
        <v>3190</v>
      </c>
      <c r="H1344" s="395" t="n">
        <v>3177</v>
      </c>
      <c r="I1344" s="395" t="n">
        <v>4</v>
      </c>
      <c r="J1344" s="395" t="n">
        <v>3</v>
      </c>
      <c r="K1344" s="395" t="n">
        <v>-6</v>
      </c>
      <c r="L1344" s="397" t="n">
        <v>3200</v>
      </c>
      <c r="M1344" s="113" t="n"/>
      <c r="N1344" s="113" t="n"/>
      <c r="O1344" s="113" t="n"/>
      <c r="P1344" s="398" t="n"/>
      <c r="Q1344" s="398" t="n"/>
      <c r="R1344" s="113" t="n"/>
      <c r="S1344" s="113" t="n"/>
      <c r="T1344" s="113" t="n"/>
      <c r="U1344" s="113" t="n"/>
      <c r="V1344" s="113" t="n"/>
    </row>
    <row r="1345" ht="15.75" customHeight="1">
      <c r="A1345" s="146" t="n">
        <v>24</v>
      </c>
      <c r="B1345" s="238" t="n"/>
      <c r="C1345" s="399" t="n">
        <v>45963</v>
      </c>
      <c r="D1345" s="146" t="inlineStr">
        <is>
          <t>200 G. GARCERAS</t>
        </is>
      </c>
      <c r="E1345" s="146" t="n">
        <v>44200</v>
      </c>
      <c r="F1345" s="146" t="inlineStr">
        <is>
          <t>JAIRO CUBILLOS</t>
        </is>
      </c>
      <c r="G1345" s="395" t="n">
        <v>3200</v>
      </c>
      <c r="H1345" s="395" t="n">
        <v>3188</v>
      </c>
      <c r="I1345" s="395" t="n">
        <v>3</v>
      </c>
      <c r="J1345" s="395" t="n">
        <v>2</v>
      </c>
      <c r="K1345" s="395" t="n">
        <v>-7</v>
      </c>
      <c r="L1345" s="397" t="n">
        <v>3200</v>
      </c>
      <c r="M1345" s="113" t="n"/>
      <c r="N1345" s="113" t="n"/>
      <c r="O1345" s="113" t="n"/>
      <c r="P1345" s="398" t="n"/>
      <c r="Q1345" s="398" t="n"/>
      <c r="R1345" s="113" t="n"/>
      <c r="S1345" s="113" t="n"/>
      <c r="T1345" s="113" t="n"/>
      <c r="U1345" s="113" t="n"/>
      <c r="V1345" s="113" t="n"/>
    </row>
    <row r="1346" ht="15.75" customHeight="1">
      <c r="A1346" s="146" t="n">
        <v>24</v>
      </c>
      <c r="B1346" s="238" t="n"/>
      <c r="C1346" s="399" t="n">
        <v>45963</v>
      </c>
      <c r="D1346" s="146" t="inlineStr">
        <is>
          <t>200 G. GARCERAS</t>
        </is>
      </c>
      <c r="E1346" s="146" t="n">
        <v>44201</v>
      </c>
      <c r="F1346" s="146" t="inlineStr">
        <is>
          <t>JOSE SOLER</t>
        </is>
      </c>
      <c r="G1346" s="395" t="n">
        <v>3200</v>
      </c>
      <c r="H1346" s="395" t="n">
        <v>3184</v>
      </c>
      <c r="I1346" s="395" t="n">
        <v>5</v>
      </c>
      <c r="J1346" s="395" t="n">
        <v>6</v>
      </c>
      <c r="K1346" s="395" t="n">
        <v>-5</v>
      </c>
      <c r="L1346" s="397" t="n">
        <v>3200</v>
      </c>
      <c r="M1346" s="113" t="n"/>
      <c r="N1346" s="113" t="n"/>
      <c r="O1346" s="113" t="n"/>
      <c r="P1346" s="398" t="n"/>
      <c r="Q1346" s="398" t="n"/>
      <c r="R1346" s="113" t="n"/>
      <c r="S1346" s="113" t="n"/>
      <c r="T1346" s="113" t="n"/>
      <c r="U1346" s="113" t="n"/>
      <c r="V1346" s="113" t="n"/>
    </row>
    <row r="1347" ht="15.75" customHeight="1">
      <c r="A1347" s="146" t="n">
        <v>24</v>
      </c>
      <c r="B1347" s="238" t="n"/>
      <c r="C1347" s="399" t="n">
        <v>45963</v>
      </c>
      <c r="D1347" s="146" t="inlineStr">
        <is>
          <t>200 G. GARCERAS</t>
        </is>
      </c>
      <c r="E1347" s="146" t="n">
        <v>44202</v>
      </c>
      <c r="F1347" s="146" t="inlineStr">
        <is>
          <t>WILMER PIÑEROS</t>
        </is>
      </c>
      <c r="G1347" s="395" t="n">
        <v>3200</v>
      </c>
      <c r="H1347" s="395" t="n">
        <v>3184</v>
      </c>
      <c r="I1347" s="395" t="n">
        <v>2</v>
      </c>
      <c r="J1347" s="395" t="n">
        <v>6</v>
      </c>
      <c r="K1347" s="395" t="n">
        <v>-8</v>
      </c>
      <c r="L1347" s="397" t="n">
        <v>3240</v>
      </c>
      <c r="M1347" s="113" t="n"/>
      <c r="N1347" s="113" t="n"/>
      <c r="O1347" s="113" t="n"/>
      <c r="P1347" s="398" t="n"/>
      <c r="Q1347" s="398" t="n"/>
      <c r="R1347" s="113" t="n"/>
      <c r="S1347" s="113" t="n"/>
      <c r="T1347" s="113" t="n"/>
      <c r="U1347" s="113" t="n"/>
      <c r="V1347" s="113" t="n"/>
    </row>
    <row r="1348" ht="15.75" customHeight="1">
      <c r="A1348" s="146" t="n">
        <v>24</v>
      </c>
      <c r="B1348" s="238" t="n"/>
      <c r="C1348" s="399" t="n">
        <v>45965</v>
      </c>
      <c r="D1348" s="146" t="inlineStr">
        <is>
          <t>221 G. MALAGUEÑA</t>
        </is>
      </c>
      <c r="E1348" s="146" t="n">
        <v>44203</v>
      </c>
      <c r="F1348" s="146" t="inlineStr">
        <is>
          <t>MANUEL QUITIAN</t>
        </is>
      </c>
      <c r="G1348" s="395" t="n">
        <v>3290</v>
      </c>
      <c r="H1348" s="395" t="n">
        <v>3283</v>
      </c>
      <c r="I1348" s="395" t="n">
        <v>3</v>
      </c>
      <c r="J1348" s="395" t="n">
        <v>4</v>
      </c>
      <c r="K1348" s="395" t="n">
        <v>0</v>
      </c>
      <c r="L1348" s="397" t="n">
        <v>3290</v>
      </c>
      <c r="M1348" s="113" t="n"/>
      <c r="N1348" s="113" t="n"/>
      <c r="O1348" s="113" t="n"/>
      <c r="P1348" s="398" t="n"/>
      <c r="Q1348" s="398" t="n"/>
      <c r="R1348" s="113" t="n"/>
      <c r="S1348" s="113" t="n"/>
      <c r="T1348" s="113" t="n"/>
      <c r="U1348" s="113" t="n"/>
      <c r="V1348" s="113" t="n"/>
    </row>
    <row r="1349" ht="15.75" customHeight="1">
      <c r="A1349" s="146" t="n">
        <v>24</v>
      </c>
      <c r="B1349" s="238" t="n"/>
      <c r="C1349" s="399" t="n">
        <v>45965</v>
      </c>
      <c r="D1349" s="146" t="inlineStr">
        <is>
          <t>221 G. MALAGUEÑA</t>
        </is>
      </c>
      <c r="E1349" s="146" t="n">
        <v>44204</v>
      </c>
      <c r="F1349" s="146" t="inlineStr">
        <is>
          <t>DIEGO NIÑO</t>
        </is>
      </c>
      <c r="G1349" s="395" t="n">
        <v>2890</v>
      </c>
      <c r="H1349" s="395" t="n">
        <v>3284</v>
      </c>
      <c r="I1349" s="395" t="n">
        <v>2</v>
      </c>
      <c r="J1349" s="395" t="n">
        <v>4</v>
      </c>
      <c r="K1349" s="395" t="n">
        <v>400</v>
      </c>
      <c r="L1349" s="397" t="n">
        <v>3290</v>
      </c>
      <c r="M1349" s="113" t="n"/>
      <c r="N1349" s="113" t="n"/>
      <c r="O1349" s="113" t="n"/>
      <c r="P1349" s="398" t="n"/>
      <c r="Q1349" s="398" t="n"/>
      <c r="R1349" s="113" t="n"/>
      <c r="S1349" s="113" t="n"/>
      <c r="T1349" s="113" t="n"/>
      <c r="U1349" s="113" t="n"/>
      <c r="V1349" s="113" t="n"/>
    </row>
    <row r="1350" ht="15.75" customHeight="1">
      <c r="A1350" s="146" t="n">
        <v>24</v>
      </c>
      <c r="B1350" s="238" t="n"/>
      <c r="C1350" s="399" t="n">
        <v>45965</v>
      </c>
      <c r="D1350" s="146" t="inlineStr">
        <is>
          <t>221 G. MALAGUEÑA</t>
        </is>
      </c>
      <c r="E1350" s="146" t="n">
        <v>44205</v>
      </c>
      <c r="F1350" s="146" t="inlineStr">
        <is>
          <t>WILMER PIÑEROS</t>
        </is>
      </c>
      <c r="G1350" s="395" t="n">
        <v>3291</v>
      </c>
      <c r="H1350" s="395" t="n">
        <v>3286</v>
      </c>
      <c r="I1350" s="395" t="n">
        <v>2</v>
      </c>
      <c r="J1350" s="395" t="n">
        <v>3</v>
      </c>
      <c r="K1350" s="395" t="n">
        <v>0</v>
      </c>
      <c r="L1350" s="397" t="n">
        <v>3290</v>
      </c>
      <c r="M1350" s="113" t="n"/>
      <c r="N1350" s="113" t="n"/>
      <c r="O1350" s="113" t="n"/>
      <c r="P1350" s="398" t="n"/>
      <c r="Q1350" s="398" t="n"/>
      <c r="R1350" s="113" t="n"/>
      <c r="S1350" s="113" t="n"/>
      <c r="T1350" s="113" t="n"/>
      <c r="U1350" s="113" t="n"/>
      <c r="V1350" s="113" t="n"/>
    </row>
    <row r="1351" ht="15.75" customHeight="1">
      <c r="A1351" s="146" t="n">
        <v>24</v>
      </c>
      <c r="B1351" s="238" t="n"/>
      <c r="C1351" s="399" t="n">
        <v>45965</v>
      </c>
      <c r="D1351" s="146" t="inlineStr">
        <is>
          <t>221 G. MALAGUEÑA</t>
        </is>
      </c>
      <c r="E1351" s="146" t="n">
        <v>44206</v>
      </c>
      <c r="F1351" s="146" t="inlineStr">
        <is>
          <t>YAIR RIVEROS</t>
        </is>
      </c>
      <c r="G1351" s="395" t="n">
        <v>3290</v>
      </c>
      <c r="H1351" s="395" t="n">
        <v>3287</v>
      </c>
      <c r="I1351" s="395" t="n">
        <v>4</v>
      </c>
      <c r="J1351" s="395" t="n">
        <v>4</v>
      </c>
      <c r="K1351" s="395" t="n">
        <v>5</v>
      </c>
      <c r="L1351" s="397" t="n">
        <v>3290</v>
      </c>
      <c r="M1351" s="113" t="n"/>
      <c r="N1351" s="113" t="n"/>
      <c r="O1351" s="113" t="n"/>
      <c r="P1351" s="398" t="n"/>
      <c r="Q1351" s="398" t="n"/>
      <c r="R1351" s="113" t="n"/>
      <c r="S1351" s="113" t="n"/>
      <c r="T1351" s="113" t="n"/>
      <c r="U1351" s="113" t="n"/>
      <c r="V1351" s="113" t="n"/>
    </row>
    <row r="1352" ht="15.75" customHeight="1">
      <c r="A1352" s="146" t="n">
        <v>24</v>
      </c>
      <c r="B1352" s="238" t="n"/>
      <c r="C1352" s="399" t="n">
        <v>45965</v>
      </c>
      <c r="D1352" s="146" t="inlineStr">
        <is>
          <t>221 G. MALAGUEÑA</t>
        </is>
      </c>
      <c r="E1352" s="146" t="n">
        <v>44207</v>
      </c>
      <c r="F1352" s="146" t="inlineStr">
        <is>
          <t>FERNANDO OYUELA</t>
        </is>
      </c>
      <c r="G1352" s="395" t="n">
        <v>3190</v>
      </c>
      <c r="H1352" s="395" t="n">
        <v>3189</v>
      </c>
      <c r="I1352" s="395" t="n">
        <v>4</v>
      </c>
      <c r="J1352" s="395" t="n">
        <v>5</v>
      </c>
      <c r="K1352" s="395" t="n">
        <v>8</v>
      </c>
      <c r="L1352" s="397" t="n">
        <v>3190</v>
      </c>
      <c r="M1352" s="113" t="n"/>
      <c r="N1352" s="113" t="n"/>
      <c r="O1352" s="113" t="n"/>
      <c r="P1352" s="398" t="n"/>
      <c r="Q1352" s="398" t="n"/>
      <c r="R1352" s="113" t="n"/>
      <c r="S1352" s="113" t="n"/>
      <c r="T1352" s="113" t="n"/>
      <c r="U1352" s="113" t="n"/>
      <c r="V1352" s="113" t="n"/>
    </row>
    <row r="1353" ht="15.75" customHeight="1">
      <c r="A1353" s="146" t="n">
        <v>24</v>
      </c>
      <c r="B1353" s="238" t="n"/>
      <c r="C1353" s="399" t="n">
        <v>45965</v>
      </c>
      <c r="D1353" s="146" t="inlineStr">
        <is>
          <t>221 G. MALAGUEÑA</t>
        </is>
      </c>
      <c r="E1353" s="146" t="n">
        <v>44208</v>
      </c>
      <c r="F1353" s="146" t="inlineStr">
        <is>
          <t>SEBASTIAN PULIDO</t>
        </is>
      </c>
      <c r="G1353" s="395" t="n">
        <v>3190</v>
      </c>
      <c r="H1353" s="395" t="n">
        <v>3181</v>
      </c>
      <c r="I1353" s="395" t="n">
        <v>3</v>
      </c>
      <c r="J1353" s="395" t="n">
        <v>9</v>
      </c>
      <c r="K1353" s="395" t="n">
        <v>3</v>
      </c>
      <c r="L1353" s="397" t="n">
        <v>3190</v>
      </c>
      <c r="M1353" s="113" t="n"/>
      <c r="N1353" s="113" t="n"/>
      <c r="O1353" s="113" t="n"/>
      <c r="P1353" s="398" t="n"/>
      <c r="Q1353" s="398" t="n"/>
      <c r="R1353" s="113" t="n"/>
      <c r="S1353" s="113" t="n"/>
      <c r="T1353" s="113" t="n"/>
      <c r="U1353" s="113" t="n"/>
      <c r="V1353" s="113" t="n"/>
    </row>
    <row r="1354" ht="15.75" customHeight="1">
      <c r="A1354" s="146" t="n">
        <v>24</v>
      </c>
      <c r="B1354" s="238" t="n"/>
      <c r="C1354" s="399" t="n">
        <v>45965</v>
      </c>
      <c r="D1354" s="146" t="inlineStr">
        <is>
          <t>221 G. MALAGUEÑA</t>
        </is>
      </c>
      <c r="E1354" s="146" t="n">
        <v>44209</v>
      </c>
      <c r="F1354" s="146" t="inlineStr">
        <is>
          <t>ALEX GOMEZ</t>
        </is>
      </c>
      <c r="G1354" s="395" t="n">
        <v>3190</v>
      </c>
      <c r="H1354" s="395" t="n">
        <v>3181</v>
      </c>
      <c r="I1354" s="395" t="n">
        <v>3</v>
      </c>
      <c r="J1354" s="395" t="n">
        <v>8</v>
      </c>
      <c r="K1354" s="395" t="n">
        <v>2</v>
      </c>
      <c r="L1354" s="397" t="n">
        <v>3190</v>
      </c>
      <c r="M1354" s="113" t="n"/>
      <c r="N1354" s="113" t="n"/>
      <c r="O1354" s="113" t="n"/>
      <c r="P1354" s="398" t="n"/>
      <c r="Q1354" s="398" t="n"/>
      <c r="R1354" s="113" t="n"/>
      <c r="S1354" s="113" t="n"/>
      <c r="T1354" s="113" t="n"/>
      <c r="U1354" s="113" t="n"/>
      <c r="V1354" s="113" t="n"/>
    </row>
    <row r="1355" ht="15.75" customHeight="1">
      <c r="A1355" s="146" t="n">
        <v>24</v>
      </c>
      <c r="B1355" s="238" t="n"/>
      <c r="C1355" s="399" t="n">
        <v>45965</v>
      </c>
      <c r="D1355" s="146" t="inlineStr">
        <is>
          <t>221 G. MALAGUEÑA</t>
        </is>
      </c>
      <c r="E1355" s="146" t="n">
        <v>44217</v>
      </c>
      <c r="F1355" s="146" t="inlineStr">
        <is>
          <t>DUMAR ANGARITA</t>
        </is>
      </c>
      <c r="G1355" s="395" t="n">
        <v>3190</v>
      </c>
      <c r="H1355" s="395" t="n">
        <v>3180</v>
      </c>
      <c r="I1355" s="395" t="n">
        <v>4</v>
      </c>
      <c r="J1355" s="395" t="n">
        <v>6</v>
      </c>
      <c r="K1355" s="395" t="n">
        <v>0</v>
      </c>
      <c r="L1355" s="397" t="n">
        <v>3190</v>
      </c>
      <c r="M1355" s="113" t="n"/>
      <c r="N1355" s="113" t="n"/>
      <c r="O1355" s="113" t="n"/>
      <c r="P1355" s="398" t="n"/>
      <c r="Q1355" s="398" t="n"/>
      <c r="R1355" s="113" t="n"/>
      <c r="S1355" s="113" t="n"/>
      <c r="T1355" s="113" t="n"/>
      <c r="U1355" s="113" t="n"/>
      <c r="V1355" s="113" t="n"/>
    </row>
    <row r="1356" ht="15.75" customHeight="1">
      <c r="A1356" s="146" t="n">
        <v>24</v>
      </c>
      <c r="B1356" s="238" t="n"/>
      <c r="C1356" s="399" t="n">
        <v>45965</v>
      </c>
      <c r="D1356" s="146" t="inlineStr">
        <is>
          <t>221 G. MALAGUEÑA</t>
        </is>
      </c>
      <c r="E1356" s="146" t="n">
        <v>44218</v>
      </c>
      <c r="F1356" s="146" t="inlineStr">
        <is>
          <t>JHON ARIAS</t>
        </is>
      </c>
      <c r="G1356" s="395" t="n">
        <v>2880</v>
      </c>
      <c r="H1356" s="395" t="n">
        <v>2871</v>
      </c>
      <c r="I1356" s="395" t="n">
        <v>3</v>
      </c>
      <c r="J1356" s="395" t="n">
        <v>6</v>
      </c>
      <c r="K1356" s="395" t="n">
        <v>0</v>
      </c>
      <c r="L1356" s="397" t="n">
        <v>2880</v>
      </c>
      <c r="M1356" s="113" t="n"/>
      <c r="N1356" s="113" t="n"/>
      <c r="O1356" s="113" t="n"/>
      <c r="P1356" s="398" t="n"/>
      <c r="Q1356" s="398" t="n"/>
      <c r="R1356" s="113" t="n"/>
      <c r="S1356" s="113" t="n"/>
      <c r="T1356" s="113" t="n"/>
      <c r="U1356" s="113" t="n"/>
      <c r="V1356" s="113" t="n"/>
    </row>
    <row r="1357" ht="15.75" customHeight="1">
      <c r="A1357" s="146" t="n">
        <v>24</v>
      </c>
      <c r="B1357" s="238" t="n"/>
      <c r="C1357" s="399" t="n">
        <v>45965</v>
      </c>
      <c r="D1357" s="146" t="inlineStr">
        <is>
          <t>200 G. GARCERAS</t>
        </is>
      </c>
      <c r="E1357" s="146" t="n">
        <v>44219</v>
      </c>
      <c r="F1357" s="146" t="inlineStr">
        <is>
          <t>YAIR RIVEROS</t>
        </is>
      </c>
      <c r="G1357" s="395" t="n">
        <v>3330</v>
      </c>
      <c r="H1357" s="395" t="n">
        <v>3327</v>
      </c>
      <c r="I1357" s="395" t="n">
        <v>2</v>
      </c>
      <c r="J1357" s="395" t="n">
        <v>1</v>
      </c>
      <c r="K1357" s="395" t="n">
        <v>0</v>
      </c>
      <c r="L1357" s="397" t="n">
        <v>3322</v>
      </c>
      <c r="M1357" s="113" t="n"/>
      <c r="N1357" s="113" t="n"/>
      <c r="O1357" s="113" t="n"/>
      <c r="P1357" s="398" t="n"/>
      <c r="Q1357" s="398" t="n"/>
      <c r="R1357" s="113" t="n"/>
      <c r="S1357" s="113" t="n"/>
      <c r="T1357" s="113" t="n"/>
      <c r="U1357" s="113" t="n"/>
      <c r="V1357" s="113" t="n"/>
    </row>
    <row r="1358" ht="15.75" customHeight="1">
      <c r="A1358" s="146" t="n">
        <v>24</v>
      </c>
      <c r="B1358" s="238" t="n"/>
      <c r="C1358" s="399" t="n">
        <v>45965</v>
      </c>
      <c r="D1358" s="146" t="inlineStr">
        <is>
          <t>200 G. GARCERAS</t>
        </is>
      </c>
      <c r="E1358" s="146" t="n">
        <v>44220</v>
      </c>
      <c r="F1358" s="146" t="inlineStr">
        <is>
          <t>MANUEL QUITIAN</t>
        </is>
      </c>
      <c r="G1358" s="395" t="n">
        <v>3322</v>
      </c>
      <c r="H1358" s="395" t="n">
        <v>3320</v>
      </c>
      <c r="I1358" s="395" t="n">
        <v>1</v>
      </c>
      <c r="J1358" s="395" t="n">
        <v>1</v>
      </c>
      <c r="K1358" s="395" t="n">
        <v>0</v>
      </c>
      <c r="L1358" s="397" t="n">
        <v>3322</v>
      </c>
      <c r="M1358" s="113" t="n"/>
      <c r="N1358" s="113" t="n"/>
      <c r="O1358" s="113" t="n"/>
      <c r="P1358" s="398" t="n"/>
      <c r="Q1358" s="398" t="n"/>
      <c r="R1358" s="113" t="n"/>
      <c r="S1358" s="113" t="n"/>
      <c r="T1358" s="113" t="n"/>
      <c r="U1358" s="113" t="n"/>
      <c r="V1358" s="113" t="n"/>
    </row>
    <row r="1359" ht="15.75" customHeight="1">
      <c r="A1359" s="146" t="n">
        <v>24</v>
      </c>
      <c r="B1359" s="238" t="n"/>
      <c r="C1359" s="399" t="n">
        <v>45965</v>
      </c>
      <c r="D1359" s="146" t="inlineStr">
        <is>
          <t>200 G. GARCERAS</t>
        </is>
      </c>
      <c r="E1359" s="146" t="n">
        <v>44221</v>
      </c>
      <c r="F1359" s="146" t="inlineStr">
        <is>
          <t>WILMER PIÑEROS</t>
        </is>
      </c>
      <c r="G1359" s="395" t="n">
        <v>3322</v>
      </c>
      <c r="H1359" s="395" t="n">
        <v>3319</v>
      </c>
      <c r="I1359" s="395" t="n">
        <v>1</v>
      </c>
      <c r="J1359" s="395" t="n">
        <v>2</v>
      </c>
      <c r="K1359" s="395" t="n">
        <v>0</v>
      </c>
      <c r="L1359" s="397" t="n">
        <v>3330</v>
      </c>
      <c r="M1359" s="113" t="n"/>
      <c r="N1359" s="113" t="n"/>
      <c r="O1359" s="113" t="n"/>
      <c r="P1359" s="398" t="n"/>
      <c r="Q1359" s="398" t="n"/>
      <c r="R1359" s="113" t="n"/>
      <c r="S1359" s="113" t="n"/>
      <c r="T1359" s="113" t="n"/>
      <c r="U1359" s="113" t="n"/>
      <c r="V1359" s="113" t="n"/>
    </row>
    <row r="1360" ht="15.75" customHeight="1">
      <c r="A1360" s="146" t="n">
        <v>24</v>
      </c>
      <c r="B1360" s="238" t="n"/>
      <c r="C1360" s="399" t="n">
        <v>45965</v>
      </c>
      <c r="D1360" s="146" t="inlineStr">
        <is>
          <t>200 G. GARCERAS</t>
        </is>
      </c>
      <c r="E1360" s="146" t="n">
        <v>44222</v>
      </c>
      <c r="F1360" s="146" t="inlineStr">
        <is>
          <t>FERNANDO OYUELA</t>
        </is>
      </c>
      <c r="G1360" s="395" t="n">
        <v>3322</v>
      </c>
      <c r="H1360" s="395" t="n">
        <v>3315</v>
      </c>
      <c r="I1360" s="395" t="n">
        <v>2</v>
      </c>
      <c r="J1360" s="395" t="n">
        <v>5</v>
      </c>
      <c r="K1360" s="395" t="n">
        <v>0</v>
      </c>
      <c r="L1360" s="397" t="n">
        <v>3322</v>
      </c>
      <c r="M1360" s="113" t="n"/>
      <c r="N1360" s="113" t="n"/>
      <c r="O1360" s="113" t="n"/>
      <c r="P1360" s="398" t="n"/>
      <c r="Q1360" s="398" t="n"/>
      <c r="R1360" s="113" t="n"/>
      <c r="S1360" s="113" t="n"/>
      <c r="T1360" s="113" t="n"/>
      <c r="U1360" s="113" t="n"/>
      <c r="V1360" s="113" t="n"/>
    </row>
    <row r="1361" ht="15.75" customHeight="1">
      <c r="A1361" s="146" t="n">
        <v>24</v>
      </c>
      <c r="B1361" s="238" t="n"/>
      <c r="C1361" s="399" t="n">
        <v>45965</v>
      </c>
      <c r="D1361" s="146" t="inlineStr">
        <is>
          <t>200 G. GARCERAS</t>
        </is>
      </c>
      <c r="E1361" s="146" t="n">
        <v>44223</v>
      </c>
      <c r="F1361" s="146" t="inlineStr">
        <is>
          <t>JOSE SOLER</t>
        </is>
      </c>
      <c r="G1361" s="395" t="n">
        <v>3352</v>
      </c>
      <c r="H1361" s="395" t="n">
        <v>3346</v>
      </c>
      <c r="I1361" s="395" t="n">
        <v>3</v>
      </c>
      <c r="J1361" s="395" t="n">
        <v>3</v>
      </c>
      <c r="K1361" s="395" t="n">
        <v>0</v>
      </c>
      <c r="L1361" s="397" t="n">
        <v>3352</v>
      </c>
      <c r="M1361" s="113" t="n"/>
      <c r="N1361" s="113" t="n"/>
      <c r="O1361" s="113" t="n"/>
      <c r="P1361" s="398" t="n"/>
      <c r="Q1361" s="398" t="n"/>
      <c r="R1361" s="113" t="n"/>
      <c r="S1361" s="113" t="n"/>
      <c r="T1361" s="113" t="n"/>
      <c r="U1361" s="113" t="n"/>
      <c r="V1361" s="113" t="n"/>
    </row>
    <row r="1362" ht="15.75" customHeight="1">
      <c r="A1362" s="146" t="n">
        <v>24</v>
      </c>
      <c r="B1362" s="238" t="n"/>
      <c r="C1362" s="399" t="n">
        <v>45965</v>
      </c>
      <c r="D1362" s="146" t="inlineStr">
        <is>
          <t>200 G. GARCERAS</t>
        </is>
      </c>
      <c r="E1362" s="146" t="n">
        <v>44224</v>
      </c>
      <c r="F1362" s="146" t="inlineStr">
        <is>
          <t>JOSE HERRERA</t>
        </is>
      </c>
      <c r="G1362" s="395" t="n">
        <v>3564</v>
      </c>
      <c r="H1362" s="395" t="n">
        <v>3559</v>
      </c>
      <c r="I1362" s="395" t="n">
        <v>2</v>
      </c>
      <c r="J1362" s="395" t="n">
        <v>3</v>
      </c>
      <c r="K1362" s="395" t="n">
        <v>0</v>
      </c>
      <c r="L1362" s="397" t="n">
        <v>3564</v>
      </c>
      <c r="M1362" s="113" t="n"/>
      <c r="N1362" s="113" t="n"/>
      <c r="O1362" s="113" t="n"/>
      <c r="P1362" s="398" t="n"/>
      <c r="Q1362" s="398" t="n"/>
      <c r="R1362" s="113" t="n"/>
      <c r="S1362" s="113" t="n"/>
      <c r="T1362" s="113" t="n"/>
      <c r="U1362" s="113" t="n"/>
      <c r="V1362" s="113" t="n"/>
    </row>
    <row r="1363" ht="15.75" customHeight="1">
      <c r="A1363" s="146" t="n">
        <v>24</v>
      </c>
      <c r="B1363" s="238" t="n"/>
      <c r="C1363" s="399" t="n">
        <v>45965</v>
      </c>
      <c r="D1363" s="146" t="inlineStr">
        <is>
          <t>200 G. GARCERAS</t>
        </is>
      </c>
      <c r="E1363" s="146" t="n">
        <v>44228</v>
      </c>
      <c r="F1363" s="146" t="inlineStr">
        <is>
          <t>HENRY ROMERO</t>
        </is>
      </c>
      <c r="G1363" s="395" t="n">
        <v>3564</v>
      </c>
      <c r="H1363" s="395" t="n">
        <v>3556</v>
      </c>
      <c r="I1363" s="395" t="n">
        <v>3</v>
      </c>
      <c r="J1363" s="395" t="n">
        <v>7</v>
      </c>
      <c r="K1363" s="395" t="n">
        <v>2</v>
      </c>
      <c r="L1363" s="397" t="n">
        <v>3564</v>
      </c>
      <c r="M1363" s="113" t="n"/>
      <c r="N1363" s="113" t="n"/>
      <c r="O1363" s="113" t="n"/>
      <c r="P1363" s="398" t="n"/>
      <c r="Q1363" s="398" t="n"/>
      <c r="R1363" s="113" t="n"/>
      <c r="S1363" s="113" t="n"/>
      <c r="T1363" s="113" t="n"/>
      <c r="U1363" s="113" t="n"/>
      <c r="V1363" s="113" t="n"/>
    </row>
    <row r="1364" ht="15.75" customHeight="1">
      <c r="A1364" s="146" t="n">
        <v>24</v>
      </c>
      <c r="B1364" s="238" t="n"/>
      <c r="C1364" s="399" t="n">
        <v>45966</v>
      </c>
      <c r="D1364" s="146" t="inlineStr">
        <is>
          <t>221 G. MALAGUEÑA</t>
        </is>
      </c>
      <c r="E1364" s="146" t="n">
        <v>44233</v>
      </c>
      <c r="F1364" s="146" t="inlineStr">
        <is>
          <t>HENRY ROMERO</t>
        </is>
      </c>
      <c r="G1364" s="395" t="n">
        <v>2940</v>
      </c>
      <c r="H1364" s="395" t="n">
        <v>2929</v>
      </c>
      <c r="I1364" s="395" t="n">
        <v>2</v>
      </c>
      <c r="J1364" s="395" t="n">
        <v>1</v>
      </c>
      <c r="K1364" s="395" t="n">
        <v>-8</v>
      </c>
      <c r="L1364" s="397" t="n">
        <v>2940</v>
      </c>
      <c r="M1364" s="113" t="n"/>
      <c r="N1364" s="113" t="n"/>
      <c r="O1364" s="113" t="n"/>
      <c r="P1364" s="398" t="n"/>
      <c r="Q1364" s="398" t="n"/>
      <c r="R1364" s="113" t="n"/>
      <c r="S1364" s="113" t="n"/>
      <c r="T1364" s="113" t="n"/>
      <c r="U1364" s="113" t="n"/>
      <c r="V1364" s="113" t="n"/>
    </row>
    <row r="1365" ht="15.75" customHeight="1">
      <c r="A1365" s="146" t="n">
        <v>24</v>
      </c>
      <c r="B1365" s="238" t="n"/>
      <c r="C1365" s="399" t="n">
        <v>45966</v>
      </c>
      <c r="D1365" s="146" t="inlineStr">
        <is>
          <t>221 G. MALAGUEÑA</t>
        </is>
      </c>
      <c r="E1365" s="146" t="n">
        <v>44234</v>
      </c>
      <c r="F1365" s="146" t="inlineStr">
        <is>
          <t>JOSE HERRERA</t>
        </is>
      </c>
      <c r="G1365" s="395" t="n">
        <v>2940</v>
      </c>
      <c r="H1365" s="395" t="n">
        <v>2930</v>
      </c>
      <c r="I1365" s="395" t="n">
        <v>1</v>
      </c>
      <c r="J1365" s="395" t="n">
        <v>3</v>
      </c>
      <c r="K1365" s="395" t="n">
        <v>-6</v>
      </c>
      <c r="L1365" s="397" t="n">
        <v>2940</v>
      </c>
      <c r="M1365" s="113" t="n"/>
      <c r="N1365" s="113" t="n"/>
      <c r="O1365" s="113" t="n"/>
      <c r="P1365" s="398" t="n"/>
      <c r="Q1365" s="398" t="n"/>
      <c r="R1365" s="113" t="n"/>
      <c r="S1365" s="113" t="n"/>
      <c r="T1365" s="113" t="n"/>
      <c r="U1365" s="113" t="n"/>
      <c r="V1365" s="113" t="n"/>
    </row>
    <row r="1366" ht="15.75" customHeight="1">
      <c r="A1366" s="146" t="n">
        <v>24</v>
      </c>
      <c r="B1366" s="238" t="n"/>
      <c r="C1366" s="399" t="n">
        <v>45966</v>
      </c>
      <c r="D1366" s="146" t="inlineStr">
        <is>
          <t>221 G. MALAGUEÑA</t>
        </is>
      </c>
      <c r="E1366" s="146" t="n">
        <v>44235</v>
      </c>
      <c r="F1366" s="146" t="inlineStr">
        <is>
          <t>YAIR RIVEROS</t>
        </is>
      </c>
      <c r="G1366" s="395" t="n">
        <v>3500</v>
      </c>
      <c r="H1366" s="395" t="n">
        <v>3486</v>
      </c>
      <c r="I1366" s="395" t="n">
        <v>1</v>
      </c>
      <c r="J1366" s="395" t="n">
        <v>6</v>
      </c>
      <c r="K1366" s="395" t="n">
        <v>-7</v>
      </c>
      <c r="L1366" s="397" t="n">
        <v>3500</v>
      </c>
      <c r="M1366" s="113" t="n"/>
      <c r="N1366" s="113" t="n"/>
      <c r="O1366" s="113" t="n"/>
      <c r="P1366" s="398" t="n"/>
      <c r="Q1366" s="398" t="n"/>
      <c r="R1366" s="113" t="n"/>
      <c r="S1366" s="113" t="n"/>
      <c r="T1366" s="113" t="n"/>
      <c r="U1366" s="113" t="n"/>
      <c r="V1366" s="113" t="n"/>
    </row>
    <row r="1367" ht="15.75" customHeight="1">
      <c r="A1367" s="146" t="n">
        <v>24</v>
      </c>
      <c r="B1367" s="238" t="n"/>
      <c r="C1367" s="399" t="n">
        <v>45966</v>
      </c>
      <c r="D1367" s="146" t="inlineStr">
        <is>
          <t>221 G. MALAGUEÑA</t>
        </is>
      </c>
      <c r="E1367" s="146" t="n">
        <v>44236</v>
      </c>
      <c r="F1367" s="146" t="inlineStr">
        <is>
          <t>JOSE SOLER</t>
        </is>
      </c>
      <c r="G1367" s="395" t="n">
        <v>3500</v>
      </c>
      <c r="H1367" s="395" t="n">
        <v>3490</v>
      </c>
      <c r="I1367" s="395" t="n">
        <v>2</v>
      </c>
      <c r="J1367" s="395" t="n">
        <v>4</v>
      </c>
      <c r="K1367" s="395" t="n">
        <v>-4</v>
      </c>
      <c r="L1367" s="397" t="n">
        <v>3500</v>
      </c>
      <c r="M1367" s="113" t="n"/>
      <c r="N1367" s="113" t="n"/>
      <c r="O1367" s="113" t="n"/>
      <c r="P1367" s="398" t="n"/>
      <c r="Q1367" s="398" t="n"/>
      <c r="R1367" s="113" t="n"/>
      <c r="S1367" s="113" t="n"/>
      <c r="T1367" s="113" t="n"/>
      <c r="U1367" s="113" t="n"/>
      <c r="V1367" s="113" t="n"/>
    </row>
    <row r="1368" ht="15.75" customHeight="1">
      <c r="A1368" s="146" t="n">
        <v>24</v>
      </c>
      <c r="B1368" s="238" t="n"/>
      <c r="C1368" s="399" t="n">
        <v>45966</v>
      </c>
      <c r="D1368" s="146" t="inlineStr">
        <is>
          <t>221 G. MALAGUEÑA</t>
        </is>
      </c>
      <c r="E1368" s="146" t="n">
        <v>44237</v>
      </c>
      <c r="F1368" s="146" t="inlineStr">
        <is>
          <t>JAIRO CUBILLOS</t>
        </is>
      </c>
      <c r="G1368" s="395" t="n">
        <v>2640</v>
      </c>
      <c r="H1368" s="395" t="n">
        <v>2627</v>
      </c>
      <c r="I1368" s="395" t="n">
        <v>2</v>
      </c>
      <c r="J1368" s="395" t="n">
        <v>4</v>
      </c>
      <c r="K1368" s="395" t="n">
        <v>-7</v>
      </c>
      <c r="L1368" s="397" t="n">
        <v>2640</v>
      </c>
      <c r="M1368" s="113" t="n"/>
      <c r="N1368" s="113" t="n"/>
      <c r="O1368" s="113" t="n"/>
      <c r="P1368" s="398" t="n"/>
      <c r="Q1368" s="398" t="n"/>
      <c r="R1368" s="113" t="n"/>
      <c r="S1368" s="113" t="n"/>
      <c r="T1368" s="113" t="n"/>
      <c r="U1368" s="113" t="n"/>
      <c r="V1368" s="113" t="n"/>
    </row>
    <row r="1369" ht="15.75" customHeight="1">
      <c r="A1369" s="146" t="n">
        <v>24</v>
      </c>
      <c r="B1369" s="238" t="n"/>
      <c r="C1369" s="399" t="n">
        <v>45966</v>
      </c>
      <c r="D1369" s="146" t="inlineStr">
        <is>
          <t>221 G. MALAGUEÑA</t>
        </is>
      </c>
      <c r="E1369" s="146" t="n">
        <v>44244</v>
      </c>
      <c r="F1369" s="146" t="inlineStr">
        <is>
          <t>JHON ARIAS</t>
        </is>
      </c>
      <c r="G1369" s="395" t="n">
        <v>2960</v>
      </c>
      <c r="H1369" s="395" t="n">
        <v>2946</v>
      </c>
      <c r="I1369" s="395" t="n">
        <v>2</v>
      </c>
      <c r="J1369" s="395" t="n">
        <v>4</v>
      </c>
      <c r="K1369" s="395" t="n">
        <v>-8</v>
      </c>
      <c r="L1369" s="397" t="n">
        <v>2960</v>
      </c>
      <c r="M1369" s="113" t="n"/>
      <c r="N1369" s="113" t="n"/>
      <c r="O1369" s="113" t="n"/>
      <c r="P1369" s="398" t="n"/>
      <c r="Q1369" s="398" t="n"/>
      <c r="R1369" s="113" t="n"/>
      <c r="S1369" s="113" t="n"/>
      <c r="T1369" s="113" t="n"/>
      <c r="U1369" s="113" t="n"/>
      <c r="V1369" s="113" t="n"/>
    </row>
    <row r="1370" ht="15.75" customHeight="1">
      <c r="A1370" s="146" t="n">
        <v>24</v>
      </c>
      <c r="B1370" s="238" t="n"/>
      <c r="C1370" s="399" t="n">
        <v>45966</v>
      </c>
      <c r="D1370" s="146" t="inlineStr">
        <is>
          <t>221 G. MALAGUEÑA</t>
        </is>
      </c>
      <c r="E1370" s="146" t="n">
        <v>44245</v>
      </c>
      <c r="F1370" s="146" t="inlineStr">
        <is>
          <t>EDWIN ROJAS</t>
        </is>
      </c>
      <c r="G1370" s="395" t="n">
        <v>2960</v>
      </c>
      <c r="H1370" s="395" t="n">
        <v>2948</v>
      </c>
      <c r="I1370" s="395" t="n">
        <v>2</v>
      </c>
      <c r="J1370" s="395" t="n">
        <v>7</v>
      </c>
      <c r="K1370" s="395" t="n">
        <v>-3</v>
      </c>
      <c r="L1370" s="397" t="n">
        <v>2940</v>
      </c>
      <c r="M1370" s="113" t="n"/>
      <c r="N1370" s="113" t="n"/>
      <c r="O1370" s="113" t="n"/>
      <c r="P1370" s="398" t="n"/>
      <c r="Q1370" s="398" t="n"/>
      <c r="R1370" s="113" t="n"/>
      <c r="S1370" s="113" t="n"/>
      <c r="T1370" s="113" t="n"/>
      <c r="U1370" s="113" t="n"/>
      <c r="V1370" s="113" t="n"/>
    </row>
    <row r="1371" ht="15.75" customHeight="1">
      <c r="A1371" s="146" t="n">
        <v>24</v>
      </c>
      <c r="B1371" s="238" t="n"/>
      <c r="C1371" s="399" t="n">
        <v>45966</v>
      </c>
      <c r="D1371" s="146" t="inlineStr">
        <is>
          <t>221 G. MALAGUEÑA</t>
        </is>
      </c>
      <c r="E1371" s="146" t="n">
        <v>44246</v>
      </c>
      <c r="F1371" s="146" t="inlineStr">
        <is>
          <t>YAIR RIVEROS</t>
        </is>
      </c>
      <c r="G1371" s="395" t="n">
        <v>2960</v>
      </c>
      <c r="H1371" s="395" t="n">
        <v>2947</v>
      </c>
      <c r="I1371" s="395" t="n">
        <v>1</v>
      </c>
      <c r="J1371" s="395" t="n">
        <v>5</v>
      </c>
      <c r="K1371" s="395" t="n">
        <v>-7</v>
      </c>
      <c r="L1371" s="397" t="n">
        <v>2960</v>
      </c>
      <c r="M1371" s="113" t="n"/>
      <c r="N1371" s="113" t="n"/>
      <c r="O1371" s="113" t="n"/>
      <c r="P1371" s="398" t="n"/>
      <c r="Q1371" s="398" t="n"/>
      <c r="R1371" s="113" t="n"/>
      <c r="S1371" s="113" t="n"/>
      <c r="T1371" s="113" t="n"/>
      <c r="U1371" s="113" t="n"/>
      <c r="V1371" s="113" t="n"/>
    </row>
    <row r="1372" ht="15.75" customHeight="1">
      <c r="A1372" s="146" t="n">
        <v>24</v>
      </c>
      <c r="B1372" s="238" t="n"/>
      <c r="C1372" s="399" t="n">
        <v>45966</v>
      </c>
      <c r="D1372" s="146" t="inlineStr">
        <is>
          <t>221 G. MALAGUEÑA</t>
        </is>
      </c>
      <c r="E1372" s="146" t="n">
        <v>44247</v>
      </c>
      <c r="F1372" s="146" t="inlineStr">
        <is>
          <t>JAIRO CUBILLOS</t>
        </is>
      </c>
      <c r="G1372" s="395" t="n">
        <v>2960</v>
      </c>
      <c r="H1372" s="395" t="n">
        <v>2944</v>
      </c>
      <c r="I1372" s="395" t="n">
        <v>2</v>
      </c>
      <c r="J1372" s="395" t="n">
        <v>6</v>
      </c>
      <c r="K1372" s="395" t="n">
        <v>-8</v>
      </c>
      <c r="L1372" s="397" t="n">
        <v>2960</v>
      </c>
      <c r="M1372" s="113" t="n"/>
      <c r="N1372" s="113" t="n"/>
      <c r="O1372" s="113" t="n"/>
      <c r="P1372" s="398" t="n"/>
      <c r="Q1372" s="398" t="n"/>
      <c r="R1372" s="113" t="n"/>
      <c r="S1372" s="113" t="n"/>
      <c r="T1372" s="113" t="n"/>
      <c r="U1372" s="113" t="n"/>
      <c r="V1372" s="113" t="n"/>
    </row>
    <row r="1373" ht="15.75" customHeight="1">
      <c r="A1373" s="146" t="n">
        <v>24</v>
      </c>
      <c r="B1373" s="238" t="n"/>
      <c r="C1373" s="399" t="n">
        <v>45966</v>
      </c>
      <c r="D1373" s="146" t="inlineStr">
        <is>
          <t>200 G. GARCERAS</t>
        </is>
      </c>
      <c r="E1373" s="146" t="n">
        <v>44248</v>
      </c>
      <c r="F1373" s="146" t="inlineStr">
        <is>
          <t>ALBERTO HERRERA</t>
        </is>
      </c>
      <c r="G1373" s="395" t="n">
        <v>2850</v>
      </c>
      <c r="H1373" s="395" t="n">
        <v>2846</v>
      </c>
      <c r="I1373" s="395" t="n">
        <v>1</v>
      </c>
      <c r="J1373" s="395" t="n">
        <v>1</v>
      </c>
      <c r="K1373" s="395" t="n">
        <v>-2</v>
      </c>
      <c r="L1373" s="397" t="n">
        <v>2850</v>
      </c>
      <c r="M1373" s="113" t="n"/>
      <c r="N1373" s="113" t="n"/>
      <c r="O1373" s="113" t="n"/>
      <c r="P1373" s="398" t="n"/>
      <c r="Q1373" s="398" t="n"/>
      <c r="R1373" s="113" t="n"/>
      <c r="S1373" s="113" t="n"/>
      <c r="T1373" s="113" t="n"/>
      <c r="U1373" s="113" t="n"/>
      <c r="V1373" s="113" t="n"/>
    </row>
    <row r="1374" ht="15.75" customHeight="1">
      <c r="A1374" s="146" t="n">
        <v>24</v>
      </c>
      <c r="B1374" s="238" t="n"/>
      <c r="C1374" s="399" t="n">
        <v>45966</v>
      </c>
      <c r="D1374" s="146" t="inlineStr">
        <is>
          <t>200 G. GARCERAS</t>
        </is>
      </c>
      <c r="E1374" s="146" t="n">
        <v>44249</v>
      </c>
      <c r="F1374" s="146" t="inlineStr">
        <is>
          <t>DIEGO NIÑO</t>
        </is>
      </c>
      <c r="G1374" s="395" t="n">
        <v>2850</v>
      </c>
      <c r="H1374" s="395" t="n">
        <v>2842</v>
      </c>
      <c r="I1374" s="395" t="n">
        <v>1</v>
      </c>
      <c r="J1374" s="395" t="n">
        <v>3</v>
      </c>
      <c r="K1374" s="395" t="n">
        <v>-4</v>
      </c>
      <c r="L1374" s="397" t="n">
        <v>2850</v>
      </c>
      <c r="M1374" s="113" t="n"/>
      <c r="N1374" s="113" t="n"/>
      <c r="O1374" s="113" t="n"/>
      <c r="P1374" s="398" t="n"/>
      <c r="Q1374" s="398" t="n"/>
      <c r="R1374" s="113" t="n"/>
      <c r="S1374" s="113" t="n"/>
      <c r="T1374" s="113" t="n"/>
      <c r="U1374" s="113" t="n"/>
      <c r="V1374" s="113" t="n"/>
    </row>
    <row r="1375" ht="15.75" customHeight="1">
      <c r="A1375" s="146" t="n">
        <v>24</v>
      </c>
      <c r="B1375" s="238" t="n"/>
      <c r="C1375" s="399" t="n">
        <v>45966</v>
      </c>
      <c r="D1375" s="146" t="inlineStr">
        <is>
          <t>200 G. GARCERAS</t>
        </is>
      </c>
      <c r="E1375" s="146" t="n">
        <v>44253</v>
      </c>
      <c r="F1375" s="146" t="inlineStr">
        <is>
          <t>ALBERTO LOPEZ</t>
        </is>
      </c>
      <c r="G1375" s="395" t="n">
        <v>2850</v>
      </c>
      <c r="H1375" s="395" t="n">
        <v>2834</v>
      </c>
      <c r="I1375" s="395" t="n">
        <v>3</v>
      </c>
      <c r="J1375" s="395" t="n">
        <v>6</v>
      </c>
      <c r="K1375" s="395" t="n">
        <v>-7</v>
      </c>
      <c r="L1375" s="397" t="n">
        <v>2850</v>
      </c>
      <c r="M1375" s="113" t="n"/>
      <c r="N1375" s="146" t="inlineStr">
        <is>
          <t> </t>
        </is>
      </c>
      <c r="O1375" s="113" t="n"/>
      <c r="P1375" s="398" t="n"/>
      <c r="Q1375" s="398" t="n"/>
      <c r="R1375" s="113" t="n"/>
      <c r="S1375" s="113" t="n"/>
      <c r="T1375" s="113" t="n"/>
      <c r="U1375" s="113" t="n"/>
      <c r="V1375" s="113" t="n"/>
    </row>
    <row r="1376" ht="15.75" customHeight="1">
      <c r="A1376" s="146" t="n">
        <v>24</v>
      </c>
      <c r="B1376" s="238" t="n"/>
      <c r="C1376" s="399" t="n">
        <v>45966</v>
      </c>
      <c r="D1376" s="146" t="inlineStr">
        <is>
          <t>200 G. GARCERAS</t>
        </is>
      </c>
      <c r="E1376" s="146" t="n">
        <v>44254</v>
      </c>
      <c r="F1376" s="146" t="inlineStr">
        <is>
          <t>FERNANDO OYUELA</t>
        </is>
      </c>
      <c r="G1376" s="395" t="n">
        <v>3596</v>
      </c>
      <c r="H1376" s="395" t="n">
        <v>3583</v>
      </c>
      <c r="I1376" s="395" t="n">
        <v>2</v>
      </c>
      <c r="J1376" s="395" t="n">
        <v>5</v>
      </c>
      <c r="K1376" s="395" t="n">
        <v>-6</v>
      </c>
      <c r="L1376" s="397" t="n">
        <v>3595</v>
      </c>
      <c r="M1376" s="113" t="n"/>
      <c r="N1376" s="113" t="n"/>
      <c r="O1376" s="113" t="n"/>
      <c r="P1376" s="398" t="n"/>
      <c r="Q1376" s="398" t="n"/>
      <c r="R1376" s="113" t="n"/>
      <c r="S1376" s="113" t="n"/>
      <c r="T1376" s="113" t="n"/>
      <c r="U1376" s="113" t="n"/>
      <c r="V1376" s="113" t="n"/>
    </row>
    <row r="1377" ht="15.75" customHeight="1">
      <c r="A1377" s="146" t="n">
        <v>24</v>
      </c>
      <c r="B1377" s="238" t="n"/>
      <c r="C1377" s="399" t="n">
        <v>45966</v>
      </c>
      <c r="D1377" s="146" t="inlineStr">
        <is>
          <t>200 G. GARCERAS</t>
        </is>
      </c>
      <c r="E1377" s="146" t="n">
        <v>44255</v>
      </c>
      <c r="F1377" s="146" t="inlineStr">
        <is>
          <t>JHON ARIAS</t>
        </is>
      </c>
      <c r="G1377" s="395" t="n">
        <v>3720</v>
      </c>
      <c r="H1377" s="395" t="n">
        <v>3703</v>
      </c>
      <c r="I1377" s="395" t="n">
        <v>6</v>
      </c>
      <c r="J1377" s="395" t="n">
        <v>7</v>
      </c>
      <c r="K1377" s="395" t="n">
        <v>-4</v>
      </c>
      <c r="L1377" s="397" t="n">
        <v>3720</v>
      </c>
      <c r="M1377" s="113" t="n"/>
      <c r="N1377" s="113" t="n"/>
      <c r="O1377" s="113" t="n"/>
      <c r="P1377" s="398" t="n"/>
      <c r="Q1377" s="398" t="n"/>
      <c r="R1377" s="113" t="n"/>
      <c r="S1377" s="113" t="n"/>
      <c r="T1377" s="113" t="n"/>
      <c r="U1377" s="113" t="n"/>
      <c r="V1377" s="113" t="n"/>
    </row>
    <row r="1378" ht="15.75" customHeight="1">
      <c r="A1378" s="146" t="n">
        <v>24</v>
      </c>
      <c r="B1378" s="238" t="n"/>
      <c r="C1378" s="399" t="n">
        <v>45967</v>
      </c>
      <c r="D1378" s="146" t="inlineStr">
        <is>
          <t>221 G. MALAGUEÑA</t>
        </is>
      </c>
      <c r="E1378" s="146" t="n">
        <v>44263</v>
      </c>
      <c r="F1378" s="146" t="inlineStr">
        <is>
          <t>EDWIN ROJAS</t>
        </is>
      </c>
      <c r="G1378" s="395" t="n">
        <v>3485</v>
      </c>
      <c r="H1378" s="395" t="n">
        <v>3465</v>
      </c>
      <c r="I1378" s="395" t="n">
        <v>6</v>
      </c>
      <c r="J1378" s="395" t="n">
        <v>5</v>
      </c>
      <c r="K1378" s="395" t="n">
        <v>-9</v>
      </c>
      <c r="L1378" s="397" t="n">
        <v>3485</v>
      </c>
      <c r="M1378" s="113" t="n"/>
      <c r="N1378" s="113" t="n"/>
      <c r="O1378" s="113" t="n"/>
      <c r="P1378" s="398" t="n"/>
      <c r="Q1378" s="398" t="n"/>
      <c r="R1378" s="113" t="n"/>
      <c r="S1378" s="113" t="n"/>
      <c r="T1378" s="113" t="n"/>
      <c r="U1378" s="113" t="n"/>
      <c r="V1378" s="113" t="n"/>
    </row>
    <row r="1379" ht="15.75" customHeight="1">
      <c r="A1379" s="146" t="n">
        <v>24</v>
      </c>
      <c r="B1379" s="238" t="n"/>
      <c r="C1379" s="399" t="n">
        <v>45967</v>
      </c>
      <c r="D1379" s="146" t="inlineStr">
        <is>
          <t>221 G. MALAGUEÑA</t>
        </is>
      </c>
      <c r="E1379" s="146" t="n">
        <v>44264</v>
      </c>
      <c r="F1379" s="146" t="inlineStr">
        <is>
          <t>JHON ARIAS</t>
        </is>
      </c>
      <c r="G1379" s="395" t="n">
        <v>3482</v>
      </c>
      <c r="H1379" s="395" t="n">
        <v>3472</v>
      </c>
      <c r="I1379" s="395" t="n">
        <v>2</v>
      </c>
      <c r="J1379" s="395" t="n">
        <v>4</v>
      </c>
      <c r="K1379" s="395" t="n">
        <v>-4</v>
      </c>
      <c r="L1379" s="397" t="n">
        <v>3483</v>
      </c>
      <c r="M1379" s="113" t="n"/>
      <c r="N1379" s="113" t="n"/>
      <c r="O1379" s="113" t="n"/>
      <c r="P1379" s="398" t="n"/>
      <c r="Q1379" s="398" t="n"/>
      <c r="R1379" s="113" t="n"/>
      <c r="S1379" s="113" t="n"/>
      <c r="T1379" s="113" t="n"/>
      <c r="U1379" s="113" t="n"/>
      <c r="V1379" s="113" t="n"/>
    </row>
    <row r="1380" ht="15.75" customHeight="1">
      <c r="A1380" s="146" t="n">
        <v>24</v>
      </c>
      <c r="B1380" s="238" t="n"/>
      <c r="C1380" s="399" t="n">
        <v>45967</v>
      </c>
      <c r="D1380" s="146" t="inlineStr">
        <is>
          <t>200 G. GARCERAS</t>
        </is>
      </c>
      <c r="E1380" s="146" t="n">
        <v>44265</v>
      </c>
      <c r="F1380" s="146" t="inlineStr">
        <is>
          <t>EDUAN CACERES</t>
        </is>
      </c>
      <c r="G1380" s="395" t="n">
        <v>2720</v>
      </c>
      <c r="H1380" s="395" t="n">
        <v>2710</v>
      </c>
      <c r="I1380" s="395" t="n">
        <v>2</v>
      </c>
      <c r="J1380" s="395" t="n">
        <v>3</v>
      </c>
      <c r="K1380" s="395" t="n">
        <v>-5</v>
      </c>
      <c r="L1380" s="397" t="n">
        <v>2720</v>
      </c>
      <c r="M1380" s="113" t="n"/>
      <c r="N1380" s="113" t="n"/>
      <c r="O1380" s="113" t="n"/>
      <c r="P1380" s="398" t="n"/>
      <c r="Q1380" s="398" t="n"/>
      <c r="R1380" s="113" t="n"/>
      <c r="S1380" s="113" t="n"/>
      <c r="T1380" s="113" t="n"/>
      <c r="U1380" s="113" t="n"/>
      <c r="V1380" s="113" t="n"/>
    </row>
    <row r="1381" ht="15.75" customHeight="1">
      <c r="A1381" s="146" t="n">
        <v>24</v>
      </c>
      <c r="B1381" s="238" t="n"/>
      <c r="C1381" s="399" t="n">
        <v>45968</v>
      </c>
      <c r="D1381" s="146" t="inlineStr">
        <is>
          <t>200 G. GARCERAS</t>
        </is>
      </c>
      <c r="E1381" s="146" t="n">
        <v>44294</v>
      </c>
      <c r="F1381" s="146" t="inlineStr">
        <is>
          <t>DUMAR ANGARITA</t>
        </is>
      </c>
      <c r="G1381" s="395" t="n">
        <v>2680</v>
      </c>
      <c r="H1381" s="395" t="n">
        <v>2666</v>
      </c>
      <c r="I1381" s="395" t="n">
        <v>3</v>
      </c>
      <c r="J1381" s="395" t="n">
        <v>4</v>
      </c>
      <c r="K1381" s="395" t="n">
        <v>-7</v>
      </c>
      <c r="L1381" s="397" t="n">
        <v>2680</v>
      </c>
      <c r="M1381" s="113" t="n"/>
      <c r="N1381" s="113" t="n"/>
      <c r="O1381" s="113" t="n"/>
      <c r="P1381" s="398" t="n"/>
      <c r="Q1381" s="398" t="n"/>
      <c r="R1381" s="113" t="n"/>
      <c r="S1381" s="113" t="n"/>
      <c r="T1381" s="113" t="n"/>
      <c r="U1381" s="113" t="n"/>
      <c r="V1381" s="113" t="n"/>
    </row>
    <row r="1382" ht="15.75" customHeight="1">
      <c r="A1382" s="146" t="n">
        <v>24</v>
      </c>
      <c r="B1382" s="238" t="n"/>
      <c r="C1382" s="399" t="n">
        <v>45968</v>
      </c>
      <c r="D1382" s="146" t="inlineStr">
        <is>
          <t>219 G. SAN JOSE 2</t>
        </is>
      </c>
      <c r="E1382" s="146" t="n">
        <v>44295</v>
      </c>
      <c r="F1382" s="146" t="inlineStr">
        <is>
          <t>ALBERTO LOPEZ</t>
        </is>
      </c>
      <c r="G1382" s="395" t="n">
        <v>3283</v>
      </c>
      <c r="H1382" s="395" t="n">
        <v>3270</v>
      </c>
      <c r="I1382" s="395" t="n">
        <v>3</v>
      </c>
      <c r="J1382" s="395" t="n">
        <v>5</v>
      </c>
      <c r="K1382" s="395" t="n">
        <v>-5</v>
      </c>
      <c r="L1382" s="397" t="n">
        <v>3283</v>
      </c>
      <c r="M1382" s="113" t="n"/>
      <c r="N1382" s="113" t="n"/>
      <c r="O1382" s="113" t="n"/>
      <c r="P1382" s="398" t="n"/>
      <c r="Q1382" s="398" t="n"/>
      <c r="R1382" s="113" t="n"/>
      <c r="S1382" s="113" t="n"/>
      <c r="T1382" s="113" t="n"/>
      <c r="U1382" s="113" t="n"/>
      <c r="V1382" s="113" t="n"/>
    </row>
    <row r="1383" ht="15.75" customHeight="1">
      <c r="A1383" s="146" t="n">
        <v>24</v>
      </c>
      <c r="B1383" s="238" t="n"/>
      <c r="C1383" s="399" t="n">
        <v>45968</v>
      </c>
      <c r="D1383" s="146" t="inlineStr">
        <is>
          <t>219 G. SAN JOSE 2</t>
        </is>
      </c>
      <c r="E1383" s="146" t="n">
        <v>44296</v>
      </c>
      <c r="F1383" s="146" t="inlineStr">
        <is>
          <t>HENRY ROMERO</t>
        </is>
      </c>
      <c r="G1383" s="395" t="n">
        <v>3283</v>
      </c>
      <c r="H1383" s="395" t="n">
        <v>3267</v>
      </c>
      <c r="I1383" s="395" t="n">
        <v>2</v>
      </c>
      <c r="J1383" s="395" t="n">
        <v>4</v>
      </c>
      <c r="K1383" s="395" t="n">
        <v>-10</v>
      </c>
      <c r="L1383" s="397" t="n">
        <v>3283</v>
      </c>
      <c r="M1383" s="113" t="n"/>
      <c r="N1383" s="113" t="n"/>
      <c r="O1383" s="113" t="n"/>
      <c r="P1383" s="398" t="n"/>
      <c r="Q1383" s="398" t="n"/>
      <c r="R1383" s="113" t="n"/>
      <c r="S1383" s="113" t="n"/>
      <c r="T1383" s="113" t="n"/>
      <c r="U1383" s="113" t="n"/>
      <c r="V1383" s="113" t="n"/>
    </row>
    <row r="1384" ht="15.75" customHeight="1">
      <c r="A1384" s="146" t="n">
        <v>24</v>
      </c>
      <c r="B1384" s="238" t="n"/>
      <c r="C1384" s="399" t="n">
        <v>45968</v>
      </c>
      <c r="D1384" s="146" t="inlineStr">
        <is>
          <t>219 G. SAN JOSE 2</t>
        </is>
      </c>
      <c r="E1384" s="146" t="n">
        <v>44297</v>
      </c>
      <c r="F1384" s="146" t="inlineStr">
        <is>
          <t>HENRY ROMERO</t>
        </is>
      </c>
      <c r="G1384" s="395" t="n">
        <v>3283</v>
      </c>
      <c r="H1384" s="395" t="n">
        <v>3263</v>
      </c>
      <c r="I1384" s="395" t="n">
        <v>3</v>
      </c>
      <c r="J1384" s="395" t="n">
        <v>7</v>
      </c>
      <c r="K1384" s="395" t="n">
        <v>-10</v>
      </c>
      <c r="L1384" s="397" t="n">
        <v>3283</v>
      </c>
      <c r="M1384" s="113" t="n"/>
      <c r="N1384" s="113" t="n"/>
      <c r="O1384" s="113" t="n"/>
      <c r="P1384" s="398" t="n"/>
      <c r="Q1384" s="398" t="n"/>
      <c r="R1384" s="113" t="n"/>
      <c r="S1384" s="113" t="n"/>
      <c r="T1384" s="113" t="n"/>
      <c r="U1384" s="113" t="n"/>
      <c r="V1384" s="113" t="n"/>
    </row>
    <row r="1385" ht="15.75" customHeight="1">
      <c r="A1385" s="146" t="n">
        <v>24</v>
      </c>
      <c r="B1385" s="238" t="n"/>
      <c r="C1385" s="399" t="n">
        <v>45969</v>
      </c>
      <c r="D1385" s="146" t="inlineStr">
        <is>
          <t>221 G. MALAGUEÑA</t>
        </is>
      </c>
      <c r="E1385" s="146" t="n">
        <v>44311</v>
      </c>
      <c r="F1385" s="146" t="inlineStr">
        <is>
          <t>JAIRO CUBILLOS</t>
        </is>
      </c>
      <c r="G1385" s="395" t="n">
        <v>2520</v>
      </c>
      <c r="H1385" s="395" t="n">
        <v>2519</v>
      </c>
      <c r="I1385" s="395" t="n">
        <v>2</v>
      </c>
      <c r="J1385" s="395" t="n">
        <v>3</v>
      </c>
      <c r="K1385" s="395" t="n">
        <v>4</v>
      </c>
      <c r="L1385" s="397" t="n">
        <v>2520</v>
      </c>
      <c r="M1385" s="113" t="n"/>
      <c r="N1385" s="113" t="n"/>
      <c r="O1385" s="113" t="n"/>
      <c r="P1385" s="398" t="n"/>
      <c r="Q1385" s="398" t="n"/>
      <c r="R1385" s="113" t="n"/>
      <c r="S1385" s="113" t="n"/>
      <c r="T1385" s="113" t="n"/>
      <c r="U1385" s="113" t="n"/>
      <c r="V1385" s="113" t="n"/>
    </row>
    <row r="1386" ht="15.75" customHeight="1">
      <c r="A1386" s="146" t="n">
        <v>24</v>
      </c>
      <c r="B1386" s="238" t="n"/>
      <c r="C1386" s="399" t="n">
        <v>45969</v>
      </c>
      <c r="D1386" s="146" t="inlineStr">
        <is>
          <t>221 G. MALAGUEÑA</t>
        </is>
      </c>
      <c r="E1386" s="146" t="n">
        <v>44312</v>
      </c>
      <c r="F1386" s="146" t="inlineStr">
        <is>
          <t>EDWIN ROJAS</t>
        </is>
      </c>
      <c r="G1386" s="395" t="n">
        <v>3040</v>
      </c>
      <c r="H1386" s="395" t="n">
        <v>3038</v>
      </c>
      <c r="I1386" s="395" t="n">
        <v>2</v>
      </c>
      <c r="J1386" s="395" t="n">
        <v>4</v>
      </c>
      <c r="K1386" s="395" t="n">
        <v>4</v>
      </c>
      <c r="L1386" s="397" t="n">
        <v>2450</v>
      </c>
      <c r="M1386" s="113" t="n"/>
      <c r="N1386" s="113" t="n"/>
      <c r="O1386" s="113" t="n"/>
      <c r="P1386" s="398" t="n"/>
      <c r="Q1386" s="398" t="n"/>
      <c r="R1386" s="113" t="n"/>
      <c r="S1386" s="113" t="n"/>
      <c r="T1386" s="113" t="n"/>
      <c r="U1386" s="113" t="n"/>
      <c r="V1386" s="113" t="n"/>
    </row>
    <row r="1387" ht="15.75" customHeight="1">
      <c r="A1387" s="146" t="n">
        <v>24</v>
      </c>
      <c r="B1387" s="238" t="n"/>
      <c r="C1387" s="399" t="n">
        <v>45969</v>
      </c>
      <c r="D1387" s="146" t="inlineStr">
        <is>
          <t>221 G. MALAGUEÑA</t>
        </is>
      </c>
      <c r="E1387" s="146" t="n">
        <v>44313</v>
      </c>
      <c r="F1387" s="146" t="inlineStr">
        <is>
          <t>ALEX GOMEZ</t>
        </is>
      </c>
      <c r="G1387" s="395" t="n">
        <v>2890</v>
      </c>
      <c r="H1387" s="395" t="n">
        <v>2886</v>
      </c>
      <c r="I1387" s="395" t="n">
        <v>2</v>
      </c>
      <c r="J1387" s="395" t="n">
        <v>3</v>
      </c>
      <c r="K1387" s="395" t="n">
        <v>1</v>
      </c>
      <c r="L1387" s="397" t="n">
        <v>3040</v>
      </c>
      <c r="M1387" s="113" t="n"/>
      <c r="N1387" s="113" t="n"/>
      <c r="O1387" s="113" t="n"/>
      <c r="P1387" s="398" t="n"/>
      <c r="Q1387" s="398" t="n"/>
      <c r="R1387" s="113" t="n"/>
      <c r="S1387" s="113" t="n"/>
      <c r="T1387" s="113" t="n"/>
      <c r="U1387" s="113" t="n"/>
      <c r="V1387" s="113" t="n"/>
    </row>
    <row r="1388" ht="15.75" customHeight="1">
      <c r="A1388" s="146" t="n">
        <v>24</v>
      </c>
      <c r="B1388" s="238" t="n"/>
      <c r="C1388" s="399" t="n">
        <v>45969</v>
      </c>
      <c r="D1388" s="146" t="inlineStr">
        <is>
          <t>221 G. MALAGUEÑA</t>
        </is>
      </c>
      <c r="E1388" s="146" t="n">
        <v>44314</v>
      </c>
      <c r="F1388" s="146" t="inlineStr">
        <is>
          <t>ROBINSON PULIDO</t>
        </is>
      </c>
      <c r="G1388" s="395" t="n">
        <v>2450</v>
      </c>
      <c r="H1388" s="395" t="n">
        <v>2447</v>
      </c>
      <c r="I1388" s="395" t="n">
        <v>2</v>
      </c>
      <c r="J1388" s="395" t="n">
        <v>3</v>
      </c>
      <c r="K1388" s="395" t="n">
        <v>2</v>
      </c>
      <c r="L1388" s="397" t="n">
        <v>2890</v>
      </c>
      <c r="M1388" s="113" t="n"/>
      <c r="N1388" s="113" t="n"/>
      <c r="O1388" s="113" t="n"/>
      <c r="P1388" s="398" t="n"/>
      <c r="Q1388" s="398" t="n"/>
      <c r="R1388" s="113" t="n"/>
      <c r="S1388" s="113" t="n"/>
      <c r="T1388" s="113" t="n"/>
      <c r="U1388" s="113" t="n"/>
      <c r="V1388" s="113" t="n"/>
    </row>
    <row r="1389" ht="15.75" customHeight="1">
      <c r="A1389" s="146" t="n">
        <v>24</v>
      </c>
      <c r="B1389" s="238" t="n"/>
      <c r="C1389" s="399" t="n">
        <v>45969</v>
      </c>
      <c r="D1389" s="146" t="inlineStr">
        <is>
          <t>221 G. MALAGUEÑA</t>
        </is>
      </c>
      <c r="E1389" s="146" t="n">
        <v>44315</v>
      </c>
      <c r="F1389" s="146" t="inlineStr">
        <is>
          <t>MANUEL QUITIAN</t>
        </is>
      </c>
      <c r="G1389" s="395" t="n">
        <v>2890</v>
      </c>
      <c r="H1389" s="395" t="n">
        <v>2888</v>
      </c>
      <c r="I1389" s="395" t="n">
        <v>3</v>
      </c>
      <c r="J1389" s="395" t="n">
        <v>3</v>
      </c>
      <c r="K1389" s="395" t="n">
        <v>4</v>
      </c>
      <c r="L1389" s="397" t="n">
        <v>2890</v>
      </c>
      <c r="M1389" s="113" t="n"/>
      <c r="N1389" s="113" t="n"/>
      <c r="O1389" s="113" t="n"/>
      <c r="P1389" s="398" t="n"/>
      <c r="Q1389" s="398" t="n"/>
      <c r="R1389" s="113" t="n"/>
      <c r="S1389" s="113" t="n"/>
      <c r="T1389" s="113" t="n"/>
      <c r="U1389" s="113" t="n"/>
      <c r="V1389" s="113" t="n"/>
    </row>
    <row r="1390" ht="15.75" customHeight="1">
      <c r="A1390" s="146" t="n">
        <v>24</v>
      </c>
      <c r="B1390" s="238" t="n"/>
      <c r="C1390" s="399" t="n">
        <v>45969</v>
      </c>
      <c r="D1390" s="146" t="inlineStr">
        <is>
          <t>221 G. MALAGUEÑA</t>
        </is>
      </c>
      <c r="E1390" s="146" t="n">
        <v>44316</v>
      </c>
      <c r="F1390" s="146" t="inlineStr">
        <is>
          <t>ALBERTO LOPEZ</t>
        </is>
      </c>
      <c r="G1390" s="395" t="n">
        <v>2500</v>
      </c>
      <c r="H1390" s="395" t="n">
        <v>2499</v>
      </c>
      <c r="I1390" s="395" t="n">
        <v>2</v>
      </c>
      <c r="J1390" s="395" t="n">
        <v>3</v>
      </c>
      <c r="K1390" s="395" t="n">
        <v>4</v>
      </c>
      <c r="L1390" s="397" t="n">
        <v>2500</v>
      </c>
      <c r="M1390" s="113" t="n"/>
      <c r="N1390" s="113" t="n"/>
      <c r="O1390" s="113" t="n"/>
      <c r="P1390" s="398" t="n"/>
      <c r="Q1390" s="398" t="n"/>
      <c r="R1390" s="113" t="n"/>
      <c r="S1390" s="113" t="n"/>
      <c r="T1390" s="113" t="n"/>
      <c r="U1390" s="113" t="n"/>
      <c r="V1390" s="113" t="n"/>
    </row>
    <row r="1391" ht="15.75" customHeight="1">
      <c r="A1391" s="146" t="n">
        <v>24</v>
      </c>
      <c r="B1391" s="238" t="n"/>
      <c r="C1391" s="399" t="n">
        <v>45969</v>
      </c>
      <c r="D1391" s="146" t="inlineStr">
        <is>
          <t>221 G. MALAGUEÑA</t>
        </is>
      </c>
      <c r="E1391" s="146" t="n">
        <v>44317</v>
      </c>
      <c r="F1391" s="146" t="inlineStr">
        <is>
          <t>JAIRO CUBILLOS</t>
        </is>
      </c>
      <c r="G1391" s="395" t="n">
        <v>1380</v>
      </c>
      <c r="H1391" s="395" t="n">
        <v>1380</v>
      </c>
      <c r="I1391" s="395" t="n">
        <v>1</v>
      </c>
      <c r="J1391" s="395" t="n">
        <v>4</v>
      </c>
      <c r="K1391" s="395" t="n">
        <v>5</v>
      </c>
      <c r="L1391" s="397" t="n">
        <v>1380</v>
      </c>
      <c r="M1391" s="113" t="n"/>
      <c r="N1391" s="113" t="n"/>
      <c r="O1391" s="113" t="n"/>
      <c r="P1391" s="398" t="n"/>
      <c r="Q1391" s="398" t="n"/>
      <c r="R1391" s="113" t="n"/>
      <c r="S1391" s="113" t="n"/>
      <c r="T1391" s="113" t="n"/>
      <c r="U1391" s="113" t="n"/>
      <c r="V1391" s="113" t="n"/>
    </row>
    <row r="1392" ht="15.75" customHeight="1">
      <c r="A1392" s="146" t="n">
        <v>24</v>
      </c>
      <c r="B1392" s="238" t="n"/>
      <c r="C1392" s="399" t="n"/>
      <c r="D1392" s="113" t="n"/>
      <c r="E1392" s="113" t="n"/>
      <c r="F1392" s="113" t="n"/>
      <c r="G1392" s="477">
        <f>SUBTOTAL(9,G1320:G1391)</f>
        <v/>
      </c>
      <c r="H1392" s="477">
        <f>SUBTOTAL(9,H1320:H1391)</f>
        <v/>
      </c>
      <c r="I1392" s="477">
        <f>SUBTOTAL(9,I1320:I1391)</f>
        <v/>
      </c>
      <c r="J1392" s="477">
        <f>SUBTOTAL(9,J1320:J1391)</f>
        <v/>
      </c>
      <c r="K1392" s="477">
        <f>SUBTOTAL(9,K1320:K1391)</f>
        <v/>
      </c>
      <c r="L1392" s="477">
        <f>SUBTOTAL(9,L1320:L1391)</f>
        <v/>
      </c>
      <c r="M1392" s="113" t="n"/>
      <c r="N1392" s="113" t="n"/>
      <c r="O1392" s="113" t="n"/>
      <c r="P1392" s="398" t="n"/>
      <c r="Q1392" s="398" t="n"/>
      <c r="R1392" s="113" t="n"/>
      <c r="S1392" s="113" t="n"/>
      <c r="T1392" s="113" t="n"/>
      <c r="U1392" s="113" t="n"/>
      <c r="V1392" s="113" t="n"/>
    </row>
    <row r="1393" ht="15.75" customHeight="1">
      <c r="A1393" s="146" t="n">
        <v>25</v>
      </c>
      <c r="B1393" s="238" t="n"/>
      <c r="C1393" s="399" t="n">
        <v>45971</v>
      </c>
      <c r="D1393" s="146" t="inlineStr">
        <is>
          <t>219 G. SAN JOSE 2</t>
        </is>
      </c>
      <c r="E1393" s="146" t="n">
        <v>44334</v>
      </c>
      <c r="F1393" s="146" t="inlineStr">
        <is>
          <t>MANUEL QUITIAN</t>
        </is>
      </c>
      <c r="G1393" s="395" t="n">
        <v>2800</v>
      </c>
      <c r="H1393" s="395" t="n">
        <v>2778</v>
      </c>
      <c r="I1393" s="395" t="n">
        <v>4</v>
      </c>
      <c r="J1393" s="395" t="n">
        <v>12</v>
      </c>
      <c r="K1393" s="395" t="n">
        <v>-6</v>
      </c>
      <c r="L1393" s="397" t="n">
        <v>2800</v>
      </c>
      <c r="M1393" s="113" t="n"/>
      <c r="N1393" s="113" t="n"/>
      <c r="O1393" s="113" t="n"/>
      <c r="P1393" s="398" t="n"/>
      <c r="Q1393" s="398" t="n"/>
      <c r="R1393" s="113" t="n"/>
      <c r="S1393" s="113" t="n"/>
      <c r="T1393" s="113" t="n"/>
      <c r="U1393" s="113" t="n"/>
      <c r="V1393" s="113" t="n"/>
    </row>
    <row r="1394" ht="15.75" customHeight="1">
      <c r="A1394" s="146" t="n">
        <v>25</v>
      </c>
      <c r="B1394" s="238" t="n"/>
      <c r="C1394" s="399" t="n">
        <v>45971</v>
      </c>
      <c r="D1394" s="146" t="inlineStr">
        <is>
          <t>219 G. SAN JOSE 2</t>
        </is>
      </c>
      <c r="E1394" s="146" t="n">
        <v>44335</v>
      </c>
      <c r="F1394" s="146" t="inlineStr">
        <is>
          <t>JOSE SOLER</t>
        </is>
      </c>
      <c r="G1394" s="395" t="n">
        <v>2800</v>
      </c>
      <c r="H1394" s="395" t="n">
        <v>2779</v>
      </c>
      <c r="I1394" s="395" t="n">
        <v>5</v>
      </c>
      <c r="J1394" s="395" t="n">
        <v>11</v>
      </c>
      <c r="K1394" s="395" t="n">
        <v>-5</v>
      </c>
      <c r="L1394" s="397" t="n">
        <v>2800</v>
      </c>
      <c r="M1394" s="113" t="n"/>
      <c r="N1394" s="113" t="n"/>
      <c r="O1394" s="113" t="n"/>
      <c r="P1394" s="398" t="n"/>
      <c r="Q1394" s="398" t="n"/>
      <c r="R1394" s="113" t="n"/>
      <c r="S1394" s="113" t="n"/>
      <c r="T1394" s="113" t="n"/>
      <c r="U1394" s="113" t="n"/>
      <c r="V1394" s="113" t="n"/>
    </row>
    <row r="1395" ht="15.75" customHeight="1">
      <c r="A1395" s="146" t="n">
        <v>25</v>
      </c>
      <c r="B1395" s="238" t="n"/>
      <c r="C1395" s="399" t="n">
        <v>45971</v>
      </c>
      <c r="D1395" s="146" t="inlineStr">
        <is>
          <t>219 G. SAN JOSE 2</t>
        </is>
      </c>
      <c r="E1395" s="146" t="n">
        <v>44336</v>
      </c>
      <c r="F1395" s="146" t="inlineStr">
        <is>
          <t>YAIR RIVEROS</t>
        </is>
      </c>
      <c r="G1395" s="395" t="n">
        <v>2800</v>
      </c>
      <c r="H1395" s="395" t="n">
        <v>2775</v>
      </c>
      <c r="I1395" s="395" t="n">
        <v>4</v>
      </c>
      <c r="J1395" s="395" t="n">
        <v>14</v>
      </c>
      <c r="K1395" s="395" t="n">
        <v>-7</v>
      </c>
      <c r="L1395" s="397" t="n">
        <v>2800</v>
      </c>
      <c r="M1395" s="113" t="n"/>
      <c r="N1395" s="113" t="n"/>
      <c r="O1395" s="113" t="n"/>
      <c r="P1395" s="398" t="n"/>
      <c r="Q1395" s="398" t="n"/>
      <c r="R1395" s="113" t="n"/>
      <c r="S1395" s="113" t="n"/>
      <c r="T1395" s="113" t="n"/>
      <c r="U1395" s="113" t="n"/>
      <c r="V1395" s="113" t="n"/>
    </row>
    <row r="1396" ht="15.75" customHeight="1">
      <c r="A1396" s="146" t="n">
        <v>25</v>
      </c>
      <c r="B1396" s="238" t="n"/>
      <c r="C1396" s="399" t="n">
        <v>45971</v>
      </c>
      <c r="D1396" s="146" t="inlineStr">
        <is>
          <t>219 G. SAN JOSE 2</t>
        </is>
      </c>
      <c r="E1396" s="146" t="n">
        <v>44337</v>
      </c>
      <c r="F1396" s="146" t="inlineStr">
        <is>
          <t>ALBERTO HERRERA</t>
        </is>
      </c>
      <c r="G1396" s="395" t="n">
        <v>3050</v>
      </c>
      <c r="H1396" s="395" t="n">
        <v>3023</v>
      </c>
      <c r="I1396" s="395" t="n">
        <v>4</v>
      </c>
      <c r="J1396" s="395" t="n">
        <v>12</v>
      </c>
      <c r="K1396" s="395" t="n">
        <v>-11</v>
      </c>
      <c r="L1396" s="397" t="n">
        <v>3050</v>
      </c>
      <c r="M1396" s="113" t="n"/>
      <c r="N1396" s="113" t="n"/>
      <c r="O1396" s="113" t="n"/>
      <c r="P1396" s="398" t="n"/>
      <c r="Q1396" s="398" t="n"/>
      <c r="R1396" s="113" t="n"/>
      <c r="S1396" s="113" t="n"/>
      <c r="T1396" s="113" t="n"/>
      <c r="U1396" s="113" t="n"/>
      <c r="V1396" s="113" t="n"/>
    </row>
    <row r="1397" ht="15.75" customHeight="1">
      <c r="A1397" s="146" t="n">
        <v>25</v>
      </c>
      <c r="B1397" s="238" t="n"/>
      <c r="C1397" s="399" t="n">
        <v>45971</v>
      </c>
      <c r="D1397" s="146" t="inlineStr">
        <is>
          <t>219 G. SAN JOSE 2</t>
        </is>
      </c>
      <c r="E1397" s="146" t="n">
        <v>44338</v>
      </c>
      <c r="F1397" s="146" t="inlineStr">
        <is>
          <t>EDWIN ROJAS</t>
        </is>
      </c>
      <c r="G1397" s="395" t="n">
        <v>3050</v>
      </c>
      <c r="H1397" s="395" t="n">
        <v>3029</v>
      </c>
      <c r="I1397" s="395" t="n">
        <v>2</v>
      </c>
      <c r="J1397" s="395" t="n">
        <v>6</v>
      </c>
      <c r="K1397" s="395" t="n">
        <v>-13</v>
      </c>
      <c r="L1397" s="397" t="n">
        <v>3050</v>
      </c>
      <c r="M1397" s="113" t="n"/>
      <c r="N1397" s="113" t="n"/>
      <c r="O1397" s="113" t="n"/>
      <c r="P1397" s="398" t="n"/>
      <c r="Q1397" s="398" t="n"/>
      <c r="R1397" s="113" t="n"/>
      <c r="S1397" s="113" t="n"/>
      <c r="T1397" s="113" t="n"/>
      <c r="U1397" s="113" t="n"/>
      <c r="V1397" s="113" t="n"/>
    </row>
    <row r="1398" ht="15.75" customHeight="1">
      <c r="A1398" s="146" t="n">
        <v>25</v>
      </c>
      <c r="B1398" s="238" t="n"/>
      <c r="C1398" s="399" t="n">
        <v>45971</v>
      </c>
      <c r="D1398" s="146" t="inlineStr">
        <is>
          <t>219 G. SAN JOSE 2</t>
        </is>
      </c>
      <c r="E1398" s="146" t="n">
        <v>44339</v>
      </c>
      <c r="F1398" s="146" t="inlineStr">
        <is>
          <t>JAIRO CUBILLOS</t>
        </is>
      </c>
      <c r="G1398" s="395" t="n">
        <v>3050</v>
      </c>
      <c r="H1398" s="395" t="n">
        <v>3031</v>
      </c>
      <c r="I1398" s="395" t="n">
        <v>2</v>
      </c>
      <c r="J1398" s="395" t="n">
        <v>7</v>
      </c>
      <c r="K1398" s="395" t="n">
        <v>-10</v>
      </c>
      <c r="L1398" s="397" t="n">
        <v>3050</v>
      </c>
      <c r="M1398" s="113" t="n"/>
      <c r="N1398" s="113" t="n"/>
      <c r="O1398" s="113" t="n"/>
      <c r="P1398" s="398" t="n"/>
      <c r="Q1398" s="398" t="n"/>
      <c r="R1398" s="113" t="n"/>
      <c r="S1398" s="113" t="n"/>
      <c r="T1398" s="113" t="n"/>
      <c r="U1398" s="113" t="n"/>
      <c r="V1398" s="113" t="n"/>
    </row>
    <row r="1399" ht="15.75" customHeight="1">
      <c r="A1399" s="146" t="n">
        <v>25</v>
      </c>
      <c r="B1399" s="238" t="n"/>
      <c r="C1399" s="399" t="n">
        <v>45971</v>
      </c>
      <c r="D1399" s="146" t="inlineStr">
        <is>
          <t>219 G. SAN JOSE 2</t>
        </is>
      </c>
      <c r="E1399" s="146" t="n">
        <v>44340</v>
      </c>
      <c r="F1399" s="146" t="inlineStr">
        <is>
          <t>WILMER PIÑEROS</t>
        </is>
      </c>
      <c r="G1399" s="395" t="n">
        <v>2830</v>
      </c>
      <c r="H1399" s="395" t="n">
        <v>2818</v>
      </c>
      <c r="I1399" s="395" t="n">
        <v>2</v>
      </c>
      <c r="J1399" s="395" t="n">
        <v>2</v>
      </c>
      <c r="K1399" s="395" t="n">
        <v>-8</v>
      </c>
      <c r="L1399" s="397" t="n">
        <v>2830</v>
      </c>
      <c r="M1399" s="113" t="n"/>
      <c r="N1399" s="113" t="n"/>
      <c r="O1399" s="113" t="n"/>
      <c r="P1399" s="398" t="n"/>
      <c r="Q1399" s="398" t="n"/>
      <c r="R1399" s="113" t="n"/>
      <c r="S1399" s="113" t="n"/>
      <c r="T1399" s="113" t="n"/>
      <c r="U1399" s="113" t="n"/>
      <c r="V1399" s="113" t="n"/>
    </row>
    <row r="1400" ht="15.75" customHeight="1">
      <c r="A1400" s="146" t="n">
        <v>25</v>
      </c>
      <c r="B1400" s="238" t="n"/>
      <c r="C1400" s="399" t="n">
        <v>45971</v>
      </c>
      <c r="D1400" s="146" t="inlineStr">
        <is>
          <t>219 G. SAN JOSE 2</t>
        </is>
      </c>
      <c r="E1400" s="146" t="n">
        <v>44341</v>
      </c>
      <c r="F1400" s="146" t="inlineStr">
        <is>
          <t>DIEGO NIÑO</t>
        </is>
      </c>
      <c r="G1400" s="395" t="n">
        <v>2830</v>
      </c>
      <c r="H1400" s="395" t="n">
        <v>2817</v>
      </c>
      <c r="I1400" s="395" t="n">
        <v>2</v>
      </c>
      <c r="J1400" s="395" t="n">
        <v>5</v>
      </c>
      <c r="K1400" s="395" t="n">
        <v>-6</v>
      </c>
      <c r="L1400" s="397" t="n">
        <v>2830</v>
      </c>
      <c r="M1400" s="113" t="n"/>
      <c r="N1400" s="113" t="n"/>
      <c r="O1400" s="113" t="n"/>
      <c r="P1400" s="398" t="n"/>
      <c r="Q1400" s="398" t="n"/>
      <c r="R1400" s="113" t="n"/>
      <c r="S1400" s="113" t="n"/>
      <c r="T1400" s="113" t="n"/>
      <c r="U1400" s="113" t="n"/>
      <c r="V1400" s="113" t="n"/>
    </row>
    <row r="1401" ht="15.75" customHeight="1">
      <c r="A1401" s="146" t="n">
        <v>25</v>
      </c>
      <c r="B1401" s="238" t="n"/>
      <c r="C1401" s="399" t="n">
        <v>45971</v>
      </c>
      <c r="D1401" s="146" t="inlineStr">
        <is>
          <t>219 G. SAN JOSE 2</t>
        </is>
      </c>
      <c r="E1401" s="146" t="n">
        <v>44349</v>
      </c>
      <c r="F1401" s="146" t="inlineStr">
        <is>
          <t>MANUEL QUITIAN</t>
        </is>
      </c>
      <c r="G1401" s="395" t="n">
        <v>2830</v>
      </c>
      <c r="H1401" s="395" t="n">
        <v>2825</v>
      </c>
      <c r="I1401" s="395" t="n">
        <v>2</v>
      </c>
      <c r="J1401" s="395" t="n">
        <v>10</v>
      </c>
      <c r="K1401" s="395" t="n">
        <v>7</v>
      </c>
      <c r="L1401" s="397" t="n">
        <v>2830</v>
      </c>
      <c r="M1401" s="113" t="n"/>
      <c r="N1401" s="113" t="n"/>
      <c r="O1401" s="113" t="n"/>
      <c r="P1401" s="398" t="n"/>
      <c r="Q1401" s="398" t="n"/>
      <c r="R1401" s="113" t="n"/>
      <c r="S1401" s="113" t="n"/>
      <c r="T1401" s="113" t="n"/>
      <c r="U1401" s="113" t="n"/>
      <c r="V1401" s="113" t="n"/>
    </row>
    <row r="1402" ht="15.75" customHeight="1">
      <c r="A1402" s="146" t="n">
        <v>25</v>
      </c>
      <c r="B1402" s="238" t="n"/>
      <c r="C1402" s="399" t="n">
        <v>45971</v>
      </c>
      <c r="D1402" s="146" t="inlineStr">
        <is>
          <t>219 G. SAN JOSE 2</t>
        </is>
      </c>
      <c r="E1402" s="146" t="n">
        <v>44350</v>
      </c>
      <c r="F1402" s="146" t="inlineStr">
        <is>
          <t>JOSE SOLER</t>
        </is>
      </c>
      <c r="G1402" s="395" t="n">
        <v>2780</v>
      </c>
      <c r="H1402" s="395" t="n">
        <v>2780</v>
      </c>
      <c r="I1402" s="395" t="n">
        <v>2</v>
      </c>
      <c r="J1402" s="395" t="n">
        <v>3</v>
      </c>
      <c r="K1402" s="395" t="n">
        <v>5</v>
      </c>
      <c r="L1402" s="397" t="n">
        <v>2780</v>
      </c>
      <c r="M1402" s="113" t="n"/>
      <c r="N1402" s="113" t="n"/>
      <c r="O1402" s="113" t="n"/>
      <c r="P1402" s="398" t="n"/>
      <c r="Q1402" s="398" t="n"/>
      <c r="R1402" s="113" t="n"/>
      <c r="S1402" s="113" t="n"/>
      <c r="T1402" s="113" t="n"/>
      <c r="U1402" s="113" t="n"/>
      <c r="V1402" s="113" t="n"/>
    </row>
    <row r="1403" ht="15.75" customHeight="1">
      <c r="A1403" s="146" t="n">
        <v>25</v>
      </c>
      <c r="B1403" s="238" t="n"/>
      <c r="C1403" s="399" t="n">
        <v>45971</v>
      </c>
      <c r="D1403" s="146" t="inlineStr">
        <is>
          <t>219 G. SAN JOSE 2</t>
        </is>
      </c>
      <c r="E1403" s="146" t="n">
        <v>44351</v>
      </c>
      <c r="F1403" s="146" t="inlineStr">
        <is>
          <t>YAIR RIVEROS</t>
        </is>
      </c>
      <c r="G1403" s="395" t="n">
        <v>2780</v>
      </c>
      <c r="H1403" s="395" t="n">
        <v>2781</v>
      </c>
      <c r="I1403" s="395" t="n">
        <v>2</v>
      </c>
      <c r="J1403" s="395" t="n">
        <v>1</v>
      </c>
      <c r="K1403" s="395" t="n">
        <v>4</v>
      </c>
      <c r="L1403" s="397" t="n">
        <v>2780</v>
      </c>
      <c r="M1403" s="113" t="n"/>
      <c r="N1403" s="113" t="n"/>
      <c r="O1403" s="113" t="n"/>
      <c r="P1403" s="398" t="n"/>
      <c r="Q1403" s="398" t="n"/>
      <c r="R1403" s="113" t="n"/>
      <c r="S1403" s="113" t="n"/>
      <c r="T1403" s="113" t="n"/>
      <c r="U1403" s="113" t="n"/>
      <c r="V1403" s="113" t="n"/>
    </row>
    <row r="1404" ht="15.75" customHeight="1">
      <c r="A1404" s="146" t="n">
        <v>25</v>
      </c>
      <c r="B1404" s="238" t="n"/>
      <c r="C1404" s="399" t="n">
        <v>45971</v>
      </c>
      <c r="D1404" s="146" t="inlineStr">
        <is>
          <t>219 G. SAN JOSE 2</t>
        </is>
      </c>
      <c r="E1404" s="146" t="n">
        <v>44352</v>
      </c>
      <c r="F1404" s="146" t="inlineStr">
        <is>
          <t>ALBERTO HERRERA</t>
        </is>
      </c>
      <c r="G1404" s="395" t="n">
        <v>2490</v>
      </c>
      <c r="H1404" s="395" t="n">
        <v>2491</v>
      </c>
      <c r="I1404" s="395" t="n">
        <v>1</v>
      </c>
      <c r="J1404" s="395" t="n">
        <v>3</v>
      </c>
      <c r="K1404" s="395" t="n">
        <v>5</v>
      </c>
      <c r="L1404" s="397" t="n">
        <v>2490</v>
      </c>
      <c r="M1404" s="113" t="n"/>
      <c r="N1404" s="113" t="n"/>
      <c r="O1404" s="113" t="n"/>
      <c r="P1404" s="398" t="n"/>
      <c r="Q1404" s="398" t="n"/>
      <c r="R1404" s="113" t="n"/>
      <c r="S1404" s="113" t="n"/>
      <c r="T1404" s="113" t="n"/>
      <c r="U1404" s="113" t="n"/>
      <c r="V1404" s="113" t="n"/>
    </row>
    <row r="1405" ht="15.75" customHeight="1">
      <c r="A1405" s="146" t="n">
        <v>25</v>
      </c>
      <c r="B1405" s="238" t="n"/>
      <c r="C1405" s="399" t="n">
        <v>45972</v>
      </c>
      <c r="D1405" s="146" t="inlineStr">
        <is>
          <t>219 G. SAN JOSE 2</t>
        </is>
      </c>
      <c r="E1405" s="146" t="n">
        <v>44360</v>
      </c>
      <c r="F1405" s="146" t="inlineStr">
        <is>
          <t>ROBINSON PULIDO</t>
        </is>
      </c>
      <c r="G1405" s="395" t="n">
        <v>3220</v>
      </c>
      <c r="H1405" s="395" t="n">
        <v>3212</v>
      </c>
      <c r="I1405" s="395" t="n">
        <v>4</v>
      </c>
      <c r="J1405" s="395" t="n">
        <v>4</v>
      </c>
      <c r="K1405" s="395" t="n">
        <v>0</v>
      </c>
      <c r="L1405" s="397" t="n">
        <v>3070</v>
      </c>
      <c r="M1405" s="113" t="n"/>
      <c r="N1405" s="113" t="n"/>
      <c r="O1405" s="113" t="n"/>
      <c r="P1405" s="398" t="n"/>
      <c r="Q1405" s="398" t="n"/>
      <c r="R1405" s="113" t="n"/>
      <c r="S1405" s="113" t="n"/>
      <c r="T1405" s="113" t="n"/>
      <c r="U1405" s="113" t="n"/>
      <c r="V1405" s="113" t="n"/>
    </row>
    <row r="1406" ht="15.75" customHeight="1">
      <c r="A1406" s="146" t="n">
        <v>25</v>
      </c>
      <c r="B1406" s="238" t="n"/>
      <c r="C1406" s="399" t="n">
        <v>45972</v>
      </c>
      <c r="D1406" s="146" t="inlineStr">
        <is>
          <t>221 G. MALAGUEÑA</t>
        </is>
      </c>
      <c r="E1406" s="146" t="n">
        <v>44361</v>
      </c>
      <c r="F1406" s="146" t="inlineStr">
        <is>
          <t>JHON ARIAS</t>
        </is>
      </c>
      <c r="G1406" s="395" t="n">
        <v>3070</v>
      </c>
      <c r="H1406" s="395" t="n">
        <v>3061</v>
      </c>
      <c r="I1406" s="395" t="n">
        <v>5</v>
      </c>
      <c r="J1406" s="395" t="n">
        <v>4</v>
      </c>
      <c r="K1406" s="395" t="n">
        <v>0</v>
      </c>
      <c r="L1406" s="397" t="n">
        <v>3220</v>
      </c>
      <c r="M1406" s="113" t="n"/>
      <c r="N1406" s="113" t="n"/>
      <c r="O1406" s="113" t="n"/>
      <c r="P1406" s="398" t="n"/>
      <c r="Q1406" s="398" t="n"/>
      <c r="R1406" s="113" t="n"/>
      <c r="S1406" s="113" t="n"/>
      <c r="T1406" s="113" t="n"/>
      <c r="U1406" s="113" t="n"/>
      <c r="V1406" s="113" t="n"/>
    </row>
    <row r="1407" ht="15.75" customHeight="1">
      <c r="A1407" s="146" t="n">
        <v>25</v>
      </c>
      <c r="B1407" s="238" t="n"/>
      <c r="C1407" s="399" t="n">
        <v>45972</v>
      </c>
      <c r="D1407" s="146" t="inlineStr">
        <is>
          <t>219 G. SAN JOSE 2</t>
        </is>
      </c>
      <c r="E1407" s="146" t="n">
        <v>44362</v>
      </c>
      <c r="F1407" s="146" t="inlineStr">
        <is>
          <t>HENRY ROMERO</t>
        </is>
      </c>
      <c r="G1407" s="395" t="n">
        <v>3220</v>
      </c>
      <c r="H1407" s="395" t="n">
        <v>3208</v>
      </c>
      <c r="I1407" s="395" t="n">
        <v>5</v>
      </c>
      <c r="J1407" s="395" t="n">
        <v>7</v>
      </c>
      <c r="K1407" s="395" t="n">
        <v>0</v>
      </c>
      <c r="L1407" s="397" t="n">
        <v>2880</v>
      </c>
      <c r="M1407" s="113" t="n"/>
      <c r="N1407" s="113" t="n"/>
      <c r="O1407" s="113" t="n"/>
      <c r="P1407" s="398" t="n"/>
      <c r="Q1407" s="398" t="n"/>
      <c r="R1407" s="113" t="n"/>
      <c r="S1407" s="113" t="n"/>
      <c r="T1407" s="113" t="n"/>
      <c r="U1407" s="113" t="n"/>
      <c r="V1407" s="113" t="n"/>
    </row>
    <row r="1408" ht="15.75" customHeight="1">
      <c r="A1408" s="146" t="n">
        <v>25</v>
      </c>
      <c r="B1408" s="238" t="n"/>
      <c r="C1408" s="399" t="n">
        <v>45972</v>
      </c>
      <c r="D1408" s="146" t="inlineStr">
        <is>
          <t>219 G. SAN JOSE 2</t>
        </is>
      </c>
      <c r="E1408" s="146" t="n">
        <v>44363</v>
      </c>
      <c r="F1408" s="146" t="inlineStr">
        <is>
          <t>MANUEL QUITIAN</t>
        </is>
      </c>
      <c r="G1408" s="395" t="n">
        <v>3220</v>
      </c>
      <c r="H1408" s="395" t="n">
        <v>3208</v>
      </c>
      <c r="I1408" s="395" t="n">
        <v>7</v>
      </c>
      <c r="J1408" s="395" t="n">
        <v>1</v>
      </c>
      <c r="K1408" s="395" t="n">
        <v>-4</v>
      </c>
      <c r="L1408" s="397" t="n">
        <v>2880</v>
      </c>
      <c r="M1408" s="113" t="n"/>
      <c r="N1408" s="113" t="n"/>
      <c r="O1408" s="113" t="n"/>
      <c r="P1408" s="398" t="n"/>
      <c r="Q1408" s="398" t="n"/>
      <c r="R1408" s="113" t="n"/>
      <c r="S1408" s="113" t="n"/>
      <c r="T1408" s="113" t="n"/>
      <c r="U1408" s="113" t="n"/>
      <c r="V1408" s="113" t="n"/>
    </row>
    <row r="1409" ht="15.75" customHeight="1">
      <c r="A1409" s="146" t="n">
        <v>25</v>
      </c>
      <c r="B1409" s="238" t="n"/>
      <c r="C1409" s="399" t="n">
        <v>45972</v>
      </c>
      <c r="D1409" s="146" t="inlineStr">
        <is>
          <t>219 G. SAN JOSE 2</t>
        </is>
      </c>
      <c r="E1409" s="146" t="n">
        <v>44364</v>
      </c>
      <c r="F1409" s="146" t="inlineStr">
        <is>
          <t>EDWIN ROJAS</t>
        </is>
      </c>
      <c r="G1409" s="395" t="n">
        <v>2880</v>
      </c>
      <c r="H1409" s="395" t="n">
        <v>2860</v>
      </c>
      <c r="I1409" s="395" t="n">
        <v>12</v>
      </c>
      <c r="J1409" s="395" t="n">
        <v>1</v>
      </c>
      <c r="K1409" s="395" t="n">
        <v>-7</v>
      </c>
      <c r="L1409" s="397" t="n">
        <v>3220</v>
      </c>
      <c r="M1409" s="113" t="n"/>
      <c r="N1409" s="113" t="n"/>
      <c r="O1409" s="113" t="n"/>
      <c r="P1409" s="398" t="n"/>
      <c r="Q1409" s="398" t="n"/>
      <c r="R1409" s="113" t="n"/>
      <c r="S1409" s="113" t="n"/>
      <c r="T1409" s="113" t="n"/>
      <c r="U1409" s="113" t="n"/>
      <c r="V1409" s="113" t="n"/>
    </row>
    <row r="1410" ht="15.75" customHeight="1">
      <c r="A1410" s="146" t="n">
        <v>25</v>
      </c>
      <c r="B1410" s="238" t="n"/>
      <c r="C1410" s="399" t="n">
        <v>45972</v>
      </c>
      <c r="D1410" s="146" t="inlineStr">
        <is>
          <t>219 G. SAN JOSE 2</t>
        </is>
      </c>
      <c r="E1410" s="146" t="n">
        <v>44365</v>
      </c>
      <c r="F1410" s="146" t="inlineStr">
        <is>
          <t>JOSE SOLER</t>
        </is>
      </c>
      <c r="G1410" s="395" t="n">
        <v>2880</v>
      </c>
      <c r="H1410" s="395" t="n">
        <v>2863</v>
      </c>
      <c r="I1410" s="395" t="n">
        <v>4</v>
      </c>
      <c r="J1410" s="395" t="n">
        <v>2</v>
      </c>
      <c r="K1410" s="395" t="n">
        <v>-11</v>
      </c>
      <c r="L1410" s="397" t="n">
        <v>2880</v>
      </c>
      <c r="M1410" s="113" t="n"/>
      <c r="N1410" s="113" t="n"/>
      <c r="O1410" s="113" t="n"/>
      <c r="P1410" s="398" t="n"/>
      <c r="Q1410" s="398" t="n"/>
      <c r="R1410" s="113" t="n"/>
      <c r="S1410" s="113" t="n"/>
      <c r="T1410" s="113" t="n"/>
      <c r="U1410" s="113" t="n"/>
      <c r="V1410" s="113" t="n"/>
    </row>
    <row r="1411" ht="15.75" customHeight="1">
      <c r="A1411" s="146" t="n">
        <v>25</v>
      </c>
      <c r="B1411" s="238" t="n"/>
      <c r="C1411" s="399" t="n">
        <v>45972</v>
      </c>
      <c r="D1411" s="146" t="inlineStr">
        <is>
          <t>219 G. SAN JOSE 2</t>
        </is>
      </c>
      <c r="E1411" s="146" t="n">
        <v>44366</v>
      </c>
      <c r="F1411" s="146" t="inlineStr">
        <is>
          <t>ALEX GOMEZ</t>
        </is>
      </c>
      <c r="G1411" s="395" t="n">
        <v>2880</v>
      </c>
      <c r="H1411" s="395" t="n">
        <v>2861</v>
      </c>
      <c r="I1411" s="395" t="n">
        <v>5</v>
      </c>
      <c r="J1411" s="395" t="n">
        <v>4</v>
      </c>
      <c r="K1411" s="395" t="n">
        <v>-10</v>
      </c>
      <c r="L1411" s="397" t="n">
        <v>3220</v>
      </c>
      <c r="M1411" s="113" t="n"/>
      <c r="N1411" s="113" t="n"/>
      <c r="O1411" s="113" t="n"/>
      <c r="P1411" s="398" t="n"/>
      <c r="Q1411" s="398" t="n"/>
      <c r="R1411" s="113" t="n"/>
      <c r="S1411" s="113" t="n"/>
      <c r="T1411" s="113" t="n"/>
      <c r="U1411" s="113" t="n"/>
      <c r="V1411" s="113" t="n"/>
    </row>
    <row r="1412" ht="15.75" customHeight="1">
      <c r="A1412" s="146" t="n">
        <v>25</v>
      </c>
      <c r="B1412" s="238" t="n"/>
      <c r="C1412" s="399" t="n">
        <v>45973</v>
      </c>
      <c r="D1412" s="146" t="inlineStr">
        <is>
          <t>221 G. MALAGUEÑA</t>
        </is>
      </c>
      <c r="E1412" s="146" t="n">
        <v>44389</v>
      </c>
      <c r="F1412" s="146" t="inlineStr">
        <is>
          <t>JAIRO CUBILLOS</t>
        </is>
      </c>
      <c r="G1412" s="395" t="n">
        <v>3585</v>
      </c>
      <c r="H1412" s="395" t="n">
        <v>3576</v>
      </c>
      <c r="I1412" s="395" t="n">
        <v>3</v>
      </c>
      <c r="J1412" s="395" t="n">
        <v>4</v>
      </c>
      <c r="K1412" s="395" t="n">
        <v>-2</v>
      </c>
      <c r="L1412" s="397" t="n">
        <v>3585</v>
      </c>
      <c r="M1412" s="113" t="n"/>
      <c r="N1412" s="113" t="n"/>
      <c r="O1412" s="113" t="n"/>
      <c r="P1412" s="398" t="n"/>
      <c r="Q1412" s="398" t="n"/>
      <c r="R1412" s="113" t="n"/>
      <c r="S1412" s="113" t="n"/>
      <c r="T1412" s="113" t="n"/>
      <c r="U1412" s="113" t="n"/>
      <c r="V1412" s="113" t="n"/>
    </row>
    <row r="1413" ht="15.75" customHeight="1">
      <c r="A1413" s="146" t="n">
        <v>25</v>
      </c>
      <c r="B1413" s="238" t="n"/>
      <c r="C1413" s="399" t="n">
        <v>45973</v>
      </c>
      <c r="D1413" s="146" t="inlineStr">
        <is>
          <t>221 G. MALAGUEÑA</t>
        </is>
      </c>
      <c r="E1413" s="146" t="n">
        <v>44390</v>
      </c>
      <c r="F1413" s="146" t="inlineStr">
        <is>
          <t>ALEX CHAGUALA</t>
        </is>
      </c>
      <c r="G1413" s="395" t="n">
        <v>3210</v>
      </c>
      <c r="H1413" s="395" t="n">
        <v>3198</v>
      </c>
      <c r="I1413" s="395" t="n">
        <v>3</v>
      </c>
      <c r="J1413" s="395" t="n">
        <v>6</v>
      </c>
      <c r="K1413" s="395" t="n">
        <v>-3</v>
      </c>
      <c r="L1413" s="397" t="n">
        <v>3585</v>
      </c>
      <c r="M1413" s="113" t="n"/>
      <c r="N1413" s="113" t="n"/>
      <c r="O1413" s="113" t="n"/>
      <c r="P1413" s="398" t="n"/>
      <c r="Q1413" s="398" t="n"/>
      <c r="R1413" s="113" t="n"/>
      <c r="S1413" s="113" t="n"/>
      <c r="T1413" s="113" t="n"/>
      <c r="U1413" s="113" t="n"/>
      <c r="V1413" s="113" t="n"/>
    </row>
    <row r="1414" ht="15.75" customHeight="1">
      <c r="A1414" s="146" t="n">
        <v>25</v>
      </c>
      <c r="B1414" s="238" t="n"/>
      <c r="C1414" s="399" t="n">
        <v>45973</v>
      </c>
      <c r="D1414" s="146" t="inlineStr">
        <is>
          <t>221 G. MALAGUEÑA</t>
        </is>
      </c>
      <c r="E1414" s="146" t="n">
        <v>44391</v>
      </c>
      <c r="F1414" s="146" t="inlineStr">
        <is>
          <t>ALBERTO HERRERA</t>
        </is>
      </c>
      <c r="G1414" s="395" t="n">
        <v>3585</v>
      </c>
      <c r="H1414" s="395" t="n">
        <v>3572</v>
      </c>
      <c r="I1414" s="395" t="n">
        <v>8</v>
      </c>
      <c r="J1414" s="395" t="n">
        <v>3</v>
      </c>
      <c r="K1414" s="395" t="n">
        <v>-2</v>
      </c>
      <c r="L1414" s="397" t="n">
        <v>3210</v>
      </c>
      <c r="M1414" s="113" t="n"/>
      <c r="N1414" s="113" t="n"/>
      <c r="O1414" s="113" t="n"/>
      <c r="P1414" s="398" t="n"/>
      <c r="Q1414" s="398" t="n"/>
      <c r="R1414" s="113" t="n"/>
      <c r="S1414" s="113" t="n"/>
      <c r="T1414" s="113" t="n"/>
      <c r="U1414" s="113" t="n"/>
      <c r="V1414" s="113" t="n"/>
    </row>
    <row r="1415" ht="15.75" customHeight="1">
      <c r="A1415" s="146" t="n">
        <v>25</v>
      </c>
      <c r="B1415" s="238" t="n"/>
      <c r="C1415" s="399" t="n">
        <v>45973</v>
      </c>
      <c r="D1415" s="146" t="inlineStr">
        <is>
          <t>221 G. MALAGUEÑA</t>
        </is>
      </c>
      <c r="E1415" s="146" t="n">
        <v>44392</v>
      </c>
      <c r="F1415" s="146" t="inlineStr">
        <is>
          <t>FERNANDO OYUELA</t>
        </is>
      </c>
      <c r="G1415" s="395" t="n">
        <v>3210</v>
      </c>
      <c r="H1415" s="395" t="n">
        <v>3198</v>
      </c>
      <c r="I1415" s="395" t="n">
        <v>5</v>
      </c>
      <c r="J1415" s="395" t="n">
        <v>3</v>
      </c>
      <c r="K1415" s="395" t="n">
        <v>-4</v>
      </c>
      <c r="L1415" s="397" t="n">
        <v>3210</v>
      </c>
      <c r="M1415" s="113" t="n"/>
      <c r="N1415" s="113" t="n"/>
      <c r="O1415" s="113" t="n"/>
      <c r="P1415" s="398" t="n"/>
      <c r="Q1415" s="398" t="n"/>
      <c r="R1415" s="113" t="n"/>
      <c r="S1415" s="113" t="n"/>
      <c r="T1415" s="113" t="n"/>
      <c r="U1415" s="113" t="n"/>
      <c r="V1415" s="113" t="n"/>
    </row>
    <row r="1416" ht="15.75" customHeight="1">
      <c r="A1416" s="146" t="n">
        <v>25</v>
      </c>
      <c r="B1416" s="238" t="n"/>
      <c r="C1416" s="399" t="n">
        <v>45973</v>
      </c>
      <c r="D1416" s="146" t="inlineStr">
        <is>
          <t>221 G. MALAGUEÑA</t>
        </is>
      </c>
      <c r="E1416" s="146" t="n">
        <v>44393</v>
      </c>
      <c r="F1416" s="146" t="inlineStr">
        <is>
          <t>DIEGO NIÑO</t>
        </is>
      </c>
      <c r="G1416" s="395" t="n">
        <v>3210</v>
      </c>
      <c r="H1416" s="395" t="n">
        <v>3193</v>
      </c>
      <c r="I1416" s="395" t="n">
        <v>5</v>
      </c>
      <c r="J1416" s="395" t="n">
        <v>12</v>
      </c>
      <c r="K1416" s="395" t="n">
        <v>0</v>
      </c>
      <c r="L1416" s="397" t="n">
        <v>3210</v>
      </c>
      <c r="M1416" s="113" t="n"/>
      <c r="N1416" s="113" t="n"/>
      <c r="O1416" s="113" t="n"/>
      <c r="P1416" s="398" t="n"/>
      <c r="Q1416" s="398" t="n"/>
      <c r="R1416" s="113" t="n"/>
      <c r="S1416" s="113" t="n"/>
      <c r="T1416" s="113" t="n"/>
      <c r="U1416" s="113" t="n"/>
      <c r="V1416" s="113" t="n"/>
    </row>
    <row r="1417" ht="15.75" customHeight="1">
      <c r="A1417" s="146" t="n">
        <v>25</v>
      </c>
      <c r="B1417" s="238" t="n"/>
      <c r="C1417" s="399" t="n">
        <v>45973</v>
      </c>
      <c r="D1417" s="146" t="inlineStr">
        <is>
          <t>221 G. MALAGUEÑA</t>
        </is>
      </c>
      <c r="E1417" s="146" t="n">
        <v>44394</v>
      </c>
      <c r="F1417" s="146" t="inlineStr">
        <is>
          <t>JOSE SOLER</t>
        </is>
      </c>
      <c r="G1417" s="395" t="n">
        <v>3335</v>
      </c>
      <c r="H1417" s="395" t="n">
        <v>3326</v>
      </c>
      <c r="I1417" s="395" t="n">
        <v>5</v>
      </c>
      <c r="J1417" s="395" t="n">
        <v>4</v>
      </c>
      <c r="K1417" s="395" t="n">
        <v>0</v>
      </c>
      <c r="L1417" s="397" t="n">
        <v>3235</v>
      </c>
      <c r="M1417" s="113" t="n"/>
      <c r="N1417" s="113" t="n"/>
      <c r="O1417" s="113" t="n"/>
      <c r="P1417" s="398" t="n"/>
      <c r="Q1417" s="398" t="n"/>
      <c r="R1417" s="113" t="n"/>
      <c r="S1417" s="113" t="n"/>
      <c r="T1417" s="113" t="n"/>
      <c r="U1417" s="113" t="n"/>
      <c r="V1417" s="113" t="n"/>
    </row>
    <row r="1418" ht="15.75" customHeight="1">
      <c r="A1418" s="146" t="n">
        <v>25</v>
      </c>
      <c r="B1418" s="238" t="n"/>
      <c r="C1418" s="399" t="n">
        <v>45973</v>
      </c>
      <c r="D1418" s="146" t="inlineStr">
        <is>
          <t>221 G. MALAGUEÑA</t>
        </is>
      </c>
      <c r="E1418" s="146" t="n">
        <v>44395</v>
      </c>
      <c r="F1418" s="146" t="inlineStr">
        <is>
          <t>ALEX GOMEZ</t>
        </is>
      </c>
      <c r="G1418" s="395" t="n">
        <v>2560</v>
      </c>
      <c r="H1418" s="395" t="n">
        <v>2550</v>
      </c>
      <c r="I1418" s="395" t="n">
        <v>6</v>
      </c>
      <c r="J1418" s="395" t="n">
        <v>4</v>
      </c>
      <c r="K1418" s="395" t="n">
        <v>0</v>
      </c>
      <c r="L1418" s="397" t="n">
        <v>2560</v>
      </c>
      <c r="M1418" s="113" t="n"/>
      <c r="N1418" s="113" t="n"/>
      <c r="O1418" s="113" t="n"/>
      <c r="P1418" s="398" t="n"/>
      <c r="Q1418" s="398" t="n"/>
      <c r="R1418" s="113" t="n"/>
      <c r="S1418" s="113" t="n"/>
      <c r="T1418" s="113" t="n"/>
      <c r="U1418" s="113" t="n"/>
      <c r="V1418" s="113" t="n"/>
    </row>
    <row r="1419" ht="15.75" customHeight="1">
      <c r="A1419" s="146" t="n">
        <v>25</v>
      </c>
      <c r="B1419" s="238" t="n"/>
      <c r="C1419" s="399" t="n">
        <v>45973</v>
      </c>
      <c r="D1419" s="146" t="inlineStr">
        <is>
          <t>221 G. MALAGUEÑA</t>
        </is>
      </c>
      <c r="E1419" s="146" t="n">
        <v>44396</v>
      </c>
      <c r="F1419" s="146" t="inlineStr">
        <is>
          <t>YAIR RIVEROS</t>
        </is>
      </c>
      <c r="G1419" s="395" t="n">
        <v>2560</v>
      </c>
      <c r="H1419" s="395" t="n">
        <v>2551</v>
      </c>
      <c r="I1419" s="395" t="n">
        <v>5</v>
      </c>
      <c r="J1419" s="395" t="n">
        <v>4</v>
      </c>
      <c r="K1419" s="395" t="n">
        <v>0</v>
      </c>
      <c r="L1419" s="397" t="n">
        <v>2560</v>
      </c>
      <c r="M1419" s="113" t="n"/>
      <c r="N1419" s="113" t="n"/>
      <c r="O1419" s="113" t="n"/>
      <c r="P1419" s="398" t="n"/>
      <c r="Q1419" s="398" t="n"/>
      <c r="R1419" s="113" t="n"/>
      <c r="S1419" s="113" t="n"/>
      <c r="T1419" s="113" t="n"/>
      <c r="U1419" s="113" t="n"/>
      <c r="V1419" s="113" t="n"/>
    </row>
    <row r="1420" ht="15.75" customHeight="1">
      <c r="A1420" s="146" t="n">
        <v>25</v>
      </c>
      <c r="B1420" s="238" t="n"/>
      <c r="C1420" s="399" t="n">
        <v>45973</v>
      </c>
      <c r="D1420" s="146" t="inlineStr">
        <is>
          <t>221 G. MALAGUEÑA</t>
        </is>
      </c>
      <c r="E1420" s="146" t="n">
        <v>44404</v>
      </c>
      <c r="F1420" s="146" t="inlineStr">
        <is>
          <t>MANUEL QUITIAN</t>
        </is>
      </c>
      <c r="G1420" s="395" t="n">
        <v>2560</v>
      </c>
      <c r="H1420" s="395" t="n">
        <v>2546</v>
      </c>
      <c r="I1420" s="395" t="n">
        <v>4</v>
      </c>
      <c r="J1420" s="395" t="n">
        <v>10</v>
      </c>
      <c r="K1420" s="395" t="n">
        <v>0</v>
      </c>
      <c r="L1420" s="397" t="n">
        <v>2560</v>
      </c>
      <c r="M1420" s="113" t="n"/>
      <c r="N1420" s="113" t="n"/>
      <c r="O1420" s="113" t="n"/>
      <c r="P1420" s="398" t="n"/>
      <c r="Q1420" s="398" t="n"/>
      <c r="R1420" s="113" t="n"/>
      <c r="S1420" s="113" t="n"/>
      <c r="T1420" s="113" t="n"/>
      <c r="U1420" s="113" t="n"/>
      <c r="V1420" s="113" t="n"/>
    </row>
    <row r="1421" ht="15.75" customHeight="1">
      <c r="A1421" s="146" t="n">
        <v>25</v>
      </c>
      <c r="B1421" s="238" t="n"/>
      <c r="C1421" s="399" t="n">
        <v>45973</v>
      </c>
      <c r="D1421" s="146" t="inlineStr">
        <is>
          <t>221 G. MALAGUEÑA</t>
        </is>
      </c>
      <c r="E1421" s="146" t="n">
        <v>44405</v>
      </c>
      <c r="F1421" s="146" t="inlineStr">
        <is>
          <t>WILMER PIÑEROS</t>
        </is>
      </c>
      <c r="G1421" s="395" t="n">
        <v>2560</v>
      </c>
      <c r="H1421" s="395" t="n">
        <v>2550</v>
      </c>
      <c r="I1421" s="395" t="n">
        <v>4</v>
      </c>
      <c r="J1421" s="395" t="n">
        <v>6</v>
      </c>
      <c r="K1421" s="395" t="n">
        <v>0</v>
      </c>
      <c r="L1421" s="397" t="n">
        <v>2560</v>
      </c>
      <c r="M1421" s="113" t="n"/>
      <c r="N1421" s="113" t="n"/>
      <c r="O1421" s="113" t="n"/>
      <c r="P1421" s="398" t="n"/>
      <c r="Q1421" s="398" t="n"/>
      <c r="R1421" s="113" t="n"/>
      <c r="S1421" s="113" t="n"/>
      <c r="T1421" s="113" t="n"/>
      <c r="U1421" s="113" t="n"/>
      <c r="V1421" s="113" t="n"/>
    </row>
    <row r="1422" ht="15.75" customHeight="1">
      <c r="A1422" s="146" t="n">
        <v>25</v>
      </c>
      <c r="B1422" s="238" t="n"/>
      <c r="C1422" s="399" t="n">
        <v>45973</v>
      </c>
      <c r="D1422" s="146" t="inlineStr">
        <is>
          <t>219 G. SAN JOSE 2</t>
        </is>
      </c>
      <c r="E1422" s="146" t="n">
        <v>44406</v>
      </c>
      <c r="F1422" s="146" t="inlineStr">
        <is>
          <t>WILMER PIÑEROS</t>
        </is>
      </c>
      <c r="G1422" s="395" t="n">
        <v>3267</v>
      </c>
      <c r="H1422" s="395" t="n">
        <v>3258</v>
      </c>
      <c r="I1422" s="395" t="n">
        <v>3</v>
      </c>
      <c r="J1422" s="395" t="n">
        <v>6</v>
      </c>
      <c r="K1422" s="395" t="n">
        <v>0</v>
      </c>
      <c r="L1422" s="397" t="n">
        <v>3267</v>
      </c>
      <c r="M1422" s="113" t="n"/>
      <c r="N1422" s="113" t="n"/>
      <c r="O1422" s="113" t="n"/>
      <c r="P1422" s="398" t="n"/>
      <c r="Q1422" s="398" t="n"/>
      <c r="R1422" s="113" t="n"/>
      <c r="S1422" s="113" t="n"/>
      <c r="T1422" s="113" t="n"/>
      <c r="U1422" s="113" t="n"/>
      <c r="V1422" s="113" t="n"/>
    </row>
    <row r="1423" ht="15.75" customHeight="1">
      <c r="A1423" s="146" t="n">
        <v>25</v>
      </c>
      <c r="B1423" s="238" t="n"/>
      <c r="C1423" s="399" t="n">
        <v>45974</v>
      </c>
      <c r="D1423" s="146" t="inlineStr">
        <is>
          <t>219 G. SAN JOSE 2</t>
        </is>
      </c>
      <c r="E1423" s="146" t="n">
        <v>44414</v>
      </c>
      <c r="F1423" s="146" t="inlineStr">
        <is>
          <t>HENRY ROMERO</t>
        </is>
      </c>
      <c r="G1423" s="395" t="n">
        <v>3240</v>
      </c>
      <c r="H1423" s="395" t="n">
        <v>3216</v>
      </c>
      <c r="I1423" s="395" t="n">
        <v>4</v>
      </c>
      <c r="J1423" s="395" t="n">
        <v>2</v>
      </c>
      <c r="K1423" s="395" t="n">
        <v>-18</v>
      </c>
      <c r="L1423" s="397" t="n">
        <v>3240</v>
      </c>
      <c r="M1423" s="113" t="n"/>
      <c r="N1423" s="113" t="n"/>
      <c r="O1423" s="113" t="n"/>
      <c r="P1423" s="398" t="n"/>
      <c r="Q1423" s="398" t="n"/>
      <c r="R1423" s="113" t="n"/>
      <c r="S1423" s="113" t="n"/>
      <c r="T1423" s="113" t="n"/>
      <c r="U1423" s="113" t="n"/>
      <c r="V1423" s="113" t="n"/>
    </row>
    <row r="1424" ht="15.75" customHeight="1">
      <c r="A1424" s="146" t="n">
        <v>25</v>
      </c>
      <c r="B1424" s="238" t="n"/>
      <c r="C1424" s="399" t="n">
        <v>45974</v>
      </c>
      <c r="D1424" s="146" t="inlineStr">
        <is>
          <t>219 G. SAN JOSE 2</t>
        </is>
      </c>
      <c r="E1424" s="146" t="n">
        <v>44415</v>
      </c>
      <c r="F1424" s="146" t="inlineStr">
        <is>
          <t>ALBERTO LOPEZ</t>
        </is>
      </c>
      <c r="G1424" s="395" t="n">
        <v>3240</v>
      </c>
      <c r="H1424" s="395" t="n">
        <v>3214</v>
      </c>
      <c r="I1424" s="395" t="n">
        <v>4</v>
      </c>
      <c r="J1424" s="395" t="n">
        <v>5</v>
      </c>
      <c r="K1424" s="395" t="n">
        <v>-17</v>
      </c>
      <c r="L1424" s="397" t="n">
        <v>3240</v>
      </c>
      <c r="M1424" s="113" t="n"/>
      <c r="N1424" s="113" t="n"/>
      <c r="O1424" s="113" t="n"/>
      <c r="P1424" s="398" t="n"/>
      <c r="Q1424" s="398" t="n"/>
      <c r="R1424" s="113" t="n"/>
      <c r="S1424" s="113" t="n"/>
      <c r="T1424" s="113" t="n"/>
      <c r="U1424" s="113" t="n"/>
      <c r="V1424" s="113" t="n"/>
    </row>
    <row r="1425" ht="15.75" customHeight="1">
      <c r="A1425" s="146" t="n">
        <v>25</v>
      </c>
      <c r="B1425" s="238" t="n"/>
      <c r="C1425" s="399" t="n">
        <v>45974</v>
      </c>
      <c r="D1425" s="146" t="inlineStr">
        <is>
          <t>219 G. SAN JOSE 2</t>
        </is>
      </c>
      <c r="E1425" s="146" t="n">
        <v>44416</v>
      </c>
      <c r="F1425" s="146" t="inlineStr">
        <is>
          <t>EDWIN ROJAS</t>
        </is>
      </c>
      <c r="G1425" s="395" t="n">
        <v>2880</v>
      </c>
      <c r="H1425" s="395" t="n">
        <v>2856</v>
      </c>
      <c r="I1425" s="395" t="n">
        <v>4</v>
      </c>
      <c r="J1425" s="395" t="n">
        <v>5</v>
      </c>
      <c r="K1425" s="395" t="n">
        <v>-15</v>
      </c>
      <c r="L1425" s="397" t="n">
        <v>2880</v>
      </c>
      <c r="M1425" s="113" t="n"/>
      <c r="N1425" s="113" t="n"/>
      <c r="O1425" s="113" t="n"/>
      <c r="P1425" s="398" t="n"/>
      <c r="Q1425" s="398" t="n"/>
      <c r="R1425" s="113" t="n"/>
      <c r="S1425" s="113" t="n"/>
      <c r="T1425" s="113" t="n"/>
      <c r="U1425" s="113" t="n"/>
      <c r="V1425" s="113" t="n"/>
    </row>
    <row r="1426" ht="15.75" customHeight="1">
      <c r="A1426" s="146" t="n">
        <v>25</v>
      </c>
      <c r="B1426" s="238" t="n"/>
      <c r="C1426" s="399" t="n">
        <v>45974</v>
      </c>
      <c r="D1426" s="146" t="inlineStr">
        <is>
          <t>219 G. SAN JOSE 2</t>
        </is>
      </c>
      <c r="E1426" s="146" t="n">
        <v>44417</v>
      </c>
      <c r="F1426" s="146" t="inlineStr">
        <is>
          <t>ALBERTO HERRERA</t>
        </is>
      </c>
      <c r="G1426" s="395" t="n">
        <v>2880</v>
      </c>
      <c r="H1426" s="395" t="n">
        <v>2849</v>
      </c>
      <c r="I1426" s="395" t="n">
        <v>4</v>
      </c>
      <c r="J1426" s="395" t="n">
        <v>7</v>
      </c>
      <c r="K1426" s="395" t="n">
        <v>-20</v>
      </c>
      <c r="L1426" s="397" t="n">
        <v>2880</v>
      </c>
      <c r="M1426" s="113" t="n"/>
      <c r="N1426" s="113" t="n"/>
      <c r="O1426" s="113" t="n"/>
      <c r="P1426" s="398" t="n"/>
      <c r="Q1426" s="398" t="n"/>
      <c r="R1426" s="113" t="n"/>
      <c r="S1426" s="113" t="n"/>
      <c r="T1426" s="113" t="n"/>
      <c r="U1426" s="113" t="n"/>
      <c r="V1426" s="113" t="n"/>
    </row>
    <row r="1427" ht="15.75" customHeight="1">
      <c r="A1427" s="146" t="n">
        <v>25</v>
      </c>
      <c r="B1427" s="238" t="n"/>
      <c r="C1427" s="399" t="n">
        <v>45974</v>
      </c>
      <c r="D1427" s="146" t="inlineStr">
        <is>
          <t>219 G. SAN JOSE 2</t>
        </is>
      </c>
      <c r="E1427" s="146" t="n">
        <v>44418</v>
      </c>
      <c r="F1427" s="146" t="inlineStr">
        <is>
          <t>ALEXANDER CHAGUALA</t>
        </is>
      </c>
      <c r="G1427" s="395" t="n">
        <v>2880</v>
      </c>
      <c r="H1427" s="395" t="n">
        <v>2858</v>
      </c>
      <c r="I1427" s="395" t="n">
        <v>3</v>
      </c>
      <c r="J1427" s="395" t="n">
        <v>1</v>
      </c>
      <c r="K1427" s="395" t="n">
        <v>-18</v>
      </c>
      <c r="L1427" s="397" t="n">
        <v>2880</v>
      </c>
      <c r="M1427" s="113" t="n"/>
      <c r="N1427" s="113" t="n"/>
      <c r="O1427" s="113" t="n"/>
      <c r="P1427" s="398" t="n"/>
      <c r="Q1427" s="398" t="n"/>
      <c r="R1427" s="113" t="n"/>
      <c r="S1427" s="113" t="n"/>
      <c r="T1427" s="113" t="n"/>
      <c r="U1427" s="113" t="n"/>
      <c r="V1427" s="113" t="n"/>
    </row>
    <row r="1428" ht="15.75" customHeight="1">
      <c r="A1428" s="146" t="n">
        <v>25</v>
      </c>
      <c r="B1428" s="238" t="n"/>
      <c r="C1428" s="399" t="n">
        <v>45975</v>
      </c>
      <c r="D1428" s="146" t="inlineStr">
        <is>
          <t>221 G. MALAGUEÑA</t>
        </is>
      </c>
      <c r="E1428" s="146" t="n">
        <v>44433</v>
      </c>
      <c r="F1428" s="146" t="inlineStr">
        <is>
          <t>ROBINSON PULIDO</t>
        </is>
      </c>
      <c r="G1428" s="395" t="n">
        <v>3370</v>
      </c>
      <c r="H1428" s="395" t="n">
        <v>3359</v>
      </c>
      <c r="I1428" s="395" t="n">
        <v>2</v>
      </c>
      <c r="J1428" s="395" t="n">
        <v>9</v>
      </c>
      <c r="K1428" s="395" t="n">
        <v>0</v>
      </c>
      <c r="L1428" s="397" t="n">
        <v>2580</v>
      </c>
      <c r="M1428" s="113" t="n"/>
      <c r="N1428" s="113" t="n"/>
      <c r="O1428" s="113" t="n"/>
      <c r="P1428" s="398" t="n"/>
      <c r="Q1428" s="398" t="n"/>
      <c r="R1428" s="113" t="n"/>
      <c r="S1428" s="113" t="n"/>
      <c r="T1428" s="113" t="n"/>
      <c r="U1428" s="113" t="n"/>
      <c r="V1428" s="113" t="n"/>
    </row>
    <row r="1429" ht="15.75" customHeight="1">
      <c r="A1429" s="146" t="n">
        <v>25</v>
      </c>
      <c r="B1429" s="238" t="n"/>
      <c r="C1429" s="399" t="n">
        <v>45975</v>
      </c>
      <c r="D1429" s="146" t="inlineStr">
        <is>
          <t>221 G. MALAGUEÑA</t>
        </is>
      </c>
      <c r="E1429" s="146" t="n">
        <v>44434</v>
      </c>
      <c r="F1429" s="146" t="inlineStr">
        <is>
          <t>YAIR RIVEROS</t>
        </is>
      </c>
      <c r="G1429" s="395" t="n">
        <v>2550</v>
      </c>
      <c r="H1429" s="395" t="n">
        <v>2538</v>
      </c>
      <c r="I1429" s="395" t="n">
        <v>2</v>
      </c>
      <c r="J1429" s="395" t="n">
        <v>10</v>
      </c>
      <c r="K1429" s="395" t="n">
        <v>0</v>
      </c>
      <c r="L1429" s="397" t="n">
        <v>2580</v>
      </c>
      <c r="M1429" s="113" t="n"/>
      <c r="N1429" s="113" t="n"/>
      <c r="O1429" s="113" t="n"/>
      <c r="P1429" s="398" t="n"/>
      <c r="Q1429" s="398" t="n"/>
      <c r="R1429" s="113" t="n"/>
      <c r="S1429" s="113" t="n"/>
      <c r="T1429" s="113" t="n"/>
      <c r="U1429" s="113" t="n"/>
      <c r="V1429" s="113" t="n"/>
    </row>
    <row r="1430" ht="15.75" customHeight="1">
      <c r="A1430" s="146" t="n">
        <v>25</v>
      </c>
      <c r="B1430" s="238" t="n"/>
      <c r="C1430" s="399" t="n">
        <v>45975</v>
      </c>
      <c r="D1430" s="146" t="inlineStr">
        <is>
          <t>221 G. MALAGUEÑA</t>
        </is>
      </c>
      <c r="E1430" s="146" t="n">
        <v>44435</v>
      </c>
      <c r="F1430" s="146" t="inlineStr">
        <is>
          <t>JOSE SOLER</t>
        </is>
      </c>
      <c r="G1430" s="395" t="n">
        <v>2580</v>
      </c>
      <c r="H1430" s="395" t="n">
        <v>2576</v>
      </c>
      <c r="I1430" s="395" t="n">
        <v>3</v>
      </c>
      <c r="J1430" s="395" t="n">
        <v>1</v>
      </c>
      <c r="K1430" s="395" t="n">
        <v>0</v>
      </c>
      <c r="L1430" s="397" t="n">
        <v>2580</v>
      </c>
      <c r="M1430" s="113" t="n"/>
      <c r="N1430" s="113" t="n"/>
      <c r="O1430" s="113" t="n"/>
      <c r="P1430" s="398" t="n"/>
      <c r="Q1430" s="398" t="n"/>
      <c r="R1430" s="113" t="n"/>
      <c r="S1430" s="113" t="n"/>
      <c r="T1430" s="113" t="n"/>
      <c r="U1430" s="113" t="n"/>
      <c r="V1430" s="113" t="n"/>
    </row>
    <row r="1431" ht="15.75" customHeight="1">
      <c r="A1431" s="146" t="n">
        <v>25</v>
      </c>
      <c r="B1431" s="238" t="n"/>
      <c r="C1431" s="399" t="n">
        <v>45975</v>
      </c>
      <c r="D1431" s="146" t="inlineStr">
        <is>
          <t>221 G. MALAGUEÑA</t>
        </is>
      </c>
      <c r="E1431" s="146" t="n">
        <v>44436</v>
      </c>
      <c r="F1431" s="146" t="inlineStr">
        <is>
          <t>EDUAN CAVIEDES</t>
        </is>
      </c>
      <c r="G1431" s="395" t="n">
        <v>2580</v>
      </c>
      <c r="H1431" s="395" t="n">
        <v>2573</v>
      </c>
      <c r="I1431" s="395" t="n">
        <v>4</v>
      </c>
      <c r="J1431" s="395" t="n">
        <v>3</v>
      </c>
      <c r="K1431" s="395" t="n">
        <v>0</v>
      </c>
      <c r="L1431" s="397" t="n">
        <v>2580</v>
      </c>
      <c r="M1431" s="113" t="n"/>
      <c r="N1431" s="113" t="n"/>
      <c r="O1431" s="113" t="n"/>
      <c r="P1431" s="398" t="n"/>
      <c r="Q1431" s="398" t="n"/>
      <c r="R1431" s="113" t="n"/>
      <c r="S1431" s="113" t="n"/>
      <c r="T1431" s="113" t="n"/>
      <c r="U1431" s="113" t="n"/>
      <c r="V1431" s="113" t="n"/>
    </row>
    <row r="1432" ht="15.75" customHeight="1">
      <c r="A1432" s="146" t="n">
        <v>25</v>
      </c>
      <c r="B1432" s="238" t="n"/>
      <c r="C1432" s="399" t="n">
        <v>45975</v>
      </c>
      <c r="D1432" s="146" t="inlineStr">
        <is>
          <t>221 G. MALAGUEÑA</t>
        </is>
      </c>
      <c r="E1432" s="146" t="n">
        <v>44437</v>
      </c>
      <c r="F1432" s="146" t="inlineStr">
        <is>
          <t>DIEGO NIÑO</t>
        </is>
      </c>
      <c r="G1432" s="395" t="n">
        <v>2580</v>
      </c>
      <c r="H1432" s="395" t="n">
        <v>2576</v>
      </c>
      <c r="I1432" s="395" t="n">
        <v>2</v>
      </c>
      <c r="J1432" s="395" t="n">
        <v>2</v>
      </c>
      <c r="K1432" s="395" t="n">
        <v>0</v>
      </c>
      <c r="L1432" s="397" t="n">
        <v>3370</v>
      </c>
      <c r="M1432" s="113" t="n"/>
      <c r="N1432" s="113" t="n"/>
      <c r="O1432" s="113" t="n"/>
      <c r="P1432" s="398" t="n"/>
      <c r="Q1432" s="398" t="n"/>
      <c r="R1432" s="113" t="n"/>
      <c r="S1432" s="113" t="n"/>
      <c r="T1432" s="113" t="n"/>
      <c r="U1432" s="113" t="n"/>
      <c r="V1432" s="113" t="n"/>
    </row>
    <row r="1433" ht="15.75" customHeight="1">
      <c r="A1433" s="146" t="n">
        <v>25</v>
      </c>
      <c r="B1433" s="238" t="n"/>
      <c r="C1433" s="399" t="n">
        <v>45975</v>
      </c>
      <c r="D1433" s="146" t="inlineStr">
        <is>
          <t>221 G. MALAGUEÑA</t>
        </is>
      </c>
      <c r="E1433" s="146" t="n">
        <v>44438</v>
      </c>
      <c r="F1433" s="146" t="inlineStr">
        <is>
          <t>FERNANDO SANDOVAL</t>
        </is>
      </c>
      <c r="G1433" s="395" t="n">
        <v>2580</v>
      </c>
      <c r="H1433" s="395" t="n">
        <v>2577</v>
      </c>
      <c r="I1433" s="395" t="n">
        <v>1</v>
      </c>
      <c r="J1433" s="395" t="n">
        <v>2</v>
      </c>
      <c r="K1433" s="395" t="n">
        <v>0</v>
      </c>
      <c r="L1433" s="397" t="n">
        <v>2550</v>
      </c>
      <c r="M1433" s="113" t="n"/>
      <c r="N1433" s="113" t="n"/>
      <c r="O1433" s="113" t="n"/>
      <c r="P1433" s="398" t="n"/>
      <c r="Q1433" s="398" t="n"/>
      <c r="R1433" s="113" t="n"/>
      <c r="S1433" s="113" t="n"/>
      <c r="T1433" s="113" t="n"/>
      <c r="U1433" s="113" t="n"/>
      <c r="V1433" s="113" t="n"/>
    </row>
    <row r="1434" ht="15.75" customHeight="1">
      <c r="A1434" s="146" t="n">
        <v>25</v>
      </c>
      <c r="B1434" s="238" t="n"/>
      <c r="C1434" s="399" t="n">
        <v>45975</v>
      </c>
      <c r="D1434" s="146" t="inlineStr">
        <is>
          <t>219 G. SAN JOSE 2</t>
        </is>
      </c>
      <c r="E1434" s="146" t="n">
        <v>44447</v>
      </c>
      <c r="F1434" s="146" t="inlineStr">
        <is>
          <t>YAIR RIVEROS</t>
        </is>
      </c>
      <c r="G1434" s="395" t="n">
        <v>3600</v>
      </c>
      <c r="H1434" s="395" t="n">
        <v>3570</v>
      </c>
      <c r="I1434" s="395" t="n">
        <v>2</v>
      </c>
      <c r="J1434" s="395" t="n">
        <v>5</v>
      </c>
      <c r="K1434" s="395" t="n">
        <v>-23</v>
      </c>
      <c r="L1434" s="397" t="n">
        <v>2970</v>
      </c>
      <c r="M1434" s="113" t="n"/>
      <c r="N1434" s="113" t="n"/>
      <c r="O1434" s="113" t="n"/>
      <c r="P1434" s="398" t="n"/>
      <c r="Q1434" s="398" t="n"/>
      <c r="R1434" s="113" t="n"/>
      <c r="S1434" s="113" t="n"/>
      <c r="T1434" s="113" t="n"/>
      <c r="U1434" s="113" t="n"/>
      <c r="V1434" s="113" t="n"/>
    </row>
    <row r="1435" ht="15.75" customHeight="1">
      <c r="A1435" s="146" t="n">
        <v>25</v>
      </c>
      <c r="B1435" s="238" t="n"/>
      <c r="C1435" s="399" t="n">
        <v>45975</v>
      </c>
      <c r="D1435" s="146" t="inlineStr">
        <is>
          <t>219 G. SAN JOSE 2</t>
        </is>
      </c>
      <c r="E1435" s="146" t="n">
        <v>44448</v>
      </c>
      <c r="F1435" s="146" t="inlineStr">
        <is>
          <t>MANUEL QUITIAN</t>
        </is>
      </c>
      <c r="G1435" s="395" t="n">
        <v>2970</v>
      </c>
      <c r="H1435" s="395" t="n">
        <v>2956</v>
      </c>
      <c r="I1435" s="395" t="n">
        <v>6</v>
      </c>
      <c r="J1435" s="395" t="n">
        <v>6</v>
      </c>
      <c r="K1435" s="395" t="n">
        <v>-2</v>
      </c>
      <c r="L1435" s="397" t="n">
        <v>2970</v>
      </c>
      <c r="M1435" s="113" t="n"/>
      <c r="N1435" s="113" t="n"/>
      <c r="O1435" s="113" t="n"/>
      <c r="P1435" s="398" t="n"/>
      <c r="Q1435" s="398" t="n"/>
      <c r="R1435" s="113" t="n"/>
      <c r="S1435" s="113" t="n"/>
      <c r="T1435" s="113" t="n"/>
      <c r="U1435" s="113" t="n"/>
      <c r="V1435" s="113" t="n"/>
    </row>
    <row r="1436" ht="15.75" customHeight="1">
      <c r="A1436" s="146" t="n">
        <v>25</v>
      </c>
      <c r="B1436" s="238" t="n"/>
      <c r="C1436" s="399" t="n">
        <v>45975</v>
      </c>
      <c r="D1436" s="146" t="inlineStr">
        <is>
          <t>219 G. SAN JOSE 2</t>
        </is>
      </c>
      <c r="E1436" s="146" t="n">
        <v>44449</v>
      </c>
      <c r="F1436" s="146" t="inlineStr">
        <is>
          <t>ROBINSON PULIDO</t>
        </is>
      </c>
      <c r="G1436" s="395" t="n">
        <v>2970</v>
      </c>
      <c r="H1436" s="395" t="n">
        <v>2958</v>
      </c>
      <c r="I1436" s="395" t="n">
        <v>2</v>
      </c>
      <c r="J1436" s="395" t="n">
        <v>9</v>
      </c>
      <c r="K1436" s="395" t="n">
        <v>-1</v>
      </c>
      <c r="L1436" s="397" t="n">
        <v>3600</v>
      </c>
      <c r="M1436" s="113" t="n"/>
      <c r="N1436" s="113" t="n"/>
      <c r="O1436" s="113" t="n"/>
      <c r="P1436" s="398" t="n"/>
      <c r="Q1436" s="398" t="n"/>
      <c r="R1436" s="113" t="n"/>
      <c r="S1436" s="113" t="n"/>
      <c r="T1436" s="113" t="n"/>
      <c r="U1436" s="113" t="n"/>
      <c r="V1436" s="113" t="n"/>
    </row>
    <row r="1437" ht="15.75" customHeight="1">
      <c r="A1437" s="146" t="n">
        <v>25</v>
      </c>
      <c r="B1437" s="238" t="n"/>
      <c r="C1437" s="399" t="n">
        <v>45975</v>
      </c>
      <c r="D1437" s="146" t="inlineStr">
        <is>
          <t>219 G. SAN JOSE 2</t>
        </is>
      </c>
      <c r="E1437" s="146" t="n">
        <v>44450</v>
      </c>
      <c r="F1437" s="146" t="inlineStr">
        <is>
          <t>JOSE SOLER</t>
        </is>
      </c>
      <c r="G1437" s="395" t="n">
        <v>3770</v>
      </c>
      <c r="H1437" s="395" t="n">
        <v>3767</v>
      </c>
      <c r="I1437" s="395" t="n">
        <v>4</v>
      </c>
      <c r="J1437" s="395" t="n">
        <v>3</v>
      </c>
      <c r="K1437" s="395" t="n">
        <v>4</v>
      </c>
      <c r="L1437" s="397" t="n">
        <v>3770</v>
      </c>
      <c r="M1437" s="113" t="n"/>
      <c r="N1437" s="113" t="n"/>
      <c r="O1437" s="113" t="n"/>
      <c r="P1437" s="398" t="n"/>
      <c r="Q1437" s="398" t="n"/>
      <c r="R1437" s="113" t="n"/>
      <c r="S1437" s="113" t="n"/>
      <c r="T1437" s="113" t="n"/>
      <c r="U1437" s="113" t="n"/>
      <c r="V1437" s="113" t="n"/>
    </row>
    <row r="1438" ht="15.75" customHeight="1">
      <c r="A1438" s="146" t="n">
        <v>25</v>
      </c>
      <c r="B1438" s="238" t="n"/>
      <c r="C1438" s="399" t="n">
        <v>45975</v>
      </c>
      <c r="D1438" s="146" t="inlineStr">
        <is>
          <t>219 G. SAN JOSE 2</t>
        </is>
      </c>
      <c r="E1438" s="146" t="n">
        <v>44451</v>
      </c>
      <c r="F1438" s="146" t="inlineStr">
        <is>
          <t>EDUAN CAVIEDES</t>
        </is>
      </c>
      <c r="G1438" s="395" t="n">
        <v>3770</v>
      </c>
      <c r="H1438" s="395" t="n">
        <v>3749</v>
      </c>
      <c r="I1438" s="395" t="n">
        <v>2</v>
      </c>
      <c r="J1438" s="395" t="n">
        <v>4</v>
      </c>
      <c r="K1438" s="395" t="n">
        <v>-15</v>
      </c>
      <c r="L1438" s="397" t="n">
        <v>3770</v>
      </c>
      <c r="M1438" s="113" t="n"/>
      <c r="N1438" s="113" t="n"/>
      <c r="O1438" s="113" t="n"/>
      <c r="P1438" s="398" t="n"/>
      <c r="Q1438" s="398" t="n"/>
      <c r="R1438" s="113" t="n"/>
      <c r="S1438" s="113" t="n"/>
      <c r="T1438" s="113" t="n"/>
      <c r="U1438" s="113" t="n"/>
      <c r="V1438" s="113" t="n"/>
    </row>
    <row r="1439" ht="15.75" customHeight="1">
      <c r="A1439" s="146" t="n">
        <v>25</v>
      </c>
      <c r="B1439" s="238" t="n"/>
      <c r="C1439" s="399" t="n"/>
      <c r="D1439" s="113" t="n"/>
      <c r="E1439" s="113" t="n"/>
      <c r="F1439" s="113" t="n"/>
      <c r="G1439" s="477">
        <f>SUBTOTAL(9,G1393:G1438)</f>
        <v/>
      </c>
      <c r="H1439" s="477">
        <f>SUBTOTAL(9,H1393:H1438)</f>
        <v/>
      </c>
      <c r="I1439" s="477">
        <f>SUBTOTAL(9,I1393:I1438)</f>
        <v/>
      </c>
      <c r="J1439" s="477">
        <f>SUBTOTAL(9,J1393:J1438)</f>
        <v/>
      </c>
      <c r="K1439" s="477">
        <f>SUBTOTAL(9,K1393:K1438)</f>
        <v/>
      </c>
      <c r="L1439" s="477">
        <f>SUBTOTAL(9,L1393:L1438)</f>
        <v/>
      </c>
      <c r="M1439" s="113" t="n"/>
      <c r="N1439" s="113" t="n"/>
      <c r="O1439" s="113" t="n"/>
      <c r="P1439" s="398" t="n"/>
      <c r="Q1439" s="398" t="n"/>
      <c r="R1439" s="113" t="n"/>
      <c r="S1439" s="113" t="n"/>
      <c r="T1439" s="113" t="n"/>
      <c r="U1439" s="113" t="n"/>
      <c r="V1439" s="113" t="n"/>
    </row>
    <row r="1440" ht="15.75" customHeight="1">
      <c r="A1440" s="146" t="n">
        <v>26</v>
      </c>
      <c r="B1440" s="238" t="n"/>
      <c r="C1440" s="399" t="n">
        <v>45977</v>
      </c>
      <c r="D1440" s="146" t="inlineStr">
        <is>
          <t>221 G. MALAGUEÑA</t>
        </is>
      </c>
      <c r="E1440" s="146" t="n">
        <v>44452</v>
      </c>
      <c r="F1440" s="146" t="inlineStr">
        <is>
          <t>EDUAN CAVIEDES</t>
        </is>
      </c>
      <c r="G1440" s="395" t="n">
        <v>3564</v>
      </c>
      <c r="H1440" s="395" t="n">
        <v>3506</v>
      </c>
      <c r="I1440" s="395" t="n">
        <v>3</v>
      </c>
      <c r="J1440" s="395" t="n">
        <v>8</v>
      </c>
      <c r="K1440" s="395" t="n">
        <v>-47</v>
      </c>
      <c r="L1440" s="397" t="n">
        <v>3564</v>
      </c>
      <c r="M1440" s="113" t="n"/>
      <c r="N1440" s="113" t="n"/>
      <c r="O1440" s="113" t="n"/>
      <c r="P1440" s="398" t="n"/>
      <c r="Q1440" s="398" t="n"/>
      <c r="R1440" s="113" t="n"/>
      <c r="S1440" s="113" t="n"/>
      <c r="T1440" s="113" t="n"/>
      <c r="U1440" s="113" t="n"/>
      <c r="V1440" s="113" t="n"/>
    </row>
    <row r="1441" ht="15.75" customHeight="1">
      <c r="A1441" s="146" t="n">
        <v>26</v>
      </c>
      <c r="B1441" s="238" t="n"/>
      <c r="C1441" s="399" t="n">
        <v>45977</v>
      </c>
      <c r="D1441" s="146" t="inlineStr">
        <is>
          <t>221 G. MALAGUEÑA</t>
        </is>
      </c>
      <c r="E1441" s="146" t="n">
        <v>44453</v>
      </c>
      <c r="F1441" s="146" t="inlineStr">
        <is>
          <t>MANUEL QUITIAN</t>
        </is>
      </c>
      <c r="G1441" s="395" t="n">
        <v>2270</v>
      </c>
      <c r="H1441" s="395" t="n">
        <v>2237</v>
      </c>
      <c r="I1441" s="395" t="n">
        <v>3</v>
      </c>
      <c r="J1441" s="395" t="n">
        <v>6</v>
      </c>
      <c r="K1441" s="395" t="n">
        <v>-24</v>
      </c>
      <c r="L1441" s="397" t="n">
        <v>2270</v>
      </c>
      <c r="M1441" s="113" t="n"/>
      <c r="N1441" s="113" t="n"/>
      <c r="O1441" s="113" t="n"/>
      <c r="P1441" s="398" t="n"/>
      <c r="Q1441" s="398" t="n"/>
      <c r="R1441" s="113" t="n"/>
      <c r="S1441" s="113" t="n"/>
      <c r="T1441" s="113" t="n"/>
      <c r="U1441" s="113" t="n"/>
      <c r="V1441" s="113" t="n"/>
    </row>
    <row r="1442" ht="15.75" customHeight="1">
      <c r="A1442" s="146" t="n">
        <v>26</v>
      </c>
      <c r="B1442" s="238" t="n"/>
      <c r="C1442" s="399" t="n">
        <v>45977</v>
      </c>
      <c r="D1442" s="146" t="inlineStr">
        <is>
          <t>219 G. SAN JOSE 2</t>
        </is>
      </c>
      <c r="E1442" s="146" t="n">
        <v>44454</v>
      </c>
      <c r="F1442" s="146" t="inlineStr">
        <is>
          <t>JOSE SOLER</t>
        </is>
      </c>
      <c r="G1442" s="395" t="n">
        <v>2000</v>
      </c>
      <c r="H1442" s="395" t="n">
        <v>1995</v>
      </c>
      <c r="I1442" s="395" t="n">
        <v>3</v>
      </c>
      <c r="J1442" s="395" t="n">
        <v>1</v>
      </c>
      <c r="K1442" s="395" t="n">
        <v>-1</v>
      </c>
      <c r="L1442" s="397" t="n">
        <v>2000</v>
      </c>
      <c r="M1442" s="113" t="n"/>
      <c r="N1442" s="113" t="n"/>
      <c r="O1442" s="113" t="n"/>
      <c r="P1442" s="398" t="n"/>
      <c r="Q1442" s="398" t="n"/>
      <c r="R1442" s="113" t="n"/>
      <c r="S1442" s="113" t="n"/>
      <c r="T1442" s="113" t="n"/>
      <c r="U1442" s="113" t="n"/>
      <c r="V1442" s="113" t="n"/>
    </row>
    <row r="1443" ht="15.75" customHeight="1">
      <c r="A1443" s="146" t="n">
        <v>26</v>
      </c>
      <c r="B1443" s="238" t="n"/>
      <c r="C1443" s="399" t="n">
        <v>45977</v>
      </c>
      <c r="D1443" s="146" t="inlineStr">
        <is>
          <t>219 G. SAN JOSE 2</t>
        </is>
      </c>
      <c r="E1443" s="146" t="n">
        <v>44455</v>
      </c>
      <c r="F1443" s="146" t="inlineStr">
        <is>
          <t>YAIR RIVEROS</t>
        </is>
      </c>
      <c r="G1443" s="395" t="n">
        <v>2590</v>
      </c>
      <c r="H1443" s="395" t="n">
        <v>2588</v>
      </c>
      <c r="I1443" s="395" t="n">
        <v>3</v>
      </c>
      <c r="J1443" s="395" t="n">
        <v>2</v>
      </c>
      <c r="K1443" s="395" t="n">
        <v>3</v>
      </c>
      <c r="L1443" s="397" t="n">
        <v>2590</v>
      </c>
      <c r="M1443" s="113" t="n"/>
      <c r="N1443" s="113" t="n"/>
      <c r="O1443" s="113" t="n"/>
      <c r="P1443" s="398" t="n"/>
      <c r="Q1443" s="398" t="n"/>
      <c r="R1443" s="113" t="n"/>
      <c r="S1443" s="113" t="n"/>
      <c r="T1443" s="113" t="n"/>
      <c r="U1443" s="113" t="n"/>
      <c r="V1443" s="113" t="n"/>
    </row>
    <row r="1444" ht="15.75" customHeight="1">
      <c r="A1444" s="146" t="n">
        <v>26</v>
      </c>
      <c r="B1444" s="238" t="n"/>
      <c r="C1444" s="399" t="n">
        <v>45977</v>
      </c>
      <c r="D1444" s="146" t="inlineStr">
        <is>
          <t>219 G. SAN JOSE 2</t>
        </is>
      </c>
      <c r="E1444" s="146" t="n">
        <v>44456</v>
      </c>
      <c r="F1444" s="146" t="inlineStr">
        <is>
          <t>ROBINSON PULIDO</t>
        </is>
      </c>
      <c r="G1444" s="395" t="n">
        <v>2590</v>
      </c>
      <c r="H1444" s="395" t="n">
        <v>2581</v>
      </c>
      <c r="I1444" s="395" t="n">
        <v>3</v>
      </c>
      <c r="J1444" s="395" t="n">
        <v>4</v>
      </c>
      <c r="K1444" s="395" t="n">
        <v>-2</v>
      </c>
      <c r="L1444" s="397" t="n">
        <v>2590</v>
      </c>
      <c r="M1444" s="113" t="n"/>
      <c r="N1444" s="113" t="n"/>
      <c r="O1444" s="113" t="n"/>
      <c r="P1444" s="398" t="n"/>
      <c r="Q1444" s="398" t="n"/>
      <c r="R1444" s="113" t="n"/>
      <c r="S1444" s="113" t="n"/>
      <c r="T1444" s="113" t="n"/>
      <c r="U1444" s="113" t="n"/>
      <c r="V1444" s="113" t="n"/>
    </row>
    <row r="1445" ht="15.75" customHeight="1">
      <c r="A1445" s="146" t="n">
        <v>26</v>
      </c>
      <c r="B1445" s="238" t="n"/>
      <c r="C1445" s="399" t="n">
        <v>45977</v>
      </c>
      <c r="D1445" s="146" t="inlineStr">
        <is>
          <t>219 G. SAN JOSE 2</t>
        </is>
      </c>
      <c r="E1445" s="146" t="n">
        <v>44457</v>
      </c>
      <c r="F1445" s="146" t="inlineStr">
        <is>
          <t>ALEXANDER CHAGUALA</t>
        </is>
      </c>
      <c r="G1445" s="395" t="n">
        <v>2590</v>
      </c>
      <c r="H1445" s="395" t="n">
        <v>2586</v>
      </c>
      <c r="I1445" s="395" t="n">
        <v>2</v>
      </c>
      <c r="J1445" s="395" t="n">
        <v>4</v>
      </c>
      <c r="K1445" s="395" t="n">
        <v>2</v>
      </c>
      <c r="L1445" s="397" t="n">
        <v>2590</v>
      </c>
      <c r="M1445" s="113" t="n"/>
      <c r="N1445" s="113" t="n"/>
      <c r="O1445" s="113" t="n"/>
      <c r="P1445" s="398" t="n"/>
      <c r="Q1445" s="398" t="n"/>
      <c r="R1445" s="113" t="n"/>
      <c r="S1445" s="113" t="n"/>
      <c r="T1445" s="113" t="n"/>
      <c r="U1445" s="113" t="n"/>
      <c r="V1445" s="113" t="n"/>
    </row>
    <row r="1446" ht="15.75" customHeight="1">
      <c r="A1446" s="146" t="n">
        <v>26</v>
      </c>
      <c r="B1446" s="238" t="n"/>
      <c r="C1446" s="399" t="n">
        <v>45977</v>
      </c>
      <c r="D1446" s="146" t="inlineStr">
        <is>
          <t>219 G. SAN JOSE 2</t>
        </is>
      </c>
      <c r="E1446" s="146" t="n">
        <v>44458</v>
      </c>
      <c r="F1446" s="146" t="inlineStr">
        <is>
          <t>SEBASTIAN HIDALGO</t>
        </is>
      </c>
      <c r="G1446" s="395" t="n">
        <v>2890</v>
      </c>
      <c r="H1446" s="395" t="n">
        <v>2868</v>
      </c>
      <c r="I1446" s="395" t="n">
        <v>2</v>
      </c>
      <c r="J1446" s="395" t="n">
        <v>4</v>
      </c>
      <c r="K1446" s="395" t="n">
        <v>-16</v>
      </c>
      <c r="L1446" s="397" t="n">
        <v>2890</v>
      </c>
      <c r="M1446" s="113" t="n"/>
      <c r="N1446" s="113" t="n"/>
      <c r="O1446" s="113" t="n"/>
      <c r="P1446" s="398" t="n"/>
      <c r="Q1446" s="398" t="n"/>
      <c r="R1446" s="113" t="n"/>
      <c r="S1446" s="113" t="n"/>
      <c r="T1446" s="113" t="n"/>
      <c r="U1446" s="113" t="n"/>
      <c r="V1446" s="113" t="n"/>
    </row>
    <row r="1447" ht="15.75" customHeight="1">
      <c r="A1447" s="146" t="n">
        <v>26</v>
      </c>
      <c r="B1447" s="238" t="n"/>
      <c r="C1447" s="399" t="n">
        <v>45977</v>
      </c>
      <c r="D1447" s="146" t="inlineStr">
        <is>
          <t>219 G. SAN JOSE 2</t>
        </is>
      </c>
      <c r="E1447" s="146" t="n">
        <v>44459</v>
      </c>
      <c r="F1447" s="146" t="inlineStr">
        <is>
          <t>MANUEL QUITIAN</t>
        </is>
      </c>
      <c r="G1447" s="395" t="n">
        <v>2890</v>
      </c>
      <c r="H1447" s="395" t="n">
        <v>2883</v>
      </c>
      <c r="I1447" s="395" t="n">
        <v>2</v>
      </c>
      <c r="J1447" s="395" t="n">
        <v>3</v>
      </c>
      <c r="K1447" s="395" t="n">
        <v>-2</v>
      </c>
      <c r="L1447" s="397" t="n">
        <v>2890</v>
      </c>
      <c r="M1447" s="113" t="n"/>
      <c r="N1447" s="113" t="n"/>
      <c r="O1447" s="113" t="n"/>
      <c r="P1447" s="398" t="n"/>
      <c r="Q1447" s="398" t="n"/>
      <c r="R1447" s="113" t="n"/>
      <c r="S1447" s="113" t="n"/>
      <c r="T1447" s="113" t="n"/>
      <c r="U1447" s="113" t="n"/>
      <c r="V1447" s="113" t="n"/>
    </row>
    <row r="1448" ht="15.75" customHeight="1">
      <c r="A1448" s="146" t="n">
        <v>26</v>
      </c>
      <c r="B1448" s="238" t="n"/>
      <c r="C1448" s="399" t="n">
        <v>45979</v>
      </c>
      <c r="D1448" s="146" t="inlineStr">
        <is>
          <t>221 G. MALAGUEÑA</t>
        </is>
      </c>
      <c r="E1448" s="146" t="n">
        <v>44482</v>
      </c>
      <c r="F1448" s="146" t="inlineStr">
        <is>
          <t>MANUEL QUITIAN</t>
        </is>
      </c>
      <c r="G1448" s="395" t="n">
        <v>3429</v>
      </c>
      <c r="H1448" s="395" t="n">
        <v>3418</v>
      </c>
      <c r="I1448" s="395" t="n">
        <v>2</v>
      </c>
      <c r="J1448" s="395" t="n">
        <v>2</v>
      </c>
      <c r="K1448" s="395" t="n">
        <v>-7</v>
      </c>
      <c r="L1448" s="397" t="n">
        <v>3429</v>
      </c>
      <c r="M1448" s="113" t="n"/>
      <c r="N1448" s="113" t="n"/>
      <c r="O1448" s="113" t="n"/>
      <c r="P1448" s="398" t="n"/>
      <c r="Q1448" s="398" t="n"/>
      <c r="R1448" s="113" t="n"/>
      <c r="S1448" s="113" t="n"/>
      <c r="T1448" s="113" t="n"/>
      <c r="U1448" s="113" t="n"/>
      <c r="V1448" s="113" t="n"/>
    </row>
    <row r="1449" ht="15.75" customHeight="1">
      <c r="A1449" s="146" t="n">
        <v>26</v>
      </c>
      <c r="B1449" s="238" t="n"/>
      <c r="C1449" s="399" t="n">
        <v>45979</v>
      </c>
      <c r="D1449" s="146" t="inlineStr">
        <is>
          <t>221 G. MALAGUEÑA</t>
        </is>
      </c>
      <c r="E1449" s="146" t="n">
        <v>44483</v>
      </c>
      <c r="F1449" s="146" t="inlineStr">
        <is>
          <t>DIEGO NIÑO</t>
        </is>
      </c>
      <c r="G1449" s="395" t="n">
        <v>3430</v>
      </c>
      <c r="H1449" s="395" t="n">
        <v>3418</v>
      </c>
      <c r="I1449" s="395" t="n">
        <v>3</v>
      </c>
      <c r="J1449" s="395" t="n">
        <v>2</v>
      </c>
      <c r="K1449" s="395" t="n">
        <v>-7</v>
      </c>
      <c r="L1449" s="397" t="n">
        <v>3430</v>
      </c>
      <c r="M1449" s="113" t="n"/>
      <c r="N1449" s="113" t="n"/>
      <c r="O1449" s="113" t="n"/>
      <c r="P1449" s="398" t="n"/>
      <c r="Q1449" s="398" t="n"/>
      <c r="R1449" s="113" t="n"/>
      <c r="S1449" s="113" t="n"/>
      <c r="T1449" s="113" t="n"/>
      <c r="U1449" s="113" t="n"/>
      <c r="V1449" s="113" t="n"/>
    </row>
    <row r="1450" ht="15.75" customHeight="1">
      <c r="A1450" s="146" t="n">
        <v>26</v>
      </c>
      <c r="B1450" s="238" t="n"/>
      <c r="C1450" s="399" t="n">
        <v>45979</v>
      </c>
      <c r="D1450" s="146" t="inlineStr">
        <is>
          <t>219 G. SAN JOSE 2</t>
        </is>
      </c>
      <c r="E1450" s="146" t="n">
        <v>44484</v>
      </c>
      <c r="F1450" s="146" t="inlineStr">
        <is>
          <t>FABIO ALDANA</t>
        </is>
      </c>
      <c r="G1450" s="395" t="n">
        <v>2760</v>
      </c>
      <c r="H1450" s="395" t="n">
        <v>2750</v>
      </c>
      <c r="I1450" s="395" t="n">
        <v>2</v>
      </c>
      <c r="J1450" s="395" t="n">
        <v>5</v>
      </c>
      <c r="K1450" s="395" t="n">
        <v>-3</v>
      </c>
      <c r="L1450" s="397" t="n">
        <v>2690</v>
      </c>
      <c r="M1450" s="113" t="n"/>
      <c r="N1450" s="113" t="n"/>
      <c r="O1450" s="113" t="n"/>
      <c r="P1450" s="398" t="n"/>
      <c r="Q1450" s="398" t="n"/>
      <c r="R1450" s="113" t="n"/>
      <c r="S1450" s="113" t="n"/>
      <c r="T1450" s="113" t="n"/>
      <c r="U1450" s="113" t="n"/>
      <c r="V1450" s="113" t="n"/>
    </row>
    <row r="1451" ht="15.75" customHeight="1">
      <c r="A1451" s="146" t="n">
        <v>26</v>
      </c>
      <c r="B1451" s="238" t="n"/>
      <c r="C1451" s="399" t="n">
        <v>45979</v>
      </c>
      <c r="D1451" s="146" t="inlineStr">
        <is>
          <t>219 G. SAN JOSE 2</t>
        </is>
      </c>
      <c r="E1451" s="146" t="n">
        <v>44485</v>
      </c>
      <c r="F1451" s="146" t="inlineStr">
        <is>
          <t>ALEXANDER CHAGUALA</t>
        </is>
      </c>
      <c r="G1451" s="395" t="n">
        <v>2690</v>
      </c>
      <c r="H1451" s="395" t="n">
        <v>2685</v>
      </c>
      <c r="I1451" s="395" t="n">
        <v>3</v>
      </c>
      <c r="J1451" s="395" t="n">
        <v>2</v>
      </c>
      <c r="K1451" s="395" t="n">
        <v>0</v>
      </c>
      <c r="L1451" s="397" t="n">
        <v>2690</v>
      </c>
      <c r="M1451" s="113" t="n"/>
      <c r="N1451" s="113" t="n"/>
      <c r="O1451" s="113" t="n"/>
      <c r="P1451" s="398" t="n"/>
      <c r="Q1451" s="398" t="n"/>
      <c r="R1451" s="113" t="n"/>
      <c r="S1451" s="113" t="n"/>
      <c r="T1451" s="113" t="n"/>
      <c r="U1451" s="113" t="n"/>
      <c r="V1451" s="113" t="n"/>
    </row>
    <row r="1452" ht="15.75" customHeight="1">
      <c r="A1452" s="146" t="n">
        <v>26</v>
      </c>
      <c r="B1452" s="238" t="n"/>
      <c r="C1452" s="399" t="n">
        <v>45979</v>
      </c>
      <c r="D1452" s="146" t="inlineStr">
        <is>
          <t>219 G. SAN JOSE 2</t>
        </is>
      </c>
      <c r="E1452" s="146" t="n">
        <v>44486</v>
      </c>
      <c r="F1452" s="146" t="inlineStr">
        <is>
          <t>WILMER PIÑEROS</t>
        </is>
      </c>
      <c r="G1452" s="395" t="n">
        <v>2690</v>
      </c>
      <c r="H1452" s="395" t="n">
        <v>2683</v>
      </c>
      <c r="I1452" s="395" t="n">
        <v>2</v>
      </c>
      <c r="J1452" s="395" t="n">
        <v>5</v>
      </c>
      <c r="K1452" s="395" t="n">
        <v>0</v>
      </c>
      <c r="L1452" s="397" t="n">
        <v>2690</v>
      </c>
      <c r="M1452" s="113" t="n"/>
      <c r="N1452" s="113" t="n"/>
      <c r="O1452" s="113" t="n"/>
      <c r="P1452" s="398" t="n"/>
      <c r="Q1452" s="398" t="n"/>
      <c r="R1452" s="113" t="n"/>
      <c r="S1452" s="113" t="n"/>
      <c r="T1452" s="113" t="n"/>
      <c r="U1452" s="113" t="n"/>
      <c r="V1452" s="113" t="n"/>
    </row>
    <row r="1453" ht="15.75" customHeight="1">
      <c r="A1453" s="146" t="n">
        <v>26</v>
      </c>
      <c r="B1453" s="238" t="n"/>
      <c r="C1453" s="399" t="n">
        <v>45979</v>
      </c>
      <c r="D1453" s="146" t="inlineStr">
        <is>
          <t>219 G. SAN JOSE 2</t>
        </is>
      </c>
      <c r="E1453" s="146" t="n">
        <v>44487</v>
      </c>
      <c r="F1453" s="146" t="inlineStr">
        <is>
          <t>SEBASTIAN HIDALGO</t>
        </is>
      </c>
      <c r="G1453" s="395" t="n">
        <v>2690</v>
      </c>
      <c r="H1453" s="395" t="n">
        <v>2683</v>
      </c>
      <c r="I1453" s="395" t="n">
        <v>2</v>
      </c>
      <c r="J1453" s="395" t="n">
        <v>5</v>
      </c>
      <c r="K1453" s="395" t="n">
        <v>0</v>
      </c>
      <c r="L1453" s="397" t="n">
        <v>2760</v>
      </c>
      <c r="M1453" s="113" t="n"/>
      <c r="N1453" s="113" t="n"/>
      <c r="O1453" s="113" t="n"/>
      <c r="P1453" s="398" t="n"/>
      <c r="Q1453" s="398" t="n"/>
      <c r="R1453" s="113" t="n"/>
      <c r="S1453" s="113" t="n"/>
      <c r="T1453" s="113" t="n"/>
      <c r="U1453" s="113" t="n"/>
      <c r="V1453" s="113" t="n"/>
    </row>
    <row r="1454" ht="15.75" customHeight="1">
      <c r="A1454" s="146" t="n">
        <v>26</v>
      </c>
      <c r="B1454" s="238" t="n"/>
      <c r="C1454" s="399" t="n">
        <v>45979</v>
      </c>
      <c r="D1454" s="146" t="inlineStr">
        <is>
          <t>219 G. SAN JOSE 2</t>
        </is>
      </c>
      <c r="E1454" s="146" t="n">
        <v>44488</v>
      </c>
      <c r="F1454" s="146" t="inlineStr">
        <is>
          <t>HENRY ROMERO</t>
        </is>
      </c>
      <c r="G1454" s="395" t="n">
        <v>2760</v>
      </c>
      <c r="H1454" s="395" t="n">
        <v>2752</v>
      </c>
      <c r="I1454" s="395" t="n">
        <v>3</v>
      </c>
      <c r="J1454" s="395" t="n">
        <v>3</v>
      </c>
      <c r="K1454" s="395" t="n">
        <v>-2</v>
      </c>
      <c r="L1454" s="397" t="n">
        <v>2760</v>
      </c>
      <c r="M1454" s="113" t="n"/>
      <c r="N1454" s="113" t="n"/>
      <c r="O1454" s="113" t="n"/>
      <c r="P1454" s="398" t="n"/>
      <c r="Q1454" s="398" t="n"/>
      <c r="R1454" s="113" t="n"/>
      <c r="S1454" s="113" t="n"/>
      <c r="T1454" s="113" t="n"/>
      <c r="U1454" s="113" t="n"/>
      <c r="V1454" s="113" t="n"/>
    </row>
    <row r="1455" ht="15.75" customHeight="1">
      <c r="A1455" s="146" t="n">
        <v>26</v>
      </c>
      <c r="B1455" s="238" t="n"/>
      <c r="C1455" s="399" t="n">
        <v>45979</v>
      </c>
      <c r="D1455" s="146" t="inlineStr">
        <is>
          <t>219 G. SAN JOSE 2</t>
        </is>
      </c>
      <c r="E1455" s="146" t="n">
        <v>44494</v>
      </c>
      <c r="F1455" s="146" t="inlineStr">
        <is>
          <t>MANUEL QUITIAN</t>
        </is>
      </c>
      <c r="G1455" s="395" t="n">
        <v>2760</v>
      </c>
      <c r="H1455" s="395" t="n">
        <v>2747</v>
      </c>
      <c r="I1455" s="395" t="n">
        <v>3</v>
      </c>
      <c r="J1455" s="395" t="n">
        <v>3</v>
      </c>
      <c r="K1455" s="395" t="n">
        <v>-7</v>
      </c>
      <c r="L1455" s="397" t="n">
        <v>2790</v>
      </c>
      <c r="M1455" s="113" t="n"/>
      <c r="N1455" s="113" t="n"/>
      <c r="O1455" s="113" t="n"/>
      <c r="P1455" s="398" t="n"/>
      <c r="Q1455" s="398" t="n"/>
      <c r="R1455" s="113" t="n"/>
      <c r="S1455" s="113" t="n"/>
      <c r="T1455" s="113" t="n"/>
      <c r="U1455" s="113" t="n"/>
      <c r="V1455" s="113" t="n"/>
    </row>
    <row r="1456" ht="15.75" customHeight="1">
      <c r="A1456" s="146" t="n">
        <v>26</v>
      </c>
      <c r="B1456" s="238" t="n"/>
      <c r="C1456" s="399" t="n">
        <v>45979</v>
      </c>
      <c r="D1456" s="146" t="inlineStr">
        <is>
          <t>219 G. SAN JOSE 2</t>
        </is>
      </c>
      <c r="E1456" s="146" t="n">
        <v>44495</v>
      </c>
      <c r="F1456" s="146" t="inlineStr">
        <is>
          <t>DIEGO NIÑO</t>
        </is>
      </c>
      <c r="G1456" s="395" t="n">
        <v>2840</v>
      </c>
      <c r="H1456" s="395" t="n">
        <v>2828</v>
      </c>
      <c r="I1456" s="395" t="n">
        <v>3</v>
      </c>
      <c r="J1456" s="395" t="n">
        <v>3</v>
      </c>
      <c r="K1456" s="395" t="n">
        <v>-6</v>
      </c>
      <c r="L1456" s="397" t="n">
        <v>2840</v>
      </c>
      <c r="M1456" s="113" t="n"/>
      <c r="N1456" s="113" t="n"/>
      <c r="O1456" s="113" t="n"/>
      <c r="P1456" s="398" t="n"/>
      <c r="Q1456" s="398" t="n"/>
      <c r="R1456" s="113" t="n"/>
      <c r="S1456" s="113" t="n"/>
      <c r="T1456" s="113" t="n"/>
      <c r="U1456" s="113" t="n"/>
      <c r="V1456" s="113" t="n"/>
    </row>
    <row r="1457" ht="15.75" customHeight="1">
      <c r="A1457" s="146" t="n">
        <v>26</v>
      </c>
      <c r="B1457" s="238" t="n"/>
      <c r="C1457" s="399" t="n">
        <v>45979</v>
      </c>
      <c r="D1457" s="146" t="inlineStr">
        <is>
          <t>219 G. SAN JOSE 2</t>
        </is>
      </c>
      <c r="E1457" s="146" t="n">
        <v>44496</v>
      </c>
      <c r="F1457" s="146" t="inlineStr">
        <is>
          <t>ALEXANDER CHAGUALA</t>
        </is>
      </c>
      <c r="G1457" s="395" t="n">
        <v>2840</v>
      </c>
      <c r="H1457" s="395" t="n">
        <v>2823</v>
      </c>
      <c r="I1457" s="395" t="n">
        <v>3</v>
      </c>
      <c r="J1457" s="395" t="n">
        <v>5</v>
      </c>
      <c r="K1457" s="395" t="n">
        <v>-9</v>
      </c>
      <c r="L1457" s="397" t="n">
        <v>2840</v>
      </c>
      <c r="M1457" s="113" t="n"/>
      <c r="N1457" s="113" t="n"/>
      <c r="O1457" s="113" t="n"/>
      <c r="P1457" s="398" t="n"/>
      <c r="Q1457" s="398" t="n"/>
      <c r="R1457" s="113" t="n"/>
      <c r="S1457" s="113" t="n"/>
      <c r="T1457" s="113" t="n"/>
      <c r="U1457" s="113" t="n"/>
      <c r="V1457" s="113" t="n"/>
    </row>
    <row r="1458" ht="15.75" customHeight="1">
      <c r="A1458" s="146" t="n">
        <v>26</v>
      </c>
      <c r="B1458" s="238" t="n"/>
      <c r="C1458" s="399" t="n">
        <v>45979</v>
      </c>
      <c r="D1458" s="146" t="inlineStr">
        <is>
          <t>219 G. SAN JOSE 2</t>
        </is>
      </c>
      <c r="E1458" s="146" t="n">
        <v>44497</v>
      </c>
      <c r="F1458" s="146" t="inlineStr">
        <is>
          <t>WILMER PIÑEROS</t>
        </is>
      </c>
      <c r="G1458" s="395" t="n">
        <v>2520</v>
      </c>
      <c r="H1458" s="395" t="n">
        <v>2502</v>
      </c>
      <c r="I1458" s="395" t="n">
        <v>3</v>
      </c>
      <c r="J1458" s="395" t="n">
        <v>3</v>
      </c>
      <c r="K1458" s="395" t="n">
        <v>-12</v>
      </c>
      <c r="L1458" s="397" t="n">
        <v>2520</v>
      </c>
      <c r="M1458" s="113" t="n"/>
      <c r="N1458" s="113" t="n"/>
      <c r="O1458" s="113" t="n"/>
      <c r="P1458" s="398" t="n"/>
      <c r="Q1458" s="398" t="n"/>
      <c r="R1458" s="113" t="n"/>
      <c r="S1458" s="113" t="n"/>
      <c r="T1458" s="113" t="n"/>
      <c r="U1458" s="113" t="n"/>
      <c r="V1458" s="113" t="n"/>
    </row>
    <row r="1459" ht="15.75" customHeight="1">
      <c r="A1459" s="146" t="n">
        <v>26</v>
      </c>
      <c r="B1459" s="238" t="n"/>
      <c r="C1459" s="399" t="n">
        <v>45979</v>
      </c>
      <c r="D1459" s="146" t="inlineStr">
        <is>
          <t>219 G. SAN JOSE 2</t>
        </is>
      </c>
      <c r="E1459" s="146" t="n">
        <v>44498</v>
      </c>
      <c r="F1459" s="146" t="inlineStr">
        <is>
          <t>SEBASTIAN HIDALGO</t>
        </is>
      </c>
      <c r="G1459" s="395" t="n">
        <v>2520</v>
      </c>
      <c r="H1459" s="395" t="n">
        <v>2499</v>
      </c>
      <c r="I1459" s="395" t="n">
        <v>2</v>
      </c>
      <c r="J1459" s="395" t="n">
        <v>1</v>
      </c>
      <c r="K1459" s="395" t="n">
        <v>-18</v>
      </c>
      <c r="L1459" s="397" t="n">
        <v>2520</v>
      </c>
      <c r="M1459" s="113" t="n"/>
      <c r="N1459" s="113" t="n"/>
      <c r="O1459" s="113" t="n"/>
      <c r="P1459" s="398" t="n"/>
      <c r="Q1459" s="398" t="n"/>
      <c r="R1459" s="113" t="n"/>
      <c r="S1459" s="113" t="n"/>
      <c r="T1459" s="113" t="n"/>
      <c r="U1459" s="113" t="n"/>
      <c r="V1459" s="113" t="n"/>
    </row>
    <row r="1460" ht="15.75" customHeight="1">
      <c r="A1460" s="146" t="n">
        <v>26</v>
      </c>
      <c r="B1460" s="238" t="n"/>
      <c r="C1460" s="399" t="n">
        <v>45980</v>
      </c>
      <c r="D1460" s="146" t="inlineStr">
        <is>
          <t>221 G. MALAGUEÑA</t>
        </is>
      </c>
      <c r="E1460" s="146" t="n">
        <v>44502</v>
      </c>
      <c r="F1460" s="146" t="inlineStr">
        <is>
          <t>FERNANDO OYUELA</t>
        </is>
      </c>
      <c r="G1460" s="395" t="n">
        <v>3459</v>
      </c>
      <c r="H1460" s="395" t="n">
        <v>3455</v>
      </c>
      <c r="I1460" s="395" t="n">
        <v>3</v>
      </c>
      <c r="J1460" s="395" t="n">
        <v>4</v>
      </c>
      <c r="K1460" s="395" t="n">
        <v>3</v>
      </c>
      <c r="L1460" s="397" t="n">
        <v>3459</v>
      </c>
      <c r="M1460" s="113" t="n"/>
      <c r="N1460" s="113" t="n"/>
      <c r="O1460" s="113" t="n"/>
      <c r="P1460" s="398" t="n"/>
      <c r="Q1460" s="398" t="n"/>
      <c r="R1460" s="113" t="n"/>
      <c r="S1460" s="113" t="n"/>
      <c r="T1460" s="113" t="n"/>
      <c r="U1460" s="113" t="n"/>
      <c r="V1460" s="113" t="n"/>
    </row>
    <row r="1461" ht="15.75" customHeight="1">
      <c r="A1461" s="146" t="n">
        <v>26</v>
      </c>
      <c r="B1461" s="238" t="n"/>
      <c r="C1461" s="399" t="n">
        <v>45980</v>
      </c>
      <c r="D1461" s="146" t="inlineStr">
        <is>
          <t>221 G. MALAGUEÑA</t>
        </is>
      </c>
      <c r="E1461" s="146" t="n">
        <v>44503</v>
      </c>
      <c r="F1461" s="146" t="inlineStr">
        <is>
          <t>JOSE SOLER</t>
        </is>
      </c>
      <c r="G1461" s="395" t="n">
        <v>3459</v>
      </c>
      <c r="H1461" s="395" t="n">
        <v>3456</v>
      </c>
      <c r="I1461" s="395" t="n">
        <v>3</v>
      </c>
      <c r="J1461" s="395" t="n">
        <v>4</v>
      </c>
      <c r="K1461" s="395" t="n">
        <v>4</v>
      </c>
      <c r="L1461" s="397" t="n">
        <v>3459</v>
      </c>
      <c r="M1461" s="113" t="n"/>
      <c r="N1461" s="113" t="n"/>
      <c r="O1461" s="113" t="n"/>
      <c r="P1461" s="398" t="n"/>
      <c r="Q1461" s="398" t="n"/>
      <c r="R1461" s="113" t="n"/>
      <c r="S1461" s="113" t="n"/>
      <c r="T1461" s="113" t="n"/>
      <c r="U1461" s="113" t="n"/>
      <c r="V1461" s="113" t="n"/>
    </row>
    <row r="1462" ht="15.75" customHeight="1">
      <c r="A1462" s="146" t="n">
        <v>26</v>
      </c>
      <c r="B1462" s="238" t="n"/>
      <c r="C1462" s="399" t="n">
        <v>45980</v>
      </c>
      <c r="D1462" s="146" t="inlineStr">
        <is>
          <t>221 G. MALAGUEÑA</t>
        </is>
      </c>
      <c r="E1462" s="146" t="n">
        <v>44504</v>
      </c>
      <c r="F1462" s="146" t="inlineStr">
        <is>
          <t>HENRY ROMERO</t>
        </is>
      </c>
      <c r="G1462" s="395" t="n">
        <v>3459</v>
      </c>
      <c r="H1462" s="395" t="n">
        <v>3457</v>
      </c>
      <c r="I1462" s="395" t="n">
        <v>3</v>
      </c>
      <c r="J1462" s="395" t="n">
        <v>3</v>
      </c>
      <c r="K1462" s="395" t="n">
        <v>4</v>
      </c>
      <c r="L1462" s="397" t="n">
        <v>3459</v>
      </c>
      <c r="M1462" s="113" t="n"/>
      <c r="N1462" s="113" t="n"/>
      <c r="O1462" s="113" t="n"/>
      <c r="P1462" s="398" t="n"/>
      <c r="Q1462" s="398" t="n"/>
      <c r="R1462" s="113" t="n"/>
      <c r="S1462" s="113" t="n"/>
      <c r="T1462" s="113" t="n"/>
      <c r="U1462" s="113" t="n"/>
      <c r="V1462" s="113" t="n"/>
    </row>
    <row r="1463" ht="15.75" customHeight="1">
      <c r="A1463" s="146" t="n">
        <v>26</v>
      </c>
      <c r="B1463" s="238" t="n"/>
      <c r="C1463" s="399" t="n">
        <v>45980</v>
      </c>
      <c r="D1463" s="146" t="inlineStr">
        <is>
          <t>221 G. MALAGUEÑA</t>
        </is>
      </c>
      <c r="E1463" s="146" t="n">
        <v>44505</v>
      </c>
      <c r="F1463" s="146" t="inlineStr">
        <is>
          <t>ROBINSON PULIDO</t>
        </is>
      </c>
      <c r="G1463" s="395" t="n">
        <v>2840</v>
      </c>
      <c r="H1463" s="395" t="n">
        <v>2837</v>
      </c>
      <c r="I1463" s="395" t="n">
        <v>2</v>
      </c>
      <c r="J1463" s="395" t="n">
        <v>2</v>
      </c>
      <c r="K1463" s="395" t="n">
        <v>1</v>
      </c>
      <c r="L1463" s="397" t="n">
        <v>2840</v>
      </c>
      <c r="M1463" s="113" t="n"/>
      <c r="N1463" s="113" t="n"/>
      <c r="O1463" s="113" t="n"/>
      <c r="P1463" s="398" t="n"/>
      <c r="Q1463" s="398" t="n"/>
      <c r="R1463" s="113" t="n"/>
      <c r="S1463" s="113" t="n"/>
      <c r="T1463" s="113" t="n"/>
      <c r="U1463" s="113" t="n"/>
      <c r="V1463" s="113" t="n"/>
    </row>
    <row r="1464" ht="15.75" customHeight="1">
      <c r="A1464" s="146" t="n">
        <v>26</v>
      </c>
      <c r="B1464" s="238" t="n"/>
      <c r="C1464" s="399" t="n">
        <v>45980</v>
      </c>
      <c r="D1464" s="146" t="inlineStr">
        <is>
          <t>221 G. MALAGUEÑA</t>
        </is>
      </c>
      <c r="E1464" s="146" t="n">
        <v>44506</v>
      </c>
      <c r="F1464" s="146" t="inlineStr">
        <is>
          <t>ALBERTO HERRERA</t>
        </is>
      </c>
      <c r="G1464" s="395" t="n">
        <v>2840</v>
      </c>
      <c r="H1464" s="395" t="n">
        <v>2829</v>
      </c>
      <c r="I1464" s="395" t="n">
        <v>2</v>
      </c>
      <c r="J1464" s="395" t="n">
        <v>4</v>
      </c>
      <c r="K1464" s="395" t="n">
        <v>-5</v>
      </c>
      <c r="L1464" s="397" t="n">
        <v>2840</v>
      </c>
      <c r="M1464" s="113" t="n"/>
      <c r="N1464" s="113" t="n"/>
      <c r="O1464" s="113" t="n"/>
      <c r="P1464" s="398" t="n"/>
      <c r="Q1464" s="398" t="n"/>
      <c r="R1464" s="113" t="n"/>
      <c r="S1464" s="113" t="n"/>
      <c r="T1464" s="113" t="n"/>
      <c r="U1464" s="113" t="n"/>
      <c r="V1464" s="113" t="n"/>
    </row>
    <row r="1465" ht="15.75" customHeight="1">
      <c r="A1465" s="146" t="n">
        <v>26</v>
      </c>
      <c r="B1465" s="238" t="n"/>
      <c r="C1465" s="399" t="n">
        <v>45980</v>
      </c>
      <c r="D1465" s="146" t="inlineStr">
        <is>
          <t>219 G. SAN JOSE 2</t>
        </is>
      </c>
      <c r="E1465" s="146" t="n">
        <v>44507</v>
      </c>
      <c r="F1465" s="146" t="inlineStr">
        <is>
          <t>FABIO ALDANA</t>
        </is>
      </c>
      <c r="G1465" s="395" t="n">
        <v>2900</v>
      </c>
      <c r="H1465" s="395" t="n">
        <v>2889</v>
      </c>
      <c r="I1465" s="395" t="n">
        <v>2</v>
      </c>
      <c r="J1465" s="395" t="n">
        <v>8</v>
      </c>
      <c r="K1465" s="395" t="n">
        <v>-1</v>
      </c>
      <c r="L1465" s="397" t="n">
        <v>2900</v>
      </c>
      <c r="M1465" s="113" t="n"/>
      <c r="N1465" s="113" t="n"/>
      <c r="O1465" s="113" t="n"/>
      <c r="P1465" s="398" t="n"/>
      <c r="Q1465" s="398" t="n"/>
      <c r="R1465" s="113" t="n"/>
      <c r="S1465" s="113" t="n"/>
      <c r="T1465" s="113" t="n"/>
      <c r="U1465" s="113" t="n"/>
      <c r="V1465" s="113" t="n"/>
    </row>
    <row r="1466" ht="15.75" customHeight="1">
      <c r="A1466" s="146" t="n">
        <v>26</v>
      </c>
      <c r="B1466" s="238" t="n"/>
      <c r="C1466" s="399" t="n">
        <v>45980</v>
      </c>
      <c r="D1466" s="146" t="inlineStr">
        <is>
          <t>219 G. SAN JOSE 2</t>
        </is>
      </c>
      <c r="E1466" s="146" t="n">
        <v>44508</v>
      </c>
      <c r="F1466" s="146" t="inlineStr">
        <is>
          <t>FABIO ALDANA</t>
        </is>
      </c>
      <c r="G1466" s="395" t="n">
        <v>2740</v>
      </c>
      <c r="H1466" s="395" t="n">
        <v>2728</v>
      </c>
      <c r="I1466" s="395" t="n">
        <v>3</v>
      </c>
      <c r="J1466" s="395" t="n">
        <v>7</v>
      </c>
      <c r="K1466" s="395" t="n">
        <v>-2</v>
      </c>
      <c r="L1466" s="397" t="n">
        <v>2740</v>
      </c>
      <c r="M1466" s="113" t="n"/>
      <c r="N1466" s="113" t="n"/>
      <c r="O1466" s="113" t="n"/>
      <c r="P1466" s="398" t="n"/>
      <c r="Q1466" s="398" t="n"/>
      <c r="R1466" s="113" t="n"/>
      <c r="S1466" s="113" t="n"/>
      <c r="T1466" s="113" t="n"/>
      <c r="U1466" s="113" t="n"/>
      <c r="V1466" s="113" t="n"/>
    </row>
    <row r="1467" ht="15.75" customHeight="1">
      <c r="A1467" s="146" t="n">
        <v>26</v>
      </c>
      <c r="B1467" s="238" t="n"/>
      <c r="C1467" s="399" t="n">
        <v>45980</v>
      </c>
      <c r="D1467" s="146" t="inlineStr">
        <is>
          <t>219 G. SAN JOSE 2</t>
        </is>
      </c>
      <c r="E1467" s="146" t="n">
        <v>44509</v>
      </c>
      <c r="F1467" s="146" t="inlineStr">
        <is>
          <t>YAIR RIVEROS</t>
        </is>
      </c>
      <c r="G1467" s="395" t="n">
        <v>2740</v>
      </c>
      <c r="H1467" s="395" t="n">
        <v>2736</v>
      </c>
      <c r="I1467" s="395" t="n">
        <v>3</v>
      </c>
      <c r="J1467" s="395" t="n">
        <v>2</v>
      </c>
      <c r="K1467" s="395" t="n">
        <v>1</v>
      </c>
      <c r="L1467" s="397" t="n">
        <v>2740</v>
      </c>
      <c r="M1467" s="113" t="n"/>
      <c r="N1467" s="113" t="n"/>
      <c r="O1467" s="113" t="n"/>
      <c r="P1467" s="398" t="n"/>
      <c r="Q1467" s="398" t="n"/>
      <c r="R1467" s="113" t="n"/>
      <c r="S1467" s="113" t="n"/>
      <c r="T1467" s="113" t="n"/>
      <c r="U1467" s="113" t="n"/>
      <c r="V1467" s="113" t="n"/>
    </row>
    <row r="1468" ht="15.75" customHeight="1">
      <c r="A1468" s="146" t="n">
        <v>26</v>
      </c>
      <c r="B1468" s="238" t="n"/>
      <c r="C1468" s="399" t="n">
        <v>45980</v>
      </c>
      <c r="D1468" s="146" t="inlineStr">
        <is>
          <t>219 G. SAN JOSE 2</t>
        </is>
      </c>
      <c r="E1468" s="146" t="n">
        <v>44510</v>
      </c>
      <c r="F1468" s="146" t="inlineStr">
        <is>
          <t>MANUEL QUITIAN</t>
        </is>
      </c>
      <c r="G1468" s="395" t="n">
        <v>2740</v>
      </c>
      <c r="H1468" s="395" t="n">
        <v>2726</v>
      </c>
      <c r="I1468" s="395" t="n">
        <v>3</v>
      </c>
      <c r="J1468" s="395" t="n">
        <v>5</v>
      </c>
      <c r="K1468" s="395" t="n">
        <v>-6</v>
      </c>
      <c r="L1468" s="397" t="n">
        <v>2740</v>
      </c>
      <c r="M1468" s="113" t="n"/>
      <c r="N1468" s="113" t="n"/>
      <c r="O1468" s="113" t="n"/>
      <c r="P1468" s="398" t="n"/>
      <c r="Q1468" s="398" t="n"/>
      <c r="R1468" s="113" t="n"/>
      <c r="S1468" s="113" t="n"/>
      <c r="T1468" s="113" t="n"/>
      <c r="U1468" s="113" t="n"/>
      <c r="V1468" s="113" t="n"/>
    </row>
    <row r="1469" ht="15.75" customHeight="1">
      <c r="A1469" s="146" t="n">
        <v>26</v>
      </c>
      <c r="B1469" s="238" t="n"/>
      <c r="C1469" s="399" t="n">
        <v>45980</v>
      </c>
      <c r="D1469" s="146" t="inlineStr">
        <is>
          <t>219 G. SAN JOSE 2</t>
        </is>
      </c>
      <c r="E1469" s="146" t="n">
        <v>44527</v>
      </c>
      <c r="F1469" s="146" t="inlineStr">
        <is>
          <t>ALEXANDER CHAGUALA</t>
        </is>
      </c>
      <c r="G1469" s="395" t="n">
        <v>2780</v>
      </c>
      <c r="H1469" s="395" t="n">
        <v>2762</v>
      </c>
      <c r="I1469" s="395" t="n">
        <v>9</v>
      </c>
      <c r="J1469" s="395" t="n">
        <v>3</v>
      </c>
      <c r="K1469" s="395" t="n">
        <v>-6</v>
      </c>
      <c r="L1469" s="397" t="n">
        <v>3180</v>
      </c>
      <c r="M1469" s="113" t="n"/>
      <c r="N1469" s="113" t="n"/>
      <c r="O1469" s="113" t="n"/>
      <c r="P1469" s="398" t="n"/>
      <c r="Q1469" s="398" t="n"/>
      <c r="R1469" s="113" t="n"/>
      <c r="S1469" s="113" t="n"/>
      <c r="T1469" s="113" t="n"/>
      <c r="U1469" s="113" t="n"/>
      <c r="V1469" s="113" t="n"/>
    </row>
    <row r="1470" ht="15.75" customHeight="1">
      <c r="A1470" s="146" t="n">
        <v>26</v>
      </c>
      <c r="B1470" s="238" t="n"/>
      <c r="C1470" s="399" t="n">
        <v>45980</v>
      </c>
      <c r="D1470" s="146" t="inlineStr">
        <is>
          <t>219 G. SAN JOSE 2</t>
        </is>
      </c>
      <c r="E1470" s="146" t="n">
        <v>44520</v>
      </c>
      <c r="F1470" s="146" t="inlineStr">
        <is>
          <t>ALBERTO HERRERA</t>
        </is>
      </c>
      <c r="G1470" s="395" t="n">
        <v>3180</v>
      </c>
      <c r="H1470" s="395" t="n">
        <v>3166</v>
      </c>
      <c r="I1470" s="395" t="n">
        <v>2</v>
      </c>
      <c r="J1470" s="395" t="n">
        <v>5</v>
      </c>
      <c r="K1470" s="395" t="n">
        <v>-7</v>
      </c>
      <c r="L1470" s="397" t="n">
        <v>3180</v>
      </c>
      <c r="M1470" s="113" t="n"/>
      <c r="N1470" s="113" t="n"/>
      <c r="O1470" s="113" t="n"/>
      <c r="P1470" s="398" t="n"/>
      <c r="Q1470" s="398" t="n"/>
      <c r="R1470" s="113" t="n"/>
      <c r="S1470" s="113" t="n"/>
      <c r="T1470" s="113" t="n"/>
      <c r="U1470" s="113" t="n"/>
      <c r="V1470" s="113" t="n"/>
    </row>
    <row r="1471" ht="15.75" customHeight="1">
      <c r="A1471" s="146" t="n">
        <v>26</v>
      </c>
      <c r="B1471" s="238" t="n"/>
      <c r="C1471" s="399" t="n">
        <v>45980</v>
      </c>
      <c r="D1471" s="146" t="inlineStr">
        <is>
          <t>219 G. SAN JOSE 2</t>
        </is>
      </c>
      <c r="E1471" s="146" t="n">
        <v>44521</v>
      </c>
      <c r="F1471" s="146" t="inlineStr">
        <is>
          <t>FABIO ALDANA</t>
        </is>
      </c>
      <c r="G1471" s="395" t="n">
        <v>3180</v>
      </c>
      <c r="H1471" s="395" t="n">
        <v>3166</v>
      </c>
      <c r="I1471" s="395" t="n">
        <v>1</v>
      </c>
      <c r="J1471" s="395" t="n">
        <v>3</v>
      </c>
      <c r="K1471" s="395" t="n">
        <v>-10</v>
      </c>
      <c r="L1471" s="397" t="n">
        <v>3180</v>
      </c>
      <c r="M1471" s="113" t="n"/>
      <c r="N1471" s="113" t="n"/>
      <c r="O1471" s="113" t="n"/>
      <c r="P1471" s="398" t="n"/>
      <c r="Q1471" s="398" t="n"/>
      <c r="R1471" s="113" t="n"/>
      <c r="S1471" s="113" t="n"/>
      <c r="T1471" s="113" t="n"/>
      <c r="U1471" s="113" t="n"/>
      <c r="V1471" s="113" t="n"/>
    </row>
    <row r="1472" ht="15.75" customHeight="1">
      <c r="A1472" s="146" t="n">
        <v>26</v>
      </c>
      <c r="B1472" s="238" t="n"/>
      <c r="C1472" s="399" t="n">
        <v>45980</v>
      </c>
      <c r="D1472" s="146" t="inlineStr">
        <is>
          <t>219 G. SAN JOSE 2</t>
        </is>
      </c>
      <c r="E1472" s="146" t="n">
        <v>44522</v>
      </c>
      <c r="F1472" s="146" t="inlineStr">
        <is>
          <t>DIEGO NIÑO</t>
        </is>
      </c>
      <c r="G1472" s="395" t="n">
        <v>3180</v>
      </c>
      <c r="H1472" s="395" t="n">
        <v>3167</v>
      </c>
      <c r="I1472" s="395" t="n">
        <v>2</v>
      </c>
      <c r="J1472" s="395" t="n">
        <v>3</v>
      </c>
      <c r="K1472" s="395" t="n">
        <v>-8</v>
      </c>
      <c r="L1472" s="397" t="n">
        <v>3180</v>
      </c>
      <c r="M1472" s="113" t="n"/>
      <c r="N1472" s="113" t="n"/>
      <c r="O1472" s="113" t="n"/>
      <c r="P1472" s="398" t="n"/>
      <c r="Q1472" s="398" t="n"/>
      <c r="R1472" s="113" t="n"/>
      <c r="S1472" s="113" t="n"/>
      <c r="T1472" s="113" t="n"/>
      <c r="U1472" s="113" t="n"/>
      <c r="V1472" s="113" t="n"/>
    </row>
    <row r="1473" ht="15.75" customHeight="1">
      <c r="A1473" s="146" t="n">
        <v>26</v>
      </c>
      <c r="B1473" s="238" t="n"/>
      <c r="C1473" s="399" t="n">
        <v>45980</v>
      </c>
      <c r="D1473" s="146" t="inlineStr">
        <is>
          <t>219 G. SAN JOSE 2</t>
        </is>
      </c>
      <c r="E1473" s="146" t="n">
        <v>44523</v>
      </c>
      <c r="F1473" s="146" t="inlineStr">
        <is>
          <t>YAIR RIVEROS</t>
        </is>
      </c>
      <c r="G1473" s="395" t="n">
        <v>3180</v>
      </c>
      <c r="H1473" s="395" t="n">
        <v>3165</v>
      </c>
      <c r="I1473" s="395" t="n">
        <v>1</v>
      </c>
      <c r="J1473" s="395" t="n">
        <v>4</v>
      </c>
      <c r="K1473" s="395" t="n">
        <v>-10</v>
      </c>
      <c r="L1473" s="397" t="n">
        <v>3280</v>
      </c>
      <c r="M1473" s="113" t="n"/>
      <c r="N1473" s="113" t="n"/>
      <c r="O1473" s="113" t="n"/>
      <c r="P1473" s="398" t="n"/>
      <c r="Q1473" s="398" t="n"/>
      <c r="R1473" s="113" t="n"/>
      <c r="S1473" s="113" t="n"/>
      <c r="T1473" s="113" t="n"/>
      <c r="U1473" s="113" t="n"/>
      <c r="V1473" s="113" t="n"/>
    </row>
    <row r="1474" ht="15.75" customHeight="1">
      <c r="A1474" s="146" t="n">
        <v>26</v>
      </c>
      <c r="B1474" s="238" t="n"/>
      <c r="C1474" s="399" t="n">
        <v>45980</v>
      </c>
      <c r="D1474" s="146" t="inlineStr">
        <is>
          <t>219 G. SAN JOSE 2</t>
        </is>
      </c>
      <c r="E1474" s="146" t="n">
        <v>44524</v>
      </c>
      <c r="F1474" s="146" t="inlineStr">
        <is>
          <t>MANUEL QUITIAN</t>
        </is>
      </c>
      <c r="G1474" s="395" t="n">
        <v>3260</v>
      </c>
      <c r="H1474" s="395" t="n">
        <v>3252</v>
      </c>
      <c r="I1474" s="395" t="n">
        <v>2</v>
      </c>
      <c r="J1474" s="395" t="n">
        <v>5</v>
      </c>
      <c r="K1474" s="395" t="n">
        <v>-1</v>
      </c>
      <c r="L1474" s="397" t="n">
        <v>2780</v>
      </c>
      <c r="M1474" s="113" t="n"/>
      <c r="N1474" s="113" t="n"/>
      <c r="O1474" s="113" t="n"/>
      <c r="P1474" s="398" t="n"/>
      <c r="Q1474" s="398" t="n"/>
      <c r="R1474" s="113" t="n"/>
      <c r="S1474" s="113" t="n"/>
      <c r="T1474" s="113" t="n"/>
      <c r="U1474" s="113" t="n"/>
      <c r="V1474" s="113" t="n"/>
    </row>
    <row r="1475" ht="15.75" customHeight="1">
      <c r="A1475" s="146" t="n">
        <v>26</v>
      </c>
      <c r="B1475" s="238" t="n"/>
      <c r="C1475" s="399" t="n">
        <v>45980</v>
      </c>
      <c r="D1475" s="146" t="inlineStr">
        <is>
          <t>219 G. SAN JOSE 2</t>
        </is>
      </c>
      <c r="E1475" s="146" t="n">
        <v>44525</v>
      </c>
      <c r="F1475" s="146" t="inlineStr">
        <is>
          <t>JAIRO CUBILLOS</t>
        </is>
      </c>
      <c r="G1475" s="395" t="n">
        <v>2780</v>
      </c>
      <c r="H1475" s="395" t="n">
        <v>2785</v>
      </c>
      <c r="I1475" s="395" t="n">
        <v>1</v>
      </c>
      <c r="J1475" s="395" t="n">
        <v>3</v>
      </c>
      <c r="K1475" s="395" t="n">
        <v>9</v>
      </c>
      <c r="L1475" s="397" t="n">
        <v>2780</v>
      </c>
      <c r="M1475" s="113" t="n"/>
      <c r="N1475" s="113" t="n"/>
      <c r="O1475" s="113" t="n"/>
      <c r="P1475" s="398" t="n"/>
      <c r="Q1475" s="398" t="n"/>
      <c r="R1475" s="113" t="n"/>
      <c r="S1475" s="113" t="n"/>
      <c r="T1475" s="113" t="n"/>
      <c r="U1475" s="113" t="n"/>
      <c r="V1475" s="113" t="n"/>
    </row>
    <row r="1476" ht="15.75" customHeight="1">
      <c r="A1476" s="146" t="n">
        <v>26</v>
      </c>
      <c r="B1476" s="238" t="n"/>
      <c r="C1476" s="399" t="n">
        <v>45980</v>
      </c>
      <c r="D1476" s="146" t="inlineStr">
        <is>
          <t>219 G. SAN JOSE 2</t>
        </is>
      </c>
      <c r="E1476" s="146" t="n">
        <v>44526</v>
      </c>
      <c r="F1476" s="146" t="inlineStr">
        <is>
          <t>SEBASTIAN HIDALGO</t>
        </is>
      </c>
      <c r="G1476" s="395" t="n">
        <v>2780</v>
      </c>
      <c r="H1476" s="395" t="n">
        <v>2768</v>
      </c>
      <c r="I1476" s="395" t="n">
        <v>2</v>
      </c>
      <c r="J1476" s="395" t="n">
        <v>5</v>
      </c>
      <c r="K1476" s="395" t="n">
        <v>-5</v>
      </c>
      <c r="L1476" s="397" t="n">
        <v>2780</v>
      </c>
      <c r="M1476" s="113" t="n"/>
      <c r="N1476" s="113" t="n"/>
      <c r="O1476" s="113" t="n"/>
      <c r="P1476" s="398" t="n"/>
      <c r="Q1476" s="398" t="n"/>
      <c r="R1476" s="113" t="n"/>
      <c r="S1476" s="113" t="n"/>
      <c r="T1476" s="113" t="n"/>
      <c r="U1476" s="113" t="n"/>
      <c r="V1476" s="113" t="n"/>
    </row>
    <row r="1477" ht="15.75" customHeight="1">
      <c r="A1477" s="146" t="n">
        <v>26</v>
      </c>
      <c r="B1477" s="238" t="n"/>
      <c r="C1477" s="399" t="n">
        <v>45981</v>
      </c>
      <c r="D1477" s="146" t="inlineStr">
        <is>
          <t>221 G. MALAGUEÑA</t>
        </is>
      </c>
      <c r="E1477" s="146" t="n">
        <v>44530</v>
      </c>
      <c r="F1477" s="146" t="inlineStr">
        <is>
          <t>MANUEL QUITIAN</t>
        </is>
      </c>
      <c r="G1477" s="395" t="n">
        <v>3050</v>
      </c>
      <c r="H1477" s="395" t="n">
        <v>3038</v>
      </c>
      <c r="I1477" s="395" t="n">
        <v>3</v>
      </c>
      <c r="J1477" s="395" t="n">
        <v>2</v>
      </c>
      <c r="K1477" s="395" t="n">
        <v>-7</v>
      </c>
      <c r="L1477" s="397" t="n">
        <v>3050</v>
      </c>
      <c r="M1477" s="113" t="n"/>
      <c r="N1477" s="113" t="n"/>
      <c r="O1477" s="113" t="n"/>
      <c r="P1477" s="398" t="n"/>
      <c r="Q1477" s="398" t="n"/>
      <c r="R1477" s="113" t="n"/>
      <c r="S1477" s="113" t="n"/>
      <c r="T1477" s="113" t="n"/>
      <c r="U1477" s="113" t="n"/>
      <c r="V1477" s="113" t="n"/>
    </row>
    <row r="1478" ht="15.75" customHeight="1">
      <c r="A1478" s="146" t="n">
        <v>26</v>
      </c>
      <c r="B1478" s="238" t="n"/>
      <c r="C1478" s="399" t="n">
        <v>45981</v>
      </c>
      <c r="D1478" s="146" t="inlineStr">
        <is>
          <t>221 G. MALAGUEÑA</t>
        </is>
      </c>
      <c r="E1478" s="146" t="n">
        <v>44531</v>
      </c>
      <c r="F1478" s="146" t="inlineStr">
        <is>
          <t>DIEGO NIÑO</t>
        </is>
      </c>
      <c r="G1478" s="395" t="n">
        <v>3050</v>
      </c>
      <c r="H1478" s="395" t="n">
        <v>3032</v>
      </c>
      <c r="I1478" s="395" t="n">
        <v>2</v>
      </c>
      <c r="J1478" s="395" t="n">
        <v>3</v>
      </c>
      <c r="K1478" s="395" t="n">
        <v>-13</v>
      </c>
      <c r="L1478" s="397" t="n">
        <v>3050</v>
      </c>
      <c r="M1478" s="113" t="n"/>
      <c r="N1478" s="113" t="n"/>
      <c r="O1478" s="113" t="n"/>
      <c r="P1478" s="398" t="n"/>
      <c r="Q1478" s="398" t="n"/>
      <c r="R1478" s="113" t="n"/>
      <c r="S1478" s="113" t="n"/>
      <c r="T1478" s="113" t="n"/>
      <c r="U1478" s="113" t="n"/>
      <c r="V1478" s="113" t="n"/>
    </row>
    <row r="1479" ht="15.75" customHeight="1">
      <c r="A1479" s="146" t="n">
        <v>26</v>
      </c>
      <c r="B1479" s="238" t="n"/>
      <c r="C1479" s="399" t="n">
        <v>45981</v>
      </c>
      <c r="D1479" s="146" t="inlineStr">
        <is>
          <t>221 G. MALAGUEÑA</t>
        </is>
      </c>
      <c r="E1479" s="146" t="n">
        <v>44532</v>
      </c>
      <c r="F1479" s="146" t="inlineStr">
        <is>
          <t>ROBINSON PULIDO</t>
        </is>
      </c>
      <c r="G1479" s="395" t="n">
        <v>3050</v>
      </c>
      <c r="H1479" s="395" t="n">
        <v>3037</v>
      </c>
      <c r="I1479" s="395" t="n">
        <v>2</v>
      </c>
      <c r="J1479" s="395" t="n">
        <v>4</v>
      </c>
      <c r="K1479" s="395" t="n">
        <v>-7</v>
      </c>
      <c r="L1479" s="397" t="n">
        <v>3050</v>
      </c>
      <c r="M1479" s="113" t="n"/>
      <c r="N1479" s="113" t="n"/>
      <c r="O1479" s="113" t="n"/>
      <c r="P1479" s="398" t="n"/>
      <c r="Q1479" s="398" t="n"/>
      <c r="R1479" s="113" t="n"/>
      <c r="S1479" s="113" t="n"/>
      <c r="T1479" s="113" t="n"/>
      <c r="U1479" s="113" t="n"/>
      <c r="V1479" s="113" t="n"/>
    </row>
    <row r="1480" ht="15.75" customHeight="1">
      <c r="A1480" s="146" t="n">
        <v>26</v>
      </c>
      <c r="B1480" s="238" t="n"/>
      <c r="C1480" s="399" t="n">
        <v>45981</v>
      </c>
      <c r="D1480" s="146" t="inlineStr">
        <is>
          <t>221 G. MALAGUEÑA</t>
        </is>
      </c>
      <c r="E1480" s="146" t="n">
        <v>44533</v>
      </c>
      <c r="F1480" s="146" t="inlineStr">
        <is>
          <t>YAIR RIVEROS</t>
        </is>
      </c>
      <c r="G1480" s="395" t="n">
        <v>2600</v>
      </c>
      <c r="H1480" s="395" t="n">
        <v>2588</v>
      </c>
      <c r="I1480" s="395" t="n">
        <v>3</v>
      </c>
      <c r="J1480" s="395" t="n">
        <v>2</v>
      </c>
      <c r="K1480" s="395" t="n">
        <v>-7</v>
      </c>
      <c r="L1480" s="397" t="n">
        <v>2600</v>
      </c>
      <c r="M1480" s="113" t="n"/>
      <c r="N1480" s="113" t="n"/>
      <c r="O1480" s="113" t="n"/>
      <c r="P1480" s="398" t="n"/>
      <c r="Q1480" s="398" t="n"/>
      <c r="R1480" s="113" t="n"/>
      <c r="S1480" s="113" t="n"/>
      <c r="T1480" s="113" t="n"/>
      <c r="U1480" s="113" t="n"/>
      <c r="V1480" s="113" t="n"/>
    </row>
    <row r="1481" ht="15.75" customHeight="1">
      <c r="A1481" s="146" t="n">
        <v>26</v>
      </c>
      <c r="B1481" s="238" t="n"/>
      <c r="C1481" s="399" t="n">
        <v>45981</v>
      </c>
      <c r="D1481" s="146" t="inlineStr">
        <is>
          <t>219 G. SAN JOSE 2</t>
        </is>
      </c>
      <c r="E1481" s="146" t="n">
        <v>44542</v>
      </c>
      <c r="F1481" s="146" t="inlineStr">
        <is>
          <t>ALEXANDER CHAGUALA</t>
        </is>
      </c>
      <c r="G1481" s="395" t="n">
        <v>2500</v>
      </c>
      <c r="H1481" s="395" t="n">
        <v>2490</v>
      </c>
      <c r="I1481" s="395" t="n">
        <v>8</v>
      </c>
      <c r="J1481" s="395" t="n">
        <v>2</v>
      </c>
      <c r="K1481" s="395" t="n">
        <v>0</v>
      </c>
      <c r="L1481" s="397" t="n">
        <v>2500</v>
      </c>
      <c r="M1481" s="113" t="n"/>
      <c r="N1481" s="113" t="n"/>
      <c r="O1481" s="113" t="n"/>
      <c r="P1481" s="398" t="n"/>
      <c r="Q1481" s="398" t="n"/>
      <c r="R1481" s="113" t="n"/>
      <c r="S1481" s="113" t="n"/>
      <c r="T1481" s="113" t="n"/>
      <c r="U1481" s="113" t="n"/>
      <c r="V1481" s="113" t="n"/>
    </row>
    <row r="1482" ht="15.75" customHeight="1">
      <c r="A1482" s="146" t="n">
        <v>26</v>
      </c>
      <c r="B1482" s="238" t="n"/>
      <c r="C1482" s="399" t="n">
        <v>45981</v>
      </c>
      <c r="D1482" s="146" t="inlineStr">
        <is>
          <t>219 G. SAN JOSE 2</t>
        </is>
      </c>
      <c r="E1482" s="146" t="n">
        <v>44543</v>
      </c>
      <c r="F1482" s="146" t="inlineStr">
        <is>
          <t>DIEGO NIÑO</t>
        </is>
      </c>
      <c r="G1482" s="395" t="n">
        <v>2500</v>
      </c>
      <c r="H1482" s="395" t="n">
        <v>2504</v>
      </c>
      <c r="I1482" s="395" t="n">
        <v>0</v>
      </c>
      <c r="J1482" s="395" t="n">
        <v>0</v>
      </c>
      <c r="K1482" s="395" t="n">
        <v>4</v>
      </c>
      <c r="L1482" s="397" t="n">
        <v>2500</v>
      </c>
      <c r="M1482" s="113" t="n"/>
      <c r="N1482" s="113" t="n"/>
      <c r="O1482" s="113" t="n"/>
      <c r="P1482" s="398" t="n"/>
      <c r="Q1482" s="398" t="n"/>
      <c r="R1482" s="113" t="n"/>
      <c r="S1482" s="113" t="n"/>
      <c r="T1482" s="113" t="n"/>
      <c r="U1482" s="113" t="n"/>
      <c r="V1482" s="113" t="n"/>
    </row>
    <row r="1483" ht="15.75" customHeight="1">
      <c r="A1483" s="146" t="n">
        <v>26</v>
      </c>
      <c r="B1483" s="238" t="n"/>
      <c r="C1483" s="399" t="n">
        <v>45981</v>
      </c>
      <c r="D1483" s="146" t="inlineStr">
        <is>
          <t>219 G. SAN JOSE 2</t>
        </is>
      </c>
      <c r="E1483" s="146" t="n">
        <v>44544</v>
      </c>
      <c r="F1483" s="146" t="inlineStr">
        <is>
          <t>YAIR RIVEROS</t>
        </is>
      </c>
      <c r="G1483" s="395" t="n">
        <v>3260</v>
      </c>
      <c r="H1483" s="395" t="n">
        <v>3259</v>
      </c>
      <c r="I1483" s="395" t="n">
        <v>1</v>
      </c>
      <c r="J1483" s="395" t="n">
        <v>3</v>
      </c>
      <c r="K1483" s="395" t="n">
        <v>3</v>
      </c>
      <c r="L1483" s="397" t="n">
        <v>3260</v>
      </c>
      <c r="M1483" s="113" t="n"/>
      <c r="N1483" s="113" t="n"/>
      <c r="O1483" s="113" t="n"/>
      <c r="P1483" s="398" t="n"/>
      <c r="Q1483" s="398" t="n"/>
      <c r="R1483" s="113" t="n"/>
      <c r="S1483" s="113" t="n"/>
      <c r="T1483" s="113" t="n"/>
      <c r="U1483" s="113" t="n"/>
      <c r="V1483" s="113" t="n"/>
    </row>
    <row r="1484" ht="15.75" customHeight="1">
      <c r="A1484" s="146" t="n">
        <v>26</v>
      </c>
      <c r="B1484" s="238" t="n"/>
      <c r="C1484" s="399" t="n">
        <v>45982</v>
      </c>
      <c r="D1484" s="146" t="inlineStr">
        <is>
          <t>221 G. MALAGUEÑA</t>
        </is>
      </c>
      <c r="E1484" s="146" t="n">
        <v>44554</v>
      </c>
      <c r="F1484" s="146" t="inlineStr">
        <is>
          <t>JOSE HERRERA</t>
        </is>
      </c>
      <c r="G1484" s="395" t="n">
        <v>3040</v>
      </c>
      <c r="H1484" s="395" t="n">
        <v>2994</v>
      </c>
      <c r="I1484" s="395" t="n">
        <v>8</v>
      </c>
      <c r="J1484" s="395" t="n">
        <v>7</v>
      </c>
      <c r="K1484" s="395" t="n">
        <v>-31</v>
      </c>
      <c r="L1484" s="397" t="n">
        <v>3040</v>
      </c>
      <c r="M1484" s="113" t="n"/>
      <c r="N1484" s="113" t="n"/>
      <c r="O1484" s="113" t="n"/>
      <c r="P1484" s="398" t="n"/>
      <c r="Q1484" s="398" t="n"/>
      <c r="R1484" s="113" t="n"/>
      <c r="S1484" s="113" t="n"/>
      <c r="T1484" s="113" t="n"/>
      <c r="U1484" s="113" t="n"/>
      <c r="V1484" s="113" t="n"/>
    </row>
    <row r="1485" ht="15.75" customHeight="1">
      <c r="A1485" s="146" t="n">
        <v>26</v>
      </c>
      <c r="B1485" s="238" t="n"/>
      <c r="C1485" s="399" t="n">
        <v>45982</v>
      </c>
      <c r="D1485" s="146" t="inlineStr">
        <is>
          <t>221 G. MALAGUEÑA</t>
        </is>
      </c>
      <c r="E1485" s="146" t="n">
        <v>44555</v>
      </c>
      <c r="F1485" s="146" t="inlineStr">
        <is>
          <t>FABIO ALDANA</t>
        </is>
      </c>
      <c r="G1485" s="395" t="n">
        <v>3040</v>
      </c>
      <c r="H1485" s="395" t="n">
        <v>3034</v>
      </c>
      <c r="I1485" s="395" t="n">
        <v>3</v>
      </c>
      <c r="J1485" s="395" t="n">
        <v>6</v>
      </c>
      <c r="K1485" s="395" t="n">
        <v>3</v>
      </c>
      <c r="L1485" s="397" t="n">
        <v>3040</v>
      </c>
      <c r="M1485" s="113" t="n"/>
      <c r="N1485" s="113" t="n"/>
      <c r="O1485" s="113" t="n"/>
      <c r="P1485" s="398" t="n"/>
      <c r="Q1485" s="398" t="n"/>
      <c r="R1485" s="113" t="n"/>
      <c r="S1485" s="113" t="n"/>
      <c r="T1485" s="113" t="n"/>
      <c r="U1485" s="113" t="n"/>
      <c r="V1485" s="113" t="n"/>
    </row>
    <row r="1486" ht="15.75" customHeight="1">
      <c r="A1486" s="146" t="n">
        <v>26</v>
      </c>
      <c r="B1486" s="238" t="n"/>
      <c r="C1486" s="399" t="n">
        <v>45982</v>
      </c>
      <c r="D1486" s="146" t="inlineStr">
        <is>
          <t>221 G. MALAGUEÑA</t>
        </is>
      </c>
      <c r="E1486" s="146" t="n">
        <v>44556</v>
      </c>
      <c r="F1486" s="146" t="inlineStr">
        <is>
          <t>DIEGO NIÑO</t>
        </is>
      </c>
      <c r="G1486" s="395" t="n">
        <v>3885</v>
      </c>
      <c r="H1486" s="395" t="n">
        <v>3845</v>
      </c>
      <c r="I1486" s="395" t="n">
        <v>7</v>
      </c>
      <c r="J1486" s="395" t="n">
        <v>9</v>
      </c>
      <c r="K1486" s="395" t="n">
        <v>-24</v>
      </c>
      <c r="L1486" s="397" t="n">
        <v>3855</v>
      </c>
      <c r="M1486" s="113" t="n"/>
      <c r="N1486" s="113" t="n"/>
      <c r="O1486" s="113" t="n"/>
      <c r="P1486" s="398" t="n"/>
      <c r="Q1486" s="398" t="n"/>
      <c r="R1486" s="113" t="n"/>
      <c r="S1486" s="113" t="n"/>
      <c r="T1486" s="113" t="n"/>
      <c r="U1486" s="113" t="n"/>
      <c r="V1486" s="113" t="n"/>
    </row>
    <row r="1487" ht="15.75" customHeight="1">
      <c r="A1487" s="146" t="n">
        <v>26</v>
      </c>
      <c r="B1487" s="238" t="n"/>
      <c r="C1487" s="399" t="n">
        <v>45982</v>
      </c>
      <c r="D1487" s="146" t="inlineStr">
        <is>
          <t>221 G. MALAGUEÑA</t>
        </is>
      </c>
      <c r="E1487" s="146" t="n">
        <v>44557</v>
      </c>
      <c r="F1487" s="146" t="inlineStr">
        <is>
          <t>JAIRO CUBILLOS</t>
        </is>
      </c>
      <c r="G1487" s="395" t="n">
        <v>3860</v>
      </c>
      <c r="H1487" s="395" t="n">
        <v>3821</v>
      </c>
      <c r="I1487" s="395" t="n">
        <v>6</v>
      </c>
      <c r="J1487" s="395" t="n">
        <v>12</v>
      </c>
      <c r="K1487" s="395" t="n">
        <v>-21</v>
      </c>
      <c r="L1487" s="397" t="n">
        <v>3885</v>
      </c>
      <c r="M1487" s="113" t="n"/>
      <c r="N1487" s="113" t="n"/>
      <c r="O1487" s="113" t="n"/>
      <c r="P1487" s="398" t="n"/>
      <c r="Q1487" s="398" t="n"/>
      <c r="R1487" s="113" t="n"/>
      <c r="S1487" s="113" t="n"/>
      <c r="T1487" s="113" t="n"/>
      <c r="U1487" s="113" t="n"/>
      <c r="V1487" s="113" t="n"/>
    </row>
    <row r="1488" ht="15.75" customHeight="1">
      <c r="A1488" s="146" t="n">
        <v>26</v>
      </c>
      <c r="B1488" s="238" t="n"/>
      <c r="C1488" s="399" t="n">
        <v>45982</v>
      </c>
      <c r="D1488" s="146" t="inlineStr">
        <is>
          <t>219 G. SAN JOSE 2</t>
        </is>
      </c>
      <c r="E1488" s="146" t="n">
        <v>44561</v>
      </c>
      <c r="F1488" s="146" t="inlineStr">
        <is>
          <t>EDWIN ROJAS</t>
        </is>
      </c>
      <c r="G1488" s="395" t="n">
        <v>2630</v>
      </c>
      <c r="H1488" s="395" t="n">
        <v>2608</v>
      </c>
      <c r="I1488" s="395" t="n">
        <v>2</v>
      </c>
      <c r="J1488" s="395" t="n">
        <v>2</v>
      </c>
      <c r="K1488" s="395" t="n">
        <v>-18</v>
      </c>
      <c r="L1488" s="397" t="n">
        <v>2630</v>
      </c>
      <c r="M1488" s="113" t="n"/>
      <c r="N1488" s="113" t="n"/>
      <c r="O1488" s="113" t="n"/>
      <c r="P1488" s="398" t="n"/>
      <c r="Q1488" s="398" t="n"/>
      <c r="R1488" s="113" t="n"/>
      <c r="S1488" s="113" t="n"/>
      <c r="T1488" s="113" t="n"/>
      <c r="U1488" s="113" t="n"/>
      <c r="V1488" s="113" t="n"/>
    </row>
    <row r="1489" ht="15.75" customHeight="1">
      <c r="A1489" s="146" t="n">
        <v>26</v>
      </c>
      <c r="B1489" s="238" t="n"/>
      <c r="C1489" s="399" t="n">
        <v>45982</v>
      </c>
      <c r="D1489" s="146" t="inlineStr">
        <is>
          <t>219 G. SAN JOSE 2</t>
        </is>
      </c>
      <c r="E1489" s="146" t="n">
        <v>44562</v>
      </c>
      <c r="F1489" s="146" t="inlineStr">
        <is>
          <t>HENRY ROMERO</t>
        </is>
      </c>
      <c r="G1489" s="395" t="n">
        <v>2630</v>
      </c>
      <c r="H1489" s="395" t="n">
        <v>2617</v>
      </c>
      <c r="I1489" s="395" t="n">
        <v>2</v>
      </c>
      <c r="J1489" s="395" t="n">
        <v>1</v>
      </c>
      <c r="K1489" s="395" t="n">
        <v>-10</v>
      </c>
      <c r="L1489" s="397" t="n">
        <v>2630</v>
      </c>
      <c r="M1489" s="113" t="n"/>
      <c r="N1489" s="113" t="n"/>
      <c r="O1489" s="113" t="n"/>
      <c r="P1489" s="398" t="n"/>
      <c r="Q1489" s="398" t="n"/>
      <c r="R1489" s="113" t="n"/>
      <c r="S1489" s="113" t="n"/>
      <c r="T1489" s="113" t="n"/>
      <c r="U1489" s="113" t="n"/>
      <c r="V1489" s="113" t="n"/>
    </row>
    <row r="1490" ht="15.75" customHeight="1">
      <c r="A1490" s="146" t="n">
        <v>26</v>
      </c>
      <c r="B1490" s="238" t="n"/>
      <c r="C1490" s="399" t="n">
        <v>45982</v>
      </c>
      <c r="D1490" s="146" t="inlineStr">
        <is>
          <t>219 G. SAN JOSE 2</t>
        </is>
      </c>
      <c r="E1490" s="146" t="n">
        <v>44563</v>
      </c>
      <c r="F1490" s="146" t="inlineStr">
        <is>
          <t>EDUAN CAVIEDES</t>
        </is>
      </c>
      <c r="G1490" s="395" t="n">
        <v>3696</v>
      </c>
      <c r="H1490" s="395" t="n">
        <v>3687</v>
      </c>
      <c r="I1490" s="395" t="n">
        <v>3</v>
      </c>
      <c r="J1490" s="395" t="n">
        <v>2</v>
      </c>
      <c r="K1490" s="395" t="n">
        <v>-4</v>
      </c>
      <c r="L1490" s="397" t="n">
        <v>3696</v>
      </c>
      <c r="M1490" s="113" t="n"/>
      <c r="N1490" s="113" t="n"/>
      <c r="O1490" s="113" t="n"/>
      <c r="P1490" s="398" t="n"/>
      <c r="Q1490" s="398" t="n"/>
      <c r="R1490" s="113" t="n"/>
      <c r="S1490" s="113" t="n"/>
      <c r="T1490" s="113" t="n"/>
      <c r="U1490" s="113" t="n"/>
      <c r="V1490" s="113" t="n"/>
    </row>
    <row r="1491" ht="15.75" customHeight="1">
      <c r="A1491" s="146" t="n">
        <v>26</v>
      </c>
      <c r="B1491" s="238" t="n"/>
      <c r="C1491" s="399" t="n">
        <v>45982</v>
      </c>
      <c r="D1491" s="146" t="inlineStr">
        <is>
          <t>219 G. SAN JOSE 2</t>
        </is>
      </c>
      <c r="E1491" s="146" t="n">
        <v>44564</v>
      </c>
      <c r="F1491" s="146" t="inlineStr">
        <is>
          <t>FERNANDO OYUELA</t>
        </is>
      </c>
      <c r="G1491" s="395" t="n">
        <v>2400</v>
      </c>
      <c r="H1491" s="395" t="n">
        <v>2381</v>
      </c>
      <c r="I1491" s="395" t="n">
        <v>3</v>
      </c>
      <c r="J1491" s="395" t="n">
        <v>4</v>
      </c>
      <c r="K1491" s="395" t="n">
        <v>-12</v>
      </c>
      <c r="L1491" s="397" t="n">
        <v>2400</v>
      </c>
      <c r="M1491" s="113" t="n"/>
      <c r="N1491" s="113" t="n"/>
      <c r="O1491" s="113" t="n"/>
      <c r="P1491" s="398" t="n"/>
      <c r="Q1491" s="398" t="n"/>
      <c r="R1491" s="113" t="n"/>
      <c r="S1491" s="113" t="n"/>
      <c r="T1491" s="113" t="n"/>
      <c r="U1491" s="113" t="n"/>
      <c r="V1491" s="113" t="n"/>
    </row>
    <row r="1492" ht="15.75" customHeight="1">
      <c r="A1492" s="146" t="n">
        <v>26</v>
      </c>
      <c r="B1492" s="238" t="n"/>
      <c r="C1492" s="399" t="n">
        <v>45982</v>
      </c>
      <c r="D1492" s="146" t="inlineStr">
        <is>
          <t>219 G. SAN JOSE 2</t>
        </is>
      </c>
      <c r="E1492" s="146" t="n">
        <v>44565</v>
      </c>
      <c r="F1492" s="146" t="inlineStr">
        <is>
          <t>JOSE SOLER</t>
        </is>
      </c>
      <c r="G1492" s="395" t="n">
        <v>2400</v>
      </c>
      <c r="H1492" s="395" t="n">
        <v>2393</v>
      </c>
      <c r="I1492" s="395" t="n">
        <v>2</v>
      </c>
      <c r="J1492" s="395" t="n">
        <v>2</v>
      </c>
      <c r="K1492" s="395" t="n">
        <v>-3</v>
      </c>
      <c r="L1492" s="397" t="n">
        <v>2400</v>
      </c>
      <c r="M1492" s="113" t="n"/>
      <c r="N1492" s="113" t="n"/>
      <c r="O1492" s="113" t="n"/>
      <c r="P1492" s="398" t="n"/>
      <c r="Q1492" s="398" t="n"/>
      <c r="R1492" s="113" t="n"/>
      <c r="S1492" s="113" t="n"/>
      <c r="T1492" s="113" t="n"/>
      <c r="U1492" s="113" t="n"/>
      <c r="V1492" s="113" t="n"/>
    </row>
    <row r="1493" ht="15.75" customHeight="1">
      <c r="A1493" s="146" t="n">
        <v>26</v>
      </c>
      <c r="B1493" s="238" t="n"/>
      <c r="C1493" s="399" t="n">
        <v>45983</v>
      </c>
      <c r="D1493" s="146" t="inlineStr">
        <is>
          <t>221 G. MALAGUEÑA</t>
        </is>
      </c>
      <c r="E1493" s="146" t="n">
        <v>44566</v>
      </c>
      <c r="F1493" s="146" t="inlineStr">
        <is>
          <t>SEBASTIAN HIDALGO</t>
        </is>
      </c>
      <c r="G1493" s="395" t="n">
        <v>2530</v>
      </c>
      <c r="H1493" s="395" t="n">
        <v>2517</v>
      </c>
      <c r="I1493" s="395" t="n">
        <v>5</v>
      </c>
      <c r="J1493" s="395" t="n">
        <v>5</v>
      </c>
      <c r="K1493" s="395" t="n">
        <v>-3</v>
      </c>
      <c r="L1493" s="397" t="n">
        <v>2530</v>
      </c>
      <c r="M1493" s="113" t="n"/>
      <c r="N1493" s="113" t="n"/>
      <c r="O1493" s="113" t="n"/>
      <c r="P1493" s="398" t="n"/>
      <c r="Q1493" s="398" t="n"/>
      <c r="R1493" s="113" t="n"/>
      <c r="S1493" s="113" t="n"/>
      <c r="T1493" s="113" t="n"/>
      <c r="U1493" s="113" t="n"/>
      <c r="V1493" s="113" t="n"/>
    </row>
    <row r="1494" ht="15.75" customHeight="1">
      <c r="A1494" s="146" t="n">
        <v>26</v>
      </c>
      <c r="B1494" s="238" t="n"/>
      <c r="C1494" s="399" t="n">
        <v>45983</v>
      </c>
      <c r="D1494" s="146" t="inlineStr">
        <is>
          <t>221 G. MALAGUEÑA</t>
        </is>
      </c>
      <c r="E1494" s="146" t="n">
        <v>44567</v>
      </c>
      <c r="F1494" s="146" t="inlineStr">
        <is>
          <t>JOSE SOLER</t>
        </is>
      </c>
      <c r="G1494" s="395" t="n">
        <v>2530</v>
      </c>
      <c r="H1494" s="395" t="n">
        <v>2512</v>
      </c>
      <c r="I1494" s="395" t="n">
        <v>3</v>
      </c>
      <c r="J1494" s="395" t="n">
        <v>4</v>
      </c>
      <c r="K1494" s="395" t="n">
        <v>-11</v>
      </c>
      <c r="L1494" s="397" t="n">
        <v>2530</v>
      </c>
      <c r="M1494" s="113" t="n"/>
      <c r="N1494" s="113" t="n"/>
      <c r="O1494" s="113" t="n"/>
      <c r="P1494" s="398" t="n"/>
      <c r="Q1494" s="398" t="n"/>
      <c r="R1494" s="113" t="n"/>
      <c r="S1494" s="113" t="n"/>
      <c r="T1494" s="113" t="n"/>
      <c r="U1494" s="113" t="n"/>
      <c r="V1494" s="113" t="n"/>
    </row>
    <row r="1495" ht="15.75" customHeight="1">
      <c r="A1495" s="146" t="n">
        <v>26</v>
      </c>
      <c r="B1495" s="238" t="n"/>
      <c r="C1495" s="399" t="n">
        <v>45983</v>
      </c>
      <c r="D1495" s="146" t="inlineStr">
        <is>
          <t>219 G. SAN JOSE 2</t>
        </is>
      </c>
      <c r="E1495" s="146" t="n">
        <v>44570</v>
      </c>
      <c r="F1495" s="146" t="inlineStr">
        <is>
          <t>DIEGO NIÑO</t>
        </is>
      </c>
      <c r="G1495" s="395" t="n">
        <v>3370</v>
      </c>
      <c r="H1495" s="395" t="n">
        <v>3354</v>
      </c>
      <c r="I1495" s="395" t="n">
        <v>3</v>
      </c>
      <c r="J1495" s="395" t="n">
        <v>7</v>
      </c>
      <c r="K1495" s="395" t="n">
        <v>-6</v>
      </c>
      <c r="L1495" s="397" t="n">
        <v>3370</v>
      </c>
      <c r="M1495" s="113" t="n"/>
      <c r="N1495" s="113" t="n"/>
      <c r="O1495" s="113" t="n"/>
      <c r="P1495" s="398" t="n"/>
      <c r="Q1495" s="398" t="n"/>
      <c r="R1495" s="113" t="n"/>
      <c r="S1495" s="113" t="n"/>
      <c r="T1495" s="113" t="n"/>
      <c r="U1495" s="113" t="n"/>
      <c r="V1495" s="113" t="n"/>
    </row>
    <row r="1496" ht="15.75" customHeight="1">
      <c r="A1496" s="146" t="n">
        <v>26</v>
      </c>
      <c r="B1496" s="238" t="n"/>
      <c r="C1496" s="399" t="n">
        <v>45983</v>
      </c>
      <c r="D1496" s="146" t="inlineStr">
        <is>
          <t>219 G. SAN JOSE 2</t>
        </is>
      </c>
      <c r="E1496" s="146" t="n">
        <v>44572</v>
      </c>
      <c r="F1496" s="146" t="inlineStr">
        <is>
          <t>SEBASTIAN HIDALGO</t>
        </is>
      </c>
      <c r="G1496" s="395" t="n">
        <v>3372</v>
      </c>
      <c r="H1496" s="395" t="n">
        <v>3366</v>
      </c>
      <c r="I1496" s="395" t="n">
        <v>4</v>
      </c>
      <c r="J1496" s="395" t="n">
        <v>4</v>
      </c>
      <c r="K1496" s="395" t="n">
        <v>2</v>
      </c>
      <c r="L1496" s="397" t="n">
        <v>3370</v>
      </c>
      <c r="M1496" s="113" t="n"/>
      <c r="N1496" s="113" t="n"/>
      <c r="O1496" s="113" t="n"/>
      <c r="P1496" s="398" t="n"/>
      <c r="Q1496" s="398" t="n"/>
      <c r="R1496" s="113" t="n"/>
      <c r="S1496" s="113" t="n"/>
      <c r="T1496" s="113" t="n"/>
      <c r="U1496" s="113" t="n"/>
      <c r="V1496" s="113" t="n"/>
    </row>
    <row r="1497" ht="15.75" customHeight="1">
      <c r="A1497" s="146" t="n">
        <v>26</v>
      </c>
      <c r="B1497" s="238" t="n"/>
      <c r="C1497" s="399" t="n">
        <v>45983</v>
      </c>
      <c r="D1497" s="146" t="inlineStr">
        <is>
          <t>219 G. SAN JOSE 2</t>
        </is>
      </c>
      <c r="E1497" s="146" t="n">
        <v>44578</v>
      </c>
      <c r="F1497" s="146" t="inlineStr">
        <is>
          <t>ALEXANDER CHAGUALA</t>
        </is>
      </c>
      <c r="G1497" s="395" t="n">
        <v>3372</v>
      </c>
      <c r="H1497" s="395" t="n">
        <v>3347</v>
      </c>
      <c r="I1497" s="395" t="n">
        <v>3</v>
      </c>
      <c r="J1497" s="395" t="n">
        <v>2</v>
      </c>
      <c r="K1497" s="395" t="n">
        <v>-20</v>
      </c>
      <c r="L1497" s="397" t="n">
        <v>3372</v>
      </c>
      <c r="M1497" s="113" t="n"/>
      <c r="N1497" s="113" t="n"/>
      <c r="O1497" s="113" t="n"/>
      <c r="P1497" s="398" t="n"/>
      <c r="Q1497" s="398" t="n"/>
      <c r="R1497" s="113" t="n"/>
      <c r="S1497" s="113" t="n"/>
      <c r="T1497" s="113" t="n"/>
      <c r="U1497" s="113" t="n"/>
      <c r="V1497" s="113" t="n"/>
    </row>
    <row r="1498" ht="15.75" customHeight="1">
      <c r="A1498" s="146" t="n">
        <v>26</v>
      </c>
      <c r="B1498" s="238" t="n"/>
      <c r="C1498" s="399" t="n">
        <v>45983</v>
      </c>
      <c r="D1498" s="146" t="inlineStr">
        <is>
          <t>219 G. SAN JOSE 2</t>
        </is>
      </c>
      <c r="E1498" s="146" t="n">
        <v>44579</v>
      </c>
      <c r="F1498" s="146" t="inlineStr">
        <is>
          <t>MANUEL QUITIAN</t>
        </is>
      </c>
      <c r="G1498" s="395" t="n">
        <v>3305</v>
      </c>
      <c r="H1498" s="395" t="n">
        <v>3277</v>
      </c>
      <c r="I1498" s="395" t="n">
        <v>3</v>
      </c>
      <c r="J1498" s="395" t="n">
        <v>2</v>
      </c>
      <c r="K1498" s="395" t="n">
        <v>-23</v>
      </c>
      <c r="L1498" s="397" t="n">
        <v>3305</v>
      </c>
      <c r="M1498" s="113" t="n"/>
      <c r="N1498" s="113" t="n"/>
      <c r="O1498" s="113" t="n"/>
      <c r="P1498" s="398" t="n"/>
      <c r="Q1498" s="398" t="n"/>
      <c r="R1498" s="113" t="n"/>
      <c r="S1498" s="113" t="n"/>
      <c r="T1498" s="113" t="n"/>
      <c r="U1498" s="113" t="n"/>
      <c r="V1498" s="113" t="n"/>
    </row>
    <row r="1499" ht="15.75" customHeight="1">
      <c r="A1499" s="146" t="n">
        <v>26</v>
      </c>
      <c r="B1499" s="238" t="n"/>
      <c r="C1499" s="399" t="n">
        <v>45983</v>
      </c>
      <c r="D1499" s="146" t="inlineStr">
        <is>
          <t>219 G. SAN JOSE 2</t>
        </is>
      </c>
      <c r="E1499" s="146" t="n">
        <v>44583</v>
      </c>
      <c r="F1499" s="146" t="inlineStr">
        <is>
          <t>HENRY ROMERO</t>
        </is>
      </c>
      <c r="G1499" s="395" t="n">
        <v>3305</v>
      </c>
      <c r="H1499" s="395" t="n">
        <v>3301</v>
      </c>
      <c r="I1499" s="395" t="n">
        <v>2</v>
      </c>
      <c r="J1499" s="395" t="n">
        <v>1</v>
      </c>
      <c r="K1499" s="395" t="n">
        <v>-1</v>
      </c>
      <c r="L1499" s="397" t="n">
        <v>3305</v>
      </c>
      <c r="M1499" s="113" t="n"/>
      <c r="N1499" s="113" t="n"/>
      <c r="O1499" s="113" t="n"/>
      <c r="P1499" s="398" t="n"/>
      <c r="Q1499" s="398" t="n"/>
      <c r="R1499" s="113" t="n"/>
      <c r="S1499" s="113" t="n"/>
      <c r="T1499" s="113" t="n"/>
      <c r="U1499" s="113" t="n"/>
      <c r="V1499" s="113" t="n"/>
    </row>
    <row r="1500" ht="15.75" customHeight="1">
      <c r="A1500" s="146" t="n">
        <v>26</v>
      </c>
      <c r="B1500" s="238" t="n"/>
      <c r="C1500" s="399" t="n">
        <v>45983</v>
      </c>
      <c r="D1500" s="146" t="inlineStr">
        <is>
          <t>219 G. SAN JOSE 2</t>
        </is>
      </c>
      <c r="E1500" s="146" t="n">
        <v>44584</v>
      </c>
      <c r="F1500" s="146" t="inlineStr">
        <is>
          <t>EDWIN ROJAS</t>
        </is>
      </c>
      <c r="G1500" s="395" t="n">
        <v>3305</v>
      </c>
      <c r="H1500" s="395" t="n">
        <v>3302</v>
      </c>
      <c r="I1500" s="395" t="n">
        <v>3</v>
      </c>
      <c r="J1500" s="395" t="n">
        <v>3</v>
      </c>
      <c r="K1500" s="395" t="n">
        <v>3</v>
      </c>
      <c r="L1500" s="397" t="n">
        <v>3305</v>
      </c>
      <c r="M1500" s="113" t="n"/>
      <c r="N1500" s="113" t="n"/>
      <c r="O1500" s="113" t="n"/>
      <c r="P1500" s="398" t="n"/>
      <c r="Q1500" s="398" t="n"/>
      <c r="R1500" s="113" t="n"/>
      <c r="S1500" s="113" t="n"/>
      <c r="T1500" s="113" t="n"/>
      <c r="U1500" s="113" t="n"/>
      <c r="V1500" s="113" t="n"/>
    </row>
    <row r="1501" ht="15.75" customHeight="1">
      <c r="A1501" s="146" t="n">
        <v>26</v>
      </c>
      <c r="B1501" s="238" t="n"/>
      <c r="C1501" s="399" t="n"/>
      <c r="D1501" s="113" t="n"/>
      <c r="E1501" s="113" t="n"/>
      <c r="F1501" s="113" t="n"/>
      <c r="G1501" s="477">
        <f>SUBTOTAL(9,G1440:G1500)</f>
        <v/>
      </c>
      <c r="H1501" s="477">
        <f>SUBTOTAL(9,H1440:H1500)</f>
        <v/>
      </c>
      <c r="I1501" s="477">
        <f>SUBTOTAL(9,I1440:I1500)</f>
        <v/>
      </c>
      <c r="J1501" s="477">
        <f>SUBTOTAL(9,J1440:J1500)</f>
        <v/>
      </c>
      <c r="K1501" s="477">
        <f>SUBTOTAL(9,K1440:K1500)</f>
        <v/>
      </c>
      <c r="L1501" s="477">
        <f>SUBTOTAL(9,L1440:L1500)</f>
        <v/>
      </c>
      <c r="M1501" s="113" t="n"/>
      <c r="N1501" s="113" t="n"/>
      <c r="O1501" s="113" t="n"/>
      <c r="P1501" s="398" t="n"/>
      <c r="Q1501" s="398" t="n"/>
      <c r="R1501" s="113" t="n"/>
      <c r="S1501" s="113" t="n"/>
      <c r="T1501" s="113" t="n"/>
      <c r="U1501" s="113" t="n"/>
      <c r="V1501" s="113" t="n"/>
    </row>
    <row r="1502" ht="15.75" customHeight="1">
      <c r="A1502" s="146" t="n">
        <v>27</v>
      </c>
      <c r="B1502" s="238" t="n"/>
      <c r="C1502" s="399" t="n">
        <v>45984</v>
      </c>
      <c r="D1502" s="146" t="inlineStr">
        <is>
          <t xml:space="preserve">221 G. MALAGUEÑA </t>
        </is>
      </c>
      <c r="E1502" s="146" t="n">
        <v>204511</v>
      </c>
      <c r="F1502" s="146" t="inlineStr">
        <is>
          <t>MERVIN STIVEN CORTES</t>
        </is>
      </c>
      <c r="G1502" s="395" t="n">
        <v>2700</v>
      </c>
      <c r="H1502" s="395" t="n">
        <v>2697</v>
      </c>
      <c r="I1502" s="395" t="n">
        <v>1</v>
      </c>
      <c r="J1502" s="395" t="n">
        <v>4</v>
      </c>
      <c r="K1502" s="395" t="n">
        <v>2</v>
      </c>
      <c r="L1502" s="397" t="n">
        <v>2700</v>
      </c>
      <c r="M1502" s="113" t="n"/>
      <c r="N1502" s="113" t="n"/>
      <c r="O1502" s="113" t="n"/>
      <c r="P1502" s="398" t="n"/>
      <c r="Q1502" s="398" t="n"/>
      <c r="R1502" s="113" t="n"/>
      <c r="S1502" s="113" t="n"/>
      <c r="T1502" s="113" t="n"/>
      <c r="U1502" s="113" t="n"/>
      <c r="V1502" s="113" t="n"/>
    </row>
    <row r="1503" ht="15.75" customHeight="1">
      <c r="A1503" s="146" t="n">
        <v>27</v>
      </c>
      <c r="B1503" s="238" t="n"/>
      <c r="C1503" s="399" t="n">
        <v>45984</v>
      </c>
      <c r="D1503" s="146" t="inlineStr">
        <is>
          <t>221 G. MALAGUEÑA</t>
        </is>
      </c>
      <c r="E1503" s="146" t="n">
        <v>204512</v>
      </c>
      <c r="F1503" s="146" t="inlineStr">
        <is>
          <t xml:space="preserve"> LEONARDO LUGO</t>
        </is>
      </c>
      <c r="G1503" s="395" t="n">
        <v>2550</v>
      </c>
      <c r="H1503" s="395" t="n">
        <v>2544</v>
      </c>
      <c r="I1503" s="395" t="n">
        <v>4</v>
      </c>
      <c r="J1503" s="395" t="n">
        <v>6</v>
      </c>
      <c r="K1503" s="395" t="n">
        <v>4</v>
      </c>
      <c r="L1503" s="397" t="n">
        <v>2550</v>
      </c>
      <c r="M1503" s="113" t="n"/>
      <c r="N1503" s="113" t="n"/>
      <c r="O1503" s="113" t="n"/>
      <c r="P1503" s="398" t="n"/>
      <c r="Q1503" s="398" t="n"/>
      <c r="R1503" s="113" t="n"/>
      <c r="S1503" s="113" t="n"/>
      <c r="T1503" s="113" t="n"/>
      <c r="U1503" s="113" t="n"/>
      <c r="V1503" s="113" t="n"/>
    </row>
    <row r="1504" ht="15.75" customHeight="1">
      <c r="A1504" s="146" t="n">
        <v>27</v>
      </c>
      <c r="B1504" s="238" t="n"/>
      <c r="C1504" s="399" t="n">
        <v>45984</v>
      </c>
      <c r="D1504" s="146" t="inlineStr">
        <is>
          <t xml:space="preserve">221 G. MALAGUEÑA </t>
        </is>
      </c>
      <c r="E1504" s="146" t="n">
        <v>204515</v>
      </c>
      <c r="F1504" s="146" t="inlineStr">
        <is>
          <t>MARCO OSPINA</t>
        </is>
      </c>
      <c r="G1504" s="395" t="n">
        <v>2550</v>
      </c>
      <c r="H1504" s="395" t="n">
        <v>2546</v>
      </c>
      <c r="I1504" s="395" t="n">
        <v>0</v>
      </c>
      <c r="J1504" s="395" t="n">
        <v>5</v>
      </c>
      <c r="K1504" s="395" t="n">
        <v>1</v>
      </c>
      <c r="L1504" s="397" t="n">
        <v>2550</v>
      </c>
      <c r="M1504" s="113" t="n"/>
      <c r="N1504" s="113" t="n"/>
      <c r="O1504" s="113" t="n"/>
      <c r="P1504" s="398" t="n"/>
      <c r="Q1504" s="398" t="n"/>
      <c r="R1504" s="113" t="n"/>
      <c r="S1504" s="113" t="n"/>
      <c r="T1504" s="113" t="n"/>
      <c r="U1504" s="113" t="n"/>
      <c r="V1504" s="113" t="n"/>
    </row>
    <row r="1505" ht="15.75" customHeight="1">
      <c r="A1505" s="146" t="n">
        <v>27</v>
      </c>
      <c r="B1505" s="238" t="n"/>
      <c r="C1505" s="399" t="n">
        <v>45985</v>
      </c>
      <c r="D1505" s="146" t="inlineStr">
        <is>
          <t>221 G. MALAGUEÑA</t>
        </is>
      </c>
      <c r="E1505" s="146" t="n">
        <v>44602</v>
      </c>
      <c r="F1505" s="146" t="inlineStr">
        <is>
          <t>MANUEL QUITIAN</t>
        </is>
      </c>
      <c r="G1505" s="395" t="n">
        <v>2680</v>
      </c>
      <c r="H1505" s="395" t="n">
        <v>2669</v>
      </c>
      <c r="I1505" s="395" t="n">
        <v>4</v>
      </c>
      <c r="J1505" s="395" t="n">
        <v>3</v>
      </c>
      <c r="K1505" s="395" t="n">
        <v>-4</v>
      </c>
      <c r="L1505" s="397" t="n">
        <v>2680</v>
      </c>
      <c r="M1505" s="113" t="n"/>
      <c r="N1505" s="113" t="n"/>
      <c r="O1505" s="113" t="n"/>
      <c r="P1505" s="398" t="n"/>
      <c r="Q1505" s="398" t="n"/>
      <c r="R1505" s="113" t="n"/>
      <c r="S1505" s="113" t="n"/>
      <c r="T1505" s="113" t="n"/>
      <c r="U1505" s="113" t="n"/>
      <c r="V1505" s="113" t="n"/>
    </row>
    <row r="1506" ht="15.75" customHeight="1">
      <c r="A1506" s="146" t="n">
        <v>27</v>
      </c>
      <c r="B1506" s="238" t="n"/>
      <c r="C1506" s="399" t="n">
        <v>45985</v>
      </c>
      <c r="D1506" s="146" t="inlineStr">
        <is>
          <t>221 G. MALAGUEÑA</t>
        </is>
      </c>
      <c r="E1506" s="146" t="n">
        <v>44603</v>
      </c>
      <c r="F1506" s="146" t="inlineStr">
        <is>
          <t>EDUAN CAVIEDES</t>
        </is>
      </c>
      <c r="G1506" s="395" t="n">
        <v>2680</v>
      </c>
      <c r="H1506" s="395" t="n">
        <v>2668</v>
      </c>
      <c r="I1506" s="395" t="n">
        <v>3</v>
      </c>
      <c r="J1506" s="395" t="n">
        <v>5</v>
      </c>
      <c r="K1506" s="395" t="n">
        <v>-4</v>
      </c>
      <c r="L1506" s="397" t="n">
        <v>2680</v>
      </c>
      <c r="M1506" s="113" t="n"/>
      <c r="N1506" s="113" t="n"/>
      <c r="O1506" s="113" t="n"/>
      <c r="P1506" s="398" t="n"/>
      <c r="Q1506" s="398" t="n"/>
      <c r="R1506" s="113" t="n"/>
      <c r="S1506" s="113" t="n"/>
      <c r="T1506" s="113" t="n"/>
      <c r="U1506" s="113" t="n"/>
      <c r="V1506" s="113" t="n"/>
    </row>
    <row r="1507" ht="15.75" customHeight="1">
      <c r="A1507" s="146" t="n">
        <v>27</v>
      </c>
      <c r="B1507" s="238" t="n"/>
      <c r="C1507" s="399" t="n">
        <v>45985</v>
      </c>
      <c r="D1507" s="146" t="inlineStr">
        <is>
          <t>219 G. SAN JOSE 2</t>
        </is>
      </c>
      <c r="E1507" s="146" t="n">
        <v>44611</v>
      </c>
      <c r="F1507" s="146" t="inlineStr">
        <is>
          <t>FABIO ALDANA</t>
        </is>
      </c>
      <c r="G1507" s="395" t="n">
        <v>3460</v>
      </c>
      <c r="H1507" s="395" t="n">
        <v>3431</v>
      </c>
      <c r="I1507" s="395" t="n">
        <v>4</v>
      </c>
      <c r="J1507" s="395" t="n">
        <v>9</v>
      </c>
      <c r="K1507" s="395" t="n">
        <v>-16</v>
      </c>
      <c r="L1507" s="397" t="n">
        <v>3460</v>
      </c>
      <c r="M1507" s="113" t="n"/>
      <c r="N1507" s="113" t="n"/>
      <c r="O1507" s="113" t="n"/>
      <c r="P1507" s="398" t="n"/>
      <c r="Q1507" s="398" t="n"/>
      <c r="R1507" s="113" t="n"/>
      <c r="S1507" s="113" t="n"/>
      <c r="T1507" s="113" t="n"/>
      <c r="U1507" s="113" t="n"/>
      <c r="V1507" s="113" t="n"/>
    </row>
    <row r="1508" ht="15.75" customHeight="1">
      <c r="A1508" s="146" t="n">
        <v>27</v>
      </c>
      <c r="B1508" s="238" t="n"/>
      <c r="C1508" s="399" t="n">
        <v>45985</v>
      </c>
      <c r="D1508" s="146" t="inlineStr">
        <is>
          <t>219 G. SAN JOSE 2</t>
        </is>
      </c>
      <c r="E1508" s="146" t="n">
        <v>44612</v>
      </c>
      <c r="F1508" s="146" t="inlineStr">
        <is>
          <t>WILMER PIÑEROS</t>
        </is>
      </c>
      <c r="G1508" s="395" t="n">
        <v>3460</v>
      </c>
      <c r="H1508" s="395" t="n">
        <v>3445</v>
      </c>
      <c r="I1508" s="395" t="n">
        <v>4</v>
      </c>
      <c r="J1508" s="395" t="n">
        <v>8</v>
      </c>
      <c r="K1508" s="395" t="n">
        <v>-3</v>
      </c>
      <c r="L1508" s="397" t="n">
        <v>3293</v>
      </c>
      <c r="M1508" s="113" t="n"/>
      <c r="N1508" s="113" t="n"/>
      <c r="O1508" s="113" t="n"/>
      <c r="P1508" s="398" t="n"/>
      <c r="Q1508" s="398" t="n"/>
      <c r="R1508" s="113" t="n"/>
      <c r="S1508" s="113" t="n"/>
      <c r="T1508" s="113" t="n"/>
      <c r="U1508" s="113" t="n"/>
      <c r="V1508" s="113" t="n"/>
    </row>
    <row r="1509" ht="15.75" customHeight="1">
      <c r="A1509" s="146" t="n">
        <v>27</v>
      </c>
      <c r="B1509" s="238" t="n"/>
      <c r="C1509" s="399" t="n">
        <v>45985</v>
      </c>
      <c r="D1509" s="146" t="inlineStr">
        <is>
          <t>219 G. SAN JOSE 2</t>
        </is>
      </c>
      <c r="E1509" s="146" t="n">
        <v>44613</v>
      </c>
      <c r="F1509" s="146" t="inlineStr">
        <is>
          <t>HENRY ROMERO</t>
        </is>
      </c>
      <c r="G1509" s="395" t="n">
        <v>3293</v>
      </c>
      <c r="H1509" s="395" t="n">
        <v>3290</v>
      </c>
      <c r="I1509" s="395" t="n">
        <v>4</v>
      </c>
      <c r="J1509" s="395" t="n">
        <v>3</v>
      </c>
      <c r="K1509" s="395" t="n">
        <v>4</v>
      </c>
      <c r="L1509" s="397" t="n">
        <v>3293</v>
      </c>
      <c r="M1509" s="113" t="n"/>
      <c r="N1509" s="113" t="n"/>
      <c r="O1509" s="113" t="n"/>
      <c r="P1509" s="398" t="n"/>
      <c r="Q1509" s="398" t="n"/>
      <c r="R1509" s="113" t="n"/>
      <c r="S1509" s="113" t="n"/>
      <c r="T1509" s="113" t="n"/>
      <c r="U1509" s="113" t="n"/>
      <c r="V1509" s="113" t="n"/>
    </row>
    <row r="1510" ht="15.75" customHeight="1">
      <c r="A1510" s="146" t="n">
        <v>27</v>
      </c>
      <c r="B1510" s="238" t="n"/>
      <c r="C1510" s="399" t="n">
        <v>45985</v>
      </c>
      <c r="D1510" s="146" t="inlineStr">
        <is>
          <t>219 G. SAN JOSE 2</t>
        </is>
      </c>
      <c r="E1510" s="146" t="n">
        <v>44614</v>
      </c>
      <c r="F1510" s="146" t="inlineStr">
        <is>
          <t>MANUEL QUITIAN</t>
        </is>
      </c>
      <c r="G1510" s="395" t="n">
        <v>3460</v>
      </c>
      <c r="H1510" s="395" t="n">
        <v>3436</v>
      </c>
      <c r="I1510" s="395" t="n">
        <v>4</v>
      </c>
      <c r="J1510" s="395" t="n">
        <v>2</v>
      </c>
      <c r="K1510" s="395" t="n">
        <v>-18</v>
      </c>
      <c r="L1510" s="397" t="n">
        <v>3460</v>
      </c>
      <c r="M1510" s="113" t="n"/>
      <c r="N1510" s="113" t="n"/>
      <c r="O1510" s="113" t="n"/>
      <c r="P1510" s="398" t="n"/>
      <c r="Q1510" s="398" t="n"/>
      <c r="R1510" s="113" t="n"/>
      <c r="S1510" s="113" t="n"/>
      <c r="T1510" s="113" t="n"/>
      <c r="U1510" s="113" t="n"/>
      <c r="V1510" s="113" t="n"/>
    </row>
    <row r="1511" ht="15.75" customHeight="1">
      <c r="A1511" s="146" t="n">
        <v>27</v>
      </c>
      <c r="B1511" s="238" t="n"/>
      <c r="C1511" s="399" t="n">
        <v>45985</v>
      </c>
      <c r="D1511" s="146" t="inlineStr">
        <is>
          <t>219 G. SAN JOSE 2</t>
        </is>
      </c>
      <c r="E1511" s="146" t="n">
        <v>44615</v>
      </c>
      <c r="F1511" s="146" t="inlineStr">
        <is>
          <t>JAIRO CUBILLOS</t>
        </is>
      </c>
      <c r="G1511" s="395" t="n">
        <v>3293</v>
      </c>
      <c r="H1511" s="395" t="n">
        <v>3288</v>
      </c>
      <c r="I1511" s="395" t="n">
        <v>3</v>
      </c>
      <c r="J1511" s="395" t="n">
        <v>5</v>
      </c>
      <c r="K1511" s="395" t="n">
        <v>3</v>
      </c>
      <c r="L1511" s="397" t="n">
        <v>3460</v>
      </c>
      <c r="M1511" s="113" t="n"/>
      <c r="N1511" s="113" t="n"/>
      <c r="O1511" s="113" t="n"/>
      <c r="P1511" s="398" t="n"/>
      <c r="Q1511" s="398" t="n"/>
      <c r="R1511" s="113" t="n"/>
      <c r="S1511" s="113" t="n"/>
      <c r="T1511" s="113" t="n"/>
      <c r="U1511" s="113" t="n"/>
      <c r="V1511" s="113" t="n"/>
    </row>
    <row r="1512" ht="15.75" customHeight="1">
      <c r="A1512" s="146" t="n">
        <v>27</v>
      </c>
      <c r="B1512" s="238" t="n"/>
      <c r="C1512" s="399" t="n">
        <v>45985</v>
      </c>
      <c r="D1512" s="146" t="inlineStr">
        <is>
          <t>219 G. SAN JOSE 2</t>
        </is>
      </c>
      <c r="E1512" s="146" t="n">
        <v>44616</v>
      </c>
      <c r="F1512" s="146" t="inlineStr">
        <is>
          <t>SEBASTIAN HIDALGO</t>
        </is>
      </c>
      <c r="G1512" s="395" t="n">
        <v>3550</v>
      </c>
      <c r="H1512" s="395" t="n">
        <v>3551</v>
      </c>
      <c r="I1512" s="395" t="n">
        <v>5</v>
      </c>
      <c r="J1512" s="395" t="n">
        <v>2</v>
      </c>
      <c r="K1512" s="395" t="n">
        <v>8</v>
      </c>
      <c r="L1512" s="397" t="n">
        <v>3550</v>
      </c>
      <c r="M1512" s="113" t="n"/>
      <c r="N1512" s="113" t="n"/>
      <c r="O1512" s="113" t="n"/>
      <c r="P1512" s="398" t="n"/>
      <c r="Q1512" s="398" t="n"/>
      <c r="R1512" s="113" t="n"/>
      <c r="S1512" s="113" t="n"/>
      <c r="T1512" s="113" t="n"/>
      <c r="U1512" s="113" t="n"/>
      <c r="V1512" s="113" t="n"/>
    </row>
    <row r="1513" ht="15.75" customHeight="1">
      <c r="A1513" s="146" t="n">
        <v>27</v>
      </c>
      <c r="B1513" s="238" t="n"/>
      <c r="C1513" s="399" t="n">
        <v>45985</v>
      </c>
      <c r="D1513" s="146" t="inlineStr">
        <is>
          <t>219 G. SAN JOSE 2</t>
        </is>
      </c>
      <c r="E1513" s="146" t="n">
        <v>44623</v>
      </c>
      <c r="F1513" s="146" t="inlineStr">
        <is>
          <t>JHON ARIAS</t>
        </is>
      </c>
      <c r="G1513" s="395" t="n">
        <v>3240</v>
      </c>
      <c r="H1513" s="395" t="n">
        <v>3210</v>
      </c>
      <c r="I1513" s="395" t="n">
        <v>6</v>
      </c>
      <c r="J1513" s="395" t="n">
        <v>5</v>
      </c>
      <c r="K1513" s="395" t="n">
        <v>-19</v>
      </c>
      <c r="L1513" s="397" t="n">
        <v>3550</v>
      </c>
      <c r="M1513" s="113" t="n"/>
      <c r="N1513" s="113" t="n"/>
      <c r="O1513" s="113" t="n"/>
      <c r="P1513" s="398" t="n"/>
      <c r="Q1513" s="398" t="n"/>
      <c r="R1513" s="113" t="n"/>
      <c r="S1513" s="113" t="n"/>
      <c r="T1513" s="113" t="n"/>
      <c r="U1513" s="113" t="n"/>
      <c r="V1513" s="113" t="n"/>
    </row>
    <row r="1514" ht="15.75" customHeight="1">
      <c r="A1514" s="146" t="n">
        <v>27</v>
      </c>
      <c r="B1514" s="238" t="n"/>
      <c r="C1514" s="399" t="n">
        <v>45985</v>
      </c>
      <c r="D1514" s="146" t="inlineStr">
        <is>
          <t>219 G. SAN JOSE 2</t>
        </is>
      </c>
      <c r="E1514" s="146" t="n">
        <v>44619</v>
      </c>
      <c r="F1514" s="146" t="inlineStr">
        <is>
          <t>ALBERTO LOPEZ</t>
        </is>
      </c>
      <c r="G1514" s="395" t="n">
        <v>3550</v>
      </c>
      <c r="H1514" s="395" t="n">
        <v>3551</v>
      </c>
      <c r="I1514" s="395" t="n">
        <v>3</v>
      </c>
      <c r="J1514" s="395" t="n">
        <v>4</v>
      </c>
      <c r="K1514" s="395" t="n">
        <v>8</v>
      </c>
      <c r="L1514" s="397" t="n">
        <v>3550</v>
      </c>
      <c r="M1514" s="113" t="n"/>
      <c r="N1514" s="113" t="n"/>
      <c r="O1514" s="113" t="n"/>
      <c r="P1514" s="398" t="n"/>
      <c r="Q1514" s="398" t="n"/>
      <c r="R1514" s="113" t="n"/>
      <c r="S1514" s="113" t="n"/>
      <c r="T1514" s="113" t="n"/>
      <c r="U1514" s="113" t="n"/>
      <c r="V1514" s="113" t="n"/>
    </row>
    <row r="1515" ht="15.75" customHeight="1">
      <c r="A1515" s="146" t="n">
        <v>27</v>
      </c>
      <c r="B1515" s="238" t="n"/>
      <c r="C1515" s="399" t="n">
        <v>45985</v>
      </c>
      <c r="D1515" s="146" t="inlineStr">
        <is>
          <t>219 G. SAN JOSE 2</t>
        </is>
      </c>
      <c r="E1515" s="146" t="n">
        <v>44620</v>
      </c>
      <c r="F1515" s="146" t="inlineStr">
        <is>
          <t>EDUAN CAVIEDES</t>
        </is>
      </c>
      <c r="G1515" s="395" t="n">
        <v>3550</v>
      </c>
      <c r="H1515" s="395" t="n">
        <v>3561</v>
      </c>
      <c r="I1515" s="395" t="n">
        <v>3</v>
      </c>
      <c r="J1515" s="395" t="n">
        <v>4</v>
      </c>
      <c r="K1515" s="395" t="n">
        <v>18</v>
      </c>
      <c r="L1515" s="397" t="n">
        <v>3550</v>
      </c>
      <c r="M1515" s="113" t="n"/>
      <c r="N1515" s="113" t="n"/>
      <c r="O1515" s="113" t="n"/>
      <c r="P1515" s="398" t="n"/>
      <c r="Q1515" s="398" t="n"/>
      <c r="R1515" s="113" t="n"/>
      <c r="S1515" s="113" t="n"/>
      <c r="T1515" s="113" t="n"/>
      <c r="U1515" s="113" t="n"/>
      <c r="V1515" s="113" t="n"/>
    </row>
    <row r="1516" ht="15.75" customHeight="1">
      <c r="A1516" s="146" t="n">
        <v>27</v>
      </c>
      <c r="B1516" s="238" t="n"/>
      <c r="C1516" s="399" t="n">
        <v>45985</v>
      </c>
      <c r="D1516" s="146" t="inlineStr">
        <is>
          <t>219 G. SAN JOSE 2</t>
        </is>
      </c>
      <c r="E1516" s="146" t="n">
        <v>44621</v>
      </c>
      <c r="F1516" s="146" t="inlineStr">
        <is>
          <t>SEBASTIAN HIDALGO</t>
        </is>
      </c>
      <c r="G1516" s="395" t="n">
        <v>3550</v>
      </c>
      <c r="H1516" s="395" t="n">
        <v>3526</v>
      </c>
      <c r="I1516" s="395" t="n">
        <v>5</v>
      </c>
      <c r="J1516" s="395" t="n">
        <v>4</v>
      </c>
      <c r="K1516" s="395" t="n">
        <v>-15</v>
      </c>
      <c r="L1516" s="397" t="n">
        <v>3460</v>
      </c>
      <c r="M1516" s="113" t="n"/>
      <c r="N1516" s="113" t="n"/>
      <c r="O1516" s="113" t="n"/>
      <c r="P1516" s="398" t="n"/>
      <c r="Q1516" s="398" t="n"/>
      <c r="R1516" s="113" t="n"/>
      <c r="S1516" s="113" t="n"/>
      <c r="T1516" s="113" t="n"/>
      <c r="U1516" s="113" t="n"/>
      <c r="V1516" s="113" t="n"/>
    </row>
    <row r="1517" ht="15.75" customHeight="1">
      <c r="A1517" s="146" t="n">
        <v>27</v>
      </c>
      <c r="B1517" s="238" t="n"/>
      <c r="C1517" s="399" t="n">
        <v>45985</v>
      </c>
      <c r="D1517" s="146" t="inlineStr">
        <is>
          <t>219 G. SAN JOSE 2</t>
        </is>
      </c>
      <c r="E1517" s="146" t="n">
        <v>44622</v>
      </c>
      <c r="F1517" s="146" t="inlineStr">
        <is>
          <t>ALEXANDER CHAGUALA</t>
        </is>
      </c>
      <c r="G1517" s="395" t="n">
        <v>3460</v>
      </c>
      <c r="H1517" s="395" t="n">
        <v>3428</v>
      </c>
      <c r="I1517" s="395" t="n">
        <v>3</v>
      </c>
      <c r="J1517" s="395" t="n">
        <v>8</v>
      </c>
      <c r="K1517" s="395" t="n">
        <v>-21</v>
      </c>
      <c r="L1517" s="397" t="n">
        <v>3240</v>
      </c>
      <c r="M1517" s="113" t="n"/>
      <c r="N1517" s="113" t="n"/>
      <c r="O1517" s="113" t="n"/>
      <c r="P1517" s="398" t="n"/>
      <c r="Q1517" s="398" t="n"/>
      <c r="R1517" s="113" t="n"/>
      <c r="S1517" s="113" t="n"/>
      <c r="T1517" s="113" t="n"/>
      <c r="U1517" s="113" t="n"/>
      <c r="V1517" s="113" t="n"/>
    </row>
    <row r="1518" ht="15.75" customHeight="1">
      <c r="A1518" s="146" t="n">
        <v>27</v>
      </c>
      <c r="B1518" s="238" t="n"/>
      <c r="C1518" s="399" t="n">
        <v>45986</v>
      </c>
      <c r="D1518" s="146" t="inlineStr">
        <is>
          <t>221 G. MALAGUEÑA</t>
        </is>
      </c>
      <c r="E1518" s="146" t="n">
        <v>44637</v>
      </c>
      <c r="F1518" s="146" t="inlineStr">
        <is>
          <t>JHON ARIAS</t>
        </is>
      </c>
      <c r="G1518" s="395" t="n">
        <v>2940</v>
      </c>
      <c r="H1518" s="395" t="n">
        <v>2936</v>
      </c>
      <c r="I1518" s="395" t="n">
        <v>2</v>
      </c>
      <c r="J1518" s="395" t="n">
        <v>4</v>
      </c>
      <c r="K1518" s="395" t="n">
        <v>2</v>
      </c>
      <c r="L1518" s="397" t="n">
        <v>2940</v>
      </c>
      <c r="M1518" s="113" t="n"/>
      <c r="N1518" s="113" t="n"/>
      <c r="O1518" s="113" t="n"/>
      <c r="P1518" s="398" t="n"/>
      <c r="Q1518" s="398" t="n"/>
      <c r="R1518" s="113" t="n"/>
      <c r="S1518" s="113" t="n"/>
      <c r="T1518" s="113" t="n"/>
      <c r="U1518" s="113" t="n"/>
      <c r="V1518" s="113" t="n"/>
    </row>
    <row r="1519" ht="15.75" customHeight="1">
      <c r="A1519" s="146" t="n">
        <v>27</v>
      </c>
      <c r="B1519" s="238" t="n"/>
      <c r="C1519" s="399" t="n">
        <v>45986</v>
      </c>
      <c r="D1519" s="146" t="inlineStr">
        <is>
          <t>221 G. MALAGUEÑA</t>
        </is>
      </c>
      <c r="E1519" s="146" t="n">
        <v>44645</v>
      </c>
      <c r="F1519" s="146" t="inlineStr">
        <is>
          <t>MANUEL QUITIAN</t>
        </is>
      </c>
      <c r="G1519" s="395" t="n">
        <v>2490</v>
      </c>
      <c r="H1519" s="395" t="n">
        <v>2931</v>
      </c>
      <c r="I1519" s="395" t="n">
        <v>3</v>
      </c>
      <c r="J1519" s="395" t="n">
        <v>6</v>
      </c>
      <c r="K1519" s="395" t="n">
        <v>450</v>
      </c>
      <c r="L1519" s="397" t="n">
        <v>2940</v>
      </c>
      <c r="M1519" s="113" t="n"/>
      <c r="N1519" s="113" t="n"/>
      <c r="O1519" s="113" t="n"/>
      <c r="P1519" s="398" t="n"/>
      <c r="Q1519" s="398" t="n"/>
      <c r="R1519" s="113" t="n"/>
      <c r="S1519" s="113" t="n"/>
      <c r="T1519" s="113" t="n"/>
      <c r="U1519" s="113" t="n"/>
      <c r="V1519" s="113" t="n"/>
    </row>
    <row r="1520" ht="15.75" customHeight="1">
      <c r="A1520" s="146" t="n">
        <v>27</v>
      </c>
      <c r="B1520" s="238" t="n"/>
      <c r="C1520" s="399" t="n">
        <v>45986</v>
      </c>
      <c r="D1520" s="146" t="inlineStr">
        <is>
          <t>221 G. MALAGUEÑA</t>
        </is>
      </c>
      <c r="E1520" s="146" t="n">
        <v>44646</v>
      </c>
      <c r="F1520" s="146" t="inlineStr">
        <is>
          <t>ROBINSON PULIDO</t>
        </is>
      </c>
      <c r="G1520" s="395" t="n">
        <v>2490</v>
      </c>
      <c r="H1520" s="395" t="n">
        <v>2931</v>
      </c>
      <c r="I1520" s="395" t="n">
        <v>2</v>
      </c>
      <c r="J1520" s="395" t="n">
        <v>5</v>
      </c>
      <c r="K1520" s="395" t="n">
        <v>448</v>
      </c>
      <c r="L1520" s="397" t="n">
        <v>2940</v>
      </c>
      <c r="M1520" s="113" t="n"/>
      <c r="N1520" s="113" t="n"/>
      <c r="O1520" s="113" t="n"/>
      <c r="P1520" s="398" t="n"/>
      <c r="Q1520" s="398" t="n"/>
      <c r="R1520" s="113" t="n"/>
      <c r="S1520" s="113" t="n"/>
      <c r="T1520" s="113" t="n"/>
      <c r="U1520" s="113" t="n"/>
      <c r="V1520" s="113" t="n"/>
    </row>
    <row r="1521" ht="15.75" customHeight="1">
      <c r="A1521" s="146" t="n">
        <v>27</v>
      </c>
      <c r="B1521" s="238" t="n"/>
      <c r="C1521" s="399" t="n">
        <v>45986</v>
      </c>
      <c r="D1521" s="146" t="inlineStr">
        <is>
          <t>221 G. MALAGUEÑA</t>
        </is>
      </c>
      <c r="E1521" s="146" t="n">
        <v>44647</v>
      </c>
      <c r="F1521" s="146" t="inlineStr">
        <is>
          <t>EDUAN CAVIEDES</t>
        </is>
      </c>
      <c r="G1521" s="395" t="n">
        <v>3000</v>
      </c>
      <c r="H1521" s="395" t="n">
        <v>2974</v>
      </c>
      <c r="I1521" s="395" t="n">
        <v>2</v>
      </c>
      <c r="J1521" s="395" t="n">
        <v>3</v>
      </c>
      <c r="K1521" s="395" t="n">
        <v>-21</v>
      </c>
      <c r="L1521" s="397" t="n">
        <v>3000</v>
      </c>
      <c r="M1521" s="113" t="n"/>
      <c r="N1521" s="113" t="n"/>
      <c r="O1521" s="113" t="n"/>
      <c r="P1521" s="398" t="n"/>
      <c r="Q1521" s="398" t="n"/>
      <c r="R1521" s="113" t="n"/>
      <c r="S1521" s="113" t="n"/>
      <c r="T1521" s="113" t="n"/>
      <c r="U1521" s="113" t="n"/>
      <c r="V1521" s="113" t="n"/>
    </row>
    <row r="1522" ht="15.75" customHeight="1">
      <c r="A1522" s="146" t="n">
        <v>27</v>
      </c>
      <c r="B1522" s="238" t="n"/>
      <c r="C1522" s="399" t="n">
        <v>45986</v>
      </c>
      <c r="D1522" s="146" t="inlineStr">
        <is>
          <t>221 G. MALAGUEÑA</t>
        </is>
      </c>
      <c r="E1522" s="146" t="n">
        <v>44648</v>
      </c>
      <c r="F1522" s="146" t="inlineStr">
        <is>
          <t>SEBASTIAN HIDALGO</t>
        </is>
      </c>
      <c r="G1522" s="395" t="n">
        <v>3000</v>
      </c>
      <c r="H1522" s="395" t="n">
        <v>2976</v>
      </c>
      <c r="I1522" s="395" t="n">
        <v>1</v>
      </c>
      <c r="J1522" s="395" t="n">
        <v>3</v>
      </c>
      <c r="K1522" s="395" t="n">
        <v>-20</v>
      </c>
      <c r="L1522" s="397" t="n">
        <v>3000</v>
      </c>
      <c r="M1522" s="113" t="n"/>
      <c r="N1522" s="113" t="n"/>
      <c r="O1522" s="113" t="n"/>
      <c r="P1522" s="398" t="n"/>
      <c r="Q1522" s="398" t="n"/>
      <c r="R1522" s="113" t="n"/>
      <c r="S1522" s="113" t="n"/>
      <c r="T1522" s="113" t="n"/>
      <c r="U1522" s="113" t="n"/>
      <c r="V1522" s="113" t="n"/>
    </row>
    <row r="1523" ht="15.75" customHeight="1">
      <c r="A1523" s="146" t="n">
        <v>27</v>
      </c>
      <c r="B1523" s="238" t="n"/>
      <c r="C1523" s="399" t="n">
        <v>45986</v>
      </c>
      <c r="D1523" s="146" t="inlineStr">
        <is>
          <t>221 G. MALAGUEÑA</t>
        </is>
      </c>
      <c r="E1523" s="146" t="n">
        <v>44649</v>
      </c>
      <c r="F1523" s="146" t="inlineStr">
        <is>
          <t>DIEGO NIÑO</t>
        </is>
      </c>
      <c r="G1523" s="395" t="n">
        <v>3190</v>
      </c>
      <c r="H1523" s="395" t="n">
        <v>3176</v>
      </c>
      <c r="I1523" s="395" t="n">
        <v>2</v>
      </c>
      <c r="J1523" s="395" t="n">
        <v>2</v>
      </c>
      <c r="K1523" s="395" t="n">
        <v>-10</v>
      </c>
      <c r="L1523" s="397" t="n">
        <v>3190</v>
      </c>
      <c r="M1523" s="113" t="n"/>
      <c r="N1523" s="113" t="n"/>
      <c r="O1523" s="113" t="n"/>
      <c r="P1523" s="398" t="n"/>
      <c r="Q1523" s="398" t="n"/>
      <c r="R1523" s="113" t="n"/>
      <c r="S1523" s="113" t="n"/>
      <c r="T1523" s="113" t="n"/>
      <c r="U1523" s="113" t="n"/>
      <c r="V1523" s="113" t="n"/>
    </row>
    <row r="1524" ht="15.75" customHeight="1">
      <c r="A1524" s="146" t="n">
        <v>27</v>
      </c>
      <c r="B1524" s="238" t="n"/>
      <c r="C1524" s="399" t="n">
        <v>45986</v>
      </c>
      <c r="D1524" s="146" t="inlineStr">
        <is>
          <t>221 G. MALAGUEÑA</t>
        </is>
      </c>
      <c r="E1524" s="146" t="n">
        <v>44650</v>
      </c>
      <c r="F1524" s="146" t="inlineStr">
        <is>
          <t>WILMER PIÑEROS</t>
        </is>
      </c>
      <c r="G1524" s="395" t="n">
        <v>3190</v>
      </c>
      <c r="H1524" s="395" t="n">
        <v>3172</v>
      </c>
      <c r="I1524" s="395" t="n">
        <v>3</v>
      </c>
      <c r="J1524" s="395" t="n">
        <v>3</v>
      </c>
      <c r="K1524" s="395" t="n">
        <v>-12</v>
      </c>
      <c r="L1524" s="397" t="n">
        <v>3190</v>
      </c>
      <c r="M1524" s="113" t="n"/>
      <c r="N1524" s="113" t="n"/>
      <c r="O1524" s="113" t="n"/>
      <c r="P1524" s="398" t="n"/>
      <c r="Q1524" s="398" t="n"/>
      <c r="R1524" s="113" t="n"/>
      <c r="S1524" s="113" t="n"/>
      <c r="T1524" s="113" t="n"/>
      <c r="U1524" s="113" t="n"/>
      <c r="V1524" s="113" t="n"/>
    </row>
    <row r="1525" ht="15.75" customHeight="1">
      <c r="A1525" s="146" t="n">
        <v>27</v>
      </c>
      <c r="B1525" s="238" t="n"/>
      <c r="C1525" s="399" t="n">
        <v>45986</v>
      </c>
      <c r="D1525" s="146" t="inlineStr">
        <is>
          <t>221 G. MALAGUEÑA</t>
        </is>
      </c>
      <c r="E1525" s="146" t="n">
        <v>44651</v>
      </c>
      <c r="F1525" s="146" t="inlineStr">
        <is>
          <t>ALBERTO LOPEZ</t>
        </is>
      </c>
      <c r="G1525" s="395" t="n">
        <v>3190</v>
      </c>
      <c r="H1525" s="395" t="n">
        <v>3173</v>
      </c>
      <c r="I1525" s="395" t="n">
        <v>2</v>
      </c>
      <c r="J1525" s="395" t="n">
        <v>3</v>
      </c>
      <c r="K1525" s="395" t="n">
        <v>-12</v>
      </c>
      <c r="L1525" s="397" t="n">
        <v>3190</v>
      </c>
      <c r="M1525" s="113" t="n"/>
      <c r="N1525" s="113" t="n"/>
      <c r="O1525" s="113" t="n"/>
      <c r="P1525" s="398" t="n"/>
      <c r="Q1525" s="398" t="n"/>
      <c r="R1525" s="113" t="n"/>
      <c r="S1525" s="113" t="n"/>
      <c r="T1525" s="113" t="n"/>
      <c r="U1525" s="113" t="n"/>
      <c r="V1525" s="113" t="n"/>
    </row>
    <row r="1526" ht="15.75" customHeight="1">
      <c r="A1526" s="146" t="n">
        <v>27</v>
      </c>
      <c r="B1526" s="238" t="n"/>
      <c r="C1526" s="399" t="n">
        <v>45986</v>
      </c>
      <c r="D1526" s="146" t="inlineStr">
        <is>
          <t>221 G. MALAGUEÑA</t>
        </is>
      </c>
      <c r="E1526" s="146" t="n">
        <v>44652</v>
      </c>
      <c r="F1526" s="146" t="inlineStr">
        <is>
          <t>JHON ARIAS</t>
        </is>
      </c>
      <c r="G1526" s="395" t="n">
        <v>3190</v>
      </c>
      <c r="H1526" s="395" t="n">
        <v>3170</v>
      </c>
      <c r="I1526" s="395" t="n">
        <v>2</v>
      </c>
      <c r="J1526" s="395" t="n">
        <v>5</v>
      </c>
      <c r="K1526" s="395" t="n">
        <v>-13</v>
      </c>
      <c r="L1526" s="397" t="n">
        <v>3190</v>
      </c>
      <c r="M1526" s="113" t="n"/>
      <c r="N1526" s="113" t="n"/>
      <c r="O1526" s="113" t="n"/>
      <c r="P1526" s="398" t="n"/>
      <c r="Q1526" s="398" t="n"/>
      <c r="R1526" s="113" t="n"/>
      <c r="S1526" s="113" t="n"/>
      <c r="T1526" s="113" t="n"/>
      <c r="U1526" s="113" t="n"/>
      <c r="V1526" s="113" t="n"/>
    </row>
    <row r="1527" ht="15.75" customHeight="1">
      <c r="A1527" s="146" t="n">
        <v>27</v>
      </c>
      <c r="B1527" s="238" t="n"/>
      <c r="C1527" s="399" t="n">
        <v>45986</v>
      </c>
      <c r="D1527" s="146" t="inlineStr">
        <is>
          <t>221 G. MALAGUEÑA</t>
        </is>
      </c>
      <c r="E1527" s="146" t="n">
        <v>44653</v>
      </c>
      <c r="F1527" s="146" t="inlineStr">
        <is>
          <t>FABIO ALDANA</t>
        </is>
      </c>
      <c r="G1527" s="395" t="n">
        <v>3190</v>
      </c>
      <c r="H1527" s="395" t="n">
        <v>3174</v>
      </c>
      <c r="I1527" s="395" t="n">
        <v>2</v>
      </c>
      <c r="J1527" s="395" t="n">
        <v>3</v>
      </c>
      <c r="K1527" s="395" t="n">
        <v>-11</v>
      </c>
      <c r="L1527" s="397" t="n">
        <v>3190</v>
      </c>
      <c r="M1527" s="113" t="n"/>
      <c r="N1527" s="113" t="n"/>
      <c r="O1527" s="113" t="n"/>
      <c r="P1527" s="398" t="n"/>
      <c r="Q1527" s="398" t="n"/>
      <c r="R1527" s="113" t="n"/>
      <c r="S1527" s="113" t="n"/>
      <c r="T1527" s="113" t="n"/>
      <c r="U1527" s="113" t="n"/>
      <c r="V1527" s="113" t="n"/>
    </row>
    <row r="1528" ht="15.75" customHeight="1">
      <c r="A1528" s="146" t="n">
        <v>27</v>
      </c>
      <c r="B1528" s="238" t="n"/>
      <c r="C1528" s="399" t="n">
        <v>45987</v>
      </c>
      <c r="D1528" s="146" t="inlineStr">
        <is>
          <t>221 G. MALAGUEÑA</t>
        </is>
      </c>
      <c r="E1528" s="146" t="n">
        <v>204546</v>
      </c>
      <c r="F1528" s="146" t="inlineStr">
        <is>
          <t>MARCOS LOPEZ CASTAÑEDA</t>
        </is>
      </c>
      <c r="G1528" s="395" t="n">
        <v>3286</v>
      </c>
      <c r="H1528" s="395" t="n">
        <v>3278</v>
      </c>
      <c r="I1528" s="395" t="n">
        <v>4</v>
      </c>
      <c r="J1528" s="395" t="n">
        <v>0</v>
      </c>
      <c r="K1528" s="395" t="n">
        <v>-4</v>
      </c>
      <c r="L1528" s="397" t="n">
        <v>3286</v>
      </c>
      <c r="M1528" s="113" t="n"/>
      <c r="N1528" s="113" t="n"/>
      <c r="O1528" s="113" t="n"/>
      <c r="P1528" s="398" t="n"/>
      <c r="Q1528" s="398" t="n"/>
      <c r="R1528" s="113" t="n"/>
      <c r="S1528" s="113" t="n"/>
      <c r="T1528" s="113" t="n"/>
      <c r="U1528" s="113" t="n"/>
      <c r="V1528" s="113" t="n"/>
    </row>
    <row r="1529" ht="15.75" customHeight="1">
      <c r="A1529" s="146" t="n">
        <v>27</v>
      </c>
      <c r="B1529" s="238" t="n"/>
      <c r="C1529" s="399" t="n">
        <v>45987</v>
      </c>
      <c r="D1529" s="146" t="inlineStr">
        <is>
          <t>221 G. MALAGUEÑA</t>
        </is>
      </c>
      <c r="E1529" s="146" t="n">
        <v>204549</v>
      </c>
      <c r="F1529" s="146" t="inlineStr">
        <is>
          <t>ROBERTO MONROY</t>
        </is>
      </c>
      <c r="G1529" s="395" t="n">
        <v>3022</v>
      </c>
      <c r="H1529" s="395" t="n">
        <v>2999</v>
      </c>
      <c r="I1529" s="395" t="n">
        <v>6</v>
      </c>
      <c r="J1529" s="395" t="n">
        <v>7</v>
      </c>
      <c r="K1529" s="395" t="n">
        <v>-10</v>
      </c>
      <c r="L1529" s="397" t="n">
        <v>3022</v>
      </c>
      <c r="M1529" s="113" t="n"/>
      <c r="N1529" s="113" t="n"/>
      <c r="O1529" s="113" t="n"/>
      <c r="P1529" s="398" t="n"/>
      <c r="Q1529" s="398" t="n"/>
      <c r="R1529" s="113" t="n"/>
      <c r="S1529" s="113" t="n"/>
      <c r="T1529" s="113" t="n"/>
      <c r="U1529" s="113" t="n"/>
      <c r="V1529" s="113" t="n"/>
    </row>
    <row r="1530" ht="15.75" customHeight="1">
      <c r="A1530" s="146" t="n">
        <v>27</v>
      </c>
      <c r="B1530" s="238" t="n"/>
      <c r="C1530" s="399" t="n">
        <v>45987</v>
      </c>
      <c r="D1530" s="146" t="inlineStr">
        <is>
          <t>221 G. MALAGUEÑA</t>
        </is>
      </c>
      <c r="E1530" s="146" t="n">
        <v>44660</v>
      </c>
      <c r="F1530" s="146" t="inlineStr">
        <is>
          <t>JAIRO CUBILLOS</t>
        </is>
      </c>
      <c r="G1530" s="395" t="n">
        <v>3180</v>
      </c>
      <c r="H1530" s="395" t="n">
        <v>3177</v>
      </c>
      <c r="I1530" s="395" t="n">
        <v>4</v>
      </c>
      <c r="J1530" s="395" t="n">
        <v>0</v>
      </c>
      <c r="K1530" s="395" t="n">
        <v>1</v>
      </c>
      <c r="L1530" s="397" t="n">
        <v>3340</v>
      </c>
      <c r="M1530" s="113" t="n"/>
      <c r="N1530" s="113" t="n"/>
      <c r="O1530" s="113" t="n"/>
      <c r="P1530" s="398" t="n"/>
      <c r="Q1530" s="398" t="n"/>
      <c r="R1530" s="113" t="n"/>
      <c r="S1530" s="113" t="n"/>
      <c r="T1530" s="113" t="n"/>
      <c r="U1530" s="113" t="n"/>
      <c r="V1530" s="113" t="n"/>
    </row>
    <row r="1531" ht="15.75" customHeight="1">
      <c r="A1531" s="146" t="n">
        <v>27</v>
      </c>
      <c r="B1531" s="238" t="n"/>
      <c r="C1531" s="399" t="n">
        <v>45987</v>
      </c>
      <c r="D1531" s="146" t="inlineStr">
        <is>
          <t>219 G. SAN JOSE 2</t>
        </is>
      </c>
      <c r="E1531" s="146" t="n">
        <v>44661</v>
      </c>
      <c r="F1531" s="146" t="inlineStr">
        <is>
          <t>JOSE SOLER</t>
        </is>
      </c>
      <c r="G1531" s="395" t="n">
        <v>3340</v>
      </c>
      <c r="H1531" s="395" t="n">
        <v>3335</v>
      </c>
      <c r="I1531" s="395" t="n">
        <v>6</v>
      </c>
      <c r="J1531" s="395" t="n">
        <v>5</v>
      </c>
      <c r="K1531" s="395" t="n">
        <v>6</v>
      </c>
      <c r="L1531" s="397" t="n">
        <v>3340</v>
      </c>
      <c r="M1531" s="113" t="n"/>
      <c r="N1531" s="113" t="n"/>
      <c r="O1531" s="113" t="n"/>
      <c r="P1531" s="398" t="n"/>
      <c r="Q1531" s="398" t="n"/>
      <c r="R1531" s="113" t="n"/>
      <c r="S1531" s="113" t="n"/>
      <c r="T1531" s="113" t="n"/>
      <c r="U1531" s="113" t="n"/>
      <c r="V1531" s="113" t="n"/>
    </row>
    <row r="1532" ht="15.75" customHeight="1">
      <c r="A1532" s="146" t="n">
        <v>27</v>
      </c>
      <c r="B1532" s="238" t="n"/>
      <c r="C1532" s="399" t="n">
        <v>45987</v>
      </c>
      <c r="D1532" s="146" t="inlineStr">
        <is>
          <t>221 G. MALAGUEÑA</t>
        </is>
      </c>
      <c r="E1532" s="146" t="n">
        <v>44662</v>
      </c>
      <c r="F1532" s="146" t="inlineStr">
        <is>
          <t>EDUAN CAVIEDES</t>
        </is>
      </c>
      <c r="G1532" s="395" t="n">
        <v>3180</v>
      </c>
      <c r="H1532" s="395" t="n">
        <v>3162</v>
      </c>
      <c r="I1532" s="395" t="n">
        <v>10</v>
      </c>
      <c r="J1532" s="395" t="n">
        <v>3</v>
      </c>
      <c r="K1532" s="395" t="n">
        <v>-5</v>
      </c>
      <c r="L1532" s="397" t="n">
        <v>3340</v>
      </c>
      <c r="M1532" s="113" t="n"/>
      <c r="N1532" s="113" t="n"/>
      <c r="O1532" s="113" t="n"/>
      <c r="P1532" s="398" t="n"/>
      <c r="Q1532" s="398" t="n"/>
      <c r="R1532" s="113" t="n"/>
      <c r="S1532" s="113" t="n"/>
      <c r="T1532" s="113" t="n"/>
      <c r="U1532" s="113" t="n"/>
      <c r="V1532" s="113" t="n"/>
    </row>
    <row r="1533" ht="15.75" customHeight="1">
      <c r="A1533" s="146" t="n">
        <v>27</v>
      </c>
      <c r="B1533" s="238" t="n"/>
      <c r="C1533" s="399" t="n">
        <v>45987</v>
      </c>
      <c r="D1533" s="146" t="inlineStr">
        <is>
          <t>219 G. SAN JOSE 2</t>
        </is>
      </c>
      <c r="E1533" s="146" t="n">
        <v>44664</v>
      </c>
      <c r="F1533" s="146" t="inlineStr">
        <is>
          <t>MANUEL QUITIAN</t>
        </is>
      </c>
      <c r="G1533" s="395" t="n">
        <v>3340</v>
      </c>
      <c r="H1533" s="395" t="n">
        <v>3311</v>
      </c>
      <c r="I1533" s="395" t="n">
        <v>2</v>
      </c>
      <c r="J1533" s="395" t="n">
        <v>3</v>
      </c>
      <c r="K1533" s="395" t="n">
        <v>-24</v>
      </c>
      <c r="L1533" s="397" t="n">
        <v>3340</v>
      </c>
      <c r="M1533" s="113" t="n"/>
      <c r="N1533" s="113" t="n"/>
      <c r="O1533" s="113" t="n"/>
      <c r="P1533" s="398" t="n"/>
      <c r="Q1533" s="398" t="n"/>
      <c r="R1533" s="113" t="n"/>
      <c r="S1533" s="113" t="n"/>
      <c r="T1533" s="113" t="n"/>
      <c r="U1533" s="113" t="n"/>
      <c r="V1533" s="113" t="n"/>
    </row>
    <row r="1534" ht="15.75" customHeight="1">
      <c r="A1534" s="146" t="n">
        <v>27</v>
      </c>
      <c r="B1534" s="238" t="n"/>
      <c r="C1534" s="399" t="n">
        <v>45987</v>
      </c>
      <c r="D1534" s="146" t="inlineStr">
        <is>
          <t>219 G. SAN JOSE 2</t>
        </is>
      </c>
      <c r="E1534" s="146" t="n">
        <v>44665</v>
      </c>
      <c r="F1534" s="146" t="inlineStr">
        <is>
          <t>FERNANDO OYUELA</t>
        </is>
      </c>
      <c r="G1534" s="395" t="n">
        <v>3340</v>
      </c>
      <c r="H1534" s="395" t="n">
        <v>3308</v>
      </c>
      <c r="I1534" s="395" t="n">
        <v>2</v>
      </c>
      <c r="J1534" s="395" t="n">
        <v>5</v>
      </c>
      <c r="K1534" s="395" t="n">
        <v>-25</v>
      </c>
      <c r="L1534" s="397" t="n">
        <v>3340</v>
      </c>
      <c r="M1534" s="113" t="n"/>
      <c r="N1534" s="113" t="n"/>
      <c r="O1534" s="113" t="n"/>
      <c r="P1534" s="398" t="n"/>
      <c r="Q1534" s="398" t="n"/>
      <c r="R1534" s="113" t="n"/>
      <c r="S1534" s="113" t="n"/>
      <c r="T1534" s="113" t="n"/>
      <c r="U1534" s="113" t="n"/>
      <c r="V1534" s="113" t="n"/>
    </row>
    <row r="1535" ht="15.75" customHeight="1">
      <c r="A1535" s="146" t="n">
        <v>27</v>
      </c>
      <c r="B1535" s="238" t="n"/>
      <c r="C1535" s="399" t="n">
        <v>45987</v>
      </c>
      <c r="D1535" s="146" t="inlineStr">
        <is>
          <t>219 G. SAN JOSE 2</t>
        </is>
      </c>
      <c r="E1535" s="146" t="n">
        <v>44666</v>
      </c>
      <c r="F1535" s="146" t="inlineStr">
        <is>
          <t>HENRY ROMERO</t>
        </is>
      </c>
      <c r="G1535" s="395" t="n">
        <v>3340</v>
      </c>
      <c r="H1535" s="395" t="n">
        <v>3308</v>
      </c>
      <c r="I1535" s="395" t="n">
        <v>2</v>
      </c>
      <c r="J1535" s="395" t="n">
        <v>5</v>
      </c>
      <c r="K1535" s="395" t="n">
        <v>-25</v>
      </c>
      <c r="L1535" s="397" t="n">
        <v>3340</v>
      </c>
      <c r="M1535" s="113" t="n"/>
      <c r="N1535" s="113" t="n"/>
      <c r="O1535" s="113" t="n"/>
      <c r="P1535" s="398" t="n"/>
      <c r="Q1535" s="398" t="n"/>
      <c r="R1535" s="113" t="n"/>
      <c r="S1535" s="113" t="n"/>
      <c r="T1535" s="113" t="n"/>
      <c r="U1535" s="113" t="n"/>
      <c r="V1535" s="113" t="n"/>
    </row>
    <row r="1536" ht="15.75" customHeight="1">
      <c r="A1536" s="146" t="n">
        <v>27</v>
      </c>
      <c r="B1536" s="238" t="n"/>
      <c r="C1536" s="399" t="n">
        <v>45987</v>
      </c>
      <c r="D1536" s="146" t="inlineStr">
        <is>
          <t>219 G. SAN JOSE 2</t>
        </is>
      </c>
      <c r="E1536" s="146" t="n">
        <v>44667</v>
      </c>
      <c r="F1536" s="146" t="inlineStr">
        <is>
          <t>ALBERTO LOPEZ</t>
        </is>
      </c>
      <c r="G1536" s="395" t="n">
        <v>3340</v>
      </c>
      <c r="H1536" s="395" t="n">
        <v>3314</v>
      </c>
      <c r="I1536" s="395" t="n">
        <v>2</v>
      </c>
      <c r="J1536" s="395" t="n">
        <v>4</v>
      </c>
      <c r="K1536" s="395" t="n">
        <v>-20</v>
      </c>
      <c r="L1536" s="397" t="n">
        <v>3600</v>
      </c>
      <c r="M1536" s="113" t="n"/>
      <c r="N1536" s="113" t="n"/>
      <c r="O1536" s="113" t="n"/>
      <c r="P1536" s="398" t="n"/>
      <c r="Q1536" s="398" t="n"/>
      <c r="R1536" s="113" t="n"/>
      <c r="S1536" s="113" t="n"/>
      <c r="T1536" s="113" t="n"/>
      <c r="U1536" s="113" t="n"/>
      <c r="V1536" s="113" t="n"/>
    </row>
    <row r="1537" ht="15.75" customHeight="1">
      <c r="A1537" s="146" t="n">
        <v>27</v>
      </c>
      <c r="B1537" s="238" t="n"/>
      <c r="C1537" s="399" t="n">
        <v>45987</v>
      </c>
      <c r="D1537" s="146" t="inlineStr">
        <is>
          <t>219 G. SAN JOSE 2</t>
        </is>
      </c>
      <c r="E1537" s="146" t="n">
        <v>44677</v>
      </c>
      <c r="F1537" s="146" t="inlineStr">
        <is>
          <t>EDWIN ROJAS</t>
        </is>
      </c>
      <c r="G1537" s="395" t="n">
        <v>3360</v>
      </c>
      <c r="H1537" s="395" t="n">
        <v>3330</v>
      </c>
      <c r="I1537" s="395" t="n">
        <v>5</v>
      </c>
      <c r="J1537" s="395" t="n">
        <v>10</v>
      </c>
      <c r="K1537" s="395" t="n">
        <v>-15</v>
      </c>
      <c r="L1537" s="397" t="n">
        <v>3360</v>
      </c>
      <c r="M1537" s="113" t="n"/>
      <c r="N1537" s="113" t="n"/>
      <c r="O1537" s="113" t="n"/>
      <c r="P1537" s="398" t="n"/>
      <c r="Q1537" s="398" t="n"/>
      <c r="R1537" s="113" t="n"/>
      <c r="S1537" s="113" t="n"/>
      <c r="T1537" s="113" t="n"/>
      <c r="U1537" s="113" t="n"/>
      <c r="V1537" s="113" t="n"/>
    </row>
    <row r="1538" ht="15.75" customHeight="1">
      <c r="A1538" s="146" t="n">
        <v>27</v>
      </c>
      <c r="B1538" s="238" t="n"/>
      <c r="C1538" s="399" t="n">
        <v>45987</v>
      </c>
      <c r="D1538" s="146" t="inlineStr">
        <is>
          <t>219 G. SAN JOSE 2</t>
        </is>
      </c>
      <c r="E1538" s="146" t="n">
        <v>44678</v>
      </c>
      <c r="F1538" s="146" t="inlineStr">
        <is>
          <t>ROBINSON PULIDO</t>
        </is>
      </c>
      <c r="G1538" s="395" t="n">
        <v>3600</v>
      </c>
      <c r="H1538" s="395" t="n">
        <v>3550</v>
      </c>
      <c r="I1538" s="395" t="n">
        <v>5</v>
      </c>
      <c r="J1538" s="395" t="n">
        <v>10</v>
      </c>
      <c r="K1538" s="395" t="n">
        <v>-35</v>
      </c>
      <c r="L1538" s="397" t="n">
        <v>3360</v>
      </c>
      <c r="M1538" s="113" t="n"/>
      <c r="N1538" s="113" t="n"/>
      <c r="O1538" s="113" t="n"/>
      <c r="P1538" s="398" t="n"/>
      <c r="Q1538" s="398" t="n"/>
      <c r="R1538" s="113" t="n"/>
      <c r="S1538" s="113" t="n"/>
      <c r="T1538" s="113" t="n"/>
      <c r="U1538" s="113" t="n"/>
      <c r="V1538" s="113" t="n"/>
    </row>
    <row r="1539" ht="15.75" customHeight="1">
      <c r="A1539" s="146" t="n">
        <v>27</v>
      </c>
      <c r="B1539" s="238" t="n"/>
      <c r="C1539" s="399" t="n">
        <v>45987</v>
      </c>
      <c r="D1539" s="146" t="inlineStr">
        <is>
          <t>219 G. SAN JOSE 2</t>
        </is>
      </c>
      <c r="E1539" s="146" t="n">
        <v>44679</v>
      </c>
      <c r="F1539" s="146" t="inlineStr">
        <is>
          <t>JOSE SOLER</t>
        </is>
      </c>
      <c r="G1539" s="395" t="n">
        <v>3360</v>
      </c>
      <c r="H1539" s="395" t="n">
        <v>3261</v>
      </c>
      <c r="I1539" s="395" t="n">
        <v>5</v>
      </c>
      <c r="J1539" s="395" t="n">
        <v>19</v>
      </c>
      <c r="K1539" s="395" t="n">
        <v>-75</v>
      </c>
      <c r="L1539" s="397" t="n">
        <v>3360</v>
      </c>
      <c r="M1539" s="113" t="n"/>
      <c r="N1539" s="113" t="n"/>
      <c r="O1539" s="113" t="n"/>
      <c r="P1539" s="398" t="n"/>
      <c r="Q1539" s="398" t="n"/>
      <c r="R1539" s="113" t="n"/>
      <c r="S1539" s="113" t="n"/>
      <c r="T1539" s="113" t="n"/>
      <c r="U1539" s="113" t="n"/>
      <c r="V1539" s="113" t="n"/>
    </row>
    <row r="1540" ht="15.75" customHeight="1">
      <c r="A1540" s="146" t="n">
        <v>27</v>
      </c>
      <c r="B1540" s="238" t="n"/>
      <c r="C1540" s="399" t="n">
        <v>45987</v>
      </c>
      <c r="D1540" s="146" t="inlineStr">
        <is>
          <t>219 G. SAN JOSE 2</t>
        </is>
      </c>
      <c r="E1540" s="146" t="n">
        <v>44680</v>
      </c>
      <c r="F1540" s="146" t="inlineStr">
        <is>
          <t>MANUEL QUITIAN</t>
        </is>
      </c>
      <c r="G1540" s="395" t="n">
        <v>3360</v>
      </c>
      <c r="H1540" s="395" t="n">
        <v>3348</v>
      </c>
      <c r="I1540" s="395" t="n">
        <v>5</v>
      </c>
      <c r="J1540" s="395" t="n">
        <v>17</v>
      </c>
      <c r="K1540" s="395" t="n">
        <v>10</v>
      </c>
      <c r="L1540" s="397" t="n">
        <v>3240</v>
      </c>
      <c r="M1540" s="113" t="n"/>
      <c r="N1540" s="113" t="n"/>
      <c r="O1540" s="113" t="n"/>
      <c r="P1540" s="398" t="n"/>
      <c r="Q1540" s="398" t="n"/>
      <c r="R1540" s="113" t="n"/>
      <c r="S1540" s="113" t="n"/>
      <c r="T1540" s="113" t="n"/>
      <c r="U1540" s="113" t="n"/>
      <c r="V1540" s="113" t="n"/>
    </row>
    <row r="1541" ht="15.75" customHeight="1">
      <c r="A1541" s="146" t="n">
        <v>27</v>
      </c>
      <c r="B1541" s="238" t="n"/>
      <c r="C1541" s="399" t="n">
        <v>45987</v>
      </c>
      <c r="D1541" s="146" t="inlineStr">
        <is>
          <t>219 G. SAN JOSE 2</t>
        </is>
      </c>
      <c r="E1541" s="146" t="n">
        <v>44681</v>
      </c>
      <c r="F1541" s="146" t="inlineStr">
        <is>
          <t>HENRY ROMERO</t>
        </is>
      </c>
      <c r="G1541" s="395" t="n">
        <v>3360</v>
      </c>
      <c r="H1541" s="395" t="n">
        <v>3307</v>
      </c>
      <c r="I1541" s="395" t="n">
        <v>4</v>
      </c>
      <c r="J1541" s="395" t="n">
        <v>12</v>
      </c>
      <c r="K1541" s="395" t="n">
        <v>-37</v>
      </c>
      <c r="L1541" s="397" t="n">
        <v>3529</v>
      </c>
      <c r="M1541" s="113" t="n"/>
      <c r="N1541" s="113" t="n"/>
      <c r="O1541" s="113" t="n"/>
      <c r="P1541" s="398" t="n"/>
      <c r="Q1541" s="398" t="n"/>
      <c r="R1541" s="113" t="n"/>
      <c r="S1541" s="113" t="n"/>
      <c r="T1541" s="113" t="n"/>
      <c r="U1541" s="113" t="n"/>
      <c r="V1541" s="113" t="n"/>
    </row>
    <row r="1542" ht="15.75" customHeight="1">
      <c r="A1542" s="146" t="n">
        <v>27</v>
      </c>
      <c r="B1542" s="238" t="n"/>
      <c r="C1542" s="399" t="n">
        <v>45987</v>
      </c>
      <c r="D1542" s="146" t="inlineStr">
        <is>
          <t>219 G. SAN JOSE 2</t>
        </is>
      </c>
      <c r="E1542" s="146" t="n">
        <v>44682</v>
      </c>
      <c r="F1542" s="146" t="inlineStr">
        <is>
          <t>ALBERTO HERRERA</t>
        </is>
      </c>
      <c r="G1542" s="395" t="n">
        <v>3240</v>
      </c>
      <c r="H1542" s="395" t="n">
        <v>3219</v>
      </c>
      <c r="I1542" s="395" t="n">
        <v>4</v>
      </c>
      <c r="J1542" s="395" t="n">
        <v>21</v>
      </c>
      <c r="K1542" s="395" t="n">
        <v>4</v>
      </c>
      <c r="L1542" s="397" t="n">
        <v>3529</v>
      </c>
      <c r="M1542" s="113" t="n"/>
      <c r="N1542" s="113" t="n"/>
      <c r="O1542" s="113" t="n"/>
      <c r="P1542" s="398" t="n"/>
      <c r="Q1542" s="398" t="n"/>
      <c r="R1542" s="113" t="n"/>
      <c r="S1542" s="113" t="n"/>
      <c r="T1542" s="113" t="n"/>
      <c r="U1542" s="113" t="n"/>
      <c r="V1542" s="113" t="n"/>
    </row>
    <row r="1543" ht="15.75" customHeight="1">
      <c r="A1543" s="146" t="n">
        <v>27</v>
      </c>
      <c r="B1543" s="238" t="n"/>
      <c r="C1543" s="399" t="n">
        <v>45987</v>
      </c>
      <c r="D1543" s="146" t="inlineStr">
        <is>
          <t>219 G. SAN JOSE 2</t>
        </is>
      </c>
      <c r="E1543" s="146" t="n">
        <v>44683</v>
      </c>
      <c r="F1543" s="146" t="inlineStr">
        <is>
          <t>WILMER PIÑEROS</t>
        </is>
      </c>
      <c r="G1543" s="395" t="n">
        <v>3529</v>
      </c>
      <c r="H1543" s="395" t="n">
        <v>3506</v>
      </c>
      <c r="I1543" s="395" t="n">
        <v>4</v>
      </c>
      <c r="J1543" s="395" t="n">
        <v>19</v>
      </c>
      <c r="K1543" s="395" t="n">
        <v>0</v>
      </c>
      <c r="L1543" s="397" t="n">
        <v>3529</v>
      </c>
      <c r="M1543" s="113" t="n"/>
      <c r="N1543" s="113" t="n"/>
      <c r="O1543" s="113" t="n"/>
      <c r="P1543" s="398" t="n"/>
      <c r="Q1543" s="398" t="n"/>
      <c r="R1543" s="113" t="n"/>
      <c r="S1543" s="113" t="n"/>
      <c r="T1543" s="113" t="n"/>
      <c r="U1543" s="113" t="n"/>
      <c r="V1543" s="113" t="n"/>
    </row>
    <row r="1544" ht="15.75" customHeight="1">
      <c r="A1544" s="146" t="n">
        <v>27</v>
      </c>
      <c r="B1544" s="238" t="n"/>
      <c r="C1544" s="399" t="n">
        <v>45987</v>
      </c>
      <c r="D1544" s="146" t="inlineStr">
        <is>
          <t>219 G. SAN JOSE 2</t>
        </is>
      </c>
      <c r="E1544" s="146" t="n">
        <v>44684</v>
      </c>
      <c r="F1544" s="146" t="inlineStr">
        <is>
          <t>DIEGO NIÑO</t>
        </is>
      </c>
      <c r="G1544" s="395" t="n">
        <v>3529</v>
      </c>
      <c r="H1544" s="395" t="n">
        <v>3510</v>
      </c>
      <c r="I1544" s="395" t="n">
        <v>4</v>
      </c>
      <c r="J1544" s="395" t="n">
        <v>10</v>
      </c>
      <c r="K1544" s="395" t="n">
        <v>-5</v>
      </c>
      <c r="L1544" s="397" t="n">
        <v>3529</v>
      </c>
      <c r="M1544" s="113" t="n"/>
      <c r="N1544" s="113" t="n"/>
      <c r="O1544" s="113" t="n"/>
      <c r="P1544" s="398" t="n"/>
      <c r="Q1544" s="398" t="n"/>
      <c r="R1544" s="113" t="n"/>
      <c r="S1544" s="113" t="n"/>
      <c r="T1544" s="113" t="n"/>
      <c r="U1544" s="113" t="n"/>
      <c r="V1544" s="113" t="n"/>
    </row>
    <row r="1545" ht="15.75" customHeight="1">
      <c r="A1545" s="146" t="n">
        <v>27</v>
      </c>
      <c r="B1545" s="238" t="n"/>
      <c r="C1545" s="399" t="n">
        <v>45987</v>
      </c>
      <c r="D1545" s="146" t="inlineStr">
        <is>
          <t>219 G. SAN JOSE 2</t>
        </is>
      </c>
      <c r="E1545" s="146" t="n">
        <v>44685</v>
      </c>
      <c r="F1545" s="146" t="inlineStr">
        <is>
          <t>JHON ARIAS</t>
        </is>
      </c>
      <c r="G1545" s="395" t="n">
        <v>3529</v>
      </c>
      <c r="H1545" s="395" t="n">
        <v>3419</v>
      </c>
      <c r="I1545" s="395" t="n">
        <v>4</v>
      </c>
      <c r="J1545" s="395" t="n">
        <v>23</v>
      </c>
      <c r="K1545" s="395" t="n">
        <v>-83</v>
      </c>
      <c r="L1545" s="397" t="n">
        <v>3180</v>
      </c>
      <c r="M1545" s="113" t="n"/>
      <c r="N1545" s="113" t="n"/>
      <c r="O1545" s="113" t="n"/>
      <c r="P1545" s="398" t="n"/>
      <c r="Q1545" s="398" t="n"/>
      <c r="R1545" s="113" t="n"/>
      <c r="S1545" s="113" t="n"/>
      <c r="T1545" s="113" t="n"/>
      <c r="U1545" s="113" t="n"/>
      <c r="V1545" s="113" t="n"/>
    </row>
    <row r="1546" ht="15.75" customHeight="1">
      <c r="A1546" s="146" t="n">
        <v>27</v>
      </c>
      <c r="B1546" s="238" t="n"/>
      <c r="C1546" s="399" t="n">
        <v>45987</v>
      </c>
      <c r="D1546" s="146" t="inlineStr">
        <is>
          <t>219 G. SAN JOSE 2</t>
        </is>
      </c>
      <c r="E1546" s="146" t="n">
        <v>44686</v>
      </c>
      <c r="F1546" s="146" t="inlineStr">
        <is>
          <t>FABIO ALDANA</t>
        </is>
      </c>
      <c r="G1546" s="395" t="n">
        <v>3529</v>
      </c>
      <c r="H1546" s="395" t="n">
        <v>3450</v>
      </c>
      <c r="I1546" s="395" t="n">
        <v>3</v>
      </c>
      <c r="J1546" s="395" t="n">
        <v>11</v>
      </c>
      <c r="K1546" s="395" t="n">
        <v>-65</v>
      </c>
      <c r="L1546" s="397" t="n">
        <v>3180</v>
      </c>
      <c r="M1546" s="113" t="n"/>
      <c r="N1546" s="113" t="n"/>
      <c r="O1546" s="113" t="n"/>
      <c r="P1546" s="398" t="n"/>
      <c r="Q1546" s="398" t="n"/>
      <c r="R1546" s="113" t="n"/>
      <c r="S1546" s="113" t="n"/>
      <c r="T1546" s="113" t="n"/>
      <c r="U1546" s="113" t="n"/>
      <c r="V1546" s="113" t="n"/>
    </row>
    <row r="1547" ht="15.75" customHeight="1">
      <c r="A1547" s="146" t="n">
        <v>27</v>
      </c>
      <c r="B1547" s="238" t="n"/>
      <c r="C1547" s="399" t="n">
        <v>45988</v>
      </c>
      <c r="D1547" s="146" t="inlineStr">
        <is>
          <t>221 G. MALAGUEÑA</t>
        </is>
      </c>
      <c r="E1547" s="146" t="n">
        <v>44695</v>
      </c>
      <c r="F1547" s="146" t="inlineStr">
        <is>
          <t>FABIO ALDANA</t>
        </is>
      </c>
      <c r="G1547" s="395" t="n">
        <v>3564</v>
      </c>
      <c r="H1547" s="395" t="n">
        <v>3522</v>
      </c>
      <c r="I1547" s="395" t="n">
        <v>7</v>
      </c>
      <c r="J1547" s="395" t="n">
        <v>28</v>
      </c>
      <c r="K1547" s="395" t="n">
        <v>-7</v>
      </c>
      <c r="L1547" s="397" t="n">
        <v>3000</v>
      </c>
      <c r="M1547" s="113" t="n"/>
      <c r="N1547" s="113" t="n"/>
      <c r="O1547" s="113" t="n"/>
      <c r="P1547" s="398" t="n"/>
      <c r="Q1547" s="398" t="n"/>
      <c r="R1547" s="113" t="n"/>
      <c r="S1547" s="113" t="n"/>
      <c r="T1547" s="113" t="n"/>
      <c r="U1547" s="113" t="n"/>
      <c r="V1547" s="113" t="n"/>
    </row>
    <row r="1548" ht="15.75" customHeight="1">
      <c r="A1548" s="146" t="n">
        <v>27</v>
      </c>
      <c r="B1548" s="238" t="n"/>
      <c r="C1548" s="399" t="n">
        <v>45988</v>
      </c>
      <c r="D1548" s="146" t="inlineStr">
        <is>
          <t>221 G. MALAGUEÑA</t>
        </is>
      </c>
      <c r="E1548" s="146" t="n">
        <v>44696</v>
      </c>
      <c r="F1548" s="146" t="inlineStr">
        <is>
          <t>JOSE SOLER</t>
        </is>
      </c>
      <c r="G1548" s="395" t="n">
        <v>3480</v>
      </c>
      <c r="H1548" s="395" t="n">
        <v>3498</v>
      </c>
      <c r="I1548" s="395" t="n">
        <v>10</v>
      </c>
      <c r="J1548" s="395" t="n">
        <v>7</v>
      </c>
      <c r="K1548" s="395" t="n">
        <v>35</v>
      </c>
      <c r="L1548" s="397" t="n">
        <v>2793</v>
      </c>
      <c r="M1548" s="113" t="n"/>
      <c r="N1548" s="113" t="n"/>
      <c r="O1548" s="113" t="n"/>
      <c r="P1548" s="398" t="n"/>
      <c r="Q1548" s="398" t="n"/>
      <c r="R1548" s="113" t="n"/>
      <c r="S1548" s="113" t="n"/>
      <c r="T1548" s="113" t="n"/>
      <c r="U1548" s="113" t="n"/>
      <c r="V1548" s="113" t="n"/>
    </row>
    <row r="1549" ht="15.75" customHeight="1">
      <c r="A1549" s="146" t="n">
        <v>27</v>
      </c>
      <c r="B1549" s="238" t="n"/>
      <c r="C1549" s="399" t="n">
        <v>45988</v>
      </c>
      <c r="D1549" s="146" t="inlineStr">
        <is>
          <t>221 G. MALAGUEÑA</t>
        </is>
      </c>
      <c r="E1549" s="146" t="n">
        <v>44697</v>
      </c>
      <c r="F1549" s="146" t="inlineStr">
        <is>
          <t>JOSE HERRERA</t>
        </is>
      </c>
      <c r="G1549" s="395" t="n">
        <v>750</v>
      </c>
      <c r="H1549" s="395" t="n">
        <v>785</v>
      </c>
      <c r="I1549" s="395" t="n">
        <v>4</v>
      </c>
      <c r="J1549" s="395" t="n">
        <v>8</v>
      </c>
      <c r="K1549" s="395" t="n">
        <v>47</v>
      </c>
      <c r="L1549" s="397" t="n">
        <v>3300</v>
      </c>
      <c r="M1549" s="113" t="n"/>
      <c r="N1549" s="113" t="n"/>
      <c r="O1549" s="113" t="n"/>
      <c r="P1549" s="398" t="n"/>
      <c r="Q1549" s="398" t="n"/>
      <c r="R1549" s="113" t="n"/>
      <c r="S1549" s="113" t="n"/>
      <c r="T1549" s="113" t="n"/>
      <c r="U1549" s="113" t="n"/>
      <c r="V1549" s="113" t="n"/>
    </row>
    <row r="1550" ht="15.75" customHeight="1">
      <c r="A1550" s="146" t="n">
        <v>27</v>
      </c>
      <c r="B1550" s="238" t="n"/>
      <c r="C1550" s="399" t="n">
        <v>45988</v>
      </c>
      <c r="D1550" s="146" t="inlineStr">
        <is>
          <t>219 G. SAN JOSE 2</t>
        </is>
      </c>
      <c r="E1550" s="146" t="n">
        <v>44698</v>
      </c>
      <c r="F1550" s="146" t="inlineStr">
        <is>
          <t>SEBASTIAN HIDALGO</t>
        </is>
      </c>
      <c r="G1550" s="395" t="n">
        <v>3564</v>
      </c>
      <c r="H1550" s="395" t="n">
        <v>3561</v>
      </c>
      <c r="I1550" s="395" t="n">
        <v>6</v>
      </c>
      <c r="J1550" s="395" t="n">
        <v>3</v>
      </c>
      <c r="K1550" s="395" t="n">
        <v>6</v>
      </c>
      <c r="L1550" s="397" t="n">
        <v>3300</v>
      </c>
      <c r="M1550" s="113" t="n"/>
      <c r="N1550" s="113" t="n"/>
      <c r="O1550" s="113" t="n"/>
      <c r="P1550" s="398" t="n"/>
      <c r="Q1550" s="398" t="n"/>
      <c r="R1550" s="113" t="n"/>
      <c r="S1550" s="113" t="n"/>
      <c r="T1550" s="113" t="n"/>
      <c r="U1550" s="113" t="n"/>
      <c r="V1550" s="113" t="n"/>
    </row>
    <row r="1551" ht="15.75" customHeight="1">
      <c r="A1551" s="146" t="n">
        <v>27</v>
      </c>
      <c r="B1551" s="238" t="n"/>
      <c r="C1551" s="399" t="n">
        <v>45988</v>
      </c>
      <c r="D1551" s="146" t="inlineStr">
        <is>
          <t>219 G. SAN JOSE 2</t>
        </is>
      </c>
      <c r="E1551" s="146" t="n">
        <v>44699</v>
      </c>
      <c r="F1551" s="146" t="inlineStr">
        <is>
          <t>HENRY ROMERO</t>
        </is>
      </c>
      <c r="G1551" s="395" t="n">
        <v>3564</v>
      </c>
      <c r="H1551" s="395" t="n">
        <v>3579</v>
      </c>
      <c r="I1551" s="395" t="n">
        <v>3</v>
      </c>
      <c r="J1551" s="395" t="n">
        <v>8</v>
      </c>
      <c r="K1551" s="395" t="n">
        <v>26</v>
      </c>
      <c r="L1551" s="397" t="n">
        <v>2500</v>
      </c>
      <c r="M1551" s="113" t="n"/>
      <c r="N1551" s="113" t="n"/>
      <c r="O1551" s="113" t="n"/>
      <c r="P1551" s="398" t="n"/>
      <c r="Q1551" s="398" t="n"/>
      <c r="R1551" s="113" t="n"/>
      <c r="S1551" s="113" t="n"/>
      <c r="T1551" s="113" t="n"/>
      <c r="U1551" s="113" t="n"/>
      <c r="V1551" s="113" t="n"/>
    </row>
    <row r="1552" ht="15.75" customHeight="1">
      <c r="A1552" s="146" t="n">
        <v>27</v>
      </c>
      <c r="B1552" s="238" t="n"/>
      <c r="C1552" s="399" t="n">
        <v>45988</v>
      </c>
      <c r="D1552" s="146" t="inlineStr">
        <is>
          <t>219 G. SAN JOSE 2</t>
        </is>
      </c>
      <c r="E1552" s="146" t="n">
        <v>44700</v>
      </c>
      <c r="F1552" s="146" t="inlineStr">
        <is>
          <t>MANUEL QUITIAN</t>
        </is>
      </c>
      <c r="G1552" s="395" t="n">
        <v>3564</v>
      </c>
      <c r="H1552" s="395" t="n">
        <v>3548</v>
      </c>
      <c r="I1552" s="395" t="n">
        <v>4</v>
      </c>
      <c r="J1552" s="395" t="n">
        <v>6</v>
      </c>
      <c r="K1552" s="395" t="n">
        <v>-6</v>
      </c>
      <c r="L1552" s="397" t="n">
        <v>2500</v>
      </c>
      <c r="M1552" s="113" t="n"/>
      <c r="N1552" s="113" t="n"/>
      <c r="O1552" s="113" t="n"/>
      <c r="P1552" s="398" t="n"/>
      <c r="Q1552" s="398" t="n"/>
      <c r="R1552" s="113" t="n"/>
      <c r="S1552" s="113" t="n"/>
      <c r="T1552" s="113" t="n"/>
      <c r="U1552" s="113" t="n"/>
      <c r="V1552" s="113" t="n"/>
    </row>
    <row r="1553" ht="15.75" customHeight="1">
      <c r="A1553" s="146" t="n">
        <v>27</v>
      </c>
      <c r="B1553" s="238" t="n"/>
      <c r="C1553" s="399" t="n">
        <v>45988</v>
      </c>
      <c r="D1553" s="146" t="inlineStr">
        <is>
          <t>219 G. SAN JOSE 2</t>
        </is>
      </c>
      <c r="E1553" s="146" t="n">
        <v>44703</v>
      </c>
      <c r="F1553" s="146" t="inlineStr">
        <is>
          <t>JAIRO CUBILLOS</t>
        </is>
      </c>
      <c r="G1553" s="395" t="n">
        <v>3888</v>
      </c>
      <c r="H1553" s="395" t="n">
        <v>3907</v>
      </c>
      <c r="I1553" s="395" t="n">
        <v>18</v>
      </c>
      <c r="J1553" s="395" t="n">
        <v>14</v>
      </c>
      <c r="K1553" s="395" t="n">
        <v>51</v>
      </c>
      <c r="L1553" s="397" t="n">
        <v>3564</v>
      </c>
      <c r="M1553" s="113" t="n"/>
      <c r="N1553" s="113" t="n"/>
      <c r="O1553" s="113" t="n"/>
      <c r="P1553" s="398" t="n"/>
      <c r="Q1553" s="398" t="n"/>
      <c r="R1553" s="113" t="n"/>
      <c r="S1553" s="113" t="n"/>
      <c r="T1553" s="113" t="n"/>
      <c r="U1553" s="113" t="n"/>
      <c r="V1553" s="113" t="n"/>
    </row>
    <row r="1554" ht="15.75" customHeight="1">
      <c r="A1554" s="146" t="n">
        <v>27</v>
      </c>
      <c r="B1554" s="238" t="n"/>
      <c r="C1554" s="399" t="n">
        <v>45989</v>
      </c>
      <c r="D1554" s="146" t="inlineStr">
        <is>
          <t>218 G.SAN JOSE 1</t>
        </is>
      </c>
      <c r="E1554" s="146" t="n">
        <v>44721</v>
      </c>
      <c r="F1554" s="146" t="inlineStr">
        <is>
          <t>WILMER PIÑEROS</t>
        </is>
      </c>
      <c r="G1554" s="395" t="n">
        <v>3648</v>
      </c>
      <c r="H1554" s="395" t="n">
        <v>3676</v>
      </c>
      <c r="I1554" s="395" t="n">
        <v>3</v>
      </c>
      <c r="J1554" s="395" t="n">
        <v>2</v>
      </c>
      <c r="K1554" s="395" t="n">
        <v>33</v>
      </c>
      <c r="L1554" s="397" t="n">
        <v>3564</v>
      </c>
      <c r="M1554" s="113" t="n"/>
      <c r="N1554" s="113" t="n"/>
      <c r="O1554" s="113" t="n"/>
      <c r="P1554" s="398" t="n"/>
      <c r="Q1554" s="398" t="n"/>
      <c r="R1554" s="113" t="n"/>
      <c r="S1554" s="113" t="n"/>
      <c r="T1554" s="113" t="n"/>
      <c r="U1554" s="113" t="n"/>
      <c r="V1554" s="113" t="n"/>
    </row>
    <row r="1555" ht="15.75" customHeight="1">
      <c r="A1555" s="146" t="n">
        <v>27</v>
      </c>
      <c r="B1555" s="238" t="n"/>
      <c r="C1555" s="399" t="n">
        <v>45989</v>
      </c>
      <c r="D1555" s="146" t="inlineStr">
        <is>
          <t>218 G.SAN JOSE 1</t>
        </is>
      </c>
      <c r="E1555" s="146" t="n">
        <v>44722</v>
      </c>
      <c r="F1555" s="146" t="inlineStr">
        <is>
          <t>FABIO ALDANA</t>
        </is>
      </c>
      <c r="G1555" s="395" t="n">
        <v>3322</v>
      </c>
      <c r="H1555" s="395" t="n">
        <v>3293</v>
      </c>
      <c r="I1555" s="395" t="n">
        <v>3</v>
      </c>
      <c r="J1555" s="395" t="n">
        <v>3</v>
      </c>
      <c r="K1555" s="395" t="n">
        <v>-23</v>
      </c>
      <c r="L1555" s="397" t="n">
        <v>3564</v>
      </c>
      <c r="M1555" s="113" t="n"/>
      <c r="N1555" s="113" t="n"/>
      <c r="O1555" s="113" t="n"/>
      <c r="P1555" s="398" t="n"/>
      <c r="Q1555" s="398" t="n"/>
      <c r="R1555" s="113" t="n"/>
      <c r="S1555" s="113" t="n"/>
      <c r="T1555" s="113" t="n"/>
      <c r="U1555" s="113" t="n"/>
      <c r="V1555" s="113" t="n"/>
    </row>
    <row r="1556" ht="15.75" customHeight="1">
      <c r="A1556" s="146" t="n">
        <v>27</v>
      </c>
      <c r="B1556" s="238" t="n"/>
      <c r="C1556" s="399" t="n">
        <v>45989</v>
      </c>
      <c r="D1556" s="146" t="inlineStr">
        <is>
          <t>218 G.SAN JOSE 1</t>
        </is>
      </c>
      <c r="E1556" s="146" t="n">
        <v>44731</v>
      </c>
      <c r="F1556" s="146" t="inlineStr">
        <is>
          <t>ALEXANDER CHAGUALA</t>
        </is>
      </c>
      <c r="G1556" s="395" t="n">
        <v>3648</v>
      </c>
      <c r="H1556" s="395" t="n">
        <v>3663</v>
      </c>
      <c r="I1556" s="395" t="n">
        <v>4</v>
      </c>
      <c r="J1556" s="395" t="n">
        <v>5</v>
      </c>
      <c r="K1556" s="395" t="n">
        <v>24</v>
      </c>
      <c r="L1556" s="397" t="n">
        <v>3460</v>
      </c>
      <c r="M1556" s="113" t="n"/>
      <c r="N1556" s="113" t="n"/>
      <c r="O1556" s="113" t="n"/>
      <c r="P1556" s="398" t="n"/>
      <c r="Q1556" s="398" t="n"/>
      <c r="R1556" s="113" t="n"/>
      <c r="S1556" s="113" t="n"/>
      <c r="T1556" s="113" t="n"/>
      <c r="U1556" s="113" t="n"/>
      <c r="V1556" s="113" t="n"/>
    </row>
    <row r="1557" ht="15.75" customHeight="1">
      <c r="A1557" s="146" t="n">
        <v>27</v>
      </c>
      <c r="B1557" s="238" t="n"/>
      <c r="C1557" s="399" t="n">
        <v>45989</v>
      </c>
      <c r="D1557" s="146" t="inlineStr">
        <is>
          <t>218 G.SAN JOSE 1</t>
        </is>
      </c>
      <c r="E1557" s="146" t="n">
        <v>44732</v>
      </c>
      <c r="F1557" s="146" t="inlineStr">
        <is>
          <t>ALBERTO HERRERA</t>
        </is>
      </c>
      <c r="G1557" s="395" t="n">
        <v>2962</v>
      </c>
      <c r="H1557" s="395" t="n">
        <v>2971</v>
      </c>
      <c r="I1557" s="395" t="n">
        <v>4</v>
      </c>
      <c r="J1557" s="395" t="n">
        <v>4</v>
      </c>
      <c r="K1557" s="395" t="n">
        <v>17</v>
      </c>
      <c r="L1557" s="397" t="n">
        <v>3750</v>
      </c>
      <c r="M1557" s="113" t="n"/>
      <c r="N1557" s="113" t="n"/>
      <c r="O1557" s="113" t="n"/>
      <c r="P1557" s="398" t="n"/>
      <c r="Q1557" s="398" t="n"/>
      <c r="R1557" s="113" t="n"/>
      <c r="S1557" s="113" t="n"/>
      <c r="T1557" s="113" t="n"/>
      <c r="U1557" s="113" t="n"/>
      <c r="V1557" s="113" t="n"/>
    </row>
    <row r="1558" ht="15.75" customHeight="1">
      <c r="A1558" s="146" t="n">
        <v>27</v>
      </c>
      <c r="B1558" s="238" t="n"/>
      <c r="C1558" s="399" t="n">
        <v>45989</v>
      </c>
      <c r="D1558" s="146" t="inlineStr">
        <is>
          <t>218 G.SAN JOSE 1</t>
        </is>
      </c>
      <c r="E1558" s="146" t="n">
        <v>44730</v>
      </c>
      <c r="F1558" s="146" t="inlineStr">
        <is>
          <t>ROBINSON PULIDO</t>
        </is>
      </c>
      <c r="G1558" s="395" t="n">
        <v>3322</v>
      </c>
      <c r="H1558" s="395" t="n">
        <v>3303</v>
      </c>
      <c r="I1558" s="395" t="n">
        <v>2</v>
      </c>
      <c r="J1558" s="395" t="n">
        <v>4</v>
      </c>
      <c r="K1558" s="395" t="n">
        <v>-13</v>
      </c>
      <c r="L1558" s="397" t="n">
        <v>3564</v>
      </c>
      <c r="M1558" s="113" t="n"/>
      <c r="N1558" s="113" t="n"/>
      <c r="O1558" s="113" t="n"/>
      <c r="P1558" s="398" t="n"/>
      <c r="Q1558" s="398" t="n"/>
      <c r="R1558" s="113" t="n"/>
      <c r="S1558" s="113" t="n"/>
      <c r="T1558" s="113" t="n"/>
      <c r="U1558" s="113" t="n"/>
      <c r="V1558" s="113" t="n"/>
    </row>
    <row r="1559" ht="15.75" customHeight="1">
      <c r="A1559" s="146" t="n">
        <v>27</v>
      </c>
      <c r="B1559" s="238" t="n"/>
      <c r="C1559" s="399" t="n">
        <v>45987</v>
      </c>
      <c r="D1559" s="146" t="inlineStr">
        <is>
          <t>202 G. HUERTAS</t>
        </is>
      </c>
      <c r="E1559" s="146" t="n">
        <v>204558</v>
      </c>
      <c r="F1559" s="146" t="inlineStr">
        <is>
          <t>FABIO FAJARDO AGUILAR</t>
        </is>
      </c>
      <c r="G1559" s="395" t="n">
        <v>3000</v>
      </c>
      <c r="H1559" s="395" t="n">
        <v>2973</v>
      </c>
      <c r="I1559" s="395" t="n">
        <v>6</v>
      </c>
      <c r="J1559" s="395" t="n">
        <v>9</v>
      </c>
      <c r="K1559" s="395" t="n">
        <v>-12</v>
      </c>
      <c r="L1559" s="397" t="n">
        <v>3564</v>
      </c>
      <c r="M1559" s="113" t="n"/>
      <c r="N1559" s="113" t="n"/>
      <c r="O1559" s="113" t="n"/>
      <c r="P1559" s="398" t="n"/>
      <c r="Q1559" s="398" t="n"/>
      <c r="R1559" s="113" t="n"/>
      <c r="S1559" s="113" t="n"/>
      <c r="T1559" s="113" t="n"/>
      <c r="U1559" s="113" t="n"/>
      <c r="V1559" s="113" t="n"/>
    </row>
    <row r="1560" ht="15.75" customHeight="1">
      <c r="A1560" s="146" t="n">
        <v>27</v>
      </c>
      <c r="B1560" s="238" t="n"/>
      <c r="C1560" s="399" t="n">
        <v>45987</v>
      </c>
      <c r="D1560" s="146" t="inlineStr">
        <is>
          <t>202 G. HUERTAS</t>
        </is>
      </c>
      <c r="E1560" s="146" t="n">
        <v>204561</v>
      </c>
      <c r="F1560" s="146" t="inlineStr">
        <is>
          <t>MERVIN STIVEN CORTES</t>
        </is>
      </c>
      <c r="G1560" s="395" t="n">
        <v>2793</v>
      </c>
      <c r="H1560" s="395" t="n">
        <v>2782</v>
      </c>
      <c r="I1560" s="395" t="n">
        <v>6</v>
      </c>
      <c r="J1560" s="395" t="n">
        <v>4</v>
      </c>
      <c r="K1560" s="395" t="n">
        <v>-1</v>
      </c>
      <c r="L1560" s="397" t="n">
        <v>3564</v>
      </c>
      <c r="M1560" s="113" t="n"/>
      <c r="N1560" s="113" t="n"/>
      <c r="O1560" s="113" t="n"/>
      <c r="P1560" s="398" t="n"/>
      <c r="Q1560" s="398" t="n"/>
      <c r="R1560" s="113" t="n"/>
      <c r="S1560" s="113" t="n"/>
      <c r="T1560" s="113" t="n"/>
      <c r="U1560" s="113" t="n"/>
      <c r="V1560" s="113" t="n"/>
    </row>
    <row r="1561" ht="15.75" customHeight="1">
      <c r="A1561" s="146" t="n">
        <v>27</v>
      </c>
      <c r="B1561" s="238" t="n"/>
      <c r="C1561" s="399" t="n">
        <v>45988</v>
      </c>
      <c r="D1561" s="146" t="inlineStr">
        <is>
          <t>202 G. HUERTAS</t>
        </is>
      </c>
      <c r="E1561" s="146" t="n">
        <v>204563</v>
      </c>
      <c r="F1561" s="146" t="inlineStr">
        <is>
          <t>JOSE MARTINEZ</t>
        </is>
      </c>
      <c r="G1561" s="395" t="n">
        <v>3300</v>
      </c>
      <c r="H1561" s="395" t="n">
        <v>3251</v>
      </c>
      <c r="I1561" s="395" t="n">
        <v>5</v>
      </c>
      <c r="J1561" s="395" t="n">
        <v>9</v>
      </c>
      <c r="K1561" s="395" t="n">
        <v>-35</v>
      </c>
      <c r="L1561" s="397" t="n">
        <v>3888</v>
      </c>
      <c r="M1561" s="113" t="n"/>
      <c r="N1561" s="113" t="n"/>
      <c r="O1561" s="113" t="n"/>
      <c r="P1561" s="398" t="n"/>
      <c r="Q1561" s="398" t="n"/>
      <c r="R1561" s="113" t="n"/>
      <c r="S1561" s="113" t="n"/>
      <c r="T1561" s="113" t="n"/>
      <c r="U1561" s="113" t="n"/>
      <c r="V1561" s="113" t="n"/>
    </row>
    <row r="1562" ht="15.75" customHeight="1">
      <c r="A1562" s="146" t="n">
        <v>27</v>
      </c>
      <c r="B1562" s="238" t="n"/>
      <c r="C1562" s="399" t="n">
        <v>45988</v>
      </c>
      <c r="D1562" s="146" t="inlineStr">
        <is>
          <t>202 G. HUERTAS</t>
        </is>
      </c>
      <c r="E1562" s="146" t="n">
        <v>204564</v>
      </c>
      <c r="F1562" s="146" t="inlineStr">
        <is>
          <t>EDISIN DUQUE SAMBONI</t>
        </is>
      </c>
      <c r="G1562" s="395" t="n">
        <v>3300</v>
      </c>
      <c r="H1562" s="395" t="n">
        <v>3293</v>
      </c>
      <c r="I1562" s="395" t="n">
        <v>9</v>
      </c>
      <c r="J1562" s="395" t="n">
        <v>2</v>
      </c>
      <c r="K1562" s="395" t="n">
        <v>4</v>
      </c>
      <c r="L1562" s="397" t="n">
        <v>2600</v>
      </c>
      <c r="M1562" s="113" t="n"/>
      <c r="N1562" s="113" t="n"/>
      <c r="O1562" s="113" t="n"/>
      <c r="P1562" s="398" t="n"/>
      <c r="Q1562" s="398" t="n"/>
      <c r="R1562" s="113" t="n"/>
      <c r="S1562" s="113" t="n"/>
      <c r="T1562" s="113" t="n"/>
      <c r="U1562" s="113" t="n"/>
      <c r="V1562" s="113" t="n"/>
    </row>
    <row r="1563" ht="15.75" customHeight="1">
      <c r="A1563" s="146" t="n">
        <v>27</v>
      </c>
      <c r="B1563" s="238" t="n"/>
      <c r="C1563" s="399" t="n">
        <v>45988</v>
      </c>
      <c r="D1563" s="146" t="inlineStr">
        <is>
          <t>202 G. HUERTAS</t>
        </is>
      </c>
      <c r="E1563" s="146" t="n">
        <v>204566</v>
      </c>
      <c r="F1563" s="146" t="inlineStr">
        <is>
          <t>JORGE HERNANDEZ</t>
        </is>
      </c>
      <c r="G1563" s="395" t="n">
        <v>2500</v>
      </c>
      <c r="H1563" s="395" t="n">
        <v>2486</v>
      </c>
      <c r="I1563" s="395" t="n">
        <v>6</v>
      </c>
      <c r="J1563" s="395" t="n">
        <v>3</v>
      </c>
      <c r="K1563" s="395" t="n">
        <v>-5</v>
      </c>
      <c r="L1563" s="397" t="n">
        <v>2600</v>
      </c>
      <c r="M1563" s="113" t="n"/>
      <c r="N1563" s="113" t="n"/>
      <c r="O1563" s="113" t="n"/>
      <c r="P1563" s="398" t="n"/>
      <c r="Q1563" s="398" t="n"/>
      <c r="R1563" s="113" t="n"/>
      <c r="S1563" s="113" t="n"/>
      <c r="T1563" s="113" t="n"/>
      <c r="U1563" s="113" t="n"/>
      <c r="V1563" s="113" t="n"/>
    </row>
    <row r="1564" ht="15.75" customHeight="1">
      <c r="A1564" s="146" t="n">
        <v>27</v>
      </c>
      <c r="B1564" s="238" t="n"/>
      <c r="C1564" s="399" t="n">
        <v>45988</v>
      </c>
      <c r="D1564" s="146" t="inlineStr">
        <is>
          <t>202 G. HUERTAS</t>
        </is>
      </c>
      <c r="E1564" s="146" t="n">
        <v>204567</v>
      </c>
      <c r="F1564" s="146" t="inlineStr">
        <is>
          <t>JONATHAN DAVID GOMEZ</t>
        </is>
      </c>
      <c r="G1564" s="395" t="n">
        <v>2500</v>
      </c>
      <c r="H1564" s="395" t="n">
        <v>2496</v>
      </c>
      <c r="I1564" s="395" t="n">
        <v>0</v>
      </c>
      <c r="J1564" s="395" t="n">
        <v>1</v>
      </c>
      <c r="K1564" s="395" t="n">
        <v>-3</v>
      </c>
      <c r="L1564" s="397" t="n">
        <v>3564</v>
      </c>
      <c r="M1564" s="113" t="n"/>
      <c r="N1564" s="113" t="n"/>
      <c r="O1564" s="113" t="n"/>
      <c r="P1564" s="398" t="n"/>
      <c r="Q1564" s="398" t="n"/>
      <c r="R1564" s="113" t="n"/>
      <c r="S1564" s="113" t="n"/>
      <c r="T1564" s="113" t="n"/>
      <c r="U1564" s="113" t="n"/>
      <c r="V1564" s="113" t="n"/>
    </row>
    <row r="1565" ht="15.75" customHeight="1">
      <c r="A1565" s="146" t="n">
        <v>27</v>
      </c>
      <c r="B1565" s="238" t="n"/>
      <c r="C1565" s="399" t="n">
        <v>45988</v>
      </c>
      <c r="D1565" s="146" t="inlineStr">
        <is>
          <t>202 G. HUERTAS</t>
        </is>
      </c>
      <c r="E1565" s="146" t="n">
        <v>44693</v>
      </c>
      <c r="F1565" s="146" t="inlineStr">
        <is>
          <t>JAIRO CUBILLOS</t>
        </is>
      </c>
      <c r="G1565" s="395" t="n">
        <v>3564</v>
      </c>
      <c r="H1565" s="395" t="n">
        <v>3571</v>
      </c>
      <c r="I1565" s="395" t="n">
        <v>2</v>
      </c>
      <c r="J1565" s="395" t="n">
        <v>3</v>
      </c>
      <c r="K1565" s="395" t="n">
        <v>12</v>
      </c>
      <c r="L1565" s="397" t="n">
        <v>3466</v>
      </c>
      <c r="M1565" s="113" t="n"/>
      <c r="N1565" s="113" t="n"/>
      <c r="O1565" s="113" t="n"/>
      <c r="P1565" s="398" t="n"/>
      <c r="Q1565" s="398" t="n"/>
      <c r="R1565" s="113" t="n"/>
      <c r="S1565" s="113" t="n"/>
      <c r="T1565" s="113" t="n"/>
      <c r="U1565" s="113" t="n"/>
      <c r="V1565" s="113" t="n"/>
    </row>
    <row r="1566" ht="15.75" customHeight="1">
      <c r="A1566" s="146" t="n">
        <v>27</v>
      </c>
      <c r="B1566" s="238" t="n"/>
      <c r="C1566" s="399" t="n">
        <v>45988</v>
      </c>
      <c r="D1566" s="146" t="inlineStr">
        <is>
          <t>202 G. HUERTAS</t>
        </is>
      </c>
      <c r="E1566" s="146" t="n">
        <v>44694</v>
      </c>
      <c r="F1566" s="146" t="inlineStr">
        <is>
          <t>ALEXANDER CHAGUALA</t>
        </is>
      </c>
      <c r="G1566" s="395" t="n">
        <v>3564</v>
      </c>
      <c r="H1566" s="395" t="n">
        <v>3553</v>
      </c>
      <c r="I1566" s="395" t="n">
        <v>2</v>
      </c>
      <c r="J1566" s="395" t="n">
        <v>2</v>
      </c>
      <c r="K1566" s="395" t="n">
        <v>-7</v>
      </c>
      <c r="L1566" s="397" t="n">
        <v>3410</v>
      </c>
      <c r="M1566" s="113" t="n"/>
      <c r="N1566" s="113" t="n"/>
      <c r="O1566" s="113" t="n"/>
      <c r="P1566" s="398" t="n"/>
      <c r="Q1566" s="398" t="n"/>
      <c r="R1566" s="113" t="n"/>
      <c r="S1566" s="113" t="n"/>
      <c r="T1566" s="113" t="n"/>
      <c r="U1566" s="113" t="n"/>
      <c r="V1566" s="113" t="n"/>
    </row>
    <row r="1567" ht="15.75" customHeight="1">
      <c r="A1567" s="146" t="n">
        <v>27</v>
      </c>
      <c r="B1567" s="238" t="n"/>
      <c r="C1567" s="399" t="n">
        <v>45989</v>
      </c>
      <c r="D1567" s="146" t="inlineStr">
        <is>
          <t>202 G. HUERTAS</t>
        </is>
      </c>
      <c r="E1567" s="146" t="n">
        <v>204589</v>
      </c>
      <c r="F1567" s="146" t="inlineStr">
        <is>
          <t>GUSTAVO MONROY FONSECA</t>
        </is>
      </c>
      <c r="G1567" s="395" t="n">
        <v>2600</v>
      </c>
      <c r="H1567" s="395" t="n">
        <v>2584</v>
      </c>
      <c r="I1567" s="395" t="n">
        <v>16</v>
      </c>
      <c r="J1567" s="395" t="n">
        <v>4</v>
      </c>
      <c r="K1567" s="395" t="n">
        <v>4</v>
      </c>
      <c r="L1567" s="397" t="n">
        <v>3240</v>
      </c>
      <c r="M1567" s="113" t="n"/>
      <c r="N1567" s="113" t="n"/>
      <c r="O1567" s="113" t="n"/>
      <c r="P1567" s="398" t="n"/>
      <c r="Q1567" s="398" t="n"/>
      <c r="R1567" s="113" t="n"/>
      <c r="S1567" s="113" t="n"/>
      <c r="T1567" s="113" t="n"/>
      <c r="U1567" s="113" t="n"/>
      <c r="V1567" s="113" t="n"/>
    </row>
    <row r="1568" ht="15.75" customHeight="1">
      <c r="A1568" s="146" t="n">
        <v>27</v>
      </c>
      <c r="B1568" s="238" t="n"/>
      <c r="C1568" s="399" t="n">
        <v>45989</v>
      </c>
      <c r="D1568" s="146" t="inlineStr">
        <is>
          <t>202 G. HUERTAS</t>
        </is>
      </c>
      <c r="E1568" s="146" t="n">
        <v>204590</v>
      </c>
      <c r="F1568" s="146" t="inlineStr">
        <is>
          <t>CARLOS PORRAS</t>
        </is>
      </c>
      <c r="G1568" s="395" t="n">
        <v>2592</v>
      </c>
      <c r="H1568" s="395" t="n">
        <v>2570</v>
      </c>
      <c r="I1568" s="395" t="n">
        <v>3</v>
      </c>
      <c r="J1568" s="395" t="n">
        <v>23</v>
      </c>
      <c r="K1568" s="395" t="n">
        <v>4</v>
      </c>
      <c r="L1568" s="397" t="n">
        <v>3640</v>
      </c>
      <c r="M1568" s="113" t="n"/>
      <c r="N1568" s="113" t="n"/>
      <c r="O1568" s="113" t="n"/>
      <c r="P1568" s="398" t="n"/>
      <c r="Q1568" s="398" t="n"/>
      <c r="R1568" s="113" t="n"/>
      <c r="S1568" s="113" t="n"/>
      <c r="T1568" s="113" t="n"/>
      <c r="U1568" s="113" t="n"/>
      <c r="V1568" s="113" t="n"/>
    </row>
    <row r="1569" ht="15.75" customHeight="1">
      <c r="A1569" s="146" t="n">
        <v>27</v>
      </c>
      <c r="B1569" s="238" t="n"/>
      <c r="C1569" s="399" t="n">
        <v>45989</v>
      </c>
      <c r="D1569" s="146" t="inlineStr">
        <is>
          <t>202 G. HUERTAS</t>
        </is>
      </c>
      <c r="E1569" s="146" t="n">
        <v>44716</v>
      </c>
      <c r="F1569" s="146" t="inlineStr">
        <is>
          <t>FABIO ALDANA</t>
        </is>
      </c>
      <c r="G1569" s="395" t="n">
        <v>3564</v>
      </c>
      <c r="H1569" s="395" t="n">
        <v>3557</v>
      </c>
      <c r="I1569" s="395" t="n">
        <v>6</v>
      </c>
      <c r="J1569" s="395" t="n">
        <v>1</v>
      </c>
      <c r="K1569" s="395" t="n">
        <v>0</v>
      </c>
      <c r="L1569" s="397" t="n">
        <v>3648</v>
      </c>
      <c r="M1569" s="113" t="n"/>
      <c r="N1569" s="113" t="n"/>
      <c r="O1569" s="113" t="n"/>
      <c r="P1569" s="398" t="n"/>
      <c r="Q1569" s="398" t="n"/>
      <c r="R1569" s="113" t="n"/>
      <c r="S1569" s="113" t="n"/>
      <c r="T1569" s="113" t="n"/>
      <c r="U1569" s="113" t="n"/>
      <c r="V1569" s="113" t="n"/>
    </row>
    <row r="1570" ht="15.75" customHeight="1">
      <c r="A1570" s="146" t="n">
        <v>27</v>
      </c>
      <c r="B1570" s="238" t="n"/>
      <c r="C1570" s="399" t="n">
        <v>45989</v>
      </c>
      <c r="D1570" s="146" t="inlineStr">
        <is>
          <t>202 G. HUERTAS</t>
        </is>
      </c>
      <c r="E1570" s="146" t="n">
        <v>44717</v>
      </c>
      <c r="F1570" s="146" t="inlineStr">
        <is>
          <t>EDWIN ROJAS</t>
        </is>
      </c>
      <c r="G1570" s="395" t="n">
        <v>3476</v>
      </c>
      <c r="H1570" s="395" t="n">
        <v>3456</v>
      </c>
      <c r="I1570" s="395" t="n">
        <v>5</v>
      </c>
      <c r="J1570" s="395" t="n">
        <v>5</v>
      </c>
      <c r="K1570" s="395" t="n">
        <v>-10</v>
      </c>
      <c r="L1570" s="397" t="n">
        <v>3648</v>
      </c>
      <c r="M1570" s="113" t="n"/>
      <c r="N1570" s="113" t="n"/>
      <c r="O1570" s="113" t="n"/>
      <c r="P1570" s="398" t="n"/>
      <c r="Q1570" s="398" t="n"/>
      <c r="R1570" s="113" t="n"/>
      <c r="S1570" s="113" t="n"/>
      <c r="T1570" s="113" t="n"/>
      <c r="U1570" s="113" t="n"/>
      <c r="V1570" s="113" t="n"/>
    </row>
    <row r="1571" ht="15.75" customHeight="1">
      <c r="A1571" s="146" t="n">
        <v>27</v>
      </c>
      <c r="B1571" s="238" t="n"/>
      <c r="C1571" s="399" t="n">
        <v>45989</v>
      </c>
      <c r="D1571" s="146" t="inlineStr">
        <is>
          <t>202 G. HUERTAS</t>
        </is>
      </c>
      <c r="E1571" s="146" t="n">
        <v>44718</v>
      </c>
      <c r="F1571" s="146" t="inlineStr">
        <is>
          <t>ROBINSON PULIDO</t>
        </is>
      </c>
      <c r="G1571" s="395" t="n">
        <v>3410</v>
      </c>
      <c r="H1571" s="395" t="n">
        <v>3352</v>
      </c>
      <c r="I1571" s="395" t="n">
        <v>7</v>
      </c>
      <c r="J1571" s="395" t="n">
        <v>5</v>
      </c>
      <c r="K1571" s="395" t="n">
        <v>-46</v>
      </c>
      <c r="L1571" s="397" t="n">
        <v>3322</v>
      </c>
      <c r="M1571" s="113" t="n"/>
      <c r="N1571" s="113" t="n"/>
      <c r="O1571" s="113" t="n"/>
      <c r="P1571" s="398" t="n"/>
      <c r="Q1571" s="398" t="n"/>
      <c r="R1571" s="113" t="n"/>
      <c r="S1571" s="113" t="n"/>
      <c r="T1571" s="113" t="n"/>
      <c r="U1571" s="113" t="n"/>
      <c r="V1571" s="113" t="n"/>
    </row>
    <row r="1572" ht="15.75" customHeight="1">
      <c r="A1572" s="146" t="n">
        <v>27</v>
      </c>
      <c r="B1572" s="238" t="n"/>
      <c r="C1572" s="399" t="n">
        <v>45989</v>
      </c>
      <c r="D1572" s="146" t="inlineStr">
        <is>
          <t>202 G. HUERTAS</t>
        </is>
      </c>
      <c r="E1572" s="146" t="n">
        <v>44719</v>
      </c>
      <c r="F1572" s="146" t="inlineStr">
        <is>
          <t>MANUEL QUITIAN</t>
        </is>
      </c>
      <c r="G1572" s="395" t="n">
        <v>3240</v>
      </c>
      <c r="H1572" s="395" t="n">
        <v>3259</v>
      </c>
      <c r="I1572" s="395" t="n">
        <v>5</v>
      </c>
      <c r="J1572" s="395" t="n">
        <v>6</v>
      </c>
      <c r="K1572" s="395" t="n">
        <v>30</v>
      </c>
      <c r="L1572" s="397" t="n">
        <v>3322</v>
      </c>
      <c r="M1572" s="113" t="n"/>
      <c r="N1572" s="113" t="n"/>
      <c r="O1572" s="113" t="n"/>
      <c r="P1572" s="398" t="n"/>
      <c r="Q1572" s="398" t="n"/>
      <c r="R1572" s="113" t="n"/>
      <c r="S1572" s="113" t="n"/>
      <c r="T1572" s="113" t="n"/>
      <c r="U1572" s="113" t="n"/>
      <c r="V1572" s="113" t="n"/>
    </row>
    <row r="1573" ht="15.75" customHeight="1">
      <c r="A1573" s="146" t="n">
        <v>27</v>
      </c>
      <c r="B1573" s="238" t="n"/>
      <c r="C1573" s="399" t="n">
        <v>45989</v>
      </c>
      <c r="D1573" s="146" t="inlineStr">
        <is>
          <t>202 G. HUERTAS</t>
        </is>
      </c>
      <c r="E1573" s="146" t="n">
        <v>44720</v>
      </c>
      <c r="F1573" s="146" t="inlineStr">
        <is>
          <t>JOSE SOLER</t>
        </is>
      </c>
      <c r="G1573" s="395" t="n">
        <v>3240</v>
      </c>
      <c r="H1573" s="395" t="n">
        <v>3258</v>
      </c>
      <c r="I1573" s="395" t="n">
        <v>5</v>
      </c>
      <c r="J1573" s="395" t="n">
        <v>2</v>
      </c>
      <c r="K1573" s="395" t="n">
        <v>25</v>
      </c>
      <c r="L1573" s="397" t="n">
        <v>2962</v>
      </c>
      <c r="M1573" s="113" t="n"/>
      <c r="N1573" s="113" t="n"/>
      <c r="O1573" s="113" t="n"/>
      <c r="P1573" s="398" t="n"/>
      <c r="Q1573" s="398" t="n"/>
      <c r="R1573" s="113" t="n"/>
      <c r="S1573" s="113" t="n"/>
      <c r="T1573" s="113" t="n"/>
      <c r="U1573" s="113" t="n"/>
      <c r="V1573" s="113" t="n"/>
    </row>
    <row r="1574" ht="15.75" customHeight="1">
      <c r="A1574" s="146" t="n">
        <v>27</v>
      </c>
      <c r="B1574" s="238" t="n"/>
      <c r="C1574" s="399" t="n">
        <v>45990</v>
      </c>
      <c r="D1574" s="146" t="inlineStr">
        <is>
          <t>202 G. HUERTAS</t>
        </is>
      </c>
      <c r="E1574" s="146" t="n">
        <v>204608</v>
      </c>
      <c r="F1574" s="146" t="inlineStr">
        <is>
          <t>DAZA MARCOS</t>
        </is>
      </c>
      <c r="G1574" s="395" t="n">
        <v>2700</v>
      </c>
      <c r="H1574" s="395" t="n">
        <v>2705</v>
      </c>
      <c r="I1574" s="395" t="n">
        <v>0</v>
      </c>
      <c r="J1574" s="395" t="n">
        <v>4</v>
      </c>
      <c r="K1574" s="395" t="n">
        <v>9</v>
      </c>
      <c r="L1574" s="397" t="n">
        <v>2600</v>
      </c>
      <c r="M1574" s="113" t="n"/>
      <c r="N1574" s="113" t="n"/>
      <c r="O1574" s="113" t="n"/>
      <c r="P1574" s="398" t="n"/>
      <c r="Q1574" s="398" t="n"/>
      <c r="R1574" s="113" t="n"/>
      <c r="S1574" s="113" t="n"/>
      <c r="T1574" s="113" t="n"/>
      <c r="U1574" s="113" t="n"/>
      <c r="V1574" s="113" t="n"/>
    </row>
    <row r="1575" ht="15.75" customHeight="1">
      <c r="A1575" s="146" t="n">
        <v>27</v>
      </c>
      <c r="B1575" s="238" t="n"/>
      <c r="C1575" s="399" t="n">
        <v>45990</v>
      </c>
      <c r="D1575" s="146" t="inlineStr">
        <is>
          <t>202 G. HUERTAS</t>
        </is>
      </c>
      <c r="E1575" s="146" t="n">
        <v>204611</v>
      </c>
      <c r="F1575" s="146" t="inlineStr">
        <is>
          <t>FERNANDO SANDOVAL</t>
        </is>
      </c>
      <c r="G1575" s="395" t="n">
        <v>2662</v>
      </c>
      <c r="H1575" s="395" t="n">
        <v>2661</v>
      </c>
      <c r="I1575" s="395" t="n">
        <v>2</v>
      </c>
      <c r="J1575" s="395" t="n">
        <v>3</v>
      </c>
      <c r="K1575" s="395" t="n">
        <v>4</v>
      </c>
      <c r="L1575" s="397" t="n">
        <v>3080</v>
      </c>
      <c r="M1575" s="113" t="n"/>
      <c r="N1575" s="113" t="n"/>
      <c r="O1575" s="113" t="n"/>
      <c r="P1575" s="398" t="n"/>
      <c r="Q1575" s="398" t="n"/>
      <c r="R1575" s="113" t="n"/>
      <c r="S1575" s="113" t="n"/>
      <c r="T1575" s="113" t="n"/>
      <c r="U1575" s="113" t="n"/>
      <c r="V1575" s="113" t="n"/>
    </row>
    <row r="1576" ht="15.75" customHeight="1">
      <c r="A1576" s="146" t="n">
        <v>27</v>
      </c>
      <c r="B1576" s="238" t="n"/>
      <c r="C1576" s="399" t="n">
        <v>45990</v>
      </c>
      <c r="D1576" s="146" t="inlineStr">
        <is>
          <t>202 G. HUERTAS</t>
        </is>
      </c>
      <c r="E1576" s="146" t="n">
        <v>204612</v>
      </c>
      <c r="F1576" s="146" t="inlineStr">
        <is>
          <t>JUAN DAVID GOMEZ</t>
        </is>
      </c>
      <c r="G1576" s="395" t="n">
        <v>2700</v>
      </c>
      <c r="H1576" s="395" t="n">
        <v>2676</v>
      </c>
      <c r="I1576" s="395" t="n">
        <v>2</v>
      </c>
      <c r="J1576" s="395" t="n">
        <v>3</v>
      </c>
      <c r="K1576" s="395" t="n">
        <v>-19</v>
      </c>
      <c r="L1576" s="397" t="n">
        <v>3080</v>
      </c>
      <c r="M1576" s="113" t="n"/>
      <c r="N1576" s="113" t="n"/>
      <c r="O1576" s="113" t="n"/>
      <c r="P1576" s="398" t="n"/>
      <c r="Q1576" s="398" t="n"/>
      <c r="R1576" s="113" t="n"/>
      <c r="S1576" s="113" t="n"/>
      <c r="T1576" s="113" t="n"/>
      <c r="U1576" s="113" t="n"/>
      <c r="V1576" s="113" t="n"/>
    </row>
    <row r="1577" ht="15.75" customHeight="1">
      <c r="A1577" s="146" t="n">
        <v>27</v>
      </c>
      <c r="B1577" s="238" t="n"/>
      <c r="C1577" s="399" t="n">
        <v>45990</v>
      </c>
      <c r="D1577" s="146" t="inlineStr">
        <is>
          <t>202 G. HUERTAS</t>
        </is>
      </c>
      <c r="E1577" s="146" t="n">
        <v>204613</v>
      </c>
      <c r="F1577" s="146" t="inlineStr">
        <is>
          <t>GUSTAVO MONROY FONSECA</t>
        </is>
      </c>
      <c r="G1577" s="395" t="n">
        <v>2600</v>
      </c>
      <c r="H1577" s="395" t="n">
        <v>2585</v>
      </c>
      <c r="I1577" s="395" t="n">
        <v>5</v>
      </c>
      <c r="J1577" s="395" t="n">
        <v>4</v>
      </c>
      <c r="K1577" s="395" t="n">
        <v>-6</v>
      </c>
      <c r="L1577" s="397" t="n">
        <v>3080</v>
      </c>
      <c r="M1577" s="113" t="n"/>
      <c r="N1577" s="113" t="n"/>
      <c r="O1577" s="113" t="n"/>
      <c r="P1577" s="398" t="n"/>
      <c r="Q1577" s="398" t="n"/>
      <c r="R1577" s="113" t="n"/>
      <c r="S1577" s="113" t="n"/>
      <c r="T1577" s="113" t="n"/>
      <c r="U1577" s="113" t="n"/>
      <c r="V1577" s="113" t="n"/>
    </row>
    <row r="1578" ht="15.75" customHeight="1">
      <c r="A1578" s="146" t="n">
        <v>27</v>
      </c>
      <c r="B1578" s="238" t="n"/>
      <c r="C1578" s="399" t="n"/>
      <c r="D1578" s="113" t="n"/>
      <c r="E1578" s="113" t="n"/>
      <c r="F1578" s="113" t="n"/>
      <c r="G1578" s="477">
        <f>SUBTOTAL(9,G1502:G1577)</f>
        <v/>
      </c>
      <c r="H1578" s="477">
        <f>SUBTOTAL(9,H1502:H1577)</f>
        <v/>
      </c>
      <c r="I1578" s="477">
        <f>SUBTOTAL(9,I1502:I1577)</f>
        <v/>
      </c>
      <c r="J1578" s="477">
        <f>SUBTOTAL(9,J1502:J1577)</f>
        <v/>
      </c>
      <c r="K1578" s="477">
        <f>SUBTOTAL(9,K1502:K1577)</f>
        <v/>
      </c>
      <c r="L1578" s="477">
        <f>SUBTOTAL(9,L1502:L1577)</f>
        <v/>
      </c>
      <c r="M1578" s="113" t="n"/>
      <c r="N1578" s="113" t="n"/>
      <c r="O1578" s="113" t="n"/>
      <c r="P1578" s="398" t="n"/>
      <c r="Q1578" s="398" t="n"/>
      <c r="R1578" s="113" t="n"/>
      <c r="S1578" s="113" t="n"/>
      <c r="T1578" s="113" t="n"/>
      <c r="U1578" s="113" t="n"/>
      <c r="V1578" s="113" t="n"/>
    </row>
    <row r="1579" ht="15.75" customHeight="1">
      <c r="A1579" s="146" t="n">
        <v>28</v>
      </c>
      <c r="B1579" s="238" t="n"/>
      <c r="C1579" s="164" t="n">
        <v>45990</v>
      </c>
      <c r="D1579" s="165" t="inlineStr">
        <is>
          <t>202 G. HUERTAS</t>
        </is>
      </c>
      <c r="E1579" s="165" t="n">
        <v>44749</v>
      </c>
      <c r="F1579" s="165" t="inlineStr">
        <is>
          <t>EDUAN CAVIEDES</t>
        </is>
      </c>
      <c r="G1579" s="165" t="n">
        <v>3080</v>
      </c>
      <c r="H1579" s="165" t="n">
        <v>3071</v>
      </c>
      <c r="I1579" s="165" t="n">
        <v>3</v>
      </c>
      <c r="J1579" s="165" t="n">
        <v>4</v>
      </c>
      <c r="K1579" s="165" t="n">
        <v>-2</v>
      </c>
      <c r="L1579" s="397" t="n">
        <v>2700</v>
      </c>
      <c r="M1579" s="113" t="n"/>
      <c r="N1579" s="113" t="n"/>
      <c r="O1579" s="113" t="n"/>
      <c r="P1579" s="398" t="n"/>
      <c r="Q1579" s="398" t="n"/>
      <c r="R1579" s="113" t="n"/>
      <c r="S1579" s="113" t="n"/>
      <c r="T1579" s="113" t="n"/>
      <c r="U1579" s="113" t="n"/>
      <c r="V1579" s="113" t="n"/>
    </row>
    <row r="1580" ht="15.75" customHeight="1">
      <c r="A1580" s="146" t="n">
        <v>28</v>
      </c>
      <c r="B1580" s="238" t="n"/>
      <c r="C1580" s="164" t="n">
        <v>45990</v>
      </c>
      <c r="D1580" s="165" t="inlineStr">
        <is>
          <t>202 G. HUERTAS</t>
        </is>
      </c>
      <c r="E1580" s="165" t="n">
        <v>44750</v>
      </c>
      <c r="F1580" s="165" t="inlineStr">
        <is>
          <t>EDWIN ROJAS</t>
        </is>
      </c>
      <c r="G1580" s="165" t="n">
        <v>3080</v>
      </c>
      <c r="H1580" s="165" t="n">
        <v>3071</v>
      </c>
      <c r="I1580" s="165" t="n">
        <v>3</v>
      </c>
      <c r="J1580" s="165" t="n">
        <v>4</v>
      </c>
      <c r="K1580" s="165" t="n">
        <v>-2</v>
      </c>
      <c r="L1580" s="397" t="n">
        <v>2670</v>
      </c>
      <c r="M1580" s="113" t="n"/>
      <c r="N1580" s="113" t="n"/>
      <c r="O1580" s="113" t="n"/>
      <c r="P1580" s="398" t="n"/>
      <c r="Q1580" s="398" t="n"/>
      <c r="R1580" s="113" t="n"/>
      <c r="S1580" s="113" t="n"/>
      <c r="T1580" s="113" t="n"/>
      <c r="U1580" s="113" t="n"/>
      <c r="V1580" s="113" t="n"/>
    </row>
    <row r="1581" ht="15.75" customHeight="1">
      <c r="A1581" s="146" t="n">
        <v>28</v>
      </c>
      <c r="B1581" s="238" t="n"/>
      <c r="C1581" s="164" t="n">
        <v>45990</v>
      </c>
      <c r="D1581" s="165" t="inlineStr">
        <is>
          <t>202 G. HUERTAS</t>
        </is>
      </c>
      <c r="E1581" s="165" t="n">
        <v>44751</v>
      </c>
      <c r="F1581" s="165" t="inlineStr">
        <is>
          <t>ALEXANDER CHAGUALA</t>
        </is>
      </c>
      <c r="G1581" s="165" t="n">
        <v>3080</v>
      </c>
      <c r="H1581" s="165" t="n">
        <v>3089</v>
      </c>
      <c r="I1581" s="165" t="n">
        <v>3</v>
      </c>
      <c r="J1581" s="165" t="n">
        <v>4</v>
      </c>
      <c r="K1581" s="165" t="n">
        <v>16</v>
      </c>
      <c r="L1581" s="397" t="n">
        <v>2700</v>
      </c>
      <c r="M1581" s="113" t="n"/>
      <c r="N1581" s="113" t="n"/>
      <c r="O1581" s="113" t="n"/>
      <c r="P1581" s="398" t="n"/>
      <c r="Q1581" s="398" t="n"/>
      <c r="R1581" s="113" t="n"/>
      <c r="S1581" s="113" t="n"/>
      <c r="T1581" s="113" t="n"/>
      <c r="U1581" s="113" t="n"/>
      <c r="V1581" s="113" t="n"/>
    </row>
    <row r="1582" ht="15.75" customHeight="1">
      <c r="A1582" s="146" t="n">
        <v>28</v>
      </c>
      <c r="B1582" s="238" t="n"/>
      <c r="C1582" s="399" t="n">
        <v>45990</v>
      </c>
      <c r="D1582" s="146" t="inlineStr">
        <is>
          <t>218 G.SAN JOSE 1</t>
        </is>
      </c>
      <c r="E1582" s="146" t="n">
        <v>44748</v>
      </c>
      <c r="F1582" s="146" t="inlineStr">
        <is>
          <t>JAIRO CUBILLOS</t>
        </is>
      </c>
      <c r="G1582" s="395" t="n">
        <v>3672</v>
      </c>
      <c r="H1582" s="395" t="n">
        <v>3653</v>
      </c>
      <c r="I1582" s="395" t="n">
        <v>6</v>
      </c>
      <c r="J1582" s="395" t="n">
        <v>4</v>
      </c>
      <c r="K1582" s="395" t="n">
        <v>-9</v>
      </c>
      <c r="L1582" s="397" t="n">
        <v>3672</v>
      </c>
      <c r="M1582" s="113" t="n"/>
      <c r="N1582" s="113" t="n"/>
      <c r="O1582" s="113" t="n"/>
      <c r="P1582" s="398" t="n"/>
      <c r="Q1582" s="398" t="n"/>
      <c r="R1582" s="113" t="n"/>
      <c r="S1582" s="113" t="n"/>
      <c r="T1582" s="113" t="n"/>
      <c r="U1582" s="113" t="n"/>
      <c r="V1582" s="113" t="n"/>
    </row>
    <row r="1583" ht="15.75" customHeight="1">
      <c r="A1583" s="146" t="n">
        <v>28</v>
      </c>
      <c r="B1583" s="238" t="n"/>
      <c r="C1583" s="399" t="n">
        <v>45990</v>
      </c>
      <c r="D1583" s="146" t="inlineStr">
        <is>
          <t>218 G.SAN JOSE 1</t>
        </is>
      </c>
      <c r="E1583" s="146" t="n">
        <v>44752</v>
      </c>
      <c r="F1583" s="146" t="inlineStr">
        <is>
          <t>WILMER PIÑEROS</t>
        </is>
      </c>
      <c r="G1583" s="395" t="n">
        <v>3672</v>
      </c>
      <c r="H1583" s="395" t="n">
        <v>3670</v>
      </c>
      <c r="I1583" s="395" t="n">
        <v>5</v>
      </c>
      <c r="J1583" s="395" t="n">
        <v>7</v>
      </c>
      <c r="K1583" s="395" t="n">
        <v>10</v>
      </c>
      <c r="L1583" s="397" t="n">
        <v>3672</v>
      </c>
      <c r="M1583" s="113" t="n"/>
      <c r="N1583" s="113" t="n"/>
      <c r="O1583" s="113" t="n"/>
      <c r="P1583" s="398" t="n"/>
      <c r="Q1583" s="398" t="n"/>
      <c r="R1583" s="113" t="n"/>
      <c r="S1583" s="113" t="n"/>
      <c r="T1583" s="113" t="n"/>
      <c r="U1583" s="113" t="n"/>
      <c r="V1583" s="113" t="n"/>
    </row>
    <row r="1584" ht="15.75" customHeight="1">
      <c r="A1584" s="146" t="n">
        <v>28</v>
      </c>
      <c r="B1584" s="238" t="n"/>
      <c r="C1584" s="399" t="n">
        <v>45990</v>
      </c>
      <c r="D1584" s="146" t="inlineStr">
        <is>
          <t>218 G.SAN JOSE 1</t>
        </is>
      </c>
      <c r="E1584" s="146" t="n">
        <v>44753</v>
      </c>
      <c r="F1584" s="146" t="inlineStr">
        <is>
          <t>MANUEL QUITIAN</t>
        </is>
      </c>
      <c r="G1584" s="395" t="n">
        <v>3672</v>
      </c>
      <c r="H1584" s="395" t="n">
        <v>3668</v>
      </c>
      <c r="I1584" s="395" t="n">
        <v>5</v>
      </c>
      <c r="J1584" s="395" t="n">
        <v>4</v>
      </c>
      <c r="K1584" s="395" t="n">
        <v>5</v>
      </c>
      <c r="L1584" s="397" t="n">
        <v>3672</v>
      </c>
      <c r="M1584" s="113" t="n"/>
      <c r="N1584" s="113" t="n"/>
      <c r="O1584" s="113" t="n"/>
      <c r="P1584" s="398" t="n"/>
      <c r="Q1584" s="398" t="n"/>
      <c r="R1584" s="113" t="n"/>
      <c r="S1584" s="113" t="n"/>
      <c r="T1584" s="113" t="n"/>
      <c r="U1584" s="113" t="n"/>
      <c r="V1584" s="113" t="n"/>
    </row>
    <row r="1585" ht="15.75" customHeight="1">
      <c r="A1585" s="146" t="n">
        <v>28</v>
      </c>
      <c r="B1585" s="238" t="n"/>
      <c r="C1585" s="399" t="n">
        <v>45990</v>
      </c>
      <c r="D1585" s="146" t="inlineStr">
        <is>
          <t>218 G.SAN JOSE 1</t>
        </is>
      </c>
      <c r="E1585" s="146" t="n">
        <v>44754</v>
      </c>
      <c r="F1585" s="146" t="inlineStr">
        <is>
          <t>SEBASTIAN HIDALGO</t>
        </is>
      </c>
      <c r="G1585" s="395" t="n">
        <v>3888</v>
      </c>
      <c r="H1585" s="395" t="n">
        <v>3877</v>
      </c>
      <c r="I1585" s="395" t="n">
        <v>4</v>
      </c>
      <c r="J1585" s="395" t="n">
        <v>4</v>
      </c>
      <c r="K1585" s="395" t="n">
        <v>-3</v>
      </c>
      <c r="L1585" s="397" t="n">
        <v>3888</v>
      </c>
      <c r="M1585" s="113" t="n"/>
      <c r="N1585" s="113" t="n"/>
      <c r="O1585" s="113" t="n"/>
      <c r="P1585" s="398" t="n"/>
      <c r="Q1585" s="398" t="n"/>
      <c r="R1585" s="113" t="n"/>
      <c r="S1585" s="113" t="n"/>
      <c r="T1585" s="113" t="n"/>
      <c r="U1585" s="113" t="n"/>
      <c r="V1585" s="113" t="n"/>
    </row>
    <row r="1586" ht="15.75" customHeight="1">
      <c r="A1586" s="146" t="n">
        <v>28</v>
      </c>
      <c r="B1586" s="238" t="n"/>
      <c r="C1586" s="399" t="n">
        <v>45990</v>
      </c>
      <c r="D1586" s="146" t="inlineStr">
        <is>
          <t>218 G.SAN JOSE 1</t>
        </is>
      </c>
      <c r="E1586" s="146" t="n">
        <v>44755</v>
      </c>
      <c r="F1586" s="146" t="inlineStr">
        <is>
          <t>EDWIN ROJAS</t>
        </is>
      </c>
      <c r="G1586" s="395" t="n">
        <v>3480</v>
      </c>
      <c r="H1586" s="395" t="n">
        <v>3487</v>
      </c>
      <c r="I1586" s="395" t="n">
        <v>2</v>
      </c>
      <c r="J1586" s="395" t="n">
        <v>5</v>
      </c>
      <c r="K1586" s="395" t="n">
        <v>14</v>
      </c>
      <c r="L1586" s="397" t="n">
        <v>3480</v>
      </c>
      <c r="M1586" s="113" t="n"/>
      <c r="N1586" s="113" t="n"/>
      <c r="O1586" s="113" t="n"/>
      <c r="P1586" s="398" t="n"/>
      <c r="Q1586" s="398" t="n"/>
      <c r="R1586" s="113" t="n"/>
      <c r="S1586" s="113" t="n"/>
      <c r="T1586" s="113" t="n"/>
      <c r="U1586" s="113" t="n"/>
      <c r="V1586" s="113" t="n"/>
    </row>
    <row r="1587" ht="15.75" customHeight="1">
      <c r="A1587" s="146" t="n">
        <v>28</v>
      </c>
      <c r="B1587" s="238" t="n"/>
      <c r="C1587" s="164" t="n">
        <v>45991</v>
      </c>
      <c r="D1587" s="165" t="inlineStr">
        <is>
          <t>202 G. HUERTAS</t>
        </is>
      </c>
      <c r="E1587" s="165" t="n">
        <v>204621</v>
      </c>
      <c r="F1587" s="165" t="inlineStr">
        <is>
          <t>PEDRO IGNACIO BARRETO CUESTA</t>
        </is>
      </c>
      <c r="G1587" s="165" t="n">
        <v>3240</v>
      </c>
      <c r="H1587" s="165" t="n">
        <v>3235</v>
      </c>
      <c r="I1587" s="165" t="n">
        <v>6</v>
      </c>
      <c r="J1587" s="165" t="n">
        <v>3</v>
      </c>
      <c r="K1587" s="165" t="n">
        <v>4</v>
      </c>
      <c r="L1587" s="397" t="n">
        <v>3240</v>
      </c>
      <c r="M1587" s="113" t="n"/>
      <c r="N1587" s="113" t="n"/>
      <c r="O1587" s="113" t="n"/>
      <c r="P1587" s="398" t="n"/>
      <c r="Q1587" s="398" t="n"/>
      <c r="R1587" s="113" t="n"/>
      <c r="S1587" s="113" t="n"/>
      <c r="T1587" s="113" t="n"/>
      <c r="U1587" s="113" t="n"/>
      <c r="V1587" s="113" t="n"/>
    </row>
    <row r="1588" ht="15.75" customHeight="1">
      <c r="A1588" s="146" t="n">
        <v>28</v>
      </c>
      <c r="B1588" s="238" t="n"/>
      <c r="C1588" s="164" t="n">
        <v>45991</v>
      </c>
      <c r="D1588" s="165" t="inlineStr">
        <is>
          <t>202 G. HUERTAS</t>
        </is>
      </c>
      <c r="E1588" s="165" t="n">
        <v>204625</v>
      </c>
      <c r="F1588" s="165" t="inlineStr">
        <is>
          <t>MARCOS LOPEZ CASTAÑEDA</t>
        </is>
      </c>
      <c r="G1588" s="165" t="n">
        <v>3575</v>
      </c>
      <c r="H1588" s="165" t="n">
        <v>3527</v>
      </c>
      <c r="I1588" s="165" t="n">
        <v>3</v>
      </c>
      <c r="J1588" s="165" t="n">
        <v>0</v>
      </c>
      <c r="K1588" s="165" t="n">
        <v>-45</v>
      </c>
      <c r="L1588" s="397" t="n">
        <v>3575</v>
      </c>
      <c r="M1588" s="113" t="n"/>
      <c r="N1588" s="113" t="n"/>
      <c r="O1588" s="113" t="n"/>
      <c r="P1588" s="398" t="n"/>
      <c r="Q1588" s="398" t="n"/>
      <c r="R1588" s="113" t="n"/>
      <c r="S1588" s="113" t="n"/>
      <c r="T1588" s="113" t="n"/>
      <c r="U1588" s="113" t="n"/>
      <c r="V1588" s="113" t="n"/>
    </row>
    <row r="1589" ht="15.75" customHeight="1">
      <c r="A1589" s="146" t="n">
        <v>28</v>
      </c>
      <c r="B1589" s="238" t="n"/>
      <c r="C1589" s="164" t="n">
        <v>45992</v>
      </c>
      <c r="D1589" s="166" t="inlineStr">
        <is>
          <t>202 G. HUERTAS</t>
        </is>
      </c>
      <c r="E1589" s="166" t="n">
        <v>204632</v>
      </c>
      <c r="F1589" s="166" t="inlineStr">
        <is>
          <t>JEISSON ECHEVERRIA</t>
        </is>
      </c>
      <c r="G1589" s="166" t="n">
        <v>3564</v>
      </c>
      <c r="H1589" s="166" t="n">
        <v>3523</v>
      </c>
      <c r="I1589" s="166" t="n">
        <v>5</v>
      </c>
      <c r="J1589" s="166" t="n">
        <v>0</v>
      </c>
      <c r="K1589" s="166" t="n">
        <v>-36</v>
      </c>
      <c r="L1589" s="397" t="n">
        <v>3240</v>
      </c>
      <c r="M1589" s="113" t="n"/>
      <c r="N1589" s="113" t="n"/>
      <c r="O1589" s="113" t="n"/>
      <c r="P1589" s="398" t="n"/>
      <c r="Q1589" s="398" t="n"/>
      <c r="R1589" s="113" t="n"/>
      <c r="S1589" s="113" t="n"/>
      <c r="T1589" s="113" t="n"/>
      <c r="U1589" s="113" t="n"/>
      <c r="V1589" s="113" t="n"/>
    </row>
    <row r="1590" ht="15.75" customHeight="1">
      <c r="A1590" s="146" t="n">
        <v>28</v>
      </c>
      <c r="B1590" s="238" t="n"/>
      <c r="C1590" s="164" t="n">
        <v>45992</v>
      </c>
      <c r="D1590" s="166" t="inlineStr">
        <is>
          <t>202 G. HUERTAS</t>
        </is>
      </c>
      <c r="E1590" s="166" t="n">
        <v>204633</v>
      </c>
      <c r="F1590" s="166" t="inlineStr">
        <is>
          <t>LUIS GERMAN QUITIAN PEÑA</t>
        </is>
      </c>
      <c r="G1590" s="166" t="n">
        <v>3240</v>
      </c>
      <c r="H1590" s="166" t="n">
        <v>3233</v>
      </c>
      <c r="I1590" s="166" t="n">
        <v>5</v>
      </c>
      <c r="J1590" s="166" t="n">
        <v>2</v>
      </c>
      <c r="K1590" s="166" t="n">
        <v>0</v>
      </c>
      <c r="L1590" s="397" t="n">
        <v>3564</v>
      </c>
      <c r="M1590" s="113" t="n"/>
      <c r="N1590" s="113" t="n"/>
      <c r="O1590" s="113" t="n"/>
      <c r="P1590" s="398" t="n"/>
      <c r="Q1590" s="398" t="n"/>
      <c r="R1590" s="113" t="n"/>
      <c r="S1590" s="113" t="n"/>
      <c r="T1590" s="113" t="n"/>
      <c r="U1590" s="113" t="n"/>
      <c r="V1590" s="113" t="n"/>
    </row>
    <row r="1591" ht="15.75" customHeight="1">
      <c r="A1591" s="146" t="n">
        <v>28</v>
      </c>
      <c r="B1591" s="238" t="n"/>
      <c r="C1591" s="164" t="n">
        <v>45992</v>
      </c>
      <c r="D1591" s="166" t="inlineStr">
        <is>
          <t>202 G. HUERTAS</t>
        </is>
      </c>
      <c r="E1591" s="166" t="n">
        <v>204634</v>
      </c>
      <c r="F1591" s="166" t="inlineStr">
        <is>
          <t>CUCAITA EDWIN ALEJANDRO</t>
        </is>
      </c>
      <c r="G1591" s="166" t="n">
        <v>3487</v>
      </c>
      <c r="H1591" s="166" t="n">
        <v>3461</v>
      </c>
      <c r="I1591" s="166" t="n">
        <v>4</v>
      </c>
      <c r="J1591" s="166" t="n">
        <v>2</v>
      </c>
      <c r="K1591" s="166" t="n">
        <v>-20</v>
      </c>
      <c r="L1591" s="397" t="n">
        <v>3465</v>
      </c>
      <c r="M1591" s="113" t="n"/>
      <c r="N1591" s="113" t="n"/>
      <c r="O1591" s="113" t="n"/>
      <c r="P1591" s="398" t="n"/>
      <c r="Q1591" s="398" t="n"/>
      <c r="R1591" s="113" t="n"/>
      <c r="S1591" s="113" t="n"/>
      <c r="T1591" s="113" t="n"/>
      <c r="U1591" s="113" t="n"/>
      <c r="V1591" s="113" t="n"/>
    </row>
    <row r="1592" ht="15.75" customHeight="1">
      <c r="A1592" s="146" t="n">
        <v>28</v>
      </c>
      <c r="B1592" s="238" t="n"/>
      <c r="C1592" s="164" t="n">
        <v>45992</v>
      </c>
      <c r="D1592" s="166" t="inlineStr">
        <is>
          <t>202 G. HUERTAS</t>
        </is>
      </c>
      <c r="E1592" s="166" t="n">
        <v>44765</v>
      </c>
      <c r="F1592" s="166" t="inlineStr">
        <is>
          <t>JHON ARIAS</t>
        </is>
      </c>
      <c r="G1592" s="166" t="n">
        <v>3400</v>
      </c>
      <c r="H1592" s="166" t="n">
        <v>3406</v>
      </c>
      <c r="I1592" s="166" t="n">
        <v>3</v>
      </c>
      <c r="J1592" s="166" t="n">
        <v>4</v>
      </c>
      <c r="K1592" s="166" t="n">
        <v>13</v>
      </c>
      <c r="L1592" s="397" t="n">
        <v>3400</v>
      </c>
      <c r="M1592" s="113" t="n"/>
      <c r="N1592" s="113" t="n"/>
      <c r="O1592" s="113" t="n"/>
      <c r="P1592" s="398" t="n"/>
      <c r="Q1592" s="398" t="n"/>
      <c r="R1592" s="113" t="n"/>
      <c r="S1592" s="113" t="n"/>
      <c r="T1592" s="113" t="n"/>
      <c r="U1592" s="113" t="n"/>
      <c r="V1592" s="113" t="n"/>
    </row>
    <row r="1593" ht="15.75" customHeight="1">
      <c r="A1593" s="146" t="n">
        <v>28</v>
      </c>
      <c r="B1593" s="238" t="n"/>
      <c r="C1593" s="164" t="n">
        <v>45992</v>
      </c>
      <c r="D1593" s="166" t="inlineStr">
        <is>
          <t>202 G. HUERTAS</t>
        </is>
      </c>
      <c r="E1593" s="166" t="n">
        <v>44766</v>
      </c>
      <c r="F1593" s="166" t="inlineStr">
        <is>
          <t>YAIR RIVEROS</t>
        </is>
      </c>
      <c r="G1593" s="166" t="n">
        <v>3400</v>
      </c>
      <c r="H1593" s="166" t="n">
        <v>3404</v>
      </c>
      <c r="I1593" s="166" t="n">
        <v>7</v>
      </c>
      <c r="J1593" s="166" t="n">
        <v>5</v>
      </c>
      <c r="K1593" s="166" t="n">
        <v>16</v>
      </c>
      <c r="L1593" s="397" t="n">
        <v>3400</v>
      </c>
      <c r="M1593" s="113" t="n"/>
      <c r="N1593" s="113" t="n"/>
      <c r="O1593" s="113" t="n"/>
      <c r="P1593" s="398" t="n"/>
      <c r="Q1593" s="398" t="n"/>
      <c r="R1593" s="113" t="n"/>
      <c r="S1593" s="113" t="n"/>
      <c r="T1593" s="113" t="n"/>
      <c r="U1593" s="113" t="n"/>
      <c r="V1593" s="113" t="n"/>
    </row>
    <row r="1594" ht="15.75" customHeight="1">
      <c r="A1594" s="146" t="n">
        <v>28</v>
      </c>
      <c r="B1594" s="238" t="n"/>
      <c r="C1594" s="164" t="n">
        <v>45992</v>
      </c>
      <c r="D1594" s="166" t="inlineStr">
        <is>
          <t>202 G. HUERTAS</t>
        </is>
      </c>
      <c r="E1594" s="166" t="n">
        <v>44767</v>
      </c>
      <c r="F1594" s="166" t="inlineStr">
        <is>
          <t>ALBERTO LOPEZ</t>
        </is>
      </c>
      <c r="G1594" s="166" t="n">
        <v>3220</v>
      </c>
      <c r="H1594" s="166" t="n">
        <v>3211</v>
      </c>
      <c r="I1594" s="166" t="n">
        <v>3</v>
      </c>
      <c r="J1594" s="166" t="n">
        <v>9</v>
      </c>
      <c r="K1594" s="166" t="n">
        <v>3</v>
      </c>
      <c r="L1594" s="397" t="n">
        <v>3220</v>
      </c>
      <c r="M1594" s="113" t="n"/>
      <c r="N1594" s="113" t="n"/>
      <c r="O1594" s="113" t="n"/>
      <c r="P1594" s="398" t="n"/>
      <c r="Q1594" s="398" t="n"/>
      <c r="R1594" s="113" t="n"/>
      <c r="S1594" s="113" t="n"/>
      <c r="T1594" s="113" t="n"/>
      <c r="U1594" s="113" t="n"/>
      <c r="V1594" s="113" t="n"/>
    </row>
    <row r="1595" ht="15.75" customHeight="1">
      <c r="A1595" s="146" t="n">
        <v>28</v>
      </c>
      <c r="B1595" s="238" t="n"/>
      <c r="C1595" s="164" t="n">
        <v>45992</v>
      </c>
      <c r="D1595" s="166" t="inlineStr">
        <is>
          <t>202 G. HUERTAS</t>
        </is>
      </c>
      <c r="E1595" s="166" t="n">
        <v>44768</v>
      </c>
      <c r="F1595" s="166" t="inlineStr">
        <is>
          <t>JAIRO CUBILLOS</t>
        </is>
      </c>
      <c r="G1595" s="166" t="n">
        <v>3564</v>
      </c>
      <c r="H1595" s="166" t="n">
        <v>3554</v>
      </c>
      <c r="I1595" s="166" t="n">
        <v>2</v>
      </c>
      <c r="J1595" s="166" t="n">
        <v>10</v>
      </c>
      <c r="K1595" s="166" t="n">
        <v>2</v>
      </c>
      <c r="L1595" s="397" t="n">
        <v>3564</v>
      </c>
      <c r="M1595" s="113" t="n"/>
      <c r="N1595" s="113" t="n"/>
      <c r="O1595" s="113" t="n"/>
      <c r="P1595" s="398" t="n"/>
      <c r="Q1595" s="398" t="n"/>
      <c r="R1595" s="113" t="n"/>
      <c r="S1595" s="113" t="n"/>
      <c r="T1595" s="113" t="n"/>
      <c r="U1595" s="113" t="n"/>
      <c r="V1595" s="113" t="n"/>
    </row>
    <row r="1596" ht="15.75" customHeight="1">
      <c r="A1596" s="146" t="n">
        <v>28</v>
      </c>
      <c r="B1596" s="238" t="n"/>
      <c r="C1596" s="164" t="n">
        <v>45992</v>
      </c>
      <c r="D1596" s="166" t="inlineStr">
        <is>
          <t>202 G. HUERTAS</t>
        </is>
      </c>
      <c r="E1596" s="166" t="n">
        <v>44769</v>
      </c>
      <c r="F1596" s="166" t="inlineStr">
        <is>
          <t>MANUEL QUITIAN</t>
        </is>
      </c>
      <c r="G1596" s="166" t="n">
        <v>3240</v>
      </c>
      <c r="H1596" s="166" t="n">
        <v>3219</v>
      </c>
      <c r="I1596" s="166" t="n">
        <v>2</v>
      </c>
      <c r="J1596" s="166" t="n">
        <v>10</v>
      </c>
      <c r="K1596" s="166" t="n">
        <v>-9</v>
      </c>
      <c r="L1596" s="397" t="n">
        <v>3240</v>
      </c>
      <c r="M1596" s="113" t="n"/>
      <c r="N1596" s="113" t="n"/>
      <c r="O1596" s="113" t="n"/>
      <c r="P1596" s="398" t="n"/>
      <c r="Q1596" s="398" t="n"/>
      <c r="R1596" s="113" t="n"/>
      <c r="S1596" s="113" t="n"/>
      <c r="T1596" s="113" t="n"/>
      <c r="U1596" s="113" t="n"/>
      <c r="V1596" s="113" t="n"/>
    </row>
    <row r="1597" ht="15.75" customHeight="1">
      <c r="A1597" s="146" t="n">
        <v>28</v>
      </c>
      <c r="B1597" s="238" t="n"/>
      <c r="C1597" s="164" t="n">
        <v>45992</v>
      </c>
      <c r="D1597" s="166" t="inlineStr">
        <is>
          <t>202 G. HUERTAS</t>
        </is>
      </c>
      <c r="E1597" s="166" t="n">
        <v>44770</v>
      </c>
      <c r="F1597" s="166" t="inlineStr">
        <is>
          <t>WILMER PIÑEROS</t>
        </is>
      </c>
      <c r="G1597" s="166" t="n">
        <v>2646</v>
      </c>
      <c r="H1597" s="166" t="n">
        <v>2635</v>
      </c>
      <c r="I1597" s="166" t="n">
        <v>5</v>
      </c>
      <c r="J1597" s="166" t="n">
        <v>11</v>
      </c>
      <c r="K1597" s="166" t="n">
        <v>5</v>
      </c>
      <c r="L1597" s="397" t="n">
        <v>2645</v>
      </c>
      <c r="M1597" s="113" t="n"/>
      <c r="N1597" s="113" t="n"/>
      <c r="O1597" s="113" t="n"/>
      <c r="P1597" s="398" t="n"/>
      <c r="Q1597" s="398" t="n"/>
      <c r="R1597" s="113" t="n"/>
      <c r="S1597" s="113" t="n"/>
      <c r="T1597" s="113" t="n"/>
      <c r="U1597" s="113" t="n"/>
      <c r="V1597" s="113" t="n"/>
    </row>
    <row r="1598" ht="15.75" customHeight="1">
      <c r="A1598" s="146" t="n">
        <v>28</v>
      </c>
      <c r="B1598" s="238" t="n"/>
      <c r="C1598" s="164" t="n">
        <v>45992</v>
      </c>
      <c r="D1598" s="166" t="inlineStr">
        <is>
          <t>202 G. HUERTAS</t>
        </is>
      </c>
      <c r="E1598" s="166" t="n">
        <v>44771</v>
      </c>
      <c r="F1598" s="166" t="inlineStr">
        <is>
          <t>FABIO ALDANA</t>
        </is>
      </c>
      <c r="G1598" s="166" t="n">
        <v>2592</v>
      </c>
      <c r="H1598" s="166" t="n">
        <v>2602</v>
      </c>
      <c r="I1598" s="166" t="n">
        <v>1</v>
      </c>
      <c r="J1598" s="166" t="n">
        <v>12</v>
      </c>
      <c r="K1598" s="166" t="n">
        <v>23</v>
      </c>
      <c r="L1598" s="397" t="n">
        <v>3592</v>
      </c>
      <c r="M1598" s="113" t="n"/>
      <c r="N1598" s="113" t="n"/>
      <c r="O1598" s="113" t="n"/>
      <c r="P1598" s="398" t="n"/>
      <c r="Q1598" s="398" t="n"/>
      <c r="R1598" s="113" t="n"/>
      <c r="S1598" s="113" t="n"/>
      <c r="T1598" s="113" t="n"/>
      <c r="U1598" s="113" t="n"/>
      <c r="V1598" s="113" t="n"/>
    </row>
    <row r="1599" ht="15.75" customHeight="1">
      <c r="A1599" s="146" t="n">
        <v>28</v>
      </c>
      <c r="B1599" s="238" t="n"/>
      <c r="C1599" s="164" t="n">
        <v>45992</v>
      </c>
      <c r="D1599" s="166" t="inlineStr">
        <is>
          <t>202 G. HUERTAS</t>
        </is>
      </c>
      <c r="E1599" s="166" t="n">
        <v>44780</v>
      </c>
      <c r="F1599" s="166" t="inlineStr">
        <is>
          <t>ALEXANDER CHAGUALA</t>
        </is>
      </c>
      <c r="G1599" s="166" t="n">
        <v>2224</v>
      </c>
      <c r="H1599" s="166" t="n">
        <v>2214</v>
      </c>
      <c r="I1599" s="166" t="n">
        <v>4</v>
      </c>
      <c r="J1599" s="166" t="n">
        <v>12</v>
      </c>
      <c r="K1599" s="166" t="n">
        <v>6</v>
      </c>
      <c r="L1599" s="397" t="n">
        <v>2228</v>
      </c>
      <c r="M1599" s="113" t="n"/>
      <c r="N1599" s="113" t="n"/>
      <c r="O1599" s="113" t="n"/>
      <c r="P1599" s="398" t="n"/>
      <c r="Q1599" s="398" t="n"/>
      <c r="R1599" s="113" t="n"/>
      <c r="S1599" s="113" t="n"/>
      <c r="T1599" s="113" t="n"/>
      <c r="U1599" s="113" t="n"/>
      <c r="V1599" s="113" t="n"/>
    </row>
    <row r="1600" ht="15.75" customHeight="1">
      <c r="A1600" s="146" t="n">
        <v>28</v>
      </c>
      <c r="B1600" s="238" t="n"/>
      <c r="C1600" s="399" t="n">
        <v>45992</v>
      </c>
      <c r="D1600" s="146" t="inlineStr">
        <is>
          <t>218 G. SAN JOSE 1</t>
        </is>
      </c>
      <c r="E1600" s="146" t="n">
        <v>44781</v>
      </c>
      <c r="F1600" s="146" t="inlineStr">
        <is>
          <t>ALBERTO LOPEZ</t>
        </is>
      </c>
      <c r="G1600" s="395" t="n">
        <v>3190</v>
      </c>
      <c r="H1600" s="395" t="n">
        <v>3215</v>
      </c>
      <c r="I1600" s="395" t="n">
        <v>5</v>
      </c>
      <c r="J1600" s="395" t="n">
        <v>5</v>
      </c>
      <c r="K1600" s="395" t="n">
        <v>35</v>
      </c>
      <c r="L1600" s="397" t="n">
        <v>3190</v>
      </c>
      <c r="M1600" s="113" t="n"/>
      <c r="N1600" s="113" t="n"/>
      <c r="O1600" s="113" t="n"/>
      <c r="P1600" s="398" t="n"/>
      <c r="Q1600" s="398" t="n"/>
      <c r="R1600" s="113" t="n"/>
      <c r="S1600" s="113" t="n"/>
      <c r="T1600" s="113" t="n"/>
      <c r="U1600" s="113" t="n"/>
      <c r="V1600" s="113" t="n"/>
    </row>
    <row r="1601" ht="15.75" customHeight="1">
      <c r="A1601" s="146" t="n">
        <v>28</v>
      </c>
      <c r="B1601" s="238" t="n"/>
      <c r="C1601" s="399" t="n">
        <v>45992</v>
      </c>
      <c r="D1601" s="146" t="inlineStr">
        <is>
          <t>218 G. SAN JOSE 1</t>
        </is>
      </c>
      <c r="E1601" s="146" t="n">
        <v>44782</v>
      </c>
      <c r="F1601" s="146" t="inlineStr">
        <is>
          <t>WILMER PIÑEROS</t>
        </is>
      </c>
      <c r="G1601" s="395" t="n">
        <v>3190</v>
      </c>
      <c r="H1601" s="395" t="n">
        <v>3172</v>
      </c>
      <c r="I1601" s="395" t="n">
        <v>4</v>
      </c>
      <c r="J1601" s="395" t="n">
        <v>8</v>
      </c>
      <c r="K1601" s="395" t="n">
        <v>-6</v>
      </c>
      <c r="L1601" s="397" t="n">
        <v>3190</v>
      </c>
      <c r="M1601" s="113" t="n"/>
      <c r="N1601" s="113" t="n"/>
      <c r="O1601" s="113" t="n"/>
      <c r="P1601" s="398" t="n"/>
      <c r="Q1601" s="398" t="n"/>
      <c r="R1601" s="113" t="n"/>
      <c r="S1601" s="113" t="n"/>
      <c r="T1601" s="113" t="n"/>
      <c r="U1601" s="113" t="n"/>
      <c r="V1601" s="113" t="n"/>
    </row>
    <row r="1602" ht="15.75" customHeight="1">
      <c r="A1602" s="146" t="n">
        <v>28</v>
      </c>
      <c r="B1602" s="238" t="n"/>
      <c r="C1602" s="399" t="n">
        <v>45992</v>
      </c>
      <c r="D1602" s="146" t="inlineStr">
        <is>
          <t>218 G. SAN JOSE 1</t>
        </is>
      </c>
      <c r="E1602" s="146" t="n">
        <v>44783</v>
      </c>
      <c r="F1602" s="146" t="inlineStr">
        <is>
          <t>DIEGO NIÑO</t>
        </is>
      </c>
      <c r="G1602" s="395" t="n">
        <v>3190</v>
      </c>
      <c r="H1602" s="395" t="n">
        <v>3175</v>
      </c>
      <c r="I1602" s="395" t="n">
        <v>1</v>
      </c>
      <c r="J1602" s="395" t="n">
        <v>5</v>
      </c>
      <c r="K1602" s="395" t="n">
        <v>-9</v>
      </c>
      <c r="L1602" s="397" t="n">
        <v>3190</v>
      </c>
      <c r="M1602" s="113" t="n"/>
      <c r="N1602" s="113" t="n"/>
      <c r="O1602" s="113" t="n"/>
      <c r="P1602" s="398" t="n"/>
      <c r="Q1602" s="398" t="n"/>
      <c r="R1602" s="113" t="n"/>
      <c r="S1602" s="113" t="n"/>
      <c r="T1602" s="113" t="n"/>
      <c r="U1602" s="113" t="n"/>
      <c r="V1602" s="113" t="n"/>
    </row>
    <row r="1603" ht="15.75" customHeight="1">
      <c r="A1603" s="146" t="n">
        <v>28</v>
      </c>
      <c r="B1603" s="238" t="n"/>
      <c r="C1603" s="399" t="n">
        <v>45992</v>
      </c>
      <c r="D1603" s="146" t="inlineStr">
        <is>
          <t>218 G. SAN JOSE 1</t>
        </is>
      </c>
      <c r="E1603" s="146" t="n">
        <v>44784</v>
      </c>
      <c r="F1603" s="146" t="inlineStr">
        <is>
          <t>HENRY ROMERO</t>
        </is>
      </c>
      <c r="G1603" s="395" t="n">
        <v>3190</v>
      </c>
      <c r="H1603" s="395" t="n">
        <v>3145</v>
      </c>
      <c r="I1603" s="395" t="n">
        <v>3</v>
      </c>
      <c r="J1603" s="395" t="n">
        <v>6</v>
      </c>
      <c r="K1603" s="395" t="n">
        <v>-36</v>
      </c>
      <c r="L1603" s="397" t="n">
        <v>3190</v>
      </c>
      <c r="M1603" s="113" t="n"/>
      <c r="N1603" s="113" t="n"/>
      <c r="O1603" s="113" t="n"/>
      <c r="P1603" s="398" t="n"/>
      <c r="Q1603" s="398" t="n"/>
      <c r="R1603" s="113" t="n"/>
      <c r="S1603" s="113" t="n"/>
      <c r="T1603" s="113" t="n"/>
      <c r="U1603" s="113" t="n"/>
      <c r="V1603" s="113" t="n"/>
    </row>
    <row r="1604" ht="15.75" customHeight="1">
      <c r="A1604" s="146" t="n">
        <v>28</v>
      </c>
      <c r="B1604" s="238" t="n"/>
      <c r="C1604" s="399" t="n">
        <v>45992</v>
      </c>
      <c r="D1604" s="146" t="inlineStr">
        <is>
          <t>218 G. SAN JOSE 1</t>
        </is>
      </c>
      <c r="E1604" s="146" t="n">
        <v>44785</v>
      </c>
      <c r="F1604" s="146" t="inlineStr">
        <is>
          <t>ROBINSON PULIDO</t>
        </is>
      </c>
      <c r="G1604" s="395" t="n">
        <v>3190</v>
      </c>
      <c r="H1604" s="395" t="n">
        <v>3180</v>
      </c>
      <c r="I1604" s="395" t="n">
        <v>4</v>
      </c>
      <c r="J1604" s="395" t="n">
        <v>5</v>
      </c>
      <c r="K1604" s="395" t="n">
        <v>-1</v>
      </c>
      <c r="L1604" s="397" t="n">
        <v>3190</v>
      </c>
      <c r="M1604" s="113" t="n"/>
      <c r="N1604" s="113" t="n"/>
      <c r="O1604" s="113" t="n"/>
      <c r="P1604" s="398" t="n"/>
      <c r="Q1604" s="398" t="n"/>
      <c r="R1604" s="113" t="n"/>
      <c r="S1604" s="113" t="n"/>
      <c r="T1604" s="113" t="n"/>
      <c r="U1604" s="113" t="n"/>
      <c r="V1604" s="113" t="n"/>
    </row>
    <row r="1605" ht="15.75" customHeight="1">
      <c r="A1605" s="146" t="n">
        <v>28</v>
      </c>
      <c r="B1605" s="238" t="n"/>
      <c r="C1605" s="399" t="n">
        <v>45992</v>
      </c>
      <c r="D1605" s="146" t="inlineStr">
        <is>
          <t>218 G. SAN JOSE 1</t>
        </is>
      </c>
      <c r="E1605" s="146" t="n">
        <v>44786</v>
      </c>
      <c r="F1605" s="146" t="inlineStr">
        <is>
          <t>ALEXANDER CHAGUALA</t>
        </is>
      </c>
      <c r="G1605" s="395" t="n">
        <v>3190</v>
      </c>
      <c r="H1605" s="395" t="n">
        <v>3189</v>
      </c>
      <c r="I1605" s="395" t="n">
        <v>3</v>
      </c>
      <c r="J1605" s="395" t="n">
        <v>1</v>
      </c>
      <c r="K1605" s="395" t="n">
        <v>3</v>
      </c>
      <c r="L1605" s="397" t="n">
        <v>3190</v>
      </c>
      <c r="M1605" s="113" t="n"/>
      <c r="N1605" s="113" t="n"/>
      <c r="O1605" s="113" t="n"/>
      <c r="P1605" s="398" t="n"/>
      <c r="Q1605" s="398" t="n"/>
      <c r="R1605" s="113" t="n"/>
      <c r="S1605" s="113" t="n"/>
      <c r="T1605" s="113" t="n"/>
      <c r="U1605" s="113" t="n"/>
      <c r="V1605" s="113" t="n"/>
    </row>
    <row r="1606" ht="15.75" customHeight="1">
      <c r="A1606" s="146" t="n">
        <v>28</v>
      </c>
      <c r="B1606" s="238" t="n"/>
      <c r="C1606" s="399" t="n">
        <v>45992</v>
      </c>
      <c r="D1606" s="146" t="inlineStr">
        <is>
          <t>218 G. SAN JOSE 1</t>
        </is>
      </c>
      <c r="E1606" s="146" t="n">
        <v>44787</v>
      </c>
      <c r="F1606" s="146" t="inlineStr">
        <is>
          <t>SEBASTIAN HIDALGO</t>
        </is>
      </c>
      <c r="G1606" s="395" t="n">
        <v>3190</v>
      </c>
      <c r="H1606" s="395" t="n">
        <v>3204</v>
      </c>
      <c r="I1606" s="395" t="n">
        <v>3</v>
      </c>
      <c r="J1606" s="395" t="n">
        <v>1</v>
      </c>
      <c r="K1606" s="395" t="n">
        <v>18</v>
      </c>
      <c r="L1606" s="397" t="n">
        <v>3190</v>
      </c>
      <c r="M1606" s="113" t="n"/>
      <c r="N1606" s="113" t="n"/>
      <c r="O1606" s="113" t="n"/>
      <c r="P1606" s="398" t="n"/>
      <c r="Q1606" s="398" t="n"/>
      <c r="R1606" s="113" t="n"/>
      <c r="S1606" s="113" t="n"/>
      <c r="T1606" s="113" t="n"/>
      <c r="U1606" s="113" t="n"/>
      <c r="V1606" s="113" t="n"/>
    </row>
    <row r="1607" ht="15.75" customHeight="1">
      <c r="A1607" s="146" t="n">
        <v>28</v>
      </c>
      <c r="B1607" s="238" t="n"/>
      <c r="C1607" s="164" t="n">
        <v>45993</v>
      </c>
      <c r="D1607" s="166" t="inlineStr">
        <is>
          <t>202 G. HUERTAS</t>
        </is>
      </c>
      <c r="E1607" s="166" t="n">
        <v>204654</v>
      </c>
      <c r="F1607" s="166" t="inlineStr">
        <is>
          <t>JONATHAN DAVID GOMEZ</t>
        </is>
      </c>
      <c r="G1607" s="166" t="n">
        <v>3250</v>
      </c>
      <c r="H1607" s="166" t="n">
        <v>3231</v>
      </c>
      <c r="I1607" s="166" t="n">
        <v>5</v>
      </c>
      <c r="J1607" s="166" t="n">
        <v>5</v>
      </c>
      <c r="K1607" s="166" t="n">
        <v>-9</v>
      </c>
      <c r="L1607" s="397" t="n">
        <v>3250</v>
      </c>
      <c r="M1607" s="113" t="n"/>
      <c r="N1607" s="113" t="n"/>
      <c r="O1607" s="113" t="n"/>
      <c r="P1607" s="398" t="n"/>
      <c r="Q1607" s="398" t="n"/>
      <c r="R1607" s="113" t="n"/>
      <c r="S1607" s="113" t="n"/>
      <c r="T1607" s="113" t="n"/>
      <c r="U1607" s="113" t="n"/>
      <c r="V1607" s="113" t="n"/>
    </row>
    <row r="1608" ht="15.75" customHeight="1">
      <c r="A1608" s="146" t="n">
        <v>28</v>
      </c>
      <c r="B1608" s="238" t="n"/>
      <c r="C1608" s="164" t="n">
        <v>45993</v>
      </c>
      <c r="D1608" s="166" t="inlineStr">
        <is>
          <t>202 G. HUERTAS</t>
        </is>
      </c>
      <c r="E1608" s="166" t="n">
        <v>204658</v>
      </c>
      <c r="F1608" s="166" t="inlineStr">
        <is>
          <t>MARCO OSPINA</t>
        </is>
      </c>
      <c r="G1608" s="166" t="n">
        <v>3150</v>
      </c>
      <c r="H1608" s="166" t="n">
        <v>3131</v>
      </c>
      <c r="I1608" s="166" t="n">
        <v>7</v>
      </c>
      <c r="J1608" s="166" t="n">
        <v>3</v>
      </c>
      <c r="K1608" s="166" t="n">
        <v>-9</v>
      </c>
      <c r="L1608" s="397" t="n">
        <v>3150</v>
      </c>
      <c r="M1608" s="113" t="n"/>
      <c r="N1608" s="113" t="n"/>
      <c r="O1608" s="113" t="n"/>
      <c r="P1608" s="398" t="n"/>
      <c r="Q1608" s="398" t="n"/>
      <c r="R1608" s="113" t="n"/>
      <c r="S1608" s="113" t="n"/>
      <c r="T1608" s="113" t="n"/>
      <c r="U1608" s="113" t="n"/>
      <c r="V1608" s="113" t="n"/>
    </row>
    <row r="1609" ht="15.75" customHeight="1">
      <c r="A1609" s="146" t="n">
        <v>28</v>
      </c>
      <c r="B1609" s="238" t="n"/>
      <c r="C1609" s="164" t="n">
        <v>45993</v>
      </c>
      <c r="D1609" s="166" t="inlineStr">
        <is>
          <t>202 G. HUERTAS</t>
        </is>
      </c>
      <c r="E1609" s="166" t="n">
        <v>204659</v>
      </c>
      <c r="F1609" s="166" t="inlineStr">
        <is>
          <t>MARCOS LOPEZ CASTAÑEDA</t>
        </is>
      </c>
      <c r="G1609" s="166" t="n">
        <v>3250</v>
      </c>
      <c r="H1609" s="166" t="n">
        <v>3243</v>
      </c>
      <c r="I1609" s="166" t="n">
        <v>3</v>
      </c>
      <c r="J1609" s="166" t="n">
        <v>3</v>
      </c>
      <c r="K1609" s="166" t="n">
        <v>-1</v>
      </c>
      <c r="L1609" s="397" t="n">
        <v>3250</v>
      </c>
      <c r="M1609" s="113" t="n"/>
      <c r="N1609" s="113" t="n"/>
      <c r="O1609" s="113" t="n"/>
      <c r="P1609" s="398" t="n"/>
      <c r="Q1609" s="398" t="n"/>
      <c r="R1609" s="113" t="n"/>
      <c r="S1609" s="113" t="n"/>
      <c r="T1609" s="113" t="n"/>
      <c r="U1609" s="113" t="n"/>
      <c r="V1609" s="113" t="n"/>
    </row>
    <row r="1610" ht="15.75" customHeight="1">
      <c r="A1610" s="146" t="n">
        <v>28</v>
      </c>
      <c r="B1610" s="238" t="n"/>
      <c r="C1610" s="164" t="n">
        <v>45993</v>
      </c>
      <c r="D1610" s="166" t="inlineStr">
        <is>
          <t>202 G. HUERTAS</t>
        </is>
      </c>
      <c r="E1610" s="166" t="n">
        <v>204660</v>
      </c>
      <c r="F1610" s="166" t="inlineStr">
        <is>
          <t>CUCAITA EDWIN ALEJANDRO</t>
        </is>
      </c>
      <c r="G1610" s="166" t="n">
        <v>3200</v>
      </c>
      <c r="H1610" s="166" t="n">
        <v>3107</v>
      </c>
      <c r="I1610" s="166" t="n">
        <v>1</v>
      </c>
      <c r="J1610" s="166" t="n">
        <v>87</v>
      </c>
      <c r="K1610" s="166" t="n">
        <v>-5</v>
      </c>
      <c r="L1610" s="397" t="n">
        <v>3200</v>
      </c>
      <c r="M1610" s="113" t="n"/>
      <c r="N1610" s="113" t="n"/>
      <c r="O1610" s="113" t="n"/>
      <c r="P1610" s="398" t="n"/>
      <c r="Q1610" s="398" t="n"/>
      <c r="R1610" s="113" t="n"/>
      <c r="S1610" s="113" t="n"/>
      <c r="T1610" s="113" t="n"/>
      <c r="U1610" s="113" t="n"/>
      <c r="V1610" s="113" t="n"/>
    </row>
    <row r="1611" ht="15.75" customHeight="1">
      <c r="A1611" s="146" t="n">
        <v>28</v>
      </c>
      <c r="B1611" s="238" t="n"/>
      <c r="C1611" s="399" t="n">
        <v>45993</v>
      </c>
      <c r="D1611" s="146" t="inlineStr">
        <is>
          <t>218 G. SAN JOSE 1</t>
        </is>
      </c>
      <c r="E1611" s="146" t="n">
        <v>44792</v>
      </c>
      <c r="F1611" s="146" t="inlineStr">
        <is>
          <t>YAIR RIVEROS</t>
        </is>
      </c>
      <c r="G1611" s="395" t="n">
        <v>3240</v>
      </c>
      <c r="H1611" s="395" t="n">
        <v>3221</v>
      </c>
      <c r="I1611" s="395" t="n">
        <v>2</v>
      </c>
      <c r="J1611" s="395" t="n">
        <v>8</v>
      </c>
      <c r="K1611" s="395" t="n">
        <v>-9</v>
      </c>
      <c r="L1611" s="397" t="n">
        <v>3240</v>
      </c>
      <c r="M1611" s="113" t="n"/>
      <c r="N1611" s="113" t="n"/>
      <c r="O1611" s="113" t="n"/>
      <c r="P1611" s="398" t="n"/>
      <c r="Q1611" s="398" t="n"/>
      <c r="R1611" s="113" t="n"/>
      <c r="S1611" s="113" t="n"/>
      <c r="T1611" s="113" t="n"/>
      <c r="U1611" s="113" t="n"/>
      <c r="V1611" s="113" t="n"/>
    </row>
    <row r="1612" ht="15.75" customHeight="1">
      <c r="A1612" s="146" t="n">
        <v>28</v>
      </c>
      <c r="B1612" s="238" t="n"/>
      <c r="C1612" s="399" t="n">
        <v>45993</v>
      </c>
      <c r="D1612" s="146" t="inlineStr">
        <is>
          <t>218 G. SAN JOSE 1</t>
        </is>
      </c>
      <c r="E1612" s="146" t="n">
        <v>44793</v>
      </c>
      <c r="F1612" s="146" t="inlineStr">
        <is>
          <t>ALEXANDER CHAGUALA</t>
        </is>
      </c>
      <c r="G1612" s="395" t="n">
        <v>3240</v>
      </c>
      <c r="H1612" s="395" t="n">
        <v>3229</v>
      </c>
      <c r="I1612" s="395" t="n">
        <v>1</v>
      </c>
      <c r="J1612" s="395" t="n">
        <v>3</v>
      </c>
      <c r="K1612" s="395" t="n">
        <v>-7</v>
      </c>
      <c r="L1612" s="397" t="n">
        <v>3240</v>
      </c>
      <c r="M1612" s="113" t="n"/>
      <c r="N1612" s="113" t="n"/>
      <c r="O1612" s="113" t="n"/>
      <c r="P1612" s="398" t="n"/>
      <c r="Q1612" s="398" t="n"/>
      <c r="R1612" s="113" t="n"/>
      <c r="S1612" s="113" t="n"/>
      <c r="T1612" s="113" t="n"/>
      <c r="U1612" s="113" t="n"/>
      <c r="V1612" s="113" t="n"/>
    </row>
    <row r="1613" ht="15.75" customHeight="1">
      <c r="A1613" s="146" t="n">
        <v>28</v>
      </c>
      <c r="B1613" s="238" t="n"/>
      <c r="C1613" s="399" t="n">
        <v>45993</v>
      </c>
      <c r="D1613" s="146" t="inlineStr">
        <is>
          <t>218 G. SAN JOSE 1</t>
        </is>
      </c>
      <c r="E1613" s="146" t="n">
        <v>44794</v>
      </c>
      <c r="F1613" s="146" t="inlineStr">
        <is>
          <t>MANUEL QUITIAN</t>
        </is>
      </c>
      <c r="G1613" s="395" t="n">
        <v>3240</v>
      </c>
      <c r="H1613" s="395" t="n">
        <v>3228</v>
      </c>
      <c r="I1613" s="395" t="n">
        <v>2</v>
      </c>
      <c r="J1613" s="395" t="n">
        <v>3</v>
      </c>
      <c r="K1613" s="395" t="n">
        <v>-7</v>
      </c>
      <c r="L1613" s="397" t="n">
        <v>3240</v>
      </c>
      <c r="M1613" s="113" t="n"/>
      <c r="N1613" s="113" t="n"/>
      <c r="O1613" s="113" t="n"/>
      <c r="P1613" s="398" t="n"/>
      <c r="Q1613" s="398" t="n"/>
      <c r="R1613" s="113" t="n"/>
      <c r="S1613" s="113" t="n"/>
      <c r="T1613" s="113" t="n"/>
      <c r="U1613" s="113" t="n"/>
      <c r="V1613" s="113" t="n"/>
    </row>
    <row r="1614" ht="15.75" customHeight="1">
      <c r="A1614" s="146" t="n">
        <v>28</v>
      </c>
      <c r="B1614" s="238" t="n"/>
      <c r="C1614" s="399" t="n">
        <v>45993</v>
      </c>
      <c r="D1614" s="146" t="inlineStr">
        <is>
          <t>218 G. SAN JOSE 1</t>
        </is>
      </c>
      <c r="E1614" s="146" t="n">
        <v>44795</v>
      </c>
      <c r="F1614" s="146" t="inlineStr">
        <is>
          <t>JAIRO CUBILLOS</t>
        </is>
      </c>
      <c r="G1614" s="395" t="n">
        <v>3240</v>
      </c>
      <c r="H1614" s="395" t="n">
        <v>3234</v>
      </c>
      <c r="I1614" s="395" t="n">
        <v>2</v>
      </c>
      <c r="J1614" s="395" t="n">
        <v>1</v>
      </c>
      <c r="K1614" s="395" t="n">
        <v>-3</v>
      </c>
      <c r="L1614" s="397" t="n">
        <v>3240</v>
      </c>
      <c r="M1614" s="113" t="n"/>
      <c r="N1614" s="113" t="n"/>
      <c r="O1614" s="113" t="n"/>
      <c r="P1614" s="398" t="n"/>
      <c r="Q1614" s="398" t="n"/>
      <c r="R1614" s="113" t="n"/>
      <c r="S1614" s="113" t="n"/>
      <c r="T1614" s="113" t="n"/>
      <c r="U1614" s="113" t="n"/>
      <c r="V1614" s="113" t="n"/>
    </row>
    <row r="1615" ht="15.75" customHeight="1">
      <c r="A1615" s="146" t="n">
        <v>28</v>
      </c>
      <c r="B1615" s="238" t="n"/>
      <c r="C1615" s="399" t="n">
        <v>45993</v>
      </c>
      <c r="D1615" s="146" t="inlineStr">
        <is>
          <t>218 G. SAN JOSE 1</t>
        </is>
      </c>
      <c r="E1615" s="146" t="n">
        <v>44796</v>
      </c>
      <c r="F1615" s="146" t="inlineStr">
        <is>
          <t>SEBASTIAN HIDALGO</t>
        </is>
      </c>
      <c r="G1615" s="395" t="n">
        <v>1890</v>
      </c>
      <c r="H1615" s="395" t="n">
        <v>1886</v>
      </c>
      <c r="I1615" s="395" t="n">
        <v>1</v>
      </c>
      <c r="J1615" s="395" t="n">
        <v>0</v>
      </c>
      <c r="K1615" s="395" t="n">
        <v>-3</v>
      </c>
      <c r="L1615" s="397" t="n">
        <v>1890</v>
      </c>
      <c r="M1615" s="113" t="n"/>
      <c r="N1615" s="113" t="n"/>
      <c r="O1615" s="113" t="n"/>
      <c r="P1615" s="398" t="n"/>
      <c r="Q1615" s="398" t="n"/>
      <c r="R1615" s="113" t="n"/>
      <c r="S1615" s="113" t="n"/>
      <c r="T1615" s="113" t="n"/>
      <c r="U1615" s="113" t="n"/>
      <c r="V1615" s="113" t="n"/>
    </row>
    <row r="1616" ht="15.75" customHeight="1">
      <c r="A1616" s="146" t="n">
        <v>28</v>
      </c>
      <c r="B1616" s="238" t="n"/>
      <c r="C1616" s="399" t="n">
        <v>45994</v>
      </c>
      <c r="D1616" s="146" t="inlineStr">
        <is>
          <t>218 G. SAN JOSE 1</t>
        </is>
      </c>
      <c r="E1616" s="146" t="n">
        <v>44804</v>
      </c>
      <c r="F1616" s="146" t="inlineStr">
        <is>
          <t>DUMAR ANGARITA</t>
        </is>
      </c>
      <c r="G1616" s="395" t="n">
        <v>3230</v>
      </c>
      <c r="H1616" s="395" t="n">
        <v>3224</v>
      </c>
      <c r="I1616" s="395" t="n">
        <v>3</v>
      </c>
      <c r="J1616" s="395" t="n">
        <v>4</v>
      </c>
      <c r="K1616" s="395" t="n">
        <v>1</v>
      </c>
      <c r="L1616" s="397" t="n">
        <v>3230</v>
      </c>
      <c r="M1616" s="113" t="n"/>
      <c r="N1616" s="113" t="n"/>
      <c r="O1616" s="113" t="n"/>
      <c r="P1616" s="398" t="n"/>
      <c r="Q1616" s="398" t="n"/>
      <c r="R1616" s="113" t="n"/>
      <c r="S1616" s="113" t="n"/>
      <c r="T1616" s="113" t="n"/>
      <c r="U1616" s="113" t="n"/>
      <c r="V1616" s="113" t="n"/>
    </row>
    <row r="1617" ht="15.75" customHeight="1">
      <c r="A1617" s="146" t="n">
        <v>28</v>
      </c>
      <c r="B1617" s="238" t="n"/>
      <c r="C1617" s="399" t="n">
        <v>45994</v>
      </c>
      <c r="D1617" s="146" t="inlineStr">
        <is>
          <t>218 G. SAN JOSE 1</t>
        </is>
      </c>
      <c r="E1617" s="146" t="n">
        <v>44805</v>
      </c>
      <c r="F1617" s="146" t="inlineStr">
        <is>
          <t>ALEX GOMEZ</t>
        </is>
      </c>
      <c r="G1617" s="395" t="n">
        <v>3230</v>
      </c>
      <c r="H1617" s="395" t="n">
        <v>3222</v>
      </c>
      <c r="I1617" s="395" t="n">
        <v>4</v>
      </c>
      <c r="J1617" s="395" t="n">
        <v>4</v>
      </c>
      <c r="K1617" s="395" t="n">
        <v>0</v>
      </c>
      <c r="L1617" s="397" t="n">
        <v>3230</v>
      </c>
      <c r="M1617" s="113" t="n"/>
      <c r="N1617" s="113" t="n"/>
      <c r="O1617" s="113" t="n"/>
      <c r="P1617" s="398" t="n"/>
      <c r="Q1617" s="398" t="n"/>
      <c r="R1617" s="113" t="n"/>
      <c r="S1617" s="113" t="n"/>
      <c r="T1617" s="113" t="n"/>
      <c r="U1617" s="113" t="n"/>
      <c r="V1617" s="113" t="n"/>
    </row>
    <row r="1618" ht="15.75" customHeight="1">
      <c r="A1618" s="146" t="n">
        <v>28</v>
      </c>
      <c r="B1618" s="238" t="n"/>
      <c r="C1618" s="399" t="n">
        <v>45994</v>
      </c>
      <c r="D1618" s="146" t="inlineStr">
        <is>
          <t>218 G. SAN JOSE 1</t>
        </is>
      </c>
      <c r="E1618" s="146" t="n">
        <v>44806</v>
      </c>
      <c r="F1618" s="146" t="inlineStr">
        <is>
          <t>JHON ARIAS</t>
        </is>
      </c>
      <c r="G1618" s="395" t="n">
        <v>3230</v>
      </c>
      <c r="H1618" s="395" t="n">
        <v>3224</v>
      </c>
      <c r="I1618" s="395" t="n">
        <v>5</v>
      </c>
      <c r="J1618" s="395" t="n">
        <v>2</v>
      </c>
      <c r="K1618" s="395" t="n">
        <v>1</v>
      </c>
      <c r="L1618" s="397" t="n">
        <v>3230</v>
      </c>
      <c r="M1618" s="113" t="n"/>
      <c r="N1618" s="113" t="n"/>
      <c r="O1618" s="113" t="n"/>
      <c r="P1618" s="398" t="n"/>
      <c r="Q1618" s="398" t="n"/>
      <c r="R1618" s="113" t="n"/>
      <c r="S1618" s="113" t="n"/>
      <c r="T1618" s="113" t="n"/>
      <c r="U1618" s="113" t="n"/>
      <c r="V1618" s="113" t="n"/>
    </row>
    <row r="1619" ht="15.75" customHeight="1">
      <c r="A1619" s="146" t="n">
        <v>28</v>
      </c>
      <c r="B1619" s="238" t="n"/>
      <c r="C1619" s="399" t="n">
        <v>45994</v>
      </c>
      <c r="D1619" s="146" t="inlineStr">
        <is>
          <t>218 G. SAN JOSE 1</t>
        </is>
      </c>
      <c r="E1619" s="146" t="n">
        <v>44807</v>
      </c>
      <c r="F1619" s="146" t="inlineStr">
        <is>
          <t>EDUAN CAVIEDES</t>
        </is>
      </c>
      <c r="G1619" s="395" t="n">
        <v>3230</v>
      </c>
      <c r="H1619" s="395" t="n">
        <v>3206</v>
      </c>
      <c r="I1619" s="395" t="n">
        <v>8</v>
      </c>
      <c r="J1619" s="395" t="n">
        <v>4</v>
      </c>
      <c r="K1619" s="395" t="n">
        <v>-12</v>
      </c>
      <c r="L1619" s="397" t="n">
        <v>3230</v>
      </c>
      <c r="M1619" s="113" t="n"/>
      <c r="N1619" s="113" t="n"/>
      <c r="O1619" s="113" t="n"/>
      <c r="P1619" s="398" t="n"/>
      <c r="Q1619" s="398" t="n"/>
      <c r="R1619" s="113" t="n"/>
      <c r="S1619" s="113" t="n"/>
      <c r="T1619" s="113" t="n"/>
      <c r="U1619" s="113" t="n"/>
      <c r="V1619" s="113" t="n"/>
    </row>
    <row r="1620" ht="15.75" customHeight="1">
      <c r="A1620" s="146" t="n">
        <v>28</v>
      </c>
      <c r="B1620" s="238" t="n"/>
      <c r="C1620" s="399" t="n">
        <v>45994</v>
      </c>
      <c r="D1620" s="146" t="inlineStr">
        <is>
          <t>218 G. SAN JOSE 1</t>
        </is>
      </c>
      <c r="E1620" s="146" t="n">
        <v>44808</v>
      </c>
      <c r="F1620" s="146" t="inlineStr">
        <is>
          <t>ALBERTO HERRERA</t>
        </is>
      </c>
      <c r="G1620" s="395" t="n">
        <v>3230</v>
      </c>
      <c r="H1620" s="395" t="n">
        <v>3205</v>
      </c>
      <c r="I1620" s="395" t="n">
        <v>9</v>
      </c>
      <c r="J1620" s="395" t="n">
        <v>3</v>
      </c>
      <c r="K1620" s="395" t="n">
        <v>-13</v>
      </c>
      <c r="L1620" s="397" t="n">
        <v>3230</v>
      </c>
      <c r="M1620" s="113" t="n"/>
      <c r="N1620" s="113" t="n"/>
      <c r="O1620" s="113" t="n"/>
      <c r="P1620" s="398" t="n"/>
      <c r="Q1620" s="398" t="n"/>
      <c r="R1620" s="113" t="n"/>
      <c r="S1620" s="113" t="n"/>
      <c r="T1620" s="113" t="n"/>
      <c r="U1620" s="113" t="n"/>
      <c r="V1620" s="113" t="n"/>
    </row>
    <row r="1621" ht="15.75" customHeight="1">
      <c r="A1621" s="146" t="n">
        <v>28</v>
      </c>
      <c r="B1621" s="238" t="n"/>
      <c r="C1621" s="399" t="n">
        <v>45994</v>
      </c>
      <c r="D1621" s="146" t="inlineStr">
        <is>
          <t>218 G. SAN JOSE 1</t>
        </is>
      </c>
      <c r="E1621" s="146" t="n">
        <v>44809</v>
      </c>
      <c r="F1621" s="146" t="inlineStr">
        <is>
          <t>SEBASTIAN HIDALGO</t>
        </is>
      </c>
      <c r="G1621" s="395" t="n">
        <v>3230</v>
      </c>
      <c r="H1621" s="395" t="n">
        <v>3210</v>
      </c>
      <c r="I1621" s="395" t="n">
        <v>5</v>
      </c>
      <c r="J1621" s="395" t="n">
        <v>4</v>
      </c>
      <c r="K1621" s="395" t="n">
        <v>-11</v>
      </c>
      <c r="L1621" s="397" t="n">
        <v>3230</v>
      </c>
      <c r="M1621" s="113" t="n"/>
      <c r="N1621" s="113" t="n"/>
      <c r="O1621" s="113" t="n"/>
      <c r="P1621" s="398" t="n"/>
      <c r="Q1621" s="398" t="n"/>
      <c r="R1621" s="113" t="n"/>
      <c r="S1621" s="113" t="n"/>
      <c r="T1621" s="113" t="n"/>
      <c r="U1621" s="113" t="n"/>
      <c r="V1621" s="113" t="n"/>
    </row>
    <row r="1622" ht="15.75" customHeight="1">
      <c r="A1622" s="146" t="n">
        <v>28</v>
      </c>
      <c r="B1622" s="238" t="n"/>
      <c r="C1622" s="399" t="n">
        <v>45994</v>
      </c>
      <c r="D1622" s="146" t="inlineStr">
        <is>
          <t>218 G. SAN JOSE 1</t>
        </is>
      </c>
      <c r="E1622" s="146" t="n">
        <v>44810</v>
      </c>
      <c r="F1622" s="146" t="inlineStr">
        <is>
          <t>DIEGO NIÑO</t>
        </is>
      </c>
      <c r="G1622" s="395" t="n">
        <v>3230</v>
      </c>
      <c r="H1622" s="395" t="n">
        <v>3209</v>
      </c>
      <c r="I1622" s="395" t="n">
        <v>4</v>
      </c>
      <c r="J1622" s="395" t="n">
        <v>3</v>
      </c>
      <c r="K1622" s="395" t="n">
        <v>-14</v>
      </c>
      <c r="L1622" s="397" t="n">
        <v>3230</v>
      </c>
      <c r="M1622" s="113" t="n"/>
      <c r="N1622" s="113" t="n"/>
      <c r="O1622" s="113" t="n"/>
      <c r="P1622" s="398" t="n"/>
      <c r="Q1622" s="398" t="n"/>
      <c r="R1622" s="113" t="n"/>
      <c r="S1622" s="113" t="n"/>
      <c r="T1622" s="113" t="n"/>
      <c r="U1622" s="113" t="n"/>
      <c r="V1622" s="113" t="n"/>
    </row>
    <row r="1623" ht="15.75" customHeight="1">
      <c r="A1623" s="146" t="n">
        <v>28</v>
      </c>
      <c r="B1623" s="238" t="n"/>
      <c r="C1623" s="399" t="n">
        <v>45995</v>
      </c>
      <c r="D1623" s="146" t="inlineStr">
        <is>
          <t>219 G. SAN JOSE 2</t>
        </is>
      </c>
      <c r="E1623" s="146" t="n">
        <v>44821</v>
      </c>
      <c r="F1623" s="146" t="inlineStr">
        <is>
          <t>HENRY ROMERO</t>
        </is>
      </c>
      <c r="G1623" s="395" t="n">
        <v>946</v>
      </c>
      <c r="H1623" s="395" t="n">
        <v>941</v>
      </c>
      <c r="I1623" s="395" t="n">
        <v>0</v>
      </c>
      <c r="J1623" s="395" t="n">
        <v>3</v>
      </c>
      <c r="K1623" s="395" t="n">
        <v>-2</v>
      </c>
      <c r="L1623" s="397" t="n">
        <v>946</v>
      </c>
      <c r="M1623" s="113" t="n"/>
      <c r="N1623" s="113" t="n"/>
      <c r="O1623" s="113" t="n"/>
      <c r="P1623" s="398" t="n"/>
      <c r="Q1623" s="398" t="n"/>
      <c r="R1623" s="113" t="n"/>
      <c r="S1623" s="113" t="n"/>
      <c r="T1623" s="113" t="n"/>
      <c r="U1623" s="113" t="n"/>
      <c r="V1623" s="113" t="n"/>
    </row>
    <row r="1624" ht="15.75" customHeight="1">
      <c r="A1624" s="146" t="n">
        <v>28</v>
      </c>
      <c r="B1624" s="238" t="n"/>
      <c r="C1624" s="399" t="n">
        <v>45995</v>
      </c>
      <c r="D1624" s="146" t="inlineStr">
        <is>
          <t>218 G. SAN JOSE 1</t>
        </is>
      </c>
      <c r="E1624" s="146" t="n">
        <v>44822</v>
      </c>
      <c r="F1624" s="146" t="inlineStr">
        <is>
          <t>HENRY ROMERO</t>
        </is>
      </c>
      <c r="G1624" s="395" t="n">
        <v>2390</v>
      </c>
      <c r="H1624" s="395" t="n">
        <v>2384</v>
      </c>
      <c r="I1624" s="395" t="n">
        <v>4</v>
      </c>
      <c r="J1624" s="395" t="n">
        <v>4</v>
      </c>
      <c r="K1624" s="395" t="n">
        <v>2</v>
      </c>
      <c r="L1624" s="397" t="n">
        <v>3325</v>
      </c>
      <c r="M1624" s="113" t="n"/>
      <c r="N1624" s="113" t="n"/>
      <c r="O1624" s="113" t="n"/>
      <c r="P1624" s="398" t="n"/>
      <c r="Q1624" s="398" t="n"/>
      <c r="R1624" s="113" t="n"/>
      <c r="S1624" s="113" t="n"/>
      <c r="T1624" s="113" t="n"/>
      <c r="U1624" s="113" t="n"/>
      <c r="V1624" s="113" t="n"/>
    </row>
    <row r="1625" ht="15.75" customHeight="1">
      <c r="A1625" s="146" t="n">
        <v>28</v>
      </c>
      <c r="B1625" s="238" t="n"/>
      <c r="C1625" s="399" t="n">
        <v>45995</v>
      </c>
      <c r="D1625" s="146" t="inlineStr">
        <is>
          <t>218 G. SAN JOSE 1</t>
        </is>
      </c>
      <c r="E1625" s="146" t="n">
        <v>44823</v>
      </c>
      <c r="F1625" s="146" t="inlineStr">
        <is>
          <t>ALEX GOMEZ</t>
        </is>
      </c>
      <c r="G1625" s="395" t="n">
        <v>3600</v>
      </c>
      <c r="H1625" s="395" t="n">
        <v>3593</v>
      </c>
      <c r="I1625" s="395" t="n">
        <v>4</v>
      </c>
      <c r="J1625" s="395" t="n">
        <v>5</v>
      </c>
      <c r="K1625" s="395" t="n">
        <v>2</v>
      </c>
      <c r="L1625" s="397" t="n">
        <v>3300</v>
      </c>
      <c r="M1625" s="113" t="n"/>
      <c r="N1625" s="113" t="n"/>
      <c r="O1625" s="113" t="n"/>
      <c r="P1625" s="398" t="n"/>
      <c r="Q1625" s="398" t="n"/>
      <c r="R1625" s="113" t="n"/>
      <c r="S1625" s="113" t="n"/>
      <c r="T1625" s="113" t="n"/>
      <c r="U1625" s="113" t="n"/>
      <c r="V1625" s="113" t="n"/>
    </row>
    <row r="1626" ht="15.75" customHeight="1">
      <c r="A1626" s="146" t="n">
        <v>28</v>
      </c>
      <c r="B1626" s="238" t="n"/>
      <c r="C1626" s="399" t="n">
        <v>45995</v>
      </c>
      <c r="D1626" s="146" t="inlineStr">
        <is>
          <t>218 G. SAN JOSE 1</t>
        </is>
      </c>
      <c r="E1626" s="146" t="n">
        <v>44824</v>
      </c>
      <c r="F1626" s="146" t="inlineStr">
        <is>
          <t>DUMAR ANGARITA</t>
        </is>
      </c>
      <c r="G1626" s="395" t="n">
        <v>3240</v>
      </c>
      <c r="H1626" s="395" t="n">
        <v>3233</v>
      </c>
      <c r="I1626" s="395" t="n">
        <v>4</v>
      </c>
      <c r="J1626" s="395" t="n">
        <v>5</v>
      </c>
      <c r="K1626" s="395" t="n">
        <v>2</v>
      </c>
      <c r="L1626" s="397" t="n">
        <v>3240</v>
      </c>
      <c r="M1626" s="113" t="n"/>
      <c r="N1626" s="113" t="n"/>
      <c r="O1626" s="113" t="n"/>
      <c r="P1626" s="398" t="n"/>
      <c r="Q1626" s="398" t="n"/>
      <c r="R1626" s="113" t="n"/>
      <c r="S1626" s="113" t="n"/>
      <c r="T1626" s="113" t="n"/>
      <c r="U1626" s="113" t="n"/>
      <c r="V1626" s="113" t="n"/>
    </row>
    <row r="1627" ht="15.75" customHeight="1">
      <c r="A1627" s="146" t="n">
        <v>28</v>
      </c>
      <c r="B1627" s="238" t="n"/>
      <c r="C1627" s="399" t="n">
        <v>45996</v>
      </c>
      <c r="D1627" s="146" t="inlineStr">
        <is>
          <t>218 G. SAN JOSE 1</t>
        </is>
      </c>
      <c r="E1627" s="146" t="n">
        <v>44839</v>
      </c>
      <c r="F1627" s="146" t="inlineStr">
        <is>
          <t>SEBASTIAN HIDALGO</t>
        </is>
      </c>
      <c r="G1627" s="395" t="n">
        <v>3520</v>
      </c>
      <c r="H1627" s="395" t="n">
        <v>3475</v>
      </c>
      <c r="I1627" s="395" t="n">
        <v>41</v>
      </c>
      <c r="J1627" s="395" t="n">
        <v>8</v>
      </c>
      <c r="K1627" s="395" t="n">
        <v>4</v>
      </c>
      <c r="L1627" s="397" t="n">
        <v>3520</v>
      </c>
      <c r="M1627" s="113" t="n"/>
      <c r="N1627" s="113" t="n"/>
      <c r="O1627" s="113" t="n"/>
      <c r="P1627" s="398" t="n"/>
      <c r="Q1627" s="398" t="n"/>
      <c r="R1627" s="113" t="n"/>
      <c r="S1627" s="113" t="n"/>
      <c r="T1627" s="113" t="n"/>
      <c r="U1627" s="113" t="n"/>
      <c r="V1627" s="113" t="n"/>
    </row>
    <row r="1628" ht="15.75" customHeight="1">
      <c r="A1628" s="146" t="n">
        <v>28</v>
      </c>
      <c r="B1628" s="238" t="n"/>
      <c r="C1628" s="399" t="n">
        <v>45996</v>
      </c>
      <c r="D1628" s="146" t="inlineStr">
        <is>
          <t>218 G. SAN JOSE 1</t>
        </is>
      </c>
      <c r="E1628" s="146" t="n">
        <v>44840</v>
      </c>
      <c r="F1628" s="146" t="inlineStr">
        <is>
          <t>ALEX GOMEZ</t>
        </is>
      </c>
      <c r="G1628" s="395" t="n">
        <v>3520</v>
      </c>
      <c r="H1628" s="395" t="n">
        <v>3519</v>
      </c>
      <c r="I1628" s="395" t="n">
        <v>1</v>
      </c>
      <c r="J1628" s="395" t="n">
        <v>6</v>
      </c>
      <c r="K1628" s="395" t="n">
        <v>6</v>
      </c>
      <c r="L1628" s="397" t="n">
        <v>3520</v>
      </c>
      <c r="M1628" s="113" t="n"/>
      <c r="N1628" s="113" t="n"/>
      <c r="O1628" s="113" t="n"/>
      <c r="P1628" s="398" t="n"/>
      <c r="Q1628" s="398" t="n"/>
      <c r="R1628" s="113" t="n"/>
      <c r="S1628" s="113" t="n"/>
      <c r="T1628" s="113" t="n"/>
      <c r="U1628" s="113" t="n"/>
      <c r="V1628" s="113" t="n"/>
    </row>
    <row r="1629" ht="15.75" customHeight="1">
      <c r="A1629" s="146" t="n">
        <v>28</v>
      </c>
      <c r="B1629" s="238" t="n"/>
      <c r="C1629" s="399" t="n">
        <v>45996</v>
      </c>
      <c r="D1629" s="146" t="inlineStr">
        <is>
          <t>218 G. SAN JOSE 1</t>
        </is>
      </c>
      <c r="E1629" s="146" t="n">
        <v>44841</v>
      </c>
      <c r="F1629" s="146" t="inlineStr">
        <is>
          <t>WILMER PIÑEROS</t>
        </is>
      </c>
      <c r="G1629" s="395" t="n">
        <v>3520</v>
      </c>
      <c r="H1629" s="395" t="n">
        <v>3513</v>
      </c>
      <c r="I1629" s="395" t="n">
        <v>5</v>
      </c>
      <c r="J1629" s="395" t="n">
        <v>7</v>
      </c>
      <c r="K1629" s="395" t="n">
        <v>5</v>
      </c>
      <c r="L1629" s="397" t="n">
        <v>3520</v>
      </c>
      <c r="M1629" s="113" t="n"/>
      <c r="N1629" s="113" t="n"/>
      <c r="O1629" s="113" t="n"/>
      <c r="P1629" s="398" t="n"/>
      <c r="Q1629" s="398" t="n"/>
      <c r="R1629" s="113" t="n"/>
      <c r="S1629" s="113" t="n"/>
      <c r="T1629" s="113" t="n"/>
      <c r="U1629" s="113" t="n"/>
      <c r="V1629" s="113" t="n"/>
    </row>
    <row r="1630" ht="15.75" customHeight="1">
      <c r="A1630" s="146" t="n">
        <v>28</v>
      </c>
      <c r="B1630" s="238" t="n"/>
      <c r="C1630" s="399" t="n">
        <v>45996</v>
      </c>
      <c r="D1630" s="146" t="inlineStr">
        <is>
          <t>218 G. SAN JOSE 1</t>
        </is>
      </c>
      <c r="E1630" s="146" t="n">
        <v>44842</v>
      </c>
      <c r="F1630" s="146" t="inlineStr">
        <is>
          <t>FABIO ALDANA</t>
        </is>
      </c>
      <c r="G1630" s="395" t="n">
        <v>3520</v>
      </c>
      <c r="H1630" s="395" t="n">
        <v>3507</v>
      </c>
      <c r="I1630" s="395" t="n">
        <v>5</v>
      </c>
      <c r="J1630" s="395" t="n">
        <v>6</v>
      </c>
      <c r="K1630" s="395" t="n">
        <v>-2</v>
      </c>
      <c r="L1630" s="397" t="n">
        <v>3520</v>
      </c>
      <c r="M1630" s="113" t="n"/>
      <c r="N1630" s="113" t="n"/>
      <c r="O1630" s="113" t="n"/>
      <c r="P1630" s="398" t="n"/>
      <c r="Q1630" s="398" t="n"/>
      <c r="R1630" s="113" t="n"/>
      <c r="S1630" s="113" t="n"/>
      <c r="T1630" s="113" t="n"/>
      <c r="U1630" s="113" t="n"/>
      <c r="V1630" s="113" t="n"/>
    </row>
    <row r="1631" ht="15.75" customHeight="1">
      <c r="A1631" s="146" t="n">
        <v>28</v>
      </c>
      <c r="B1631" s="238" t="n"/>
      <c r="C1631" s="399" t="n">
        <v>45996</v>
      </c>
      <c r="D1631" s="146" t="inlineStr">
        <is>
          <t>218 G. SAN JOSE 1</t>
        </is>
      </c>
      <c r="E1631" s="146" t="n">
        <v>44843</v>
      </c>
      <c r="F1631" s="146" t="inlineStr">
        <is>
          <t>MANUEL QUITIAN</t>
        </is>
      </c>
      <c r="G1631" s="395" t="n">
        <v>3520</v>
      </c>
      <c r="H1631" s="395" t="n">
        <v>3510</v>
      </c>
      <c r="I1631" s="395" t="n">
        <v>3</v>
      </c>
      <c r="J1631" s="395" t="n">
        <v>5</v>
      </c>
      <c r="K1631" s="395" t="n">
        <v>-2</v>
      </c>
      <c r="L1631" s="397" t="n">
        <v>3520</v>
      </c>
      <c r="M1631" s="113" t="n"/>
      <c r="N1631" s="113" t="n"/>
      <c r="O1631" s="113" t="n"/>
      <c r="P1631" s="398" t="n"/>
      <c r="Q1631" s="398" t="n"/>
      <c r="R1631" s="113" t="n"/>
      <c r="S1631" s="113" t="n"/>
      <c r="T1631" s="113" t="n"/>
      <c r="U1631" s="113" t="n"/>
      <c r="V1631" s="113" t="n"/>
    </row>
    <row r="1632" ht="15.75" customHeight="1">
      <c r="A1632" s="146" t="n">
        <v>28</v>
      </c>
      <c r="B1632" s="238" t="n"/>
      <c r="C1632" s="399" t="n">
        <v>45996</v>
      </c>
      <c r="D1632" s="146" t="inlineStr">
        <is>
          <t>218 G. SAN JOSE 1</t>
        </is>
      </c>
      <c r="E1632" s="146" t="n">
        <v>44844</v>
      </c>
      <c r="F1632" s="146" t="inlineStr">
        <is>
          <t>EDUAN CAVIEDES</t>
        </is>
      </c>
      <c r="G1632" s="395" t="n">
        <v>3520</v>
      </c>
      <c r="H1632" s="395" t="n">
        <v>3511</v>
      </c>
      <c r="I1632" s="395" t="n">
        <v>2</v>
      </c>
      <c r="J1632" s="395" t="n">
        <v>5</v>
      </c>
      <c r="K1632" s="395" t="n">
        <v>-2</v>
      </c>
      <c r="L1632" s="397" t="n">
        <v>3520</v>
      </c>
      <c r="M1632" s="113" t="n"/>
      <c r="N1632" s="113" t="n"/>
      <c r="O1632" s="113" t="n"/>
      <c r="P1632" s="398" t="n"/>
      <c r="Q1632" s="398" t="n"/>
      <c r="R1632" s="113" t="n"/>
      <c r="S1632" s="113" t="n"/>
      <c r="T1632" s="113" t="n"/>
      <c r="U1632" s="113" t="n"/>
      <c r="V1632" s="113" t="n"/>
    </row>
    <row r="1633" ht="15.75" customHeight="1">
      <c r="A1633" s="146" t="n">
        <v>28</v>
      </c>
      <c r="B1633" s="238" t="n"/>
      <c r="C1633" s="399" t="n">
        <v>45996</v>
      </c>
      <c r="D1633" s="146" t="inlineStr">
        <is>
          <t>218 G. SAN JOSE 1</t>
        </is>
      </c>
      <c r="E1633" s="146" t="n">
        <v>44845</v>
      </c>
      <c r="F1633" s="146" t="inlineStr">
        <is>
          <t>ALBERTO HERRERA</t>
        </is>
      </c>
      <c r="G1633" s="395" t="n">
        <v>3520</v>
      </c>
      <c r="H1633" s="395" t="n">
        <v>3510</v>
      </c>
      <c r="I1633" s="395" t="n">
        <v>5</v>
      </c>
      <c r="J1633" s="395" t="n">
        <v>3</v>
      </c>
      <c r="K1633" s="395" t="n">
        <v>-2</v>
      </c>
      <c r="L1633" s="397" t="n">
        <v>3520</v>
      </c>
      <c r="M1633" s="113" t="n"/>
      <c r="N1633" s="113" t="n"/>
      <c r="O1633" s="113" t="n"/>
      <c r="P1633" s="398" t="n"/>
      <c r="Q1633" s="398" t="n"/>
      <c r="R1633" s="113" t="n"/>
      <c r="S1633" s="113" t="n"/>
      <c r="T1633" s="113" t="n"/>
      <c r="U1633" s="113" t="n"/>
      <c r="V1633" s="113" t="n"/>
    </row>
    <row r="1634" ht="15.75" customHeight="1">
      <c r="A1634" s="146" t="n">
        <v>28</v>
      </c>
      <c r="B1634" s="238" t="n"/>
      <c r="C1634" s="399" t="n">
        <v>45996</v>
      </c>
      <c r="D1634" s="146" t="inlineStr">
        <is>
          <t>218 G. SAN JOSE 1</t>
        </is>
      </c>
      <c r="E1634" s="146" t="n">
        <v>44853</v>
      </c>
      <c r="F1634" s="146" t="inlineStr">
        <is>
          <t>WILMER PIÑEROS</t>
        </is>
      </c>
      <c r="G1634" s="395" t="n">
        <v>3520</v>
      </c>
      <c r="H1634" s="395" t="n">
        <v>3506</v>
      </c>
      <c r="I1634" s="395" t="n">
        <v>1</v>
      </c>
      <c r="J1634" s="395" t="n">
        <v>4</v>
      </c>
      <c r="K1634" s="395" t="n">
        <v>-9</v>
      </c>
      <c r="L1634" s="397" t="n">
        <v>3520</v>
      </c>
      <c r="M1634" s="113" t="n"/>
      <c r="N1634" s="113" t="n"/>
      <c r="O1634" s="113" t="n"/>
      <c r="P1634" s="398" t="n"/>
      <c r="Q1634" s="398" t="n"/>
      <c r="R1634" s="113" t="n"/>
      <c r="S1634" s="113" t="n"/>
      <c r="T1634" s="113" t="n"/>
      <c r="U1634" s="113" t="n"/>
      <c r="V1634" s="113" t="n"/>
    </row>
    <row r="1635" ht="15.75" customHeight="1">
      <c r="A1635" s="146" t="n">
        <v>28</v>
      </c>
      <c r="B1635" s="238" t="n"/>
      <c r="C1635" s="399" t="n">
        <v>45996</v>
      </c>
      <c r="D1635" s="146" t="inlineStr">
        <is>
          <t>218 G. SAN JOSE 1</t>
        </is>
      </c>
      <c r="E1635" s="146" t="n">
        <v>44854</v>
      </c>
      <c r="F1635" s="146" t="inlineStr">
        <is>
          <t>MANUEL QUITIAN</t>
        </is>
      </c>
      <c r="G1635" s="395" t="n">
        <v>3520</v>
      </c>
      <c r="H1635" s="395" t="n">
        <v>3511</v>
      </c>
      <c r="I1635" s="395" t="n">
        <v>2</v>
      </c>
      <c r="J1635" s="395" t="n">
        <v>4</v>
      </c>
      <c r="K1635" s="395" t="n">
        <v>-3</v>
      </c>
      <c r="L1635" s="397" t="n">
        <v>3520</v>
      </c>
      <c r="M1635" s="113" t="n"/>
      <c r="N1635" s="113" t="n"/>
      <c r="O1635" s="113" t="n"/>
      <c r="P1635" s="398" t="n"/>
      <c r="Q1635" s="398" t="n"/>
      <c r="R1635" s="113" t="n"/>
      <c r="S1635" s="113" t="n"/>
      <c r="T1635" s="113" t="n"/>
      <c r="U1635" s="113" t="n"/>
      <c r="V1635" s="113" t="n"/>
    </row>
    <row r="1636" ht="15.75" customHeight="1">
      <c r="A1636" s="146" t="n">
        <v>28</v>
      </c>
      <c r="B1636" s="238" t="n"/>
      <c r="C1636" s="399" t="n">
        <v>45996</v>
      </c>
      <c r="D1636" s="146" t="inlineStr">
        <is>
          <t>218 G. SAN JOSE 1</t>
        </is>
      </c>
      <c r="E1636" s="146" t="n">
        <v>44855</v>
      </c>
      <c r="F1636" s="146" t="inlineStr">
        <is>
          <t>ALBERTO HERRERA</t>
        </is>
      </c>
      <c r="G1636" s="395" t="n">
        <v>3520</v>
      </c>
      <c r="H1636" s="395" t="n">
        <v>3505</v>
      </c>
      <c r="I1636" s="395" t="n">
        <v>3</v>
      </c>
      <c r="J1636" s="395" t="n">
        <v>7</v>
      </c>
      <c r="K1636" s="395" t="n">
        <v>-5</v>
      </c>
      <c r="L1636" s="397" t="n">
        <v>3520</v>
      </c>
      <c r="M1636" s="113" t="n"/>
      <c r="N1636" s="113" t="n"/>
      <c r="O1636" s="113" t="n"/>
      <c r="P1636" s="398" t="n"/>
      <c r="Q1636" s="398" t="n"/>
      <c r="R1636" s="113" t="n"/>
      <c r="S1636" s="113" t="n"/>
      <c r="T1636" s="113" t="n"/>
      <c r="U1636" s="113" t="n"/>
      <c r="V1636" s="113" t="n"/>
    </row>
    <row r="1637" ht="15.75" customHeight="1">
      <c r="A1637" s="146" t="n">
        <v>28</v>
      </c>
      <c r="B1637" s="238" t="n"/>
      <c r="C1637" s="399" t="n">
        <v>45996</v>
      </c>
      <c r="D1637" s="146" t="inlineStr">
        <is>
          <t>218 G. SAN JOSE 1</t>
        </is>
      </c>
      <c r="E1637" s="146" t="n">
        <v>44856</v>
      </c>
      <c r="F1637" s="146" t="inlineStr">
        <is>
          <t>YAIR RIVEROS</t>
        </is>
      </c>
      <c r="G1637" s="395" t="n">
        <v>3520</v>
      </c>
      <c r="H1637" s="395" t="n">
        <v>3508</v>
      </c>
      <c r="I1637" s="395" t="n">
        <v>2</v>
      </c>
      <c r="J1637" s="395" t="n">
        <v>3</v>
      </c>
      <c r="K1637" s="395" t="n">
        <v>-7</v>
      </c>
      <c r="L1637" s="397" t="n">
        <v>3520</v>
      </c>
      <c r="M1637" s="113" t="n"/>
      <c r="N1637" s="113" t="n"/>
      <c r="O1637" s="113" t="n"/>
      <c r="P1637" s="398" t="n"/>
      <c r="Q1637" s="398" t="n"/>
      <c r="R1637" s="113" t="n"/>
      <c r="S1637" s="113" t="n"/>
      <c r="T1637" s="113" t="n"/>
      <c r="U1637" s="113" t="n"/>
      <c r="V1637" s="113" t="n"/>
    </row>
    <row r="1638" ht="15.75" customHeight="1">
      <c r="A1638" s="146" t="n">
        <v>28</v>
      </c>
      <c r="B1638" s="238" t="n"/>
      <c r="C1638" s="399" t="n">
        <v>45997</v>
      </c>
      <c r="D1638" s="146" t="inlineStr">
        <is>
          <t>218 G. SAN JOSE 1</t>
        </is>
      </c>
      <c r="E1638" s="146" t="n">
        <v>44871</v>
      </c>
      <c r="F1638" s="146" t="inlineStr">
        <is>
          <t>DUMAR ANGARITA</t>
        </is>
      </c>
      <c r="G1638" s="395" t="n">
        <v>3240</v>
      </c>
      <c r="H1638" s="395" t="n">
        <v>3218</v>
      </c>
      <c r="I1638" s="395" t="n">
        <v>7</v>
      </c>
      <c r="J1638" s="395" t="n">
        <v>7</v>
      </c>
      <c r="K1638" s="395" t="n">
        <v>-8</v>
      </c>
      <c r="L1638" s="397" t="n">
        <v>3240</v>
      </c>
      <c r="M1638" s="113" t="n"/>
      <c r="N1638" s="113" t="n"/>
      <c r="O1638" s="113" t="n"/>
      <c r="P1638" s="398" t="n"/>
      <c r="Q1638" s="398" t="n"/>
      <c r="R1638" s="113" t="n"/>
      <c r="S1638" s="113" t="n"/>
      <c r="T1638" s="113" t="n"/>
      <c r="U1638" s="113" t="n"/>
      <c r="V1638" s="113" t="n"/>
    </row>
    <row r="1639" ht="15.75" customHeight="1">
      <c r="A1639" s="146" t="n">
        <v>28</v>
      </c>
      <c r="B1639" s="238" t="n"/>
      <c r="C1639" s="399" t="n">
        <v>45997</v>
      </c>
      <c r="D1639" s="146" t="inlineStr">
        <is>
          <t>218 G. SAN JOSE 1</t>
        </is>
      </c>
      <c r="E1639" s="146" t="n">
        <v>44872</v>
      </c>
      <c r="F1639" s="146" t="inlineStr">
        <is>
          <t>ALEX GOMEZ</t>
        </is>
      </c>
      <c r="G1639" s="395" t="n">
        <v>3240</v>
      </c>
      <c r="H1639" s="395" t="n">
        <v>3220</v>
      </c>
      <c r="I1639" s="395" t="n">
        <v>4</v>
      </c>
      <c r="J1639" s="395" t="n">
        <v>7</v>
      </c>
      <c r="K1639" s="395" t="n">
        <v>-9</v>
      </c>
      <c r="L1639" s="397" t="n">
        <v>3240</v>
      </c>
      <c r="M1639" s="113" t="n"/>
      <c r="N1639" s="113" t="n"/>
      <c r="O1639" s="113" t="n"/>
      <c r="P1639" s="398" t="n"/>
      <c r="Q1639" s="398" t="n"/>
      <c r="R1639" s="113" t="n"/>
      <c r="S1639" s="113" t="n"/>
      <c r="T1639" s="113" t="n"/>
      <c r="U1639" s="113" t="n"/>
      <c r="V1639" s="113" t="n"/>
    </row>
    <row r="1640" ht="15.75" customHeight="1">
      <c r="A1640" s="146" t="n">
        <v>28</v>
      </c>
      <c r="B1640" s="238" t="n"/>
      <c r="C1640" s="399" t="n">
        <v>45997</v>
      </c>
      <c r="D1640" s="146" t="inlineStr">
        <is>
          <t>218 G. SAN JOSE 1</t>
        </is>
      </c>
      <c r="E1640" s="146" t="n">
        <v>44873</v>
      </c>
      <c r="F1640" s="146" t="inlineStr">
        <is>
          <t>JAIRO CUBILLOS</t>
        </is>
      </c>
      <c r="G1640" s="395" t="n">
        <v>1610</v>
      </c>
      <c r="H1640" s="395" t="n">
        <v>1595</v>
      </c>
      <c r="I1640" s="395" t="n">
        <v>5</v>
      </c>
      <c r="J1640" s="395" t="n">
        <v>3</v>
      </c>
      <c r="K1640" s="395" t="n">
        <v>-7</v>
      </c>
      <c r="L1640" s="397" t="n">
        <v>1610</v>
      </c>
      <c r="M1640" s="113" t="n"/>
      <c r="N1640" s="113" t="n"/>
      <c r="O1640" s="113" t="n"/>
      <c r="P1640" s="398" t="n"/>
      <c r="Q1640" s="398" t="n"/>
      <c r="R1640" s="113" t="n"/>
      <c r="S1640" s="113" t="n"/>
      <c r="T1640" s="113" t="n"/>
      <c r="U1640" s="113" t="n"/>
      <c r="V1640" s="113" t="n"/>
    </row>
    <row r="1641" ht="15.75" customHeight="1">
      <c r="A1641" s="146" t="n">
        <v>28</v>
      </c>
      <c r="B1641" s="238" t="n"/>
      <c r="C1641" s="399" t="n">
        <v>45997</v>
      </c>
      <c r="D1641" s="146" t="inlineStr">
        <is>
          <t>218 G. SAN JOSE 1</t>
        </is>
      </c>
      <c r="E1641" s="146" t="n">
        <v>44874</v>
      </c>
      <c r="F1641" s="146" t="inlineStr">
        <is>
          <t>JHON ARIAS</t>
        </is>
      </c>
      <c r="G1641" s="395" t="n">
        <v>3640</v>
      </c>
      <c r="H1641" s="395" t="n">
        <v>3640</v>
      </c>
      <c r="I1641" s="395" t="n">
        <v>3</v>
      </c>
      <c r="J1641" s="395" t="n">
        <v>3</v>
      </c>
      <c r="K1641" s="395" t="n">
        <v>6</v>
      </c>
      <c r="L1641" s="397" t="n">
        <v>3638</v>
      </c>
      <c r="M1641" s="113" t="n"/>
      <c r="N1641" s="113" t="n"/>
      <c r="O1641" s="113" t="n"/>
      <c r="P1641" s="398" t="n"/>
      <c r="Q1641" s="398" t="n"/>
      <c r="R1641" s="113" t="n"/>
      <c r="S1641" s="113" t="n"/>
      <c r="T1641" s="113" t="n"/>
      <c r="U1641" s="113" t="n"/>
      <c r="V1641" s="113" t="n"/>
    </row>
    <row r="1642" ht="15.75" customHeight="1">
      <c r="A1642" s="146" t="n">
        <v>28</v>
      </c>
      <c r="B1642" s="238" t="n"/>
      <c r="C1642" s="399" t="n">
        <v>45997</v>
      </c>
      <c r="D1642" s="146" t="inlineStr">
        <is>
          <t>218 G. SAN JOSE 1</t>
        </is>
      </c>
      <c r="E1642" s="146" t="n">
        <v>44875</v>
      </c>
      <c r="F1642" s="146" t="inlineStr">
        <is>
          <t>ROBINSON PULIDO</t>
        </is>
      </c>
      <c r="G1642" s="395" t="n">
        <v>3640</v>
      </c>
      <c r="H1642" s="395" t="n">
        <v>3635</v>
      </c>
      <c r="I1642" s="395" t="n">
        <v>2</v>
      </c>
      <c r="J1642" s="395" t="n">
        <v>6</v>
      </c>
      <c r="K1642" s="395" t="n">
        <v>3</v>
      </c>
      <c r="L1642" s="397" t="n">
        <v>3638</v>
      </c>
      <c r="M1642" s="113" t="n"/>
      <c r="N1642" s="113" t="n"/>
      <c r="O1642" s="113" t="n"/>
      <c r="P1642" s="398" t="n"/>
      <c r="Q1642" s="398" t="n"/>
      <c r="R1642" s="113" t="n"/>
      <c r="S1642" s="113" t="n"/>
      <c r="T1642" s="113" t="n"/>
      <c r="U1642" s="113" t="n"/>
      <c r="V1642" s="113" t="n"/>
    </row>
    <row r="1643" ht="15.75" customHeight="1">
      <c r="A1643" s="146" t="n">
        <v>28</v>
      </c>
      <c r="B1643" s="238" t="n"/>
      <c r="C1643" s="399" t="n">
        <v>45997</v>
      </c>
      <c r="D1643" s="146" t="inlineStr">
        <is>
          <t>218 G. SAN JOSE 1</t>
        </is>
      </c>
      <c r="E1643" s="146" t="n">
        <v>44876</v>
      </c>
      <c r="F1643" s="146" t="inlineStr">
        <is>
          <t>EDUAN CAVIEDES</t>
        </is>
      </c>
      <c r="G1643" s="395" t="n">
        <v>3360</v>
      </c>
      <c r="H1643" s="395" t="n">
        <v>3352</v>
      </c>
      <c r="I1643" s="395" t="n">
        <v>4</v>
      </c>
      <c r="J1643" s="395" t="n">
        <v>6</v>
      </c>
      <c r="K1643" s="395" t="n">
        <v>2</v>
      </c>
      <c r="L1643" s="397" t="n">
        <v>3360</v>
      </c>
      <c r="M1643" s="113" t="n"/>
      <c r="N1643" s="113" t="n"/>
      <c r="O1643" s="113" t="n"/>
      <c r="P1643" s="398" t="n"/>
      <c r="Q1643" s="398" t="n"/>
      <c r="R1643" s="113" t="n"/>
      <c r="S1643" s="113" t="n"/>
      <c r="T1643" s="113" t="n"/>
      <c r="U1643" s="113" t="n"/>
      <c r="V1643" s="113" t="n"/>
    </row>
    <row r="1644" ht="15.75" customHeight="1">
      <c r="A1644" s="146" t="n">
        <v>28</v>
      </c>
      <c r="B1644" s="238" t="n"/>
      <c r="C1644" s="399" t="n">
        <v>45997</v>
      </c>
      <c r="D1644" s="146" t="inlineStr">
        <is>
          <t>218 G. SAN JOSE 1</t>
        </is>
      </c>
      <c r="E1644" s="146" t="n">
        <v>44877</v>
      </c>
      <c r="F1644" s="146" t="inlineStr">
        <is>
          <t>WILMER PIÑEROS</t>
        </is>
      </c>
      <c r="G1644" s="395" t="n">
        <v>3360</v>
      </c>
      <c r="H1644" s="395" t="n">
        <v>3353</v>
      </c>
      <c r="I1644" s="395" t="n">
        <v>3</v>
      </c>
      <c r="J1644" s="395" t="n">
        <v>5</v>
      </c>
      <c r="K1644" s="395" t="n">
        <v>1</v>
      </c>
      <c r="L1644" s="397" t="n">
        <v>3360</v>
      </c>
      <c r="M1644" s="113" t="n"/>
      <c r="N1644" s="113" t="n"/>
      <c r="O1644" s="113" t="n"/>
      <c r="P1644" s="398" t="n"/>
      <c r="Q1644" s="398" t="n"/>
      <c r="R1644" s="113" t="n"/>
      <c r="S1644" s="113" t="n"/>
      <c r="T1644" s="113" t="n"/>
      <c r="U1644" s="113" t="n"/>
      <c r="V1644" s="113" t="n"/>
    </row>
    <row r="1645" ht="15.75" customHeight="1">
      <c r="A1645" s="146" t="n">
        <v>28</v>
      </c>
      <c r="B1645" s="238" t="n"/>
      <c r="C1645" s="399" t="n">
        <v>45997</v>
      </c>
      <c r="D1645" s="146" t="inlineStr">
        <is>
          <t>218 G. SAN JOSE 1</t>
        </is>
      </c>
      <c r="E1645" s="146" t="n">
        <v>44878</v>
      </c>
      <c r="F1645" s="146" t="inlineStr">
        <is>
          <t>ALBERTO HERRERA</t>
        </is>
      </c>
      <c r="G1645" s="395" t="n">
        <v>3360</v>
      </c>
      <c r="H1645" s="395" t="n">
        <v>3365</v>
      </c>
      <c r="I1645" s="395" t="n">
        <v>6</v>
      </c>
      <c r="J1645" s="395" t="n">
        <v>4</v>
      </c>
      <c r="K1645" s="395" t="n">
        <v>15</v>
      </c>
      <c r="L1645" s="397" t="n">
        <v>3360</v>
      </c>
      <c r="M1645" s="113" t="n"/>
      <c r="N1645" s="113" t="n"/>
      <c r="O1645" s="113" t="n"/>
      <c r="P1645" s="398" t="n"/>
      <c r="Q1645" s="398" t="n"/>
      <c r="R1645" s="113" t="n"/>
      <c r="S1645" s="113" t="n"/>
      <c r="T1645" s="113" t="n"/>
      <c r="U1645" s="113" t="n"/>
      <c r="V1645" s="113" t="n"/>
    </row>
    <row r="1646" ht="15.75" customHeight="1">
      <c r="A1646" s="146" t="n">
        <v>28</v>
      </c>
      <c r="B1646" s="238" t="n"/>
      <c r="C1646" s="399" t="n"/>
      <c r="D1646" s="113" t="n"/>
      <c r="E1646" s="113" t="n"/>
      <c r="F1646" s="113" t="n"/>
      <c r="G1646" s="477">
        <f>SUBTOTAL(9,G1579:G1645)</f>
        <v/>
      </c>
      <c r="H1646" s="477">
        <f>SUBTOTAL(9,H1579:H1645)</f>
        <v/>
      </c>
      <c r="I1646" s="477">
        <f>SUBTOTAL(9,I1579:I1645)</f>
        <v/>
      </c>
      <c r="J1646" s="477">
        <f>SUBTOTAL(9,J1579:J1645)</f>
        <v/>
      </c>
      <c r="K1646" s="477">
        <f>SUBTOTAL(9,K1579:K1645)</f>
        <v/>
      </c>
      <c r="L1646" s="477">
        <f>SUBTOTAL(9,L1579:L1645)</f>
        <v/>
      </c>
      <c r="M1646" s="113" t="n"/>
      <c r="N1646" s="113" t="n"/>
      <c r="O1646" s="113" t="n"/>
      <c r="P1646" s="398" t="n"/>
      <c r="Q1646" s="398" t="n"/>
      <c r="R1646" s="113" t="n"/>
      <c r="S1646" s="113" t="n"/>
      <c r="T1646" s="113" t="n"/>
      <c r="U1646" s="113" t="n"/>
      <c r="V1646" s="113" t="n"/>
    </row>
    <row r="1647" ht="15.75" customHeight="1">
      <c r="A1647" s="146" t="n">
        <v>29</v>
      </c>
      <c r="B1647" s="238" t="n"/>
      <c r="C1647" s="399" t="n">
        <v>45998</v>
      </c>
      <c r="D1647" s="146" t="inlineStr">
        <is>
          <t>218 G. SAN JOSE 1</t>
        </is>
      </c>
      <c r="E1647" s="146" t="n">
        <v>44893</v>
      </c>
      <c r="F1647" s="146" t="inlineStr">
        <is>
          <t>WILMER PIÑEROS</t>
        </is>
      </c>
      <c r="G1647" s="395" t="n">
        <v>3480</v>
      </c>
      <c r="H1647" s="395" t="n">
        <v>3474</v>
      </c>
      <c r="I1647" s="395" t="n">
        <v>5</v>
      </c>
      <c r="J1647" s="395" t="n">
        <v>6</v>
      </c>
      <c r="K1647" s="395" t="n">
        <v>5</v>
      </c>
      <c r="L1647" s="397" t="n">
        <v>3480</v>
      </c>
      <c r="M1647" s="113" t="n"/>
      <c r="N1647" s="113" t="n"/>
      <c r="O1647" s="113" t="n"/>
      <c r="P1647" s="398" t="n"/>
      <c r="Q1647" s="398" t="n"/>
      <c r="R1647" s="113" t="n"/>
      <c r="S1647" s="113" t="n"/>
      <c r="T1647" s="113" t="n"/>
      <c r="U1647" s="113" t="n"/>
      <c r="V1647" s="113" t="n"/>
    </row>
    <row r="1648" ht="15.75" customHeight="1">
      <c r="A1648" s="146" t="n">
        <v>29</v>
      </c>
      <c r="B1648" s="238" t="n"/>
      <c r="C1648" s="399" t="n">
        <v>45998</v>
      </c>
      <c r="D1648" s="146" t="inlineStr">
        <is>
          <t>218 G. SAN JOSE 1</t>
        </is>
      </c>
      <c r="E1648" s="146" t="n">
        <v>44894</v>
      </c>
      <c r="F1648" s="146" t="inlineStr">
        <is>
          <t>EDWIN ROJAS</t>
        </is>
      </c>
      <c r="G1648" s="395" t="n">
        <v>3480</v>
      </c>
      <c r="H1648" s="395" t="n">
        <v>3473</v>
      </c>
      <c r="I1648" s="395" t="n">
        <v>6</v>
      </c>
      <c r="J1648" s="395" t="n">
        <v>7</v>
      </c>
      <c r="K1648" s="395" t="n">
        <v>6</v>
      </c>
      <c r="L1648" s="397" t="n">
        <v>3480</v>
      </c>
      <c r="M1648" s="113" t="n"/>
      <c r="N1648" s="113" t="n"/>
      <c r="O1648" s="113" t="n"/>
      <c r="P1648" s="398" t="n"/>
      <c r="Q1648" s="398" t="n"/>
      <c r="R1648" s="113" t="n"/>
      <c r="S1648" s="113" t="n"/>
      <c r="T1648" s="113" t="n"/>
      <c r="U1648" s="113" t="n"/>
      <c r="V1648" s="113" t="n"/>
    </row>
    <row r="1649" ht="15.75" customHeight="1">
      <c r="A1649" s="146" t="n">
        <v>29</v>
      </c>
      <c r="B1649" s="238" t="n"/>
      <c r="C1649" s="399" t="n">
        <v>45998</v>
      </c>
      <c r="D1649" s="146" t="inlineStr">
        <is>
          <t>218 G. SAN JOSE 1</t>
        </is>
      </c>
      <c r="E1649" s="146" t="n">
        <v>44895</v>
      </c>
      <c r="F1649" s="146" t="inlineStr">
        <is>
          <t>DIEGO NIÑO</t>
        </is>
      </c>
      <c r="G1649" s="395" t="n">
        <v>3480</v>
      </c>
      <c r="H1649" s="395" t="n">
        <v>3471</v>
      </c>
      <c r="I1649" s="395" t="n">
        <v>4</v>
      </c>
      <c r="J1649" s="395" t="n">
        <v>4</v>
      </c>
      <c r="K1649" s="395" t="n">
        <v>-1</v>
      </c>
      <c r="L1649" s="397" t="n">
        <v>3480</v>
      </c>
      <c r="M1649" s="113" t="n"/>
      <c r="N1649" s="113" t="n"/>
      <c r="O1649" s="113" t="n"/>
      <c r="P1649" s="398" t="n"/>
      <c r="Q1649" s="398" t="n"/>
      <c r="R1649" s="113" t="n"/>
      <c r="S1649" s="113" t="n"/>
      <c r="T1649" s="113" t="n"/>
      <c r="U1649" s="113" t="n"/>
      <c r="V1649" s="113" t="n"/>
    </row>
    <row r="1650" ht="15.75" customHeight="1">
      <c r="A1650" s="146" t="n">
        <v>29</v>
      </c>
      <c r="B1650" s="238" t="n"/>
      <c r="C1650" s="399" t="n">
        <v>45998</v>
      </c>
      <c r="D1650" s="146" t="inlineStr">
        <is>
          <t>218 G. SAN JOSE 1</t>
        </is>
      </c>
      <c r="E1650" s="146" t="n">
        <v>44896</v>
      </c>
      <c r="F1650" s="146" t="inlineStr">
        <is>
          <t>ALBERTO HERRERA</t>
        </is>
      </c>
      <c r="G1650" s="395" t="n">
        <v>3480</v>
      </c>
      <c r="H1650" s="395" t="n">
        <v>3473</v>
      </c>
      <c r="I1650" s="395" t="n">
        <v>4</v>
      </c>
      <c r="J1650" s="395" t="n">
        <v>3</v>
      </c>
      <c r="K1650" s="395" t="n">
        <v>0</v>
      </c>
      <c r="L1650" s="397" t="n">
        <v>3480</v>
      </c>
      <c r="M1650" s="113" t="n"/>
      <c r="N1650" s="113" t="n"/>
      <c r="O1650" s="113" t="n"/>
      <c r="P1650" s="398" t="n"/>
      <c r="Q1650" s="398" t="n"/>
      <c r="R1650" s="113" t="n"/>
      <c r="S1650" s="113" t="n"/>
      <c r="T1650" s="113" t="n"/>
      <c r="U1650" s="113" t="n"/>
      <c r="V1650" s="113" t="n"/>
    </row>
    <row r="1651" ht="15.75" customHeight="1">
      <c r="A1651" s="146" t="n">
        <v>29</v>
      </c>
      <c r="B1651" s="238" t="n"/>
      <c r="C1651" s="399" t="n">
        <v>45998</v>
      </c>
      <c r="D1651" s="146" t="inlineStr">
        <is>
          <t>218 G. SAN JOSE 1</t>
        </is>
      </c>
      <c r="E1651" s="146" t="n">
        <v>44897</v>
      </c>
      <c r="F1651" s="146" t="inlineStr">
        <is>
          <t>EDUAN CAVIEDES</t>
        </is>
      </c>
      <c r="G1651" s="395" t="n">
        <v>3480</v>
      </c>
      <c r="H1651" s="395" t="n">
        <v>3472</v>
      </c>
      <c r="I1651" s="395" t="n">
        <v>3</v>
      </c>
      <c r="J1651" s="395" t="n">
        <v>3</v>
      </c>
      <c r="K1651" s="395" t="n">
        <v>-2</v>
      </c>
      <c r="L1651" s="397" t="n">
        <v>3480</v>
      </c>
      <c r="M1651" s="113" t="n"/>
      <c r="N1651" s="113" t="n"/>
      <c r="O1651" s="113" t="n"/>
      <c r="P1651" s="398" t="n"/>
      <c r="Q1651" s="398" t="n"/>
      <c r="R1651" s="113" t="n"/>
      <c r="S1651" s="113" t="n"/>
      <c r="T1651" s="113" t="n"/>
      <c r="U1651" s="113" t="n"/>
      <c r="V1651" s="113" t="n"/>
    </row>
    <row r="1652" ht="15.75" customHeight="1">
      <c r="A1652" s="146" t="n">
        <v>29</v>
      </c>
      <c r="B1652" s="238" t="n"/>
      <c r="C1652" s="399" t="n">
        <v>45998</v>
      </c>
      <c r="D1652" s="146" t="inlineStr">
        <is>
          <t>218 G. SAN JOSE 1</t>
        </is>
      </c>
      <c r="E1652" s="146" t="n">
        <v>44898</v>
      </c>
      <c r="F1652" s="146" t="inlineStr">
        <is>
          <t>JHON ARIAS</t>
        </is>
      </c>
      <c r="G1652" s="395" t="n">
        <v>3564</v>
      </c>
      <c r="H1652" s="395" t="n">
        <v>3561</v>
      </c>
      <c r="I1652" s="395" t="n">
        <v>4</v>
      </c>
      <c r="J1652" s="395" t="n">
        <v>4</v>
      </c>
      <c r="K1652" s="395" t="n">
        <v>5</v>
      </c>
      <c r="L1652" s="397" t="n">
        <v>3564</v>
      </c>
      <c r="M1652" s="113" t="n"/>
      <c r="N1652" s="113" t="n"/>
      <c r="O1652" s="113" t="n"/>
      <c r="P1652" s="398" t="n"/>
      <c r="Q1652" s="398" t="n"/>
      <c r="R1652" s="113" t="n"/>
      <c r="S1652" s="113" t="n"/>
      <c r="T1652" s="113" t="n"/>
      <c r="U1652" s="113" t="n"/>
      <c r="V1652" s="113" t="n"/>
    </row>
    <row r="1653" ht="15.75" customHeight="1">
      <c r="A1653" s="146" t="n">
        <v>29</v>
      </c>
      <c r="B1653" s="238" t="n"/>
      <c r="C1653" s="399" t="n">
        <v>45998</v>
      </c>
      <c r="D1653" s="146" t="inlineStr">
        <is>
          <t>218 G. SAN JOSE 1</t>
        </is>
      </c>
      <c r="E1653" s="146" t="n">
        <v>44899</v>
      </c>
      <c r="F1653" s="146" t="inlineStr">
        <is>
          <t>ALEX GOMEZ</t>
        </is>
      </c>
      <c r="G1653" s="395" t="n">
        <v>3575</v>
      </c>
      <c r="H1653" s="395" t="n">
        <v>3569</v>
      </c>
      <c r="I1653" s="395" t="n">
        <v>3</v>
      </c>
      <c r="J1653" s="395" t="n">
        <v>4</v>
      </c>
      <c r="K1653" s="395" t="n">
        <v>1</v>
      </c>
      <c r="L1653" s="397" t="n">
        <v>3564</v>
      </c>
      <c r="M1653" s="113" t="n"/>
      <c r="N1653" s="113" t="n"/>
      <c r="O1653" s="113" t="n"/>
      <c r="P1653" s="398" t="n"/>
      <c r="Q1653" s="398" t="n"/>
      <c r="R1653" s="113" t="n"/>
      <c r="S1653" s="113" t="n"/>
      <c r="T1653" s="113" t="n"/>
      <c r="U1653" s="113" t="n"/>
      <c r="V1653" s="113" t="n"/>
    </row>
    <row r="1654" ht="15.75" customHeight="1">
      <c r="A1654" s="146" t="n">
        <v>29</v>
      </c>
      <c r="B1654" s="238" t="n"/>
      <c r="C1654" s="399" t="n">
        <v>45998</v>
      </c>
      <c r="D1654" s="146" t="inlineStr">
        <is>
          <t>218 G. SAN JOSE 1</t>
        </is>
      </c>
      <c r="E1654" s="146" t="n">
        <v>44900</v>
      </c>
      <c r="F1654" s="146" t="inlineStr">
        <is>
          <t>YAIR RIVEROS</t>
        </is>
      </c>
      <c r="G1654" s="395" t="n">
        <v>3960</v>
      </c>
      <c r="H1654" s="395" t="n">
        <v>3958</v>
      </c>
      <c r="I1654" s="395" t="n">
        <v>4</v>
      </c>
      <c r="J1654" s="395" t="n">
        <v>1</v>
      </c>
      <c r="K1654" s="395" t="n">
        <v>3</v>
      </c>
      <c r="L1654" s="397" t="n">
        <v>3564</v>
      </c>
      <c r="M1654" s="113" t="n"/>
      <c r="N1654" s="113" t="n"/>
      <c r="O1654" s="113" t="n"/>
      <c r="P1654" s="398" t="n"/>
      <c r="Q1654" s="398" t="n"/>
      <c r="R1654" s="113" t="n"/>
      <c r="S1654" s="113" t="n"/>
      <c r="T1654" s="113" t="n"/>
      <c r="U1654" s="113" t="n"/>
      <c r="V1654" s="113" t="n"/>
    </row>
    <row r="1655" ht="15.75" customHeight="1">
      <c r="A1655" s="146" t="n">
        <v>29</v>
      </c>
      <c r="B1655" s="238" t="n"/>
      <c r="C1655" s="399" t="n">
        <v>45998</v>
      </c>
      <c r="D1655" s="146" t="inlineStr">
        <is>
          <t>218 G. SAN JOSE 1</t>
        </is>
      </c>
      <c r="E1655" s="146" t="n">
        <v>44901</v>
      </c>
      <c r="F1655" s="146" t="inlineStr">
        <is>
          <t>DUMAR ANGARITA</t>
        </is>
      </c>
      <c r="G1655" s="395" t="n">
        <v>3564</v>
      </c>
      <c r="H1655" s="395" t="n">
        <v>3581</v>
      </c>
      <c r="I1655" s="395" t="n">
        <v>4</v>
      </c>
      <c r="J1655" s="395" t="n">
        <v>2</v>
      </c>
      <c r="K1655" s="395" t="n">
        <v>23</v>
      </c>
      <c r="L1655" s="397" t="n">
        <v>3564</v>
      </c>
      <c r="M1655" s="113" t="n"/>
      <c r="N1655" s="113" t="n"/>
      <c r="O1655" s="113" t="n"/>
      <c r="P1655" s="398" t="n"/>
      <c r="Q1655" s="398" t="n"/>
      <c r="R1655" s="113" t="n"/>
      <c r="S1655" s="113" t="n"/>
      <c r="T1655" s="113" t="n"/>
      <c r="U1655" s="113" t="n"/>
      <c r="V1655" s="113" t="n"/>
    </row>
    <row r="1656" ht="15.75" customHeight="1">
      <c r="A1656" s="146" t="n">
        <v>29</v>
      </c>
      <c r="B1656" s="238" t="n"/>
      <c r="C1656" s="399" t="n">
        <v>45998</v>
      </c>
      <c r="D1656" s="146" t="inlineStr">
        <is>
          <t>218 G. SAN JOSE 1</t>
        </is>
      </c>
      <c r="E1656" s="146" t="n">
        <v>44902</v>
      </c>
      <c r="F1656" s="146" t="inlineStr">
        <is>
          <t>ALEXANDER CHAGUALA</t>
        </is>
      </c>
      <c r="G1656" s="395" t="n">
        <v>3564</v>
      </c>
      <c r="H1656" s="395" t="n">
        <v>3576</v>
      </c>
      <c r="I1656" s="395" t="n">
        <v>5</v>
      </c>
      <c r="J1656" s="395" t="n">
        <v>3</v>
      </c>
      <c r="K1656" s="395" t="n">
        <v>20</v>
      </c>
      <c r="L1656" s="397" t="n">
        <v>3960</v>
      </c>
      <c r="M1656" s="113" t="n"/>
      <c r="N1656" s="113" t="n"/>
      <c r="O1656" s="113" t="n"/>
      <c r="P1656" s="398" t="n"/>
      <c r="Q1656" s="398" t="n"/>
      <c r="R1656" s="113" t="n"/>
      <c r="S1656" s="113" t="n"/>
      <c r="T1656" s="113" t="n"/>
      <c r="U1656" s="113" t="n"/>
      <c r="V1656" s="113" t="n"/>
    </row>
    <row r="1657" ht="15.75" customHeight="1">
      <c r="A1657" s="146" t="n">
        <v>29</v>
      </c>
      <c r="B1657" s="238" t="n"/>
      <c r="C1657" s="399" t="n">
        <v>45998</v>
      </c>
      <c r="D1657" s="146" t="inlineStr">
        <is>
          <t>218 G. SAN JOSE 1</t>
        </is>
      </c>
      <c r="E1657" s="146" t="n">
        <v>44903</v>
      </c>
      <c r="F1657" s="146" t="inlineStr">
        <is>
          <t>FABIO ALDANA</t>
        </is>
      </c>
      <c r="G1657" s="395" t="n">
        <v>3564</v>
      </c>
      <c r="H1657" s="395" t="n">
        <v>3565</v>
      </c>
      <c r="I1657" s="395" t="n">
        <v>4</v>
      </c>
      <c r="J1657" s="395" t="n">
        <v>9</v>
      </c>
      <c r="K1657" s="395" t="n">
        <v>14</v>
      </c>
      <c r="L1657" s="397" t="n">
        <v>3564</v>
      </c>
      <c r="M1657" s="113" t="n"/>
      <c r="N1657" s="113" t="n"/>
      <c r="O1657" s="113" t="n"/>
      <c r="P1657" s="398" t="n"/>
      <c r="Q1657" s="398" t="n"/>
      <c r="R1657" s="113" t="n"/>
      <c r="S1657" s="113" t="n"/>
      <c r="T1657" s="113" t="n"/>
      <c r="U1657" s="113" t="n"/>
      <c r="V1657" s="113" t="n"/>
    </row>
    <row r="1658" ht="15.75" customHeight="1">
      <c r="A1658" s="146" t="n">
        <v>29</v>
      </c>
      <c r="B1658" s="238" t="n"/>
      <c r="C1658" s="399" t="n">
        <v>46000</v>
      </c>
      <c r="D1658" s="146" t="inlineStr">
        <is>
          <t>218 G. SAN JOSE 1</t>
        </is>
      </c>
      <c r="E1658" s="146" t="n">
        <v>44911</v>
      </c>
      <c r="F1658" s="146" t="inlineStr">
        <is>
          <t>MANUEL QUITIAN</t>
        </is>
      </c>
      <c r="G1658" s="395" t="n">
        <v>3090</v>
      </c>
      <c r="H1658" s="395" t="n">
        <v>3088</v>
      </c>
      <c r="I1658" s="395" t="n">
        <v>5</v>
      </c>
      <c r="J1658" s="395" t="n">
        <v>4</v>
      </c>
      <c r="K1658" s="395" t="n">
        <v>7</v>
      </c>
      <c r="L1658" s="397" t="n">
        <v>3090</v>
      </c>
      <c r="M1658" s="113" t="n"/>
      <c r="N1658" s="113" t="n"/>
      <c r="O1658" s="113" t="n"/>
      <c r="P1658" s="398" t="n"/>
      <c r="Q1658" s="398" t="n"/>
      <c r="R1658" s="113" t="n"/>
      <c r="S1658" s="113" t="n"/>
      <c r="T1658" s="113" t="n"/>
      <c r="U1658" s="113" t="n"/>
      <c r="V1658" s="113" t="n"/>
    </row>
    <row r="1659" ht="15.75" customHeight="1">
      <c r="A1659" s="146" t="n">
        <v>29</v>
      </c>
      <c r="B1659" s="238" t="n"/>
      <c r="C1659" s="399" t="n">
        <v>46000</v>
      </c>
      <c r="D1659" s="146" t="inlineStr">
        <is>
          <t>218 G. SAN JOSE 1</t>
        </is>
      </c>
      <c r="E1659" s="146" t="n">
        <v>44912</v>
      </c>
      <c r="F1659" s="146" t="inlineStr">
        <is>
          <t>JOSE SOLER</t>
        </is>
      </c>
      <c r="G1659" s="395" t="n">
        <v>3090</v>
      </c>
      <c r="H1659" s="395" t="n">
        <v>3087</v>
      </c>
      <c r="I1659" s="395" t="n">
        <v>5</v>
      </c>
      <c r="J1659" s="395" t="n">
        <v>5</v>
      </c>
      <c r="K1659" s="395" t="n">
        <v>7</v>
      </c>
      <c r="L1659" s="397" t="n">
        <v>3090</v>
      </c>
      <c r="M1659" s="113" t="n"/>
      <c r="N1659" s="113" t="n"/>
      <c r="O1659" s="113" t="n"/>
      <c r="P1659" s="398" t="n"/>
      <c r="Q1659" s="398" t="n"/>
      <c r="R1659" s="113" t="n"/>
      <c r="S1659" s="113" t="n"/>
      <c r="T1659" s="113" t="n"/>
      <c r="U1659" s="113" t="n"/>
      <c r="V1659" s="113" t="n"/>
    </row>
    <row r="1660" ht="15.75" customHeight="1">
      <c r="A1660" s="146" t="n">
        <v>29</v>
      </c>
      <c r="B1660" s="238" t="n"/>
      <c r="C1660" s="399" t="n">
        <v>46000</v>
      </c>
      <c r="D1660" s="146" t="inlineStr">
        <is>
          <t>218 G. SAN JOSE 1</t>
        </is>
      </c>
      <c r="E1660" s="146" t="n">
        <v>44913</v>
      </c>
      <c r="F1660" s="146" t="inlineStr">
        <is>
          <t>FABIO ALDANA</t>
        </is>
      </c>
      <c r="G1660" s="395" t="n">
        <v>3090</v>
      </c>
      <c r="H1660" s="395" t="n">
        <v>3082</v>
      </c>
      <c r="I1660" s="395" t="n">
        <v>4</v>
      </c>
      <c r="J1660" s="395" t="n">
        <v>4</v>
      </c>
      <c r="K1660" s="395" t="n">
        <v>0</v>
      </c>
      <c r="L1660" s="397" t="n">
        <v>3090</v>
      </c>
      <c r="M1660" s="113" t="n"/>
      <c r="N1660" s="113" t="n"/>
      <c r="O1660" s="113" t="n"/>
      <c r="P1660" s="398" t="n"/>
      <c r="Q1660" s="398" t="n"/>
      <c r="R1660" s="113" t="n"/>
      <c r="S1660" s="113" t="n"/>
      <c r="T1660" s="113" t="n"/>
      <c r="U1660" s="113" t="n"/>
      <c r="V1660" s="113" t="n"/>
    </row>
    <row r="1661" ht="15.75" customHeight="1">
      <c r="A1661" s="146" t="n">
        <v>29</v>
      </c>
      <c r="B1661" s="238" t="n"/>
      <c r="C1661" s="399" t="n">
        <v>46000</v>
      </c>
      <c r="D1661" s="146" t="inlineStr">
        <is>
          <t>218 G. SAN JOSE 1</t>
        </is>
      </c>
      <c r="E1661" s="146" t="n">
        <v>44914</v>
      </c>
      <c r="F1661" s="146" t="inlineStr">
        <is>
          <t>FERNANDO OYUELA</t>
        </is>
      </c>
      <c r="G1661" s="395" t="n">
        <v>3090</v>
      </c>
      <c r="H1661" s="395" t="n">
        <v>3091</v>
      </c>
      <c r="I1661" s="395" t="n">
        <v>3</v>
      </c>
      <c r="J1661" s="395" t="n">
        <v>5</v>
      </c>
      <c r="K1661" s="395" t="n">
        <v>9</v>
      </c>
      <c r="L1661" s="397" t="n">
        <v>3090</v>
      </c>
      <c r="M1661" s="113" t="n"/>
      <c r="N1661" s="113" t="n"/>
      <c r="O1661" s="113" t="n"/>
      <c r="P1661" s="398" t="n"/>
      <c r="Q1661" s="398" t="n"/>
      <c r="R1661" s="113" t="n"/>
      <c r="S1661" s="113" t="n"/>
      <c r="T1661" s="113" t="n"/>
      <c r="U1661" s="113" t="n"/>
      <c r="V1661" s="113" t="n"/>
    </row>
    <row r="1662" ht="15.75" customHeight="1">
      <c r="A1662" s="146" t="n">
        <v>29</v>
      </c>
      <c r="B1662" s="238" t="n"/>
      <c r="C1662" s="399" t="n">
        <v>46000</v>
      </c>
      <c r="D1662" s="146" t="inlineStr">
        <is>
          <t>218 G. SAN JOSE 1</t>
        </is>
      </c>
      <c r="E1662" s="146" t="n">
        <v>44915</v>
      </c>
      <c r="F1662" s="146" t="inlineStr">
        <is>
          <t>WILMER PIÑEROS</t>
        </is>
      </c>
      <c r="G1662" s="395" t="n">
        <v>3240</v>
      </c>
      <c r="H1662" s="395" t="n">
        <v>3241</v>
      </c>
      <c r="I1662" s="395" t="n">
        <v>3</v>
      </c>
      <c r="J1662" s="395" t="n">
        <v>3</v>
      </c>
      <c r="K1662" s="395" t="n">
        <v>7</v>
      </c>
      <c r="L1662" s="397" t="n">
        <v>3240</v>
      </c>
      <c r="M1662" s="113" t="n"/>
      <c r="N1662" s="113" t="n"/>
      <c r="O1662" s="113" t="n"/>
      <c r="P1662" s="398" t="n"/>
      <c r="Q1662" s="398" t="n"/>
      <c r="R1662" s="113" t="n"/>
      <c r="S1662" s="113" t="n"/>
      <c r="T1662" s="113" t="n"/>
      <c r="U1662" s="113" t="n"/>
      <c r="V1662" s="113" t="n"/>
    </row>
    <row r="1663" ht="15.75" customHeight="1">
      <c r="A1663" s="146" t="n">
        <v>29</v>
      </c>
      <c r="B1663" s="238" t="n"/>
      <c r="C1663" s="399" t="n">
        <v>46001</v>
      </c>
      <c r="D1663" s="146" t="inlineStr">
        <is>
          <t>218 G. SAN JOSE 1</t>
        </is>
      </c>
      <c r="E1663" s="146" t="n">
        <v>44930</v>
      </c>
      <c r="F1663" s="146" t="inlineStr">
        <is>
          <t>JAIRO CUBILLOS</t>
        </is>
      </c>
      <c r="G1663" s="395" t="n">
        <v>3600</v>
      </c>
      <c r="H1663" s="395" t="n">
        <v>3618</v>
      </c>
      <c r="I1663" s="395" t="n">
        <v>2</v>
      </c>
      <c r="J1663" s="395" t="n">
        <v>3</v>
      </c>
      <c r="K1663" s="395" t="n">
        <v>23</v>
      </c>
      <c r="L1663" s="397" t="n">
        <v>3600</v>
      </c>
      <c r="M1663" s="113" t="n"/>
      <c r="N1663" s="113" t="n"/>
      <c r="O1663" s="113" t="n"/>
      <c r="P1663" s="398" t="n"/>
      <c r="Q1663" s="398" t="n"/>
      <c r="R1663" s="113" t="n"/>
      <c r="S1663" s="113" t="n"/>
      <c r="T1663" s="113" t="n"/>
      <c r="U1663" s="113" t="n"/>
      <c r="V1663" s="113" t="n"/>
    </row>
    <row r="1664" ht="15.75" customHeight="1">
      <c r="A1664" s="146" t="n">
        <v>29</v>
      </c>
      <c r="B1664" s="238" t="n"/>
      <c r="C1664" s="399" t="n">
        <v>46001</v>
      </c>
      <c r="D1664" s="146" t="inlineStr">
        <is>
          <t>218 G. SAN JOSE 1</t>
        </is>
      </c>
      <c r="E1664" s="146" t="n">
        <v>44931</v>
      </c>
      <c r="F1664" s="146" t="inlineStr">
        <is>
          <t>ROBINSON PULIDO</t>
        </is>
      </c>
      <c r="G1664" s="395" t="n">
        <v>3240</v>
      </c>
      <c r="H1664" s="395" t="n">
        <v>3249</v>
      </c>
      <c r="I1664" s="395" t="n">
        <v>3</v>
      </c>
      <c r="J1664" s="395" t="n">
        <v>6</v>
      </c>
      <c r="K1664" s="395" t="n">
        <v>18</v>
      </c>
      <c r="L1664" s="397" t="n">
        <v>3240</v>
      </c>
      <c r="M1664" s="113" t="n"/>
      <c r="N1664" s="113" t="n"/>
      <c r="O1664" s="113" t="n"/>
      <c r="P1664" s="398" t="n"/>
      <c r="Q1664" s="398" t="n"/>
      <c r="R1664" s="113" t="n"/>
      <c r="S1664" s="113" t="n"/>
      <c r="T1664" s="113" t="n"/>
      <c r="U1664" s="113" t="n"/>
      <c r="V1664" s="113" t="n"/>
    </row>
    <row r="1665" ht="15.75" customHeight="1">
      <c r="A1665" s="146" t="n">
        <v>29</v>
      </c>
      <c r="B1665" s="238" t="n"/>
      <c r="C1665" s="399" t="n">
        <v>46001</v>
      </c>
      <c r="D1665" s="146" t="inlineStr">
        <is>
          <t>218 G. SAN JOSE 1</t>
        </is>
      </c>
      <c r="E1665" s="146" t="n">
        <v>44932</v>
      </c>
      <c r="F1665" s="146" t="inlineStr">
        <is>
          <t>WILMER PIÑEROS</t>
        </is>
      </c>
      <c r="G1665" s="395" t="n">
        <v>3564</v>
      </c>
      <c r="H1665" s="395" t="n">
        <v>3559</v>
      </c>
      <c r="I1665" s="395" t="n">
        <v>4</v>
      </c>
      <c r="J1665" s="395" t="n">
        <v>5</v>
      </c>
      <c r="K1665" s="395" t="n">
        <v>4</v>
      </c>
      <c r="L1665" s="397" t="n">
        <v>3564</v>
      </c>
      <c r="M1665" s="113" t="n"/>
      <c r="N1665" s="113" t="n"/>
      <c r="O1665" s="113" t="n"/>
      <c r="P1665" s="398" t="n"/>
      <c r="Q1665" s="398" t="n"/>
      <c r="R1665" s="113" t="n"/>
      <c r="S1665" s="113" t="n"/>
      <c r="T1665" s="113" t="n"/>
      <c r="U1665" s="113" t="n"/>
      <c r="V1665" s="113" t="n"/>
    </row>
    <row r="1666" ht="15.75" customHeight="1">
      <c r="A1666" s="146" t="n">
        <v>29</v>
      </c>
      <c r="B1666" s="238" t="n"/>
      <c r="C1666" s="399" t="n">
        <v>46001</v>
      </c>
      <c r="D1666" s="146" t="inlineStr">
        <is>
          <t>218 G. SAN JOSE 1</t>
        </is>
      </c>
      <c r="E1666" s="146" t="n">
        <v>44933</v>
      </c>
      <c r="F1666" s="146" t="inlineStr">
        <is>
          <t>JOSE HERRERA</t>
        </is>
      </c>
      <c r="G1666" s="395" t="n">
        <v>3888</v>
      </c>
      <c r="H1666" s="395" t="n">
        <v>3877</v>
      </c>
      <c r="I1666" s="395" t="n">
        <v>3</v>
      </c>
      <c r="J1666" s="395" t="n">
        <v>3</v>
      </c>
      <c r="K1666" s="395" t="n">
        <v>-5</v>
      </c>
      <c r="L1666" s="397" t="n">
        <v>3888</v>
      </c>
      <c r="M1666" s="113" t="n"/>
      <c r="N1666" s="113" t="n"/>
      <c r="O1666" s="113" t="n"/>
      <c r="P1666" s="398" t="n"/>
      <c r="Q1666" s="398" t="n"/>
      <c r="R1666" s="113" t="n"/>
      <c r="S1666" s="113" t="n"/>
      <c r="T1666" s="113" t="n"/>
      <c r="U1666" s="113" t="n"/>
      <c r="V1666" s="113" t="n"/>
    </row>
    <row r="1667" ht="15.75" customHeight="1">
      <c r="A1667" s="146" t="n">
        <v>29</v>
      </c>
      <c r="B1667" s="238" t="n"/>
      <c r="C1667" s="399" t="n">
        <v>46001</v>
      </c>
      <c r="D1667" s="146" t="inlineStr">
        <is>
          <t>218 G. SAN JOSE 1</t>
        </is>
      </c>
      <c r="E1667" s="146" t="n">
        <v>44934</v>
      </c>
      <c r="F1667" s="146" t="inlineStr">
        <is>
          <t>EDWIN ROJAS</t>
        </is>
      </c>
      <c r="G1667" s="395" t="n">
        <v>2684</v>
      </c>
      <c r="H1667" s="395" t="n">
        <v>2679</v>
      </c>
      <c r="I1667" s="395" t="n">
        <v>3</v>
      </c>
      <c r="J1667" s="395" t="n">
        <v>5</v>
      </c>
      <c r="K1667" s="395" t="n">
        <v>3</v>
      </c>
      <c r="L1667" s="397" t="n">
        <v>2684</v>
      </c>
      <c r="M1667" s="113" t="n"/>
      <c r="N1667" s="113" t="n"/>
      <c r="O1667" s="113" t="n"/>
      <c r="P1667" s="398" t="n"/>
      <c r="Q1667" s="398" t="n"/>
      <c r="R1667" s="113" t="n"/>
      <c r="S1667" s="113" t="n"/>
      <c r="T1667" s="113" t="n"/>
      <c r="U1667" s="113" t="n"/>
      <c r="V1667" s="113" t="n"/>
    </row>
    <row r="1668" ht="15.75" customHeight="1">
      <c r="A1668" s="146" t="n">
        <v>29</v>
      </c>
      <c r="B1668" s="238" t="n"/>
      <c r="C1668" s="495" t="n">
        <v>46002</v>
      </c>
      <c r="D1668" s="23" t="inlineStr">
        <is>
          <t xml:space="preserve">202 G. HUERTAS </t>
        </is>
      </c>
      <c r="E1668" s="23" t="n">
        <v>44949</v>
      </c>
      <c r="F1668" s="23" t="inlineStr">
        <is>
          <t>EDWIN ROJAS</t>
        </is>
      </c>
      <c r="G1668" s="496" t="n">
        <v>2976</v>
      </c>
      <c r="H1668" s="496" t="n">
        <v>2989</v>
      </c>
      <c r="I1668" s="496" t="n">
        <v>3</v>
      </c>
      <c r="J1668" s="496" t="n">
        <v>2</v>
      </c>
      <c r="K1668" s="496" t="n">
        <v>18</v>
      </c>
      <c r="L1668" s="397" t="n">
        <v>2966</v>
      </c>
      <c r="M1668" s="113" t="n"/>
      <c r="N1668" s="113" t="n"/>
      <c r="O1668" s="113" t="n"/>
      <c r="P1668" s="398" t="n"/>
      <c r="Q1668" s="398" t="n"/>
      <c r="R1668" s="113" t="n"/>
      <c r="S1668" s="113" t="n"/>
      <c r="T1668" s="113" t="n"/>
      <c r="U1668" s="113" t="n"/>
      <c r="V1668" s="113" t="n"/>
    </row>
    <row r="1669" ht="15.75" customHeight="1">
      <c r="A1669" s="146" t="n">
        <v>29</v>
      </c>
      <c r="B1669" s="238" t="n"/>
      <c r="C1669" s="495" t="n">
        <v>46002</v>
      </c>
      <c r="D1669" s="23" t="inlineStr">
        <is>
          <t xml:space="preserve">202 G. HUERTAS </t>
        </is>
      </c>
      <c r="E1669" s="23" t="n">
        <v>44950</v>
      </c>
      <c r="F1669" s="23" t="inlineStr">
        <is>
          <t>JOSE HERRERA</t>
        </is>
      </c>
      <c r="G1669" s="496" t="n">
        <v>2976</v>
      </c>
      <c r="H1669" s="496" t="n">
        <v>2989</v>
      </c>
      <c r="I1669" s="496" t="n">
        <v>3</v>
      </c>
      <c r="J1669" s="496" t="n">
        <v>3</v>
      </c>
      <c r="K1669" s="496" t="n">
        <v>19</v>
      </c>
      <c r="L1669" s="397" t="n">
        <v>2976</v>
      </c>
      <c r="M1669" s="113" t="n"/>
      <c r="N1669" s="113" t="n"/>
      <c r="O1669" s="113" t="n"/>
      <c r="P1669" s="398" t="n"/>
      <c r="Q1669" s="398" t="n"/>
      <c r="R1669" s="113" t="n"/>
      <c r="S1669" s="113" t="n"/>
      <c r="T1669" s="113" t="n"/>
      <c r="U1669" s="113" t="n"/>
      <c r="V1669" s="113" t="n"/>
    </row>
    <row r="1670" ht="15.75" customHeight="1">
      <c r="A1670" s="146" t="n">
        <v>29</v>
      </c>
      <c r="B1670" s="238" t="n"/>
      <c r="C1670" s="495" t="n">
        <v>46002</v>
      </c>
      <c r="D1670" s="23" t="inlineStr">
        <is>
          <t xml:space="preserve">202 G. HUERTAS </t>
        </is>
      </c>
      <c r="E1670" s="23" t="n">
        <v>44951</v>
      </c>
      <c r="F1670" s="23" t="inlineStr">
        <is>
          <t>HENRY ROMERO</t>
        </is>
      </c>
      <c r="G1670" s="496" t="n">
        <v>3240</v>
      </c>
      <c r="H1670" s="496" t="n">
        <v>3237</v>
      </c>
      <c r="I1670" s="496" t="n">
        <v>5</v>
      </c>
      <c r="J1670" s="496" t="n">
        <v>5</v>
      </c>
      <c r="K1670" s="496" t="n">
        <v>7</v>
      </c>
      <c r="L1670" s="397" t="n">
        <v>3240</v>
      </c>
      <c r="M1670" s="113" t="n"/>
      <c r="N1670" s="113" t="n"/>
      <c r="O1670" s="113" t="n"/>
      <c r="P1670" s="398" t="n"/>
      <c r="Q1670" s="398" t="n"/>
      <c r="R1670" s="113" t="n"/>
      <c r="S1670" s="113" t="n"/>
      <c r="T1670" s="113" t="n"/>
      <c r="U1670" s="113" t="n"/>
      <c r="V1670" s="113" t="n"/>
    </row>
    <row r="1671" ht="15.75" customHeight="1">
      <c r="A1671" s="146" t="n">
        <v>29</v>
      </c>
      <c r="B1671" s="238" t="n"/>
      <c r="C1671" s="495" t="n">
        <v>46002</v>
      </c>
      <c r="D1671" s="23" t="inlineStr">
        <is>
          <t xml:space="preserve">202 G. HUERTAS </t>
        </is>
      </c>
      <c r="E1671" s="23" t="n">
        <v>44952</v>
      </c>
      <c r="F1671" s="23" t="inlineStr">
        <is>
          <t>DUMAR ANGARITA</t>
        </is>
      </c>
      <c r="G1671" s="496" t="n">
        <v>3240</v>
      </c>
      <c r="H1671" s="496" t="n">
        <v>3241</v>
      </c>
      <c r="I1671" s="496" t="n">
        <v>3</v>
      </c>
      <c r="J1671" s="496" t="n">
        <v>3</v>
      </c>
      <c r="K1671" s="496" t="n">
        <v>7</v>
      </c>
      <c r="L1671" s="397" t="n">
        <v>3240</v>
      </c>
      <c r="M1671" s="113" t="n"/>
      <c r="N1671" s="113" t="n"/>
      <c r="O1671" s="113" t="n"/>
      <c r="P1671" s="398" t="n"/>
      <c r="Q1671" s="398" t="n"/>
      <c r="R1671" s="113" t="n"/>
      <c r="S1671" s="113" t="n"/>
      <c r="T1671" s="113" t="n"/>
      <c r="U1671" s="113" t="n"/>
      <c r="V1671" s="113" t="n"/>
    </row>
    <row r="1672" ht="15.75" customHeight="1">
      <c r="A1672" s="146" t="n">
        <v>29</v>
      </c>
      <c r="B1672" s="238" t="n"/>
      <c r="C1672" s="495" t="n">
        <v>46002</v>
      </c>
      <c r="D1672" s="23" t="inlineStr">
        <is>
          <t xml:space="preserve">202 G. HUERTAS </t>
        </is>
      </c>
      <c r="E1672" s="23" t="n">
        <v>44953</v>
      </c>
      <c r="F1672" s="23" t="inlineStr">
        <is>
          <t>FERNANDO OYUELA</t>
        </is>
      </c>
      <c r="G1672" s="496" t="n">
        <v>3240</v>
      </c>
      <c r="H1672" s="496" t="n">
        <v>3237</v>
      </c>
      <c r="I1672" s="496" t="n">
        <v>3</v>
      </c>
      <c r="J1672" s="496" t="n">
        <v>4</v>
      </c>
      <c r="K1672" s="496" t="n">
        <v>4</v>
      </c>
      <c r="L1672" s="397" t="n">
        <v>3240</v>
      </c>
      <c r="M1672" s="113" t="n"/>
      <c r="N1672" s="113" t="n"/>
      <c r="O1672" s="113" t="n"/>
      <c r="P1672" s="398" t="n"/>
      <c r="Q1672" s="398" t="n"/>
      <c r="R1672" s="113" t="n"/>
      <c r="S1672" s="113" t="n"/>
      <c r="T1672" s="113" t="n"/>
      <c r="U1672" s="113" t="n"/>
      <c r="V1672" s="113" t="n"/>
    </row>
    <row r="1673" ht="15.75" customHeight="1">
      <c r="A1673" s="146" t="n">
        <v>29</v>
      </c>
      <c r="B1673" s="238" t="n"/>
      <c r="C1673" s="399" t="n">
        <v>46002</v>
      </c>
      <c r="D1673" s="146" t="inlineStr">
        <is>
          <t>200 G. GARCERAS</t>
        </is>
      </c>
      <c r="E1673" s="146" t="n">
        <v>44954</v>
      </c>
      <c r="F1673" s="146" t="inlineStr">
        <is>
          <t>FABIO ALDANA</t>
        </is>
      </c>
      <c r="G1673" s="395" t="n">
        <v>2990</v>
      </c>
      <c r="H1673" s="395" t="n">
        <v>2981</v>
      </c>
      <c r="I1673" s="395" t="n">
        <v>2</v>
      </c>
      <c r="J1673" s="395" t="n">
        <v>3</v>
      </c>
      <c r="K1673" s="395" t="n">
        <v>-4</v>
      </c>
      <c r="L1673" s="397" t="n">
        <v>2990</v>
      </c>
      <c r="M1673" s="113" t="n"/>
      <c r="N1673" s="113" t="n"/>
      <c r="O1673" s="113" t="n"/>
      <c r="P1673" s="398" t="n"/>
      <c r="Q1673" s="398" t="n"/>
      <c r="R1673" s="113" t="n"/>
      <c r="S1673" s="113" t="n"/>
      <c r="T1673" s="113" t="n"/>
      <c r="U1673" s="113" t="n"/>
      <c r="V1673" s="113" t="n"/>
    </row>
    <row r="1674" ht="15.75" customHeight="1">
      <c r="A1674" s="146" t="n">
        <v>29</v>
      </c>
      <c r="B1674" s="238" t="n"/>
      <c r="C1674" s="399" t="n">
        <v>46002</v>
      </c>
      <c r="D1674" s="146" t="inlineStr">
        <is>
          <t>200 G. GARCERAS</t>
        </is>
      </c>
      <c r="E1674" s="146" t="n">
        <v>44955</v>
      </c>
      <c r="F1674" s="146" t="inlineStr">
        <is>
          <t>MANUEL QUITIAN</t>
        </is>
      </c>
      <c r="G1674" s="395" t="n">
        <v>2990</v>
      </c>
      <c r="H1674" s="395" t="n">
        <v>2978</v>
      </c>
      <c r="I1674" s="395" t="n">
        <v>3</v>
      </c>
      <c r="J1674" s="395" t="n">
        <v>2</v>
      </c>
      <c r="K1674" s="395" t="n">
        <v>-7</v>
      </c>
      <c r="L1674" s="397" t="n">
        <v>2990</v>
      </c>
      <c r="M1674" s="113" t="n"/>
      <c r="N1674" s="113" t="n"/>
      <c r="O1674" s="113" t="n"/>
      <c r="P1674" s="398" t="n"/>
      <c r="Q1674" s="398" t="n"/>
      <c r="R1674" s="113" t="n"/>
      <c r="S1674" s="113" t="n"/>
      <c r="T1674" s="113" t="n"/>
      <c r="U1674" s="113" t="n"/>
      <c r="V1674" s="113" t="n"/>
    </row>
    <row r="1675" ht="15.75" customHeight="1">
      <c r="A1675" s="146" t="n">
        <v>29</v>
      </c>
      <c r="B1675" s="238" t="n"/>
      <c r="C1675" s="399" t="n">
        <v>46002</v>
      </c>
      <c r="D1675" s="146" t="inlineStr">
        <is>
          <t>200 G. GARCERAS</t>
        </is>
      </c>
      <c r="E1675" s="146" t="n">
        <v>44963</v>
      </c>
      <c r="F1675" s="146" t="inlineStr">
        <is>
          <t>ALEX GOMEZ</t>
        </is>
      </c>
      <c r="G1675" s="395" t="n">
        <v>2990</v>
      </c>
      <c r="H1675" s="395" t="n">
        <v>2992</v>
      </c>
      <c r="I1675" s="395" t="n">
        <v>11</v>
      </c>
      <c r="J1675" s="395" t="n">
        <v>3</v>
      </c>
      <c r="K1675" s="395" t="n">
        <v>16</v>
      </c>
      <c r="L1675" s="397" t="n">
        <v>2990</v>
      </c>
      <c r="M1675" s="113" t="n"/>
      <c r="N1675" s="113" t="n"/>
      <c r="O1675" s="113" t="n"/>
      <c r="P1675" s="398" t="n"/>
      <c r="Q1675" s="398" t="n"/>
      <c r="R1675" s="113" t="n"/>
      <c r="S1675" s="113" t="n"/>
      <c r="T1675" s="113" t="n"/>
      <c r="U1675" s="113" t="n"/>
      <c r="V1675" s="113" t="n"/>
    </row>
    <row r="1676" ht="15.75" customHeight="1">
      <c r="A1676" s="146" t="n">
        <v>29</v>
      </c>
      <c r="B1676" s="238" t="n"/>
      <c r="C1676" s="399" t="n">
        <v>46002</v>
      </c>
      <c r="D1676" s="146" t="inlineStr">
        <is>
          <t>200 G. GARCERAS</t>
        </is>
      </c>
      <c r="E1676" s="146" t="n">
        <v>44964</v>
      </c>
      <c r="F1676" s="146" t="inlineStr">
        <is>
          <t>ROBINSON PULIDO</t>
        </is>
      </c>
      <c r="G1676" s="395" t="n">
        <v>2990</v>
      </c>
      <c r="H1676" s="395" t="n">
        <v>2997</v>
      </c>
      <c r="I1676" s="395" t="n">
        <v>3</v>
      </c>
      <c r="J1676" s="395" t="n">
        <v>2</v>
      </c>
      <c r="K1676" s="395" t="n">
        <v>12</v>
      </c>
      <c r="L1676" s="397" t="n">
        <v>2990</v>
      </c>
      <c r="M1676" s="113" t="n"/>
      <c r="N1676" s="113" t="n"/>
      <c r="O1676" s="113" t="n"/>
      <c r="P1676" s="398" t="n"/>
      <c r="Q1676" s="398" t="n"/>
      <c r="R1676" s="113" t="n"/>
      <c r="S1676" s="113" t="n"/>
      <c r="T1676" s="113" t="n"/>
      <c r="U1676" s="113" t="n"/>
      <c r="V1676" s="113" t="n"/>
    </row>
    <row r="1677" ht="15.75" customHeight="1">
      <c r="A1677" s="146" t="n">
        <v>29</v>
      </c>
      <c r="B1677" s="238" t="n"/>
      <c r="C1677" s="399" t="n">
        <v>46002</v>
      </c>
      <c r="D1677" s="146" t="inlineStr">
        <is>
          <t>200 G. GARCERAS</t>
        </is>
      </c>
      <c r="E1677" s="146" t="n">
        <v>44965</v>
      </c>
      <c r="F1677" s="146" t="inlineStr">
        <is>
          <t>JOSE SOLER</t>
        </is>
      </c>
      <c r="G1677" s="395" t="n">
        <v>2990</v>
      </c>
      <c r="H1677" s="395" t="n">
        <v>2996</v>
      </c>
      <c r="I1677" s="395" t="n">
        <v>3</v>
      </c>
      <c r="J1677" s="395" t="n">
        <v>2</v>
      </c>
      <c r="K1677" s="395" t="n">
        <v>11</v>
      </c>
      <c r="L1677" s="397" t="n">
        <v>2990</v>
      </c>
      <c r="M1677" s="113" t="n"/>
      <c r="N1677" s="113" t="n"/>
      <c r="O1677" s="113" t="n"/>
      <c r="P1677" s="398" t="n"/>
      <c r="Q1677" s="398" t="n"/>
      <c r="R1677" s="113" t="n"/>
      <c r="S1677" s="113" t="n"/>
      <c r="T1677" s="113" t="n"/>
      <c r="U1677" s="113" t="n"/>
      <c r="V1677" s="113" t="n"/>
    </row>
    <row r="1678" ht="15.75" customHeight="1">
      <c r="A1678" s="146" t="n">
        <v>29</v>
      </c>
      <c r="B1678" s="238" t="n"/>
      <c r="C1678" s="399" t="n">
        <v>46002</v>
      </c>
      <c r="D1678" s="146" t="inlineStr">
        <is>
          <t>200 G. GARCERAS</t>
        </is>
      </c>
      <c r="E1678" s="146" t="n">
        <v>44966</v>
      </c>
      <c r="F1678" s="146" t="inlineStr">
        <is>
          <t>JHON ARIAS</t>
        </is>
      </c>
      <c r="G1678" s="395" t="n">
        <v>3142</v>
      </c>
      <c r="H1678" s="395" t="n">
        <v>3148</v>
      </c>
      <c r="I1678" s="395" t="n">
        <v>2</v>
      </c>
      <c r="J1678" s="395" t="n">
        <v>2</v>
      </c>
      <c r="K1678" s="395" t="n">
        <v>10</v>
      </c>
      <c r="L1678" s="397" t="n">
        <v>3142</v>
      </c>
      <c r="M1678" s="113" t="n"/>
      <c r="N1678" s="113" t="n"/>
      <c r="O1678" s="113" t="n"/>
      <c r="P1678" s="398" t="n"/>
      <c r="Q1678" s="398" t="n"/>
      <c r="R1678" s="113" t="n"/>
      <c r="S1678" s="113" t="n"/>
      <c r="T1678" s="113" t="n"/>
      <c r="U1678" s="113" t="n"/>
      <c r="V1678" s="113" t="n"/>
    </row>
    <row r="1679" ht="15.75" customHeight="1">
      <c r="A1679" s="146" t="n">
        <v>29</v>
      </c>
      <c r="B1679" s="238" t="n"/>
      <c r="C1679" s="495" t="n">
        <v>46003</v>
      </c>
      <c r="D1679" s="23" t="inlineStr">
        <is>
          <t xml:space="preserve">202 G. HUERTAS </t>
        </is>
      </c>
      <c r="E1679" s="23" t="n">
        <v>44974</v>
      </c>
      <c r="F1679" s="23" t="inlineStr">
        <is>
          <t>JHON ARIAS</t>
        </is>
      </c>
      <c r="G1679" s="496" t="n">
        <v>3140</v>
      </c>
      <c r="H1679" s="496" t="n">
        <v>3130</v>
      </c>
      <c r="I1679" s="496" t="n">
        <v>4</v>
      </c>
      <c r="J1679" s="496" t="n">
        <v>6</v>
      </c>
      <c r="K1679" s="496" t="n">
        <v>0</v>
      </c>
      <c r="L1679" s="397" t="n">
        <v>3140</v>
      </c>
      <c r="M1679" s="113" t="n"/>
      <c r="N1679" s="113" t="n"/>
      <c r="O1679" s="113" t="n"/>
      <c r="P1679" s="398" t="n"/>
      <c r="Q1679" s="398" t="n"/>
      <c r="R1679" s="113" t="n"/>
      <c r="S1679" s="113" t="n"/>
      <c r="T1679" s="113" t="n"/>
      <c r="U1679" s="113" t="n"/>
      <c r="V1679" s="113" t="n"/>
    </row>
    <row r="1680" ht="15.75" customHeight="1">
      <c r="A1680" s="146" t="n">
        <v>29</v>
      </c>
      <c r="B1680" s="238" t="n"/>
      <c r="C1680" s="495" t="n">
        <v>46003</v>
      </c>
      <c r="D1680" s="23" t="inlineStr">
        <is>
          <t xml:space="preserve">202 G. HUERTAS </t>
        </is>
      </c>
      <c r="E1680" s="23" t="n">
        <v>44975</v>
      </c>
      <c r="F1680" s="23" t="inlineStr">
        <is>
          <t>SEBASTIAN HIDALGO</t>
        </is>
      </c>
      <c r="G1680" s="496" t="n">
        <v>3140</v>
      </c>
      <c r="H1680" s="496" t="n">
        <v>3128</v>
      </c>
      <c r="I1680" s="496" t="n">
        <v>3</v>
      </c>
      <c r="J1680" s="496" t="n">
        <v>9</v>
      </c>
      <c r="K1680" s="496" t="n">
        <v>0</v>
      </c>
      <c r="L1680" s="397" t="n">
        <v>3140</v>
      </c>
      <c r="M1680" s="113" t="n"/>
      <c r="N1680" s="113" t="n"/>
      <c r="O1680" s="113" t="n"/>
      <c r="P1680" s="398" t="n"/>
      <c r="Q1680" s="398" t="n"/>
      <c r="R1680" s="113" t="n"/>
      <c r="S1680" s="113" t="n"/>
      <c r="T1680" s="113" t="n"/>
      <c r="U1680" s="113" t="n"/>
      <c r="V1680" s="113" t="n"/>
    </row>
    <row r="1681" ht="15.75" customHeight="1">
      <c r="A1681" s="146" t="n">
        <v>29</v>
      </c>
      <c r="B1681" s="238" t="n"/>
      <c r="C1681" s="495" t="n">
        <v>46003</v>
      </c>
      <c r="D1681" s="23" t="inlineStr">
        <is>
          <t xml:space="preserve">202 G. HUERTAS </t>
        </is>
      </c>
      <c r="E1681" s="23" t="n">
        <v>44976</v>
      </c>
      <c r="F1681" s="23" t="inlineStr">
        <is>
          <t>ROBINSON PULIDO</t>
        </is>
      </c>
      <c r="G1681" s="496" t="n">
        <v>2650</v>
      </c>
      <c r="H1681" s="496" t="n">
        <v>2636</v>
      </c>
      <c r="I1681" s="496" t="n">
        <v>4</v>
      </c>
      <c r="J1681" s="496" t="n">
        <v>4</v>
      </c>
      <c r="K1681" s="496" t="n">
        <v>-6</v>
      </c>
      <c r="L1681" s="397" t="n">
        <v>2650</v>
      </c>
      <c r="M1681" s="113" t="n"/>
      <c r="N1681" s="113" t="n"/>
      <c r="O1681" s="113" t="n"/>
      <c r="P1681" s="398" t="n"/>
      <c r="Q1681" s="398" t="n"/>
      <c r="R1681" s="113" t="n"/>
      <c r="S1681" s="113" t="n"/>
      <c r="T1681" s="113" t="n"/>
      <c r="U1681" s="113" t="n"/>
      <c r="V1681" s="113" t="n"/>
    </row>
    <row r="1682" ht="15.75" customHeight="1">
      <c r="A1682" s="146" t="n">
        <v>29</v>
      </c>
      <c r="B1682" s="238" t="n"/>
      <c r="C1682" s="495" t="n">
        <v>46003</v>
      </c>
      <c r="D1682" s="23" t="inlineStr">
        <is>
          <t xml:space="preserve">202 G. HUERTAS </t>
        </is>
      </c>
      <c r="E1682" s="23" t="n">
        <v>44977</v>
      </c>
      <c r="F1682" s="23" t="inlineStr">
        <is>
          <t>ALEX GOMEZ</t>
        </is>
      </c>
      <c r="G1682" s="496" t="n">
        <v>3240</v>
      </c>
      <c r="H1682" s="496" t="n">
        <v>3216</v>
      </c>
      <c r="I1682" s="496" t="n">
        <v>5</v>
      </c>
      <c r="J1682" s="496" t="n">
        <v>24</v>
      </c>
      <c r="K1682" s="496" t="n">
        <v>5</v>
      </c>
      <c r="L1682" s="397" t="n">
        <v>3240</v>
      </c>
      <c r="M1682" s="113" t="n"/>
      <c r="N1682" s="113" t="n"/>
      <c r="O1682" s="113" t="n"/>
      <c r="P1682" s="398" t="n"/>
      <c r="Q1682" s="398" t="n"/>
      <c r="R1682" s="113" t="n"/>
      <c r="S1682" s="113" t="n"/>
      <c r="T1682" s="113" t="n"/>
      <c r="U1682" s="113" t="n"/>
      <c r="V1682" s="113" t="n"/>
    </row>
    <row r="1683" ht="15.75" customHeight="1">
      <c r="A1683" s="146" t="n">
        <v>29</v>
      </c>
      <c r="B1683" s="238" t="n"/>
      <c r="C1683" s="495" t="n">
        <v>46003</v>
      </c>
      <c r="D1683" s="23" t="inlineStr">
        <is>
          <t xml:space="preserve">202 G. HUERTAS </t>
        </is>
      </c>
      <c r="E1683" s="23" t="n">
        <v>44978</v>
      </c>
      <c r="F1683" s="23" t="inlineStr">
        <is>
          <t>FABIO ALDANA</t>
        </is>
      </c>
      <c r="G1683" s="496" t="n">
        <v>3240</v>
      </c>
      <c r="H1683" s="496" t="n">
        <v>3211</v>
      </c>
      <c r="I1683" s="496" t="n">
        <v>6</v>
      </c>
      <c r="J1683" s="496" t="n">
        <v>27</v>
      </c>
      <c r="K1683" s="496" t="n">
        <v>4</v>
      </c>
      <c r="L1683" s="397" t="n">
        <v>3240</v>
      </c>
      <c r="M1683" s="113" t="n"/>
      <c r="N1683" s="113" t="n"/>
      <c r="O1683" s="113" t="n"/>
      <c r="P1683" s="398" t="n"/>
      <c r="Q1683" s="398" t="n"/>
      <c r="R1683" s="113" t="n"/>
      <c r="S1683" s="113" t="n"/>
      <c r="T1683" s="113" t="n"/>
      <c r="U1683" s="113" t="n"/>
      <c r="V1683" s="113" t="n"/>
    </row>
    <row r="1684" ht="15.75" customHeight="1">
      <c r="A1684" s="146" t="n">
        <v>29</v>
      </c>
      <c r="B1684" s="238" t="n"/>
      <c r="C1684" s="495" t="n">
        <v>46003</v>
      </c>
      <c r="D1684" s="23" t="inlineStr">
        <is>
          <t xml:space="preserve">202 G. HUERTAS </t>
        </is>
      </c>
      <c r="E1684" s="23" t="n">
        <v>44981</v>
      </c>
      <c r="F1684" s="23" t="inlineStr">
        <is>
          <t>WILMER PIÑEROS</t>
        </is>
      </c>
      <c r="G1684" s="496" t="n">
        <v>2840</v>
      </c>
      <c r="H1684" s="496" t="n">
        <v>2830</v>
      </c>
      <c r="I1684" s="496" t="n">
        <v>3</v>
      </c>
      <c r="J1684" s="496" t="n">
        <v>13</v>
      </c>
      <c r="K1684" s="496" t="n">
        <v>6</v>
      </c>
      <c r="L1684" s="397" t="n">
        <v>2840</v>
      </c>
      <c r="M1684" s="113" t="n"/>
      <c r="N1684" s="113" t="n"/>
      <c r="O1684" s="113" t="n"/>
      <c r="P1684" s="398" t="n"/>
      <c r="Q1684" s="398" t="n"/>
      <c r="R1684" s="113" t="n"/>
      <c r="S1684" s="113" t="n"/>
      <c r="T1684" s="113" t="n"/>
      <c r="U1684" s="113" t="n"/>
      <c r="V1684" s="113" t="n"/>
    </row>
    <row r="1685" ht="15.75" customHeight="1">
      <c r="A1685" s="146" t="n">
        <v>29</v>
      </c>
      <c r="B1685" s="238" t="n"/>
      <c r="C1685" s="399" t="n">
        <v>46003</v>
      </c>
      <c r="D1685" s="146" t="inlineStr">
        <is>
          <t>200 G. GARCERAS</t>
        </is>
      </c>
      <c r="E1685" s="146" t="n">
        <v>44979</v>
      </c>
      <c r="F1685" s="146" t="inlineStr">
        <is>
          <t>MANUEL QUITIAN</t>
        </is>
      </c>
      <c r="G1685" s="395" t="n">
        <v>3270</v>
      </c>
      <c r="H1685" s="395" t="n">
        <v>3260</v>
      </c>
      <c r="I1685" s="395" t="n">
        <v>9</v>
      </c>
      <c r="J1685" s="395" t="n">
        <v>10</v>
      </c>
      <c r="K1685" s="395" t="n">
        <v>9</v>
      </c>
      <c r="L1685" s="397" t="n">
        <v>3270</v>
      </c>
      <c r="M1685" s="113" t="n"/>
      <c r="N1685" s="113" t="n"/>
      <c r="O1685" s="113" t="n"/>
      <c r="P1685" s="398" t="n"/>
      <c r="Q1685" s="398" t="n"/>
      <c r="R1685" s="113" t="n"/>
      <c r="S1685" s="113" t="n"/>
      <c r="T1685" s="113" t="n"/>
      <c r="U1685" s="113" t="n"/>
      <c r="V1685" s="113" t="n"/>
    </row>
    <row r="1686" ht="15.75" customHeight="1">
      <c r="A1686" s="146" t="n">
        <v>29</v>
      </c>
      <c r="B1686" s="238" t="n"/>
      <c r="C1686" s="399" t="n">
        <v>46003</v>
      </c>
      <c r="D1686" s="146" t="inlineStr">
        <is>
          <t>200 G. GARCERAS</t>
        </is>
      </c>
      <c r="E1686" s="146" t="n">
        <v>44980</v>
      </c>
      <c r="F1686" s="146" t="inlineStr">
        <is>
          <t>FERNANDO OYUELA</t>
        </is>
      </c>
      <c r="G1686" s="395" t="n">
        <v>3270</v>
      </c>
      <c r="H1686" s="395" t="n">
        <v>3261</v>
      </c>
      <c r="I1686" s="395" t="n">
        <v>3</v>
      </c>
      <c r="J1686" s="395" t="n">
        <v>9</v>
      </c>
      <c r="K1686" s="395" t="n">
        <v>3</v>
      </c>
      <c r="L1686" s="397" t="n">
        <v>3270</v>
      </c>
      <c r="M1686" s="113" t="n"/>
      <c r="N1686" s="113" t="n"/>
      <c r="O1686" s="113" t="n"/>
      <c r="P1686" s="398" t="n"/>
      <c r="Q1686" s="398" t="n"/>
      <c r="R1686" s="113" t="n"/>
      <c r="S1686" s="113" t="n"/>
      <c r="T1686" s="113" t="n"/>
      <c r="U1686" s="113" t="n"/>
      <c r="V1686" s="113" t="n"/>
    </row>
    <row r="1687" ht="15.75" customHeight="1">
      <c r="A1687" s="146" t="n">
        <v>29</v>
      </c>
      <c r="B1687" s="238" t="n"/>
      <c r="C1687" s="399" t="n">
        <v>46003</v>
      </c>
      <c r="D1687" s="146" t="inlineStr">
        <is>
          <t>200 G. GARCERAS</t>
        </is>
      </c>
      <c r="E1687" s="146" t="n">
        <v>44988</v>
      </c>
      <c r="F1687" s="146" t="inlineStr">
        <is>
          <t>HENRY ROMERO</t>
        </is>
      </c>
      <c r="G1687" s="395" t="n">
        <v>3270</v>
      </c>
      <c r="H1687" s="395" t="n">
        <v>3267</v>
      </c>
      <c r="I1687" s="395" t="n">
        <v>3</v>
      </c>
      <c r="J1687" s="395" t="n">
        <v>3</v>
      </c>
      <c r="K1687" s="395" t="n">
        <v>3</v>
      </c>
      <c r="L1687" s="397" t="n">
        <v>3270</v>
      </c>
      <c r="M1687" s="113" t="n"/>
      <c r="N1687" s="113" t="n"/>
      <c r="O1687" s="113" t="n"/>
      <c r="P1687" s="398" t="n"/>
      <c r="Q1687" s="398" t="n"/>
      <c r="R1687" s="113" t="n"/>
      <c r="S1687" s="113" t="n"/>
      <c r="T1687" s="113" t="n"/>
      <c r="U1687" s="113" t="n"/>
      <c r="V1687" s="113" t="n"/>
    </row>
    <row r="1688" ht="15.75" customHeight="1">
      <c r="A1688" s="146" t="n">
        <v>29</v>
      </c>
      <c r="B1688" s="238" t="n"/>
      <c r="C1688" s="399" t="n">
        <v>46003</v>
      </c>
      <c r="D1688" s="146" t="inlineStr">
        <is>
          <t>200 G. GARCERAS</t>
        </is>
      </c>
      <c r="E1688" s="146" t="n">
        <v>44989</v>
      </c>
      <c r="F1688" s="146" t="inlineStr">
        <is>
          <t>EDWIN ROJAS</t>
        </is>
      </c>
      <c r="G1688" s="395" t="n">
        <v>3270</v>
      </c>
      <c r="H1688" s="395" t="n">
        <v>3270</v>
      </c>
      <c r="I1688" s="395" t="n">
        <v>4</v>
      </c>
      <c r="J1688" s="395" t="n">
        <v>3</v>
      </c>
      <c r="K1688" s="395" t="n">
        <v>7</v>
      </c>
      <c r="L1688" s="397" t="n">
        <v>3270</v>
      </c>
      <c r="M1688" s="113" t="n"/>
      <c r="N1688" s="113" t="n"/>
      <c r="O1688" s="113" t="n"/>
      <c r="P1688" s="398" t="n"/>
      <c r="Q1688" s="398" t="n"/>
      <c r="R1688" s="113" t="n"/>
      <c r="S1688" s="113" t="n"/>
      <c r="T1688" s="113" t="n"/>
      <c r="U1688" s="113" t="n"/>
      <c r="V1688" s="113" t="n"/>
    </row>
    <row r="1689" ht="15.75" customHeight="1">
      <c r="A1689" s="146" t="n">
        <v>29</v>
      </c>
      <c r="B1689" s="238" t="n"/>
      <c r="C1689" s="399" t="n">
        <v>46003</v>
      </c>
      <c r="D1689" s="146" t="inlineStr">
        <is>
          <t>200 G. GARCERAS</t>
        </is>
      </c>
      <c r="E1689" s="146" t="n">
        <v>44990</v>
      </c>
      <c r="F1689" s="146" t="inlineStr">
        <is>
          <t>JOSE SOLER</t>
        </is>
      </c>
      <c r="G1689" s="395" t="n">
        <v>3270</v>
      </c>
      <c r="H1689" s="395" t="n">
        <v>3270</v>
      </c>
      <c r="I1689" s="395" t="n">
        <v>2</v>
      </c>
      <c r="J1689" s="395" t="n">
        <v>4</v>
      </c>
      <c r="K1689" s="395" t="n">
        <v>6</v>
      </c>
      <c r="L1689" s="397" t="n">
        <v>3270</v>
      </c>
      <c r="M1689" s="113" t="n"/>
      <c r="N1689" s="113" t="n"/>
      <c r="O1689" s="113" t="n"/>
      <c r="P1689" s="398" t="n"/>
      <c r="Q1689" s="398" t="n"/>
      <c r="R1689" s="113" t="n"/>
      <c r="S1689" s="113" t="n"/>
      <c r="T1689" s="113" t="n"/>
      <c r="U1689" s="113" t="n"/>
      <c r="V1689" s="113" t="n"/>
    </row>
    <row r="1690" ht="15.75" customHeight="1">
      <c r="A1690" s="146" t="n">
        <v>29</v>
      </c>
      <c r="B1690" s="238" t="n"/>
      <c r="C1690" s="399" t="n">
        <v>46003</v>
      </c>
      <c r="D1690" s="146" t="inlineStr">
        <is>
          <t>200 G. GARCERAS</t>
        </is>
      </c>
      <c r="E1690" s="146" t="n">
        <v>44991</v>
      </c>
      <c r="F1690" s="146" t="inlineStr">
        <is>
          <t>DIEGO NIÑO</t>
        </is>
      </c>
      <c r="G1690" s="395" t="n">
        <v>3270</v>
      </c>
      <c r="H1690" s="395" t="n">
        <v>3271</v>
      </c>
      <c r="I1690" s="395" t="n">
        <v>2</v>
      </c>
      <c r="J1690" s="395" t="n">
        <v>2</v>
      </c>
      <c r="K1690" s="395" t="n">
        <v>5</v>
      </c>
      <c r="L1690" s="397" t="n">
        <v>3270</v>
      </c>
      <c r="M1690" s="113" t="n"/>
      <c r="N1690" s="113" t="n"/>
      <c r="O1690" s="113" t="n"/>
      <c r="P1690" s="398" t="n"/>
      <c r="Q1690" s="398" t="n"/>
      <c r="R1690" s="113" t="n"/>
      <c r="S1690" s="113" t="n"/>
      <c r="T1690" s="113" t="n"/>
      <c r="U1690" s="113" t="n"/>
      <c r="V1690" s="113" t="n"/>
    </row>
    <row r="1691" ht="15.75" customHeight="1">
      <c r="A1691" s="146" t="n">
        <v>29</v>
      </c>
      <c r="B1691" s="238" t="n"/>
      <c r="C1691" s="399" t="n">
        <v>46003</v>
      </c>
      <c r="D1691" s="146" t="inlineStr">
        <is>
          <t>200 G. GARCERAS</t>
        </is>
      </c>
      <c r="E1691" s="146" t="n">
        <v>44992</v>
      </c>
      <c r="F1691" s="146" t="inlineStr">
        <is>
          <t>SEBASTIAN HIDALGO</t>
        </is>
      </c>
      <c r="G1691" s="395" t="n">
        <v>3270</v>
      </c>
      <c r="H1691" s="395" t="n">
        <v>3267</v>
      </c>
      <c r="I1691" s="395" t="n">
        <v>3</v>
      </c>
      <c r="J1691" s="395" t="n">
        <v>1</v>
      </c>
      <c r="K1691" s="395" t="n">
        <v>1</v>
      </c>
      <c r="L1691" s="397" t="n">
        <v>3270</v>
      </c>
      <c r="M1691" s="113" t="n"/>
      <c r="N1691" s="113" t="n"/>
      <c r="O1691" s="113" t="n"/>
      <c r="P1691" s="398" t="n"/>
      <c r="Q1691" s="398" t="n"/>
      <c r="R1691" s="113" t="n"/>
      <c r="S1691" s="113" t="n"/>
      <c r="T1691" s="113" t="n"/>
      <c r="U1691" s="113" t="n"/>
      <c r="V1691" s="113" t="n"/>
    </row>
    <row r="1692" ht="15.75" customHeight="1">
      <c r="A1692" s="146" t="n">
        <v>29</v>
      </c>
      <c r="B1692" s="238" t="n"/>
      <c r="C1692" s="399" t="n">
        <v>46003</v>
      </c>
      <c r="D1692" s="146" t="inlineStr">
        <is>
          <t>200 G. GARCERAS</t>
        </is>
      </c>
      <c r="E1692" s="146" t="n">
        <v>44993</v>
      </c>
      <c r="F1692" s="146" t="inlineStr">
        <is>
          <t>ALEX GOMEZ</t>
        </is>
      </c>
      <c r="G1692" s="395" t="n">
        <v>3000</v>
      </c>
      <c r="H1692" s="395" t="n">
        <v>2994</v>
      </c>
      <c r="I1692" s="395" t="n">
        <v>3</v>
      </c>
      <c r="J1692" s="395" t="n">
        <v>6</v>
      </c>
      <c r="K1692" s="395" t="n">
        <v>3</v>
      </c>
      <c r="L1692" s="397" t="n">
        <v>3000</v>
      </c>
      <c r="M1692" s="113" t="n"/>
      <c r="N1692" s="113" t="n"/>
      <c r="O1692" s="113" t="n"/>
      <c r="P1692" s="398" t="n"/>
      <c r="Q1692" s="398" t="n"/>
      <c r="R1692" s="113" t="n"/>
      <c r="S1692" s="113" t="n"/>
      <c r="T1692" s="113" t="n"/>
      <c r="U1692" s="113" t="n"/>
      <c r="V1692" s="113" t="n"/>
    </row>
    <row r="1693" ht="15.75" customHeight="1">
      <c r="A1693" s="146" t="n">
        <v>29</v>
      </c>
      <c r="B1693" s="238" t="n"/>
      <c r="C1693" s="399" t="n">
        <v>46003</v>
      </c>
      <c r="D1693" s="146" t="inlineStr">
        <is>
          <t>200 G. GARCERAS</t>
        </is>
      </c>
      <c r="E1693" s="146" t="n">
        <v>44994</v>
      </c>
      <c r="F1693" s="146" t="inlineStr">
        <is>
          <t>MANUEL QUITIAN</t>
        </is>
      </c>
      <c r="G1693" s="395" t="n">
        <v>3000</v>
      </c>
      <c r="H1693" s="395" t="n">
        <v>2992</v>
      </c>
      <c r="I1693" s="395" t="n">
        <v>3</v>
      </c>
      <c r="J1693" s="395" t="n">
        <v>7</v>
      </c>
      <c r="K1693" s="395" t="n">
        <v>2</v>
      </c>
      <c r="L1693" s="397" t="n">
        <v>3000</v>
      </c>
      <c r="M1693" s="113" t="n"/>
      <c r="N1693" s="113" t="n"/>
      <c r="O1693" s="113" t="n"/>
      <c r="P1693" s="398" t="n"/>
      <c r="Q1693" s="398" t="n"/>
      <c r="R1693" s="113" t="n"/>
      <c r="S1693" s="113" t="n"/>
      <c r="T1693" s="113" t="n"/>
      <c r="U1693" s="113" t="n"/>
      <c r="V1693" s="113" t="n"/>
    </row>
    <row r="1694" ht="15.75" customHeight="1">
      <c r="A1694" s="146" t="n">
        <v>29</v>
      </c>
      <c r="B1694" s="238" t="n"/>
      <c r="C1694" s="399" t="n">
        <v>46003</v>
      </c>
      <c r="D1694" s="146" t="inlineStr">
        <is>
          <t>200 G. GARCERAS</t>
        </is>
      </c>
      <c r="E1694" s="146" t="n">
        <v>44995</v>
      </c>
      <c r="F1694" s="146" t="inlineStr">
        <is>
          <t>FERNANDO OYUELA</t>
        </is>
      </c>
      <c r="G1694" s="395" t="n">
        <v>3000</v>
      </c>
      <c r="H1694" s="395" t="n">
        <v>2990</v>
      </c>
      <c r="I1694" s="395" t="n">
        <v>5</v>
      </c>
      <c r="J1694" s="395" t="n">
        <v>7</v>
      </c>
      <c r="K1694" s="395" t="n">
        <v>2</v>
      </c>
      <c r="L1694" s="397" t="n">
        <v>3310</v>
      </c>
      <c r="M1694" s="113" t="n"/>
      <c r="N1694" s="113" t="n"/>
      <c r="O1694" s="113" t="n"/>
      <c r="P1694" s="398" t="n"/>
      <c r="Q1694" s="398" t="n"/>
      <c r="R1694" s="113" t="n"/>
      <c r="S1694" s="113" t="n"/>
      <c r="T1694" s="113" t="n"/>
      <c r="U1694" s="113" t="n"/>
      <c r="V1694" s="113" t="n"/>
    </row>
    <row r="1695" ht="15.75" customHeight="1">
      <c r="A1695" s="146" t="n">
        <v>29</v>
      </c>
      <c r="B1695" s="238" t="n"/>
      <c r="C1695" s="495" t="n">
        <v>46004</v>
      </c>
      <c r="D1695" s="23" t="inlineStr">
        <is>
          <t>202 G. HUERTAS</t>
        </is>
      </c>
      <c r="E1695" s="23" t="n">
        <v>45004</v>
      </c>
      <c r="F1695" s="23" t="inlineStr">
        <is>
          <t>MANUEL QUITIAN</t>
        </is>
      </c>
      <c r="G1695" s="496" t="n">
        <v>3400</v>
      </c>
      <c r="H1695" s="496" t="n">
        <v>3394</v>
      </c>
      <c r="I1695" s="496" t="n">
        <v>2</v>
      </c>
      <c r="J1695" s="496" t="n">
        <v>6</v>
      </c>
      <c r="K1695" s="496" t="n">
        <v>2</v>
      </c>
      <c r="L1695" s="397" t="n">
        <v>3300</v>
      </c>
      <c r="M1695" s="113" t="n"/>
      <c r="N1695" s="113" t="n"/>
      <c r="O1695" s="113" t="n"/>
      <c r="P1695" s="398" t="n"/>
      <c r="Q1695" s="398" t="n"/>
      <c r="R1695" s="113" t="n"/>
      <c r="S1695" s="113" t="n"/>
      <c r="T1695" s="113" t="n"/>
      <c r="U1695" s="113" t="n"/>
      <c r="V1695" s="113" t="n"/>
    </row>
    <row r="1696" ht="15.75" customHeight="1">
      <c r="A1696" s="146" t="n">
        <v>29</v>
      </c>
      <c r="B1696" s="238" t="n"/>
      <c r="C1696" s="495" t="n">
        <v>46004</v>
      </c>
      <c r="D1696" s="23" t="inlineStr">
        <is>
          <t>202 G. HUERTAS</t>
        </is>
      </c>
      <c r="E1696" s="23" t="n">
        <v>45005</v>
      </c>
      <c r="F1696" s="23" t="inlineStr">
        <is>
          <t>SEBASTIAN HIDALGO</t>
        </is>
      </c>
      <c r="G1696" s="496" t="n">
        <v>3400</v>
      </c>
      <c r="H1696" s="496" t="n">
        <v>3384</v>
      </c>
      <c r="I1696" s="496" t="n">
        <v>1</v>
      </c>
      <c r="J1696" s="496" t="n">
        <v>7</v>
      </c>
      <c r="K1696" s="496" t="n">
        <v>-8</v>
      </c>
      <c r="L1696" s="397" t="n">
        <v>3240</v>
      </c>
      <c r="M1696" s="113" t="n"/>
      <c r="N1696" s="113" t="n"/>
      <c r="O1696" s="113" t="n"/>
      <c r="P1696" s="398" t="n"/>
      <c r="Q1696" s="398" t="n"/>
      <c r="R1696" s="113" t="n"/>
      <c r="S1696" s="113" t="n"/>
      <c r="T1696" s="113" t="n"/>
      <c r="U1696" s="113" t="n"/>
      <c r="V1696" s="113" t="n"/>
    </row>
    <row r="1697" ht="15.75" customHeight="1">
      <c r="A1697" s="146" t="n">
        <v>29</v>
      </c>
      <c r="B1697" s="238" t="n"/>
      <c r="C1697" s="495" t="n">
        <v>46004</v>
      </c>
      <c r="D1697" s="23" t="inlineStr">
        <is>
          <t>202 G. HUERTAS</t>
        </is>
      </c>
      <c r="E1697" s="23" t="n">
        <v>45006</v>
      </c>
      <c r="F1697" s="23" t="inlineStr">
        <is>
          <t>YAIR RIVEROS</t>
        </is>
      </c>
      <c r="G1697" s="496" t="n">
        <v>3400</v>
      </c>
      <c r="H1697" s="496" t="n">
        <v>3377</v>
      </c>
      <c r="I1697" s="496" t="n">
        <v>2</v>
      </c>
      <c r="J1697" s="496" t="n">
        <v>9</v>
      </c>
      <c r="K1697" s="496" t="n">
        <v>-12</v>
      </c>
      <c r="L1697" s="397" t="n">
        <v>2960</v>
      </c>
      <c r="M1697" s="113" t="n"/>
      <c r="N1697" s="113" t="n"/>
      <c r="O1697" s="113" t="n"/>
      <c r="P1697" s="398" t="n"/>
      <c r="Q1697" s="398" t="n"/>
      <c r="R1697" s="113" t="n"/>
      <c r="S1697" s="113" t="n"/>
      <c r="T1697" s="113" t="n"/>
      <c r="U1697" s="113" t="n"/>
      <c r="V1697" s="113" t="n"/>
    </row>
    <row r="1698" ht="15.75" customHeight="1">
      <c r="A1698" s="146" t="n">
        <v>29</v>
      </c>
      <c r="B1698" s="238" t="n"/>
      <c r="C1698" s="495" t="n">
        <v>46004</v>
      </c>
      <c r="D1698" s="23" t="inlineStr">
        <is>
          <t>202 G. HUERTAS</t>
        </is>
      </c>
      <c r="E1698" s="23" t="n">
        <v>44007</v>
      </c>
      <c r="F1698" s="23" t="inlineStr">
        <is>
          <t>JOSE SOLER</t>
        </is>
      </c>
      <c r="G1698" s="496" t="n">
        <v>3400</v>
      </c>
      <c r="H1698" s="496" t="n">
        <v>3388</v>
      </c>
      <c r="I1698" s="496" t="n">
        <v>2</v>
      </c>
      <c r="J1698" s="496" t="n">
        <v>7</v>
      </c>
      <c r="K1698" s="496" t="n">
        <v>-3</v>
      </c>
      <c r="L1698" s="397" t="n">
        <v>3000</v>
      </c>
      <c r="M1698" s="113" t="n"/>
      <c r="N1698" s="113" t="n"/>
      <c r="O1698" s="113" t="n"/>
      <c r="P1698" s="398" t="n"/>
      <c r="Q1698" s="398" t="n"/>
      <c r="R1698" s="113" t="n"/>
      <c r="S1698" s="113" t="n"/>
      <c r="T1698" s="113" t="n"/>
      <c r="U1698" s="113" t="n"/>
      <c r="V1698" s="113" t="n"/>
    </row>
    <row r="1699" ht="15.75" customHeight="1">
      <c r="A1699" s="146" t="n">
        <v>29</v>
      </c>
      <c r="B1699" s="238" t="n"/>
      <c r="C1699" s="399" t="n">
        <v>46004</v>
      </c>
      <c r="D1699" s="146" t="inlineStr">
        <is>
          <t>200 G. GARCERAS</t>
        </is>
      </c>
      <c r="E1699" s="146" t="n">
        <v>44008</v>
      </c>
      <c r="F1699" s="146" t="inlineStr">
        <is>
          <t>ALBERTO HERRERA</t>
        </is>
      </c>
      <c r="G1699" s="395" t="n">
        <v>3270</v>
      </c>
      <c r="H1699" s="395" t="n">
        <v>3242</v>
      </c>
      <c r="I1699" s="395" t="n">
        <v>3</v>
      </c>
      <c r="J1699" s="395" t="n">
        <v>3</v>
      </c>
      <c r="K1699" s="395" t="n">
        <v>-22</v>
      </c>
      <c r="L1699" s="397" t="n">
        <v>3270</v>
      </c>
      <c r="M1699" s="113" t="n"/>
      <c r="N1699" s="113" t="n"/>
      <c r="O1699" s="113" t="n"/>
      <c r="P1699" s="398" t="n"/>
      <c r="Q1699" s="398" t="n"/>
      <c r="R1699" s="113" t="n"/>
      <c r="S1699" s="113" t="n"/>
      <c r="T1699" s="113" t="n"/>
      <c r="U1699" s="113" t="n"/>
      <c r="V1699" s="113" t="n"/>
    </row>
    <row r="1700" ht="15.75" customHeight="1">
      <c r="A1700" s="146" t="n">
        <v>29</v>
      </c>
      <c r="B1700" s="238" t="n"/>
      <c r="C1700" s="399" t="n">
        <v>46004</v>
      </c>
      <c r="D1700" s="146" t="inlineStr">
        <is>
          <t>200 G. GARCERAS</t>
        </is>
      </c>
      <c r="E1700" s="146" t="n">
        <v>45009</v>
      </c>
      <c r="F1700" s="146" t="inlineStr">
        <is>
          <t>WILMER PIÑEROS</t>
        </is>
      </c>
      <c r="G1700" s="395" t="n">
        <v>3380</v>
      </c>
      <c r="H1700" s="395" t="n">
        <v>3355</v>
      </c>
      <c r="I1700" s="395" t="n">
        <v>2</v>
      </c>
      <c r="J1700" s="395" t="n">
        <v>3</v>
      </c>
      <c r="K1700" s="395" t="n">
        <v>-20</v>
      </c>
      <c r="L1700" s="397" t="n">
        <v>3350</v>
      </c>
      <c r="M1700" s="113" t="n"/>
      <c r="N1700" s="113" t="n"/>
      <c r="O1700" s="113" t="n"/>
      <c r="P1700" s="398" t="n"/>
      <c r="Q1700" s="398" t="n"/>
      <c r="R1700" s="113" t="n"/>
      <c r="S1700" s="113" t="n"/>
      <c r="T1700" s="113" t="n"/>
      <c r="U1700" s="113" t="n"/>
      <c r="V1700" s="113" t="n"/>
    </row>
    <row r="1701" ht="15.75" customHeight="1">
      <c r="A1701" s="146" t="n">
        <v>29</v>
      </c>
      <c r="B1701" s="238" t="n"/>
      <c r="C1701" s="399" t="n"/>
      <c r="D1701" s="113" t="n"/>
      <c r="E1701" s="113" t="n"/>
      <c r="F1701" s="113" t="n"/>
      <c r="G1701" s="477">
        <f>SUBTOTAL(9,G1647:G1700)</f>
        <v/>
      </c>
      <c r="H1701" s="477">
        <f>SUBTOTAL(9,H1647:H1700)</f>
        <v/>
      </c>
      <c r="I1701" s="477">
        <f>SUBTOTAL(9,I1647:I1700)</f>
        <v/>
      </c>
      <c r="J1701" s="477">
        <f>SUBTOTAL(9,J1647:J1700)</f>
        <v/>
      </c>
      <c r="K1701" s="477">
        <f>SUBTOTAL(9,K1647:K1700)</f>
        <v/>
      </c>
      <c r="L1701" s="477">
        <f>SUBTOTAL(9,L1647:L1700)</f>
        <v/>
      </c>
      <c r="M1701" s="113" t="n"/>
      <c r="N1701" s="113" t="n"/>
      <c r="O1701" s="113" t="n"/>
      <c r="P1701" s="398" t="n"/>
      <c r="Q1701" s="398" t="n"/>
      <c r="R1701" s="113" t="n"/>
      <c r="S1701" s="113" t="n"/>
      <c r="T1701" s="113" t="n"/>
      <c r="U1701" s="113" t="n"/>
      <c r="V1701" s="113" t="n"/>
    </row>
    <row r="1702" ht="15.75" customHeight="1">
      <c r="A1702" s="146" t="n">
        <v>30</v>
      </c>
      <c r="B1702" s="238" t="n"/>
      <c r="C1702" s="495" t="n">
        <v>46003</v>
      </c>
      <c r="D1702" s="23" t="inlineStr">
        <is>
          <t>202 G. HUERTAS</t>
        </is>
      </c>
      <c r="E1702" s="23" t="n">
        <v>204892</v>
      </c>
      <c r="F1702" s="23" t="inlineStr">
        <is>
          <t>DAZA MARCOS</t>
        </is>
      </c>
      <c r="G1702" s="496" t="n">
        <v>3300</v>
      </c>
      <c r="H1702" s="496" t="n">
        <v>3263</v>
      </c>
      <c r="I1702" s="496" t="n">
        <v>29</v>
      </c>
      <c r="J1702" s="496" t="n">
        <v>11</v>
      </c>
      <c r="K1702" s="496" t="n">
        <v>3</v>
      </c>
      <c r="L1702" s="397" t="n">
        <v>2790</v>
      </c>
      <c r="M1702" s="113" t="n"/>
      <c r="N1702" s="113" t="n"/>
      <c r="O1702" s="113" t="n"/>
      <c r="P1702" s="398" t="n"/>
      <c r="Q1702" s="398" t="n"/>
      <c r="R1702" s="113" t="n"/>
      <c r="S1702" s="113" t="n"/>
      <c r="T1702" s="113" t="n"/>
      <c r="U1702" s="113" t="n"/>
      <c r="V1702" s="113" t="n"/>
    </row>
    <row r="1703" ht="15.75" customHeight="1">
      <c r="A1703" s="146" t="n">
        <v>30</v>
      </c>
      <c r="B1703" s="238" t="n"/>
      <c r="C1703" s="495" t="n">
        <v>46004</v>
      </c>
      <c r="D1703" s="23" t="inlineStr">
        <is>
          <t>202 G. HUERTAS</t>
        </is>
      </c>
      <c r="E1703" s="23" t="n">
        <v>204902</v>
      </c>
      <c r="F1703" s="23" t="inlineStr">
        <is>
          <t>FERNANDO SANDOVAL</t>
        </is>
      </c>
      <c r="G1703" s="496" t="n">
        <v>3240</v>
      </c>
      <c r="H1703" s="496" t="n">
        <v>3202</v>
      </c>
      <c r="I1703" s="496" t="n">
        <v>22</v>
      </c>
      <c r="J1703" s="496" t="n">
        <v>10</v>
      </c>
      <c r="K1703" s="496" t="n"/>
      <c r="L1703" s="397" t="n">
        <v>3400</v>
      </c>
      <c r="M1703" s="113" t="n"/>
      <c r="N1703" s="113" t="n"/>
      <c r="O1703" s="113" t="n"/>
      <c r="P1703" s="398" t="n"/>
      <c r="Q1703" s="398" t="n"/>
      <c r="R1703" s="113" t="n"/>
      <c r="S1703" s="113" t="n"/>
      <c r="T1703" s="113" t="n"/>
      <c r="U1703" s="113" t="n"/>
      <c r="V1703" s="113" t="n"/>
    </row>
    <row r="1704" ht="15.75" customHeight="1">
      <c r="A1704" s="146" t="n">
        <v>30</v>
      </c>
      <c r="B1704" s="238" t="n"/>
      <c r="C1704" s="495" t="n">
        <v>46004</v>
      </c>
      <c r="D1704" s="23" t="inlineStr">
        <is>
          <t>202 G. HUERTAS</t>
        </is>
      </c>
      <c r="E1704" s="23" t="n">
        <v>204906</v>
      </c>
      <c r="F1704" s="23" t="inlineStr">
        <is>
          <t>ORDOÑEZ CARLOS</t>
        </is>
      </c>
      <c r="G1704" s="496" t="n">
        <v>2960</v>
      </c>
      <c r="H1704" s="496" t="n">
        <v>2908</v>
      </c>
      <c r="I1704" s="496" t="n">
        <v>28</v>
      </c>
      <c r="J1704" s="496" t="n">
        <v>14</v>
      </c>
      <c r="K1704" s="496" t="n">
        <v>-10</v>
      </c>
      <c r="L1704" s="397" t="n">
        <v>3400</v>
      </c>
      <c r="M1704" s="113" t="n"/>
      <c r="N1704" s="113" t="n"/>
      <c r="O1704" s="113" t="n"/>
      <c r="P1704" s="398" t="n"/>
      <c r="Q1704" s="398" t="n"/>
      <c r="R1704" s="113" t="n"/>
      <c r="S1704" s="113" t="n"/>
      <c r="T1704" s="113" t="n"/>
      <c r="U1704" s="113" t="n"/>
      <c r="V1704" s="113" t="n"/>
    </row>
    <row r="1705" ht="15.75" customHeight="1">
      <c r="A1705" s="146" t="n">
        <v>30</v>
      </c>
      <c r="B1705" s="238" t="n"/>
      <c r="C1705" s="495" t="n">
        <v>46004</v>
      </c>
      <c r="D1705" s="23" t="inlineStr">
        <is>
          <t>202 G. HUERTAS</t>
        </is>
      </c>
      <c r="E1705" s="23" t="n">
        <v>204907</v>
      </c>
      <c r="F1705" s="23" t="inlineStr">
        <is>
          <t>JUAN DAVID GOMEZ</t>
        </is>
      </c>
      <c r="G1705" s="496" t="n">
        <v>3000</v>
      </c>
      <c r="H1705" s="496" t="n">
        <v>2967</v>
      </c>
      <c r="I1705" s="496" t="n">
        <v>19</v>
      </c>
      <c r="J1705" s="496" t="n">
        <v>14</v>
      </c>
      <c r="K1705" s="496" t="n">
        <v>0</v>
      </c>
      <c r="L1705" s="397" t="n">
        <v>3400</v>
      </c>
      <c r="M1705" s="113" t="n"/>
      <c r="N1705" s="113" t="n"/>
      <c r="O1705" s="113" t="n"/>
      <c r="P1705" s="398" t="n"/>
      <c r="Q1705" s="398" t="n"/>
      <c r="R1705" s="113" t="n"/>
      <c r="S1705" s="113" t="n"/>
      <c r="T1705" s="113" t="n"/>
      <c r="U1705" s="113" t="n"/>
      <c r="V1705" s="113" t="n"/>
    </row>
    <row r="1706" ht="15.75" customHeight="1">
      <c r="A1706" s="146" t="n">
        <v>30</v>
      </c>
      <c r="B1706" s="238" t="n"/>
      <c r="C1706" s="495" t="n">
        <v>46004</v>
      </c>
      <c r="D1706" s="23" t="inlineStr">
        <is>
          <t>202 G. HUERTAS</t>
        </is>
      </c>
      <c r="E1706" s="23" t="n">
        <v>204908</v>
      </c>
      <c r="F1706" s="23" t="inlineStr">
        <is>
          <t>JORGE LUIS OVIEDO BARRIOS</t>
        </is>
      </c>
      <c r="G1706" s="496" t="n">
        <v>2790</v>
      </c>
      <c r="H1706" s="496" t="n">
        <v>2768</v>
      </c>
      <c r="I1706" s="496" t="n">
        <v>10</v>
      </c>
      <c r="J1706" s="496" t="n">
        <v>9</v>
      </c>
      <c r="K1706" s="496" t="n">
        <v>-3</v>
      </c>
      <c r="L1706" s="397" t="n">
        <v>3400</v>
      </c>
      <c r="M1706" s="113" t="n"/>
      <c r="N1706" s="113" t="n"/>
      <c r="O1706" s="113" t="n"/>
      <c r="P1706" s="398" t="n"/>
      <c r="Q1706" s="398" t="n"/>
      <c r="R1706" s="113" t="n"/>
      <c r="S1706" s="113" t="n"/>
      <c r="T1706" s="113" t="n"/>
      <c r="U1706" s="113" t="n"/>
      <c r="V1706" s="113" t="n"/>
    </row>
    <row r="1707" ht="15.75" customHeight="1">
      <c r="A1707" s="146" t="n">
        <v>30</v>
      </c>
      <c r="B1707" s="238" t="n"/>
      <c r="C1707" s="495" t="n">
        <v>46006</v>
      </c>
      <c r="D1707" s="23" t="inlineStr">
        <is>
          <t>202 G. HUERTAS</t>
        </is>
      </c>
      <c r="E1707" s="23" t="n">
        <v>204934</v>
      </c>
      <c r="F1707" s="23" t="inlineStr">
        <is>
          <t>ROBERTO MONROY</t>
        </is>
      </c>
      <c r="G1707" s="496" t="n">
        <v>2700</v>
      </c>
      <c r="H1707" s="496" t="n">
        <v>2668</v>
      </c>
      <c r="I1707" s="496" t="n">
        <v>7</v>
      </c>
      <c r="J1707" s="496" t="n">
        <v>9</v>
      </c>
      <c r="K1707" s="496" t="n">
        <v>-16</v>
      </c>
      <c r="L1707" s="397" t="n">
        <v>2700</v>
      </c>
      <c r="M1707" s="113" t="n"/>
      <c r="N1707" s="113" t="n"/>
      <c r="O1707" s="113" t="n"/>
      <c r="P1707" s="398" t="n"/>
      <c r="Q1707" s="398" t="n"/>
      <c r="R1707" s="113" t="n"/>
      <c r="S1707" s="113" t="n"/>
      <c r="T1707" s="113" t="n"/>
      <c r="U1707" s="113" t="n"/>
      <c r="V1707" s="113" t="n"/>
    </row>
    <row r="1708" ht="15.75" customHeight="1">
      <c r="A1708" s="146" t="n">
        <v>30</v>
      </c>
      <c r="B1708" s="238" t="n"/>
      <c r="C1708" s="495" t="n">
        <v>46006</v>
      </c>
      <c r="D1708" s="23" t="inlineStr">
        <is>
          <t>202 G. HUERTAS</t>
        </is>
      </c>
      <c r="E1708" s="23" t="n">
        <v>204935</v>
      </c>
      <c r="F1708" s="23" t="inlineStr">
        <is>
          <t>CUCAITA EDWIN ALEJANDRO</t>
        </is>
      </c>
      <c r="G1708" s="496" t="n">
        <v>2916</v>
      </c>
      <c r="H1708" s="496" t="n">
        <v>2890</v>
      </c>
      <c r="I1708" s="496" t="n">
        <v>8</v>
      </c>
      <c r="J1708" s="496" t="n">
        <v>10</v>
      </c>
      <c r="K1708" s="496" t="n">
        <v>-8</v>
      </c>
      <c r="L1708" s="397" t="n">
        <v>2700</v>
      </c>
      <c r="M1708" s="113" t="n"/>
      <c r="N1708" s="113" t="n"/>
      <c r="O1708" s="113" t="n"/>
      <c r="P1708" s="398" t="n"/>
      <c r="Q1708" s="398" t="n"/>
      <c r="R1708" s="113" t="n"/>
      <c r="S1708" s="113" t="n"/>
      <c r="T1708" s="113" t="n"/>
      <c r="U1708" s="113" t="n"/>
      <c r="V1708" s="113" t="n"/>
    </row>
    <row r="1709" ht="15.75" customHeight="1">
      <c r="A1709" s="146" t="n">
        <v>30</v>
      </c>
      <c r="B1709" s="238" t="n"/>
      <c r="C1709" s="495" t="n">
        <v>46006</v>
      </c>
      <c r="D1709" s="23" t="inlineStr">
        <is>
          <t>202 G. HUERTAS</t>
        </is>
      </c>
      <c r="E1709" s="23" t="n">
        <v>45010</v>
      </c>
      <c r="F1709" s="23" t="inlineStr">
        <is>
          <t>HENRY ROMERO</t>
        </is>
      </c>
      <c r="G1709" s="496" t="n">
        <v>2592</v>
      </c>
      <c r="H1709" s="496" t="n">
        <v>2578</v>
      </c>
      <c r="I1709" s="496" t="n">
        <v>5</v>
      </c>
      <c r="J1709" s="496" t="n">
        <v>8</v>
      </c>
      <c r="K1709" s="496" t="n">
        <v>-1</v>
      </c>
      <c r="L1709" s="397" t="n">
        <v>2592</v>
      </c>
      <c r="M1709" s="113" t="n"/>
      <c r="N1709" s="113" t="n"/>
      <c r="O1709" s="113" t="n"/>
      <c r="P1709" s="398" t="n"/>
      <c r="Q1709" s="398" t="n"/>
      <c r="R1709" s="113" t="n"/>
      <c r="S1709" s="113" t="n"/>
      <c r="T1709" s="113" t="n"/>
      <c r="U1709" s="113" t="n"/>
      <c r="V1709" s="113" t="n"/>
    </row>
    <row r="1710" ht="15.75" customHeight="1">
      <c r="A1710" s="146" t="n">
        <v>30</v>
      </c>
      <c r="B1710" s="238" t="n"/>
      <c r="C1710" s="495" t="n">
        <v>46006</v>
      </c>
      <c r="D1710" s="23" t="inlineStr">
        <is>
          <t>202 G. HUERTAS</t>
        </is>
      </c>
      <c r="E1710" s="23" t="n">
        <v>45011</v>
      </c>
      <c r="F1710" s="23" t="inlineStr">
        <is>
          <t>ROBINSON PULIDO</t>
        </is>
      </c>
      <c r="G1710" s="496" t="n">
        <v>2480</v>
      </c>
      <c r="H1710" s="496" t="n">
        <v>2463</v>
      </c>
      <c r="I1710" s="496" t="n">
        <v>5</v>
      </c>
      <c r="J1710" s="496" t="n">
        <v>9</v>
      </c>
      <c r="K1710" s="496" t="n">
        <v>-3</v>
      </c>
      <c r="L1710" s="397" t="n">
        <v>2592</v>
      </c>
      <c r="M1710" s="113" t="n"/>
      <c r="N1710" s="113" t="n"/>
      <c r="O1710" s="113" t="n"/>
      <c r="P1710" s="398" t="n"/>
      <c r="Q1710" s="398" t="n"/>
      <c r="R1710" s="113" t="n"/>
      <c r="S1710" s="113" t="n"/>
      <c r="T1710" s="113" t="n"/>
      <c r="U1710" s="113" t="n"/>
      <c r="V1710" s="113" t="n"/>
    </row>
    <row r="1711" ht="15.75" customHeight="1">
      <c r="A1711" s="146" t="n">
        <v>30</v>
      </c>
      <c r="B1711" s="238" t="n"/>
      <c r="C1711" s="495" t="n">
        <v>46006</v>
      </c>
      <c r="D1711" s="23" t="inlineStr">
        <is>
          <t>202 G. HUERTAS</t>
        </is>
      </c>
      <c r="E1711" s="23" t="n">
        <v>45016</v>
      </c>
      <c r="F1711" s="23" t="inlineStr">
        <is>
          <t>SEBASTIAN HIDALGO</t>
        </is>
      </c>
      <c r="G1711" s="496" t="n">
        <v>3010</v>
      </c>
      <c r="H1711" s="496" t="n">
        <v>3005</v>
      </c>
      <c r="I1711" s="496" t="n">
        <v>2</v>
      </c>
      <c r="J1711" s="496" t="n">
        <v>2</v>
      </c>
      <c r="K1711" s="496" t="n">
        <v>-1</v>
      </c>
      <c r="L1711" s="397" t="n">
        <v>2480</v>
      </c>
      <c r="M1711" s="113" t="n"/>
      <c r="N1711" s="113" t="n"/>
      <c r="O1711" s="113" t="n"/>
      <c r="P1711" s="398" t="n"/>
      <c r="Q1711" s="398" t="n"/>
      <c r="R1711" s="113" t="n"/>
      <c r="S1711" s="113" t="n"/>
      <c r="T1711" s="113" t="n"/>
      <c r="U1711" s="113" t="n"/>
      <c r="V1711" s="113" t="n"/>
    </row>
    <row r="1712" ht="15.75" customHeight="1">
      <c r="A1712" s="146" t="n">
        <v>30</v>
      </c>
      <c r="B1712" s="238" t="n"/>
      <c r="C1712" s="495" t="n">
        <v>46006</v>
      </c>
      <c r="D1712" s="23" t="inlineStr">
        <is>
          <t>202 G. HUERTAS</t>
        </is>
      </c>
      <c r="E1712" s="23" t="n">
        <v>204949</v>
      </c>
      <c r="F1712" s="23" t="inlineStr">
        <is>
          <t xml:space="preserve"> LEONARDO LUGO</t>
        </is>
      </c>
      <c r="G1712" s="496" t="n">
        <v>3100</v>
      </c>
      <c r="H1712" s="496" t="n">
        <v>3081</v>
      </c>
      <c r="I1712" s="496" t="n">
        <v>6</v>
      </c>
      <c r="J1712" s="496" t="n">
        <v>2</v>
      </c>
      <c r="K1712" s="496" t="n">
        <v>-11</v>
      </c>
      <c r="L1712" s="397" t="n">
        <v>3010</v>
      </c>
      <c r="M1712" s="113" t="n"/>
      <c r="N1712" s="113" t="n"/>
      <c r="O1712" s="113" t="n"/>
      <c r="P1712" s="398" t="n"/>
      <c r="Q1712" s="398" t="n"/>
      <c r="R1712" s="113" t="n"/>
      <c r="S1712" s="113" t="n"/>
      <c r="T1712" s="113" t="n"/>
      <c r="U1712" s="113" t="n"/>
      <c r="V1712" s="113" t="n"/>
    </row>
    <row r="1713" ht="15.75" customHeight="1">
      <c r="A1713" s="146" t="n">
        <v>30</v>
      </c>
      <c r="B1713" s="238" t="n"/>
      <c r="C1713" s="399" t="n">
        <v>46006</v>
      </c>
      <c r="D1713" s="146" t="inlineStr">
        <is>
          <t>200 G. GARCERAS</t>
        </is>
      </c>
      <c r="E1713" s="146" t="n">
        <v>45012</v>
      </c>
      <c r="F1713" s="146" t="inlineStr">
        <is>
          <t>MANUEL QUITIAN</t>
        </is>
      </c>
      <c r="G1713" s="395" t="n">
        <v>3010</v>
      </c>
      <c r="H1713" s="395" t="n">
        <v>2995</v>
      </c>
      <c r="I1713" s="395" t="n">
        <v>10</v>
      </c>
      <c r="J1713" s="395" t="n">
        <v>5</v>
      </c>
      <c r="K1713" s="395" t="n">
        <v>0</v>
      </c>
      <c r="L1713" s="397" t="n">
        <v>3010</v>
      </c>
      <c r="M1713" s="113" t="n"/>
      <c r="N1713" s="113" t="n"/>
      <c r="O1713" s="113" t="n"/>
      <c r="P1713" s="398" t="n"/>
      <c r="Q1713" s="398" t="n"/>
      <c r="R1713" s="113" t="n"/>
      <c r="S1713" s="113" t="n"/>
      <c r="T1713" s="113" t="n"/>
      <c r="U1713" s="113" t="n"/>
      <c r="V1713" s="113" t="n"/>
    </row>
    <row r="1714" ht="15.75" customHeight="1">
      <c r="A1714" s="146" t="n">
        <v>30</v>
      </c>
      <c r="B1714" s="238" t="n"/>
      <c r="C1714" s="399" t="n">
        <v>46006</v>
      </c>
      <c r="D1714" s="146" t="inlineStr">
        <is>
          <t>200 G. GARCERAS</t>
        </is>
      </c>
      <c r="E1714" s="146" t="n">
        <v>45013</v>
      </c>
      <c r="F1714" s="146" t="inlineStr">
        <is>
          <t>ALEX GOMEZ</t>
        </is>
      </c>
      <c r="G1714" s="395" t="n">
        <v>3010</v>
      </c>
      <c r="H1714" s="395" t="n">
        <v>2998</v>
      </c>
      <c r="I1714" s="395" t="n">
        <v>2</v>
      </c>
      <c r="J1714" s="395" t="n">
        <v>4</v>
      </c>
      <c r="K1714" s="395" t="n">
        <v>-6</v>
      </c>
      <c r="L1714" s="397" t="n">
        <v>3010</v>
      </c>
      <c r="M1714" s="113" t="n"/>
      <c r="N1714" s="113" t="n"/>
      <c r="O1714" s="113" t="n"/>
      <c r="P1714" s="398" t="n"/>
      <c r="Q1714" s="398" t="n"/>
      <c r="R1714" s="113" t="n"/>
      <c r="S1714" s="113" t="n"/>
      <c r="T1714" s="113" t="n"/>
      <c r="U1714" s="113" t="n"/>
      <c r="V1714" s="113" t="n"/>
    </row>
    <row r="1715" ht="15.75" customHeight="1">
      <c r="A1715" s="146" t="n">
        <v>30</v>
      </c>
      <c r="B1715" s="238" t="n"/>
      <c r="C1715" s="399" t="n">
        <v>46006</v>
      </c>
      <c r="D1715" s="146" t="inlineStr">
        <is>
          <t>200 G. GARCERAS</t>
        </is>
      </c>
      <c r="E1715" s="146" t="n">
        <v>45014</v>
      </c>
      <c r="F1715" s="146" t="inlineStr">
        <is>
          <t>ALEXANDER CHAGUALA</t>
        </is>
      </c>
      <c r="G1715" s="395" t="n">
        <v>3010</v>
      </c>
      <c r="H1715" s="395" t="n">
        <v>2997</v>
      </c>
      <c r="I1715" s="395" t="n">
        <v>1</v>
      </c>
      <c r="J1715" s="395" t="n">
        <v>5</v>
      </c>
      <c r="K1715" s="395" t="n">
        <v>-7</v>
      </c>
      <c r="L1715" s="397" t="n">
        <v>3010</v>
      </c>
      <c r="M1715" s="113" t="n"/>
      <c r="N1715" s="113" t="n"/>
      <c r="O1715" s="113" t="n"/>
      <c r="P1715" s="398" t="n"/>
      <c r="Q1715" s="398" t="n"/>
      <c r="R1715" s="113" t="n"/>
      <c r="S1715" s="113" t="n"/>
      <c r="T1715" s="113" t="n"/>
      <c r="U1715" s="113" t="n"/>
      <c r="V1715" s="113" t="n"/>
    </row>
    <row r="1716" ht="15.75" customHeight="1">
      <c r="A1716" s="146" t="n">
        <v>30</v>
      </c>
      <c r="B1716" s="238" t="n"/>
      <c r="C1716" s="399" t="n">
        <v>46006</v>
      </c>
      <c r="D1716" s="146" t="inlineStr">
        <is>
          <t>200 G. GARCERAS</t>
        </is>
      </c>
      <c r="E1716" s="146" t="n">
        <v>45015</v>
      </c>
      <c r="F1716" s="146" t="inlineStr">
        <is>
          <t>JOSE HERRERA</t>
        </is>
      </c>
      <c r="G1716" s="395" t="n">
        <v>3010</v>
      </c>
      <c r="H1716" s="395" t="n">
        <v>3003</v>
      </c>
      <c r="I1716" s="395" t="n">
        <v>1</v>
      </c>
      <c r="J1716" s="395" t="n">
        <v>3</v>
      </c>
      <c r="K1716" s="395" t="n">
        <v>-3</v>
      </c>
      <c r="L1716" s="397" t="n">
        <v>3010</v>
      </c>
      <c r="M1716" s="113" t="n"/>
      <c r="N1716" s="113" t="n"/>
      <c r="O1716" s="113" t="n"/>
      <c r="P1716" s="398" t="n"/>
      <c r="Q1716" s="398" t="n"/>
      <c r="R1716" s="113" t="n"/>
      <c r="S1716" s="113" t="n"/>
      <c r="T1716" s="113" t="n"/>
      <c r="U1716" s="113" t="n"/>
      <c r="V1716" s="113" t="n"/>
    </row>
    <row r="1717" ht="15.75" customHeight="1">
      <c r="A1717" s="146" t="n">
        <v>30</v>
      </c>
      <c r="B1717" s="238" t="n"/>
      <c r="C1717" s="399" t="n">
        <v>46006</v>
      </c>
      <c r="D1717" s="146" t="inlineStr">
        <is>
          <t>200 G. GARCERAS</t>
        </is>
      </c>
      <c r="E1717" s="146" t="n">
        <v>45017</v>
      </c>
      <c r="F1717" s="146" t="inlineStr">
        <is>
          <t>EDWIN ROJAS</t>
        </is>
      </c>
      <c r="G1717" s="395" t="n">
        <v>2592</v>
      </c>
      <c r="H1717" s="395" t="n">
        <v>2586</v>
      </c>
      <c r="I1717" s="395" t="n">
        <v>2</v>
      </c>
      <c r="J1717" s="395" t="n">
        <v>4</v>
      </c>
      <c r="K1717" s="395" t="n">
        <v>0</v>
      </c>
      <c r="L1717" s="397" t="n">
        <v>3110</v>
      </c>
      <c r="M1717" s="113" t="n"/>
      <c r="N1717" s="113" t="n"/>
      <c r="O1717" s="113" t="n"/>
      <c r="P1717" s="398" t="n"/>
      <c r="Q1717" s="398" t="n"/>
      <c r="R1717" s="113" t="n"/>
      <c r="S1717" s="113" t="n"/>
      <c r="T1717" s="113" t="n"/>
      <c r="U1717" s="113" t="n"/>
      <c r="V1717" s="113" t="n"/>
    </row>
    <row r="1718" ht="15.75" customHeight="1">
      <c r="A1718" s="146" t="n">
        <v>30</v>
      </c>
      <c r="B1718" s="238" t="n"/>
      <c r="C1718" s="399" t="n">
        <v>46006</v>
      </c>
      <c r="D1718" s="146" t="inlineStr">
        <is>
          <t>200 G. GARCERAS</t>
        </is>
      </c>
      <c r="E1718" s="146" t="n">
        <v>45026</v>
      </c>
      <c r="F1718" s="146" t="inlineStr">
        <is>
          <t>HENRY ROMERO</t>
        </is>
      </c>
      <c r="G1718" s="395" t="n">
        <v>3110</v>
      </c>
      <c r="H1718" s="395" t="n">
        <v>3105</v>
      </c>
      <c r="I1718" s="395" t="n">
        <v>2</v>
      </c>
      <c r="J1718" s="395" t="n">
        <v>3</v>
      </c>
      <c r="K1718" s="395" t="n">
        <v>0</v>
      </c>
      <c r="L1718" s="397" t="n">
        <v>3110</v>
      </c>
      <c r="M1718" s="113" t="n"/>
      <c r="N1718" s="113" t="n"/>
      <c r="O1718" s="113" t="n"/>
      <c r="P1718" s="398" t="n"/>
      <c r="Q1718" s="398" t="n"/>
      <c r="R1718" s="113" t="n"/>
      <c r="S1718" s="113" t="n"/>
      <c r="T1718" s="113" t="n"/>
      <c r="U1718" s="113" t="n"/>
      <c r="V1718" s="113" t="n"/>
    </row>
    <row r="1719" ht="15.75" customHeight="1">
      <c r="A1719" s="146" t="n">
        <v>30</v>
      </c>
      <c r="B1719" s="238" t="n"/>
      <c r="C1719" s="399" t="n">
        <v>46006</v>
      </c>
      <c r="D1719" s="146" t="inlineStr">
        <is>
          <t>200 G. GARCERAS</t>
        </is>
      </c>
      <c r="E1719" s="146" t="n">
        <v>45027</v>
      </c>
      <c r="F1719" s="146" t="inlineStr">
        <is>
          <t>ROBINSON PULIDO</t>
        </is>
      </c>
      <c r="G1719" s="395" t="n">
        <v>3110</v>
      </c>
      <c r="H1719" s="395" t="n">
        <v>3106</v>
      </c>
      <c r="I1719" s="395" t="n">
        <v>2</v>
      </c>
      <c r="J1719" s="395" t="n">
        <v>2</v>
      </c>
      <c r="K1719" s="395" t="n">
        <v>0</v>
      </c>
      <c r="L1719" s="397" t="n">
        <v>3110</v>
      </c>
      <c r="M1719" s="113" t="n"/>
      <c r="N1719" s="113" t="n"/>
      <c r="O1719" s="113" t="n"/>
      <c r="P1719" s="398" t="n"/>
      <c r="Q1719" s="398" t="n"/>
      <c r="R1719" s="113" t="n"/>
      <c r="S1719" s="113" t="n"/>
      <c r="T1719" s="113" t="n"/>
      <c r="U1719" s="113" t="n"/>
      <c r="V1719" s="113" t="n"/>
    </row>
    <row r="1720" ht="15.75" customHeight="1">
      <c r="A1720" s="146" t="n">
        <v>30</v>
      </c>
      <c r="B1720" s="238" t="n"/>
      <c r="C1720" s="399" t="n">
        <v>46006</v>
      </c>
      <c r="D1720" s="146" t="inlineStr">
        <is>
          <t>200 G. GARCERAS</t>
        </is>
      </c>
      <c r="E1720" s="146" t="n">
        <v>45028</v>
      </c>
      <c r="F1720" s="146" t="inlineStr">
        <is>
          <t>MANUEL QUITIAN</t>
        </is>
      </c>
      <c r="G1720" s="395" t="n">
        <v>3110</v>
      </c>
      <c r="H1720" s="395" t="n">
        <v>3106</v>
      </c>
      <c r="I1720" s="395" t="n">
        <v>2</v>
      </c>
      <c r="J1720" s="395" t="n">
        <v>2</v>
      </c>
      <c r="K1720" s="395" t="n">
        <v>0</v>
      </c>
      <c r="L1720" s="397" t="n">
        <v>3110</v>
      </c>
      <c r="M1720" s="113" t="n"/>
      <c r="N1720" s="113" t="n"/>
      <c r="O1720" s="113" t="n"/>
      <c r="P1720" s="398" t="n"/>
      <c r="Q1720" s="398" t="n"/>
      <c r="R1720" s="113" t="n"/>
      <c r="S1720" s="113" t="n"/>
      <c r="T1720" s="113" t="n"/>
      <c r="U1720" s="113" t="n"/>
      <c r="V1720" s="113" t="n"/>
    </row>
    <row r="1721" ht="15.75" customHeight="1">
      <c r="A1721" s="146" t="n">
        <v>30</v>
      </c>
      <c r="B1721" s="238" t="n"/>
      <c r="C1721" s="399" t="n">
        <v>46006</v>
      </c>
      <c r="D1721" s="146" t="inlineStr">
        <is>
          <t>200 G. GARCERAS</t>
        </is>
      </c>
      <c r="E1721" s="146" t="n">
        <v>45029</v>
      </c>
      <c r="F1721" s="146" t="inlineStr">
        <is>
          <t>ALEX CHAGUALA</t>
        </is>
      </c>
      <c r="G1721" s="395" t="n">
        <v>3110</v>
      </c>
      <c r="H1721" s="395" t="n">
        <v>3099</v>
      </c>
      <c r="I1721" s="395" t="n">
        <v>2</v>
      </c>
      <c r="J1721" s="395" t="n">
        <v>1</v>
      </c>
      <c r="K1721" s="395" t="n">
        <v>-8</v>
      </c>
      <c r="L1721" s="397" t="n">
        <v>3200</v>
      </c>
      <c r="M1721" s="113" t="n"/>
      <c r="N1721" s="113" t="n"/>
      <c r="O1721" s="113" t="n"/>
      <c r="P1721" s="398" t="n"/>
      <c r="Q1721" s="398" t="n"/>
      <c r="R1721" s="113" t="n"/>
      <c r="S1721" s="113" t="n"/>
      <c r="T1721" s="113" t="n"/>
      <c r="U1721" s="113" t="n"/>
      <c r="V1721" s="113" t="n"/>
    </row>
    <row r="1722" ht="15.75" customHeight="1">
      <c r="A1722" s="146" t="n">
        <v>30</v>
      </c>
      <c r="B1722" s="238" t="n"/>
      <c r="C1722" s="399" t="n">
        <v>46006</v>
      </c>
      <c r="D1722" s="146" t="inlineStr">
        <is>
          <t>200 G. GARCERAS</t>
        </is>
      </c>
      <c r="E1722" s="146" t="n">
        <v>45030</v>
      </c>
      <c r="F1722" s="146" t="inlineStr">
        <is>
          <t>SEBASTIAN HIDALGO</t>
        </is>
      </c>
      <c r="G1722" s="395" t="n">
        <v>3200</v>
      </c>
      <c r="H1722" s="395" t="n">
        <v>3196</v>
      </c>
      <c r="I1722" s="395" t="n">
        <v>4</v>
      </c>
      <c r="J1722" s="395" t="n">
        <v>4</v>
      </c>
      <c r="K1722" s="395" t="n">
        <v>4</v>
      </c>
      <c r="L1722" s="397" t="n">
        <v>3684</v>
      </c>
      <c r="M1722" s="113" t="n"/>
      <c r="N1722" s="113" t="n"/>
      <c r="O1722" s="113" t="n"/>
      <c r="P1722" s="398" t="n"/>
      <c r="Q1722" s="398" t="n"/>
      <c r="R1722" s="113" t="n"/>
      <c r="S1722" s="113" t="n"/>
      <c r="T1722" s="113" t="n"/>
      <c r="U1722" s="113" t="n"/>
      <c r="V1722" s="113" t="n"/>
    </row>
    <row r="1723" ht="15.75" customHeight="1">
      <c r="A1723" s="146" t="n">
        <v>30</v>
      </c>
      <c r="B1723" s="238" t="n"/>
      <c r="C1723" s="399" t="n">
        <v>46006</v>
      </c>
      <c r="D1723" s="146" t="inlineStr">
        <is>
          <t>200 G. GARCERAS</t>
        </is>
      </c>
      <c r="E1723" s="146" t="n">
        <v>45031</v>
      </c>
      <c r="F1723" s="146" t="inlineStr">
        <is>
          <t>YAIR RIVEROS</t>
        </is>
      </c>
      <c r="G1723" s="395" t="n">
        <v>3648</v>
      </c>
      <c r="H1723" s="395" t="n">
        <v>3640</v>
      </c>
      <c r="I1723" s="395" t="n">
        <v>4</v>
      </c>
      <c r="J1723" s="395" t="n">
        <v>4</v>
      </c>
      <c r="K1723" s="395" t="n">
        <v>0</v>
      </c>
      <c r="L1723" s="397" t="n">
        <v>3684</v>
      </c>
      <c r="M1723" s="113" t="n"/>
      <c r="N1723" s="113" t="n"/>
      <c r="O1723" s="113" t="n"/>
      <c r="P1723" s="398" t="n"/>
      <c r="Q1723" s="398" t="n"/>
      <c r="R1723" s="113" t="n"/>
      <c r="S1723" s="113" t="n"/>
      <c r="T1723" s="113" t="n"/>
      <c r="U1723" s="113" t="n"/>
      <c r="V1723" s="113" t="n"/>
    </row>
    <row r="1724" ht="15.75" customHeight="1">
      <c r="A1724" s="146" t="n">
        <v>30</v>
      </c>
      <c r="B1724" s="238" t="n"/>
      <c r="C1724" s="399" t="n">
        <v>46006</v>
      </c>
      <c r="D1724" s="146" t="inlineStr">
        <is>
          <t>200 G. GARCERAS</t>
        </is>
      </c>
      <c r="E1724" s="146" t="n">
        <v>45032</v>
      </c>
      <c r="F1724" s="146" t="inlineStr">
        <is>
          <t>FABIO ALDANA</t>
        </is>
      </c>
      <c r="G1724" s="395" t="n">
        <v>3684</v>
      </c>
      <c r="H1724" s="395" t="n">
        <v>3677</v>
      </c>
      <c r="I1724" s="395" t="n">
        <v>6</v>
      </c>
      <c r="J1724" s="395" t="n">
        <v>3</v>
      </c>
      <c r="K1724" s="395" t="n">
        <v>2</v>
      </c>
      <c r="L1724" s="397" t="n">
        <v>3564</v>
      </c>
      <c r="M1724" s="113" t="n"/>
      <c r="N1724" s="113" t="n"/>
      <c r="O1724" s="113" t="n"/>
      <c r="P1724" s="398" t="n"/>
      <c r="Q1724" s="398" t="n"/>
      <c r="R1724" s="113" t="n"/>
      <c r="S1724" s="113" t="n"/>
      <c r="T1724" s="113" t="n"/>
      <c r="U1724" s="113" t="n"/>
      <c r="V1724" s="113" t="n"/>
    </row>
    <row r="1725" ht="15.75" customHeight="1">
      <c r="A1725" s="146" t="n">
        <v>30</v>
      </c>
      <c r="B1725" s="238" t="n"/>
      <c r="C1725" s="399" t="n">
        <v>46006</v>
      </c>
      <c r="D1725" s="146" t="inlineStr">
        <is>
          <t>200 G. GARCERAS</t>
        </is>
      </c>
      <c r="E1725" s="146" t="n">
        <v>45033</v>
      </c>
      <c r="F1725" s="146" t="inlineStr">
        <is>
          <t>FERNANDO OYUELA</t>
        </is>
      </c>
      <c r="G1725" s="395" t="n">
        <v>3564</v>
      </c>
      <c r="H1725" s="395" t="n">
        <v>3558</v>
      </c>
      <c r="I1725" s="395" t="n">
        <v>4</v>
      </c>
      <c r="J1725" s="395" t="n">
        <v>2</v>
      </c>
      <c r="K1725" s="395" t="n">
        <v>0</v>
      </c>
      <c r="L1725" s="397" t="n">
        <v>3100</v>
      </c>
      <c r="M1725" s="113" t="n"/>
      <c r="N1725" s="113" t="n"/>
      <c r="O1725" s="113" t="n"/>
      <c r="P1725" s="398" t="n"/>
      <c r="Q1725" s="398" t="n"/>
      <c r="R1725" s="113" t="n"/>
      <c r="S1725" s="113" t="n"/>
      <c r="T1725" s="113" t="n"/>
      <c r="U1725" s="113" t="n"/>
      <c r="V1725" s="113" t="n"/>
    </row>
    <row r="1726" ht="15.75" customHeight="1">
      <c r="A1726" s="146" t="n">
        <v>30</v>
      </c>
      <c r="B1726" s="238" t="n"/>
      <c r="C1726" s="495" t="n">
        <v>46007</v>
      </c>
      <c r="D1726" s="23" t="inlineStr">
        <is>
          <t>202 G. HUERTAS</t>
        </is>
      </c>
      <c r="E1726" s="23" t="n">
        <v>204957</v>
      </c>
      <c r="F1726" s="23" t="inlineStr">
        <is>
          <t>MARCO OSPINA</t>
        </is>
      </c>
      <c r="G1726" s="496" t="n">
        <v>3100</v>
      </c>
      <c r="H1726" s="496" t="n">
        <v>3082</v>
      </c>
      <c r="I1726" s="496" t="n">
        <v>3</v>
      </c>
      <c r="J1726" s="496" t="n">
        <v>7</v>
      </c>
      <c r="K1726" s="496" t="n">
        <v>-8</v>
      </c>
      <c r="L1726" s="397" t="n">
        <v>3100</v>
      </c>
      <c r="M1726" s="113" t="n"/>
      <c r="N1726" s="113" t="n"/>
      <c r="O1726" s="113" t="n"/>
      <c r="P1726" s="398" t="n"/>
      <c r="Q1726" s="398" t="n"/>
      <c r="R1726" s="113" t="n"/>
      <c r="S1726" s="113" t="n"/>
      <c r="T1726" s="113" t="n"/>
      <c r="U1726" s="113" t="n"/>
      <c r="V1726" s="113" t="n"/>
    </row>
    <row r="1727" ht="15.75" customHeight="1">
      <c r="A1727" s="146" t="n">
        <v>30</v>
      </c>
      <c r="B1727" s="238" t="n"/>
      <c r="C1727" s="495" t="n">
        <v>46007</v>
      </c>
      <c r="D1727" s="23" t="inlineStr">
        <is>
          <t>202 G. HUERTAS</t>
        </is>
      </c>
      <c r="E1727" s="23" t="n">
        <v>204958</v>
      </c>
      <c r="F1727" s="23" t="inlineStr">
        <is>
          <t>MARCOS LOPEZ CASTAÑEDA</t>
        </is>
      </c>
      <c r="G1727" s="496" t="n">
        <v>2925</v>
      </c>
      <c r="H1727" s="496" t="n">
        <v>2896</v>
      </c>
      <c r="I1727" s="496" t="n">
        <v>3</v>
      </c>
      <c r="J1727" s="496" t="n">
        <v>20</v>
      </c>
      <c r="K1727" s="496" t="n">
        <v>-6</v>
      </c>
      <c r="L1727" s="397" t="n">
        <v>3100</v>
      </c>
      <c r="M1727" s="113" t="n"/>
      <c r="N1727" s="113" t="n"/>
      <c r="O1727" s="113" t="n"/>
      <c r="P1727" s="398" t="n"/>
      <c r="Q1727" s="398" t="n"/>
      <c r="R1727" s="113" t="n"/>
      <c r="S1727" s="113" t="n"/>
      <c r="T1727" s="113" t="n"/>
      <c r="U1727" s="113" t="n"/>
      <c r="V1727" s="113" t="n"/>
    </row>
    <row r="1728" ht="15.75" customHeight="1">
      <c r="A1728" s="146" t="n">
        <v>30</v>
      </c>
      <c r="B1728" s="238" t="n"/>
      <c r="C1728" s="495" t="n">
        <v>46007</v>
      </c>
      <c r="D1728" s="23" t="inlineStr">
        <is>
          <t>202 G. HUERTAS</t>
        </is>
      </c>
      <c r="E1728" s="23" t="n">
        <v>204961</v>
      </c>
      <c r="F1728" s="23" t="inlineStr">
        <is>
          <t>ROBERTO MONROY</t>
        </is>
      </c>
      <c r="G1728" s="496" t="n">
        <v>3000</v>
      </c>
      <c r="H1728" s="496" t="n">
        <v>2983</v>
      </c>
      <c r="I1728" s="496" t="n">
        <v>3</v>
      </c>
      <c r="J1728" s="496" t="n">
        <v>6</v>
      </c>
      <c r="K1728" s="496" t="n">
        <v>-8</v>
      </c>
      <c r="L1728" s="397" t="n">
        <v>2925</v>
      </c>
      <c r="M1728" s="113" t="n"/>
      <c r="N1728" s="113" t="n"/>
      <c r="O1728" s="113" t="n"/>
      <c r="P1728" s="398" t="n"/>
      <c r="Q1728" s="398" t="n"/>
      <c r="R1728" s="113" t="n"/>
      <c r="S1728" s="113" t="n"/>
      <c r="T1728" s="113" t="n"/>
      <c r="U1728" s="113" t="n"/>
      <c r="V1728" s="113" t="n"/>
    </row>
    <row r="1729" ht="15.75" customHeight="1">
      <c r="A1729" s="146" t="n">
        <v>30</v>
      </c>
      <c r="B1729" s="238" t="n"/>
      <c r="C1729" s="495" t="n">
        <v>46007</v>
      </c>
      <c r="D1729" s="23" t="inlineStr">
        <is>
          <t>202 G. HUERTAS</t>
        </is>
      </c>
      <c r="E1729" s="23" t="n">
        <v>71170</v>
      </c>
      <c r="F1729" s="23" t="inlineStr">
        <is>
          <t>JOSE BELTRAN</t>
        </is>
      </c>
      <c r="G1729" s="496" t="n">
        <v>3100</v>
      </c>
      <c r="H1729" s="496" t="n">
        <v>3086</v>
      </c>
      <c r="I1729" s="496" t="n">
        <v>5</v>
      </c>
      <c r="J1729" s="496" t="n">
        <v>0</v>
      </c>
      <c r="K1729" s="496" t="n">
        <v>-9</v>
      </c>
      <c r="L1729" s="397" t="n">
        <v>3000</v>
      </c>
      <c r="M1729" s="113" t="n"/>
      <c r="N1729" s="113" t="n"/>
      <c r="O1729" s="113" t="n"/>
      <c r="P1729" s="398" t="n"/>
      <c r="Q1729" s="398" t="n"/>
      <c r="R1729" s="113" t="n"/>
      <c r="S1729" s="113" t="n"/>
      <c r="T1729" s="113" t="n"/>
      <c r="U1729" s="113" t="n"/>
      <c r="V1729" s="113" t="n"/>
    </row>
    <row r="1730" ht="15.75" customHeight="1">
      <c r="A1730" s="146" t="n">
        <v>30</v>
      </c>
      <c r="B1730" s="238" t="n"/>
      <c r="C1730" s="495" t="n">
        <v>46007</v>
      </c>
      <c r="D1730" s="23" t="inlineStr">
        <is>
          <t>202 G. HUERTAS</t>
        </is>
      </c>
      <c r="E1730" s="23" t="n">
        <v>45040</v>
      </c>
      <c r="F1730" s="23" t="inlineStr">
        <is>
          <t>EDUAN CAVIEDES</t>
        </is>
      </c>
      <c r="G1730" s="496" t="n">
        <v>2458</v>
      </c>
      <c r="H1730" s="496" t="n">
        <v>2442</v>
      </c>
      <c r="I1730" s="496" t="n">
        <v>2</v>
      </c>
      <c r="J1730" s="496" t="n">
        <v>8</v>
      </c>
      <c r="K1730" s="496" t="n">
        <v>-6</v>
      </c>
      <c r="L1730" s="397" t="n">
        <v>2458</v>
      </c>
      <c r="M1730" s="113" t="n"/>
      <c r="N1730" s="113" t="n"/>
      <c r="O1730" s="113" t="n"/>
      <c r="P1730" s="398" t="n"/>
      <c r="Q1730" s="398" t="n"/>
      <c r="R1730" s="113" t="n"/>
      <c r="S1730" s="113" t="n"/>
      <c r="T1730" s="113" t="n"/>
      <c r="U1730" s="113" t="n"/>
      <c r="V1730" s="113" t="n"/>
    </row>
    <row r="1731" ht="15.75" customHeight="1">
      <c r="A1731" s="146" t="n">
        <v>30</v>
      </c>
      <c r="B1731" s="238" t="n"/>
      <c r="C1731" s="495" t="n">
        <v>46007</v>
      </c>
      <c r="D1731" s="23" t="inlineStr">
        <is>
          <t>202 G. HUERTAS</t>
        </is>
      </c>
      <c r="E1731" s="23" t="n">
        <v>45041</v>
      </c>
      <c r="F1731" s="23" t="inlineStr">
        <is>
          <t>ALEX CHAGUALA</t>
        </is>
      </c>
      <c r="G1731" s="496" t="n">
        <v>2520</v>
      </c>
      <c r="H1731" s="496" t="n">
        <v>2506</v>
      </c>
      <c r="I1731" s="496" t="n">
        <v>3</v>
      </c>
      <c r="J1731" s="496" t="n">
        <v>6</v>
      </c>
      <c r="K1731" s="496" t="n">
        <v>-5</v>
      </c>
      <c r="L1731" s="397" t="n">
        <v>2520</v>
      </c>
      <c r="M1731" s="113" t="n"/>
      <c r="N1731" s="113" t="n"/>
      <c r="O1731" s="113" t="n"/>
      <c r="P1731" s="398" t="n"/>
      <c r="Q1731" s="398" t="n"/>
      <c r="R1731" s="113" t="n"/>
      <c r="S1731" s="113" t="n"/>
      <c r="T1731" s="113" t="n"/>
      <c r="U1731" s="113" t="n"/>
      <c r="V1731" s="113" t="n"/>
    </row>
    <row r="1732" ht="15.75" customHeight="1">
      <c r="A1732" s="146" t="n">
        <v>30</v>
      </c>
      <c r="B1732" s="238" t="n"/>
      <c r="C1732" s="399" t="n">
        <v>46007</v>
      </c>
      <c r="D1732" s="146" t="inlineStr">
        <is>
          <t>200 G. GARCERAS</t>
        </is>
      </c>
      <c r="E1732" s="146" t="n">
        <v>45042</v>
      </c>
      <c r="F1732" s="146" t="inlineStr">
        <is>
          <t>JHON ARIAS</t>
        </is>
      </c>
      <c r="G1732" s="395" t="n">
        <v>3080</v>
      </c>
      <c r="H1732" s="395" t="n">
        <v>3071</v>
      </c>
      <c r="I1732" s="395" t="n">
        <v>2</v>
      </c>
      <c r="J1732" s="395" t="n">
        <v>3</v>
      </c>
      <c r="K1732" s="395" t="n">
        <v>-4</v>
      </c>
      <c r="L1732" s="397" t="n">
        <v>3080</v>
      </c>
      <c r="M1732" s="113" t="n"/>
      <c r="N1732" s="113" t="n"/>
      <c r="O1732" s="113" t="n"/>
      <c r="P1732" s="398" t="n"/>
      <c r="Q1732" s="398" t="n"/>
      <c r="R1732" s="113" t="n"/>
      <c r="S1732" s="113" t="n"/>
      <c r="T1732" s="113" t="n"/>
      <c r="U1732" s="113" t="n"/>
      <c r="V1732" s="113" t="n"/>
    </row>
    <row r="1733" ht="15.75" customHeight="1">
      <c r="A1733" s="146" t="n">
        <v>30</v>
      </c>
      <c r="B1733" s="238" t="n"/>
      <c r="C1733" s="399" t="n">
        <v>46007</v>
      </c>
      <c r="D1733" s="146" t="inlineStr">
        <is>
          <t>200 G. GARCERAS</t>
        </is>
      </c>
      <c r="E1733" s="146" t="n">
        <v>45043</v>
      </c>
      <c r="F1733" s="146" t="inlineStr">
        <is>
          <t>ALEX GOMEZ</t>
        </is>
      </c>
      <c r="G1733" s="395" t="n">
        <v>3080</v>
      </c>
      <c r="H1733" s="395" t="n">
        <v>3074</v>
      </c>
      <c r="I1733" s="395" t="n">
        <v>2</v>
      </c>
      <c r="J1733" s="395" t="n">
        <v>2</v>
      </c>
      <c r="K1733" s="395" t="n">
        <v>-2</v>
      </c>
      <c r="L1733" s="397" t="n">
        <v>3080</v>
      </c>
      <c r="M1733" s="113" t="n"/>
      <c r="N1733" s="113" t="n"/>
      <c r="O1733" s="113" t="n"/>
      <c r="P1733" s="398" t="n"/>
      <c r="Q1733" s="398" t="n"/>
      <c r="R1733" s="113" t="n"/>
      <c r="S1733" s="113" t="n"/>
      <c r="T1733" s="113" t="n"/>
      <c r="U1733" s="113" t="n"/>
      <c r="V1733" s="113" t="n"/>
    </row>
    <row r="1734" ht="15.75" customHeight="1">
      <c r="A1734" s="146" t="n">
        <v>30</v>
      </c>
      <c r="B1734" s="238" t="n"/>
      <c r="C1734" s="399" t="n">
        <v>46007</v>
      </c>
      <c r="D1734" s="146" t="inlineStr">
        <is>
          <t>200 G. GARCERAS</t>
        </is>
      </c>
      <c r="E1734" s="146" t="n">
        <v>45044</v>
      </c>
      <c r="F1734" s="146" t="inlineStr">
        <is>
          <t>SEBASTIAN HIDALGO</t>
        </is>
      </c>
      <c r="G1734" s="395" t="n">
        <v>3080</v>
      </c>
      <c r="H1734" s="395" t="n">
        <v>3075</v>
      </c>
      <c r="I1734" s="395" t="n">
        <v>3</v>
      </c>
      <c r="J1734" s="395" t="n">
        <v>0</v>
      </c>
      <c r="K1734" s="395" t="n">
        <v>-2</v>
      </c>
      <c r="L1734" s="397" t="n">
        <v>3080</v>
      </c>
      <c r="M1734" s="113" t="n"/>
      <c r="N1734" s="113" t="n"/>
      <c r="O1734" s="113" t="n"/>
      <c r="P1734" s="398" t="n"/>
      <c r="Q1734" s="398" t="n"/>
      <c r="R1734" s="113" t="n"/>
      <c r="S1734" s="113" t="n"/>
      <c r="T1734" s="113" t="n"/>
      <c r="U1734" s="113" t="n"/>
      <c r="V1734" s="113" t="n"/>
    </row>
    <row r="1735" ht="15.75" customHeight="1">
      <c r="A1735" s="146" t="n">
        <v>30</v>
      </c>
      <c r="B1735" s="238" t="n"/>
      <c r="C1735" s="399" t="n">
        <v>46007</v>
      </c>
      <c r="D1735" s="146" t="inlineStr">
        <is>
          <t>200 G. GARCERAS</t>
        </is>
      </c>
      <c r="E1735" s="146" t="n">
        <v>45045</v>
      </c>
      <c r="F1735" s="146" t="inlineStr">
        <is>
          <t>WILMER PIÑEROS</t>
        </is>
      </c>
      <c r="G1735" s="395" t="n">
        <v>3080</v>
      </c>
      <c r="H1735" s="395" t="n">
        <v>3064</v>
      </c>
      <c r="I1735" s="395" t="n">
        <v>2</v>
      </c>
      <c r="J1735" s="395" t="n">
        <v>2</v>
      </c>
      <c r="K1735" s="395" t="n">
        <v>-12</v>
      </c>
      <c r="L1735" s="397" t="n">
        <v>3080</v>
      </c>
      <c r="M1735" s="113" t="n"/>
      <c r="N1735" s="113" t="n"/>
      <c r="O1735" s="113" t="n"/>
      <c r="P1735" s="398" t="n"/>
      <c r="Q1735" s="398" t="n"/>
      <c r="R1735" s="113" t="n"/>
      <c r="S1735" s="113" t="n"/>
      <c r="T1735" s="113" t="n"/>
      <c r="U1735" s="113" t="n"/>
      <c r="V1735" s="113" t="n"/>
    </row>
    <row r="1736" ht="15.75" customHeight="1">
      <c r="A1736" s="146" t="n">
        <v>30</v>
      </c>
      <c r="B1736" s="238" t="n"/>
      <c r="C1736" s="399" t="n">
        <v>46007</v>
      </c>
      <c r="D1736" s="146" t="inlineStr">
        <is>
          <t>200 G. GARCERAS</t>
        </is>
      </c>
      <c r="E1736" s="146" t="n">
        <v>45046</v>
      </c>
      <c r="F1736" s="146" t="inlineStr">
        <is>
          <t>EDWIN ROJAS</t>
        </is>
      </c>
      <c r="G1736" s="395" t="n">
        <v>3080</v>
      </c>
      <c r="H1736" s="395" t="n">
        <v>3057</v>
      </c>
      <c r="I1736" s="395" t="n">
        <v>2</v>
      </c>
      <c r="J1736" s="395" t="n">
        <v>3</v>
      </c>
      <c r="K1736" s="395" t="n">
        <v>-18</v>
      </c>
      <c r="L1736" s="397" t="n">
        <v>3080</v>
      </c>
      <c r="M1736" s="113" t="n"/>
      <c r="N1736" s="113" t="n"/>
      <c r="O1736" s="113" t="n"/>
      <c r="P1736" s="398" t="n"/>
      <c r="Q1736" s="398" t="n"/>
      <c r="R1736" s="113" t="n"/>
      <c r="S1736" s="113" t="n"/>
      <c r="T1736" s="113" t="n"/>
      <c r="U1736" s="113" t="n"/>
      <c r="V1736" s="113" t="n"/>
    </row>
    <row r="1737" ht="15.75" customHeight="1">
      <c r="A1737" s="146" t="n">
        <v>30</v>
      </c>
      <c r="B1737" s="238" t="n"/>
      <c r="C1737" s="399" t="n">
        <v>46007</v>
      </c>
      <c r="D1737" s="146" t="inlineStr">
        <is>
          <t>200 G. GARCERAS</t>
        </is>
      </c>
      <c r="E1737" s="146" t="n">
        <v>45047</v>
      </c>
      <c r="F1737" s="146" t="inlineStr">
        <is>
          <t>FERNANDO OYUELA</t>
        </is>
      </c>
      <c r="G1737" s="395" t="n">
        <v>3867</v>
      </c>
      <c r="H1737" s="395" t="n">
        <v>3854</v>
      </c>
      <c r="I1737" s="395" t="n">
        <v>2</v>
      </c>
      <c r="J1737" s="395" t="n">
        <v>3</v>
      </c>
      <c r="K1737" s="395" t="n">
        <v>-8</v>
      </c>
      <c r="L1737" s="397" t="n">
        <v>3867</v>
      </c>
      <c r="M1737" s="113" t="n"/>
      <c r="N1737" s="113" t="n"/>
      <c r="O1737" s="113" t="n"/>
      <c r="P1737" s="398" t="n"/>
      <c r="Q1737" s="398" t="n"/>
      <c r="R1737" s="113" t="n"/>
      <c r="S1737" s="113" t="n"/>
      <c r="T1737" s="113" t="n"/>
      <c r="U1737" s="113" t="n"/>
      <c r="V1737" s="113" t="n"/>
    </row>
    <row r="1738" ht="15.75" customHeight="1">
      <c r="A1738" s="146" t="n">
        <v>30</v>
      </c>
      <c r="B1738" s="238" t="n"/>
      <c r="C1738" s="399" t="n">
        <v>46007</v>
      </c>
      <c r="D1738" s="146" t="inlineStr">
        <is>
          <t>200 G. GARCERAS</t>
        </is>
      </c>
      <c r="E1738" s="146" t="n">
        <v>45056</v>
      </c>
      <c r="F1738" s="146" t="inlineStr">
        <is>
          <t>ALEXANDER CHAGUALA</t>
        </is>
      </c>
      <c r="G1738" s="395" t="n">
        <v>3642</v>
      </c>
      <c r="H1738" s="395" t="n">
        <v>3673</v>
      </c>
      <c r="I1738" s="395" t="n">
        <v>4</v>
      </c>
      <c r="J1738" s="395" t="n">
        <v>2</v>
      </c>
      <c r="K1738" s="395" t="n">
        <v>37</v>
      </c>
      <c r="L1738" s="397" t="n">
        <v>3684</v>
      </c>
      <c r="M1738" s="113" t="n"/>
      <c r="N1738" s="113" t="n"/>
      <c r="O1738" s="113" t="n"/>
      <c r="P1738" s="398" t="n"/>
      <c r="Q1738" s="398" t="n"/>
      <c r="R1738" s="113" t="n"/>
      <c r="S1738" s="113" t="n"/>
      <c r="T1738" s="113" t="n"/>
      <c r="U1738" s="113" t="n"/>
      <c r="V1738" s="113" t="n"/>
    </row>
    <row r="1739" ht="15.75" customHeight="1">
      <c r="A1739" s="146" t="n">
        <v>30</v>
      </c>
      <c r="B1739" s="238" t="n"/>
      <c r="C1739" s="399" t="n">
        <v>46007</v>
      </c>
      <c r="D1739" s="146" t="inlineStr">
        <is>
          <t>200 G. GARCERAS</t>
        </is>
      </c>
      <c r="E1739" s="146" t="n">
        <v>45057</v>
      </c>
      <c r="F1739" s="146" t="inlineStr">
        <is>
          <t>ALEX GOMEZ</t>
        </is>
      </c>
      <c r="G1739" s="395" t="n">
        <v>3642</v>
      </c>
      <c r="H1739" s="395" t="n">
        <v>3656</v>
      </c>
      <c r="I1739" s="395" t="n">
        <v>4</v>
      </c>
      <c r="J1739" s="395" t="n">
        <v>4</v>
      </c>
      <c r="K1739" s="395" t="n">
        <v>22</v>
      </c>
      <c r="L1739" s="397" t="n">
        <v>3684</v>
      </c>
      <c r="M1739" s="113" t="n"/>
      <c r="N1739" s="113" t="n"/>
      <c r="O1739" s="113" t="n"/>
      <c r="P1739" s="398" t="n"/>
      <c r="Q1739" s="398" t="n"/>
      <c r="R1739" s="113" t="n"/>
      <c r="S1739" s="113" t="n"/>
      <c r="T1739" s="113" t="n"/>
      <c r="U1739" s="113" t="n"/>
      <c r="V1739" s="113" t="n"/>
    </row>
    <row r="1740" ht="15.75" customHeight="1">
      <c r="A1740" s="146" t="n">
        <v>30</v>
      </c>
      <c r="B1740" s="238" t="n"/>
      <c r="C1740" s="399" t="n">
        <v>46007</v>
      </c>
      <c r="D1740" s="146" t="inlineStr">
        <is>
          <t>200 G. GARCERAS</t>
        </is>
      </c>
      <c r="E1740" s="146" t="n">
        <v>45058</v>
      </c>
      <c r="F1740" s="146" t="inlineStr">
        <is>
          <t>SEBASTIAN HIDALGO</t>
        </is>
      </c>
      <c r="G1740" s="395" t="n">
        <v>3564</v>
      </c>
      <c r="H1740" s="395" t="n">
        <v>3581</v>
      </c>
      <c r="I1740" s="395" t="n">
        <v>4</v>
      </c>
      <c r="J1740" s="395" t="n">
        <v>3</v>
      </c>
      <c r="K1740" s="395" t="n">
        <v>24</v>
      </c>
      <c r="L1740" s="397" t="n">
        <v>3564</v>
      </c>
      <c r="M1740" s="113" t="n"/>
      <c r="N1740" s="113" t="n"/>
      <c r="O1740" s="113" t="n"/>
      <c r="P1740" s="398" t="n"/>
      <c r="Q1740" s="398" t="n"/>
      <c r="R1740" s="113" t="n"/>
      <c r="S1740" s="113" t="n"/>
      <c r="T1740" s="113" t="n"/>
      <c r="U1740" s="113" t="n"/>
      <c r="V1740" s="113" t="n"/>
    </row>
    <row r="1741" ht="15.75" customHeight="1">
      <c r="A1741" s="146" t="n">
        <v>30</v>
      </c>
      <c r="B1741" s="238" t="n"/>
      <c r="C1741" s="399" t="n">
        <v>46007</v>
      </c>
      <c r="D1741" s="146" t="inlineStr">
        <is>
          <t>200 G. GARCERAS</t>
        </is>
      </c>
      <c r="E1741" s="146" t="n">
        <v>45059</v>
      </c>
      <c r="F1741" s="146" t="inlineStr">
        <is>
          <t>WILMER PIÑEROS</t>
        </is>
      </c>
      <c r="G1741" s="395" t="n">
        <v>3564</v>
      </c>
      <c r="H1741" s="395" t="n">
        <v>3588</v>
      </c>
      <c r="I1741" s="395" t="n">
        <v>4</v>
      </c>
      <c r="J1741" s="395" t="n">
        <v>1</v>
      </c>
      <c r="K1741" s="395" t="n">
        <v>29</v>
      </c>
      <c r="L1741" s="397" t="n">
        <v>3564</v>
      </c>
      <c r="M1741" s="113" t="n"/>
      <c r="N1741" s="113" t="n"/>
      <c r="O1741" s="113" t="n"/>
      <c r="P1741" s="398" t="n"/>
      <c r="Q1741" s="398" t="n"/>
      <c r="R1741" s="113" t="n"/>
      <c r="S1741" s="113" t="n"/>
      <c r="T1741" s="113" t="n"/>
      <c r="U1741" s="113" t="n"/>
      <c r="V1741" s="113" t="n"/>
    </row>
    <row r="1742" ht="15.75" customHeight="1">
      <c r="A1742" s="146" t="n">
        <v>30</v>
      </c>
      <c r="B1742" s="238" t="n"/>
      <c r="C1742" s="495" t="n">
        <v>46009</v>
      </c>
      <c r="D1742" s="23" t="inlineStr">
        <is>
          <t>202 G. HUERTAS</t>
        </is>
      </c>
      <c r="E1742" s="23" t="n">
        <v>45060</v>
      </c>
      <c r="F1742" s="23" t="inlineStr">
        <is>
          <t>DUMAR ANGARITA</t>
        </is>
      </c>
      <c r="G1742" s="496" t="n">
        <v>2520</v>
      </c>
      <c r="H1742" s="496" t="n">
        <v>2504</v>
      </c>
      <c r="I1742" s="496" t="n">
        <v>9</v>
      </c>
      <c r="J1742" s="496" t="n">
        <v>24</v>
      </c>
      <c r="K1742" s="496" t="n">
        <v>17</v>
      </c>
      <c r="L1742" s="397" t="n">
        <v>2818</v>
      </c>
      <c r="M1742" s="113" t="n"/>
      <c r="N1742" s="113" t="n"/>
      <c r="O1742" s="113" t="n"/>
      <c r="P1742" s="398" t="n"/>
      <c r="Q1742" s="398" t="n"/>
      <c r="R1742" s="113" t="n"/>
      <c r="S1742" s="113" t="n"/>
      <c r="T1742" s="113" t="n"/>
      <c r="U1742" s="113" t="n"/>
      <c r="V1742" s="113" t="n"/>
    </row>
    <row r="1743" ht="15.75" customHeight="1">
      <c r="A1743" s="146" t="n">
        <v>30</v>
      </c>
      <c r="B1743" s="238" t="n"/>
      <c r="C1743" s="495" t="n">
        <v>46009</v>
      </c>
      <c r="D1743" s="23" t="inlineStr">
        <is>
          <t>202 G. HUERTAS</t>
        </is>
      </c>
      <c r="E1743" s="23" t="n">
        <v>45061</v>
      </c>
      <c r="F1743" s="23" t="inlineStr">
        <is>
          <t>ROBINSON PULIDO</t>
        </is>
      </c>
      <c r="G1743" s="496" t="n">
        <v>2925</v>
      </c>
      <c r="H1743" s="496" t="n">
        <v>2903</v>
      </c>
      <c r="I1743" s="496" t="n">
        <v>9</v>
      </c>
      <c r="J1743" s="496" t="n">
        <v>24</v>
      </c>
      <c r="K1743" s="496" t="n">
        <v>11</v>
      </c>
      <c r="L1743" s="397" t="n">
        <v>2818</v>
      </c>
      <c r="M1743" s="113" t="n"/>
      <c r="N1743" s="113" t="n"/>
      <c r="O1743" s="113" t="n"/>
      <c r="P1743" s="398" t="n"/>
      <c r="Q1743" s="398" t="n"/>
      <c r="R1743" s="113" t="n"/>
      <c r="S1743" s="113" t="n"/>
      <c r="T1743" s="113" t="n"/>
      <c r="U1743" s="113" t="n"/>
      <c r="V1743" s="113" t="n"/>
    </row>
    <row r="1744" ht="15.75" customHeight="1">
      <c r="A1744" s="146" t="n">
        <v>30</v>
      </c>
      <c r="B1744" s="238" t="n"/>
      <c r="C1744" s="495" t="n">
        <v>46009</v>
      </c>
      <c r="D1744" s="23" t="inlineStr">
        <is>
          <t>202 G. HUERTAS</t>
        </is>
      </c>
      <c r="E1744" s="23" t="n">
        <v>45062</v>
      </c>
      <c r="F1744" s="23" t="inlineStr">
        <is>
          <t>YAIR RIVEROS</t>
        </is>
      </c>
      <c r="G1744" s="496" t="n">
        <v>3000</v>
      </c>
      <c r="H1744" s="496" t="n">
        <v>2994</v>
      </c>
      <c r="I1744" s="496" t="n">
        <v>7</v>
      </c>
      <c r="J1744" s="496" t="n">
        <v>19</v>
      </c>
      <c r="K1744" s="496" t="n">
        <v>20</v>
      </c>
      <c r="L1744" s="397" t="n">
        <v>2520</v>
      </c>
      <c r="M1744" s="113" t="n"/>
      <c r="N1744" s="113" t="n"/>
      <c r="O1744" s="113" t="n"/>
      <c r="P1744" s="398" t="n"/>
      <c r="Q1744" s="398" t="n"/>
      <c r="R1744" s="113" t="n"/>
      <c r="S1744" s="113" t="n"/>
      <c r="T1744" s="113" t="n"/>
      <c r="U1744" s="113" t="n"/>
      <c r="V1744" s="113" t="n"/>
    </row>
    <row r="1745" ht="15.75" customHeight="1">
      <c r="A1745" s="146" t="n">
        <v>30</v>
      </c>
      <c r="B1745" s="238" t="n"/>
      <c r="C1745" s="495" t="n">
        <v>46009</v>
      </c>
      <c r="D1745" s="23" t="inlineStr">
        <is>
          <t>202 G. HUERTAS</t>
        </is>
      </c>
      <c r="E1745" s="23" t="n">
        <v>45063</v>
      </c>
      <c r="F1745" s="23" t="inlineStr">
        <is>
          <t>ALBERTO HERRERA</t>
        </is>
      </c>
      <c r="G1745" s="496" t="n">
        <v>2370</v>
      </c>
      <c r="H1745" s="496" t="n">
        <v>2348</v>
      </c>
      <c r="I1745" s="496" t="n">
        <v>15</v>
      </c>
      <c r="J1745" s="496" t="n">
        <v>16</v>
      </c>
      <c r="K1745" s="496" t="n">
        <v>9</v>
      </c>
      <c r="L1745" s="397" t="n">
        <v>2925</v>
      </c>
      <c r="M1745" s="113" t="n"/>
      <c r="N1745" s="113" t="n"/>
      <c r="O1745" s="113" t="n"/>
      <c r="P1745" s="398" t="n"/>
      <c r="Q1745" s="398" t="n"/>
      <c r="R1745" s="113" t="n"/>
      <c r="S1745" s="113" t="n"/>
      <c r="T1745" s="113" t="n"/>
      <c r="U1745" s="113" t="n"/>
      <c r="V1745" s="113" t="n"/>
    </row>
    <row r="1746" ht="15.75" customHeight="1">
      <c r="A1746" s="146" t="n">
        <v>30</v>
      </c>
      <c r="B1746" s="238" t="n"/>
      <c r="C1746" s="495" t="n">
        <v>46009</v>
      </c>
      <c r="D1746" s="23" t="inlineStr">
        <is>
          <t>202 G. HUERTAS</t>
        </is>
      </c>
      <c r="E1746" s="23" t="n">
        <v>45064</v>
      </c>
      <c r="F1746" s="23" t="inlineStr">
        <is>
          <t>ALEX GOMEZ</t>
        </is>
      </c>
      <c r="G1746" s="496" t="n">
        <v>2241</v>
      </c>
      <c r="H1746" s="496" t="n">
        <v>2219</v>
      </c>
      <c r="I1746" s="496" t="n">
        <v>6</v>
      </c>
      <c r="J1746" s="496" t="n">
        <v>24</v>
      </c>
      <c r="K1746" s="496" t="n">
        <v>8</v>
      </c>
      <c r="L1746" s="397" t="n">
        <v>2520</v>
      </c>
      <c r="M1746" s="113" t="n"/>
      <c r="N1746" s="113" t="n"/>
      <c r="O1746" s="113" t="n"/>
      <c r="P1746" s="398" t="n"/>
      <c r="Q1746" s="398" t="n"/>
      <c r="R1746" s="113" t="n"/>
      <c r="S1746" s="113" t="n"/>
      <c r="T1746" s="113" t="n"/>
      <c r="U1746" s="113" t="n"/>
      <c r="V1746" s="113" t="n"/>
    </row>
    <row r="1747" ht="15.75" customHeight="1">
      <c r="A1747" s="146" t="n">
        <v>30</v>
      </c>
      <c r="B1747" s="238" t="n"/>
      <c r="C1747" s="495" t="n">
        <v>46009</v>
      </c>
      <c r="D1747" s="23" t="inlineStr">
        <is>
          <t>202 G. HUERTAS</t>
        </is>
      </c>
      <c r="E1747" s="23" t="n">
        <v>45065</v>
      </c>
      <c r="F1747" s="23" t="inlineStr">
        <is>
          <t>FERNANDO OYUELA</t>
        </is>
      </c>
      <c r="G1747" s="496" t="n">
        <v>2890</v>
      </c>
      <c r="H1747" s="496" t="n">
        <v>2852</v>
      </c>
      <c r="I1747" s="496" t="n">
        <v>6</v>
      </c>
      <c r="J1747" s="496" t="n">
        <v>40</v>
      </c>
      <c r="K1747" s="496" t="n">
        <v>8</v>
      </c>
      <c r="L1747" s="397" t="n">
        <v>3000</v>
      </c>
      <c r="M1747" s="113" t="n"/>
      <c r="N1747" s="113" t="n"/>
      <c r="O1747" s="113" t="n"/>
      <c r="P1747" s="398" t="n"/>
      <c r="Q1747" s="398" t="n"/>
      <c r="R1747" s="113" t="n"/>
      <c r="S1747" s="113" t="n"/>
      <c r="T1747" s="113" t="n"/>
      <c r="U1747" s="113" t="n"/>
      <c r="V1747" s="113" t="n"/>
    </row>
    <row r="1748" ht="15.75" customHeight="1">
      <c r="A1748" s="146" t="n">
        <v>30</v>
      </c>
      <c r="B1748" s="238" t="n"/>
      <c r="C1748" s="399" t="n">
        <v>46009</v>
      </c>
      <c r="D1748" s="146" t="inlineStr">
        <is>
          <t xml:space="preserve">200 G. GARCERAS </t>
        </is>
      </c>
      <c r="E1748" s="146" t="n">
        <v>205004</v>
      </c>
      <c r="F1748" s="146" t="inlineStr">
        <is>
          <t>ROBERTO MONROY</t>
        </is>
      </c>
      <c r="G1748" s="395" t="n">
        <v>2818</v>
      </c>
      <c r="H1748" s="395" t="n">
        <v>2805</v>
      </c>
      <c r="I1748" s="395" t="n">
        <v>7</v>
      </c>
      <c r="J1748" s="395" t="n">
        <v>6</v>
      </c>
      <c r="K1748" s="395" t="n">
        <v>0</v>
      </c>
      <c r="L1748" s="397" t="n">
        <v>2370</v>
      </c>
      <c r="M1748" s="113" t="n"/>
      <c r="N1748" s="113" t="n"/>
      <c r="O1748" s="113" t="n"/>
      <c r="P1748" s="398" t="n"/>
      <c r="Q1748" s="398" t="n"/>
      <c r="R1748" s="113" t="n"/>
      <c r="S1748" s="113" t="n"/>
      <c r="T1748" s="113" t="n"/>
      <c r="U1748" s="113" t="n"/>
      <c r="V1748" s="113" t="n"/>
    </row>
    <row r="1749" ht="15.75" customHeight="1">
      <c r="A1749" s="146" t="n">
        <v>30</v>
      </c>
      <c r="B1749" s="238" t="n"/>
      <c r="C1749" s="399" t="n">
        <v>46009</v>
      </c>
      <c r="D1749" s="146" t="inlineStr">
        <is>
          <t xml:space="preserve">200 G. GARCERAS </t>
        </is>
      </c>
      <c r="E1749" s="146" t="n">
        <v>205005</v>
      </c>
      <c r="F1749" s="146" t="inlineStr">
        <is>
          <t>CUCAITA EDWIN ALEJANDRO</t>
        </is>
      </c>
      <c r="G1749" s="395" t="n">
        <v>2818</v>
      </c>
      <c r="H1749" s="395" t="n">
        <v>2814</v>
      </c>
      <c r="I1749" s="395" t="n">
        <v>0</v>
      </c>
      <c r="J1749" s="395" t="n">
        <v>5</v>
      </c>
      <c r="K1749" s="395" t="n">
        <v>1</v>
      </c>
      <c r="L1749" s="397" t="n">
        <v>2241</v>
      </c>
      <c r="M1749" s="113" t="n"/>
      <c r="N1749" s="113" t="n"/>
      <c r="O1749" s="113" t="n"/>
      <c r="P1749" s="398" t="n"/>
      <c r="Q1749" s="398" t="n"/>
      <c r="R1749" s="113" t="n"/>
      <c r="S1749" s="113" t="n"/>
      <c r="T1749" s="113" t="n"/>
      <c r="U1749" s="113" t="n"/>
      <c r="V1749" s="113" t="n"/>
    </row>
    <row r="1750" ht="15.75" customHeight="1">
      <c r="A1750" s="146" t="n">
        <v>30</v>
      </c>
      <c r="B1750" s="238" t="n"/>
      <c r="C1750" s="399" t="n">
        <v>46009</v>
      </c>
      <c r="D1750" s="146" t="inlineStr">
        <is>
          <t>200 G. GARCERAS</t>
        </is>
      </c>
      <c r="E1750" s="146" t="n">
        <v>45073</v>
      </c>
      <c r="F1750" s="146" t="inlineStr">
        <is>
          <t>ALEX CHAGUALA</t>
        </is>
      </c>
      <c r="G1750" s="395" t="n">
        <v>2820</v>
      </c>
      <c r="H1750" s="395" t="n">
        <v>2810</v>
      </c>
      <c r="I1750" s="395" t="n">
        <v>5</v>
      </c>
      <c r="J1750" s="395" t="n">
        <v>5</v>
      </c>
      <c r="K1750" s="395" t="n">
        <v>0</v>
      </c>
      <c r="L1750" s="397" t="n">
        <v>2820</v>
      </c>
      <c r="M1750" s="113" t="n"/>
      <c r="N1750" s="113" t="n"/>
      <c r="O1750" s="113" t="n"/>
      <c r="P1750" s="398" t="n"/>
      <c r="Q1750" s="398" t="n"/>
      <c r="R1750" s="113" t="n"/>
      <c r="S1750" s="113" t="n"/>
      <c r="T1750" s="113" t="n"/>
      <c r="U1750" s="113" t="n"/>
      <c r="V1750" s="113" t="n"/>
    </row>
    <row r="1751" ht="15.75" customHeight="1">
      <c r="A1751" s="146" t="n">
        <v>30</v>
      </c>
      <c r="B1751" s="238" t="n"/>
      <c r="C1751" s="399" t="n">
        <v>46009</v>
      </c>
      <c r="D1751" s="146" t="inlineStr">
        <is>
          <t>200 G. GARCERAS</t>
        </is>
      </c>
      <c r="E1751" s="146" t="n">
        <v>45074</v>
      </c>
      <c r="F1751" s="146" t="inlineStr">
        <is>
          <t>DUMAR ANGARITA</t>
        </is>
      </c>
      <c r="G1751" s="395" t="n">
        <v>2820</v>
      </c>
      <c r="H1751" s="395" t="n">
        <v>2808</v>
      </c>
      <c r="I1751" s="395" t="n">
        <v>5</v>
      </c>
      <c r="J1751" s="395" t="n">
        <v>7</v>
      </c>
      <c r="K1751" s="395" t="n">
        <v>0</v>
      </c>
      <c r="L1751" s="397" t="n">
        <v>2820</v>
      </c>
      <c r="M1751" s="113" t="n"/>
      <c r="N1751" s="113" t="n"/>
      <c r="O1751" s="113" t="n"/>
      <c r="P1751" s="398" t="n"/>
      <c r="Q1751" s="398" t="n"/>
      <c r="R1751" s="113" t="n"/>
      <c r="S1751" s="113" t="n"/>
      <c r="T1751" s="113" t="n"/>
      <c r="U1751" s="113" t="n"/>
      <c r="V1751" s="113" t="n"/>
    </row>
    <row r="1752" ht="15.75" customHeight="1">
      <c r="A1752" s="146" t="n">
        <v>30</v>
      </c>
      <c r="B1752" s="238" t="n"/>
      <c r="C1752" s="399" t="n">
        <v>46009</v>
      </c>
      <c r="D1752" s="146" t="inlineStr">
        <is>
          <t>200 G. GARCERAS</t>
        </is>
      </c>
      <c r="E1752" s="146" t="n">
        <v>45075</v>
      </c>
      <c r="F1752" s="146" t="inlineStr">
        <is>
          <t>FERNANDO OYUELA</t>
        </is>
      </c>
      <c r="G1752" s="395" t="n">
        <v>3300</v>
      </c>
      <c r="H1752" s="395" t="n">
        <v>3288</v>
      </c>
      <c r="I1752" s="395" t="n">
        <v>5</v>
      </c>
      <c r="J1752" s="395" t="n">
        <v>7</v>
      </c>
      <c r="K1752" s="395" t="n">
        <v>0</v>
      </c>
      <c r="L1752" s="397" t="n">
        <v>3300</v>
      </c>
      <c r="M1752" s="113" t="n"/>
      <c r="N1752" s="113" t="n"/>
      <c r="O1752" s="113" t="n"/>
      <c r="P1752" s="398" t="n"/>
      <c r="Q1752" s="398" t="n"/>
      <c r="R1752" s="113" t="n"/>
      <c r="S1752" s="113" t="n"/>
      <c r="T1752" s="113" t="n"/>
      <c r="U1752" s="113" t="n"/>
      <c r="V1752" s="113" t="n"/>
    </row>
    <row r="1753" ht="15.75" customHeight="1">
      <c r="A1753" s="146" t="n">
        <v>30</v>
      </c>
      <c r="B1753" s="238" t="n"/>
      <c r="C1753" s="495" t="n">
        <v>46010</v>
      </c>
      <c r="D1753" s="23" t="inlineStr">
        <is>
          <t>202 G. HUERTAS</t>
        </is>
      </c>
      <c r="E1753" s="23" t="n">
        <v>45090</v>
      </c>
      <c r="F1753" s="23" t="inlineStr">
        <is>
          <t>MANUEL QUITIAN</t>
        </is>
      </c>
      <c r="G1753" s="496" t="n">
        <v>3240</v>
      </c>
      <c r="H1753" s="496" t="n">
        <v>3217</v>
      </c>
      <c r="I1753" s="496" t="n">
        <v>4</v>
      </c>
      <c r="J1753" s="496" t="n">
        <v>19</v>
      </c>
      <c r="K1753" s="496" t="n">
        <v>0</v>
      </c>
      <c r="L1753" s="397" t="n">
        <v>3240</v>
      </c>
      <c r="M1753" s="113" t="n"/>
      <c r="N1753" s="113" t="n"/>
      <c r="O1753" s="113" t="n"/>
      <c r="P1753" s="398" t="n"/>
      <c r="Q1753" s="398" t="n"/>
      <c r="R1753" s="113" t="n"/>
      <c r="S1753" s="113" t="n"/>
      <c r="T1753" s="113" t="n"/>
      <c r="U1753" s="113" t="n"/>
      <c r="V1753" s="113" t="n"/>
    </row>
    <row r="1754" ht="15.75" customHeight="1">
      <c r="A1754" s="146" t="n">
        <v>30</v>
      </c>
      <c r="B1754" s="238" t="n"/>
      <c r="C1754" s="495" t="n">
        <v>46010</v>
      </c>
      <c r="D1754" s="23" t="inlineStr">
        <is>
          <t>202 G. HUERTAS</t>
        </is>
      </c>
      <c r="E1754" s="23" t="n">
        <v>45091</v>
      </c>
      <c r="F1754" s="23" t="inlineStr">
        <is>
          <t>ALEX CHAGUALA</t>
        </is>
      </c>
      <c r="G1754" s="496" t="n">
        <v>3050</v>
      </c>
      <c r="H1754" s="496" t="n">
        <v>3027</v>
      </c>
      <c r="I1754" s="496" t="n">
        <v>4</v>
      </c>
      <c r="J1754" s="496" t="n">
        <v>19</v>
      </c>
      <c r="K1754" s="496" t="n">
        <v>0</v>
      </c>
      <c r="L1754" s="397" t="n">
        <v>3050</v>
      </c>
      <c r="M1754" s="113" t="n"/>
      <c r="N1754" s="113" t="n"/>
      <c r="O1754" s="113" t="n"/>
      <c r="P1754" s="398" t="n"/>
      <c r="Q1754" s="398" t="n"/>
      <c r="R1754" s="113" t="n"/>
      <c r="S1754" s="113" t="n"/>
      <c r="T1754" s="113" t="n"/>
      <c r="U1754" s="113" t="n"/>
      <c r="V1754" s="113" t="n"/>
    </row>
    <row r="1755" ht="15.75" customHeight="1">
      <c r="A1755" s="146" t="n">
        <v>30</v>
      </c>
      <c r="B1755" s="238" t="n"/>
      <c r="C1755" s="495" t="n">
        <v>46010</v>
      </c>
      <c r="D1755" s="23" t="inlineStr">
        <is>
          <t>200 G. HUERTAS</t>
        </is>
      </c>
      <c r="E1755" s="23" t="n">
        <v>45097</v>
      </c>
      <c r="F1755" s="23" t="inlineStr">
        <is>
          <t>JHON ARIAS</t>
        </is>
      </c>
      <c r="G1755" s="496" t="n">
        <v>2850</v>
      </c>
      <c r="H1755" s="496" t="n">
        <v>2844</v>
      </c>
      <c r="I1755" s="496" t="n">
        <v>4</v>
      </c>
      <c r="J1755" s="496" t="n">
        <v>4</v>
      </c>
      <c r="K1755" s="496" t="n">
        <v>2</v>
      </c>
      <c r="L1755" s="397" t="n">
        <v>2850</v>
      </c>
      <c r="M1755" s="113" t="n"/>
      <c r="N1755" s="113" t="n"/>
      <c r="O1755" s="113" t="n"/>
      <c r="P1755" s="398" t="n"/>
      <c r="Q1755" s="398" t="n"/>
      <c r="R1755" s="113" t="n"/>
      <c r="S1755" s="113" t="n"/>
      <c r="T1755" s="113" t="n"/>
      <c r="U1755" s="113" t="n"/>
      <c r="V1755" s="113" t="n"/>
    </row>
    <row r="1756" ht="15.75" customHeight="1">
      <c r="A1756" s="146" t="n">
        <v>30</v>
      </c>
      <c r="B1756" s="238" t="n"/>
      <c r="C1756" s="399" t="n">
        <v>46010</v>
      </c>
      <c r="D1756" s="146" t="inlineStr">
        <is>
          <t>200 G. GARCERAS</t>
        </is>
      </c>
      <c r="E1756" s="146" t="n">
        <v>45092</v>
      </c>
      <c r="F1756" s="146" t="inlineStr">
        <is>
          <t>ALEX GOMEZ</t>
        </is>
      </c>
      <c r="G1756" s="395" t="n">
        <v>2880</v>
      </c>
      <c r="H1756" s="395" t="n">
        <v>2878</v>
      </c>
      <c r="I1756" s="395" t="n">
        <v>3</v>
      </c>
      <c r="J1756" s="395" t="n">
        <v>2</v>
      </c>
      <c r="K1756" s="395" t="n">
        <v>3</v>
      </c>
      <c r="L1756" s="397" t="n">
        <v>2880</v>
      </c>
      <c r="M1756" s="113" t="n"/>
      <c r="N1756" s="113" t="n"/>
      <c r="O1756" s="113" t="n"/>
      <c r="P1756" s="398" t="n"/>
      <c r="Q1756" s="398" t="n"/>
      <c r="R1756" s="113" t="n"/>
      <c r="S1756" s="113" t="n"/>
      <c r="T1756" s="113" t="n"/>
      <c r="U1756" s="113" t="n"/>
      <c r="V1756" s="113" t="n"/>
    </row>
    <row r="1757" ht="15.75" customHeight="1">
      <c r="A1757" s="146" t="n">
        <v>30</v>
      </c>
      <c r="B1757" s="238" t="n"/>
      <c r="C1757" s="399" t="n">
        <v>46010</v>
      </c>
      <c r="D1757" s="146" t="inlineStr">
        <is>
          <t>200 G. GARCERAS</t>
        </is>
      </c>
      <c r="E1757" s="146" t="n">
        <v>45093</v>
      </c>
      <c r="F1757" s="146" t="inlineStr">
        <is>
          <t>SEBASTIAN HIDALGO</t>
        </is>
      </c>
      <c r="G1757" s="395" t="n">
        <v>2880</v>
      </c>
      <c r="H1757" s="395" t="n">
        <v>2877</v>
      </c>
      <c r="I1757" s="395" t="n">
        <v>2</v>
      </c>
      <c r="J1757" s="395" t="n">
        <v>1</v>
      </c>
      <c r="K1757" s="395" t="n">
        <v>0</v>
      </c>
      <c r="L1757" s="397" t="n">
        <v>2880</v>
      </c>
      <c r="M1757" s="113" t="n"/>
      <c r="N1757" s="113" t="n"/>
      <c r="O1757" s="113" t="n"/>
      <c r="P1757" s="398" t="n"/>
      <c r="Q1757" s="398" t="n"/>
      <c r="R1757" s="113" t="n"/>
      <c r="S1757" s="113" t="n"/>
      <c r="T1757" s="113" t="n"/>
      <c r="U1757" s="113" t="n"/>
      <c r="V1757" s="113" t="n"/>
    </row>
    <row r="1758" ht="15.75" customHeight="1">
      <c r="A1758" s="146" t="n">
        <v>30</v>
      </c>
      <c r="B1758" s="238" t="n"/>
      <c r="C1758" s="399" t="n">
        <v>46010</v>
      </c>
      <c r="D1758" s="146" t="inlineStr">
        <is>
          <t>200 G. GARCERAS</t>
        </is>
      </c>
      <c r="E1758" s="146" t="n">
        <v>45094</v>
      </c>
      <c r="F1758" s="146" t="inlineStr">
        <is>
          <t>ROBINSON PULIDO</t>
        </is>
      </c>
      <c r="G1758" s="395" t="n">
        <v>2880</v>
      </c>
      <c r="H1758" s="395" t="n">
        <v>2878</v>
      </c>
      <c r="I1758" s="395" t="n">
        <v>3</v>
      </c>
      <c r="J1758" s="395" t="n">
        <v>1</v>
      </c>
      <c r="K1758" s="395" t="n">
        <v>2</v>
      </c>
      <c r="L1758" s="397" t="n">
        <v>2880</v>
      </c>
      <c r="M1758" s="113" t="n"/>
      <c r="N1758" s="113" t="n"/>
      <c r="O1758" s="113" t="n"/>
      <c r="P1758" s="398" t="n"/>
      <c r="Q1758" s="398" t="n"/>
      <c r="R1758" s="113" t="n"/>
      <c r="S1758" s="113" t="n"/>
      <c r="T1758" s="113" t="n"/>
      <c r="U1758" s="113" t="n"/>
      <c r="V1758" s="113" t="n"/>
    </row>
    <row r="1759" ht="15.75" customHeight="1">
      <c r="A1759" s="146" t="n">
        <v>30</v>
      </c>
      <c r="B1759" s="238" t="n"/>
      <c r="C1759" s="399" t="n">
        <v>46010</v>
      </c>
      <c r="D1759" s="146" t="inlineStr">
        <is>
          <t>200 G. GARCERAS</t>
        </is>
      </c>
      <c r="E1759" s="146" t="n">
        <v>45095</v>
      </c>
      <c r="F1759" s="146" t="inlineStr">
        <is>
          <t>WILMER PIÑEROS</t>
        </is>
      </c>
      <c r="G1759" s="395" t="n">
        <v>2880</v>
      </c>
      <c r="H1759" s="395" t="n">
        <v>2879</v>
      </c>
      <c r="I1759" s="395" t="n">
        <v>3</v>
      </c>
      <c r="J1759" s="395" t="n">
        <v>2</v>
      </c>
      <c r="K1759" s="395" t="n">
        <v>4</v>
      </c>
      <c r="L1759" s="397" t="n">
        <v>2880</v>
      </c>
      <c r="M1759" s="113" t="n"/>
      <c r="N1759" s="113" t="n"/>
      <c r="O1759" s="113" t="n"/>
      <c r="P1759" s="398" t="n"/>
      <c r="Q1759" s="398" t="n"/>
      <c r="R1759" s="113" t="n"/>
      <c r="S1759" s="113" t="n"/>
      <c r="T1759" s="113" t="n"/>
      <c r="U1759" s="113" t="n"/>
      <c r="V1759" s="113" t="n"/>
    </row>
    <row r="1760" ht="15.75" customHeight="1">
      <c r="A1760" s="146" t="n">
        <v>30</v>
      </c>
      <c r="B1760" s="238" t="n"/>
      <c r="C1760" s="399" t="n">
        <v>46010</v>
      </c>
      <c r="D1760" s="146" t="inlineStr">
        <is>
          <t>200 G. GARCERAS</t>
        </is>
      </c>
      <c r="E1760" s="146" t="n">
        <v>45096</v>
      </c>
      <c r="F1760" s="146" t="inlineStr">
        <is>
          <t>FABIO ALDANA</t>
        </is>
      </c>
      <c r="G1760" s="395" t="n">
        <v>2880</v>
      </c>
      <c r="H1760" s="395" t="n">
        <v>2882</v>
      </c>
      <c r="I1760" s="395" t="n">
        <v>3</v>
      </c>
      <c r="J1760" s="395" t="n">
        <v>2</v>
      </c>
      <c r="K1760" s="395" t="n">
        <v>7</v>
      </c>
      <c r="L1760" s="397" t="n">
        <v>2880</v>
      </c>
      <c r="M1760" s="113" t="n"/>
      <c r="N1760" s="113" t="n"/>
      <c r="O1760" s="113" t="n"/>
      <c r="P1760" s="398" t="n"/>
      <c r="Q1760" s="398" t="n"/>
      <c r="R1760" s="113" t="n"/>
      <c r="S1760" s="113" t="n"/>
      <c r="T1760" s="113" t="n"/>
      <c r="U1760" s="113" t="n"/>
      <c r="V1760" s="113" t="n"/>
    </row>
    <row r="1761" ht="15.75" customHeight="1">
      <c r="A1761" s="146" t="n">
        <v>30</v>
      </c>
      <c r="B1761" s="238" t="n"/>
      <c r="C1761" s="399" t="n">
        <v>46010</v>
      </c>
      <c r="D1761" s="146" t="inlineStr">
        <is>
          <t>200 G. GARCERAS</t>
        </is>
      </c>
      <c r="E1761" s="146" t="n">
        <v>45106</v>
      </c>
      <c r="F1761" s="146" t="inlineStr">
        <is>
          <t>MANUEL QUITIAN</t>
        </is>
      </c>
      <c r="G1761" s="395" t="n">
        <v>3050</v>
      </c>
      <c r="H1761" s="395" t="n">
        <v>3046</v>
      </c>
      <c r="I1761" s="395" t="n">
        <v>2</v>
      </c>
      <c r="J1761" s="395" t="n">
        <v>2</v>
      </c>
      <c r="K1761" s="395" t="n">
        <v>0</v>
      </c>
      <c r="L1761" s="397" t="n">
        <v>3050</v>
      </c>
      <c r="M1761" s="113" t="n"/>
      <c r="N1761" s="113" t="n"/>
      <c r="O1761" s="113" t="n"/>
      <c r="P1761" s="398" t="n"/>
      <c r="Q1761" s="398" t="n"/>
      <c r="R1761" s="113" t="n"/>
      <c r="S1761" s="113" t="n"/>
      <c r="T1761" s="113" t="n"/>
      <c r="U1761" s="113" t="n"/>
      <c r="V1761" s="113" t="n"/>
    </row>
    <row r="1762" ht="15.75" customHeight="1">
      <c r="A1762" s="146" t="n">
        <v>30</v>
      </c>
      <c r="B1762" s="238" t="n"/>
      <c r="C1762" s="399" t="n">
        <v>46010</v>
      </c>
      <c r="D1762" s="146" t="inlineStr">
        <is>
          <t>200 G. GARCERAS</t>
        </is>
      </c>
      <c r="E1762" s="146" t="n">
        <v>45107</v>
      </c>
      <c r="F1762" s="146" t="inlineStr">
        <is>
          <t>JHON ARIAS</t>
        </is>
      </c>
      <c r="G1762" s="395" t="n">
        <v>3050</v>
      </c>
      <c r="H1762" s="395" t="n">
        <v>3034</v>
      </c>
      <c r="I1762" s="395" t="n">
        <v>2</v>
      </c>
      <c r="J1762" s="395" t="n">
        <v>2</v>
      </c>
      <c r="K1762" s="395" t="n">
        <v>-12</v>
      </c>
      <c r="L1762" s="397" t="n">
        <v>3050</v>
      </c>
      <c r="M1762" s="113" t="n"/>
      <c r="N1762" s="113" t="n"/>
      <c r="O1762" s="113" t="n"/>
      <c r="P1762" s="398" t="n"/>
      <c r="Q1762" s="398" t="n"/>
      <c r="R1762" s="113" t="n"/>
      <c r="S1762" s="113" t="n"/>
      <c r="T1762" s="113" t="n"/>
      <c r="U1762" s="113" t="n"/>
      <c r="V1762" s="113" t="n"/>
    </row>
    <row r="1763" ht="15.75" customHeight="1">
      <c r="A1763" s="146" t="n">
        <v>30</v>
      </c>
      <c r="B1763" s="238" t="n"/>
      <c r="C1763" s="399" t="n">
        <v>46010</v>
      </c>
      <c r="D1763" s="146" t="inlineStr">
        <is>
          <t>200 G. GARCERAS</t>
        </is>
      </c>
      <c r="E1763" s="146" t="n">
        <v>45108</v>
      </c>
      <c r="F1763" s="146" t="inlineStr">
        <is>
          <t>SEBASTIAN HIDALGO</t>
        </is>
      </c>
      <c r="G1763" s="395" t="n">
        <v>3200</v>
      </c>
      <c r="H1763" s="395" t="n">
        <v>3190</v>
      </c>
      <c r="I1763" s="395" t="n">
        <v>2</v>
      </c>
      <c r="J1763" s="395" t="n">
        <v>2</v>
      </c>
      <c r="K1763" s="395" t="n">
        <v>-6</v>
      </c>
      <c r="L1763" s="397" t="n">
        <v>3200</v>
      </c>
      <c r="M1763" s="113" t="n"/>
      <c r="N1763" s="113" t="n"/>
      <c r="O1763" s="113" t="n"/>
      <c r="P1763" s="398" t="n"/>
      <c r="Q1763" s="398" t="n"/>
      <c r="R1763" s="113" t="n"/>
      <c r="S1763" s="113" t="n"/>
      <c r="T1763" s="113" t="n"/>
      <c r="U1763" s="113" t="n"/>
      <c r="V1763" s="113" t="n"/>
    </row>
    <row r="1764" ht="15.75" customHeight="1">
      <c r="A1764" s="146" t="n">
        <v>30</v>
      </c>
      <c r="B1764" s="238" t="n"/>
      <c r="C1764" s="399" t="n">
        <v>46010</v>
      </c>
      <c r="D1764" s="146" t="inlineStr">
        <is>
          <t>200 G. GARCERAS</t>
        </is>
      </c>
      <c r="E1764" s="146" t="n">
        <v>45109</v>
      </c>
      <c r="F1764" s="146" t="inlineStr">
        <is>
          <t>WILMER PIÑEROS</t>
        </is>
      </c>
      <c r="G1764" s="395" t="n">
        <v>3240</v>
      </c>
      <c r="H1764" s="395" t="n">
        <v>3233</v>
      </c>
      <c r="I1764" s="395" t="n">
        <v>1</v>
      </c>
      <c r="J1764" s="395" t="n">
        <v>2</v>
      </c>
      <c r="K1764" s="395" t="n">
        <v>-4</v>
      </c>
      <c r="L1764" s="397" t="n">
        <v>3240</v>
      </c>
      <c r="M1764" s="113" t="n"/>
      <c r="N1764" s="113" t="n"/>
      <c r="O1764" s="113" t="n"/>
      <c r="P1764" s="398" t="n"/>
      <c r="Q1764" s="398" t="n"/>
      <c r="R1764" s="113" t="n"/>
      <c r="S1764" s="113" t="n"/>
      <c r="T1764" s="113" t="n"/>
      <c r="U1764" s="113" t="n"/>
      <c r="V1764" s="113" t="n"/>
    </row>
    <row r="1765" ht="15.75" customHeight="1">
      <c r="A1765" s="146" t="n">
        <v>30</v>
      </c>
      <c r="B1765" s="238" t="n"/>
      <c r="C1765" s="399" t="n">
        <v>46010</v>
      </c>
      <c r="D1765" s="146" t="inlineStr">
        <is>
          <t>200 G. GARCERAS</t>
        </is>
      </c>
      <c r="E1765" s="146" t="n">
        <v>45110</v>
      </c>
      <c r="F1765" s="146" t="inlineStr">
        <is>
          <t>JAIRO CUBILLOS</t>
        </is>
      </c>
      <c r="G1765" s="395" t="n">
        <v>3649</v>
      </c>
      <c r="H1765" s="395" t="n">
        <v>3680</v>
      </c>
      <c r="I1765" s="395" t="n">
        <v>7</v>
      </c>
      <c r="J1765" s="395" t="n">
        <v>0</v>
      </c>
      <c r="K1765" s="395" t="n">
        <v>38</v>
      </c>
      <c r="L1765" s="397" t="n">
        <v>3649</v>
      </c>
      <c r="M1765" s="113" t="n"/>
      <c r="N1765" s="113" t="n"/>
      <c r="O1765" s="113" t="n"/>
      <c r="P1765" s="398" t="n"/>
      <c r="Q1765" s="398" t="n"/>
      <c r="R1765" s="113" t="n"/>
      <c r="S1765" s="113" t="n"/>
      <c r="T1765" s="113" t="n"/>
      <c r="U1765" s="113" t="n"/>
      <c r="V1765" s="113" t="n"/>
    </row>
    <row r="1766" ht="15.75" customHeight="1">
      <c r="A1766" s="146" t="n">
        <v>30</v>
      </c>
      <c r="B1766" s="238" t="n"/>
      <c r="C1766" s="399" t="n">
        <v>46011</v>
      </c>
      <c r="D1766" s="146" t="inlineStr">
        <is>
          <t>200 G. GARCERAS</t>
        </is>
      </c>
      <c r="E1766" s="146" t="n">
        <v>45117</v>
      </c>
      <c r="F1766" s="146" t="inlineStr">
        <is>
          <t>ALEXANDER CHAGUALA</t>
        </is>
      </c>
      <c r="G1766" s="395" t="n">
        <v>3500</v>
      </c>
      <c r="H1766" s="395" t="n">
        <v>3498</v>
      </c>
      <c r="I1766" s="395" t="n">
        <v>15</v>
      </c>
      <c r="J1766" s="395" t="n">
        <v>7</v>
      </c>
      <c r="K1766" s="395" t="n">
        <v>20</v>
      </c>
      <c r="L1766" s="397" t="n">
        <v>3500</v>
      </c>
      <c r="M1766" s="113" t="n"/>
      <c r="N1766" s="113" t="n"/>
      <c r="O1766" s="113" t="n"/>
      <c r="P1766" s="398" t="n"/>
      <c r="Q1766" s="398" t="n"/>
      <c r="R1766" s="113" t="n"/>
      <c r="S1766" s="113" t="n"/>
      <c r="T1766" s="113" t="n"/>
      <c r="U1766" s="113" t="n"/>
      <c r="V1766" s="113" t="n"/>
    </row>
    <row r="1767" ht="15.75" customHeight="1">
      <c r="A1767" s="146" t="n">
        <v>30</v>
      </c>
      <c r="B1767" s="238" t="n"/>
      <c r="C1767" s="399" t="n">
        <v>46011</v>
      </c>
      <c r="D1767" s="146" t="inlineStr">
        <is>
          <t>200 G. GARCERAS</t>
        </is>
      </c>
      <c r="E1767" s="146" t="n">
        <v>45118</v>
      </c>
      <c r="F1767" s="146" t="inlineStr">
        <is>
          <t>FERNANDO OYUELA</t>
        </is>
      </c>
      <c r="G1767" s="395" t="n">
        <v>3500</v>
      </c>
      <c r="H1767" s="395" t="n">
        <v>3494</v>
      </c>
      <c r="I1767" s="395" t="n">
        <v>13</v>
      </c>
      <c r="J1767" s="395" t="n">
        <v>6</v>
      </c>
      <c r="K1767" s="395" t="n">
        <v>13</v>
      </c>
      <c r="L1767" s="397" t="n">
        <v>3500</v>
      </c>
      <c r="M1767" s="113" t="n"/>
      <c r="N1767" s="113" t="n"/>
      <c r="O1767" s="113" t="n"/>
      <c r="P1767" s="398" t="n"/>
      <c r="Q1767" s="398" t="n"/>
      <c r="R1767" s="113" t="n"/>
      <c r="S1767" s="113" t="n"/>
      <c r="T1767" s="113" t="n"/>
      <c r="U1767" s="113" t="n"/>
      <c r="V1767" s="113" t="n"/>
    </row>
    <row r="1768" ht="15.75" customHeight="1">
      <c r="A1768" s="146" t="n">
        <v>30</v>
      </c>
      <c r="B1768" s="238" t="n"/>
      <c r="C1768" s="399" t="n">
        <v>46011</v>
      </c>
      <c r="D1768" s="146" t="inlineStr">
        <is>
          <t>200 G. GARCERAS</t>
        </is>
      </c>
      <c r="E1768" s="146" t="n">
        <v>45119</v>
      </c>
      <c r="F1768" s="146" t="inlineStr">
        <is>
          <t>FABIO ALDANA</t>
        </is>
      </c>
      <c r="G1768" s="395" t="n">
        <v>3500</v>
      </c>
      <c r="H1768" s="395" t="n">
        <v>3501</v>
      </c>
      <c r="I1768" s="395" t="n">
        <v>7</v>
      </c>
      <c r="J1768" s="395" t="n">
        <v>1</v>
      </c>
      <c r="K1768" s="395" t="n">
        <v>9</v>
      </c>
      <c r="L1768" s="397" t="n">
        <v>3500</v>
      </c>
      <c r="M1768" s="113" t="n"/>
      <c r="N1768" s="113" t="n"/>
      <c r="O1768" s="113" t="n"/>
      <c r="P1768" s="398" t="n"/>
      <c r="Q1768" s="398" t="n"/>
      <c r="R1768" s="113" t="n"/>
      <c r="S1768" s="113" t="n"/>
      <c r="T1768" s="113" t="n"/>
      <c r="U1768" s="113" t="n"/>
      <c r="V1768" s="113" t="n"/>
    </row>
    <row r="1769" ht="15.75" customHeight="1">
      <c r="A1769" s="146" t="n">
        <v>30</v>
      </c>
      <c r="B1769" s="238" t="n"/>
      <c r="C1769" s="399" t="n">
        <v>46011</v>
      </c>
      <c r="D1769" s="146" t="inlineStr">
        <is>
          <t>200 G. GARCERAS</t>
        </is>
      </c>
      <c r="E1769" s="146" t="n">
        <v>45120</v>
      </c>
      <c r="F1769" s="146" t="inlineStr">
        <is>
          <t>WILMER PIÑEROS</t>
        </is>
      </c>
      <c r="G1769" s="395" t="n">
        <v>3456</v>
      </c>
      <c r="H1769" s="395" t="n">
        <v>3464</v>
      </c>
      <c r="I1769" s="395" t="n">
        <v>9</v>
      </c>
      <c r="J1769" s="395" t="n">
        <v>3</v>
      </c>
      <c r="K1769" s="395" t="n">
        <v>20</v>
      </c>
      <c r="L1769" s="397" t="n">
        <v>3456</v>
      </c>
      <c r="M1769" s="113" t="n"/>
      <c r="N1769" s="113" t="n"/>
      <c r="O1769" s="113" t="n"/>
      <c r="P1769" s="398" t="n"/>
      <c r="Q1769" s="398" t="n"/>
      <c r="R1769" s="113" t="n"/>
      <c r="S1769" s="113" t="n"/>
      <c r="T1769" s="113" t="n"/>
      <c r="U1769" s="113" t="n"/>
      <c r="V1769" s="113" t="n"/>
    </row>
    <row r="1770" ht="15.75" customHeight="1">
      <c r="A1770" s="146" t="n">
        <v>30</v>
      </c>
      <c r="B1770" s="238" t="n"/>
      <c r="C1770" s="399" t="n">
        <v>46011</v>
      </c>
      <c r="D1770" s="146" t="inlineStr">
        <is>
          <t>200 G. GARCERAS</t>
        </is>
      </c>
      <c r="E1770" s="146" t="n">
        <v>45121</v>
      </c>
      <c r="F1770" s="146" t="inlineStr">
        <is>
          <t>SEBASTIAN HIDALGO</t>
        </is>
      </c>
      <c r="G1770" s="395" t="n">
        <v>3392</v>
      </c>
      <c r="H1770" s="395" t="n">
        <v>3397</v>
      </c>
      <c r="I1770" s="395" t="n">
        <v>8</v>
      </c>
      <c r="J1770" s="395" t="n">
        <v>4</v>
      </c>
      <c r="K1770" s="395" t="n">
        <v>17</v>
      </c>
      <c r="L1770" s="397" t="n">
        <v>3392</v>
      </c>
      <c r="M1770" s="113" t="n"/>
      <c r="N1770" s="113" t="n"/>
      <c r="O1770" s="113" t="n"/>
      <c r="P1770" s="398" t="n"/>
      <c r="Q1770" s="398" t="n"/>
      <c r="R1770" s="113" t="n"/>
      <c r="S1770" s="113" t="n"/>
      <c r="T1770" s="113" t="n"/>
      <c r="U1770" s="113" t="n"/>
      <c r="V1770" s="113" t="n"/>
    </row>
    <row r="1771" ht="15.75" customHeight="1">
      <c r="A1771" s="146" t="n">
        <v>30</v>
      </c>
      <c r="B1771" s="238" t="n"/>
      <c r="C1771" s="399" t="n">
        <v>46011</v>
      </c>
      <c r="D1771" s="146" t="inlineStr">
        <is>
          <t>200 G. GARCERAS</t>
        </is>
      </c>
      <c r="E1771" s="146" t="n">
        <v>45122</v>
      </c>
      <c r="F1771" s="146" t="inlineStr">
        <is>
          <t>MANUEL QUITIAN</t>
        </is>
      </c>
      <c r="G1771" s="395" t="n">
        <v>3392</v>
      </c>
      <c r="H1771" s="395" t="n">
        <v>3399</v>
      </c>
      <c r="I1771" s="395" t="n">
        <v>6</v>
      </c>
      <c r="J1771" s="395" t="n">
        <v>3</v>
      </c>
      <c r="K1771" s="395" t="n">
        <v>16</v>
      </c>
      <c r="L1771" s="397" t="n">
        <v>3392</v>
      </c>
      <c r="M1771" s="113" t="n"/>
      <c r="N1771" s="113" t="n"/>
      <c r="O1771" s="113" t="n"/>
      <c r="P1771" s="398" t="n"/>
      <c r="Q1771" s="398" t="n"/>
      <c r="R1771" s="113" t="n"/>
      <c r="S1771" s="113" t="n"/>
      <c r="T1771" s="113" t="n"/>
      <c r="U1771" s="113" t="n"/>
      <c r="V1771" s="113" t="n"/>
    </row>
    <row r="1772" ht="15.75" customHeight="1">
      <c r="A1772" s="146" t="n">
        <v>30</v>
      </c>
      <c r="B1772" s="238" t="n"/>
      <c r="C1772" s="399" t="n">
        <v>46011</v>
      </c>
      <c r="D1772" s="146" t="inlineStr">
        <is>
          <t>200 G. GARCERAS</t>
        </is>
      </c>
      <c r="E1772" s="146" t="n">
        <v>45123</v>
      </c>
      <c r="F1772" s="146" t="inlineStr">
        <is>
          <t>ROBINSON PULIDO</t>
        </is>
      </c>
      <c r="G1772" s="395" t="n">
        <v>3392</v>
      </c>
      <c r="H1772" s="395" t="n">
        <v>3397</v>
      </c>
      <c r="I1772" s="395" t="n">
        <v>5</v>
      </c>
      <c r="J1772" s="395" t="n">
        <v>2</v>
      </c>
      <c r="K1772" s="395" t="n">
        <v>12</v>
      </c>
      <c r="L1772" s="397" t="n">
        <v>3392</v>
      </c>
      <c r="M1772" s="113" t="n"/>
      <c r="N1772" s="113" t="n"/>
      <c r="O1772" s="113" t="n"/>
      <c r="P1772" s="398" t="n"/>
      <c r="Q1772" s="398" t="n"/>
      <c r="R1772" s="113" t="n"/>
      <c r="S1772" s="113" t="n"/>
      <c r="T1772" s="113" t="n"/>
      <c r="U1772" s="113" t="n"/>
      <c r="V1772" s="113" t="n"/>
    </row>
    <row r="1773" ht="15.75" customHeight="1">
      <c r="A1773" s="146" t="n">
        <v>30</v>
      </c>
      <c r="B1773" s="238" t="n"/>
      <c r="C1773" s="399" t="n">
        <v>46011</v>
      </c>
      <c r="D1773" s="146" t="inlineStr">
        <is>
          <t>200 G. GARCERAS</t>
        </is>
      </c>
      <c r="E1773" s="146" t="n">
        <v>45124</v>
      </c>
      <c r="F1773" s="146" t="inlineStr">
        <is>
          <t>HENRY ROMERO</t>
        </is>
      </c>
      <c r="G1773" s="395" t="n">
        <v>3392</v>
      </c>
      <c r="H1773" s="395" t="n">
        <v>3392</v>
      </c>
      <c r="I1773" s="395" t="n">
        <v>8</v>
      </c>
      <c r="J1773" s="395" t="n">
        <v>2</v>
      </c>
      <c r="K1773" s="395" t="n">
        <v>10</v>
      </c>
      <c r="L1773" s="397" t="n">
        <v>3392</v>
      </c>
      <c r="M1773" s="113" t="n"/>
      <c r="N1773" s="113" t="n"/>
      <c r="O1773" s="113" t="n"/>
      <c r="P1773" s="398" t="n"/>
      <c r="Q1773" s="398" t="n"/>
      <c r="R1773" s="113" t="n"/>
      <c r="S1773" s="113" t="n"/>
      <c r="T1773" s="113" t="n"/>
      <c r="U1773" s="113" t="n"/>
      <c r="V1773" s="113" t="n"/>
    </row>
    <row r="1774" ht="15.75" customHeight="1">
      <c r="A1774" s="146" t="n">
        <v>30</v>
      </c>
      <c r="B1774" s="238" t="n"/>
      <c r="C1774" s="399" t="n"/>
      <c r="D1774" s="113" t="n"/>
      <c r="E1774" s="113" t="n"/>
      <c r="F1774" s="113" t="n"/>
      <c r="G1774" s="477">
        <f>SUBTOTAL(9,G1702:G1773)</f>
        <v/>
      </c>
      <c r="H1774" s="477">
        <f>SUBTOTAL(9,H1702:H1773)</f>
        <v/>
      </c>
      <c r="I1774" s="477">
        <f>SUBTOTAL(9,I1702:I1773)</f>
        <v/>
      </c>
      <c r="J1774" s="477">
        <f>SUBTOTAL(9,J1702:J1773)</f>
        <v/>
      </c>
      <c r="K1774" s="477">
        <f>SUBTOTAL(9,K1702:K1773)</f>
        <v/>
      </c>
      <c r="L1774" s="477">
        <f>SUBTOTAL(9,L1702:L1773)</f>
        <v/>
      </c>
      <c r="M1774" s="113" t="n"/>
      <c r="N1774" s="113" t="n"/>
      <c r="O1774" s="113" t="n"/>
      <c r="P1774" s="398" t="n"/>
      <c r="Q1774" s="398" t="n"/>
      <c r="R1774" s="113" t="n"/>
      <c r="S1774" s="113" t="n"/>
      <c r="T1774" s="113" t="n"/>
      <c r="U1774" s="113" t="n"/>
      <c r="V1774" s="113" t="n"/>
    </row>
    <row r="1775" ht="15.75" customHeight="1">
      <c r="A1775" s="146" t="n">
        <v>31</v>
      </c>
      <c r="B1775" s="238" t="n"/>
      <c r="C1775" s="399" t="n">
        <v>46012</v>
      </c>
      <c r="D1775" s="146" t="inlineStr">
        <is>
          <t>200 G. GARCERAS</t>
        </is>
      </c>
      <c r="E1775" s="146" t="n">
        <v>45139</v>
      </c>
      <c r="F1775" s="146" t="inlineStr">
        <is>
          <t>JAIRO CUBILLOS</t>
        </is>
      </c>
      <c r="G1775" s="395" t="n">
        <v>3498</v>
      </c>
      <c r="H1775" s="395" t="n">
        <v>3494</v>
      </c>
      <c r="I1775" s="395" t="n">
        <v>4</v>
      </c>
      <c r="J1775" s="395" t="n">
        <v>4</v>
      </c>
      <c r="K1775" s="395" t="n">
        <v>4</v>
      </c>
      <c r="L1775" s="397" t="n">
        <v>3498</v>
      </c>
      <c r="M1775" s="113" t="n"/>
      <c r="N1775" s="113" t="n"/>
      <c r="O1775" s="113" t="n"/>
      <c r="P1775" s="398" t="n"/>
      <c r="Q1775" s="398" t="n"/>
      <c r="R1775" s="113" t="n"/>
      <c r="S1775" s="113" t="n"/>
      <c r="T1775" s="113" t="n"/>
      <c r="U1775" s="113" t="n"/>
      <c r="V1775" s="113" t="n"/>
    </row>
    <row r="1776" ht="15.75" customHeight="1">
      <c r="A1776" s="146" t="n">
        <v>31</v>
      </c>
      <c r="B1776" s="238" t="n"/>
      <c r="C1776" s="399" t="n">
        <v>46012</v>
      </c>
      <c r="D1776" s="146" t="inlineStr">
        <is>
          <t>200 G. GARCERAS</t>
        </is>
      </c>
      <c r="E1776" s="146" t="n">
        <v>45140</v>
      </c>
      <c r="F1776" s="146" t="inlineStr">
        <is>
          <t>ALBERTO HERRERA</t>
        </is>
      </c>
      <c r="G1776" s="395" t="n">
        <v>3498</v>
      </c>
      <c r="H1776" s="395" t="n">
        <v>3494</v>
      </c>
      <c r="I1776" s="395" t="n">
        <v>4</v>
      </c>
      <c r="J1776" s="395" t="n">
        <v>4</v>
      </c>
      <c r="K1776" s="395" t="n">
        <v>4</v>
      </c>
      <c r="L1776" s="397" t="n">
        <v>3498</v>
      </c>
      <c r="M1776" s="113" t="n"/>
      <c r="N1776" s="113" t="n"/>
      <c r="O1776" s="113" t="n"/>
      <c r="P1776" s="398" t="n"/>
      <c r="Q1776" s="398" t="n"/>
      <c r="R1776" s="113" t="n"/>
      <c r="S1776" s="113" t="n"/>
      <c r="T1776" s="113" t="n"/>
      <c r="U1776" s="113" t="n"/>
      <c r="V1776" s="113" t="n"/>
    </row>
    <row r="1777" ht="15.75" customHeight="1">
      <c r="A1777" s="146" t="n">
        <v>31</v>
      </c>
      <c r="B1777" s="238" t="n"/>
      <c r="C1777" s="399" t="n">
        <v>46012</v>
      </c>
      <c r="D1777" s="146" t="inlineStr">
        <is>
          <t>200 G. GARCERAS</t>
        </is>
      </c>
      <c r="E1777" s="146" t="n">
        <v>45141</v>
      </c>
      <c r="F1777" s="146" t="inlineStr">
        <is>
          <t>EDWIN ROJAS</t>
        </is>
      </c>
      <c r="G1777" s="395" t="n">
        <v>3498</v>
      </c>
      <c r="H1777" s="395" t="n">
        <v>3496</v>
      </c>
      <c r="I1777" s="395" t="n">
        <v>7</v>
      </c>
      <c r="J1777" s="395" t="n">
        <v>2</v>
      </c>
      <c r="K1777" s="395" t="n">
        <v>7</v>
      </c>
      <c r="L1777" s="397" t="n">
        <v>3498</v>
      </c>
      <c r="M1777" s="113" t="n"/>
      <c r="N1777" s="113" t="n"/>
      <c r="O1777" s="113" t="n"/>
      <c r="P1777" s="398" t="n"/>
      <c r="Q1777" s="398" t="n"/>
      <c r="R1777" s="113" t="n"/>
      <c r="S1777" s="113" t="n"/>
      <c r="T1777" s="113" t="n"/>
      <c r="U1777" s="113" t="n"/>
      <c r="V1777" s="113" t="n"/>
    </row>
    <row r="1778" ht="15.75" customHeight="1">
      <c r="A1778" s="146" t="n">
        <v>31</v>
      </c>
      <c r="B1778" s="238" t="n"/>
      <c r="C1778" s="399" t="n">
        <v>46012</v>
      </c>
      <c r="D1778" s="146" t="inlineStr">
        <is>
          <t>200 G. GARCERAS</t>
        </is>
      </c>
      <c r="E1778" s="146" t="n">
        <v>45142</v>
      </c>
      <c r="F1778" s="146" t="inlineStr">
        <is>
          <t>ALEXANDER CHAGUALA</t>
        </is>
      </c>
      <c r="G1778" s="395" t="n">
        <v>3498</v>
      </c>
      <c r="H1778" s="395" t="n">
        <v>3487</v>
      </c>
      <c r="I1778" s="395" t="n">
        <v>8</v>
      </c>
      <c r="J1778" s="395" t="n">
        <v>11</v>
      </c>
      <c r="K1778" s="395" t="n">
        <v>8</v>
      </c>
      <c r="L1778" s="397" t="n">
        <v>3498</v>
      </c>
      <c r="M1778" s="113" t="n"/>
      <c r="N1778" s="113" t="n"/>
      <c r="O1778" s="113" t="n"/>
      <c r="P1778" s="398" t="n"/>
      <c r="Q1778" s="398" t="n"/>
      <c r="R1778" s="113" t="n"/>
      <c r="S1778" s="113" t="n"/>
      <c r="T1778" s="113" t="n"/>
      <c r="U1778" s="113" t="n"/>
      <c r="V1778" s="113" t="n"/>
    </row>
    <row r="1779" ht="15.75" customHeight="1">
      <c r="A1779" s="146" t="n">
        <v>31</v>
      </c>
      <c r="B1779" s="238" t="n"/>
      <c r="C1779" s="399" t="n">
        <v>46012</v>
      </c>
      <c r="D1779" s="146" t="inlineStr">
        <is>
          <t>200 G. GARCERAS</t>
        </is>
      </c>
      <c r="E1779" s="146" t="n">
        <v>45143</v>
      </c>
      <c r="F1779" s="146" t="inlineStr">
        <is>
          <t>FERNANDO OYUELA</t>
        </is>
      </c>
      <c r="G1779" s="395" t="n">
        <v>3528</v>
      </c>
      <c r="H1779" s="395" t="n">
        <v>3507</v>
      </c>
      <c r="I1779" s="395" t="n">
        <v>15</v>
      </c>
      <c r="J1779" s="395" t="n">
        <v>4</v>
      </c>
      <c r="K1779" s="395" t="n">
        <v>-2</v>
      </c>
      <c r="L1779" s="397" t="n">
        <v>3528</v>
      </c>
      <c r="M1779" s="113" t="n"/>
      <c r="N1779" s="113" t="n"/>
      <c r="O1779" s="113" t="n"/>
      <c r="P1779" s="398" t="n"/>
      <c r="Q1779" s="398" t="n"/>
      <c r="R1779" s="113" t="n"/>
      <c r="S1779" s="113" t="n"/>
      <c r="T1779" s="113" t="n"/>
      <c r="U1779" s="113" t="n"/>
      <c r="V1779" s="113" t="n"/>
    </row>
    <row r="1780" ht="15.75" customHeight="1">
      <c r="A1780" s="146" t="n">
        <v>31</v>
      </c>
      <c r="B1780" s="238" t="n"/>
      <c r="C1780" s="399" t="n">
        <v>46012</v>
      </c>
      <c r="D1780" s="146" t="inlineStr">
        <is>
          <t>200 G. GARCERAS</t>
        </is>
      </c>
      <c r="E1780" s="146" t="n">
        <v>45144</v>
      </c>
      <c r="F1780" s="146" t="inlineStr">
        <is>
          <t>YAIR RIVEROS</t>
        </is>
      </c>
      <c r="G1780" s="395" t="n">
        <v>3530</v>
      </c>
      <c r="H1780" s="395" t="n">
        <v>3522</v>
      </c>
      <c r="I1780" s="395" t="n">
        <v>5</v>
      </c>
      <c r="J1780" s="395" t="n">
        <v>8</v>
      </c>
      <c r="K1780" s="395" t="n">
        <v>5</v>
      </c>
      <c r="L1780" s="397" t="n">
        <v>3528</v>
      </c>
      <c r="M1780" s="113" t="n"/>
      <c r="N1780" s="113" t="n"/>
      <c r="O1780" s="113" t="n"/>
      <c r="P1780" s="398" t="n"/>
      <c r="Q1780" s="398" t="n"/>
      <c r="R1780" s="113" t="n"/>
      <c r="S1780" s="113" t="n"/>
      <c r="T1780" s="113" t="n"/>
      <c r="U1780" s="113" t="n"/>
      <c r="V1780" s="113" t="n"/>
    </row>
    <row r="1781" ht="15.75" customHeight="1">
      <c r="A1781" s="146" t="n">
        <v>31</v>
      </c>
      <c r="B1781" s="238" t="n"/>
      <c r="C1781" s="399" t="n">
        <v>46012</v>
      </c>
      <c r="D1781" s="146" t="inlineStr">
        <is>
          <t>221 G. MALAGUEÑA</t>
        </is>
      </c>
      <c r="E1781" s="146" t="n">
        <v>45145</v>
      </c>
      <c r="F1781" s="146" t="inlineStr">
        <is>
          <t>ALEX GOMEZ</t>
        </is>
      </c>
      <c r="G1781" s="395" t="n">
        <v>3050</v>
      </c>
      <c r="H1781" s="395" t="n">
        <v>3054</v>
      </c>
      <c r="I1781" s="395" t="n">
        <v>2</v>
      </c>
      <c r="J1781" s="395" t="n">
        <v>1</v>
      </c>
      <c r="K1781" s="395" t="n">
        <v>7</v>
      </c>
      <c r="L1781" s="397" t="n">
        <v>3050</v>
      </c>
      <c r="M1781" s="113" t="n"/>
      <c r="N1781" s="113" t="n"/>
      <c r="O1781" s="113" t="n"/>
      <c r="P1781" s="398" t="n"/>
      <c r="Q1781" s="398" t="n"/>
      <c r="R1781" s="113" t="n"/>
      <c r="S1781" s="113" t="n"/>
      <c r="T1781" s="113" t="n"/>
      <c r="U1781" s="113" t="n"/>
      <c r="V1781" s="113" t="n"/>
    </row>
    <row r="1782" ht="15.75" customHeight="1">
      <c r="A1782" s="146" t="n">
        <v>31</v>
      </c>
      <c r="B1782" s="238" t="n"/>
      <c r="C1782" s="399" t="n">
        <v>46012</v>
      </c>
      <c r="D1782" s="146" t="inlineStr">
        <is>
          <t>221 G. MALAGUEÑA</t>
        </is>
      </c>
      <c r="E1782" s="146" t="n">
        <v>45146</v>
      </c>
      <c r="F1782" s="146" t="inlineStr">
        <is>
          <t>MANUEL QUITIAN</t>
        </is>
      </c>
      <c r="G1782" s="395" t="n">
        <v>3050</v>
      </c>
      <c r="H1782" s="395" t="n">
        <v>3055</v>
      </c>
      <c r="I1782" s="395" t="n">
        <v>2</v>
      </c>
      <c r="J1782" s="395" t="n">
        <v>1</v>
      </c>
      <c r="K1782" s="395" t="n">
        <v>8</v>
      </c>
      <c r="L1782" s="397" t="n">
        <v>3050</v>
      </c>
      <c r="M1782" s="113" t="n"/>
      <c r="N1782" s="113" t="n"/>
      <c r="O1782" s="113" t="n"/>
      <c r="P1782" s="398" t="n"/>
      <c r="Q1782" s="398" t="n"/>
      <c r="R1782" s="113" t="n"/>
      <c r="S1782" s="113" t="n"/>
      <c r="T1782" s="113" t="n"/>
      <c r="U1782" s="113" t="n"/>
      <c r="V1782" s="113" t="n"/>
    </row>
    <row r="1783" ht="15.75" customHeight="1">
      <c r="A1783" s="146" t="n">
        <v>31</v>
      </c>
      <c r="B1783" s="238" t="n"/>
      <c r="C1783" s="399" t="n">
        <v>46013</v>
      </c>
      <c r="D1783" s="146" t="inlineStr">
        <is>
          <t>200 G. GARCERAS</t>
        </is>
      </c>
      <c r="E1783" s="146" t="n">
        <v>45159</v>
      </c>
      <c r="F1783" s="146" t="inlineStr">
        <is>
          <t>WILMER PIÑEROS</t>
        </is>
      </c>
      <c r="G1783" s="395" t="n">
        <v>3564</v>
      </c>
      <c r="H1783" s="395" t="n">
        <v>3566</v>
      </c>
      <c r="I1783" s="395" t="n">
        <v>3</v>
      </c>
      <c r="J1783" s="395" t="n">
        <v>5</v>
      </c>
      <c r="K1783" s="395" t="n">
        <v>10</v>
      </c>
      <c r="L1783" s="397" t="n">
        <v>3564</v>
      </c>
      <c r="M1783" s="113" t="n"/>
      <c r="N1783" s="113" t="n"/>
      <c r="O1783" s="113" t="n"/>
      <c r="P1783" s="398" t="n"/>
      <c r="Q1783" s="398" t="n"/>
      <c r="R1783" s="113" t="n"/>
      <c r="S1783" s="113" t="n"/>
      <c r="T1783" s="113" t="n"/>
      <c r="U1783" s="113" t="n"/>
      <c r="V1783" s="113" t="n"/>
    </row>
    <row r="1784" ht="15.75" customHeight="1">
      <c r="A1784" s="146" t="n">
        <v>31</v>
      </c>
      <c r="B1784" s="238" t="n"/>
      <c r="C1784" s="399" t="n">
        <v>46013</v>
      </c>
      <c r="D1784" s="146" t="inlineStr">
        <is>
          <t>200 G. GARCERAS</t>
        </is>
      </c>
      <c r="E1784" s="146" t="n">
        <v>45160</v>
      </c>
      <c r="F1784" s="146" t="inlineStr">
        <is>
          <t>JOSE SOLER</t>
        </is>
      </c>
      <c r="G1784" s="395" t="n">
        <v>3090</v>
      </c>
      <c r="H1784" s="395" t="n">
        <v>3095</v>
      </c>
      <c r="I1784" s="395" t="n">
        <v>2</v>
      </c>
      <c r="J1784" s="395" t="n">
        <v>3</v>
      </c>
      <c r="K1784" s="395" t="n">
        <v>10</v>
      </c>
      <c r="L1784" s="397" t="n">
        <v>3090</v>
      </c>
      <c r="M1784" s="113" t="n"/>
      <c r="N1784" s="113" t="n"/>
      <c r="O1784" s="113" t="n"/>
      <c r="P1784" s="398" t="n"/>
      <c r="Q1784" s="398" t="n"/>
      <c r="R1784" s="113" t="n"/>
      <c r="S1784" s="113" t="n"/>
      <c r="T1784" s="113" t="n"/>
      <c r="U1784" s="113" t="n"/>
      <c r="V1784" s="113" t="n"/>
    </row>
    <row r="1785" ht="15.75" customHeight="1">
      <c r="A1785" s="146" t="n">
        <v>31</v>
      </c>
      <c r="B1785" s="238" t="n"/>
      <c r="C1785" s="399" t="n">
        <v>46013</v>
      </c>
      <c r="D1785" s="146" t="inlineStr">
        <is>
          <t>200 G. GARCERAS</t>
        </is>
      </c>
      <c r="E1785" s="146" t="n">
        <v>45161</v>
      </c>
      <c r="F1785" s="146" t="inlineStr">
        <is>
          <t>DIEGO NIÑO</t>
        </is>
      </c>
      <c r="G1785" s="395" t="n">
        <v>3030</v>
      </c>
      <c r="H1785" s="395" t="n">
        <v>3038</v>
      </c>
      <c r="I1785" s="395" t="n">
        <v>2</v>
      </c>
      <c r="J1785" s="395" t="n">
        <v>0</v>
      </c>
      <c r="K1785" s="395" t="n">
        <v>10</v>
      </c>
      <c r="L1785" s="397" t="n">
        <v>3030</v>
      </c>
      <c r="M1785" s="113" t="n"/>
      <c r="N1785" s="113" t="n"/>
      <c r="O1785" s="113" t="n"/>
      <c r="P1785" s="398" t="n"/>
      <c r="Q1785" s="398" t="n"/>
      <c r="R1785" s="113" t="n"/>
      <c r="S1785" s="113" t="n"/>
      <c r="T1785" s="113" t="n"/>
      <c r="U1785" s="113" t="n"/>
      <c r="V1785" s="113" t="n"/>
    </row>
    <row r="1786" ht="15.75" customHeight="1">
      <c r="A1786" s="146" t="n">
        <v>31</v>
      </c>
      <c r="B1786" s="238" t="n"/>
      <c r="C1786" s="399" t="n">
        <v>46013</v>
      </c>
      <c r="D1786" s="146" t="inlineStr">
        <is>
          <t>200 G. GARCERAS</t>
        </is>
      </c>
      <c r="E1786" s="146" t="n">
        <v>45162</v>
      </c>
      <c r="F1786" s="146" t="inlineStr">
        <is>
          <t>ALEXANDER CHAGUALA</t>
        </is>
      </c>
      <c r="G1786" s="395" t="n">
        <v>3030</v>
      </c>
      <c r="H1786" s="395" t="n">
        <v>3038</v>
      </c>
      <c r="I1786" s="395" t="n">
        <v>2</v>
      </c>
      <c r="J1786" s="395" t="n">
        <v>1</v>
      </c>
      <c r="K1786" s="395" t="n">
        <v>11</v>
      </c>
      <c r="L1786" s="397" t="n">
        <v>3030</v>
      </c>
      <c r="M1786" s="113" t="n"/>
      <c r="N1786" s="113" t="n"/>
      <c r="O1786" s="113" t="n"/>
      <c r="P1786" s="398" t="n"/>
      <c r="Q1786" s="398" t="n"/>
      <c r="R1786" s="113" t="n"/>
      <c r="S1786" s="113" t="n"/>
      <c r="T1786" s="113" t="n"/>
      <c r="U1786" s="113" t="n"/>
      <c r="V1786" s="113" t="n"/>
    </row>
    <row r="1787" ht="15.75" customHeight="1">
      <c r="A1787" s="146" t="n">
        <v>31</v>
      </c>
      <c r="B1787" s="238" t="n"/>
      <c r="C1787" s="399" t="n">
        <v>46013</v>
      </c>
      <c r="D1787" s="146" t="inlineStr">
        <is>
          <t>200 G. GARCERAS</t>
        </is>
      </c>
      <c r="E1787" s="146" t="n">
        <v>45163</v>
      </c>
      <c r="F1787" s="146" t="inlineStr">
        <is>
          <t>EDUAN CAVIEDES</t>
        </is>
      </c>
      <c r="G1787" s="395" t="n">
        <v>3030</v>
      </c>
      <c r="H1787" s="395" t="n">
        <v>3023</v>
      </c>
      <c r="I1787" s="395" t="n">
        <v>2</v>
      </c>
      <c r="J1787" s="395" t="n">
        <v>2</v>
      </c>
      <c r="K1787" s="395" t="n">
        <v>-3</v>
      </c>
      <c r="L1787" s="397" t="n">
        <v>3030</v>
      </c>
      <c r="M1787" s="113" t="n"/>
      <c r="N1787" s="113" t="n"/>
      <c r="O1787" s="113" t="n"/>
      <c r="P1787" s="398" t="n"/>
      <c r="Q1787" s="398" t="n"/>
      <c r="R1787" s="113" t="n"/>
      <c r="S1787" s="113" t="n"/>
      <c r="T1787" s="113" t="n"/>
      <c r="U1787" s="113" t="n"/>
      <c r="V1787" s="113" t="n"/>
    </row>
    <row r="1788" ht="15.75" customHeight="1">
      <c r="A1788" s="146" t="n">
        <v>31</v>
      </c>
      <c r="B1788" s="238" t="n"/>
      <c r="C1788" s="399" t="n">
        <v>46013</v>
      </c>
      <c r="D1788" s="146" t="inlineStr">
        <is>
          <t>200 G. GARCERAS</t>
        </is>
      </c>
      <c r="E1788" s="146" t="n">
        <v>45164</v>
      </c>
      <c r="F1788" s="146" t="inlineStr">
        <is>
          <t>JAIRO CUBILLOS</t>
        </is>
      </c>
      <c r="G1788" s="395" t="n">
        <v>3030</v>
      </c>
      <c r="H1788" s="395" t="n">
        <v>3020</v>
      </c>
      <c r="I1788" s="395" t="n">
        <v>2</v>
      </c>
      <c r="J1788" s="395" t="n">
        <v>6</v>
      </c>
      <c r="K1788" s="395" t="n">
        <v>-2</v>
      </c>
      <c r="L1788" s="397" t="n">
        <v>3030</v>
      </c>
      <c r="M1788" s="113" t="n"/>
      <c r="N1788" s="113" t="n"/>
      <c r="O1788" s="113" t="n"/>
      <c r="P1788" s="398" t="n"/>
      <c r="Q1788" s="398" t="n"/>
      <c r="R1788" s="113" t="n"/>
      <c r="S1788" s="113" t="n"/>
      <c r="T1788" s="113" t="n"/>
      <c r="U1788" s="113" t="n"/>
      <c r="V1788" s="113" t="n"/>
    </row>
    <row r="1789" ht="15.75" customHeight="1">
      <c r="A1789" s="146" t="n">
        <v>31</v>
      </c>
      <c r="B1789" s="238" t="n"/>
      <c r="C1789" s="399" t="n">
        <v>46013</v>
      </c>
      <c r="D1789" s="146" t="inlineStr">
        <is>
          <t>200 G. GARCERAS</t>
        </is>
      </c>
      <c r="E1789" s="146" t="n">
        <v>45165</v>
      </c>
      <c r="F1789" s="146" t="inlineStr">
        <is>
          <t>JHON ARIAS</t>
        </is>
      </c>
      <c r="G1789" s="395" t="n">
        <v>3030</v>
      </c>
      <c r="H1789" s="395" t="n">
        <v>3017</v>
      </c>
      <c r="I1789" s="395" t="n">
        <v>2</v>
      </c>
      <c r="J1789" s="395" t="n">
        <v>7</v>
      </c>
      <c r="K1789" s="395" t="n">
        <v>-4</v>
      </c>
      <c r="L1789" s="397" t="n">
        <v>3030</v>
      </c>
      <c r="M1789" s="113" t="n"/>
      <c r="N1789" s="113" t="n"/>
      <c r="O1789" s="113" t="n"/>
      <c r="P1789" s="398" t="n"/>
      <c r="Q1789" s="398" t="n"/>
      <c r="R1789" s="113" t="n"/>
      <c r="S1789" s="113" t="n"/>
      <c r="T1789" s="113" t="n"/>
      <c r="U1789" s="113" t="n"/>
      <c r="V1789" s="113" t="n"/>
    </row>
    <row r="1790" ht="15.75" customHeight="1">
      <c r="A1790" s="146" t="n">
        <v>31</v>
      </c>
      <c r="B1790" s="238" t="n"/>
      <c r="C1790" s="399" t="n">
        <v>46013</v>
      </c>
      <c r="D1790" s="146" t="inlineStr">
        <is>
          <t>221 G. MALAGUEÑA</t>
        </is>
      </c>
      <c r="E1790" s="146" t="n">
        <v>45166</v>
      </c>
      <c r="F1790" s="146" t="inlineStr">
        <is>
          <t>YAIR RIVEROS</t>
        </is>
      </c>
      <c r="G1790" s="395" t="n">
        <v>2720</v>
      </c>
      <c r="H1790" s="395" t="n">
        <v>2717</v>
      </c>
      <c r="I1790" s="395" t="n">
        <v>7</v>
      </c>
      <c r="J1790" s="395" t="n">
        <v>5</v>
      </c>
      <c r="K1790" s="395" t="n">
        <v>9</v>
      </c>
      <c r="L1790" s="397" t="n">
        <v>2720</v>
      </c>
      <c r="M1790" s="113" t="n"/>
      <c r="N1790" s="113" t="n"/>
      <c r="O1790" s="113" t="n"/>
      <c r="P1790" s="398" t="n"/>
      <c r="Q1790" s="398" t="n"/>
      <c r="R1790" s="113" t="n"/>
      <c r="S1790" s="113" t="n"/>
      <c r="T1790" s="113" t="n"/>
      <c r="U1790" s="113" t="n"/>
      <c r="V1790" s="113" t="n"/>
    </row>
    <row r="1791" ht="15.75" customHeight="1">
      <c r="A1791" s="146" t="n">
        <v>31</v>
      </c>
      <c r="B1791" s="238" t="n"/>
      <c r="C1791" s="399" t="n">
        <v>46013</v>
      </c>
      <c r="D1791" s="146" t="inlineStr">
        <is>
          <t>221 G. MALAGUEÑA</t>
        </is>
      </c>
      <c r="E1791" s="146" t="n">
        <v>45167</v>
      </c>
      <c r="F1791" s="146" t="inlineStr">
        <is>
          <t>FABIO ALDANA</t>
        </is>
      </c>
      <c r="G1791" s="395" t="n">
        <v>2720</v>
      </c>
      <c r="H1791" s="395" t="n">
        <v>2720</v>
      </c>
      <c r="I1791" s="395" t="n">
        <v>9</v>
      </c>
      <c r="J1791" s="395" t="n">
        <v>3</v>
      </c>
      <c r="K1791" s="395" t="n">
        <v>12</v>
      </c>
      <c r="L1791" s="397" t="n">
        <v>2720</v>
      </c>
      <c r="M1791" s="113" t="n"/>
      <c r="N1791" s="113" t="n"/>
      <c r="O1791" s="113" t="n"/>
      <c r="P1791" s="398" t="n"/>
      <c r="Q1791" s="398" t="n"/>
      <c r="R1791" s="113" t="n"/>
      <c r="S1791" s="113" t="n"/>
      <c r="T1791" s="113" t="n"/>
      <c r="U1791" s="113" t="n"/>
      <c r="V1791" s="113" t="n"/>
    </row>
    <row r="1792" ht="15.75" customHeight="1">
      <c r="A1792" s="146" t="n">
        <v>31</v>
      </c>
      <c r="B1792" s="238" t="n"/>
      <c r="C1792" s="399" t="n">
        <v>46013</v>
      </c>
      <c r="D1792" s="146" t="inlineStr">
        <is>
          <t>221 G. MALAGUEÑA</t>
        </is>
      </c>
      <c r="E1792" s="146" t="n">
        <v>45168</v>
      </c>
      <c r="F1792" s="146" t="inlineStr">
        <is>
          <t>ALEX GOMEZ</t>
        </is>
      </c>
      <c r="G1792" s="395" t="n">
        <v>2720</v>
      </c>
      <c r="H1792" s="395" t="n">
        <v>2716</v>
      </c>
      <c r="I1792" s="395" t="n">
        <v>8</v>
      </c>
      <c r="J1792" s="395" t="n">
        <v>3</v>
      </c>
      <c r="K1792" s="395" t="n">
        <v>7</v>
      </c>
      <c r="L1792" s="397" t="n">
        <v>2720</v>
      </c>
      <c r="M1792" s="113" t="n"/>
      <c r="N1792" s="113" t="n"/>
      <c r="O1792" s="113" t="n"/>
      <c r="P1792" s="398" t="n"/>
      <c r="Q1792" s="398" t="n"/>
      <c r="R1792" s="113" t="n"/>
      <c r="S1792" s="113" t="n"/>
      <c r="T1792" s="113" t="n"/>
      <c r="U1792" s="113" t="n"/>
      <c r="V1792" s="113" t="n"/>
    </row>
    <row r="1793" ht="15.75" customHeight="1">
      <c r="A1793" s="146" t="n">
        <v>31</v>
      </c>
      <c r="B1793" s="238" t="n"/>
      <c r="C1793" s="399" t="n">
        <v>46013</v>
      </c>
      <c r="D1793" s="146" t="inlineStr">
        <is>
          <t>221 G. MALAGUEÑA</t>
        </is>
      </c>
      <c r="E1793" s="146" t="n">
        <v>45169</v>
      </c>
      <c r="F1793" s="146" t="inlineStr">
        <is>
          <t>SEBASTIAN HIDALGO</t>
        </is>
      </c>
      <c r="G1793" s="395" t="n">
        <v>3180</v>
      </c>
      <c r="H1793" s="395" t="n">
        <v>3166</v>
      </c>
      <c r="I1793" s="395" t="n">
        <v>8</v>
      </c>
      <c r="J1793" s="395" t="n">
        <v>18</v>
      </c>
      <c r="K1793" s="395" t="n">
        <v>12</v>
      </c>
      <c r="L1793" s="397" t="n">
        <v>3180</v>
      </c>
      <c r="M1793" s="113" t="n"/>
      <c r="N1793" s="113" t="n"/>
      <c r="O1793" s="113" t="n"/>
      <c r="P1793" s="398" t="n"/>
      <c r="Q1793" s="398" t="n"/>
      <c r="R1793" s="113" t="n"/>
      <c r="S1793" s="113" t="n"/>
      <c r="T1793" s="113" t="n"/>
      <c r="U1793" s="113" t="n"/>
      <c r="V1793" s="113" t="n"/>
    </row>
    <row r="1794" ht="15.75" customHeight="1">
      <c r="A1794" s="146" t="n">
        <v>31</v>
      </c>
      <c r="B1794" s="238" t="n"/>
      <c r="C1794" s="399" t="n">
        <v>46013</v>
      </c>
      <c r="D1794" s="146" t="inlineStr">
        <is>
          <t>221 G. MALAGUEÑA</t>
        </is>
      </c>
      <c r="E1794" s="146" t="n">
        <v>45170</v>
      </c>
      <c r="F1794" s="146" t="inlineStr">
        <is>
          <t>FERNANDO OYUELA</t>
        </is>
      </c>
      <c r="G1794" s="395" t="n">
        <v>3180</v>
      </c>
      <c r="H1794" s="395" t="n">
        <v>3176</v>
      </c>
      <c r="I1794" s="395" t="n">
        <v>11</v>
      </c>
      <c r="J1794" s="395" t="n">
        <v>6</v>
      </c>
      <c r="K1794" s="395" t="n">
        <v>13</v>
      </c>
      <c r="L1794" s="397" t="n">
        <v>3180</v>
      </c>
      <c r="M1794" s="113" t="n"/>
      <c r="N1794" s="113" t="n"/>
      <c r="O1794" s="113" t="n"/>
      <c r="P1794" s="398" t="n"/>
      <c r="Q1794" s="398" t="n"/>
      <c r="R1794" s="113" t="n"/>
      <c r="S1794" s="113" t="n"/>
      <c r="T1794" s="113" t="n"/>
      <c r="U1794" s="113" t="n"/>
      <c r="V1794" s="113" t="n"/>
    </row>
    <row r="1795" ht="15.75" customHeight="1">
      <c r="A1795" s="146" t="n">
        <v>31</v>
      </c>
      <c r="B1795" s="238" t="n"/>
      <c r="C1795" s="399" t="n">
        <v>46013</v>
      </c>
      <c r="D1795" s="146" t="inlineStr">
        <is>
          <t>221 G. MALAGUEÑA</t>
        </is>
      </c>
      <c r="E1795" s="146" t="n">
        <v>45177</v>
      </c>
      <c r="F1795" s="146" t="inlineStr">
        <is>
          <t>EDWIN ROJAS</t>
        </is>
      </c>
      <c r="G1795" s="395" t="n">
        <v>3180</v>
      </c>
      <c r="H1795" s="395" t="n">
        <v>3167</v>
      </c>
      <c r="I1795" s="395" t="n">
        <v>7</v>
      </c>
      <c r="J1795" s="395" t="n">
        <v>8</v>
      </c>
      <c r="K1795" s="395" t="n">
        <v>2</v>
      </c>
      <c r="L1795" s="397" t="n">
        <v>3180</v>
      </c>
      <c r="M1795" s="113" t="n"/>
      <c r="N1795" s="113" t="n"/>
      <c r="O1795" s="113" t="n"/>
      <c r="P1795" s="398" t="n"/>
      <c r="Q1795" s="398" t="n"/>
      <c r="R1795" s="113" t="n"/>
      <c r="S1795" s="113" t="n"/>
      <c r="T1795" s="113" t="n"/>
      <c r="U1795" s="113" t="n"/>
      <c r="V1795" s="113" t="n"/>
    </row>
    <row r="1796" ht="15.75" customHeight="1">
      <c r="A1796" s="146" t="n">
        <v>31</v>
      </c>
      <c r="B1796" s="238" t="n"/>
      <c r="C1796" s="399" t="n">
        <v>46014</v>
      </c>
      <c r="D1796" s="146" t="inlineStr">
        <is>
          <t>200 G. GARCERAS</t>
        </is>
      </c>
      <c r="E1796" s="146" t="n">
        <v>45180</v>
      </c>
      <c r="F1796" s="146" t="inlineStr">
        <is>
          <t>ALBERTO LOPEZ</t>
        </is>
      </c>
      <c r="G1796" s="395" t="n">
        <v>3040</v>
      </c>
      <c r="H1796" s="395" t="n">
        <v>3024</v>
      </c>
      <c r="I1796" s="395" t="n">
        <v>7</v>
      </c>
      <c r="J1796" s="395" t="n">
        <v>8</v>
      </c>
      <c r="K1796" s="395" t="n">
        <v>-1</v>
      </c>
      <c r="L1796" s="397" t="n">
        <v>3040</v>
      </c>
      <c r="M1796" s="113" t="n"/>
      <c r="N1796" s="113" t="n"/>
      <c r="O1796" s="113" t="n"/>
      <c r="P1796" s="398" t="n"/>
      <c r="Q1796" s="398" t="n"/>
      <c r="R1796" s="113" t="n"/>
      <c r="S1796" s="113" t="n"/>
      <c r="T1796" s="113" t="n"/>
      <c r="U1796" s="113" t="n"/>
      <c r="V1796" s="113" t="n"/>
    </row>
    <row r="1797" ht="15.75" customHeight="1">
      <c r="A1797" s="146" t="n">
        <v>31</v>
      </c>
      <c r="B1797" s="238" t="n"/>
      <c r="C1797" s="399" t="n">
        <v>46014</v>
      </c>
      <c r="D1797" s="146" t="inlineStr">
        <is>
          <t>200 G. GARCERAS</t>
        </is>
      </c>
      <c r="E1797" s="146" t="n">
        <v>45181</v>
      </c>
      <c r="F1797" s="146" t="inlineStr">
        <is>
          <t>SEBASTIAN HIDALGO</t>
        </is>
      </c>
      <c r="G1797" s="395" t="n">
        <v>3040</v>
      </c>
      <c r="H1797" s="395" t="n">
        <v>3019</v>
      </c>
      <c r="I1797" s="395" t="n">
        <v>2</v>
      </c>
      <c r="J1797" s="395" t="n">
        <v>4</v>
      </c>
      <c r="K1797" s="395" t="n">
        <v>-15</v>
      </c>
      <c r="L1797" s="397" t="n">
        <v>3040</v>
      </c>
      <c r="M1797" s="113" t="n"/>
      <c r="N1797" s="113" t="n"/>
      <c r="O1797" s="113" t="n"/>
      <c r="P1797" s="398" t="n"/>
      <c r="Q1797" s="398" t="n"/>
      <c r="R1797" s="113" t="n"/>
      <c r="S1797" s="113" t="n"/>
      <c r="T1797" s="113" t="n"/>
      <c r="U1797" s="113" t="n"/>
      <c r="V1797" s="113" t="n"/>
    </row>
    <row r="1798" ht="15.75" customHeight="1">
      <c r="A1798" s="146" t="n">
        <v>31</v>
      </c>
      <c r="B1798" s="238" t="n"/>
      <c r="C1798" s="399" t="n">
        <v>46014</v>
      </c>
      <c r="D1798" s="146" t="inlineStr">
        <is>
          <t>200 G. GARCERAS</t>
        </is>
      </c>
      <c r="E1798" s="146" t="n">
        <v>45182</v>
      </c>
      <c r="F1798" s="146" t="inlineStr">
        <is>
          <t>EDUAN CAVIEDES</t>
        </is>
      </c>
      <c r="G1798" s="395" t="n">
        <v>3040</v>
      </c>
      <c r="H1798" s="395" t="n">
        <v>3026</v>
      </c>
      <c r="I1798" s="395" t="n">
        <v>5</v>
      </c>
      <c r="J1798" s="395" t="n">
        <v>4</v>
      </c>
      <c r="K1798" s="395" t="n">
        <v>-5</v>
      </c>
      <c r="L1798" s="397" t="n">
        <v>3040</v>
      </c>
      <c r="M1798" s="113" t="n"/>
      <c r="N1798" s="113" t="n"/>
      <c r="O1798" s="113" t="n"/>
      <c r="P1798" s="398" t="n"/>
      <c r="Q1798" s="398" t="n"/>
      <c r="R1798" s="113" t="n"/>
      <c r="S1798" s="113" t="n"/>
      <c r="T1798" s="113" t="n"/>
      <c r="U1798" s="113" t="n"/>
      <c r="V1798" s="113" t="n"/>
    </row>
    <row r="1799" ht="15.75" customHeight="1">
      <c r="A1799" s="146" t="n">
        <v>31</v>
      </c>
      <c r="B1799" s="238" t="n"/>
      <c r="C1799" s="399" t="n">
        <v>46014</v>
      </c>
      <c r="D1799" s="146" t="inlineStr">
        <is>
          <t>200 G. GARCERAS</t>
        </is>
      </c>
      <c r="E1799" s="146" t="n">
        <v>45183</v>
      </c>
      <c r="F1799" s="146" t="inlineStr">
        <is>
          <t>DIEGO NIÑO</t>
        </is>
      </c>
      <c r="G1799" s="395" t="n">
        <v>3040</v>
      </c>
      <c r="H1799" s="395" t="n">
        <v>3026</v>
      </c>
      <c r="I1799" s="395" t="n">
        <v>5</v>
      </c>
      <c r="J1799" s="395" t="n">
        <v>4</v>
      </c>
      <c r="K1799" s="395" t="n">
        <v>-5</v>
      </c>
      <c r="L1799" s="397" t="n">
        <v>3040</v>
      </c>
      <c r="M1799" s="113" t="n"/>
      <c r="N1799" s="113" t="n"/>
      <c r="O1799" s="113" t="n"/>
      <c r="P1799" s="398" t="n"/>
      <c r="Q1799" s="398" t="n"/>
      <c r="R1799" s="113" t="n"/>
      <c r="S1799" s="113" t="n"/>
      <c r="T1799" s="113" t="n"/>
      <c r="U1799" s="113" t="n"/>
      <c r="V1799" s="113" t="n"/>
    </row>
    <row r="1800" ht="15.75" customHeight="1">
      <c r="A1800" s="146" t="n">
        <v>31</v>
      </c>
      <c r="B1800" s="238" t="n"/>
      <c r="C1800" s="399" t="n">
        <v>46014</v>
      </c>
      <c r="D1800" s="146" t="inlineStr">
        <is>
          <t>200 G. GARCERAS</t>
        </is>
      </c>
      <c r="E1800" s="146" t="n">
        <v>45184</v>
      </c>
      <c r="F1800" s="146" t="inlineStr">
        <is>
          <t>FABIO ALDANA</t>
        </is>
      </c>
      <c r="G1800" s="395" t="n">
        <v>3130</v>
      </c>
      <c r="H1800" s="395" t="n">
        <v>3115</v>
      </c>
      <c r="I1800" s="395" t="n">
        <v>5</v>
      </c>
      <c r="J1800" s="395" t="n">
        <v>3</v>
      </c>
      <c r="K1800" s="395" t="n">
        <v>-7</v>
      </c>
      <c r="L1800" s="397" t="n">
        <v>3030</v>
      </c>
      <c r="M1800" s="113" t="n"/>
      <c r="N1800" s="113" t="n"/>
      <c r="O1800" s="113" t="n"/>
      <c r="P1800" s="398" t="n"/>
      <c r="Q1800" s="398" t="n"/>
      <c r="R1800" s="113" t="n"/>
      <c r="S1800" s="113" t="n"/>
      <c r="T1800" s="113" t="n"/>
      <c r="U1800" s="113" t="n"/>
      <c r="V1800" s="113" t="n"/>
    </row>
    <row r="1801" ht="15.75" customHeight="1">
      <c r="A1801" s="146" t="n">
        <v>31</v>
      </c>
      <c r="B1801" s="238" t="n"/>
      <c r="C1801" s="399" t="n">
        <v>46014</v>
      </c>
      <c r="D1801" s="146" t="inlineStr">
        <is>
          <t>200 G. GARCERAS</t>
        </is>
      </c>
      <c r="E1801" s="146" t="n">
        <v>45185</v>
      </c>
      <c r="F1801" s="146" t="inlineStr">
        <is>
          <t>JHON ARIAS</t>
        </is>
      </c>
      <c r="G1801" s="395" t="n">
        <v>3030</v>
      </c>
      <c r="H1801" s="395" t="n">
        <v>3026</v>
      </c>
      <c r="I1801" s="395" t="n">
        <v>6</v>
      </c>
      <c r="J1801" s="395" t="n">
        <v>4</v>
      </c>
      <c r="K1801" s="395" t="n">
        <v>6</v>
      </c>
      <c r="L1801" s="397" t="n">
        <v>3130</v>
      </c>
      <c r="M1801" s="113" t="n"/>
      <c r="N1801" s="113" t="n"/>
      <c r="O1801" s="113" t="n"/>
      <c r="P1801" s="398" t="n"/>
      <c r="Q1801" s="398" t="n"/>
      <c r="R1801" s="113" t="n"/>
      <c r="S1801" s="113" t="n"/>
      <c r="T1801" s="113" t="n"/>
      <c r="U1801" s="113" t="n"/>
      <c r="V1801" s="113" t="n"/>
    </row>
    <row r="1802" ht="15.75" customHeight="1">
      <c r="A1802" s="146" t="n">
        <v>31</v>
      </c>
      <c r="B1802" s="238" t="n"/>
      <c r="C1802" s="399" t="n">
        <v>46014</v>
      </c>
      <c r="D1802" s="146" t="inlineStr">
        <is>
          <t>200 G. GARCERAS</t>
        </is>
      </c>
      <c r="E1802" s="146" t="n">
        <v>45186</v>
      </c>
      <c r="F1802" s="146" t="inlineStr">
        <is>
          <t>FERNANDO OYUELA</t>
        </is>
      </c>
      <c r="G1802" s="395" t="n">
        <v>3030</v>
      </c>
      <c r="H1802" s="395" t="n">
        <v>3023</v>
      </c>
      <c r="I1802" s="395" t="n">
        <v>9</v>
      </c>
      <c r="J1802" s="395" t="n">
        <v>4</v>
      </c>
      <c r="K1802" s="395" t="n">
        <v>6</v>
      </c>
      <c r="L1802" s="397" t="n">
        <v>3030</v>
      </c>
      <c r="M1802" s="113" t="n"/>
      <c r="N1802" s="113" t="n"/>
      <c r="O1802" s="113" t="n"/>
      <c r="P1802" s="398" t="n"/>
      <c r="Q1802" s="398" t="n"/>
      <c r="R1802" s="113" t="n"/>
      <c r="S1802" s="113" t="n"/>
      <c r="T1802" s="113" t="n"/>
      <c r="U1802" s="113" t="n"/>
      <c r="V1802" s="113" t="n"/>
    </row>
    <row r="1803" ht="15.75" customHeight="1">
      <c r="A1803" s="146" t="n">
        <v>31</v>
      </c>
      <c r="B1803" s="238" t="n"/>
      <c r="C1803" s="399" t="n">
        <v>46014</v>
      </c>
      <c r="D1803" s="146" t="inlineStr">
        <is>
          <t>200 G. GARCERAS</t>
        </is>
      </c>
      <c r="E1803" s="146" t="n">
        <v>45187</v>
      </c>
      <c r="F1803" s="146" t="inlineStr">
        <is>
          <t>ROBINSON PULIDO</t>
        </is>
      </c>
      <c r="G1803" s="395" t="n">
        <v>3030</v>
      </c>
      <c r="H1803" s="395" t="n">
        <v>3031</v>
      </c>
      <c r="I1803" s="395" t="n">
        <v>8</v>
      </c>
      <c r="J1803" s="395" t="n">
        <v>4</v>
      </c>
      <c r="K1803" s="395" t="n">
        <v>13</v>
      </c>
      <c r="L1803" s="397" t="n">
        <v>3030</v>
      </c>
      <c r="M1803" s="113" t="n"/>
      <c r="N1803" s="113" t="n"/>
      <c r="O1803" s="113" t="n"/>
      <c r="P1803" s="398" t="n"/>
      <c r="Q1803" s="398" t="n"/>
      <c r="R1803" s="113" t="n"/>
      <c r="S1803" s="113" t="n"/>
      <c r="T1803" s="113" t="n"/>
      <c r="U1803" s="113" t="n"/>
      <c r="V1803" s="113" t="n"/>
    </row>
    <row r="1804" ht="15.75" customHeight="1">
      <c r="A1804" s="146" t="n">
        <v>31</v>
      </c>
      <c r="B1804" s="238" t="n"/>
      <c r="C1804" s="399" t="n">
        <v>46014</v>
      </c>
      <c r="D1804" s="146" t="inlineStr">
        <is>
          <t>200 G. GARCERAS</t>
        </is>
      </c>
      <c r="E1804" s="146" t="n">
        <v>45188</v>
      </c>
      <c r="F1804" s="146" t="inlineStr">
        <is>
          <t>ALEXANDER CHAGUALA</t>
        </is>
      </c>
      <c r="G1804" s="395" t="n">
        <v>3030</v>
      </c>
      <c r="H1804" s="395" t="n">
        <v>3030</v>
      </c>
      <c r="I1804" s="395" t="n">
        <v>4</v>
      </c>
      <c r="J1804" s="395" t="n">
        <v>3</v>
      </c>
      <c r="K1804" s="395" t="n">
        <v>7</v>
      </c>
      <c r="L1804" s="397" t="n">
        <v>2030</v>
      </c>
      <c r="M1804" s="113" t="n"/>
      <c r="N1804" s="113" t="n"/>
      <c r="O1804" s="113" t="n"/>
      <c r="P1804" s="398" t="n"/>
      <c r="Q1804" s="398" t="n"/>
      <c r="R1804" s="113" t="n"/>
      <c r="S1804" s="113" t="n"/>
      <c r="T1804" s="113" t="n"/>
      <c r="U1804" s="113" t="n"/>
      <c r="V1804" s="113" t="n"/>
    </row>
    <row r="1805" ht="15.75" customHeight="1">
      <c r="A1805" s="146" t="n">
        <v>31</v>
      </c>
      <c r="B1805" s="238" t="n"/>
      <c r="C1805" s="399" t="n">
        <v>46014</v>
      </c>
      <c r="D1805" s="146" t="inlineStr">
        <is>
          <t>200 G. GARCERAS</t>
        </is>
      </c>
      <c r="E1805" s="146" t="n">
        <v>45189</v>
      </c>
      <c r="F1805" s="146" t="inlineStr">
        <is>
          <t>MANUEL QUITIAN</t>
        </is>
      </c>
      <c r="G1805" s="395" t="n">
        <v>3030</v>
      </c>
      <c r="H1805" s="395" t="n">
        <v>3034</v>
      </c>
      <c r="I1805" s="395" t="n">
        <v>4</v>
      </c>
      <c r="J1805" s="395" t="n">
        <v>1</v>
      </c>
      <c r="K1805" s="395" t="n">
        <v>9</v>
      </c>
      <c r="L1805" s="397" t="n">
        <v>3030</v>
      </c>
      <c r="M1805" s="113" t="n"/>
      <c r="N1805" s="113" t="n"/>
      <c r="O1805" s="113" t="n"/>
      <c r="P1805" s="398" t="n"/>
      <c r="Q1805" s="398" t="n"/>
      <c r="R1805" s="113" t="n"/>
      <c r="S1805" s="113" t="n"/>
      <c r="T1805" s="113" t="n"/>
      <c r="U1805" s="113" t="n"/>
      <c r="V1805" s="113" t="n"/>
    </row>
    <row r="1806" ht="15.75" customHeight="1">
      <c r="A1806" s="146" t="n">
        <v>31</v>
      </c>
      <c r="B1806" s="238" t="n"/>
      <c r="C1806" s="399" t="n">
        <v>46014</v>
      </c>
      <c r="D1806" s="146" t="inlineStr">
        <is>
          <t>200 G. GARCERAS</t>
        </is>
      </c>
      <c r="E1806" s="146" t="n">
        <v>45190</v>
      </c>
      <c r="F1806" s="146" t="inlineStr">
        <is>
          <t>JOSE HERRERA</t>
        </is>
      </c>
      <c r="G1806" s="395" t="n">
        <v>3090</v>
      </c>
      <c r="H1806" s="395" t="n">
        <v>3091</v>
      </c>
      <c r="I1806" s="395" t="n">
        <v>4</v>
      </c>
      <c r="J1806" s="395" t="n">
        <v>1</v>
      </c>
      <c r="K1806" s="395" t="n">
        <v>6</v>
      </c>
      <c r="L1806" s="397" t="n">
        <v>3090</v>
      </c>
      <c r="M1806" s="113" t="n"/>
      <c r="N1806" s="113" t="n"/>
      <c r="O1806" s="113" t="n"/>
      <c r="P1806" s="398" t="n"/>
      <c r="Q1806" s="398" t="n"/>
      <c r="R1806" s="113" t="n"/>
      <c r="S1806" s="113" t="n"/>
      <c r="T1806" s="113" t="n"/>
      <c r="U1806" s="113" t="n"/>
      <c r="V1806" s="113" t="n"/>
    </row>
    <row r="1807" ht="15.75" customHeight="1">
      <c r="A1807" s="146" t="n">
        <v>31</v>
      </c>
      <c r="B1807" s="238" t="n"/>
      <c r="C1807" s="399" t="n">
        <v>46014</v>
      </c>
      <c r="D1807" s="146" t="inlineStr">
        <is>
          <t>200 G. GARCERAS</t>
        </is>
      </c>
      <c r="E1807" s="146" t="n">
        <v>45191</v>
      </c>
      <c r="F1807" s="146" t="inlineStr">
        <is>
          <t>JOSE SOLER</t>
        </is>
      </c>
      <c r="G1807" s="395" t="n">
        <v>3090</v>
      </c>
      <c r="H1807" s="395" t="n">
        <v>3091</v>
      </c>
      <c r="I1807" s="395" t="n">
        <v>3</v>
      </c>
      <c r="J1807" s="395" t="n">
        <v>1</v>
      </c>
      <c r="K1807" s="395" t="n">
        <v>5</v>
      </c>
      <c r="L1807" s="397" t="n">
        <v>3090</v>
      </c>
      <c r="M1807" s="113" t="n"/>
      <c r="N1807" s="113" t="n"/>
      <c r="O1807" s="113" t="n"/>
      <c r="P1807" s="398" t="n"/>
      <c r="Q1807" s="398" t="n"/>
      <c r="R1807" s="113" t="n"/>
      <c r="S1807" s="113" t="n"/>
      <c r="T1807" s="113" t="n"/>
      <c r="U1807" s="113" t="n"/>
      <c r="V1807" s="113" t="n"/>
    </row>
    <row r="1808" ht="15.75" customHeight="1">
      <c r="A1808" s="146" t="n">
        <v>31</v>
      </c>
      <c r="B1808" s="238" t="n"/>
      <c r="C1808" s="399" t="n">
        <v>46014</v>
      </c>
      <c r="D1808" s="146" t="inlineStr">
        <is>
          <t>200 G. GARCERAS</t>
        </is>
      </c>
      <c r="E1808" s="146" t="n">
        <v>45192</v>
      </c>
      <c r="F1808" s="146" t="inlineStr">
        <is>
          <t>YAIR RIVEROS</t>
        </is>
      </c>
      <c r="G1808" s="395" t="n">
        <v>3090</v>
      </c>
      <c r="H1808" s="395" t="n">
        <v>3083</v>
      </c>
      <c r="I1808" s="395" t="n">
        <v>4</v>
      </c>
      <c r="J1808" s="395" t="n">
        <v>2</v>
      </c>
      <c r="K1808" s="395" t="n">
        <v>-1</v>
      </c>
      <c r="L1808" s="397" t="n">
        <v>3090</v>
      </c>
      <c r="M1808" s="113" t="n"/>
      <c r="N1808" s="113" t="n"/>
      <c r="O1808" s="113" t="n"/>
      <c r="P1808" s="398" t="n"/>
      <c r="Q1808" s="398" t="n"/>
      <c r="R1808" s="113" t="n"/>
      <c r="S1808" s="113" t="n"/>
      <c r="T1808" s="113" t="n"/>
      <c r="U1808" s="113" t="n"/>
      <c r="V1808" s="113" t="n"/>
    </row>
    <row r="1809" ht="15.75" customHeight="1">
      <c r="A1809" s="146" t="n">
        <v>31</v>
      </c>
      <c r="B1809" s="238" t="n"/>
      <c r="C1809" s="399" t="n">
        <v>46014</v>
      </c>
      <c r="D1809" s="146" t="inlineStr">
        <is>
          <t>200 G. GARCERAS</t>
        </is>
      </c>
      <c r="E1809" s="146" t="n">
        <v>45193</v>
      </c>
      <c r="F1809" s="146" t="inlineStr">
        <is>
          <t>EDWIN ROJAS</t>
        </is>
      </c>
      <c r="G1809" s="395" t="n">
        <v>3090</v>
      </c>
      <c r="H1809" s="395" t="n">
        <v>3085</v>
      </c>
      <c r="I1809" s="395" t="n">
        <v>4</v>
      </c>
      <c r="J1809" s="395" t="n">
        <v>5</v>
      </c>
      <c r="K1809" s="395" t="n">
        <v>4</v>
      </c>
      <c r="L1809" s="397" t="n">
        <v>3090</v>
      </c>
      <c r="M1809" s="113" t="n"/>
      <c r="N1809" s="113" t="n"/>
      <c r="O1809" s="113" t="n"/>
      <c r="P1809" s="398" t="n"/>
      <c r="Q1809" s="398" t="n"/>
      <c r="R1809" s="113" t="n"/>
      <c r="S1809" s="113" t="n"/>
      <c r="T1809" s="113" t="n"/>
      <c r="U1809" s="113" t="n"/>
      <c r="V1809" s="113" t="n"/>
    </row>
    <row r="1810" ht="15.75" customHeight="1">
      <c r="A1810" s="146" t="n">
        <v>31</v>
      </c>
      <c r="B1810" s="238" t="n"/>
      <c r="C1810" s="399" t="n">
        <v>46014</v>
      </c>
      <c r="D1810" s="146" t="inlineStr">
        <is>
          <t>200 G. GARCERAS</t>
        </is>
      </c>
      <c r="E1810" s="146" t="n">
        <v>45194</v>
      </c>
      <c r="F1810" s="146" t="inlineStr">
        <is>
          <t>ALEX GOMEZ</t>
        </is>
      </c>
      <c r="G1810" s="395" t="n">
        <v>2850</v>
      </c>
      <c r="H1810" s="395" t="n">
        <v>2845</v>
      </c>
      <c r="I1810" s="395" t="n">
        <v>5</v>
      </c>
      <c r="J1810" s="395" t="n">
        <v>4</v>
      </c>
      <c r="K1810" s="395" t="n">
        <v>4</v>
      </c>
      <c r="L1810" s="397" t="n">
        <v>2850</v>
      </c>
      <c r="M1810" s="113" t="n"/>
      <c r="N1810" s="113" t="n"/>
      <c r="O1810" s="113" t="n"/>
      <c r="P1810" s="398" t="n"/>
      <c r="Q1810" s="398" t="n"/>
      <c r="R1810" s="113" t="n"/>
      <c r="S1810" s="113" t="n"/>
      <c r="T1810" s="113" t="n"/>
      <c r="U1810" s="113" t="n"/>
      <c r="V1810" s="113" t="n"/>
    </row>
    <row r="1811" ht="15.75" customHeight="1">
      <c r="A1811" s="146" t="n">
        <v>31</v>
      </c>
      <c r="B1811" s="238" t="n"/>
      <c r="C1811" s="399" t="n">
        <v>46014</v>
      </c>
      <c r="D1811" s="146" t="inlineStr">
        <is>
          <t>221 G. MALAGUEÑA</t>
        </is>
      </c>
      <c r="E1811" s="146" t="n">
        <v>45195</v>
      </c>
      <c r="F1811" s="146" t="inlineStr">
        <is>
          <t>ALBERTO LOPEZ</t>
        </is>
      </c>
      <c r="G1811" s="395" t="n">
        <v>3243</v>
      </c>
      <c r="H1811" s="395" t="n">
        <v>3243</v>
      </c>
      <c r="I1811" s="395" t="n">
        <v>4</v>
      </c>
      <c r="J1811" s="395" t="n">
        <v>3</v>
      </c>
      <c r="K1811" s="395" t="n">
        <v>7</v>
      </c>
      <c r="L1811" s="397" t="n">
        <v>3243</v>
      </c>
      <c r="M1811" s="113" t="n"/>
      <c r="N1811" s="113" t="n"/>
      <c r="O1811" s="113" t="n"/>
      <c r="P1811" s="398" t="n"/>
      <c r="Q1811" s="398" t="n"/>
      <c r="R1811" s="113" t="n"/>
      <c r="S1811" s="113" t="n"/>
      <c r="T1811" s="113" t="n"/>
      <c r="U1811" s="113" t="n"/>
      <c r="V1811" s="113" t="n"/>
    </row>
    <row r="1812" ht="15.75" customHeight="1">
      <c r="A1812" s="146" t="n">
        <v>31</v>
      </c>
      <c r="B1812" s="238" t="n"/>
      <c r="C1812" s="399" t="n">
        <v>46014</v>
      </c>
      <c r="D1812" s="146" t="inlineStr">
        <is>
          <t>221 G. MALAGUEÑA</t>
        </is>
      </c>
      <c r="E1812" s="146" t="n">
        <v>45196</v>
      </c>
      <c r="F1812" s="146" t="inlineStr">
        <is>
          <t>SEBASTIAN HIDALGO</t>
        </is>
      </c>
      <c r="G1812" s="395" t="n">
        <v>3243</v>
      </c>
      <c r="H1812" s="395" t="n">
        <v>3242</v>
      </c>
      <c r="I1812" s="395" t="n">
        <v>3</v>
      </c>
      <c r="J1812" s="395" t="n">
        <v>2</v>
      </c>
      <c r="K1812" s="395" t="n">
        <v>4</v>
      </c>
      <c r="L1812" s="397" t="n">
        <v>3240</v>
      </c>
      <c r="M1812" s="113" t="n"/>
      <c r="N1812" s="113" t="n"/>
      <c r="O1812" s="113" t="n"/>
      <c r="P1812" s="398" t="n"/>
      <c r="Q1812" s="398" t="n"/>
      <c r="R1812" s="113" t="n"/>
      <c r="S1812" s="113" t="n"/>
      <c r="T1812" s="113" t="n"/>
      <c r="U1812" s="113" t="n"/>
      <c r="V1812" s="113" t="n"/>
    </row>
    <row r="1813" ht="15.75" customHeight="1">
      <c r="A1813" s="146" t="n">
        <v>31</v>
      </c>
      <c r="B1813" s="238" t="n"/>
      <c r="C1813" s="399" t="n">
        <v>46015</v>
      </c>
      <c r="D1813" s="146" t="inlineStr">
        <is>
          <t>221 G. MALAGUEÑA</t>
        </is>
      </c>
      <c r="E1813" s="146" t="n">
        <v>45205</v>
      </c>
      <c r="F1813" s="146" t="inlineStr">
        <is>
          <t>SEBASTIAN HIDALGO</t>
        </is>
      </c>
      <c r="G1813" s="395" t="n">
        <v>2700</v>
      </c>
      <c r="H1813" s="395" t="n">
        <v>2678</v>
      </c>
      <c r="I1813" s="395" t="n">
        <v>2</v>
      </c>
      <c r="J1813" s="395" t="n">
        <v>4</v>
      </c>
      <c r="K1813" s="395" t="n">
        <v>-16</v>
      </c>
      <c r="L1813" s="397" t="n">
        <v>2700</v>
      </c>
      <c r="M1813" s="113" t="n"/>
      <c r="N1813" s="113" t="n"/>
      <c r="O1813" s="113" t="n"/>
      <c r="P1813" s="398" t="n"/>
      <c r="Q1813" s="398" t="n"/>
      <c r="R1813" s="113" t="n"/>
      <c r="S1813" s="113" t="n"/>
      <c r="T1813" s="113" t="n"/>
      <c r="U1813" s="113" t="n"/>
      <c r="V1813" s="113" t="n"/>
    </row>
    <row r="1814" ht="15.75" customHeight="1">
      <c r="A1814" s="146" t="n">
        <v>31</v>
      </c>
      <c r="B1814" s="238" t="n"/>
      <c r="C1814" s="399" t="n">
        <v>46015</v>
      </c>
      <c r="D1814" s="146" t="inlineStr">
        <is>
          <t>221 G. MALAGUEÑA</t>
        </is>
      </c>
      <c r="E1814" s="146" t="n">
        <v>45206</v>
      </c>
      <c r="F1814" s="146" t="inlineStr">
        <is>
          <t>ALEXANDER CHAGUALA</t>
        </is>
      </c>
      <c r="G1814" s="395" t="n">
        <v>2570</v>
      </c>
      <c r="H1814" s="395" t="n">
        <v>2558</v>
      </c>
      <c r="I1814" s="395" t="n">
        <v>2</v>
      </c>
      <c r="J1814" s="395" t="n">
        <v>3</v>
      </c>
      <c r="K1814" s="395" t="n">
        <v>-7</v>
      </c>
      <c r="L1814" s="397" t="n">
        <v>2570</v>
      </c>
      <c r="M1814" s="113" t="n"/>
      <c r="N1814" s="113" t="n"/>
      <c r="O1814" s="113" t="n"/>
      <c r="P1814" s="398" t="n"/>
      <c r="Q1814" s="398" t="n"/>
      <c r="R1814" s="113" t="n"/>
      <c r="S1814" s="113" t="n"/>
      <c r="T1814" s="113" t="n"/>
      <c r="U1814" s="113" t="n"/>
      <c r="V1814" s="113" t="n"/>
    </row>
    <row r="1815" ht="15.75" customHeight="1">
      <c r="A1815" s="146" t="n">
        <v>31</v>
      </c>
      <c r="B1815" s="238" t="n"/>
      <c r="C1815" s="399" t="n">
        <v>46015</v>
      </c>
      <c r="D1815" s="146" t="inlineStr">
        <is>
          <t>221 G. MALAGUEÑA</t>
        </is>
      </c>
      <c r="E1815" s="146" t="n">
        <v>45207</v>
      </c>
      <c r="F1815" s="146" t="inlineStr">
        <is>
          <t>ALEX GOMEZ</t>
        </is>
      </c>
      <c r="G1815" s="395" t="n">
        <v>3480</v>
      </c>
      <c r="H1815" s="395" t="n">
        <v>3466</v>
      </c>
      <c r="I1815" s="395" t="n">
        <v>2</v>
      </c>
      <c r="J1815" s="395" t="n">
        <v>4</v>
      </c>
      <c r="K1815" s="395" t="n">
        <v>-8</v>
      </c>
      <c r="L1815" s="397" t="n">
        <v>3480</v>
      </c>
      <c r="M1815" s="113" t="n"/>
      <c r="N1815" s="113" t="n"/>
      <c r="O1815" s="113" t="n"/>
      <c r="P1815" s="398" t="n"/>
      <c r="Q1815" s="398" t="n"/>
      <c r="R1815" s="113" t="n"/>
      <c r="S1815" s="113" t="n"/>
      <c r="T1815" s="113" t="n"/>
      <c r="U1815" s="113" t="n"/>
      <c r="V1815" s="113" t="n"/>
    </row>
    <row r="1816" ht="15.75" customHeight="1">
      <c r="A1816" s="146" t="n">
        <v>31</v>
      </c>
      <c r="B1816" s="238" t="n"/>
      <c r="C1816" s="399" t="n">
        <v>46015</v>
      </c>
      <c r="D1816" s="146" t="inlineStr">
        <is>
          <t>221 G. MALAGUEÑA</t>
        </is>
      </c>
      <c r="E1816" s="146" t="n">
        <v>45208</v>
      </c>
      <c r="F1816" s="146" t="inlineStr">
        <is>
          <t>JOSE SOLER</t>
        </is>
      </c>
      <c r="G1816" s="395" t="n">
        <v>3480</v>
      </c>
      <c r="H1816" s="395" t="n">
        <v>3459</v>
      </c>
      <c r="I1816" s="395" t="n">
        <v>5</v>
      </c>
      <c r="J1816" s="395" t="n">
        <v>2</v>
      </c>
      <c r="K1816" s="395" t="n">
        <v>-14</v>
      </c>
      <c r="L1816" s="397" t="n">
        <v>3480</v>
      </c>
      <c r="M1816" s="113" t="n"/>
      <c r="N1816" s="113" t="n"/>
      <c r="O1816" s="113" t="n"/>
      <c r="P1816" s="398" t="n"/>
      <c r="Q1816" s="398" t="n"/>
      <c r="R1816" s="113" t="n"/>
      <c r="S1816" s="113" t="n"/>
      <c r="T1816" s="113" t="n"/>
      <c r="U1816" s="113" t="n"/>
      <c r="V1816" s="113" t="n"/>
    </row>
    <row r="1817" ht="15.75" customHeight="1">
      <c r="A1817" s="146" t="n">
        <v>31</v>
      </c>
      <c r="B1817" s="238" t="n"/>
      <c r="C1817" s="399" t="n">
        <v>46015</v>
      </c>
      <c r="D1817" s="146" t="inlineStr">
        <is>
          <t>221 G. MALAGUEÑA</t>
        </is>
      </c>
      <c r="E1817" s="146" t="n">
        <v>45209</v>
      </c>
      <c r="F1817" s="146" t="inlineStr">
        <is>
          <t>YAIR RIVEROS</t>
        </is>
      </c>
      <c r="G1817" s="395" t="n">
        <v>3480</v>
      </c>
      <c r="H1817" s="395" t="n">
        <v>3467</v>
      </c>
      <c r="I1817" s="395" t="n">
        <v>6</v>
      </c>
      <c r="J1817" s="395" t="n">
        <v>4</v>
      </c>
      <c r="K1817" s="395" t="n">
        <v>-3</v>
      </c>
      <c r="L1817" s="397" t="n">
        <v>3480</v>
      </c>
      <c r="M1817" s="113" t="n"/>
      <c r="N1817" s="113" t="n"/>
      <c r="O1817" s="113" t="n"/>
      <c r="P1817" s="398" t="n"/>
      <c r="Q1817" s="398" t="n"/>
      <c r="R1817" s="113" t="n"/>
      <c r="S1817" s="113" t="n"/>
      <c r="T1817" s="113" t="n"/>
      <c r="U1817" s="113" t="n"/>
      <c r="V1817" s="113" t="n"/>
    </row>
    <row r="1818" ht="15.75" customHeight="1">
      <c r="A1818" s="146" t="n">
        <v>31</v>
      </c>
      <c r="B1818" s="238" t="n"/>
      <c r="C1818" s="399" t="n">
        <v>46015</v>
      </c>
      <c r="D1818" s="146" t="inlineStr">
        <is>
          <t>221 G. MALAGUEÑA</t>
        </is>
      </c>
      <c r="E1818" s="146" t="n">
        <v>45210</v>
      </c>
      <c r="F1818" s="146" t="inlineStr">
        <is>
          <t>EDWIN ROJAS</t>
        </is>
      </c>
      <c r="G1818" s="395" t="n">
        <v>3480</v>
      </c>
      <c r="H1818" s="395" t="n">
        <v>3471</v>
      </c>
      <c r="I1818" s="395" t="n">
        <v>6</v>
      </c>
      <c r="J1818" s="395" t="n">
        <v>3</v>
      </c>
      <c r="K1818" s="395" t="n">
        <v>0</v>
      </c>
      <c r="L1818" s="397" t="n">
        <v>3480</v>
      </c>
      <c r="M1818" s="113" t="n"/>
      <c r="N1818" s="113" t="n"/>
      <c r="O1818" s="113" t="n"/>
      <c r="P1818" s="398" t="n"/>
      <c r="Q1818" s="398" t="n"/>
      <c r="R1818" s="113" t="n"/>
      <c r="S1818" s="113" t="n"/>
      <c r="T1818" s="113" t="n"/>
      <c r="U1818" s="113" t="n"/>
      <c r="V1818" s="113" t="n"/>
    </row>
    <row r="1819" ht="15.75" customHeight="1">
      <c r="A1819" s="146" t="n">
        <v>31</v>
      </c>
      <c r="B1819" s="238" t="n"/>
      <c r="C1819" s="399" t="n">
        <v>46015</v>
      </c>
      <c r="D1819" s="146" t="inlineStr">
        <is>
          <t>221 G. MALAGUEÑA</t>
        </is>
      </c>
      <c r="E1819" s="146" t="n">
        <v>45211</v>
      </c>
      <c r="F1819" s="146" t="inlineStr">
        <is>
          <t>ROBINSON PULIDO</t>
        </is>
      </c>
      <c r="G1819" s="395" t="n">
        <v>3240</v>
      </c>
      <c r="H1819" s="395" t="n">
        <v>3426</v>
      </c>
      <c r="I1819" s="395" t="n">
        <v>6</v>
      </c>
      <c r="J1819" s="395" t="n">
        <v>4</v>
      </c>
      <c r="K1819" s="395" t="n">
        <v>196</v>
      </c>
      <c r="L1819" s="397" t="n">
        <v>3480</v>
      </c>
      <c r="M1819" s="113" t="n"/>
      <c r="N1819" s="113" t="n"/>
      <c r="O1819" s="113" t="n"/>
      <c r="P1819" s="398" t="n"/>
      <c r="Q1819" s="398" t="n"/>
      <c r="R1819" s="113" t="n"/>
      <c r="S1819" s="113" t="n"/>
      <c r="T1819" s="113" t="n"/>
      <c r="U1819" s="113" t="n"/>
      <c r="V1819" s="113" t="n"/>
    </row>
    <row r="1820" ht="15.75" customHeight="1">
      <c r="A1820" s="146" t="n">
        <v>31</v>
      </c>
      <c r="B1820" s="238" t="n"/>
      <c r="C1820" s="399" t="n">
        <v>46015</v>
      </c>
      <c r="D1820" s="146" t="inlineStr">
        <is>
          <t>221 G. MALAGUEÑA</t>
        </is>
      </c>
      <c r="E1820" s="146" t="n">
        <v>45212</v>
      </c>
      <c r="F1820" s="146" t="inlineStr">
        <is>
          <t>JAIRO CUBILLOS</t>
        </is>
      </c>
      <c r="G1820" s="395" t="n">
        <v>2840</v>
      </c>
      <c r="H1820" s="395" t="n">
        <v>2832</v>
      </c>
      <c r="I1820" s="395" t="n">
        <v>3</v>
      </c>
      <c r="J1820" s="395" t="n">
        <v>3</v>
      </c>
      <c r="K1820" s="395" t="n">
        <v>-2</v>
      </c>
      <c r="L1820" s="397" t="n">
        <v>2840</v>
      </c>
      <c r="M1820" s="113" t="n"/>
      <c r="N1820" s="113" t="n"/>
      <c r="O1820" s="113" t="n"/>
      <c r="P1820" s="398" t="n"/>
      <c r="Q1820" s="398" t="n"/>
      <c r="R1820" s="113" t="n"/>
      <c r="S1820" s="113" t="n"/>
      <c r="T1820" s="113" t="n"/>
      <c r="U1820" s="113" t="n"/>
      <c r="V1820" s="113" t="n"/>
    </row>
    <row r="1821" ht="15.75" customHeight="1">
      <c r="A1821" s="146" t="n">
        <v>31</v>
      </c>
      <c r="B1821" s="238" t="n"/>
      <c r="C1821" s="399" t="n">
        <v>46015</v>
      </c>
      <c r="D1821" s="146" t="inlineStr">
        <is>
          <t>221 G. MALAGUEÑA</t>
        </is>
      </c>
      <c r="E1821" s="146" t="n">
        <v>45213</v>
      </c>
      <c r="F1821" s="146" t="inlineStr">
        <is>
          <t>WILMER PIÑEROS</t>
        </is>
      </c>
      <c r="G1821" s="395" t="n">
        <v>2840</v>
      </c>
      <c r="H1821" s="395" t="n">
        <v>2824</v>
      </c>
      <c r="I1821" s="395" t="n">
        <v>3</v>
      </c>
      <c r="J1821" s="395" t="n">
        <v>11</v>
      </c>
      <c r="K1821" s="395" t="n">
        <v>-2</v>
      </c>
      <c r="L1821" s="397" t="n">
        <v>2840</v>
      </c>
      <c r="M1821" s="113" t="n"/>
      <c r="N1821" s="113" t="n"/>
      <c r="O1821" s="113" t="n"/>
      <c r="P1821" s="398" t="n"/>
      <c r="Q1821" s="398" t="n"/>
      <c r="R1821" s="113" t="n"/>
      <c r="S1821" s="113" t="n"/>
      <c r="T1821" s="113" t="n"/>
      <c r="U1821" s="113" t="n"/>
      <c r="V1821" s="113" t="n"/>
    </row>
    <row r="1822" ht="15.75" customHeight="1">
      <c r="A1822" s="146" t="n">
        <v>31</v>
      </c>
      <c r="B1822" s="238" t="n"/>
      <c r="C1822" s="399" t="n">
        <v>46015</v>
      </c>
      <c r="D1822" s="146" t="inlineStr">
        <is>
          <t>221 G. MALAGUEÑA</t>
        </is>
      </c>
      <c r="E1822" s="146" t="n">
        <v>45214</v>
      </c>
      <c r="F1822" s="146" t="inlineStr">
        <is>
          <t>ALBERTO LOPEZ</t>
        </is>
      </c>
      <c r="G1822" s="395" t="n">
        <v>2920</v>
      </c>
      <c r="H1822" s="395" t="n">
        <v>2901</v>
      </c>
      <c r="I1822" s="395" t="n">
        <v>2</v>
      </c>
      <c r="J1822" s="395" t="n">
        <v>9</v>
      </c>
      <c r="K1822" s="395" t="n">
        <v>-8</v>
      </c>
      <c r="L1822" s="397" t="n">
        <v>2920</v>
      </c>
      <c r="M1822" s="113" t="n"/>
      <c r="N1822" s="113" t="n"/>
      <c r="O1822" s="113" t="n"/>
      <c r="P1822" s="398" t="n"/>
      <c r="Q1822" s="398" t="n"/>
      <c r="R1822" s="113" t="n"/>
      <c r="S1822" s="113" t="n"/>
      <c r="T1822" s="113" t="n"/>
      <c r="U1822" s="113" t="n"/>
      <c r="V1822" s="113" t="n"/>
    </row>
    <row r="1823" ht="15.75" customHeight="1">
      <c r="A1823" s="146" t="n">
        <v>31</v>
      </c>
      <c r="B1823" s="238" t="n"/>
      <c r="C1823" s="399" t="n">
        <v>46017</v>
      </c>
      <c r="D1823" s="146" t="inlineStr">
        <is>
          <t>221 G. MALAGUEÑA</t>
        </is>
      </c>
      <c r="E1823" s="146" t="n">
        <v>45223</v>
      </c>
      <c r="F1823" s="146" t="inlineStr">
        <is>
          <t>FERNANDO OYUELA</t>
        </is>
      </c>
      <c r="G1823" s="395" t="n">
        <v>2620</v>
      </c>
      <c r="H1823" s="395" t="n">
        <v>2615</v>
      </c>
      <c r="I1823" s="395" t="n">
        <v>6</v>
      </c>
      <c r="J1823" s="395" t="n">
        <v>3</v>
      </c>
      <c r="K1823" s="395" t="n">
        <v>4</v>
      </c>
      <c r="L1823" s="397" t="n">
        <v>2620</v>
      </c>
      <c r="M1823" s="113" t="n"/>
      <c r="N1823" s="113" t="n"/>
      <c r="O1823" s="113" t="n"/>
      <c r="P1823" s="398" t="n"/>
      <c r="Q1823" s="398" t="n"/>
      <c r="R1823" s="113" t="n"/>
      <c r="S1823" s="113" t="n"/>
      <c r="T1823" s="113" t="n"/>
      <c r="U1823" s="113" t="n"/>
      <c r="V1823" s="113" t="n"/>
    </row>
    <row r="1824" ht="15.75" customHeight="1">
      <c r="A1824" s="146" t="n">
        <v>31</v>
      </c>
      <c r="B1824" s="238" t="n"/>
      <c r="C1824" s="399" t="n">
        <v>46017</v>
      </c>
      <c r="D1824" s="146" t="inlineStr">
        <is>
          <t>221 G. MALAGUEÑA</t>
        </is>
      </c>
      <c r="E1824" s="146" t="n">
        <v>45224</v>
      </c>
      <c r="F1824" s="146" t="inlineStr">
        <is>
          <t>FABIO ALDANA</t>
        </is>
      </c>
      <c r="G1824" s="395" t="n">
        <v>2620</v>
      </c>
      <c r="H1824" s="395" t="n">
        <v>2614</v>
      </c>
      <c r="I1824" s="395" t="n">
        <v>6</v>
      </c>
      <c r="J1824" s="395" t="n">
        <v>2</v>
      </c>
      <c r="K1824" s="395" t="n">
        <v>2</v>
      </c>
      <c r="L1824" s="397" t="n">
        <v>2620</v>
      </c>
      <c r="M1824" s="113" t="n"/>
      <c r="N1824" s="113" t="n"/>
      <c r="O1824" s="113" t="n"/>
      <c r="P1824" s="398" t="n"/>
      <c r="Q1824" s="398" t="n"/>
      <c r="R1824" s="113" t="n"/>
      <c r="S1824" s="113" t="n"/>
      <c r="T1824" s="113" t="n"/>
      <c r="U1824" s="113" t="n"/>
      <c r="V1824" s="113" t="n"/>
    </row>
    <row r="1825" ht="15.75" customHeight="1">
      <c r="A1825" s="146" t="n">
        <v>31</v>
      </c>
      <c r="B1825" s="238" t="n"/>
      <c r="C1825" s="399" t="n">
        <v>46017</v>
      </c>
      <c r="D1825" s="146" t="inlineStr">
        <is>
          <t>221 G. MALAGUEÑA</t>
        </is>
      </c>
      <c r="E1825" s="146" t="n">
        <v>45225</v>
      </c>
      <c r="F1825" s="146" t="inlineStr">
        <is>
          <t>JHON ARIAS</t>
        </is>
      </c>
      <c r="G1825" s="395" t="n">
        <v>2620</v>
      </c>
      <c r="H1825" s="395" t="n">
        <v>2614</v>
      </c>
      <c r="I1825" s="395" t="n">
        <v>4</v>
      </c>
      <c r="J1825" s="395" t="n">
        <v>2</v>
      </c>
      <c r="K1825" s="395" t="n">
        <v>0</v>
      </c>
      <c r="L1825" s="397" t="n">
        <v>2620</v>
      </c>
      <c r="M1825" s="113" t="n"/>
      <c r="N1825" s="113" t="n"/>
      <c r="O1825" s="113" t="n"/>
      <c r="P1825" s="398" t="n"/>
      <c r="Q1825" s="398" t="n"/>
      <c r="R1825" s="113" t="n"/>
      <c r="S1825" s="113" t="n"/>
      <c r="T1825" s="113" t="n"/>
      <c r="U1825" s="113" t="n"/>
      <c r="V1825" s="113" t="n"/>
    </row>
    <row r="1826" ht="15.75" customHeight="1">
      <c r="A1826" s="146" t="n">
        <v>31</v>
      </c>
      <c r="B1826" s="238" t="n"/>
      <c r="C1826" s="399" t="n">
        <v>46017</v>
      </c>
      <c r="D1826" s="146" t="inlineStr">
        <is>
          <t>221 G. MALAGUEÑA</t>
        </is>
      </c>
      <c r="E1826" s="146" t="n">
        <v>45226</v>
      </c>
      <c r="F1826" s="146" t="inlineStr">
        <is>
          <t>DIEGO NIÑO</t>
        </is>
      </c>
      <c r="G1826" s="395" t="n">
        <v>2890</v>
      </c>
      <c r="H1826" s="395" t="n">
        <v>2888</v>
      </c>
      <c r="I1826" s="395" t="n">
        <v>2</v>
      </c>
      <c r="J1826" s="395" t="n">
        <v>2</v>
      </c>
      <c r="K1826" s="395" t="n">
        <v>2</v>
      </c>
      <c r="L1826" s="397" t="n">
        <v>2890</v>
      </c>
      <c r="M1826" s="113" t="n"/>
      <c r="N1826" s="113" t="n"/>
      <c r="O1826" s="113" t="n"/>
      <c r="P1826" s="398" t="n"/>
      <c r="Q1826" s="398" t="n"/>
      <c r="R1826" s="113" t="n"/>
      <c r="S1826" s="113" t="n"/>
      <c r="T1826" s="113" t="n"/>
      <c r="U1826" s="113" t="n"/>
      <c r="V1826" s="113" t="n"/>
    </row>
    <row r="1827" ht="15.75" customHeight="1">
      <c r="A1827" s="146" t="n">
        <v>31</v>
      </c>
      <c r="B1827" s="238" t="n"/>
      <c r="C1827" s="399" t="n">
        <v>46017</v>
      </c>
      <c r="D1827" s="146" t="inlineStr">
        <is>
          <t>221 G. MALAGUEÑA</t>
        </is>
      </c>
      <c r="E1827" s="146" t="n">
        <v>45227</v>
      </c>
      <c r="F1827" s="146" t="inlineStr">
        <is>
          <t>EDUAN CAVIEDES</t>
        </is>
      </c>
      <c r="G1827" s="395" t="n">
        <v>2890</v>
      </c>
      <c r="H1827" s="395" t="n">
        <v>2882</v>
      </c>
      <c r="I1827" s="395" t="n">
        <v>4</v>
      </c>
      <c r="J1827" s="395" t="n">
        <v>4</v>
      </c>
      <c r="K1827" s="395" t="n">
        <v>0</v>
      </c>
      <c r="L1827" s="397" t="n">
        <v>2890</v>
      </c>
      <c r="M1827" s="113" t="n"/>
      <c r="N1827" s="113" t="n"/>
      <c r="O1827" s="113" t="n"/>
      <c r="P1827" s="398" t="n"/>
      <c r="Q1827" s="398" t="n"/>
      <c r="R1827" s="113" t="n"/>
      <c r="S1827" s="113" t="n"/>
      <c r="T1827" s="113" t="n"/>
      <c r="U1827" s="113" t="n"/>
      <c r="V1827" s="113" t="n"/>
    </row>
    <row r="1828" ht="15.75" customHeight="1">
      <c r="A1828" s="146" t="n">
        <v>31</v>
      </c>
      <c r="B1828" s="238" t="n"/>
      <c r="C1828" s="399" t="n">
        <v>46017</v>
      </c>
      <c r="D1828" s="146" t="inlineStr">
        <is>
          <t>221 G. MALAGUEÑA</t>
        </is>
      </c>
      <c r="E1828" s="146" t="n">
        <v>45228</v>
      </c>
      <c r="F1828" s="146" t="inlineStr">
        <is>
          <t>WILMER PIÑEROS</t>
        </is>
      </c>
      <c r="G1828" s="395" t="n">
        <v>2890</v>
      </c>
      <c r="H1828" s="395" t="n">
        <v>2883</v>
      </c>
      <c r="I1828" s="395" t="n">
        <v>4</v>
      </c>
      <c r="J1828" s="395" t="n">
        <v>2</v>
      </c>
      <c r="K1828" s="395" t="n">
        <v>-1</v>
      </c>
      <c r="L1828" s="397" t="n">
        <v>2890</v>
      </c>
      <c r="M1828" s="113" t="n"/>
      <c r="N1828" s="113" t="n"/>
      <c r="O1828" s="113" t="n"/>
      <c r="P1828" s="398" t="n"/>
      <c r="Q1828" s="398" t="n"/>
      <c r="R1828" s="113" t="n"/>
      <c r="S1828" s="113" t="n"/>
      <c r="T1828" s="113" t="n"/>
      <c r="U1828" s="113" t="n"/>
      <c r="V1828" s="113" t="n"/>
    </row>
    <row r="1829" ht="15.75" customHeight="1">
      <c r="A1829" s="146" t="n">
        <v>31</v>
      </c>
      <c r="B1829" s="238" t="n"/>
      <c r="C1829" s="399" t="n">
        <v>46017</v>
      </c>
      <c r="D1829" s="146" t="inlineStr">
        <is>
          <t>221 G. MALAGUEÑA</t>
        </is>
      </c>
      <c r="E1829" s="146" t="n">
        <v>45229</v>
      </c>
      <c r="F1829" s="146" t="inlineStr">
        <is>
          <t>JAIRO CUBILLOS</t>
        </is>
      </c>
      <c r="G1829" s="395" t="n">
        <v>3310</v>
      </c>
      <c r="H1829" s="395" t="n">
        <v>3309</v>
      </c>
      <c r="I1829" s="395" t="n">
        <v>10</v>
      </c>
      <c r="J1829" s="395" t="n">
        <v>2</v>
      </c>
      <c r="K1829" s="395" t="n">
        <v>11</v>
      </c>
      <c r="L1829" s="397" t="n">
        <v>3310</v>
      </c>
      <c r="M1829" s="113" t="n"/>
      <c r="N1829" s="113" t="n"/>
      <c r="O1829" s="113" t="n"/>
      <c r="P1829" s="398" t="n"/>
      <c r="Q1829" s="398" t="n"/>
      <c r="R1829" s="113" t="n"/>
      <c r="S1829" s="113" t="n"/>
      <c r="T1829" s="113" t="n"/>
      <c r="U1829" s="113" t="n"/>
      <c r="V1829" s="113" t="n"/>
    </row>
    <row r="1830" ht="15.75" customHeight="1">
      <c r="A1830" s="146" t="n">
        <v>31</v>
      </c>
      <c r="B1830" s="238" t="n"/>
      <c r="C1830" s="399" t="n">
        <v>46017</v>
      </c>
      <c r="D1830" s="146" t="inlineStr">
        <is>
          <t>221 G. MALAGUEÑA</t>
        </is>
      </c>
      <c r="E1830" s="146" t="n">
        <v>45230</v>
      </c>
      <c r="F1830" s="146" t="inlineStr">
        <is>
          <t>ALBERTO LOPEZ</t>
        </is>
      </c>
      <c r="G1830" s="395" t="n">
        <v>3310</v>
      </c>
      <c r="H1830" s="395" t="n">
        <v>3325</v>
      </c>
      <c r="I1830" s="395" t="n">
        <v>7</v>
      </c>
      <c r="J1830" s="395" t="n">
        <v>1</v>
      </c>
      <c r="K1830" s="395" t="n">
        <v>23</v>
      </c>
      <c r="L1830" s="397" t="n">
        <v>3310</v>
      </c>
      <c r="M1830" s="113" t="n"/>
      <c r="N1830" s="113" t="n"/>
      <c r="O1830" s="113" t="n"/>
      <c r="P1830" s="398" t="n"/>
      <c r="Q1830" s="398" t="n"/>
      <c r="R1830" s="113" t="n"/>
      <c r="S1830" s="113" t="n"/>
      <c r="T1830" s="113" t="n"/>
      <c r="U1830" s="113" t="n"/>
      <c r="V1830" s="113" t="n"/>
    </row>
    <row r="1831" ht="15.75" customHeight="1">
      <c r="A1831" s="146" t="n">
        <v>31</v>
      </c>
      <c r="B1831" s="238" t="n"/>
      <c r="C1831" s="399" t="n">
        <v>46017</v>
      </c>
      <c r="D1831" s="146" t="inlineStr">
        <is>
          <t>200 G. GARCERAS</t>
        </is>
      </c>
      <c r="E1831" s="146" t="n">
        <v>45239</v>
      </c>
      <c r="F1831" s="146" t="inlineStr">
        <is>
          <t>JOSE SOLER</t>
        </is>
      </c>
      <c r="G1831" s="395" t="n">
        <v>3763</v>
      </c>
      <c r="H1831" s="395" t="n">
        <v>3739</v>
      </c>
      <c r="I1831" s="395" t="n">
        <v>4</v>
      </c>
      <c r="J1831" s="395" t="n">
        <v>1</v>
      </c>
      <c r="K1831" s="395" t="n">
        <v>-19</v>
      </c>
      <c r="L1831" s="397" t="n">
        <v>3090</v>
      </c>
      <c r="M1831" s="113" t="n"/>
      <c r="N1831" s="113" t="n"/>
      <c r="O1831" s="113" t="n"/>
      <c r="P1831" s="398" t="n"/>
      <c r="Q1831" s="398" t="n"/>
      <c r="R1831" s="113" t="n"/>
      <c r="S1831" s="113" t="n"/>
      <c r="T1831" s="113" t="n"/>
      <c r="U1831" s="113" t="n"/>
      <c r="V1831" s="113" t="n"/>
    </row>
    <row r="1832" ht="15.75" customHeight="1">
      <c r="A1832" s="146" t="n">
        <v>31</v>
      </c>
      <c r="B1832" s="238" t="n"/>
      <c r="C1832" s="399" t="n">
        <v>46017</v>
      </c>
      <c r="D1832" s="146" t="inlineStr">
        <is>
          <t>219 G. SAN JOSE 2</t>
        </is>
      </c>
      <c r="E1832" s="146" t="n">
        <v>45240</v>
      </c>
      <c r="F1832" s="146" t="inlineStr">
        <is>
          <t>JHON ARIAS</t>
        </is>
      </c>
      <c r="G1832" s="395" t="n">
        <v>3090</v>
      </c>
      <c r="H1832" s="395" t="n">
        <v>3082</v>
      </c>
      <c r="I1832" s="395" t="n">
        <v>3</v>
      </c>
      <c r="J1832" s="395" t="n">
        <v>1</v>
      </c>
      <c r="K1832" s="395" t="n">
        <v>-4</v>
      </c>
      <c r="L1832" s="397" t="n">
        <v>3090</v>
      </c>
      <c r="M1832" s="113" t="n"/>
      <c r="N1832" s="113" t="n"/>
      <c r="O1832" s="113" t="n"/>
      <c r="P1832" s="398" t="n"/>
      <c r="Q1832" s="398" t="n"/>
      <c r="R1832" s="113" t="n"/>
      <c r="S1832" s="113" t="n"/>
      <c r="T1832" s="113" t="n"/>
      <c r="U1832" s="113" t="n"/>
      <c r="V1832" s="113" t="n"/>
    </row>
    <row r="1833" ht="15.75" customHeight="1">
      <c r="A1833" s="146" t="n">
        <v>31</v>
      </c>
      <c r="B1833" s="238" t="n"/>
      <c r="C1833" s="399" t="n">
        <v>46017</v>
      </c>
      <c r="D1833" s="146" t="inlineStr">
        <is>
          <t>219 G. SAN JOSE 2</t>
        </is>
      </c>
      <c r="E1833" s="146" t="n">
        <v>45241</v>
      </c>
      <c r="F1833" s="146" t="inlineStr">
        <is>
          <t>DIEGO NIÑO</t>
        </is>
      </c>
      <c r="G1833" s="395" t="n">
        <v>3090</v>
      </c>
      <c r="H1833" s="395" t="n">
        <v>3078</v>
      </c>
      <c r="I1833" s="395" t="n">
        <v>2</v>
      </c>
      <c r="J1833" s="395" t="n">
        <v>2</v>
      </c>
      <c r="K1833" s="395" t="n">
        <v>-8</v>
      </c>
      <c r="L1833" s="397" t="n">
        <v>3050</v>
      </c>
      <c r="M1833" s="113" t="n"/>
      <c r="N1833" s="113" t="n"/>
      <c r="O1833" s="113" t="n"/>
      <c r="P1833" s="398" t="n"/>
      <c r="Q1833" s="398" t="n"/>
      <c r="R1833" s="113" t="n"/>
      <c r="S1833" s="113" t="n"/>
      <c r="T1833" s="113" t="n"/>
      <c r="U1833" s="113" t="n"/>
      <c r="V1833" s="113" t="n"/>
    </row>
    <row r="1834" ht="15.75" customHeight="1">
      <c r="A1834" s="146" t="n">
        <v>31</v>
      </c>
      <c r="B1834" s="238" t="n"/>
      <c r="C1834" s="399" t="n">
        <v>46017</v>
      </c>
      <c r="D1834" s="146" t="inlineStr">
        <is>
          <t>219 G. SAN JOSE 2</t>
        </is>
      </c>
      <c r="E1834" s="146" t="n">
        <v>45242</v>
      </c>
      <c r="F1834" s="146" t="inlineStr">
        <is>
          <t>WILMER PIÑEROS</t>
        </is>
      </c>
      <c r="G1834" s="395" t="n">
        <v>3050</v>
      </c>
      <c r="H1834" s="395" t="n">
        <v>3033</v>
      </c>
      <c r="I1834" s="395" t="n">
        <v>2</v>
      </c>
      <c r="J1834" s="395" t="n">
        <v>8</v>
      </c>
      <c r="K1834" s="395" t="n">
        <v>-7</v>
      </c>
      <c r="L1834" s="397" t="n">
        <v>3050</v>
      </c>
      <c r="M1834" s="113" t="n"/>
      <c r="N1834" s="113" t="n"/>
      <c r="O1834" s="113" t="n"/>
      <c r="P1834" s="398" t="n"/>
      <c r="Q1834" s="398" t="n"/>
      <c r="R1834" s="113" t="n"/>
      <c r="S1834" s="113" t="n"/>
      <c r="T1834" s="113" t="n"/>
      <c r="U1834" s="113" t="n"/>
      <c r="V1834" s="113" t="n"/>
    </row>
    <row r="1835" ht="15.75" customHeight="1">
      <c r="A1835" s="146" t="n">
        <v>31</v>
      </c>
      <c r="B1835" s="238" t="n"/>
      <c r="C1835" s="399" t="n">
        <v>46017</v>
      </c>
      <c r="D1835" s="146" t="inlineStr">
        <is>
          <t>219 G. SAN JOSE 2</t>
        </is>
      </c>
      <c r="E1835" s="146" t="n">
        <v>45243</v>
      </c>
      <c r="F1835" s="146" t="inlineStr">
        <is>
          <t>JAIRO CUBILLOS</t>
        </is>
      </c>
      <c r="G1835" s="395" t="n">
        <v>3050</v>
      </c>
      <c r="H1835" s="395" t="n">
        <v>3030</v>
      </c>
      <c r="I1835" s="395" t="n">
        <v>7</v>
      </c>
      <c r="J1835" s="395" t="n">
        <v>5</v>
      </c>
      <c r="K1835" s="395" t="n">
        <v>-8</v>
      </c>
      <c r="L1835" s="397" t="n">
        <v>3050</v>
      </c>
      <c r="M1835" s="113" t="n"/>
      <c r="N1835" s="113" t="n"/>
      <c r="O1835" s="113" t="n"/>
      <c r="P1835" s="398" t="n"/>
      <c r="Q1835" s="398" t="n"/>
      <c r="R1835" s="113" t="n"/>
      <c r="S1835" s="113" t="n"/>
      <c r="T1835" s="113" t="n"/>
      <c r="U1835" s="113" t="n"/>
      <c r="V1835" s="113" t="n"/>
    </row>
    <row r="1836" ht="15.75" customHeight="1">
      <c r="A1836" s="146" t="n">
        <v>31</v>
      </c>
      <c r="B1836" s="238" t="n"/>
      <c r="C1836" s="399" t="n">
        <v>46017</v>
      </c>
      <c r="D1836" s="146" t="inlineStr">
        <is>
          <t>219 G. SAN JOSE 2</t>
        </is>
      </c>
      <c r="E1836" s="146" t="n">
        <v>45244</v>
      </c>
      <c r="F1836" s="146" t="inlineStr">
        <is>
          <t>SEBASTIAN HIDALGO</t>
        </is>
      </c>
      <c r="G1836" s="395" t="n">
        <v>3050</v>
      </c>
      <c r="H1836" s="395" t="n">
        <v>3047</v>
      </c>
      <c r="I1836" s="395" t="n">
        <v>6</v>
      </c>
      <c r="J1836" s="395" t="n">
        <v>5</v>
      </c>
      <c r="K1836" s="395" t="n">
        <v>8</v>
      </c>
      <c r="L1836" s="397" t="n">
        <v>3050</v>
      </c>
      <c r="M1836" s="113" t="n"/>
      <c r="N1836" s="113" t="n"/>
      <c r="O1836" s="113" t="n"/>
      <c r="P1836" s="398" t="n"/>
      <c r="Q1836" s="398" t="n"/>
      <c r="R1836" s="113" t="n"/>
      <c r="S1836" s="113" t="n"/>
      <c r="T1836" s="113" t="n"/>
      <c r="U1836" s="113" t="n"/>
      <c r="V1836" s="113" t="n"/>
    </row>
    <row r="1837" ht="15.75" customHeight="1">
      <c r="A1837" s="146" t="n">
        <v>31</v>
      </c>
      <c r="B1837" s="238" t="n"/>
      <c r="C1837" s="399" t="n">
        <v>46017</v>
      </c>
      <c r="D1837" s="146" t="inlineStr">
        <is>
          <t>219 G. SAN JOSE 2</t>
        </is>
      </c>
      <c r="E1837" s="146" t="n">
        <v>45245</v>
      </c>
      <c r="F1837" s="146" t="inlineStr">
        <is>
          <t>ALEXANDER CHAGUALA</t>
        </is>
      </c>
      <c r="G1837" s="395" t="n">
        <v>3050</v>
      </c>
      <c r="H1837" s="395" t="n">
        <v>3043</v>
      </c>
      <c r="I1837" s="395" t="n">
        <v>8</v>
      </c>
      <c r="J1837" s="395" t="n">
        <v>6</v>
      </c>
      <c r="K1837" s="395" t="n">
        <v>7</v>
      </c>
      <c r="L1837" s="397" t="n">
        <v>3050</v>
      </c>
      <c r="M1837" s="113" t="n"/>
      <c r="N1837" s="113" t="n"/>
      <c r="O1837" s="113" t="n"/>
      <c r="P1837" s="398" t="n"/>
      <c r="Q1837" s="398" t="n"/>
      <c r="R1837" s="113" t="n"/>
      <c r="S1837" s="113" t="n"/>
      <c r="T1837" s="113" t="n"/>
      <c r="U1837" s="113" t="n"/>
      <c r="V1837" s="113" t="n"/>
    </row>
    <row r="1838" ht="15.75" customHeight="1">
      <c r="A1838" s="146" t="n">
        <v>31</v>
      </c>
      <c r="B1838" s="238" t="n"/>
      <c r="C1838" s="399" t="n">
        <v>46017</v>
      </c>
      <c r="D1838" s="146" t="inlineStr">
        <is>
          <t>219 G. SAN JOSE 2</t>
        </is>
      </c>
      <c r="E1838" s="146" t="n">
        <v>45246</v>
      </c>
      <c r="F1838" s="146" t="inlineStr">
        <is>
          <t>HENRY ROMERO</t>
        </is>
      </c>
      <c r="G1838" s="395" t="n">
        <v>3050</v>
      </c>
      <c r="H1838" s="395" t="n">
        <v>3047</v>
      </c>
      <c r="I1838" s="395" t="n">
        <v>6</v>
      </c>
      <c r="J1838" s="395" t="n">
        <v>3</v>
      </c>
      <c r="K1838" s="395" t="n">
        <v>6</v>
      </c>
      <c r="L1838" s="397" t="n">
        <v>3736</v>
      </c>
      <c r="M1838" s="113" t="n"/>
      <c r="N1838" s="113" t="n"/>
      <c r="O1838" s="113" t="n"/>
      <c r="P1838" s="398" t="n"/>
      <c r="Q1838" s="398" t="n"/>
      <c r="R1838" s="113" t="n"/>
      <c r="S1838" s="113" t="n"/>
      <c r="T1838" s="113" t="n"/>
      <c r="U1838" s="113" t="n"/>
      <c r="V1838" s="113" t="n"/>
    </row>
    <row r="1839" ht="15.75" customHeight="1">
      <c r="A1839" s="146" t="n">
        <v>31</v>
      </c>
      <c r="B1839" s="238" t="n"/>
      <c r="C1839" s="399" t="n">
        <v>46018</v>
      </c>
      <c r="D1839" s="146" t="inlineStr">
        <is>
          <t>219 G. SAN JOSE 2</t>
        </is>
      </c>
      <c r="E1839" s="146" t="n">
        <v>45255</v>
      </c>
      <c r="F1839" s="146" t="inlineStr">
        <is>
          <t>MANUEL QUITIAN</t>
        </is>
      </c>
      <c r="G1839" s="395" t="n">
        <v>3050</v>
      </c>
      <c r="H1839" s="395" t="n">
        <v>3054</v>
      </c>
      <c r="I1839" s="395" t="n">
        <v>2</v>
      </c>
      <c r="J1839" s="395" t="n">
        <v>5</v>
      </c>
      <c r="K1839" s="395" t="n">
        <v>11</v>
      </c>
      <c r="L1839" s="397" t="n">
        <v>3050</v>
      </c>
      <c r="M1839" s="113" t="n"/>
      <c r="N1839" s="113" t="n"/>
      <c r="O1839" s="113" t="n"/>
      <c r="P1839" s="398" t="n"/>
      <c r="Q1839" s="398" t="n"/>
      <c r="R1839" s="113" t="n"/>
      <c r="S1839" s="113" t="n"/>
      <c r="T1839" s="113" t="n"/>
      <c r="U1839" s="113" t="n"/>
      <c r="V1839" s="113" t="n"/>
    </row>
    <row r="1840" ht="15.75" customHeight="1">
      <c r="A1840" s="146" t="n">
        <v>31</v>
      </c>
      <c r="B1840" s="238" t="n"/>
      <c r="C1840" s="399" t="n">
        <v>46018</v>
      </c>
      <c r="D1840" s="146" t="inlineStr">
        <is>
          <t>219 G. SAN JOSE 2</t>
        </is>
      </c>
      <c r="E1840" s="146" t="n">
        <v>45256</v>
      </c>
      <c r="F1840" s="146" t="inlineStr">
        <is>
          <t>JAIRO CUBILLOS</t>
        </is>
      </c>
      <c r="G1840" s="395" t="n">
        <v>3050</v>
      </c>
      <c r="H1840" s="395" t="n">
        <v>3052</v>
      </c>
      <c r="I1840" s="395" t="n">
        <v>2</v>
      </c>
      <c r="J1840" s="395" t="n">
        <v>4</v>
      </c>
      <c r="K1840" s="395" t="n">
        <v>8</v>
      </c>
      <c r="L1840" s="397" t="n">
        <v>3050</v>
      </c>
      <c r="M1840" s="113" t="n"/>
      <c r="N1840" s="113" t="n"/>
      <c r="O1840" s="113" t="n"/>
      <c r="P1840" s="398" t="n"/>
      <c r="Q1840" s="398" t="n"/>
      <c r="R1840" s="113" t="n"/>
      <c r="S1840" s="113" t="n"/>
      <c r="T1840" s="113" t="n"/>
      <c r="U1840" s="113" t="n"/>
      <c r="V1840" s="113" t="n"/>
    </row>
    <row r="1841" ht="15.75" customHeight="1">
      <c r="A1841" s="146" t="n">
        <v>31</v>
      </c>
      <c r="B1841" s="238" t="n"/>
      <c r="C1841" s="399" t="n">
        <v>46018</v>
      </c>
      <c r="D1841" s="146" t="inlineStr">
        <is>
          <t>219 G. SAN JOSE 2</t>
        </is>
      </c>
      <c r="E1841" s="146" t="n">
        <v>45257</v>
      </c>
      <c r="F1841" s="146" t="inlineStr">
        <is>
          <t>ALBERTO HERRERA</t>
        </is>
      </c>
      <c r="G1841" s="395" t="n">
        <v>3512</v>
      </c>
      <c r="H1841" s="395" t="n">
        <v>3518</v>
      </c>
      <c r="I1841" s="395" t="n">
        <v>3</v>
      </c>
      <c r="J1841" s="395" t="n">
        <v>6</v>
      </c>
      <c r="K1841" s="395" t="n">
        <v>15</v>
      </c>
      <c r="L1841" s="397" t="n">
        <v>3512</v>
      </c>
      <c r="M1841" s="113" t="n"/>
      <c r="N1841" s="113" t="n"/>
      <c r="O1841" s="113" t="n"/>
      <c r="P1841" s="398" t="n"/>
      <c r="Q1841" s="398" t="n"/>
      <c r="R1841" s="113" t="n"/>
      <c r="S1841" s="113" t="n"/>
      <c r="T1841" s="113" t="n"/>
      <c r="U1841" s="113" t="n"/>
      <c r="V1841" s="113" t="n"/>
    </row>
    <row r="1842" ht="15.75" customHeight="1">
      <c r="A1842" s="146" t="n">
        <v>31</v>
      </c>
      <c r="B1842" s="238" t="n"/>
      <c r="C1842" s="399" t="n">
        <v>46018</v>
      </c>
      <c r="D1842" s="146" t="inlineStr">
        <is>
          <t>219 G. SAN JOSE 2</t>
        </is>
      </c>
      <c r="E1842" s="146" t="n">
        <v>45258</v>
      </c>
      <c r="F1842" s="146" t="inlineStr">
        <is>
          <t>ROBINSON PULIDO</t>
        </is>
      </c>
      <c r="G1842" s="395" t="n">
        <v>3512</v>
      </c>
      <c r="H1842" s="395" t="n">
        <v>3504</v>
      </c>
      <c r="I1842" s="395" t="n">
        <v>3</v>
      </c>
      <c r="J1842" s="395" t="n">
        <v>8</v>
      </c>
      <c r="K1842" s="395" t="n">
        <v>3</v>
      </c>
      <c r="L1842" s="397" t="n">
        <v>3512</v>
      </c>
      <c r="M1842" s="113" t="n"/>
      <c r="N1842" s="113" t="n"/>
      <c r="O1842" s="113" t="n"/>
      <c r="P1842" s="398" t="n"/>
      <c r="Q1842" s="398" t="n"/>
      <c r="R1842" s="113" t="n"/>
      <c r="S1842" s="113" t="n"/>
      <c r="T1842" s="113" t="n"/>
      <c r="U1842" s="113" t="n"/>
      <c r="V1842" s="113" t="n"/>
    </row>
    <row r="1843" ht="15.75" customHeight="1">
      <c r="A1843" s="146" t="n">
        <v>31</v>
      </c>
      <c r="B1843" s="238" t="n"/>
      <c r="C1843" s="399" t="n">
        <v>46018</v>
      </c>
      <c r="D1843" s="146" t="inlineStr">
        <is>
          <t>219 G. SAN JOSE 2</t>
        </is>
      </c>
      <c r="E1843" s="146" t="n">
        <v>45259</v>
      </c>
      <c r="F1843" s="146" t="inlineStr">
        <is>
          <t>WILMER PIÑEROS</t>
        </is>
      </c>
      <c r="G1843" s="395" t="n">
        <v>3512</v>
      </c>
      <c r="H1843" s="395" t="n">
        <v>3505</v>
      </c>
      <c r="I1843" s="395" t="n">
        <v>3</v>
      </c>
      <c r="J1843" s="395" t="n">
        <v>7</v>
      </c>
      <c r="K1843" s="395" t="n">
        <v>3</v>
      </c>
      <c r="L1843" s="397" t="n">
        <v>3510</v>
      </c>
      <c r="M1843" s="113" t="n"/>
      <c r="N1843" s="113" t="n"/>
      <c r="O1843" s="113" t="n"/>
      <c r="P1843" s="398" t="n"/>
      <c r="Q1843" s="398" t="n"/>
      <c r="R1843" s="113" t="n"/>
      <c r="S1843" s="113" t="n"/>
      <c r="T1843" s="113" t="n"/>
      <c r="U1843" s="113" t="n"/>
      <c r="V1843" s="113" t="n"/>
    </row>
    <row r="1844" ht="15.75" customHeight="1">
      <c r="A1844" s="146" t="n">
        <v>31</v>
      </c>
      <c r="B1844" s="238" t="n"/>
      <c r="C1844" s="399" t="n">
        <v>46018</v>
      </c>
      <c r="D1844" s="146" t="inlineStr">
        <is>
          <t>219 G. SAN JOSE 2</t>
        </is>
      </c>
      <c r="E1844" s="146" t="n">
        <v>45260</v>
      </c>
      <c r="F1844" s="146" t="inlineStr">
        <is>
          <t>YAIR RIVEROS</t>
        </is>
      </c>
      <c r="G1844" s="395" t="n">
        <v>3510</v>
      </c>
      <c r="H1844" s="395" t="n">
        <v>3500</v>
      </c>
      <c r="I1844" s="395" t="n">
        <v>2</v>
      </c>
      <c r="J1844" s="395" t="n">
        <v>11</v>
      </c>
      <c r="K1844" s="395" t="n">
        <v>3</v>
      </c>
      <c r="L1844" s="397" t="n">
        <v>3510</v>
      </c>
      <c r="M1844" s="113" t="n"/>
      <c r="N1844" s="113" t="n"/>
      <c r="O1844" s="113" t="n"/>
      <c r="P1844" s="398" t="n"/>
      <c r="Q1844" s="398" t="n"/>
      <c r="R1844" s="113" t="n"/>
      <c r="S1844" s="113" t="n"/>
      <c r="T1844" s="113" t="n"/>
      <c r="U1844" s="113" t="n"/>
      <c r="V1844" s="113" t="n"/>
    </row>
    <row r="1845" ht="15.75" customHeight="1">
      <c r="A1845" s="146" t="n">
        <v>31</v>
      </c>
      <c r="B1845" s="238" t="n"/>
      <c r="C1845" s="399" t="n">
        <v>46018</v>
      </c>
      <c r="D1845" s="146" t="inlineStr">
        <is>
          <t>219 G. SAN JOSE 2</t>
        </is>
      </c>
      <c r="E1845" s="146" t="n">
        <v>45261</v>
      </c>
      <c r="F1845" s="146" t="inlineStr">
        <is>
          <t>FABIO ALDANA</t>
        </is>
      </c>
      <c r="G1845" s="395" t="n">
        <v>3512</v>
      </c>
      <c r="H1845" s="395" t="n">
        <v>3501</v>
      </c>
      <c r="I1845" s="395" t="n">
        <v>3</v>
      </c>
      <c r="J1845" s="395" t="n">
        <v>10</v>
      </c>
      <c r="K1845" s="395" t="n">
        <v>2</v>
      </c>
      <c r="L1845" s="397" t="n">
        <v>3510</v>
      </c>
      <c r="M1845" s="113" t="n"/>
      <c r="N1845" s="113" t="n"/>
      <c r="O1845" s="113" t="n"/>
      <c r="P1845" s="398" t="n"/>
      <c r="Q1845" s="398" t="n"/>
      <c r="R1845" s="113" t="n"/>
      <c r="S1845" s="113" t="n"/>
      <c r="T1845" s="113" t="n"/>
      <c r="U1845" s="113" t="n"/>
      <c r="V1845" s="113" t="n"/>
    </row>
    <row r="1846" ht="15.75" customHeight="1">
      <c r="A1846" s="146" t="n">
        <v>31</v>
      </c>
      <c r="B1846" s="238" t="n"/>
      <c r="C1846" s="399" t="n"/>
      <c r="D1846" s="113" t="n"/>
      <c r="E1846" s="113" t="n"/>
      <c r="F1846" s="113" t="n"/>
      <c r="G1846" s="477">
        <f>SUBTOTAL(9,G1775:G1845)</f>
        <v/>
      </c>
      <c r="H1846" s="477">
        <f>SUBTOTAL(9,H1775:H1845)</f>
        <v/>
      </c>
      <c r="I1846" s="477">
        <f>SUBTOTAL(9,I1775:I1845)</f>
        <v/>
      </c>
      <c r="J1846" s="477">
        <f>SUBTOTAL(9,J1775:J1845)</f>
        <v/>
      </c>
      <c r="K1846" s="477">
        <f>SUBTOTAL(9,K1775:K1845)</f>
        <v/>
      </c>
      <c r="L1846" s="477">
        <f>SUBTOTAL(9,L1775:L1845)</f>
        <v/>
      </c>
      <c r="M1846" s="113" t="n"/>
      <c r="N1846" s="113" t="n"/>
      <c r="O1846" s="113" t="n"/>
      <c r="P1846" s="398" t="n"/>
      <c r="Q1846" s="398" t="n"/>
      <c r="R1846" s="113" t="n"/>
      <c r="S1846" s="113" t="n"/>
      <c r="T1846" s="113" t="n"/>
      <c r="U1846" s="113" t="n"/>
      <c r="V1846" s="113" t="n"/>
    </row>
    <row r="1847" ht="15.75" customHeight="1">
      <c r="A1847" s="146" t="n">
        <v>32</v>
      </c>
      <c r="B1847" s="238" t="n"/>
      <c r="C1847" s="399" t="n">
        <v>46020</v>
      </c>
      <c r="D1847" s="146" t="inlineStr">
        <is>
          <t>221 G. MALAGUEÑA</t>
        </is>
      </c>
      <c r="E1847" s="146" t="n">
        <v>45278</v>
      </c>
      <c r="F1847" s="146" t="inlineStr">
        <is>
          <t>SEBASTIAN HIDALGO</t>
        </is>
      </c>
      <c r="G1847" s="395" t="n">
        <v>3150</v>
      </c>
      <c r="H1847" s="395" t="n">
        <v>3144</v>
      </c>
      <c r="I1847" s="395" t="n">
        <v>3</v>
      </c>
      <c r="J1847" s="395" t="n">
        <v>3</v>
      </c>
      <c r="K1847" s="395" t="n">
        <v>0</v>
      </c>
      <c r="L1847" s="397" t="n">
        <v>3150</v>
      </c>
      <c r="M1847" s="113" t="n"/>
      <c r="N1847" s="113" t="n"/>
      <c r="O1847" s="113" t="n"/>
      <c r="P1847" s="398" t="n"/>
      <c r="Q1847" s="398" t="n"/>
      <c r="R1847" s="113" t="n"/>
      <c r="S1847" s="113" t="n"/>
      <c r="T1847" s="113" t="n"/>
      <c r="U1847" s="113" t="n"/>
      <c r="V1847" s="113" t="n"/>
    </row>
    <row r="1848" ht="15.75" customHeight="1">
      <c r="A1848" s="146" t="n">
        <v>32</v>
      </c>
      <c r="B1848" s="238" t="n"/>
      <c r="C1848" s="399" t="n">
        <v>46020</v>
      </c>
      <c r="D1848" s="146" t="inlineStr">
        <is>
          <t>221 G. MALAGUEÑA</t>
        </is>
      </c>
      <c r="E1848" s="146" t="n">
        <v>45279</v>
      </c>
      <c r="F1848" s="146" t="inlineStr">
        <is>
          <t>WILMER PIÑEROS</t>
        </is>
      </c>
      <c r="G1848" s="395" t="n">
        <v>3150</v>
      </c>
      <c r="H1848" s="395" t="n">
        <v>3143</v>
      </c>
      <c r="I1848" s="395" t="n">
        <v>2</v>
      </c>
      <c r="J1848" s="395" t="n">
        <v>4</v>
      </c>
      <c r="K1848" s="395" t="n">
        <v>-1</v>
      </c>
      <c r="L1848" s="397" t="n">
        <v>3150</v>
      </c>
      <c r="M1848" s="113" t="n"/>
      <c r="N1848" s="113" t="n"/>
      <c r="O1848" s="113" t="n"/>
      <c r="P1848" s="398" t="n"/>
      <c r="Q1848" s="398" t="n"/>
      <c r="R1848" s="113" t="n"/>
      <c r="S1848" s="113" t="n"/>
      <c r="T1848" s="113" t="n"/>
      <c r="U1848" s="113" t="n"/>
      <c r="V1848" s="113" t="n"/>
    </row>
    <row r="1849" ht="15.75" customHeight="1">
      <c r="A1849" s="146" t="n">
        <v>32</v>
      </c>
      <c r="B1849" s="238" t="n"/>
      <c r="C1849" s="399" t="n">
        <v>46020</v>
      </c>
      <c r="D1849" s="146" t="inlineStr">
        <is>
          <t>219 G. SAN JOSE 2</t>
        </is>
      </c>
      <c r="E1849" s="146" t="n">
        <v>45280</v>
      </c>
      <c r="F1849" s="146" t="inlineStr">
        <is>
          <t>EDWIN ROJAS</t>
        </is>
      </c>
      <c r="G1849" s="395" t="n">
        <v>3000</v>
      </c>
      <c r="H1849" s="395" t="n">
        <v>2998</v>
      </c>
      <c r="I1849" s="395" t="n">
        <v>2</v>
      </c>
      <c r="J1849" s="395" t="n">
        <v>9</v>
      </c>
      <c r="K1849" s="395" t="n">
        <v>9</v>
      </c>
      <c r="L1849" s="397" t="n">
        <v>3000</v>
      </c>
      <c r="M1849" s="113" t="n"/>
      <c r="N1849" s="113" t="n"/>
      <c r="O1849" s="113" t="n"/>
      <c r="P1849" s="398" t="n"/>
      <c r="Q1849" s="398" t="n"/>
      <c r="R1849" s="113" t="n"/>
      <c r="S1849" s="113" t="n"/>
      <c r="T1849" s="113" t="n"/>
      <c r="U1849" s="113" t="n"/>
      <c r="V1849" s="113" t="n"/>
    </row>
    <row r="1850" ht="15.75" customHeight="1">
      <c r="A1850" s="146" t="n">
        <v>32</v>
      </c>
      <c r="B1850" s="238" t="n"/>
      <c r="C1850" s="399" t="n">
        <v>46020</v>
      </c>
      <c r="D1850" s="146" t="inlineStr">
        <is>
          <t>219 G. SAN JOSE 2</t>
        </is>
      </c>
      <c r="E1850" s="146" t="n">
        <v>45281</v>
      </c>
      <c r="F1850" s="146" t="inlineStr">
        <is>
          <t>FERNANDO OYUELA</t>
        </is>
      </c>
      <c r="G1850" s="395" t="n">
        <v>3000</v>
      </c>
      <c r="H1850" s="395" t="n">
        <v>2997</v>
      </c>
      <c r="I1850" s="395" t="n">
        <v>2</v>
      </c>
      <c r="J1850" s="395" t="n">
        <v>9</v>
      </c>
      <c r="K1850" s="395" t="n">
        <v>8</v>
      </c>
      <c r="L1850" s="397" t="n">
        <v>3000</v>
      </c>
      <c r="M1850" s="113" t="n"/>
      <c r="N1850" s="113" t="n"/>
      <c r="O1850" s="113" t="n"/>
      <c r="P1850" s="398" t="n"/>
      <c r="Q1850" s="398" t="n"/>
      <c r="R1850" s="113" t="n"/>
      <c r="S1850" s="113" t="n"/>
      <c r="T1850" s="113" t="n"/>
      <c r="U1850" s="113" t="n"/>
      <c r="V1850" s="113" t="n"/>
    </row>
    <row r="1851" ht="15.75" customHeight="1">
      <c r="A1851" s="146" t="n">
        <v>32</v>
      </c>
      <c r="B1851" s="238" t="n"/>
      <c r="C1851" s="399" t="n">
        <v>46020</v>
      </c>
      <c r="D1851" s="146" t="inlineStr">
        <is>
          <t>219 G. SAN JOSE 2</t>
        </is>
      </c>
      <c r="E1851" s="146" t="n">
        <v>45282</v>
      </c>
      <c r="F1851" s="146" t="inlineStr">
        <is>
          <t>ROBINSON PULIDO</t>
        </is>
      </c>
      <c r="G1851" s="395" t="n">
        <v>3000</v>
      </c>
      <c r="H1851" s="395" t="n">
        <v>2999</v>
      </c>
      <c r="I1851" s="395" t="n">
        <v>2</v>
      </c>
      <c r="J1851" s="395" t="n">
        <v>7</v>
      </c>
      <c r="K1851" s="395" t="n">
        <v>8</v>
      </c>
      <c r="L1851" s="397" t="n">
        <v>3000</v>
      </c>
      <c r="M1851" s="113" t="n"/>
      <c r="N1851" s="113" t="n"/>
      <c r="O1851" s="113" t="n"/>
      <c r="P1851" s="398" t="n"/>
      <c r="Q1851" s="398" t="n"/>
      <c r="R1851" s="113" t="n"/>
      <c r="S1851" s="113" t="n"/>
      <c r="T1851" s="113" t="n"/>
      <c r="U1851" s="113" t="n"/>
      <c r="V1851" s="113" t="n"/>
    </row>
    <row r="1852" ht="15.75" customHeight="1">
      <c r="A1852" s="146" t="n">
        <v>32</v>
      </c>
      <c r="B1852" s="238" t="n"/>
      <c r="C1852" s="399" t="n">
        <v>46020</v>
      </c>
      <c r="D1852" s="146" t="inlineStr">
        <is>
          <t>219 G. SAN JOSE 2</t>
        </is>
      </c>
      <c r="E1852" s="146" t="n">
        <v>45283</v>
      </c>
      <c r="F1852" s="146" t="inlineStr">
        <is>
          <t>SEBASTIAN HIDALGO</t>
        </is>
      </c>
      <c r="G1852" s="395" t="n">
        <v>3000</v>
      </c>
      <c r="H1852" s="395" t="n">
        <v>3002</v>
      </c>
      <c r="I1852" s="395" t="n">
        <v>1</v>
      </c>
      <c r="J1852" s="395" t="n">
        <v>8</v>
      </c>
      <c r="K1852" s="395" t="n">
        <v>11</v>
      </c>
      <c r="L1852" s="397" t="n">
        <v>3000</v>
      </c>
      <c r="M1852" s="113" t="n"/>
      <c r="N1852" s="113" t="n"/>
      <c r="O1852" s="113" t="n"/>
      <c r="P1852" s="398" t="n"/>
      <c r="Q1852" s="398" t="n"/>
      <c r="R1852" s="113" t="n"/>
      <c r="S1852" s="113" t="n"/>
      <c r="T1852" s="113" t="n"/>
      <c r="U1852" s="113" t="n"/>
      <c r="V1852" s="113" t="n"/>
    </row>
    <row r="1853" ht="15.75" customHeight="1">
      <c r="A1853" s="146" t="n">
        <v>32</v>
      </c>
      <c r="B1853" s="238" t="n"/>
      <c r="C1853" s="399" t="n">
        <v>46020</v>
      </c>
      <c r="D1853" s="146" t="inlineStr">
        <is>
          <t>219 G. SAN JOSE 2</t>
        </is>
      </c>
      <c r="E1853" s="146" t="n">
        <v>45284</v>
      </c>
      <c r="F1853" s="146" t="inlineStr">
        <is>
          <t>ALEXANDER CHAGUALA</t>
        </is>
      </c>
      <c r="G1853" s="395" t="n">
        <v>3000</v>
      </c>
      <c r="H1853" s="395" t="n">
        <v>2984</v>
      </c>
      <c r="I1853" s="395" t="n">
        <v>4</v>
      </c>
      <c r="J1853" s="395" t="n">
        <v>6</v>
      </c>
      <c r="K1853" s="395" t="n">
        <v>-6</v>
      </c>
      <c r="L1853" s="397" t="n">
        <v>3000</v>
      </c>
      <c r="M1853" s="113" t="n"/>
      <c r="N1853" s="113" t="n"/>
      <c r="O1853" s="113" t="n"/>
      <c r="P1853" s="398" t="n"/>
      <c r="Q1853" s="398" t="n"/>
      <c r="R1853" s="113" t="n"/>
      <c r="S1853" s="113" t="n"/>
      <c r="T1853" s="113" t="n"/>
      <c r="U1853" s="113" t="n"/>
      <c r="V1853" s="113" t="n"/>
    </row>
    <row r="1854" ht="15.75" customHeight="1">
      <c r="A1854" s="146" t="n">
        <v>32</v>
      </c>
      <c r="B1854" s="238" t="n"/>
      <c r="C1854" s="399" t="n">
        <v>46020</v>
      </c>
      <c r="D1854" s="146" t="inlineStr">
        <is>
          <t>219 G. SAN JOSE 2</t>
        </is>
      </c>
      <c r="E1854" s="146" t="n">
        <v>45285</v>
      </c>
      <c r="F1854" s="146" t="inlineStr">
        <is>
          <t>ALEXANDER CHAGUALA</t>
        </is>
      </c>
      <c r="G1854" s="395" t="n">
        <v>3000</v>
      </c>
      <c r="H1854" s="395" t="n">
        <v>2984</v>
      </c>
      <c r="I1854" s="395" t="n">
        <v>3</v>
      </c>
      <c r="J1854" s="395" t="n">
        <v>7</v>
      </c>
      <c r="K1854" s="395" t="n">
        <v>-6</v>
      </c>
      <c r="L1854" s="397" t="n">
        <v>3000</v>
      </c>
      <c r="M1854" s="113" t="n"/>
      <c r="N1854" s="113" t="n"/>
      <c r="O1854" s="113" t="n"/>
      <c r="P1854" s="398" t="n"/>
      <c r="Q1854" s="398" t="n"/>
      <c r="R1854" s="113" t="n"/>
      <c r="S1854" s="113" t="n"/>
      <c r="T1854" s="113" t="n"/>
      <c r="U1854" s="113" t="n"/>
      <c r="V1854" s="113" t="n"/>
    </row>
    <row r="1855" ht="15.75" customHeight="1">
      <c r="A1855" s="146" t="n">
        <v>32</v>
      </c>
      <c r="B1855" s="238" t="n"/>
      <c r="C1855" s="399" t="n">
        <v>46020</v>
      </c>
      <c r="D1855" s="146" t="inlineStr">
        <is>
          <t>219 G. SAN JOSE 2</t>
        </is>
      </c>
      <c r="E1855" s="146" t="n">
        <v>45294</v>
      </c>
      <c r="F1855" s="146" t="inlineStr">
        <is>
          <t>FERNANDO OYUELA</t>
        </is>
      </c>
      <c r="G1855" s="395" t="n">
        <v>3080</v>
      </c>
      <c r="H1855" s="395" t="n">
        <v>3061</v>
      </c>
      <c r="I1855" s="395" t="n">
        <v>5</v>
      </c>
      <c r="J1855" s="395" t="n">
        <v>2</v>
      </c>
      <c r="K1855" s="395" t="n">
        <v>-12</v>
      </c>
      <c r="L1855" s="397" t="n">
        <v>3080</v>
      </c>
      <c r="M1855" s="113" t="n"/>
      <c r="N1855" s="113" t="n"/>
      <c r="O1855" s="113" t="n"/>
      <c r="P1855" s="398" t="n"/>
      <c r="Q1855" s="398" t="n"/>
      <c r="R1855" s="113" t="n"/>
      <c r="S1855" s="113" t="n"/>
      <c r="T1855" s="113" t="n"/>
      <c r="U1855" s="113" t="n"/>
      <c r="V1855" s="113" t="n"/>
    </row>
    <row r="1856" ht="15.75" customHeight="1">
      <c r="A1856" s="146" t="n">
        <v>32</v>
      </c>
      <c r="B1856" s="238" t="n"/>
      <c r="C1856" s="399" t="n">
        <v>46020</v>
      </c>
      <c r="D1856" s="146" t="inlineStr">
        <is>
          <t>219 G. SAN JOSE 2</t>
        </is>
      </c>
      <c r="E1856" s="146" t="n">
        <v>45295</v>
      </c>
      <c r="F1856" s="146" t="inlineStr">
        <is>
          <t>ROBINSON PULIDO</t>
        </is>
      </c>
      <c r="G1856" s="395" t="n">
        <v>3080</v>
      </c>
      <c r="H1856" s="395" t="n">
        <v>3062</v>
      </c>
      <c r="I1856" s="395" t="n">
        <v>4</v>
      </c>
      <c r="J1856" s="395" t="n">
        <v>4</v>
      </c>
      <c r="K1856" s="395" t="n">
        <v>-10</v>
      </c>
      <c r="L1856" s="397" t="n">
        <v>3080</v>
      </c>
      <c r="M1856" s="113" t="n"/>
      <c r="N1856" s="113" t="n"/>
      <c r="O1856" s="113" t="n"/>
      <c r="P1856" s="398" t="n"/>
      <c r="Q1856" s="398" t="n"/>
      <c r="R1856" s="113" t="n"/>
      <c r="S1856" s="113" t="n"/>
      <c r="T1856" s="113" t="n"/>
      <c r="U1856" s="113" t="n"/>
      <c r="V1856" s="113" t="n"/>
    </row>
    <row r="1857" ht="15.75" customHeight="1">
      <c r="A1857" s="146" t="n">
        <v>32</v>
      </c>
      <c r="B1857" s="238" t="n"/>
      <c r="C1857" s="399" t="n">
        <v>46021</v>
      </c>
      <c r="D1857" s="146" t="inlineStr">
        <is>
          <t>221 G. MALAGUEÑA</t>
        </is>
      </c>
      <c r="E1857" s="146" t="n">
        <v>45310</v>
      </c>
      <c r="F1857" s="146" t="inlineStr">
        <is>
          <t>ALBERTO LOPEZ</t>
        </is>
      </c>
      <c r="G1857" s="395" t="n">
        <v>3620</v>
      </c>
      <c r="H1857" s="395" t="n">
        <v>3615</v>
      </c>
      <c r="I1857" s="395" t="n">
        <v>2</v>
      </c>
      <c r="J1857" s="395" t="n">
        <v>4</v>
      </c>
      <c r="K1857" s="395" t="n">
        <v>1</v>
      </c>
      <c r="L1857" s="397" t="n">
        <v>3620</v>
      </c>
      <c r="M1857" s="113" t="n"/>
      <c r="N1857" s="113" t="n"/>
      <c r="O1857" s="113" t="n"/>
      <c r="P1857" s="398" t="n"/>
      <c r="Q1857" s="398" t="n"/>
      <c r="R1857" s="113" t="n"/>
      <c r="S1857" s="113" t="n"/>
      <c r="T1857" s="113" t="n"/>
      <c r="U1857" s="113" t="n"/>
      <c r="V1857" s="113" t="n"/>
    </row>
    <row r="1858" ht="15.75" customHeight="1">
      <c r="A1858" s="146" t="n">
        <v>32</v>
      </c>
      <c r="B1858" s="238" t="n"/>
      <c r="C1858" s="399" t="n">
        <v>46021</v>
      </c>
      <c r="D1858" s="146" t="inlineStr">
        <is>
          <t>221 G. MALAGUEÑA</t>
        </is>
      </c>
      <c r="E1858" s="146" t="n">
        <v>45311</v>
      </c>
      <c r="F1858" s="146" t="inlineStr">
        <is>
          <t>JUAN ARIAS</t>
        </is>
      </c>
      <c r="G1858" s="395" t="n">
        <v>3620</v>
      </c>
      <c r="H1858" s="395" t="n">
        <v>3615</v>
      </c>
      <c r="I1858" s="395" t="n">
        <v>2</v>
      </c>
      <c r="J1858" s="395" t="n">
        <v>4</v>
      </c>
      <c r="K1858" s="395" t="n">
        <v>1</v>
      </c>
      <c r="L1858" s="397" t="n">
        <v>3620</v>
      </c>
      <c r="M1858" s="113" t="n"/>
      <c r="N1858" s="113" t="n"/>
      <c r="O1858" s="113" t="n"/>
      <c r="P1858" s="398" t="n"/>
      <c r="Q1858" s="398" t="n"/>
      <c r="R1858" s="113" t="n"/>
      <c r="S1858" s="113" t="n"/>
      <c r="T1858" s="113" t="n"/>
      <c r="U1858" s="113" t="n"/>
      <c r="V1858" s="113" t="n"/>
    </row>
    <row r="1859" ht="15.75" customHeight="1">
      <c r="A1859" s="146" t="n">
        <v>32</v>
      </c>
      <c r="B1859" s="238" t="n"/>
      <c r="C1859" s="399" t="n">
        <v>46021</v>
      </c>
      <c r="D1859" s="146" t="inlineStr">
        <is>
          <t>221 G. MALAGUEÑA</t>
        </is>
      </c>
      <c r="E1859" s="146" t="n">
        <v>45312</v>
      </c>
      <c r="F1859" s="146" t="inlineStr">
        <is>
          <t>DIEGO NIÑO</t>
        </is>
      </c>
      <c r="G1859" s="395" t="n">
        <v>3640</v>
      </c>
      <c r="H1859" s="395" t="n">
        <v>3634</v>
      </c>
      <c r="I1859" s="395" t="n">
        <v>2</v>
      </c>
      <c r="J1859" s="395" t="n">
        <v>5</v>
      </c>
      <c r="K1859" s="395" t="n">
        <v>1</v>
      </c>
      <c r="L1859" s="397" t="n">
        <v>2620</v>
      </c>
      <c r="M1859" s="113" t="n"/>
      <c r="N1859" s="113" t="n"/>
      <c r="O1859" s="113" t="n"/>
      <c r="P1859" s="398" t="n"/>
      <c r="Q1859" s="398" t="n"/>
      <c r="R1859" s="113" t="n"/>
      <c r="S1859" s="113" t="n"/>
      <c r="T1859" s="113" t="n"/>
      <c r="U1859" s="113" t="n"/>
      <c r="V1859" s="113" t="n"/>
    </row>
    <row r="1860" ht="15.75" customHeight="1">
      <c r="A1860" s="146" t="n">
        <v>32</v>
      </c>
      <c r="B1860" s="238" t="n"/>
      <c r="C1860" s="399" t="n">
        <v>46021</v>
      </c>
      <c r="D1860" s="146" t="inlineStr">
        <is>
          <t>221 G. MALAGUEÑA</t>
        </is>
      </c>
      <c r="E1860" s="146" t="n">
        <v>45313</v>
      </c>
      <c r="F1860" s="146" t="inlineStr">
        <is>
          <t>JAIRO CUBILLOS</t>
        </is>
      </c>
      <c r="G1860" s="395" t="n">
        <v>3620</v>
      </c>
      <c r="H1860" s="395" t="n">
        <v>3613</v>
      </c>
      <c r="I1860" s="395" t="n">
        <v>3</v>
      </c>
      <c r="J1860" s="395" t="n">
        <v>5</v>
      </c>
      <c r="K1860" s="395" t="n">
        <v>1</v>
      </c>
      <c r="L1860" s="397" t="n">
        <v>3640</v>
      </c>
      <c r="M1860" s="113" t="n"/>
      <c r="N1860" s="113" t="n"/>
      <c r="O1860" s="113" t="n"/>
      <c r="P1860" s="398" t="n"/>
      <c r="Q1860" s="398" t="n"/>
      <c r="R1860" s="113" t="n"/>
      <c r="S1860" s="113" t="n"/>
      <c r="T1860" s="113" t="n"/>
      <c r="U1860" s="113" t="n"/>
      <c r="V1860" s="113" t="n"/>
    </row>
    <row r="1861" ht="15.75" customHeight="1">
      <c r="A1861" s="146" t="n">
        <v>32</v>
      </c>
      <c r="B1861" s="238" t="n"/>
      <c r="C1861" s="399" t="n">
        <v>46021</v>
      </c>
      <c r="D1861" s="146" t="inlineStr">
        <is>
          <t>219 G. SAN JOSE 2</t>
        </is>
      </c>
      <c r="E1861" s="146" t="n">
        <v>45314</v>
      </c>
      <c r="F1861" s="146" t="inlineStr">
        <is>
          <t>EDUAN CAVIEDES</t>
        </is>
      </c>
      <c r="G1861" s="395" t="n">
        <v>3888</v>
      </c>
      <c r="H1861" s="395" t="n">
        <v>3869</v>
      </c>
      <c r="I1861" s="395" t="n">
        <v>7</v>
      </c>
      <c r="J1861" s="395" t="n">
        <v>7</v>
      </c>
      <c r="K1861" s="395" t="n">
        <v>-5</v>
      </c>
      <c r="L1861" s="397" t="n">
        <v>3888</v>
      </c>
      <c r="M1861" s="113" t="n"/>
      <c r="N1861" s="113" t="n"/>
      <c r="O1861" s="113" t="n"/>
      <c r="P1861" s="398" t="n"/>
      <c r="Q1861" s="398" t="n"/>
      <c r="R1861" s="113" t="n"/>
      <c r="S1861" s="113" t="n"/>
      <c r="T1861" s="113" t="n"/>
      <c r="U1861" s="113" t="n"/>
      <c r="V1861" s="113" t="n"/>
    </row>
    <row r="1862" ht="15.75" customHeight="1">
      <c r="A1862" s="146" t="n">
        <v>32</v>
      </c>
      <c r="B1862" s="238" t="n"/>
      <c r="C1862" s="399" t="n">
        <v>46021</v>
      </c>
      <c r="D1862" s="146" t="inlineStr">
        <is>
          <t>219 G. SAN JOSE 2</t>
        </is>
      </c>
      <c r="E1862" s="146" t="n">
        <v>45315</v>
      </c>
      <c r="F1862" s="146" t="inlineStr">
        <is>
          <t>ALBERTO LOPEZ</t>
        </is>
      </c>
      <c r="G1862" s="395" t="n">
        <v>3888</v>
      </c>
      <c r="H1862" s="395" t="n">
        <v>3872</v>
      </c>
      <c r="I1862" s="395" t="n">
        <v>4</v>
      </c>
      <c r="J1862" s="395" t="n">
        <v>9</v>
      </c>
      <c r="K1862" s="395" t="n">
        <v>-3</v>
      </c>
      <c r="L1862" s="397" t="n">
        <v>3888</v>
      </c>
      <c r="M1862" s="113" t="n"/>
      <c r="N1862" s="113" t="n"/>
      <c r="O1862" s="113" t="n"/>
      <c r="P1862" s="398" t="n"/>
      <c r="Q1862" s="398" t="n"/>
      <c r="R1862" s="113" t="n"/>
      <c r="S1862" s="113" t="n"/>
      <c r="T1862" s="113" t="n"/>
      <c r="U1862" s="113" t="n"/>
      <c r="V1862" s="113" t="n"/>
    </row>
    <row r="1863" ht="15.75" customHeight="1">
      <c r="A1863" s="146" t="n">
        <v>32</v>
      </c>
      <c r="B1863" s="238" t="n"/>
      <c r="C1863" s="399" t="n">
        <v>46021</v>
      </c>
      <c r="D1863" s="146" t="inlineStr">
        <is>
          <t>219 G. SAN JOSE 2</t>
        </is>
      </c>
      <c r="E1863" s="146" t="n">
        <v>45316</v>
      </c>
      <c r="F1863" s="146" t="inlineStr">
        <is>
          <t>JAIRO CUBILLOS</t>
        </is>
      </c>
      <c r="G1863" s="395" t="n">
        <v>3888</v>
      </c>
      <c r="H1863" s="395" t="n">
        <v>3872</v>
      </c>
      <c r="I1863" s="395" t="n">
        <v>6</v>
      </c>
      <c r="J1863" s="395" t="n">
        <v>8</v>
      </c>
      <c r="K1863" s="395" t="n">
        <v>-2</v>
      </c>
      <c r="L1863" s="397" t="n">
        <v>3888</v>
      </c>
      <c r="M1863" s="113" t="n"/>
      <c r="N1863" s="113" t="n"/>
      <c r="O1863" s="113" t="n"/>
      <c r="P1863" s="398" t="n"/>
      <c r="Q1863" s="398" t="n"/>
      <c r="R1863" s="113" t="n"/>
      <c r="S1863" s="113" t="n"/>
      <c r="T1863" s="113" t="n"/>
      <c r="U1863" s="113" t="n"/>
      <c r="V1863" s="113" t="n"/>
    </row>
    <row r="1864" ht="15.75" customHeight="1">
      <c r="A1864" s="146" t="n">
        <v>32</v>
      </c>
      <c r="B1864" s="238" t="n"/>
      <c r="C1864" s="399" t="n">
        <v>46022</v>
      </c>
      <c r="D1864" s="146" t="inlineStr">
        <is>
          <t>221 G. MALAGUEÑA</t>
        </is>
      </c>
      <c r="E1864" s="146" t="n">
        <v>45339</v>
      </c>
      <c r="F1864" s="146" t="inlineStr">
        <is>
          <t>EDUAN CAVIEDES</t>
        </is>
      </c>
      <c r="G1864" s="395" t="n">
        <v>3507</v>
      </c>
      <c r="H1864" s="395" t="n">
        <v>3496</v>
      </c>
      <c r="I1864" s="395" t="n">
        <v>5</v>
      </c>
      <c r="J1864" s="395" t="n">
        <v>4</v>
      </c>
      <c r="K1864" s="395" t="n">
        <v>-2</v>
      </c>
      <c r="L1864" s="397" t="n">
        <v>3330</v>
      </c>
      <c r="M1864" s="113" t="n"/>
      <c r="N1864" s="113" t="n"/>
      <c r="O1864" s="113" t="n"/>
      <c r="P1864" s="398" t="n"/>
      <c r="Q1864" s="398" t="n"/>
      <c r="R1864" s="113" t="n"/>
      <c r="S1864" s="113" t="n"/>
      <c r="T1864" s="113" t="n"/>
      <c r="U1864" s="113" t="n"/>
      <c r="V1864" s="113" t="n"/>
    </row>
    <row r="1865" ht="15.75" customHeight="1">
      <c r="A1865" s="146" t="n">
        <v>32</v>
      </c>
      <c r="B1865" s="238" t="n"/>
      <c r="C1865" s="399" t="n">
        <v>46022</v>
      </c>
      <c r="D1865" s="146" t="inlineStr">
        <is>
          <t>221 G. MALAGUEÑA</t>
        </is>
      </c>
      <c r="E1865" s="146" t="n">
        <v>45340</v>
      </c>
      <c r="F1865" s="146" t="inlineStr">
        <is>
          <t>ALBERTO LOPEZ</t>
        </is>
      </c>
      <c r="G1865" s="395" t="n">
        <v>3330</v>
      </c>
      <c r="H1865" s="395" t="n">
        <v>3322</v>
      </c>
      <c r="I1865" s="395" t="n">
        <v>4</v>
      </c>
      <c r="J1865" s="395" t="n">
        <v>3</v>
      </c>
      <c r="K1865" s="395" t="n">
        <v>-1</v>
      </c>
      <c r="L1865" s="397" t="n">
        <v>3507</v>
      </c>
      <c r="M1865" s="113" t="n"/>
      <c r="N1865" s="113" t="n"/>
      <c r="O1865" s="113" t="n"/>
      <c r="P1865" s="398" t="n"/>
      <c r="Q1865" s="398" t="n"/>
      <c r="R1865" s="113" t="n"/>
      <c r="S1865" s="113" t="n"/>
      <c r="T1865" s="113" t="n"/>
      <c r="U1865" s="113" t="n"/>
      <c r="V1865" s="113" t="n"/>
    </row>
    <row r="1866" ht="15.75" customHeight="1">
      <c r="A1866" s="146" t="n">
        <v>32</v>
      </c>
      <c r="B1866" s="238" t="n"/>
      <c r="C1866" s="399" t="n">
        <v>46022</v>
      </c>
      <c r="D1866" s="146" t="inlineStr">
        <is>
          <t>221 G. MALAGUEÑA</t>
        </is>
      </c>
      <c r="E1866" s="146" t="n">
        <v>45351</v>
      </c>
      <c r="F1866" s="146" t="inlineStr">
        <is>
          <t>SEBASTIAN HIDALGO</t>
        </is>
      </c>
      <c r="G1866" s="395" t="n">
        <v>2550</v>
      </c>
      <c r="H1866" s="395" t="n">
        <v>2541</v>
      </c>
      <c r="I1866" s="395" t="n">
        <v>3</v>
      </c>
      <c r="J1866" s="395" t="n">
        <v>2</v>
      </c>
      <c r="K1866" s="395" t="n">
        <v>-4</v>
      </c>
      <c r="L1866" s="397" t="n">
        <v>2550</v>
      </c>
      <c r="M1866" s="113" t="n"/>
      <c r="N1866" s="113" t="n"/>
      <c r="O1866" s="113" t="n"/>
      <c r="P1866" s="398" t="n"/>
      <c r="Q1866" s="398" t="n"/>
      <c r="R1866" s="113" t="n"/>
      <c r="S1866" s="113" t="n"/>
      <c r="T1866" s="113" t="n"/>
      <c r="U1866" s="113" t="n"/>
      <c r="V1866" s="113" t="n"/>
    </row>
    <row r="1867" ht="15.75" customHeight="1">
      <c r="A1867" s="146" t="n">
        <v>32</v>
      </c>
      <c r="B1867" s="238" t="n"/>
      <c r="C1867" s="399" t="n">
        <v>46022</v>
      </c>
      <c r="D1867" s="146" t="inlineStr">
        <is>
          <t>221 G. MALAGUEÑA</t>
        </is>
      </c>
      <c r="E1867" s="146" t="n">
        <v>45342</v>
      </c>
      <c r="F1867" s="146" t="inlineStr">
        <is>
          <t>JOSE SOLER</t>
        </is>
      </c>
      <c r="G1867" s="395" t="n">
        <v>2550</v>
      </c>
      <c r="H1867" s="395" t="n">
        <v>2541</v>
      </c>
      <c r="I1867" s="395" t="n">
        <v>5</v>
      </c>
      <c r="J1867" s="395" t="n">
        <v>2</v>
      </c>
      <c r="K1867" s="395" t="n">
        <v>-2</v>
      </c>
      <c r="L1867" s="397" t="n">
        <v>2550</v>
      </c>
      <c r="M1867" s="113" t="n"/>
      <c r="N1867" s="113" t="n"/>
      <c r="O1867" s="113" t="n"/>
      <c r="P1867" s="398" t="n"/>
      <c r="Q1867" s="398" t="n"/>
      <c r="R1867" s="113" t="n"/>
      <c r="S1867" s="113" t="n"/>
      <c r="T1867" s="113" t="n"/>
      <c r="U1867" s="113" t="n"/>
      <c r="V1867" s="113" t="n"/>
    </row>
    <row r="1868" ht="15.75" customHeight="1">
      <c r="A1868" s="146" t="n">
        <v>32</v>
      </c>
      <c r="B1868" s="238" t="n"/>
      <c r="C1868" s="399" t="n">
        <v>46022</v>
      </c>
      <c r="D1868" s="146" t="inlineStr">
        <is>
          <t>221 G. MALAGUEÑA</t>
        </is>
      </c>
      <c r="E1868" s="146" t="n">
        <v>45343</v>
      </c>
      <c r="F1868" s="146" t="inlineStr">
        <is>
          <t>YAIR RIVEROS</t>
        </is>
      </c>
      <c r="G1868" s="395" t="n">
        <v>3300</v>
      </c>
      <c r="H1868" s="395" t="n">
        <v>3297</v>
      </c>
      <c r="I1868" s="395" t="n">
        <v>2</v>
      </c>
      <c r="J1868" s="395" t="n">
        <v>5</v>
      </c>
      <c r="K1868" s="395" t="n">
        <v>4</v>
      </c>
      <c r="L1868" s="397" t="n">
        <v>2550</v>
      </c>
      <c r="M1868" s="113" t="n"/>
      <c r="N1868" s="113" t="n"/>
      <c r="O1868" s="113" t="n"/>
      <c r="P1868" s="398" t="n"/>
      <c r="Q1868" s="398" t="n"/>
      <c r="R1868" s="113" t="n"/>
      <c r="S1868" s="113" t="n"/>
      <c r="T1868" s="113" t="n"/>
      <c r="U1868" s="113" t="n"/>
      <c r="V1868" s="113" t="n"/>
    </row>
    <row r="1869" ht="15.75" customHeight="1">
      <c r="A1869" s="146" t="n">
        <v>32</v>
      </c>
      <c r="B1869" s="238" t="n"/>
      <c r="C1869" s="399" t="n">
        <v>46022</v>
      </c>
      <c r="D1869" s="146" t="inlineStr">
        <is>
          <t>221 G. MALAGUEÑA</t>
        </is>
      </c>
      <c r="E1869" s="146" t="n">
        <v>45344</v>
      </c>
      <c r="F1869" s="146" t="inlineStr">
        <is>
          <t>FERNANDO OYUELA</t>
        </is>
      </c>
      <c r="G1869" s="395" t="n">
        <v>2950</v>
      </c>
      <c r="H1869" s="395" t="n">
        <v>2948</v>
      </c>
      <c r="I1869" s="395" t="n">
        <v>1</v>
      </c>
      <c r="J1869" s="395" t="n">
        <v>4</v>
      </c>
      <c r="K1869" s="395" t="n">
        <v>3</v>
      </c>
      <c r="L1869" s="397" t="n">
        <v>3300</v>
      </c>
      <c r="M1869" s="113" t="n"/>
      <c r="N1869" s="113" t="n"/>
      <c r="O1869" s="113" t="n"/>
      <c r="P1869" s="398" t="n"/>
      <c r="Q1869" s="398" t="n"/>
      <c r="R1869" s="113" t="n"/>
      <c r="S1869" s="113" t="n"/>
      <c r="T1869" s="113" t="n"/>
      <c r="U1869" s="113" t="n"/>
      <c r="V1869" s="113" t="n"/>
    </row>
    <row r="1870" ht="15.75" customHeight="1">
      <c r="A1870" s="146" t="n">
        <v>32</v>
      </c>
      <c r="B1870" s="238" t="n"/>
      <c r="C1870" s="399" t="n">
        <v>46022</v>
      </c>
      <c r="D1870" s="146" t="inlineStr">
        <is>
          <t>219 G. SAN JOSE 2</t>
        </is>
      </c>
      <c r="E1870" s="146" t="n">
        <v>45345</v>
      </c>
      <c r="F1870" s="146" t="inlineStr">
        <is>
          <t>ALBERTO LOPEZ</t>
        </is>
      </c>
      <c r="G1870" s="395" t="n">
        <v>2180</v>
      </c>
      <c r="H1870" s="395" t="n">
        <v>2176</v>
      </c>
      <c r="I1870" s="395" t="n">
        <v>1</v>
      </c>
      <c r="J1870" s="395" t="n">
        <v>5</v>
      </c>
      <c r="K1870" s="395" t="n">
        <v>2</v>
      </c>
      <c r="L1870" s="397" t="n">
        <v>2950</v>
      </c>
      <c r="M1870" s="113" t="n"/>
      <c r="N1870" s="113" t="n"/>
      <c r="O1870" s="113" t="n"/>
      <c r="P1870" s="398" t="n"/>
      <c r="Q1870" s="398" t="n"/>
      <c r="R1870" s="113" t="n"/>
      <c r="S1870" s="113" t="n"/>
      <c r="T1870" s="113" t="n"/>
      <c r="U1870" s="113" t="n"/>
      <c r="V1870" s="113" t="n"/>
    </row>
    <row r="1871" ht="15.75" customHeight="1">
      <c r="A1871" s="146" t="n">
        <v>32</v>
      </c>
      <c r="B1871" s="238" t="n"/>
      <c r="C1871" s="399" t="n">
        <v>46022</v>
      </c>
      <c r="D1871" s="146" t="inlineStr">
        <is>
          <t>221 G. MALAGUEÑA</t>
        </is>
      </c>
      <c r="E1871" s="146" t="n">
        <v>45346</v>
      </c>
      <c r="F1871" s="146" t="inlineStr">
        <is>
          <t>FABIO ALDANA</t>
        </is>
      </c>
      <c r="G1871" s="395" t="n">
        <v>2550</v>
      </c>
      <c r="H1871" s="395" t="n">
        <v>2550</v>
      </c>
      <c r="I1871" s="395" t="n">
        <v>2</v>
      </c>
      <c r="J1871" s="395" t="n">
        <v>3</v>
      </c>
      <c r="K1871" s="395" t="n">
        <v>5</v>
      </c>
      <c r="L1871" s="397" t="n">
        <v>2180</v>
      </c>
      <c r="M1871" s="113" t="n"/>
      <c r="N1871" s="113" t="n"/>
      <c r="O1871" s="113" t="n"/>
      <c r="P1871" s="398" t="n"/>
      <c r="Q1871" s="398" t="n"/>
      <c r="R1871" s="113" t="n"/>
      <c r="S1871" s="113" t="n"/>
      <c r="T1871" s="113" t="n"/>
      <c r="U1871" s="113" t="n"/>
      <c r="V1871" s="113" t="n"/>
    </row>
    <row r="1872" ht="15.75" customHeight="1">
      <c r="A1872" s="146" t="n">
        <v>32</v>
      </c>
      <c r="B1872" s="238" t="n"/>
      <c r="C1872" s="399" t="n"/>
      <c r="D1872" s="113" t="n"/>
      <c r="E1872" s="113" t="n"/>
      <c r="F1872" s="113" t="n"/>
      <c r="G1872" s="477">
        <f>SUBTOTAL(9,G1847:G1871)</f>
        <v/>
      </c>
      <c r="H1872" s="477">
        <f>SUBTOTAL(9,H1847:H1871)</f>
        <v/>
      </c>
      <c r="I1872" s="477">
        <f>SUBTOTAL(9,I1847:I1871)</f>
        <v/>
      </c>
      <c r="J1872" s="477">
        <f>SUBTOTAL(9,J1847:J1871)</f>
        <v/>
      </c>
      <c r="K1872" s="477">
        <f>SUBTOTAL(9,K1847:K1871)</f>
        <v/>
      </c>
      <c r="L1872" s="477">
        <f>SUBTOTAL(9,L1847:L1871)</f>
        <v/>
      </c>
      <c r="M1872" s="113" t="n"/>
      <c r="N1872" s="113" t="n"/>
      <c r="O1872" s="113" t="n"/>
      <c r="P1872" s="398" t="n"/>
      <c r="Q1872" s="398" t="n"/>
      <c r="R1872" s="113" t="n"/>
      <c r="S1872" s="113" t="n"/>
      <c r="T1872" s="113" t="n"/>
      <c r="U1872" s="113" t="n"/>
      <c r="V1872" s="113" t="n"/>
    </row>
  </sheetData>
  <pageMargins left="0.7" right="0.7" top="0.75" bottom="0.75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.71" customWidth="1" min="1" max="1"/>
    <col width="5" customWidth="1" min="2" max="2"/>
    <col width="11.43" customWidth="1" min="3" max="3"/>
    <col width="9.140000000000001" customWidth="1" min="4" max="4"/>
    <col width="13.14" customWidth="1" min="5" max="5"/>
    <col width="16.71" customWidth="1" min="6" max="6"/>
    <col width="12.71" customWidth="1" min="7" max="7"/>
    <col width="24.29" customWidth="1" min="8" max="8"/>
    <col width="11.57" customWidth="1" min="9" max="9"/>
    <col width="16.71" customWidth="1" min="10" max="10"/>
    <col width="15.29" customWidth="1" min="11" max="11"/>
    <col width="13" customWidth="1" min="12" max="12"/>
    <col width="14.43" customWidth="1" min="13" max="13"/>
    <col width="23.43" customWidth="1" min="14" max="14"/>
    <col width="9.43" customWidth="1" min="15" max="15"/>
    <col width="33.57" customWidth="1" min="16" max="16"/>
    <col width="13.86" customWidth="1" min="17" max="17"/>
    <col width="20.71" customWidth="1" min="18" max="18"/>
    <col width="15.57" customWidth="1" min="19" max="19"/>
    <col width="13.86" customWidth="1" min="20" max="20"/>
    <col width="10.71" customWidth="1" min="22" max="22"/>
  </cols>
  <sheetData>
    <row r="1">
      <c r="A1" s="113" t="n"/>
      <c r="B1" s="113" t="n"/>
      <c r="C1" s="237" t="n"/>
      <c r="D1" s="238" t="n"/>
      <c r="E1" s="239" t="n"/>
      <c r="F1" s="239" t="n"/>
      <c r="G1" s="239" t="n"/>
      <c r="H1" s="497" t="n"/>
      <c r="I1" s="497" t="n"/>
      <c r="J1" s="240" t="n"/>
      <c r="K1" s="240" t="n"/>
      <c r="L1" s="241" t="n"/>
      <c r="M1" s="242" t="n"/>
      <c r="N1" s="113" t="n"/>
      <c r="O1" s="243" t="n"/>
      <c r="P1" s="243" t="n"/>
      <c r="Q1" s="243" t="n"/>
      <c r="R1" s="243" t="n"/>
      <c r="S1" s="243" t="n"/>
      <c r="T1" s="243" t="n"/>
      <c r="U1" s="113" t="n"/>
      <c r="V1" s="113" t="n"/>
    </row>
    <row r="2">
      <c r="A2" s="113" t="n"/>
      <c r="B2" s="113" t="n"/>
      <c r="C2" s="237" t="n"/>
      <c r="D2" s="238" t="n"/>
      <c r="E2" s="239" t="n"/>
      <c r="F2" s="239" t="n"/>
      <c r="G2" s="239" t="n"/>
      <c r="H2" s="497" t="n"/>
      <c r="I2" s="497" t="n"/>
      <c r="J2" s="240" t="n"/>
      <c r="K2" s="240" t="n"/>
      <c r="L2" s="241" t="n"/>
      <c r="M2" s="242" t="n"/>
      <c r="N2" s="113" t="n"/>
      <c r="O2" s="243" t="n"/>
      <c r="P2" s="243" t="n"/>
      <c r="Q2" s="243" t="n"/>
      <c r="R2" s="243" t="n"/>
      <c r="S2" s="243" t="n"/>
      <c r="T2" s="243" t="n"/>
      <c r="U2" s="113" t="n"/>
      <c r="V2" s="113" t="n"/>
    </row>
    <row r="3" ht="21.75" customHeight="1">
      <c r="A3" s="113" t="n"/>
      <c r="B3" s="113" t="n"/>
      <c r="C3" s="244" t="n"/>
      <c r="D3" s="238" t="n"/>
      <c r="E3" s="245" t="inlineStr">
        <is>
          <t xml:space="preserve">                             REPORTE DIARIO DE CARGUE  SAVICOL</t>
        </is>
      </c>
      <c r="F3" s="244" t="n"/>
      <c r="G3" s="245" t="n"/>
      <c r="H3" s="498" t="n"/>
      <c r="I3" s="498" t="n"/>
      <c r="J3" s="499" t="n"/>
      <c r="K3" s="245" t="n"/>
      <c r="L3" s="246" t="n"/>
      <c r="M3" s="245" t="n"/>
      <c r="N3" s="113" t="n"/>
      <c r="O3" s="243" t="n"/>
      <c r="P3" s="243" t="n"/>
      <c r="Q3" s="243" t="n"/>
      <c r="R3" s="243" t="n"/>
      <c r="S3" s="243" t="n"/>
      <c r="T3" s="243" t="n"/>
      <c r="U3" s="113" t="n"/>
      <c r="V3" s="113" t="n"/>
    </row>
    <row r="4" ht="11.25" customHeight="1">
      <c r="A4" s="113" t="n"/>
      <c r="B4" s="113" t="n"/>
      <c r="C4" s="244" t="n"/>
      <c r="D4" s="244" t="n"/>
      <c r="E4" s="244" t="n"/>
      <c r="F4" s="244" t="n"/>
      <c r="G4" s="244" t="n"/>
      <c r="H4" s="500" t="n"/>
      <c r="I4" s="500" t="n"/>
      <c r="J4" s="501" t="n"/>
      <c r="K4" s="244" t="n"/>
      <c r="L4" s="246" t="n"/>
      <c r="M4" s="242" t="n"/>
      <c r="N4" s="113" t="n"/>
      <c r="O4" s="243" t="n"/>
      <c r="P4" s="243" t="n"/>
      <c r="Q4" s="243" t="n"/>
      <c r="R4" s="243" t="n"/>
      <c r="S4" s="243" t="n"/>
      <c r="T4" s="243" t="n"/>
      <c r="U4" s="113" t="n"/>
      <c r="V4" s="113" t="n"/>
    </row>
    <row r="5">
      <c r="A5" s="113" t="n"/>
      <c r="B5" s="113" t="n"/>
      <c r="C5" s="502" t="inlineStr">
        <is>
          <t xml:space="preserve">FECHA </t>
        </is>
      </c>
      <c r="D5" s="503" t="inlineStr">
        <is>
          <t>Nº VIAJES</t>
        </is>
      </c>
      <c r="E5" s="504" t="inlineStr">
        <is>
          <t xml:space="preserve">GRANJA </t>
        </is>
      </c>
      <c r="F5" s="505" t="inlineStr">
        <is>
          <t>CUADRILLA</t>
        </is>
      </c>
      <c r="G5" s="506" t="inlineStr">
        <is>
          <t xml:space="preserve">CANTIDAD DE PERSONAS </t>
        </is>
      </c>
      <c r="H5" s="507" t="inlineStr">
        <is>
          <t>NOMBRE CONDUCTOR</t>
        </is>
      </c>
      <c r="I5" s="508" t="inlineStr">
        <is>
          <t>PLACA</t>
        </is>
      </c>
      <c r="J5" s="252" t="inlineStr">
        <is>
          <t>HORA INICIO</t>
        </is>
      </c>
      <c r="K5" s="509" t="inlineStr">
        <is>
          <t xml:space="preserve">HORA SALIDA </t>
        </is>
      </c>
      <c r="L5" s="510" t="inlineStr">
        <is>
          <t>CANTIDAD</t>
        </is>
      </c>
      <c r="M5" s="511" t="inlineStr">
        <is>
          <t xml:space="preserve">TOTAL POLLOS DIA </t>
        </is>
      </c>
      <c r="N5" s="113" t="n"/>
      <c r="O5" s="243" t="n"/>
      <c r="P5" s="243" t="n"/>
      <c r="Q5" s="243" t="n"/>
      <c r="R5" s="243" t="n"/>
      <c r="S5" s="243" t="n"/>
      <c r="T5" s="243" t="n"/>
      <c r="U5" s="113" t="n"/>
      <c r="V5" s="113" t="n"/>
    </row>
    <row r="6">
      <c r="A6" s="113" t="n"/>
      <c r="B6" s="146" t="n"/>
      <c r="C6" s="348" t="n"/>
      <c r="D6" s="349" t="n"/>
      <c r="E6" s="258" t="n"/>
      <c r="F6" s="258" t="n"/>
      <c r="G6" s="258" t="n"/>
      <c r="H6" s="258" t="n"/>
      <c r="I6" s="258" t="n"/>
      <c r="J6" s="258" t="n"/>
      <c r="K6" s="259" t="n"/>
      <c r="L6" s="260" t="n"/>
      <c r="M6" s="292" t="n"/>
      <c r="N6" s="113" t="n"/>
      <c r="O6" s="243" t="n"/>
      <c r="P6" s="243" t="n"/>
      <c r="Q6" s="243" t="n"/>
      <c r="R6" s="243" t="n"/>
      <c r="S6" s="243" t="n"/>
      <c r="T6" s="243" t="n"/>
      <c r="U6" s="113" t="n"/>
      <c r="V6" s="113" t="n"/>
    </row>
  </sheetData>
  <pageMargins left="0.7" right="0.7" top="0.75" bottom="0.75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465"/>
  <sheetViews>
    <sheetView workbookViewId="0">
      <selection activeCell="A1" sqref="A1"/>
    </sheetView>
  </sheetViews>
  <sheetFormatPr baseColWidth="8" defaultRowHeight="15"/>
  <cols>
    <col width="10.71" customWidth="1" min="1" max="1"/>
    <col width="6.14" customWidth="1" min="2" max="2"/>
    <col width="13.43" customWidth="1" min="3" max="3"/>
    <col width="21.57" customWidth="1" min="4" max="4"/>
    <col width="13.43" customWidth="1" min="5" max="5"/>
    <col width="33.14" customWidth="1" min="6" max="6"/>
    <col width="13.43" customWidth="1" min="7" max="7"/>
    <col width="14" customWidth="1" min="9" max="9"/>
    <col width="17.71" customWidth="1" min="10" max="10"/>
    <col width="14.71" customWidth="1" min="11" max="11"/>
    <col width="16.71" customWidth="1" min="12" max="12"/>
    <col width="19.86" customWidth="1" min="13" max="13"/>
    <col width="17.43" customWidth="1" min="14" max="14"/>
    <col width="13.14" customWidth="1" min="15" max="15"/>
    <col width="10.71" customWidth="1" min="16" max="16"/>
    <col width="13.86" customWidth="1" min="17" max="17"/>
    <col width="11.43" customWidth="1" min="18" max="18"/>
    <col width="10.71" customWidth="1" min="19" max="19"/>
  </cols>
  <sheetData>
    <row r="1">
      <c r="A1" s="113" t="n"/>
      <c r="B1" s="244" t="inlineStr">
        <is>
          <t xml:space="preserve">                             REPORTE DIARIO DE CARGUE  POLLOS SAVICOL SA</t>
        </is>
      </c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397" t="n"/>
      <c r="M1" s="113" t="n"/>
      <c r="N1" s="113" t="n"/>
      <c r="O1" s="113" t="n"/>
      <c r="P1" s="398" t="n"/>
      <c r="Q1" s="398" t="n"/>
      <c r="R1" s="113" t="n"/>
      <c r="S1" s="113" t="n"/>
      <c r="T1" s="113" t="n"/>
      <c r="U1" s="113" t="n"/>
      <c r="V1" s="113" t="n"/>
    </row>
    <row r="2">
      <c r="A2" s="113" t="n"/>
      <c r="B2" s="238" t="n"/>
      <c r="C2" s="399" t="n"/>
      <c r="D2" s="113" t="n"/>
      <c r="E2" s="113" t="n"/>
      <c r="F2" s="113" t="n"/>
      <c r="G2" s="395" t="n"/>
      <c r="H2" s="395" t="n"/>
      <c r="I2" s="395" t="n"/>
      <c r="J2" s="395" t="n"/>
      <c r="K2" s="395" t="n"/>
      <c r="L2" s="397" t="n"/>
      <c r="M2" s="113" t="n"/>
      <c r="N2" s="113" t="n"/>
      <c r="O2" s="113" t="n"/>
      <c r="P2" s="398" t="n"/>
      <c r="Q2" s="398" t="n"/>
      <c r="R2" s="113" t="n"/>
      <c r="S2" s="113" t="n"/>
      <c r="T2" s="113" t="n"/>
      <c r="U2" s="113" t="n"/>
      <c r="V2" s="113" t="n"/>
    </row>
    <row r="3" ht="69" customHeight="1">
      <c r="A3" s="113" t="n"/>
      <c r="B3" s="512" t="inlineStr">
        <is>
          <t>ITEM</t>
        </is>
      </c>
      <c r="C3" s="401" t="inlineStr">
        <is>
          <t>FECHA</t>
        </is>
      </c>
      <c r="D3" s="170" t="inlineStr">
        <is>
          <t>Nombre Granja</t>
        </is>
      </c>
      <c r="E3" s="169" t="inlineStr">
        <is>
          <t>PLANILLA</t>
        </is>
      </c>
      <c r="F3" s="170" t="inlineStr">
        <is>
          <t>CONDUCTOR</t>
        </is>
      </c>
      <c r="G3" s="402" t="inlineStr">
        <is>
          <t>ENVIADOS</t>
        </is>
      </c>
      <c r="H3" s="403" t="inlineStr">
        <is>
          <t>RECIBIDOS</t>
        </is>
      </c>
      <c r="I3" s="404" t="inlineStr">
        <is>
          <t>AHOGADOS</t>
        </is>
      </c>
      <c r="J3" s="403" t="inlineStr">
        <is>
          <t>DESCARTADOS</t>
        </is>
      </c>
      <c r="K3" s="405" t="inlineStr">
        <is>
          <t xml:space="preserve">DIFERENCIA </t>
        </is>
      </c>
      <c r="L3" s="406" t="inlineStr">
        <is>
          <t xml:space="preserve">serviagro </t>
        </is>
      </c>
      <c r="M3" s="513" t="n"/>
      <c r="N3" s="403" t="inlineStr">
        <is>
          <t xml:space="preserve">RECIBIDOS </t>
        </is>
      </c>
      <c r="O3" s="514" t="inlineStr">
        <is>
          <t xml:space="preserve">CARGADOS SERVIAGRO </t>
        </is>
      </c>
      <c r="P3" s="515" t="inlineStr">
        <is>
          <t>DIF. CARGADOS Y RECBIDOS</t>
        </is>
      </c>
      <c r="Q3" s="515" t="inlineStr">
        <is>
          <t>AHOGADOS -DESCARGADOS-DIFERENCIA</t>
        </is>
      </c>
      <c r="R3" s="411" t="inlineStr">
        <is>
          <t xml:space="preserve">DIFERENCIA </t>
        </is>
      </c>
      <c r="S3" s="113" t="n"/>
      <c r="T3" s="113" t="n"/>
      <c r="U3" s="113" t="n"/>
      <c r="V3" s="113" t="n"/>
    </row>
    <row r="4">
      <c r="A4" s="146" t="n">
        <v>1</v>
      </c>
      <c r="B4" s="238" t="n"/>
      <c r="C4" s="399" t="n">
        <v>46024</v>
      </c>
      <c r="D4" s="162" t="inlineStr">
        <is>
          <t>219 G. SAN JOSE 2</t>
        </is>
      </c>
      <c r="E4" s="162" t="n">
        <v>45373</v>
      </c>
      <c r="F4" s="162" t="inlineStr">
        <is>
          <t>JHON ARIAS</t>
        </is>
      </c>
      <c r="G4" s="516" t="n">
        <v>3240</v>
      </c>
      <c r="H4" s="516" t="n">
        <v>3241</v>
      </c>
      <c r="I4" s="516" t="n">
        <v>2</v>
      </c>
      <c r="J4" s="516" t="n">
        <v>4</v>
      </c>
      <c r="K4" s="516" t="n">
        <v>7</v>
      </c>
      <c r="L4" s="395" t="n"/>
      <c r="M4" s="113" t="n"/>
      <c r="N4" s="113" t="n"/>
      <c r="O4" s="113" t="n"/>
      <c r="P4" s="398" t="n"/>
      <c r="Q4" s="398" t="n"/>
      <c r="R4" s="113" t="n"/>
      <c r="S4" s="113" t="n"/>
      <c r="T4" s="113" t="n"/>
      <c r="U4" s="113" t="n"/>
      <c r="V4" s="113" t="n"/>
    </row>
    <row r="5">
      <c r="A5" s="146" t="n">
        <v>1</v>
      </c>
      <c r="B5" s="238" t="n"/>
      <c r="C5" s="399" t="n">
        <v>46024</v>
      </c>
      <c r="D5" s="162" t="inlineStr">
        <is>
          <t>219 G. SAN JOSE 2</t>
        </is>
      </c>
      <c r="E5" s="162" t="n">
        <v>45374</v>
      </c>
      <c r="F5" s="162" t="inlineStr">
        <is>
          <t>DUMAR ANGARITA</t>
        </is>
      </c>
      <c r="G5" s="516" t="n">
        <v>3240</v>
      </c>
      <c r="H5" s="516" t="n">
        <v>3216</v>
      </c>
      <c r="I5" s="516" t="n">
        <v>4</v>
      </c>
      <c r="J5" s="516" t="n">
        <v>14</v>
      </c>
      <c r="K5" s="516" t="n">
        <v>-6</v>
      </c>
      <c r="L5" s="395" t="n"/>
      <c r="M5" s="113" t="n"/>
      <c r="N5" s="113" t="n"/>
      <c r="O5" s="113" t="n"/>
      <c r="P5" s="398" t="n"/>
      <c r="Q5" s="398" t="n"/>
      <c r="R5" s="113" t="n"/>
      <c r="S5" s="113" t="n"/>
      <c r="T5" s="113" t="n"/>
      <c r="U5" s="113" t="n"/>
      <c r="V5" s="113" t="n"/>
    </row>
    <row r="6">
      <c r="A6" s="146" t="n">
        <v>1</v>
      </c>
      <c r="B6" s="238" t="n"/>
      <c r="C6" s="399" t="n">
        <v>46024</v>
      </c>
      <c r="D6" s="162" t="inlineStr">
        <is>
          <t>219 G. SAN JOSE 2</t>
        </is>
      </c>
      <c r="E6" s="162" t="n">
        <v>45375</v>
      </c>
      <c r="F6" s="162" t="inlineStr">
        <is>
          <t>SEBASTIAN HIDALGO</t>
        </is>
      </c>
      <c r="G6" s="516" t="n">
        <v>3800</v>
      </c>
      <c r="H6" s="516" t="n">
        <v>3770</v>
      </c>
      <c r="I6" s="516" t="n">
        <v>3</v>
      </c>
      <c r="J6" s="516" t="n">
        <v>15</v>
      </c>
      <c r="K6" s="516" t="n">
        <v>-12</v>
      </c>
      <c r="L6" s="395" t="n"/>
      <c r="M6" s="113" t="n"/>
      <c r="N6" s="113" t="n"/>
      <c r="O6" s="113" t="n"/>
      <c r="P6" s="398" t="n"/>
      <c r="Q6" s="398" t="n"/>
      <c r="R6" s="113" t="n"/>
      <c r="S6" s="113" t="n"/>
      <c r="T6" s="113" t="n"/>
      <c r="U6" s="113" t="n"/>
      <c r="V6" s="113" t="n"/>
    </row>
    <row r="7">
      <c r="A7" s="146" t="n">
        <v>1</v>
      </c>
      <c r="B7" s="238" t="n"/>
      <c r="C7" s="399" t="n">
        <v>46024</v>
      </c>
      <c r="D7" s="162" t="inlineStr">
        <is>
          <t>219 G. SAN JOSE 2</t>
        </is>
      </c>
      <c r="E7" s="162" t="n">
        <v>45376</v>
      </c>
      <c r="F7" s="162" t="inlineStr">
        <is>
          <t>DIEGO NIÑO</t>
        </is>
      </c>
      <c r="G7" s="516" t="n">
        <v>3800</v>
      </c>
      <c r="H7" s="516" t="n">
        <v>3770</v>
      </c>
      <c r="I7" s="516" t="n">
        <v>7</v>
      </c>
      <c r="J7" s="516" t="n">
        <v>15</v>
      </c>
      <c r="K7" s="516" t="n">
        <v>-8</v>
      </c>
      <c r="L7" s="395" t="n"/>
      <c r="M7" s="113" t="n"/>
      <c r="N7" s="113" t="n"/>
      <c r="O7" s="113" t="n"/>
      <c r="P7" s="398" t="n"/>
      <c r="Q7" s="398" t="n"/>
      <c r="R7" s="113" t="n"/>
      <c r="S7" s="113" t="n"/>
      <c r="T7" s="113" t="n"/>
      <c r="U7" s="113" t="n"/>
      <c r="V7" s="113" t="n"/>
    </row>
    <row r="8">
      <c r="A8" s="146" t="n">
        <v>1</v>
      </c>
      <c r="B8" s="238" t="n"/>
      <c r="C8" s="399" t="n">
        <v>46024</v>
      </c>
      <c r="D8" s="162" t="inlineStr">
        <is>
          <t>219 G. SAN JOSE 2</t>
        </is>
      </c>
      <c r="E8" s="162" t="n">
        <v>45377</v>
      </c>
      <c r="F8" s="162" t="inlineStr">
        <is>
          <t>ALBERTO HERRERA</t>
        </is>
      </c>
      <c r="G8" s="516" t="n">
        <v>3288</v>
      </c>
      <c r="H8" s="516" t="n">
        <v>3266</v>
      </c>
      <c r="I8" s="516" t="n">
        <v>8</v>
      </c>
      <c r="J8" s="516" t="n">
        <v>4</v>
      </c>
      <c r="K8" s="516" t="n">
        <v>-10</v>
      </c>
      <c r="L8" s="395" t="n"/>
      <c r="M8" s="113" t="n"/>
      <c r="N8" s="113" t="n"/>
      <c r="O8" s="113" t="n"/>
      <c r="P8" s="398" t="n"/>
      <c r="Q8" s="398" t="n"/>
      <c r="R8" s="113" t="n"/>
      <c r="S8" s="113" t="n"/>
      <c r="T8" s="113" t="n"/>
      <c r="U8" s="113" t="n"/>
      <c r="V8" s="113" t="n"/>
    </row>
    <row r="9">
      <c r="A9" s="146" t="n">
        <v>1</v>
      </c>
      <c r="B9" s="238" t="n"/>
      <c r="C9" s="399" t="n">
        <v>46024</v>
      </c>
      <c r="D9" s="162" t="inlineStr">
        <is>
          <t>219 G. SAN JOSE 2</t>
        </is>
      </c>
      <c r="E9" s="162" t="n">
        <v>45382</v>
      </c>
      <c r="F9" s="162" t="inlineStr">
        <is>
          <t>ALBERTO LOPEZ</t>
        </is>
      </c>
      <c r="G9" s="516" t="n">
        <v>3290</v>
      </c>
      <c r="H9" s="516" t="n">
        <v>3262</v>
      </c>
      <c r="I9" s="516" t="n">
        <v>2</v>
      </c>
      <c r="J9" s="516" t="n">
        <v>8</v>
      </c>
      <c r="K9" s="516" t="n">
        <v>-18</v>
      </c>
      <c r="L9" s="395" t="n"/>
      <c r="M9" s="113" t="n"/>
      <c r="N9" s="113" t="n"/>
      <c r="O9" s="113" t="n"/>
      <c r="P9" s="398" t="n"/>
      <c r="Q9" s="398" t="n"/>
      <c r="R9" s="113" t="n"/>
      <c r="S9" s="113" t="n"/>
      <c r="T9" s="113" t="n"/>
      <c r="U9" s="113" t="n"/>
      <c r="V9" s="113" t="n"/>
    </row>
    <row r="10">
      <c r="A10" s="146" t="n">
        <v>1</v>
      </c>
      <c r="B10" s="238" t="n"/>
      <c r="C10" s="399" t="n">
        <v>46024</v>
      </c>
      <c r="D10" s="162" t="inlineStr">
        <is>
          <t>219 G. SAN JOSE 2</t>
        </is>
      </c>
      <c r="E10" s="162" t="n">
        <v>45383</v>
      </c>
      <c r="F10" s="162" t="inlineStr">
        <is>
          <t>JHON ARIAS</t>
        </is>
      </c>
      <c r="G10" s="516" t="n">
        <v>3288</v>
      </c>
      <c r="H10" s="516" t="n">
        <v>3264</v>
      </c>
      <c r="I10" s="516" t="n">
        <v>3</v>
      </c>
      <c r="J10" s="516" t="n">
        <v>6</v>
      </c>
      <c r="K10" s="516" t="n">
        <v>-15</v>
      </c>
      <c r="L10" s="395" t="n"/>
      <c r="M10" s="113" t="n"/>
      <c r="N10" s="113" t="n"/>
      <c r="O10" s="113" t="n"/>
      <c r="P10" s="398" t="n"/>
      <c r="Q10" s="398" t="n"/>
      <c r="R10" s="113" t="n"/>
      <c r="S10" s="113" t="n"/>
      <c r="T10" s="113" t="n"/>
      <c r="U10" s="113" t="n"/>
      <c r="V10" s="113" t="n"/>
    </row>
    <row r="11">
      <c r="A11" s="146" t="n">
        <v>1</v>
      </c>
      <c r="B11" s="238" t="n"/>
      <c r="C11" s="399" t="n">
        <v>46024</v>
      </c>
      <c r="D11" s="162" t="inlineStr">
        <is>
          <t>219 G. SAN JOSE 2</t>
        </is>
      </c>
      <c r="E11" s="162" t="n">
        <v>45389</v>
      </c>
      <c r="F11" s="162" t="inlineStr">
        <is>
          <t>DUMAR ANGARITA</t>
        </is>
      </c>
      <c r="G11" s="516" t="n">
        <v>3743</v>
      </c>
      <c r="H11" s="516" t="n">
        <v>3717</v>
      </c>
      <c r="I11" s="516" t="n">
        <v>5</v>
      </c>
      <c r="J11" s="516" t="n">
        <v>8</v>
      </c>
      <c r="K11" s="516" t="n">
        <v>-13</v>
      </c>
      <c r="L11" s="395" t="n"/>
      <c r="M11" s="113" t="n"/>
      <c r="N11" s="113" t="n"/>
      <c r="O11" s="113" t="n"/>
      <c r="P11" s="398" t="n"/>
      <c r="Q11" s="398" t="n"/>
      <c r="R11" s="113" t="n"/>
      <c r="S11" s="113" t="n"/>
      <c r="T11" s="113" t="n"/>
      <c r="U11" s="113" t="n"/>
      <c r="V11" s="113" t="n"/>
    </row>
    <row r="12">
      <c r="A12" s="146" t="n">
        <v>1</v>
      </c>
      <c r="B12" s="238" t="n"/>
      <c r="C12" s="399" t="n">
        <v>46024</v>
      </c>
      <c r="D12" s="162" t="inlineStr">
        <is>
          <t>219 G. SAN JOSE 2</t>
        </is>
      </c>
      <c r="E12" s="162" t="n">
        <v>45390</v>
      </c>
      <c r="F12" s="162" t="inlineStr">
        <is>
          <t>SEBASTIAN HIDALGO</t>
        </is>
      </c>
      <c r="G12" s="516" t="n">
        <v>3960</v>
      </c>
      <c r="H12" s="516" t="n">
        <v>3934</v>
      </c>
      <c r="I12" s="516" t="n">
        <v>2</v>
      </c>
      <c r="J12" s="516" t="n">
        <v>9</v>
      </c>
      <c r="K12" s="516" t="n">
        <v>-15</v>
      </c>
      <c r="L12" s="395" t="n"/>
      <c r="M12" s="113" t="n"/>
      <c r="N12" s="113" t="n"/>
      <c r="O12" s="113" t="n"/>
      <c r="P12" s="398" t="n"/>
      <c r="Q12" s="398" t="n"/>
      <c r="R12" s="113" t="n"/>
      <c r="S12" s="113" t="n"/>
      <c r="T12" s="113" t="n"/>
      <c r="U12" s="113" t="n"/>
      <c r="V12" s="113" t="n"/>
    </row>
    <row r="13">
      <c r="A13" s="146" t="n">
        <v>1</v>
      </c>
      <c r="B13" s="238" t="n"/>
      <c r="C13" s="399" t="n">
        <v>46024</v>
      </c>
      <c r="D13" s="162" t="inlineStr">
        <is>
          <t>219 G. SAN JOSE 2</t>
        </is>
      </c>
      <c r="E13" s="162" t="n">
        <v>45391</v>
      </c>
      <c r="F13" s="162" t="inlineStr">
        <is>
          <t>DIEGO NIÑO</t>
        </is>
      </c>
      <c r="G13" s="516" t="n">
        <v>3960</v>
      </c>
      <c r="H13" s="516" t="n">
        <v>3930</v>
      </c>
      <c r="I13" s="516" t="n">
        <v>2</v>
      </c>
      <c r="J13" s="516" t="n">
        <v>11</v>
      </c>
      <c r="K13" s="516" t="n">
        <v>-17</v>
      </c>
      <c r="L13" s="395" t="n"/>
      <c r="M13" s="113" t="n"/>
      <c r="N13" s="113" t="n"/>
      <c r="O13" s="113" t="n"/>
      <c r="P13" s="398" t="n"/>
      <c r="Q13" s="398" t="n"/>
      <c r="R13" s="113" t="n"/>
      <c r="S13" s="113" t="n"/>
      <c r="T13" s="113" t="n"/>
      <c r="U13" s="113" t="n"/>
      <c r="V13" s="113" t="n"/>
    </row>
    <row r="14">
      <c r="A14" s="146" t="n">
        <v>1</v>
      </c>
      <c r="B14" s="238" t="n"/>
      <c r="C14" s="399" t="n">
        <v>46025</v>
      </c>
      <c r="D14" s="162" t="inlineStr">
        <is>
          <t>219 G. SAN JOSE 2</t>
        </is>
      </c>
      <c r="E14" s="162" t="n">
        <v>45392</v>
      </c>
      <c r="F14" s="162" t="inlineStr">
        <is>
          <t>FERNANDO SANDOVAL</t>
        </is>
      </c>
      <c r="G14" s="516" t="n">
        <v>3413</v>
      </c>
      <c r="H14" s="516" t="n">
        <v>3373</v>
      </c>
      <c r="I14" s="516" t="n">
        <v>5</v>
      </c>
      <c r="J14" s="516" t="n">
        <v>5</v>
      </c>
      <c r="K14" s="516" t="n">
        <v>-30</v>
      </c>
      <c r="L14" s="395" t="n"/>
      <c r="M14" s="113" t="n"/>
      <c r="N14" s="395" t="n"/>
      <c r="O14" s="113" t="n"/>
      <c r="P14" s="398" t="n"/>
      <c r="Q14" s="494" t="n"/>
      <c r="R14" s="517">
        <f>+P14-Q14</f>
        <v/>
      </c>
      <c r="S14" s="113" t="n"/>
      <c r="T14" s="113" t="n"/>
      <c r="U14" s="113" t="n"/>
      <c r="V14" s="113" t="n"/>
    </row>
    <row r="15">
      <c r="A15" s="146" t="n">
        <v>1</v>
      </c>
      <c r="B15" s="238" t="n"/>
      <c r="C15" s="399" t="n">
        <v>46025</v>
      </c>
      <c r="D15" s="162" t="inlineStr">
        <is>
          <t>219 G. SAN JOSE 2</t>
        </is>
      </c>
      <c r="E15" s="162" t="n">
        <v>45393</v>
      </c>
      <c r="F15" s="162" t="inlineStr">
        <is>
          <t>YAIR RIVEROS</t>
        </is>
      </c>
      <c r="G15" s="516" t="n">
        <v>3800</v>
      </c>
      <c r="H15" s="516" t="n">
        <v>3764</v>
      </c>
      <c r="I15" s="516" t="n">
        <v>5</v>
      </c>
      <c r="J15" s="516" t="n">
        <v>7</v>
      </c>
      <c r="K15" s="516" t="n">
        <v>-24</v>
      </c>
      <c r="L15" s="395" t="n"/>
      <c r="M15" s="113" t="n"/>
      <c r="N15" s="113" t="n"/>
      <c r="O15" s="113" t="n"/>
      <c r="P15" s="398" t="n"/>
      <c r="Q15" s="398" t="n"/>
      <c r="R15" s="113" t="n"/>
      <c r="S15" s="113" t="n"/>
      <c r="T15" s="113" t="n"/>
      <c r="U15" s="113" t="n"/>
      <c r="V15" s="113" t="n"/>
    </row>
    <row r="16">
      <c r="A16" s="146" t="n">
        <v>1</v>
      </c>
      <c r="B16" s="238" t="n"/>
      <c r="C16" s="399" t="n">
        <v>46025</v>
      </c>
      <c r="D16" s="162" t="inlineStr">
        <is>
          <t>219 G. SAN JOSE 2</t>
        </is>
      </c>
      <c r="E16" s="162" t="n">
        <v>45394</v>
      </c>
      <c r="F16" s="162" t="inlineStr">
        <is>
          <t>DIEGO NIÑO</t>
        </is>
      </c>
      <c r="G16" s="516" t="n">
        <v>3800</v>
      </c>
      <c r="H16" s="516" t="n">
        <v>3752</v>
      </c>
      <c r="I16" s="516" t="n">
        <v>7</v>
      </c>
      <c r="J16" s="516" t="n">
        <v>8</v>
      </c>
      <c r="K16" s="516" t="n">
        <v>-33</v>
      </c>
      <c r="L16" s="395" t="n"/>
      <c r="M16" s="113" t="n"/>
      <c r="N16" s="113" t="n"/>
      <c r="O16" s="113" t="n"/>
      <c r="P16" s="398" t="n"/>
      <c r="Q16" s="398" t="n"/>
      <c r="R16" s="113" t="n"/>
      <c r="S16" s="113" t="n"/>
      <c r="T16" s="113" t="n"/>
      <c r="U16" s="113" t="n"/>
      <c r="V16" s="113" t="n"/>
    </row>
    <row r="17">
      <c r="A17" s="146" t="n">
        <v>1</v>
      </c>
      <c r="B17" s="238" t="n"/>
      <c r="C17" s="399" t="n">
        <v>46025</v>
      </c>
      <c r="D17" s="162" t="inlineStr">
        <is>
          <t>219 G. SAN JOSE 2</t>
        </is>
      </c>
      <c r="E17" s="162" t="n">
        <v>45395</v>
      </c>
      <c r="F17" s="162" t="inlineStr">
        <is>
          <t>EDWIN ROJAS</t>
        </is>
      </c>
      <c r="G17" s="516" t="n">
        <v>3413</v>
      </c>
      <c r="H17" s="516" t="n">
        <v>3364</v>
      </c>
      <c r="I17" s="516" t="n">
        <v>8</v>
      </c>
      <c r="J17" s="516" t="n">
        <v>6</v>
      </c>
      <c r="K17" s="516" t="n">
        <v>-35</v>
      </c>
      <c r="L17" s="395" t="n"/>
      <c r="M17" s="113" t="n"/>
      <c r="N17" s="113" t="n"/>
      <c r="O17" s="113" t="n"/>
      <c r="P17" s="398" t="n"/>
      <c r="Q17" s="398" t="n"/>
      <c r="R17" s="113" t="n"/>
      <c r="S17" s="113" t="n"/>
      <c r="T17" s="113" t="n"/>
      <c r="U17" s="113" t="n"/>
      <c r="V17" s="113" t="n"/>
    </row>
    <row r="18">
      <c r="A18" s="146" t="n">
        <v>1</v>
      </c>
      <c r="B18" s="238" t="n"/>
      <c r="C18" s="399" t="n"/>
      <c r="D18" s="162" t="n"/>
      <c r="E18" s="162" t="n"/>
      <c r="F18" s="162" t="n"/>
      <c r="G18" s="518">
        <f>SUM(G7:G17)</f>
        <v/>
      </c>
      <c r="H18" s="518">
        <f>SUM(H7:H17)</f>
        <v/>
      </c>
      <c r="I18" s="518">
        <f>SUM(I7:I17)</f>
        <v/>
      </c>
      <c r="J18" s="518">
        <f>SUM(J7:J17)</f>
        <v/>
      </c>
      <c r="K18" s="518">
        <f>SUM(K7:K17)</f>
        <v/>
      </c>
      <c r="L18" s="518">
        <f>SUM(L7:L17)</f>
        <v/>
      </c>
      <c r="M18" s="113" t="n"/>
      <c r="N18" s="113" t="n"/>
      <c r="O18" s="113" t="n"/>
      <c r="P18" s="398" t="n"/>
      <c r="Q18" s="398" t="n"/>
      <c r="R18" s="113" t="n"/>
      <c r="S18" s="113" t="n"/>
      <c r="T18" s="113" t="n"/>
      <c r="U18" s="113" t="n"/>
      <c r="V18" s="113" t="n"/>
    </row>
    <row r="19">
      <c r="A19" s="146" t="n">
        <v>2</v>
      </c>
      <c r="B19" s="238" t="n"/>
      <c r="C19" s="399" t="n">
        <v>46027</v>
      </c>
      <c r="D19" s="162" t="inlineStr">
        <is>
          <t>221 G. MALAGUEÑA</t>
        </is>
      </c>
      <c r="E19" s="162" t="n">
        <v>45437</v>
      </c>
      <c r="F19" s="162" t="inlineStr">
        <is>
          <t>JOSE HERRERA</t>
        </is>
      </c>
      <c r="G19" s="516" t="n">
        <v>2460</v>
      </c>
      <c r="H19" s="516" t="n">
        <v>2461</v>
      </c>
      <c r="I19" s="516" t="n">
        <v>2</v>
      </c>
      <c r="J19" s="516" t="n">
        <v>9</v>
      </c>
      <c r="K19" s="516" t="n">
        <v>12</v>
      </c>
      <c r="L19" s="395" t="n">
        <v>2460</v>
      </c>
      <c r="M19" s="113" t="n"/>
      <c r="N19" s="113" t="n"/>
      <c r="O19" s="113" t="n"/>
      <c r="P19" s="398" t="n"/>
      <c r="Q19" s="398" t="n"/>
      <c r="R19" s="113" t="n"/>
      <c r="S19" s="113" t="n"/>
      <c r="T19" s="113" t="n"/>
      <c r="U19" s="113" t="n"/>
      <c r="V19" s="113" t="n"/>
    </row>
    <row r="20">
      <c r="A20" s="146" t="n">
        <v>2</v>
      </c>
      <c r="B20" s="238" t="n"/>
      <c r="C20" s="399" t="n">
        <v>46027</v>
      </c>
      <c r="D20" s="162" t="inlineStr">
        <is>
          <t>221 G. MALAGUEÑA</t>
        </is>
      </c>
      <c r="E20" s="162" t="n">
        <v>45438</v>
      </c>
      <c r="F20" s="162" t="inlineStr">
        <is>
          <t>EDUAN CAVIEDES</t>
        </is>
      </c>
      <c r="G20" s="516" t="n">
        <v>3429</v>
      </c>
      <c r="H20" s="516" t="n">
        <v>3428</v>
      </c>
      <c r="I20" s="516" t="n">
        <v>2</v>
      </c>
      <c r="J20" s="516" t="n">
        <v>12</v>
      </c>
      <c r="K20" s="516" t="n">
        <v>13</v>
      </c>
      <c r="L20" s="395" t="n">
        <v>3429</v>
      </c>
      <c r="M20" s="113" t="n"/>
      <c r="N20" s="113" t="n"/>
      <c r="O20" s="113" t="n"/>
      <c r="P20" s="398" t="n"/>
      <c r="Q20" s="398" t="n"/>
      <c r="R20" s="113" t="n"/>
      <c r="S20" s="113" t="n"/>
      <c r="T20" s="113" t="n"/>
      <c r="U20" s="113" t="n"/>
      <c r="V20" s="113" t="n"/>
    </row>
    <row r="21" ht="15.75" customHeight="1">
      <c r="A21" s="146" t="n">
        <v>2</v>
      </c>
      <c r="B21" s="238" t="n"/>
      <c r="C21" s="399" t="n">
        <v>46027</v>
      </c>
      <c r="D21" s="162" t="inlineStr">
        <is>
          <t>219 G. SAN JOSE 2</t>
        </is>
      </c>
      <c r="E21" s="162" t="n">
        <v>45439</v>
      </c>
      <c r="F21" s="162" t="inlineStr">
        <is>
          <t>MANUEL QUITIAN</t>
        </is>
      </c>
      <c r="G21" s="516" t="n">
        <v>3343</v>
      </c>
      <c r="H21" s="516" t="n">
        <v>3346</v>
      </c>
      <c r="I21" s="516" t="n">
        <v>3</v>
      </c>
      <c r="J21" s="516" t="n">
        <v>3</v>
      </c>
      <c r="K21" s="516" t="n">
        <v>9</v>
      </c>
      <c r="L21" s="395" t="n">
        <v>3343</v>
      </c>
      <c r="M21" s="113" t="n"/>
      <c r="N21" s="113" t="n"/>
      <c r="O21" s="113" t="n"/>
      <c r="P21" s="398" t="n"/>
      <c r="Q21" s="398" t="n"/>
      <c r="R21" s="113" t="n"/>
      <c r="S21" s="113" t="n"/>
      <c r="T21" s="113" t="n"/>
      <c r="U21" s="113" t="n"/>
      <c r="V21" s="113" t="n"/>
    </row>
    <row r="22" ht="15.75" customHeight="1">
      <c r="A22" s="146" t="n">
        <v>2</v>
      </c>
      <c r="B22" s="238" t="n"/>
      <c r="C22" s="399" t="n">
        <v>46027</v>
      </c>
      <c r="D22" s="162" t="inlineStr">
        <is>
          <t>219 G. SAN JOSE 2</t>
        </is>
      </c>
      <c r="E22" s="162" t="n">
        <v>45440</v>
      </c>
      <c r="F22" s="162" t="inlineStr">
        <is>
          <t>ALEX GOMEZ</t>
        </is>
      </c>
      <c r="G22" s="516" t="n">
        <v>3600</v>
      </c>
      <c r="H22" s="516" t="n">
        <v>3599</v>
      </c>
      <c r="I22" s="516" t="n">
        <v>2</v>
      </c>
      <c r="J22" s="516" t="n">
        <v>3</v>
      </c>
      <c r="K22" s="516" t="n">
        <v>4</v>
      </c>
      <c r="L22" s="395" t="n">
        <v>3600</v>
      </c>
      <c r="M22" s="113" t="n"/>
      <c r="N22" s="113" t="n"/>
      <c r="O22" s="113" t="n"/>
      <c r="P22" s="398" t="n"/>
      <c r="Q22" s="398" t="n"/>
      <c r="R22" s="113" t="n"/>
      <c r="S22" s="113" t="n"/>
      <c r="T22" s="113" t="n"/>
      <c r="U22" s="113" t="n"/>
      <c r="V22" s="113" t="n"/>
    </row>
    <row r="23" ht="15.75" customHeight="1">
      <c r="A23" s="146" t="n">
        <v>2</v>
      </c>
      <c r="B23" s="238" t="n"/>
      <c r="C23" s="399" t="n">
        <v>46027</v>
      </c>
      <c r="D23" s="162" t="inlineStr">
        <is>
          <t>219 G. SAN JOSE 2</t>
        </is>
      </c>
      <c r="E23" s="162" t="n">
        <v>45441</v>
      </c>
      <c r="F23" s="162" t="inlineStr">
        <is>
          <t>ROBINSON PULIDO</t>
        </is>
      </c>
      <c r="G23" s="516" t="n">
        <v>3750</v>
      </c>
      <c r="H23" s="516" t="n">
        <v>3747</v>
      </c>
      <c r="I23" s="516" t="n">
        <v>3</v>
      </c>
      <c r="J23" s="516" t="n">
        <v>4</v>
      </c>
      <c r="K23" s="516" t="n">
        <v>4</v>
      </c>
      <c r="L23" s="395" t="n">
        <v>3750</v>
      </c>
      <c r="M23" s="113" t="n"/>
      <c r="N23" s="113" t="n"/>
      <c r="O23" s="113" t="n"/>
      <c r="P23" s="398" t="n"/>
      <c r="Q23" s="398" t="n"/>
      <c r="R23" s="113" t="n"/>
      <c r="S23" s="113" t="n"/>
      <c r="T23" s="113" t="n"/>
      <c r="U23" s="113" t="n"/>
      <c r="V23" s="113" t="n"/>
    </row>
    <row r="24" ht="15.75" customHeight="1">
      <c r="A24" s="146" t="n">
        <v>2</v>
      </c>
      <c r="B24" s="238" t="n"/>
      <c r="C24" s="399" t="n">
        <v>46027</v>
      </c>
      <c r="D24" s="162" t="inlineStr">
        <is>
          <t>219 G. SAN JOSE 2</t>
        </is>
      </c>
      <c r="E24" s="162" t="n">
        <v>45442</v>
      </c>
      <c r="F24" s="162" t="inlineStr">
        <is>
          <t>FERNANDO OYUELA</t>
        </is>
      </c>
      <c r="G24" s="516" t="n">
        <v>3750</v>
      </c>
      <c r="H24" s="516" t="n">
        <v>3747</v>
      </c>
      <c r="I24" s="516" t="n">
        <v>3</v>
      </c>
      <c r="J24" s="516" t="n">
        <v>4</v>
      </c>
      <c r="K24" s="516" t="n">
        <v>4</v>
      </c>
      <c r="L24" s="395" t="n">
        <v>3750</v>
      </c>
      <c r="M24" s="113" t="n"/>
      <c r="N24" s="113" t="n"/>
      <c r="O24" s="113" t="n"/>
      <c r="P24" s="398" t="n"/>
      <c r="Q24" s="398" t="n"/>
      <c r="R24" s="113" t="n"/>
      <c r="S24" s="113" t="n"/>
      <c r="T24" s="113" t="n"/>
      <c r="U24" s="113" t="n"/>
      <c r="V24" s="113" t="n"/>
    </row>
    <row r="25" ht="15.75" customHeight="1">
      <c r="A25" s="146" t="n">
        <v>2</v>
      </c>
      <c r="B25" s="238" t="n"/>
      <c r="C25" s="399" t="n">
        <v>46027</v>
      </c>
      <c r="D25" s="162" t="inlineStr">
        <is>
          <t>219 G. SAN JOSE 2</t>
        </is>
      </c>
      <c r="E25" s="162" t="n">
        <v>45443</v>
      </c>
      <c r="F25" s="162" t="inlineStr">
        <is>
          <t>YAIR RIVEROS</t>
        </is>
      </c>
      <c r="G25" s="516" t="n">
        <v>3750</v>
      </c>
      <c r="H25" s="516" t="n">
        <v>3709</v>
      </c>
      <c r="I25" s="516" t="n">
        <v>3</v>
      </c>
      <c r="J25" s="516" t="n">
        <v>6</v>
      </c>
      <c r="K25" s="516" t="n">
        <v>-32</v>
      </c>
      <c r="L25" s="395" t="n">
        <v>3750</v>
      </c>
      <c r="M25" s="113" t="n"/>
      <c r="N25" s="113" t="n"/>
      <c r="O25" s="113" t="n"/>
      <c r="P25" s="398" t="n"/>
      <c r="Q25" s="398" t="n"/>
      <c r="R25" s="113" t="n"/>
      <c r="S25" s="113" t="n"/>
      <c r="T25" s="113" t="n"/>
      <c r="U25" s="113" t="n"/>
      <c r="V25" s="113" t="n"/>
    </row>
    <row r="26" ht="15.75" customHeight="1">
      <c r="A26" s="146" t="n">
        <v>2</v>
      </c>
      <c r="B26" s="238" t="n"/>
      <c r="C26" s="399" t="n">
        <v>46027</v>
      </c>
      <c r="D26" s="162" t="inlineStr">
        <is>
          <t>219 G. SAN JOSE 2</t>
        </is>
      </c>
      <c r="E26" s="162" t="n">
        <v>45444</v>
      </c>
      <c r="F26" s="162" t="inlineStr">
        <is>
          <t>JOSE SOLER</t>
        </is>
      </c>
      <c r="G26" s="516" t="n">
        <v>3888</v>
      </c>
      <c r="H26" s="516" t="n">
        <v>3843</v>
      </c>
      <c r="I26" s="516" t="n">
        <v>2</v>
      </c>
      <c r="J26" s="516" t="n">
        <v>7</v>
      </c>
      <c r="K26" s="516" t="n">
        <v>-36</v>
      </c>
      <c r="L26" s="395" t="n">
        <v>3888</v>
      </c>
      <c r="M26" s="113" t="n"/>
      <c r="N26" s="113" t="n"/>
      <c r="O26" s="113" t="n"/>
      <c r="P26" s="398" t="n"/>
      <c r="Q26" s="398" t="n"/>
      <c r="R26" s="113" t="n"/>
      <c r="S26" s="113" t="n"/>
      <c r="T26" s="113" t="n"/>
      <c r="U26" s="113" t="n"/>
      <c r="V26" s="113" t="n"/>
    </row>
    <row r="27" ht="15.75" customHeight="1">
      <c r="A27" s="146" t="n">
        <v>2</v>
      </c>
      <c r="B27" s="238" t="n"/>
      <c r="C27" s="399" t="n">
        <v>46028</v>
      </c>
      <c r="D27" s="162" t="inlineStr">
        <is>
          <t>219 G. SAN JOSE 2</t>
        </is>
      </c>
      <c r="E27" s="162" t="n">
        <v>45453</v>
      </c>
      <c r="F27" s="162" t="inlineStr">
        <is>
          <t>DUMAR ANGARITA</t>
        </is>
      </c>
      <c r="G27" s="516" t="n">
        <v>3300</v>
      </c>
      <c r="H27" s="516" t="n">
        <v>3294</v>
      </c>
      <c r="I27" s="516" t="n">
        <v>2</v>
      </c>
      <c r="J27" s="516" t="n">
        <v>6</v>
      </c>
      <c r="K27" s="516" t="n">
        <v>2</v>
      </c>
      <c r="L27" s="395" t="n">
        <v>3300</v>
      </c>
      <c r="M27" s="113" t="n"/>
      <c r="N27" s="113" t="n"/>
      <c r="O27" s="113" t="n"/>
      <c r="P27" s="398" t="n"/>
      <c r="Q27" s="398" t="n"/>
      <c r="R27" s="113" t="n"/>
      <c r="S27" s="113" t="n"/>
      <c r="T27" s="113" t="n"/>
      <c r="U27" s="113" t="n"/>
      <c r="V27" s="113" t="n"/>
    </row>
    <row r="28" ht="15.75" customHeight="1">
      <c r="A28" s="146" t="n">
        <v>2</v>
      </c>
      <c r="B28" s="238" t="n"/>
      <c r="C28" s="399" t="n">
        <v>46028</v>
      </c>
      <c r="D28" s="162" t="inlineStr">
        <is>
          <t>219 G. SAN JOSE 2</t>
        </is>
      </c>
      <c r="E28" s="162" t="n">
        <v>45454</v>
      </c>
      <c r="F28" s="162" t="inlineStr">
        <is>
          <t>ALEX GOMEZ</t>
        </is>
      </c>
      <c r="G28" s="516" t="n">
        <v>3600</v>
      </c>
      <c r="H28" s="516" t="n">
        <v>3589</v>
      </c>
      <c r="I28" s="516" t="n">
        <v>4</v>
      </c>
      <c r="J28" s="516" t="n">
        <v>6</v>
      </c>
      <c r="K28" s="516" t="n">
        <v>-1</v>
      </c>
      <c r="L28" s="395" t="n">
        <v>3600</v>
      </c>
      <c r="M28" s="113" t="n"/>
      <c r="N28" s="113" t="n"/>
      <c r="O28" s="113" t="n"/>
      <c r="P28" s="398" t="n"/>
      <c r="Q28" s="398" t="n"/>
      <c r="R28" s="113" t="n"/>
      <c r="S28" s="113" t="n"/>
      <c r="T28" s="113" t="n"/>
      <c r="U28" s="113" t="n"/>
      <c r="V28" s="113" t="n"/>
    </row>
    <row r="29" ht="15.75" customHeight="1">
      <c r="A29" s="146" t="n">
        <v>2</v>
      </c>
      <c r="B29" s="238" t="n"/>
      <c r="C29" s="399" t="n">
        <v>46028</v>
      </c>
      <c r="D29" s="162" t="inlineStr">
        <is>
          <t>219 G. SAN JOSE 2</t>
        </is>
      </c>
      <c r="E29" s="162" t="n">
        <v>45455</v>
      </c>
      <c r="F29" s="162" t="inlineStr">
        <is>
          <t>ROBINSON PULIDO</t>
        </is>
      </c>
      <c r="G29" s="516" t="n">
        <v>3564</v>
      </c>
      <c r="H29" s="516" t="n">
        <v>3554</v>
      </c>
      <c r="I29" s="516" t="n">
        <v>5</v>
      </c>
      <c r="J29" s="516" t="n">
        <v>6</v>
      </c>
      <c r="K29" s="516" t="n">
        <v>1</v>
      </c>
      <c r="L29" s="395" t="n">
        <v>3564</v>
      </c>
      <c r="M29" s="113" t="n"/>
      <c r="N29" s="113" t="n"/>
      <c r="O29" s="113" t="n"/>
      <c r="P29" s="398" t="n"/>
      <c r="Q29" s="398" t="n"/>
      <c r="R29" s="113" t="n"/>
      <c r="S29" s="113" t="n"/>
      <c r="T29" s="113" t="n"/>
      <c r="U29" s="113" t="n"/>
      <c r="V29" s="113" t="n"/>
    </row>
    <row r="30" ht="15.75" customHeight="1">
      <c r="A30" s="146" t="n">
        <v>2</v>
      </c>
      <c r="B30" s="238" t="n"/>
      <c r="C30" s="399" t="n">
        <v>46028</v>
      </c>
      <c r="D30" s="162" t="inlineStr">
        <is>
          <t>219 G. SAN JOSE 2</t>
        </is>
      </c>
      <c r="E30" s="162" t="n">
        <v>45456</v>
      </c>
      <c r="F30" s="162" t="inlineStr">
        <is>
          <t>JOSE SOLER</t>
        </is>
      </c>
      <c r="G30" s="516" t="n">
        <v>3564</v>
      </c>
      <c r="H30" s="516" t="n">
        <v>3548</v>
      </c>
      <c r="I30" s="516" t="n">
        <v>5</v>
      </c>
      <c r="J30" s="516" t="n">
        <v>12</v>
      </c>
      <c r="K30" s="516" t="n">
        <v>1</v>
      </c>
      <c r="L30" s="395" t="n">
        <v>3564</v>
      </c>
      <c r="M30" s="113" t="n"/>
      <c r="N30" s="113" t="n"/>
      <c r="O30" s="113" t="n"/>
      <c r="P30" s="398" t="n"/>
      <c r="Q30" s="398" t="n"/>
      <c r="R30" s="113" t="n"/>
      <c r="S30" s="113" t="n"/>
      <c r="T30" s="113" t="n"/>
      <c r="U30" s="113" t="n"/>
      <c r="V30" s="113" t="n"/>
    </row>
    <row r="31" ht="15.75" customHeight="1">
      <c r="A31" s="146" t="n">
        <v>2</v>
      </c>
      <c r="B31" s="238" t="n"/>
      <c r="C31" s="399" t="n">
        <v>46028</v>
      </c>
      <c r="D31" s="162" t="inlineStr">
        <is>
          <t>219 G. SAN JOSE 2</t>
        </is>
      </c>
      <c r="E31" s="162" t="n">
        <v>45457</v>
      </c>
      <c r="F31" s="162" t="inlineStr">
        <is>
          <t>FERNANDO OYUELA</t>
        </is>
      </c>
      <c r="G31" s="516" t="n">
        <v>3888</v>
      </c>
      <c r="H31" s="516" t="n">
        <v>3870</v>
      </c>
      <c r="I31" s="516" t="n">
        <v>8</v>
      </c>
      <c r="J31" s="516" t="n">
        <v>10</v>
      </c>
      <c r="K31" s="516" t="n">
        <v>0</v>
      </c>
      <c r="L31" s="395" t="n">
        <v>3888</v>
      </c>
      <c r="M31" s="113" t="n"/>
      <c r="N31" s="113" t="n"/>
      <c r="O31" s="113" t="n"/>
      <c r="P31" s="398" t="n"/>
      <c r="Q31" s="398" t="n"/>
      <c r="R31" s="113" t="n"/>
      <c r="S31" s="113" t="n"/>
      <c r="T31" s="113" t="n"/>
      <c r="U31" s="113" t="n"/>
      <c r="V31" s="113" t="n"/>
    </row>
    <row r="32" ht="15.75" customHeight="1">
      <c r="A32" s="146" t="n">
        <v>2</v>
      </c>
      <c r="B32" s="238" t="n"/>
      <c r="C32" s="399" t="n">
        <v>46030</v>
      </c>
      <c r="D32" s="162" t="inlineStr">
        <is>
          <t>221 G. MALAGUEÑA</t>
        </is>
      </c>
      <c r="E32" s="162" t="n">
        <v>45486</v>
      </c>
      <c r="F32" s="162" t="inlineStr">
        <is>
          <t>JHON ARIAS</t>
        </is>
      </c>
      <c r="G32" s="519" t="n">
        <v>3260</v>
      </c>
      <c r="H32" s="519" t="n">
        <v>3244</v>
      </c>
      <c r="I32" s="516" t="n">
        <v>3</v>
      </c>
      <c r="J32" s="516" t="n">
        <v>5</v>
      </c>
      <c r="K32" s="516" t="n">
        <v>-8</v>
      </c>
      <c r="L32" s="494" t="n">
        <v>3260</v>
      </c>
      <c r="M32" s="113" t="n"/>
      <c r="N32" s="113" t="n"/>
      <c r="O32" s="113" t="n"/>
      <c r="P32" s="398" t="n"/>
      <c r="Q32" s="398" t="n"/>
      <c r="R32" s="520">
        <f>+P32-Q32</f>
        <v/>
      </c>
      <c r="S32" s="113" t="n"/>
      <c r="T32" s="113" t="n"/>
      <c r="U32" s="113" t="n"/>
      <c r="V32" s="113" t="n"/>
    </row>
    <row r="33" ht="15.75" customHeight="1">
      <c r="A33" s="146" t="n">
        <v>2</v>
      </c>
      <c r="B33" s="238" t="n"/>
      <c r="C33" s="399" t="n">
        <v>46030</v>
      </c>
      <c r="D33" s="162" t="inlineStr">
        <is>
          <t>221 G. MALAGUEÑA</t>
        </is>
      </c>
      <c r="E33" s="162" t="n">
        <v>45487</v>
      </c>
      <c r="F33" s="162" t="inlineStr">
        <is>
          <t>YAIR RIVEROS</t>
        </is>
      </c>
      <c r="G33" s="516" t="n">
        <v>3260</v>
      </c>
      <c r="H33" s="516" t="n">
        <v>3250</v>
      </c>
      <c r="I33" s="516" t="n">
        <v>3</v>
      </c>
      <c r="J33" s="516" t="n">
        <v>10</v>
      </c>
      <c r="K33" s="516" t="n">
        <v>3</v>
      </c>
      <c r="L33" s="395" t="n">
        <v>3260</v>
      </c>
      <c r="M33" s="113" t="n"/>
      <c r="N33" s="113" t="n"/>
      <c r="O33" s="113" t="n"/>
      <c r="P33" s="398" t="n"/>
      <c r="Q33" s="398" t="n"/>
      <c r="R33" s="113" t="n"/>
      <c r="S33" s="113" t="n"/>
      <c r="T33" s="113" t="n"/>
      <c r="U33" s="113" t="n"/>
      <c r="V33" s="113" t="n"/>
    </row>
    <row r="34" ht="15.75" customHeight="1">
      <c r="A34" s="146" t="n">
        <v>2</v>
      </c>
      <c r="B34" s="238" t="n"/>
      <c r="C34" s="399" t="n">
        <v>46030</v>
      </c>
      <c r="D34" s="162" t="inlineStr">
        <is>
          <t>221 G. MALAGUEÑA</t>
        </is>
      </c>
      <c r="E34" s="162" t="n">
        <v>45488</v>
      </c>
      <c r="F34" s="162" t="inlineStr">
        <is>
          <t>ALBERTO HERRERA</t>
        </is>
      </c>
      <c r="G34" s="516" t="n">
        <v>3260</v>
      </c>
      <c r="H34" s="516" t="n">
        <v>3254</v>
      </c>
      <c r="I34" s="516" t="n">
        <v>4</v>
      </c>
      <c r="J34" s="516" t="n">
        <v>12</v>
      </c>
      <c r="K34" s="516" t="n">
        <v>10</v>
      </c>
      <c r="L34" s="395" t="n">
        <v>3260</v>
      </c>
      <c r="M34" s="113" t="n"/>
      <c r="N34" s="113" t="n"/>
      <c r="O34" s="113" t="n"/>
      <c r="P34" s="398" t="n"/>
      <c r="Q34" s="398" t="n"/>
      <c r="R34" s="113" t="n"/>
      <c r="S34" s="113" t="n"/>
      <c r="T34" s="113" t="n"/>
      <c r="U34" s="113" t="n"/>
      <c r="V34" s="113" t="n"/>
    </row>
    <row r="35" ht="15.75" customHeight="1">
      <c r="A35" s="146" t="n">
        <v>2</v>
      </c>
      <c r="B35" s="238" t="n"/>
      <c r="C35" s="399" t="n">
        <v>46030</v>
      </c>
      <c r="D35" s="162" t="inlineStr">
        <is>
          <t>221 G. MALAGUEÑA</t>
        </is>
      </c>
      <c r="E35" s="162" t="n">
        <v>45489</v>
      </c>
      <c r="F35" s="162" t="inlineStr">
        <is>
          <t>HENRY ROMERO</t>
        </is>
      </c>
      <c r="G35" s="516" t="n">
        <v>3260</v>
      </c>
      <c r="H35" s="516" t="n">
        <v>3254</v>
      </c>
      <c r="I35" s="516" t="n">
        <v>2</v>
      </c>
      <c r="J35" s="516" t="n">
        <v>7</v>
      </c>
      <c r="K35" s="516" t="n">
        <v>3</v>
      </c>
      <c r="L35" s="395" t="n">
        <v>1570</v>
      </c>
      <c r="M35" s="113" t="n"/>
      <c r="N35" s="113" t="n"/>
      <c r="O35" s="113" t="n"/>
      <c r="P35" s="398" t="n"/>
      <c r="Q35" s="398" t="n"/>
      <c r="R35" s="113" t="n"/>
      <c r="S35" s="113" t="n"/>
      <c r="T35" s="113" t="n"/>
      <c r="U35" s="113" t="n"/>
      <c r="V35" s="113" t="n"/>
    </row>
    <row r="36" ht="15.75" customHeight="1">
      <c r="A36" s="146" t="n">
        <v>2</v>
      </c>
      <c r="B36" s="238" t="n"/>
      <c r="C36" s="399" t="n">
        <v>46030</v>
      </c>
      <c r="D36" s="162" t="inlineStr">
        <is>
          <t>221 G. MALAGUEÑA</t>
        </is>
      </c>
      <c r="E36" s="162" t="n">
        <v>45490</v>
      </c>
      <c r="F36" s="162" t="inlineStr">
        <is>
          <t>JOSE SOLER</t>
        </is>
      </c>
      <c r="G36" s="516" t="n">
        <v>3260</v>
      </c>
      <c r="H36" s="516" t="n">
        <v>3255</v>
      </c>
      <c r="I36" s="516" t="n">
        <v>3</v>
      </c>
      <c r="J36" s="516" t="n">
        <v>7</v>
      </c>
      <c r="K36" s="516" t="n">
        <v>5</v>
      </c>
      <c r="L36" s="395" t="n">
        <v>3260</v>
      </c>
      <c r="M36" s="113" t="n"/>
      <c r="N36" s="113" t="n"/>
      <c r="O36" s="113" t="n"/>
      <c r="P36" s="398" t="n"/>
      <c r="Q36" s="398" t="n"/>
      <c r="R36" s="113" t="n"/>
      <c r="S36" s="113" t="n"/>
      <c r="T36" s="113" t="n"/>
      <c r="U36" s="113" t="n"/>
      <c r="V36" s="113" t="n"/>
    </row>
    <row r="37" ht="15.75" customHeight="1">
      <c r="A37" s="146" t="n">
        <v>2</v>
      </c>
      <c r="B37" s="238" t="n"/>
      <c r="C37" s="399" t="n">
        <v>46030</v>
      </c>
      <c r="D37" s="162" t="inlineStr">
        <is>
          <t>221 G. MALAGUEÑA</t>
        </is>
      </c>
      <c r="E37" s="162" t="n">
        <v>45491</v>
      </c>
      <c r="F37" s="162" t="inlineStr">
        <is>
          <t>DIEGO NIÑO</t>
        </is>
      </c>
      <c r="G37" s="516" t="n">
        <v>3260</v>
      </c>
      <c r="H37" s="516" t="n">
        <v>3249</v>
      </c>
      <c r="I37" s="516" t="n">
        <v>4</v>
      </c>
      <c r="J37" s="516" t="n">
        <v>21</v>
      </c>
      <c r="K37" s="516" t="n">
        <v>14</v>
      </c>
      <c r="L37" s="395" t="n">
        <v>3260</v>
      </c>
      <c r="M37" s="113" t="n"/>
      <c r="N37" s="113" t="n"/>
      <c r="O37" s="113" t="n"/>
      <c r="P37" s="398" t="n"/>
      <c r="Q37" s="398" t="n"/>
      <c r="R37" s="113" t="n"/>
      <c r="S37" s="113" t="n"/>
      <c r="T37" s="113" t="n"/>
      <c r="U37" s="113" t="n"/>
      <c r="V37" s="113" t="n"/>
    </row>
    <row r="38" ht="15.75" customHeight="1">
      <c r="A38" s="146" t="n">
        <v>2</v>
      </c>
      <c r="B38" s="238" t="n"/>
      <c r="C38" s="399" t="n">
        <v>46030</v>
      </c>
      <c r="D38" s="162" t="inlineStr">
        <is>
          <t>221 G. MALAGUEÑA</t>
        </is>
      </c>
      <c r="E38" s="162" t="n">
        <v>45492</v>
      </c>
      <c r="F38" s="162" t="inlineStr">
        <is>
          <t>MANUEL QUITIAN</t>
        </is>
      </c>
      <c r="G38" s="516" t="n">
        <v>1570</v>
      </c>
      <c r="H38" s="516" t="n">
        <v>1589</v>
      </c>
      <c r="I38" s="516" t="n">
        <v>3</v>
      </c>
      <c r="J38" s="516" t="n">
        <v>1</v>
      </c>
      <c r="K38" s="516" t="n">
        <v>23</v>
      </c>
      <c r="L38" s="395" t="n">
        <v>3260</v>
      </c>
      <c r="M38" s="113" t="n"/>
      <c r="N38" s="113" t="n"/>
      <c r="O38" s="113" t="n"/>
      <c r="P38" s="398" t="n"/>
      <c r="Q38" s="398" t="n"/>
      <c r="R38" s="113" t="n"/>
      <c r="S38" s="113" t="n"/>
      <c r="T38" s="113" t="n"/>
      <c r="U38" s="113" t="n"/>
      <c r="V38" s="113" t="n"/>
    </row>
    <row r="39" ht="15.75" customHeight="1">
      <c r="A39" s="146" t="n">
        <v>2</v>
      </c>
      <c r="B39" s="238" t="n"/>
      <c r="C39" s="399" t="n">
        <v>46031</v>
      </c>
      <c r="D39" s="162" t="inlineStr">
        <is>
          <t>221 G. MALAGUEÑA</t>
        </is>
      </c>
      <c r="E39" s="162" t="n">
        <v>45504</v>
      </c>
      <c r="F39" s="162" t="inlineStr">
        <is>
          <t>JHON ARIAS</t>
        </is>
      </c>
      <c r="G39" s="516" t="n">
        <v>3050</v>
      </c>
      <c r="H39" s="516" t="n">
        <v>3037</v>
      </c>
      <c r="I39" s="516" t="n">
        <v>2</v>
      </c>
      <c r="J39" s="516" t="n">
        <v>7</v>
      </c>
      <c r="K39" s="516" t="n">
        <v>-4</v>
      </c>
      <c r="L39" s="395" t="n">
        <v>3050</v>
      </c>
      <c r="M39" s="113" t="n"/>
      <c r="N39" s="113" t="n"/>
      <c r="O39" s="113" t="n"/>
      <c r="P39" s="398" t="n"/>
      <c r="Q39" s="398" t="n"/>
      <c r="R39" s="113" t="n"/>
      <c r="S39" s="113" t="n"/>
      <c r="T39" s="113" t="n"/>
      <c r="U39" s="113" t="n"/>
      <c r="V39" s="113" t="n"/>
    </row>
    <row r="40" ht="15.75" customHeight="1">
      <c r="A40" s="146" t="n">
        <v>2</v>
      </c>
      <c r="B40" s="238" t="n"/>
      <c r="C40" s="399" t="n">
        <v>46031</v>
      </c>
      <c r="D40" s="162" t="inlineStr">
        <is>
          <t>221 G. MALAGUEÑA</t>
        </is>
      </c>
      <c r="E40" s="162" t="n">
        <v>45505</v>
      </c>
      <c r="F40" s="162" t="inlineStr">
        <is>
          <t>JOSE SOLER</t>
        </is>
      </c>
      <c r="G40" s="516" t="n">
        <v>3050</v>
      </c>
      <c r="H40" s="516" t="n">
        <v>3032</v>
      </c>
      <c r="I40" s="516" t="n">
        <v>4</v>
      </c>
      <c r="J40" s="516" t="n">
        <v>8</v>
      </c>
      <c r="K40" s="516" t="n">
        <v>-6</v>
      </c>
      <c r="L40" s="395" t="n">
        <v>3050</v>
      </c>
      <c r="M40" s="113" t="n"/>
      <c r="N40" s="113" t="n"/>
      <c r="O40" s="113" t="n"/>
      <c r="P40" s="398" t="n"/>
      <c r="Q40" s="398" t="n"/>
      <c r="R40" s="113" t="n"/>
      <c r="S40" s="113" t="n"/>
      <c r="T40" s="113" t="n"/>
      <c r="U40" s="113" t="n"/>
      <c r="V40" s="113" t="n"/>
    </row>
    <row r="41" ht="15.75" customHeight="1">
      <c r="A41" s="146" t="n">
        <v>2</v>
      </c>
      <c r="B41" s="238" t="n"/>
      <c r="C41" s="399" t="n">
        <v>46031</v>
      </c>
      <c r="D41" s="162" t="inlineStr">
        <is>
          <t>221 G. MALAGUEÑA</t>
        </is>
      </c>
      <c r="E41" s="162" t="n">
        <v>45506</v>
      </c>
      <c r="F41" s="162" t="inlineStr">
        <is>
          <t>FERNANDO OYUELA</t>
        </is>
      </c>
      <c r="G41" s="516" t="n">
        <v>3050</v>
      </c>
      <c r="H41" s="516" t="n">
        <v>3036</v>
      </c>
      <c r="I41" s="516" t="n">
        <v>3</v>
      </c>
      <c r="J41" s="516" t="n">
        <v>7</v>
      </c>
      <c r="K41" s="516" t="n">
        <v>-4</v>
      </c>
      <c r="L41" s="395" t="n">
        <v>3050</v>
      </c>
      <c r="M41" s="113" t="n"/>
      <c r="N41" s="113" t="n"/>
      <c r="O41" s="113" t="n"/>
      <c r="P41" s="398" t="n"/>
      <c r="Q41" s="398" t="n"/>
      <c r="R41" s="113" t="n"/>
      <c r="S41" s="113" t="n"/>
      <c r="T41" s="113" t="n"/>
      <c r="U41" s="113" t="n"/>
      <c r="V41" s="113" t="n"/>
    </row>
    <row r="42" ht="15.75" customHeight="1">
      <c r="A42" s="146" t="n">
        <v>2</v>
      </c>
      <c r="B42" s="238" t="n"/>
      <c r="C42" s="399" t="n">
        <v>46031</v>
      </c>
      <c r="D42" s="162" t="inlineStr">
        <is>
          <t>221 G. MALAGUEÑA</t>
        </is>
      </c>
      <c r="E42" s="162" t="n">
        <v>45510</v>
      </c>
      <c r="F42" s="162" t="inlineStr">
        <is>
          <t>EDUAN CAVIEDES</t>
        </is>
      </c>
      <c r="G42" s="516" t="n">
        <v>3050</v>
      </c>
      <c r="H42" s="516" t="n">
        <v>3052</v>
      </c>
      <c r="I42" s="516" t="n">
        <v>2</v>
      </c>
      <c r="J42" s="516" t="n">
        <v>3</v>
      </c>
      <c r="K42" s="516" t="n">
        <v>7</v>
      </c>
      <c r="L42" s="395" t="n">
        <v>3050</v>
      </c>
      <c r="M42" s="113" t="n"/>
      <c r="N42" s="113" t="n"/>
      <c r="O42" s="113" t="n"/>
      <c r="P42" s="398" t="n"/>
      <c r="Q42" s="398" t="n"/>
      <c r="R42" s="113" t="n"/>
      <c r="S42" s="113" t="n"/>
      <c r="T42" s="113" t="n"/>
      <c r="U42" s="113" t="n"/>
      <c r="V42" s="113" t="n"/>
    </row>
    <row r="43" ht="15.75" customHeight="1">
      <c r="A43" s="146" t="n">
        <v>2</v>
      </c>
      <c r="B43" s="238" t="n"/>
      <c r="C43" s="399" t="n">
        <v>46031</v>
      </c>
      <c r="D43" s="162" t="inlineStr">
        <is>
          <t>221 G. MALAGUEÑA</t>
        </is>
      </c>
      <c r="E43" s="162" t="n">
        <v>45511</v>
      </c>
      <c r="F43" s="162" t="inlineStr">
        <is>
          <t>DUMAR ANGARITA</t>
        </is>
      </c>
      <c r="G43" s="516" t="n">
        <v>3050</v>
      </c>
      <c r="H43" s="516" t="n">
        <v>3050</v>
      </c>
      <c r="I43" s="516" t="n">
        <v>3</v>
      </c>
      <c r="J43" s="516" t="n">
        <v>1</v>
      </c>
      <c r="K43" s="516" t="n">
        <v>4</v>
      </c>
      <c r="L43" s="395" t="n">
        <v>3050</v>
      </c>
      <c r="M43" s="113" t="n"/>
      <c r="N43" s="113" t="n"/>
      <c r="O43" s="113" t="n"/>
      <c r="P43" s="398" t="n"/>
      <c r="Q43" s="398" t="n"/>
      <c r="R43" s="113" t="n"/>
      <c r="S43" s="113" t="n"/>
      <c r="T43" s="113" t="n"/>
      <c r="U43" s="113" t="n"/>
      <c r="V43" s="113" t="n"/>
    </row>
    <row r="44" ht="15.75" customHeight="1">
      <c r="A44" s="146" t="n">
        <v>2</v>
      </c>
      <c r="B44" s="238" t="n"/>
      <c r="C44" s="399" t="n">
        <v>46031</v>
      </c>
      <c r="D44" s="162" t="inlineStr">
        <is>
          <t>221 G. MALAGUEÑA</t>
        </is>
      </c>
      <c r="E44" s="162" t="n">
        <v>45512</v>
      </c>
      <c r="F44" s="162" t="inlineStr">
        <is>
          <t>JOSE HERRERA</t>
        </is>
      </c>
      <c r="G44" s="516" t="n">
        <v>3050</v>
      </c>
      <c r="H44" s="516" t="n">
        <v>3050</v>
      </c>
      <c r="I44" s="516" t="n">
        <v>3</v>
      </c>
      <c r="J44" s="516" t="n">
        <v>2</v>
      </c>
      <c r="K44" s="516" t="n">
        <v>5</v>
      </c>
      <c r="L44" s="395" t="n">
        <v>3050</v>
      </c>
      <c r="M44" s="113" t="n"/>
      <c r="N44" s="113" t="n"/>
      <c r="O44" s="113" t="n"/>
      <c r="P44" s="398" t="n"/>
      <c r="Q44" s="398" t="n"/>
      <c r="R44" s="113" t="n"/>
      <c r="S44" s="113" t="n"/>
      <c r="T44" s="113" t="n"/>
      <c r="U44" s="113" t="n"/>
      <c r="V44" s="113" t="n"/>
    </row>
    <row r="45" ht="15.75" customHeight="1">
      <c r="A45" s="146" t="n">
        <v>2</v>
      </c>
      <c r="B45" s="238" t="n"/>
      <c r="C45" s="399" t="n">
        <v>46031</v>
      </c>
      <c r="D45" s="162" t="inlineStr">
        <is>
          <t>219 G. SAN JOSE 2</t>
        </is>
      </c>
      <c r="E45" s="162" t="n">
        <v>45513</v>
      </c>
      <c r="F45" s="162" t="inlineStr">
        <is>
          <t>DIEGO NIÑO</t>
        </is>
      </c>
      <c r="G45" s="516" t="n">
        <v>3360</v>
      </c>
      <c r="H45" s="516" t="n">
        <v>3353</v>
      </c>
      <c r="I45" s="516" t="n">
        <v>8</v>
      </c>
      <c r="J45" s="516" t="n">
        <v>7</v>
      </c>
      <c r="K45" s="516" t="n">
        <v>8</v>
      </c>
      <c r="L45" s="395" t="n">
        <v>3360</v>
      </c>
      <c r="M45" s="113" t="n"/>
      <c r="N45" s="113" t="n"/>
      <c r="O45" s="113" t="n"/>
      <c r="P45" s="398" t="n"/>
      <c r="Q45" s="398" t="n"/>
      <c r="R45" s="113" t="n"/>
      <c r="S45" s="113" t="n"/>
      <c r="T45" s="113" t="n"/>
      <c r="U45" s="113" t="n"/>
      <c r="V45" s="113" t="n"/>
    </row>
    <row r="46" ht="15.75" customHeight="1">
      <c r="A46" s="146" t="n">
        <v>2</v>
      </c>
      <c r="B46" s="238" t="n"/>
      <c r="C46" s="399" t="n">
        <v>46031</v>
      </c>
      <c r="D46" s="162" t="inlineStr">
        <is>
          <t>219 G. SAN JOSE 2</t>
        </is>
      </c>
      <c r="E46" s="162" t="n">
        <v>45514</v>
      </c>
      <c r="F46" s="162" t="inlineStr">
        <is>
          <t>HENRY ROMERO</t>
        </is>
      </c>
      <c r="G46" s="516" t="n">
        <v>3360</v>
      </c>
      <c r="H46" s="516" t="n">
        <v>3341</v>
      </c>
      <c r="I46" s="516" t="n">
        <v>13</v>
      </c>
      <c r="J46" s="516" t="n">
        <v>10</v>
      </c>
      <c r="K46" s="516" t="n">
        <v>4</v>
      </c>
      <c r="L46" s="395" t="n">
        <v>3960</v>
      </c>
      <c r="M46" s="113" t="n"/>
      <c r="N46" s="113" t="n"/>
      <c r="O46" s="113" t="n"/>
      <c r="P46" s="398" t="n"/>
      <c r="Q46" s="398" t="n"/>
      <c r="R46" s="520">
        <f>+P46-Q46</f>
        <v/>
      </c>
      <c r="S46" s="113" t="n"/>
      <c r="T46" s="113" t="n"/>
      <c r="U46" s="113" t="n"/>
      <c r="V46" s="113" t="n"/>
    </row>
    <row r="47" ht="15.75" customHeight="1">
      <c r="A47" s="146" t="n">
        <v>2</v>
      </c>
      <c r="B47" s="238" t="n"/>
      <c r="C47" s="399" t="n">
        <v>46031</v>
      </c>
      <c r="D47" s="162" t="inlineStr">
        <is>
          <t>219 G. SAN JOSE 2</t>
        </is>
      </c>
      <c r="E47" s="162" t="n">
        <v>45515</v>
      </c>
      <c r="F47" s="162" t="inlineStr">
        <is>
          <t>ROBINSON PULIDO</t>
        </is>
      </c>
      <c r="G47" s="516" t="n">
        <v>3360</v>
      </c>
      <c r="H47" s="516" t="n">
        <v>3340</v>
      </c>
      <c r="I47" s="516" t="n">
        <v>11</v>
      </c>
      <c r="J47" s="516" t="n">
        <v>10</v>
      </c>
      <c r="K47" s="516" t="n">
        <v>1</v>
      </c>
      <c r="L47" s="395" t="n">
        <v>3360</v>
      </c>
      <c r="M47" s="113" t="n"/>
      <c r="N47" s="113" t="n"/>
      <c r="O47" s="113" t="n"/>
      <c r="P47" s="398" t="n"/>
      <c r="Q47" s="398" t="n"/>
      <c r="R47" s="113" t="n"/>
      <c r="S47" s="113" t="n"/>
      <c r="T47" s="113" t="n"/>
      <c r="U47" s="113" t="n"/>
      <c r="V47" s="113" t="n"/>
    </row>
    <row r="48" ht="15.75" customHeight="1">
      <c r="A48" s="146" t="n">
        <v>2</v>
      </c>
      <c r="B48" s="238" t="n"/>
      <c r="C48" s="399" t="n">
        <v>46031</v>
      </c>
      <c r="D48" s="162" t="inlineStr">
        <is>
          <t>219 G. SAN JOSE 2</t>
        </is>
      </c>
      <c r="E48" s="162" t="n">
        <v>45516</v>
      </c>
      <c r="F48" s="162" t="inlineStr">
        <is>
          <t>SEBASTIAN HIDALGO</t>
        </is>
      </c>
      <c r="G48" s="516" t="n">
        <v>3360</v>
      </c>
      <c r="H48" s="516" t="n">
        <v>3344</v>
      </c>
      <c r="I48" s="516" t="n">
        <v>12</v>
      </c>
      <c r="J48" s="516" t="n">
        <v>10</v>
      </c>
      <c r="K48" s="516" t="n">
        <v>6</v>
      </c>
      <c r="L48" s="395" t="n">
        <v>3360</v>
      </c>
      <c r="M48" s="113" t="n"/>
      <c r="N48" s="113" t="n"/>
      <c r="O48" s="113" t="n"/>
      <c r="P48" s="398" t="n"/>
      <c r="Q48" s="398" t="n"/>
      <c r="R48" s="113" t="n"/>
      <c r="S48" s="113" t="n"/>
      <c r="T48" s="113" t="n"/>
      <c r="U48" s="113" t="n"/>
      <c r="V48" s="113" t="n"/>
    </row>
    <row r="49" ht="15.75" customHeight="1">
      <c r="A49" s="146" t="n">
        <v>2</v>
      </c>
      <c r="B49" s="238" t="n"/>
      <c r="C49" s="399" t="n">
        <v>46031</v>
      </c>
      <c r="D49" s="162" t="inlineStr">
        <is>
          <t>219 G. SAN JOSE 2</t>
        </is>
      </c>
      <c r="E49" s="162" t="n">
        <v>45517</v>
      </c>
      <c r="F49" s="162" t="inlineStr">
        <is>
          <t>ALBERTO LOPEZ</t>
        </is>
      </c>
      <c r="G49" s="516" t="n">
        <v>3360</v>
      </c>
      <c r="H49" s="516" t="n">
        <v>3313</v>
      </c>
      <c r="I49" s="516" t="n">
        <v>14</v>
      </c>
      <c r="J49" s="516" t="n">
        <v>7</v>
      </c>
      <c r="K49" s="516" t="n">
        <v>-26</v>
      </c>
      <c r="L49" s="395" t="n">
        <v>3360</v>
      </c>
      <c r="M49" s="113" t="n"/>
      <c r="N49" s="113" t="n"/>
      <c r="O49" s="113" t="n"/>
      <c r="P49" s="398" t="n"/>
      <c r="Q49" s="398" t="n"/>
      <c r="R49" s="113" t="n"/>
      <c r="S49" s="113" t="n"/>
      <c r="T49" s="113" t="n"/>
      <c r="U49" s="113" t="n"/>
      <c r="V49" s="113" t="n"/>
    </row>
    <row r="50" ht="15.75" customHeight="1">
      <c r="A50" s="146" t="n">
        <v>2</v>
      </c>
      <c r="B50" s="238" t="n"/>
      <c r="C50" s="399" t="n">
        <v>46031</v>
      </c>
      <c r="D50" s="162" t="inlineStr">
        <is>
          <t>219 G. SAN JOSE 2</t>
        </is>
      </c>
      <c r="E50" s="162" t="n">
        <v>45518</v>
      </c>
      <c r="F50" s="162" t="inlineStr">
        <is>
          <t>YAIR RIVEROS</t>
        </is>
      </c>
      <c r="G50" s="516" t="n">
        <v>3360</v>
      </c>
      <c r="H50" s="516" t="n">
        <v>3328</v>
      </c>
      <c r="I50" s="516" t="n">
        <v>5</v>
      </c>
      <c r="J50" s="516" t="n">
        <v>7</v>
      </c>
      <c r="K50" s="516" t="n">
        <v>-20</v>
      </c>
      <c r="L50" s="395" t="n">
        <v>3360</v>
      </c>
      <c r="M50" s="113" t="n"/>
      <c r="N50" s="113" t="n"/>
      <c r="O50" s="113" t="n"/>
      <c r="P50" s="398" t="n"/>
      <c r="Q50" s="398" t="n"/>
      <c r="R50" s="113" t="n"/>
      <c r="S50" s="113" t="n"/>
      <c r="T50" s="113" t="n"/>
      <c r="U50" s="113" t="n"/>
      <c r="V50" s="113" t="n"/>
    </row>
    <row r="51" ht="15.75" customHeight="1">
      <c r="A51" s="146" t="n">
        <v>2</v>
      </c>
      <c r="B51" s="238" t="n"/>
      <c r="C51" s="399" t="n">
        <v>46031</v>
      </c>
      <c r="D51" s="162" t="inlineStr">
        <is>
          <t>219 G. SAN JOSE 2</t>
        </is>
      </c>
      <c r="E51" s="162" t="n">
        <v>45519</v>
      </c>
      <c r="F51" s="162" t="inlineStr">
        <is>
          <t>JHON ARIAS</t>
        </is>
      </c>
      <c r="G51" s="516" t="n">
        <v>3020</v>
      </c>
      <c r="H51" s="516" t="n">
        <v>2993</v>
      </c>
      <c r="I51" s="516" t="n">
        <v>4</v>
      </c>
      <c r="J51" s="516" t="n">
        <v>7</v>
      </c>
      <c r="K51" s="516" t="n">
        <v>-16</v>
      </c>
      <c r="L51" s="395" t="n">
        <v>2920</v>
      </c>
      <c r="M51" s="113" t="n"/>
      <c r="N51" s="113" t="n"/>
      <c r="O51" s="113" t="n"/>
      <c r="P51" s="398" t="n"/>
      <c r="Q51" s="398" t="n"/>
      <c r="R51" s="113" t="n"/>
      <c r="S51" s="113" t="n"/>
      <c r="T51" s="113" t="n"/>
      <c r="U51" s="113" t="n"/>
      <c r="V51" s="113" t="n"/>
    </row>
    <row r="52" ht="15.75" customHeight="1">
      <c r="A52" s="146" t="n">
        <v>2</v>
      </c>
      <c r="B52" s="238" t="n"/>
      <c r="C52" s="399" t="n"/>
      <c r="D52" s="162" t="n"/>
      <c r="E52" s="162" t="n"/>
      <c r="F52" s="162" t="n"/>
      <c r="G52" s="516" t="n"/>
      <c r="H52" s="516" t="n"/>
      <c r="I52" s="516" t="n"/>
      <c r="J52" s="516" t="n"/>
      <c r="K52" s="516" t="n"/>
      <c r="L52" s="518">
        <f>SUM(L19:L51)</f>
        <v/>
      </c>
      <c r="M52" s="113" t="n"/>
      <c r="N52" s="113" t="n"/>
      <c r="O52" s="113" t="n"/>
      <c r="P52" s="398" t="n"/>
      <c r="Q52" s="398" t="n"/>
      <c r="R52" s="113" t="n"/>
      <c r="S52" s="113" t="n"/>
      <c r="T52" s="113" t="n"/>
      <c r="U52" s="113" t="n"/>
      <c r="V52" s="113" t="n"/>
    </row>
    <row r="53" ht="15.75" customHeight="1">
      <c r="A53" s="146" t="n">
        <v>3</v>
      </c>
      <c r="B53" s="238" t="n"/>
      <c r="C53" s="164" t="n">
        <v>46033</v>
      </c>
      <c r="D53" s="165" t="inlineStr">
        <is>
          <t>221 G. MALAGUEÑA</t>
        </is>
      </c>
      <c r="E53" s="165" t="n">
        <v>45523</v>
      </c>
      <c r="F53" s="165" t="inlineStr">
        <is>
          <t>FERNANDO OYUELA</t>
        </is>
      </c>
      <c r="G53" s="165" t="n">
        <v>3560</v>
      </c>
      <c r="H53" s="165" t="n">
        <v>3559</v>
      </c>
      <c r="I53" s="165" t="n">
        <v>4</v>
      </c>
      <c r="J53" s="165" t="n">
        <v>4</v>
      </c>
      <c r="K53" s="165" t="n">
        <v>7</v>
      </c>
      <c r="L53" s="260" t="n">
        <v>3560</v>
      </c>
      <c r="M53" s="113" t="n"/>
      <c r="N53" s="113" t="n"/>
      <c r="O53" s="113" t="n"/>
      <c r="P53" s="398" t="n"/>
      <c r="Q53" s="398" t="n"/>
      <c r="R53" s="113" t="n"/>
      <c r="S53" s="113" t="n"/>
      <c r="T53" s="113" t="n"/>
      <c r="U53" s="113" t="n"/>
      <c r="V53" s="113" t="n"/>
    </row>
    <row r="54" ht="15.75" customHeight="1">
      <c r="A54" s="146" t="n">
        <v>3</v>
      </c>
      <c r="B54" s="238" t="n"/>
      <c r="C54" s="164" t="n">
        <v>46033</v>
      </c>
      <c r="D54" s="165" t="inlineStr">
        <is>
          <t>221 G. MALAGUEÑA</t>
        </is>
      </c>
      <c r="E54" s="165" t="n">
        <v>45524</v>
      </c>
      <c r="F54" s="165" t="inlineStr">
        <is>
          <t>YAIR RIVEROS</t>
        </is>
      </c>
      <c r="G54" s="165" t="n">
        <v>3560</v>
      </c>
      <c r="H54" s="165" t="n">
        <v>3561</v>
      </c>
      <c r="I54" s="165" t="n">
        <v>4</v>
      </c>
      <c r="J54" s="165" t="n">
        <v>3</v>
      </c>
      <c r="K54" s="165" t="n">
        <v>8</v>
      </c>
      <c r="L54" s="266" t="n">
        <v>3560</v>
      </c>
      <c r="M54" s="113" t="n"/>
      <c r="N54" s="113" t="n"/>
      <c r="O54" s="113" t="n"/>
      <c r="P54" s="398" t="n"/>
      <c r="Q54" s="398" t="n"/>
      <c r="R54" s="113" t="n"/>
      <c r="S54" s="113" t="n"/>
      <c r="T54" s="113" t="n"/>
      <c r="U54" s="113" t="n"/>
      <c r="V54" s="113" t="n"/>
    </row>
    <row r="55" ht="15.75" customHeight="1">
      <c r="A55" s="146" t="n">
        <v>3</v>
      </c>
      <c r="B55" s="238" t="n"/>
      <c r="C55" s="164" t="n">
        <v>46033</v>
      </c>
      <c r="D55" s="165" t="inlineStr">
        <is>
          <t>221 G. MALAGUEÑA</t>
        </is>
      </c>
      <c r="E55" s="165" t="n">
        <v>45525</v>
      </c>
      <c r="F55" s="165" t="inlineStr">
        <is>
          <t>ALBERTO LOPEZ</t>
        </is>
      </c>
      <c r="G55" s="165" t="n">
        <v>3560</v>
      </c>
      <c r="H55" s="165" t="n">
        <v>3558</v>
      </c>
      <c r="I55" s="165" t="n">
        <v>3</v>
      </c>
      <c r="J55" s="165" t="n">
        <v>4</v>
      </c>
      <c r="K55" s="165" t="n">
        <v>5</v>
      </c>
      <c r="L55" s="266" t="n">
        <v>3300</v>
      </c>
      <c r="M55" s="113" t="n"/>
      <c r="N55" s="113" t="n"/>
      <c r="O55" s="113" t="n"/>
      <c r="P55" s="398" t="n"/>
      <c r="Q55" s="398" t="n"/>
      <c r="R55" s="113" t="n"/>
      <c r="S55" s="113" t="n"/>
      <c r="T55" s="113" t="n"/>
      <c r="U55" s="113" t="n"/>
      <c r="V55" s="113" t="n"/>
    </row>
    <row r="56" ht="15.75" customHeight="1">
      <c r="A56" s="146" t="n">
        <v>3</v>
      </c>
      <c r="B56" s="238" t="n"/>
      <c r="C56" s="164" t="n">
        <v>46033</v>
      </c>
      <c r="D56" s="165" t="inlineStr">
        <is>
          <t>221 G. MALAGUEÑA</t>
        </is>
      </c>
      <c r="E56" s="166" t="n">
        <v>45526</v>
      </c>
      <c r="F56" s="166" t="inlineStr">
        <is>
          <t>JOSE HERRERA</t>
        </is>
      </c>
      <c r="G56" s="166" t="n">
        <v>3560</v>
      </c>
      <c r="H56" s="166" t="n">
        <v>3563</v>
      </c>
      <c r="I56" s="166" t="n">
        <v>3</v>
      </c>
      <c r="J56" s="166" t="n">
        <v>3</v>
      </c>
      <c r="K56" s="166" t="n">
        <v>9</v>
      </c>
      <c r="L56" s="266" t="n">
        <v>3430</v>
      </c>
      <c r="M56" s="113" t="n"/>
      <c r="N56" s="113" t="n"/>
      <c r="O56" s="113" t="n"/>
      <c r="P56" s="398" t="n"/>
      <c r="Q56" s="398" t="n"/>
      <c r="R56" s="520">
        <f>+P56-Q56</f>
        <v/>
      </c>
      <c r="S56" s="113" t="n"/>
      <c r="T56" s="113" t="n"/>
      <c r="U56" s="113" t="n"/>
      <c r="V56" s="113" t="n"/>
    </row>
    <row r="57" ht="15.75" customHeight="1">
      <c r="A57" s="146" t="n">
        <v>3</v>
      </c>
      <c r="B57" s="238" t="n"/>
      <c r="C57" s="164" t="n">
        <v>46033</v>
      </c>
      <c r="D57" s="165" t="inlineStr">
        <is>
          <t>221 G. MALAGUEÑA</t>
        </is>
      </c>
      <c r="E57" s="166" t="n">
        <v>45535</v>
      </c>
      <c r="F57" s="166" t="inlineStr">
        <is>
          <t>JOSE SOLER</t>
        </is>
      </c>
      <c r="G57" s="166" t="n">
        <v>3560</v>
      </c>
      <c r="H57" s="166" t="n">
        <v>3554</v>
      </c>
      <c r="I57" s="166" t="n">
        <v>5</v>
      </c>
      <c r="J57" s="166" t="n">
        <v>5</v>
      </c>
      <c r="K57" s="166" t="n">
        <v>4</v>
      </c>
      <c r="L57" s="266" t="n">
        <v>3560</v>
      </c>
      <c r="M57" s="113" t="n"/>
      <c r="N57" s="113" t="n"/>
      <c r="O57" s="113" t="n"/>
      <c r="P57" s="398" t="n"/>
      <c r="Q57" s="398" t="n"/>
      <c r="R57" s="113" t="n"/>
      <c r="S57" s="113" t="n"/>
      <c r="T57" s="113" t="n"/>
      <c r="U57" s="113" t="n"/>
      <c r="V57" s="113" t="n"/>
    </row>
    <row r="58" ht="15.75" customHeight="1">
      <c r="A58" s="146" t="n">
        <v>3</v>
      </c>
      <c r="B58" s="238" t="n"/>
      <c r="C58" s="164" t="n">
        <v>46033</v>
      </c>
      <c r="D58" s="165" t="inlineStr">
        <is>
          <t>221 G. MALAGUEÑA</t>
        </is>
      </c>
      <c r="E58" s="166" t="n">
        <v>45536</v>
      </c>
      <c r="F58" s="166" t="inlineStr">
        <is>
          <t>MANUEL QUITIAN</t>
        </is>
      </c>
      <c r="G58" s="166" t="n">
        <v>3300</v>
      </c>
      <c r="H58" s="166" t="n">
        <v>3294</v>
      </c>
      <c r="I58" s="166" t="n">
        <v>6</v>
      </c>
      <c r="J58" s="166" t="n">
        <v>4</v>
      </c>
      <c r="K58" s="166" t="n">
        <v>4</v>
      </c>
      <c r="L58" s="266" t="n">
        <v>3430</v>
      </c>
      <c r="M58" s="113" t="n"/>
      <c r="N58" s="113" t="n"/>
      <c r="O58" s="113" t="n"/>
      <c r="P58" s="398" t="n"/>
      <c r="Q58" s="398" t="n"/>
      <c r="R58" s="113" t="n"/>
      <c r="S58" s="113" t="n"/>
      <c r="T58" s="113" t="n"/>
      <c r="U58" s="113" t="n"/>
      <c r="V58" s="113" t="n"/>
    </row>
    <row r="59" ht="15.75" customHeight="1">
      <c r="A59" s="146" t="n">
        <v>3</v>
      </c>
      <c r="B59" s="238" t="n"/>
      <c r="C59" s="164" t="n">
        <v>46033</v>
      </c>
      <c r="D59" s="165" t="inlineStr">
        <is>
          <t>221 G. MALAGUEÑA</t>
        </is>
      </c>
      <c r="E59" s="166" t="n">
        <v>45537</v>
      </c>
      <c r="F59" s="166" t="inlineStr">
        <is>
          <t>YAIR RIVEROS</t>
        </is>
      </c>
      <c r="G59" s="166" t="n">
        <v>3430</v>
      </c>
      <c r="H59" s="166" t="n">
        <v>3424</v>
      </c>
      <c r="I59" s="166" t="n">
        <v>4</v>
      </c>
      <c r="J59" s="166" t="n">
        <v>7</v>
      </c>
      <c r="K59" s="166" t="n">
        <v>5</v>
      </c>
      <c r="L59" s="266" t="n">
        <v>3400</v>
      </c>
      <c r="M59" s="113" t="n"/>
      <c r="N59" s="113" t="n"/>
      <c r="O59" s="113" t="n"/>
      <c r="P59" s="398" t="n"/>
      <c r="Q59" s="398" t="n"/>
      <c r="R59" s="113" t="n"/>
      <c r="S59" s="113" t="n"/>
      <c r="T59" s="113" t="n"/>
      <c r="U59" s="113" t="n"/>
      <c r="V59" s="113" t="n"/>
    </row>
    <row r="60" ht="15.75" customHeight="1">
      <c r="A60" s="146" t="n">
        <v>3</v>
      </c>
      <c r="B60" s="238" t="n"/>
      <c r="C60" s="164" t="n">
        <v>46033</v>
      </c>
      <c r="D60" s="165" t="inlineStr">
        <is>
          <t>221 G. MALAGUEÑA</t>
        </is>
      </c>
      <c r="E60" s="166" t="n">
        <v>45538</v>
      </c>
      <c r="F60" s="166" t="inlineStr">
        <is>
          <t>JOSE HERRERA</t>
        </is>
      </c>
      <c r="G60" s="166" t="n">
        <v>3430</v>
      </c>
      <c r="H60" s="166" t="n">
        <v>3417</v>
      </c>
      <c r="I60" s="166" t="n">
        <v>4</v>
      </c>
      <c r="J60" s="166" t="n">
        <v>4</v>
      </c>
      <c r="K60" s="166" t="n">
        <v>-5</v>
      </c>
      <c r="L60" s="266" t="n">
        <v>3560</v>
      </c>
      <c r="M60" s="113" t="n"/>
      <c r="N60" s="113" t="n"/>
      <c r="O60" s="113" t="n"/>
      <c r="P60" s="398" t="n"/>
      <c r="Q60" s="398" t="n"/>
      <c r="R60" s="113" t="n"/>
      <c r="S60" s="113" t="n"/>
      <c r="T60" s="113" t="n"/>
      <c r="U60" s="113" t="n"/>
      <c r="V60" s="113" t="n"/>
    </row>
    <row r="61" ht="15.75" customHeight="1">
      <c r="A61" s="146" t="n">
        <v>3</v>
      </c>
      <c r="B61" s="238" t="n"/>
      <c r="C61" s="164" t="n">
        <v>46033</v>
      </c>
      <c r="D61" s="165" t="inlineStr">
        <is>
          <t>221 G. MALAGUEÑA</t>
        </is>
      </c>
      <c r="E61" s="166" t="n">
        <v>45539</v>
      </c>
      <c r="F61" s="166" t="inlineStr">
        <is>
          <t>HENRY ROMERO</t>
        </is>
      </c>
      <c r="G61" s="166" t="n">
        <v>3400</v>
      </c>
      <c r="H61" s="166" t="n">
        <v>3385</v>
      </c>
      <c r="I61" s="166" t="n">
        <v>6</v>
      </c>
      <c r="J61" s="166" t="n">
        <v>7</v>
      </c>
      <c r="K61" s="166" t="n">
        <v>-2</v>
      </c>
      <c r="L61" s="266" t="n">
        <v>3560</v>
      </c>
      <c r="M61" s="113" t="n"/>
      <c r="N61" s="113" t="n"/>
      <c r="O61" s="113" t="n"/>
      <c r="P61" s="398" t="n"/>
      <c r="Q61" s="398" t="n"/>
      <c r="R61" s="113" t="n"/>
      <c r="S61" s="113" t="n"/>
      <c r="T61" s="113" t="n"/>
      <c r="U61" s="113" t="n"/>
      <c r="V61" s="113" t="n"/>
    </row>
    <row r="62" ht="15.75" customHeight="1">
      <c r="A62" s="146" t="n">
        <v>3</v>
      </c>
      <c r="B62" s="238" t="n"/>
      <c r="C62" s="164" t="n">
        <v>46033</v>
      </c>
      <c r="D62" s="165" t="inlineStr">
        <is>
          <t>221 G. MALAGUEÑA</t>
        </is>
      </c>
      <c r="E62" s="166" t="n">
        <v>45540</v>
      </c>
      <c r="F62" s="166" t="inlineStr">
        <is>
          <t>EDUAN CAVIEDES</t>
        </is>
      </c>
      <c r="G62" s="166" t="n">
        <v>3430</v>
      </c>
      <c r="H62" s="166" t="n">
        <v>3401</v>
      </c>
      <c r="I62" s="166" t="n">
        <v>6</v>
      </c>
      <c r="J62" s="166" t="n">
        <v>11</v>
      </c>
      <c r="K62" s="166" t="n">
        <v>-12</v>
      </c>
      <c r="L62" s="266" t="n">
        <v>3430</v>
      </c>
      <c r="M62" s="113" t="n"/>
      <c r="N62" s="113" t="n"/>
      <c r="O62" s="113" t="n"/>
      <c r="P62" s="398" t="n"/>
      <c r="Q62" s="398" t="n"/>
      <c r="R62" s="113" t="n"/>
      <c r="S62" s="113" t="n"/>
      <c r="T62" s="113" t="n"/>
      <c r="U62" s="113" t="n"/>
      <c r="V62" s="113" t="n"/>
    </row>
    <row r="63" ht="15.75" customHeight="1">
      <c r="A63" s="146" t="n">
        <v>3</v>
      </c>
      <c r="B63" s="238" t="n"/>
      <c r="C63" s="164" t="n">
        <v>46033</v>
      </c>
      <c r="D63" s="165" t="inlineStr">
        <is>
          <t>219 G. SAN JOSE 2</t>
        </is>
      </c>
      <c r="E63" s="166" t="n">
        <v>45548</v>
      </c>
      <c r="F63" s="166" t="inlineStr">
        <is>
          <t>JHON ARIAS</t>
        </is>
      </c>
      <c r="G63" s="166" t="n">
        <v>3564</v>
      </c>
      <c r="H63" s="166" t="n">
        <v>3552</v>
      </c>
      <c r="I63" s="166" t="n">
        <v>3</v>
      </c>
      <c r="J63" s="166" t="n">
        <v>4</v>
      </c>
      <c r="K63" s="166" t="n">
        <v>-5</v>
      </c>
      <c r="L63" s="266" t="n">
        <v>3564</v>
      </c>
      <c r="M63" s="113" t="n"/>
      <c r="N63" s="113" t="n"/>
      <c r="O63" s="113" t="n"/>
      <c r="P63" s="398" t="n"/>
      <c r="Q63" s="398" t="n"/>
      <c r="R63" s="146">
        <f>+P63-Q63</f>
        <v/>
      </c>
      <c r="S63" s="113" t="n"/>
      <c r="T63" s="113" t="n"/>
      <c r="U63" s="113" t="n"/>
      <c r="V63" s="113" t="n"/>
    </row>
    <row r="64" ht="15.75" customHeight="1">
      <c r="A64" s="146" t="n">
        <v>3</v>
      </c>
      <c r="B64" s="238" t="n"/>
      <c r="C64" s="164" t="n">
        <v>46033</v>
      </c>
      <c r="D64" s="165" t="inlineStr">
        <is>
          <t>219 G. SAN JOSE 2</t>
        </is>
      </c>
      <c r="E64" s="166" t="n">
        <v>45549</v>
      </c>
      <c r="F64" s="166" t="inlineStr">
        <is>
          <t>SEBASTIAN HIDALGO</t>
        </is>
      </c>
      <c r="G64" s="166" t="n">
        <v>3564</v>
      </c>
      <c r="H64" s="166" t="n">
        <v>3550</v>
      </c>
      <c r="I64" s="166" t="n">
        <v>2</v>
      </c>
      <c r="J64" s="166" t="n">
        <v>3</v>
      </c>
      <c r="K64" s="166" t="n">
        <v>-9</v>
      </c>
      <c r="L64" s="266" t="n">
        <v>3564</v>
      </c>
      <c r="M64" s="113" t="n"/>
      <c r="N64" s="113" t="n"/>
      <c r="O64" s="113" t="n"/>
      <c r="P64" s="398" t="n"/>
      <c r="Q64" s="398" t="n"/>
      <c r="R64" s="113" t="n"/>
      <c r="S64" s="113" t="n"/>
      <c r="T64" s="113" t="n"/>
      <c r="U64" s="113" t="n"/>
      <c r="V64" s="113" t="n"/>
    </row>
    <row r="65" ht="15.75" customHeight="1">
      <c r="A65" s="146" t="n">
        <v>3</v>
      </c>
      <c r="B65" s="238" t="n"/>
      <c r="C65" s="164" t="n">
        <v>46033</v>
      </c>
      <c r="D65" s="165" t="inlineStr">
        <is>
          <t>219 G. SAN JOSE 2</t>
        </is>
      </c>
      <c r="E65" s="166" t="n">
        <v>45550</v>
      </c>
      <c r="F65" s="166" t="inlineStr">
        <is>
          <t>JOSE SOLER</t>
        </is>
      </c>
      <c r="G65" s="166" t="n">
        <v>3564</v>
      </c>
      <c r="H65" s="166" t="n">
        <v>3549</v>
      </c>
      <c r="I65" s="166" t="n">
        <v>4</v>
      </c>
      <c r="J65" s="166" t="n">
        <v>5</v>
      </c>
      <c r="K65" s="166" t="n">
        <v>-6</v>
      </c>
      <c r="L65" s="266" t="n">
        <v>3564</v>
      </c>
      <c r="M65" s="113" t="n"/>
      <c r="N65" s="113" t="n"/>
      <c r="O65" s="113" t="n"/>
      <c r="P65" s="113" t="n"/>
      <c r="Q65" s="398" t="n"/>
      <c r="R65" s="113" t="n"/>
      <c r="S65" s="113" t="n"/>
      <c r="T65" s="113" t="n"/>
      <c r="U65" s="113" t="n"/>
      <c r="V65" s="113" t="n"/>
    </row>
    <row r="66" ht="15.75" customHeight="1">
      <c r="A66" s="146" t="n">
        <v>3</v>
      </c>
      <c r="B66" s="238" t="n"/>
      <c r="C66" s="164" t="n">
        <v>46033</v>
      </c>
      <c r="D66" s="165" t="inlineStr">
        <is>
          <t>219 G. SAN JOSE 2</t>
        </is>
      </c>
      <c r="E66" s="166" t="n">
        <v>45551</v>
      </c>
      <c r="F66" s="166" t="inlineStr">
        <is>
          <t>ALEX GOMEZ</t>
        </is>
      </c>
      <c r="G66" s="166" t="n">
        <v>3600</v>
      </c>
      <c r="H66" s="166" t="n">
        <v>3585</v>
      </c>
      <c r="I66" s="166" t="n">
        <v>3</v>
      </c>
      <c r="J66" s="166" t="n">
        <v>3</v>
      </c>
      <c r="K66" s="166" t="n">
        <v>-9</v>
      </c>
      <c r="L66" s="284" t="n">
        <v>3600</v>
      </c>
      <c r="M66" s="113" t="n"/>
      <c r="N66" s="113" t="n"/>
      <c r="O66" s="113" t="n"/>
      <c r="P66" s="398" t="n"/>
      <c r="Q66" s="398" t="n"/>
      <c r="R66" s="113" t="n"/>
      <c r="S66" s="113" t="n"/>
      <c r="T66" s="113" t="n"/>
      <c r="U66" s="113" t="n"/>
      <c r="V66" s="113" t="n"/>
    </row>
    <row r="67" ht="15.75" customHeight="1">
      <c r="A67" s="146" t="n">
        <v>3</v>
      </c>
      <c r="B67" s="238" t="n"/>
      <c r="C67" s="164" t="n">
        <v>46035</v>
      </c>
      <c r="D67" s="165" t="inlineStr">
        <is>
          <t>221 G. MALAGUEÑA</t>
        </is>
      </c>
      <c r="E67" s="166" t="n">
        <v>45552</v>
      </c>
      <c r="F67" s="166" t="inlineStr">
        <is>
          <t>FABIO ALDANA</t>
        </is>
      </c>
      <c r="G67" s="166" t="n">
        <v>3396</v>
      </c>
      <c r="H67" s="166" t="n">
        <v>3388</v>
      </c>
      <c r="I67" s="166" t="n">
        <v>4</v>
      </c>
      <c r="J67" s="166" t="n">
        <v>4</v>
      </c>
      <c r="K67" s="166" t="n">
        <v>0</v>
      </c>
      <c r="L67" s="260" t="n">
        <v>3400</v>
      </c>
      <c r="M67" s="113" t="n"/>
      <c r="N67" s="395" t="n"/>
      <c r="O67" s="113" t="n"/>
      <c r="P67" s="398" t="n"/>
      <c r="Q67" s="398" t="n"/>
      <c r="R67" s="113" t="n"/>
      <c r="S67" s="113" t="n"/>
      <c r="T67" s="113" t="n"/>
      <c r="U67" s="113" t="n"/>
      <c r="V67" s="113" t="n"/>
    </row>
    <row r="68" ht="15.75" customHeight="1">
      <c r="A68" s="146" t="n">
        <v>3</v>
      </c>
      <c r="B68" s="238" t="n"/>
      <c r="C68" s="164" t="n">
        <v>46035</v>
      </c>
      <c r="D68" s="165" t="inlineStr">
        <is>
          <t>221 G. MALAGUEÑA</t>
        </is>
      </c>
      <c r="E68" s="166" t="n">
        <v>45553</v>
      </c>
      <c r="F68" s="166" t="inlineStr">
        <is>
          <t>SEBASTIAN HIDALGO</t>
        </is>
      </c>
      <c r="G68" s="166" t="n">
        <v>3396</v>
      </c>
      <c r="H68" s="166" t="n">
        <v>3387</v>
      </c>
      <c r="I68" s="166" t="n">
        <v>3</v>
      </c>
      <c r="J68" s="166" t="n">
        <v>6</v>
      </c>
      <c r="K68" s="166" t="n">
        <v>0</v>
      </c>
      <c r="L68" s="266" t="n">
        <v>3400</v>
      </c>
      <c r="M68" s="113" t="n"/>
      <c r="N68" s="113" t="n"/>
      <c r="O68" s="113" t="n"/>
      <c r="P68" s="398" t="n"/>
      <c r="Q68" s="398" t="n"/>
      <c r="R68" s="113" t="n"/>
      <c r="S68" s="113" t="n"/>
      <c r="T68" s="113" t="n"/>
      <c r="U68" s="113" t="n"/>
      <c r="V68" s="113" t="n"/>
    </row>
    <row r="69" ht="15.75" customHeight="1">
      <c r="A69" s="146" t="n">
        <v>3</v>
      </c>
      <c r="B69" s="238" t="n"/>
      <c r="C69" s="164" t="n">
        <v>46035</v>
      </c>
      <c r="D69" s="165" t="inlineStr">
        <is>
          <t>221 G. MALAGUEÑA</t>
        </is>
      </c>
      <c r="E69" s="166" t="n">
        <v>45554</v>
      </c>
      <c r="F69" s="166" t="inlineStr">
        <is>
          <t>EDUAN CAVIEDES</t>
        </is>
      </c>
      <c r="G69" s="166" t="n">
        <v>3396</v>
      </c>
      <c r="H69" s="166" t="n">
        <v>3390</v>
      </c>
      <c r="I69" s="166" t="n">
        <v>2</v>
      </c>
      <c r="J69" s="166" t="n">
        <v>4</v>
      </c>
      <c r="K69" s="166" t="n">
        <v>0</v>
      </c>
      <c r="L69" s="266" t="n">
        <v>3400</v>
      </c>
      <c r="M69" s="113" t="n"/>
      <c r="N69" s="395" t="n"/>
      <c r="O69" s="113" t="n"/>
      <c r="P69" s="398" t="n"/>
      <c r="Q69" s="398" t="n"/>
      <c r="R69" s="520">
        <f>+P69-Q69</f>
        <v/>
      </c>
      <c r="S69" s="423">
        <f>+N69+N63+N56+N46+N32+N14</f>
        <v/>
      </c>
      <c r="T69" s="521">
        <f>+O69+O63+O56+O46+O32+O14</f>
        <v/>
      </c>
      <c r="U69" s="425">
        <f>+T69-S69</f>
        <v/>
      </c>
      <c r="V69" s="426">
        <f>+U69-Q69</f>
        <v/>
      </c>
    </row>
    <row r="70" ht="15.75" customHeight="1">
      <c r="A70" s="146" t="n">
        <v>3</v>
      </c>
      <c r="B70" s="238" t="n"/>
      <c r="C70" s="164" t="n">
        <v>46035</v>
      </c>
      <c r="D70" s="165" t="inlineStr">
        <is>
          <t>221 G. MALAGUEÑA</t>
        </is>
      </c>
      <c r="E70" s="166" t="n">
        <v>45555</v>
      </c>
      <c r="F70" s="166" t="inlineStr">
        <is>
          <t>ALBERTO LOPEZ</t>
        </is>
      </c>
      <c r="G70" s="166" t="n">
        <v>3400</v>
      </c>
      <c r="H70" s="166" t="n">
        <v>3394</v>
      </c>
      <c r="I70" s="166" t="n">
        <v>2</v>
      </c>
      <c r="J70" s="166" t="n">
        <v>4</v>
      </c>
      <c r="K70" s="166" t="n">
        <v>0</v>
      </c>
      <c r="L70" s="266" t="n">
        <v>3400</v>
      </c>
      <c r="M70" s="395" t="n"/>
      <c r="N70" s="395" t="n"/>
      <c r="O70" s="113" t="n"/>
      <c r="P70" s="113" t="n"/>
      <c r="Q70" s="113" t="n"/>
      <c r="R70" s="520">
        <f>SUM(R4:R69)</f>
        <v/>
      </c>
      <c r="S70" s="113" t="n"/>
      <c r="T70" s="113" t="n"/>
      <c r="U70" s="113" t="n"/>
      <c r="V70" s="113" t="n"/>
    </row>
    <row r="71" ht="15.75" customHeight="1">
      <c r="A71" s="146" t="n">
        <v>3</v>
      </c>
      <c r="B71" s="238" t="n"/>
      <c r="C71" s="164" t="n">
        <v>46035</v>
      </c>
      <c r="D71" s="165" t="inlineStr">
        <is>
          <t>221 G. MALAGUEÑA</t>
        </is>
      </c>
      <c r="E71" s="166" t="n">
        <v>45556</v>
      </c>
      <c r="F71" s="166" t="inlineStr">
        <is>
          <t>FERNANDO OYUELA</t>
        </is>
      </c>
      <c r="G71" s="166" t="n">
        <v>2240</v>
      </c>
      <c r="H71" s="166" t="n">
        <v>2237</v>
      </c>
      <c r="I71" s="166" t="n">
        <v>2</v>
      </c>
      <c r="J71" s="166" t="n">
        <v>2</v>
      </c>
      <c r="K71" s="166" t="n">
        <v>1</v>
      </c>
      <c r="L71" s="266" t="n">
        <v>2240</v>
      </c>
      <c r="M71" s="395" t="n"/>
      <c r="N71" s="113" t="n"/>
      <c r="O71" s="113" t="n"/>
      <c r="P71" s="398" t="n"/>
      <c r="Q71" s="398" t="n"/>
      <c r="R71" s="113" t="n"/>
      <c r="S71" s="113" t="n"/>
      <c r="T71" s="113" t="n"/>
      <c r="U71" s="113" t="n"/>
      <c r="V71" s="113" t="n"/>
    </row>
    <row r="72" ht="15.75" customHeight="1">
      <c r="A72" s="146" t="n">
        <v>3</v>
      </c>
      <c r="B72" s="238" t="n"/>
      <c r="C72" s="164" t="n">
        <v>46035</v>
      </c>
      <c r="D72" s="165" t="inlineStr">
        <is>
          <t>219 G. SAN JOSE 2</t>
        </is>
      </c>
      <c r="E72" s="165" t="n">
        <v>45559</v>
      </c>
      <c r="F72" s="165" t="inlineStr">
        <is>
          <t>FABIO ALDANA</t>
        </is>
      </c>
      <c r="G72" s="165" t="n">
        <v>3570</v>
      </c>
      <c r="H72" s="165" t="n">
        <v>3551</v>
      </c>
      <c r="I72" s="165" t="n">
        <v>14</v>
      </c>
      <c r="J72" s="165" t="n">
        <v>5</v>
      </c>
      <c r="K72" s="165" t="n">
        <v>0</v>
      </c>
      <c r="L72" s="266" t="n">
        <v>3570</v>
      </c>
      <c r="M72" s="239" t="n"/>
      <c r="N72" s="113" t="n"/>
      <c r="O72" s="113" t="n"/>
      <c r="P72" s="398" t="n"/>
      <c r="Q72" s="398" t="n"/>
      <c r="R72" s="113" t="n"/>
      <c r="S72" s="113" t="n"/>
      <c r="T72" s="113" t="n"/>
      <c r="U72" s="113" t="n"/>
      <c r="V72" s="113" t="n"/>
    </row>
    <row r="73" ht="15.75" customHeight="1">
      <c r="A73" s="146" t="n">
        <v>3</v>
      </c>
      <c r="B73" s="238" t="n"/>
      <c r="C73" s="164" t="n">
        <v>46035</v>
      </c>
      <c r="D73" s="165" t="inlineStr">
        <is>
          <t>219 G. SAN JOSE 2</t>
        </is>
      </c>
      <c r="E73" s="165" t="n">
        <v>45567</v>
      </c>
      <c r="F73" s="165" t="inlineStr">
        <is>
          <t>SEBASTIAN HIDALGO</t>
        </is>
      </c>
      <c r="G73" s="165" t="n">
        <v>3570</v>
      </c>
      <c r="H73" s="165" t="n">
        <v>3584</v>
      </c>
      <c r="I73" s="165" t="n">
        <v>4</v>
      </c>
      <c r="J73" s="165" t="n">
        <v>2</v>
      </c>
      <c r="K73" s="165" t="n">
        <v>20</v>
      </c>
      <c r="L73" s="266" t="n">
        <v>3560</v>
      </c>
      <c r="M73" s="239" t="n"/>
      <c r="N73" s="113" t="n"/>
      <c r="O73" s="113" t="n"/>
      <c r="P73" s="398" t="n"/>
      <c r="Q73" s="398" t="n"/>
      <c r="R73" s="113" t="n"/>
      <c r="S73" s="113" t="n"/>
      <c r="T73" s="113" t="n"/>
      <c r="U73" s="113" t="n"/>
      <c r="V73" s="113" t="n"/>
    </row>
    <row r="74" ht="15.75" customHeight="1">
      <c r="A74" s="146" t="n">
        <v>3</v>
      </c>
      <c r="B74" s="238" t="n"/>
      <c r="C74" s="164" t="n">
        <v>46035</v>
      </c>
      <c r="D74" s="165" t="inlineStr">
        <is>
          <t>219 G. SAN JOSE 2</t>
        </is>
      </c>
      <c r="E74" s="166" t="n">
        <v>45568</v>
      </c>
      <c r="F74" s="166" t="inlineStr">
        <is>
          <t>EDUAN CAVIEDES</t>
        </is>
      </c>
      <c r="G74" s="166" t="n">
        <v>3564</v>
      </c>
      <c r="H74" s="166" t="n">
        <v>3577</v>
      </c>
      <c r="I74" s="166" t="n">
        <v>4</v>
      </c>
      <c r="J74" s="166" t="n">
        <v>4</v>
      </c>
      <c r="K74" s="166" t="n">
        <v>21</v>
      </c>
      <c r="L74" s="266" t="n">
        <v>3564</v>
      </c>
      <c r="M74" s="239" t="n"/>
      <c r="N74" s="113" t="n"/>
      <c r="O74" s="113" t="n"/>
      <c r="P74" s="398" t="n"/>
      <c r="Q74" s="398" t="n"/>
      <c r="R74" s="113" t="n"/>
      <c r="S74" s="113" t="n"/>
      <c r="T74" s="113" t="n"/>
      <c r="U74" s="113" t="n"/>
      <c r="V74" s="113" t="n"/>
    </row>
    <row r="75" ht="15.75" customHeight="1">
      <c r="A75" s="146" t="n">
        <v>3</v>
      </c>
      <c r="B75" s="238" t="n"/>
      <c r="C75" s="164" t="n">
        <v>46035</v>
      </c>
      <c r="D75" s="165" t="inlineStr">
        <is>
          <t>219 G. SAN JOSE 2</t>
        </is>
      </c>
      <c r="E75" s="166" t="n">
        <v>45569</v>
      </c>
      <c r="F75" s="166" t="inlineStr">
        <is>
          <t>ALBERTO LOPEZ</t>
        </is>
      </c>
      <c r="G75" s="166" t="n">
        <v>3421</v>
      </c>
      <c r="H75" s="166" t="n">
        <v>3434</v>
      </c>
      <c r="I75" s="166" t="n">
        <v>3</v>
      </c>
      <c r="J75" s="166" t="n">
        <v>6</v>
      </c>
      <c r="K75" s="166" t="n">
        <v>22</v>
      </c>
      <c r="L75" s="266" t="n">
        <v>3421</v>
      </c>
      <c r="M75" s="239" t="n"/>
      <c r="N75" s="113" t="n"/>
      <c r="O75" s="113" t="n"/>
      <c r="P75" s="398" t="n"/>
      <c r="Q75" s="398" t="n"/>
      <c r="R75" s="113" t="n"/>
      <c r="S75" s="113" t="n"/>
      <c r="T75" s="113" t="n"/>
      <c r="U75" s="113" t="n"/>
      <c r="V75" s="113" t="n"/>
    </row>
    <row r="76" ht="15.75" customHeight="1">
      <c r="A76" s="146" t="n">
        <v>3</v>
      </c>
      <c r="B76" s="238" t="n"/>
      <c r="C76" s="164" t="n">
        <v>46035</v>
      </c>
      <c r="D76" s="165" t="inlineStr">
        <is>
          <t>219 G. SAN JOSE 2</t>
        </is>
      </c>
      <c r="E76" s="166" t="n">
        <v>45570</v>
      </c>
      <c r="F76" s="166" t="inlineStr">
        <is>
          <t>FERNANDO OYUELA</t>
        </is>
      </c>
      <c r="G76" s="166" t="n">
        <v>3421</v>
      </c>
      <c r="H76" s="166" t="n">
        <v>3433</v>
      </c>
      <c r="I76" s="166" t="n">
        <v>4</v>
      </c>
      <c r="J76" s="166" t="n">
        <v>4</v>
      </c>
      <c r="K76" s="166" t="n">
        <v>20</v>
      </c>
      <c r="L76" s="266" t="n">
        <v>3421</v>
      </c>
      <c r="M76" s="239" t="n"/>
      <c r="N76" s="113" t="n"/>
      <c r="O76" s="113" t="n"/>
      <c r="P76" s="398" t="n"/>
      <c r="Q76" s="398" t="n"/>
      <c r="R76" s="113" t="n"/>
      <c r="S76" s="113" t="n"/>
      <c r="T76" s="113" t="n"/>
      <c r="U76" s="113" t="n"/>
      <c r="V76" s="113" t="n"/>
    </row>
    <row r="77" ht="15.75" customHeight="1">
      <c r="A77" s="146" t="n">
        <v>3</v>
      </c>
      <c r="B77" s="238" t="n"/>
      <c r="C77" s="164" t="n">
        <v>46035</v>
      </c>
      <c r="D77" s="165" t="inlineStr">
        <is>
          <t>219 G. SAN JOSE 2</t>
        </is>
      </c>
      <c r="E77" s="166" t="n">
        <v>45571</v>
      </c>
      <c r="F77" s="166" t="inlineStr">
        <is>
          <t>WILMER PIÑEROS</t>
        </is>
      </c>
      <c r="G77" s="166" t="n">
        <v>3421</v>
      </c>
      <c r="H77" s="166" t="n">
        <v>3427</v>
      </c>
      <c r="I77" s="166" t="n">
        <v>3</v>
      </c>
      <c r="J77" s="166" t="n">
        <v>5</v>
      </c>
      <c r="K77" s="166" t="n">
        <v>14</v>
      </c>
      <c r="L77" s="266" t="n">
        <v>3421</v>
      </c>
      <c r="M77" s="239" t="n"/>
      <c r="N77" s="113" t="n"/>
      <c r="O77" s="113" t="n"/>
      <c r="P77" s="398" t="n"/>
      <c r="Q77" s="398" t="n"/>
      <c r="R77" s="113" t="n"/>
      <c r="S77" s="113" t="n"/>
      <c r="T77" s="113" t="n"/>
      <c r="U77" s="113" t="n"/>
      <c r="V77" s="113" t="n"/>
    </row>
    <row r="78" ht="15.75" customHeight="1">
      <c r="A78" s="146" t="n">
        <v>3</v>
      </c>
      <c r="B78" s="238" t="n"/>
      <c r="C78" s="164" t="n">
        <v>46035</v>
      </c>
      <c r="D78" s="165" t="inlineStr">
        <is>
          <t>219 G. SAN JOSE 2</t>
        </is>
      </c>
      <c r="E78" s="166" t="n">
        <v>45572</v>
      </c>
      <c r="F78" s="166" t="inlineStr">
        <is>
          <t>ALBERTO HERRERA</t>
        </is>
      </c>
      <c r="G78" s="166" t="n">
        <v>3420</v>
      </c>
      <c r="H78" s="166" t="n">
        <v>3423</v>
      </c>
      <c r="I78" s="166" t="n">
        <v>5</v>
      </c>
      <c r="J78" s="166" t="n">
        <v>4</v>
      </c>
      <c r="K78" s="166" t="n">
        <v>12</v>
      </c>
      <c r="L78" s="266" t="n">
        <v>3421</v>
      </c>
      <c r="M78" s="239" t="n"/>
      <c r="N78" s="113" t="n"/>
      <c r="O78" s="113" t="n"/>
      <c r="P78" s="398" t="n"/>
      <c r="Q78" s="398" t="n"/>
      <c r="R78" s="113" t="n"/>
      <c r="S78" s="113" t="n"/>
      <c r="T78" s="113" t="n"/>
      <c r="U78" s="113" t="n"/>
      <c r="V78" s="113" t="n"/>
    </row>
    <row r="79" ht="15.75" customHeight="1">
      <c r="A79" s="146" t="n">
        <v>3</v>
      </c>
      <c r="B79" s="238" t="n"/>
      <c r="C79" s="164" t="n">
        <v>46035</v>
      </c>
      <c r="D79" s="165" t="inlineStr">
        <is>
          <t>219 G. SAN JOSE 2</t>
        </is>
      </c>
      <c r="E79" s="166" t="n">
        <v>45576</v>
      </c>
      <c r="F79" s="166" t="inlineStr">
        <is>
          <t>DUMAR ANGARITA</t>
        </is>
      </c>
      <c r="G79" s="166" t="n">
        <v>3421</v>
      </c>
      <c r="H79" s="166" t="n">
        <v>3439</v>
      </c>
      <c r="I79" s="166" t="n">
        <v>3</v>
      </c>
      <c r="J79" s="166" t="n">
        <v>3</v>
      </c>
      <c r="K79" s="166" t="n">
        <v>24</v>
      </c>
      <c r="L79" s="266" t="n">
        <v>3421</v>
      </c>
      <c r="M79" s="239" t="n"/>
      <c r="N79" s="113" t="n"/>
      <c r="O79" s="113" t="n"/>
      <c r="P79" s="398" t="n"/>
      <c r="Q79" s="398" t="n"/>
      <c r="R79" s="113" t="n"/>
      <c r="S79" s="113" t="n"/>
      <c r="T79" s="113" t="n"/>
      <c r="U79" s="113" t="n"/>
      <c r="V79" s="113" t="n"/>
    </row>
    <row r="80" ht="15.75" customHeight="1">
      <c r="A80" s="146" t="n">
        <v>3</v>
      </c>
      <c r="B80" s="238" t="n"/>
      <c r="C80" s="164" t="n">
        <v>46035</v>
      </c>
      <c r="D80" s="165" t="inlineStr">
        <is>
          <t>219 G. SAN JOSE 2</t>
        </is>
      </c>
      <c r="E80" s="166" t="n">
        <v>45577</v>
      </c>
      <c r="F80" s="166" t="inlineStr">
        <is>
          <t>ALEXANDER CHAGUALA</t>
        </is>
      </c>
      <c r="G80" s="166" t="n">
        <v>3421</v>
      </c>
      <c r="H80" s="166" t="n">
        <v>3442</v>
      </c>
      <c r="I80" s="166" t="n">
        <v>4</v>
      </c>
      <c r="J80" s="166" t="n">
        <v>6</v>
      </c>
      <c r="K80" s="166" t="n">
        <v>31</v>
      </c>
      <c r="L80" s="266" t="n">
        <v>3421</v>
      </c>
      <c r="M80" s="239" t="n"/>
      <c r="N80" s="113" t="n"/>
      <c r="O80" s="395" t="n"/>
      <c r="P80" s="494" t="n"/>
      <c r="Q80" s="398" t="n"/>
      <c r="R80" s="113" t="n"/>
      <c r="S80" s="113" t="n"/>
      <c r="T80" s="113" t="n"/>
      <c r="U80" s="113" t="n"/>
      <c r="V80" s="113" t="n"/>
    </row>
    <row r="81" ht="15.75" customHeight="1">
      <c r="A81" s="146" t="n">
        <v>3</v>
      </c>
      <c r="B81" s="238" t="n"/>
      <c r="C81" s="164" t="n">
        <v>46035</v>
      </c>
      <c r="D81" s="165" t="inlineStr">
        <is>
          <t>219 G. SAN JOSE 2</t>
        </is>
      </c>
      <c r="E81" s="166" t="n">
        <v>45578</v>
      </c>
      <c r="F81" s="166" t="inlineStr">
        <is>
          <t>HENRY ROMERO</t>
        </is>
      </c>
      <c r="G81" s="166" t="n">
        <v>3421</v>
      </c>
      <c r="H81" s="166" t="n">
        <v>3495</v>
      </c>
      <c r="I81" s="166" t="n">
        <v>1</v>
      </c>
      <c r="J81" s="166" t="n">
        <v>5</v>
      </c>
      <c r="K81" s="166" t="n">
        <v>80</v>
      </c>
      <c r="L81" s="284" t="n">
        <v>3421</v>
      </c>
      <c r="M81" s="239" t="n"/>
      <c r="N81" s="113" t="n"/>
      <c r="O81" s="113" t="n"/>
      <c r="P81" s="398" t="n"/>
      <c r="Q81" s="398" t="n"/>
      <c r="R81" s="113" t="n"/>
      <c r="S81" s="113" t="n"/>
      <c r="T81" s="113" t="n"/>
      <c r="U81" s="113" t="n"/>
      <c r="V81" s="113" t="n"/>
    </row>
    <row r="82" ht="15.75" customHeight="1">
      <c r="A82" s="146" t="n">
        <v>3</v>
      </c>
      <c r="B82" s="238" t="n"/>
      <c r="C82" s="164" t="n">
        <v>46036</v>
      </c>
      <c r="D82" s="165" t="inlineStr">
        <is>
          <t>219 G. SAN JOSE 2</t>
        </is>
      </c>
      <c r="E82" s="166" t="n">
        <v>45582</v>
      </c>
      <c r="F82" s="166" t="inlineStr">
        <is>
          <t>ALEXANDER CHAGUALA</t>
        </is>
      </c>
      <c r="G82" s="166" t="n">
        <v>3500</v>
      </c>
      <c r="H82" s="166" t="n">
        <v>3545</v>
      </c>
      <c r="I82" s="166" t="n">
        <v>8</v>
      </c>
      <c r="J82" s="166" t="n">
        <v>5</v>
      </c>
      <c r="K82" s="166" t="n">
        <v>58</v>
      </c>
      <c r="L82" s="260" t="n">
        <v>2692</v>
      </c>
      <c r="M82" s="239" t="n"/>
      <c r="N82" s="113" t="n"/>
      <c r="O82" s="113" t="n"/>
      <c r="P82" s="398" t="n"/>
      <c r="Q82" s="398" t="n"/>
      <c r="R82" s="113" t="n"/>
      <c r="S82" s="113" t="n"/>
      <c r="T82" s="113" t="n"/>
      <c r="U82" s="113" t="n"/>
      <c r="V82" s="113" t="n"/>
    </row>
    <row r="83" ht="15.75" customHeight="1">
      <c r="A83" s="146" t="n">
        <v>3</v>
      </c>
      <c r="B83" s="238" t="n"/>
      <c r="C83" s="164" t="n">
        <v>46036</v>
      </c>
      <c r="D83" s="165" t="inlineStr">
        <is>
          <t>219 G. SAN JOSE 2</t>
        </is>
      </c>
      <c r="E83" s="166" t="n">
        <v>45583</v>
      </c>
      <c r="F83" s="166" t="inlineStr">
        <is>
          <t>HENRY ROMERO</t>
        </is>
      </c>
      <c r="G83" s="166" t="n">
        <v>3500</v>
      </c>
      <c r="H83" s="166" t="n">
        <v>3478</v>
      </c>
      <c r="I83" s="166" t="n">
        <v>7</v>
      </c>
      <c r="J83" s="166" t="n">
        <v>5</v>
      </c>
      <c r="K83" s="166" t="n">
        <v>-10</v>
      </c>
      <c r="L83" s="266" t="n">
        <v>2692</v>
      </c>
      <c r="M83" s="239" t="n"/>
      <c r="N83" s="113" t="n"/>
      <c r="O83" s="113" t="n"/>
      <c r="P83" s="398" t="n"/>
      <c r="Q83" s="398" t="n"/>
      <c r="R83" s="113" t="n"/>
      <c r="S83" s="113" t="n"/>
      <c r="T83" s="113" t="n"/>
      <c r="U83" s="113" t="n"/>
      <c r="V83" s="113" t="n"/>
    </row>
    <row r="84" ht="15.75" customHeight="1">
      <c r="A84" s="146" t="n">
        <v>3</v>
      </c>
      <c r="B84" s="238" t="n"/>
      <c r="C84" s="164" t="n">
        <v>46036</v>
      </c>
      <c r="D84" s="165" t="inlineStr">
        <is>
          <t>219 G. SAN JOSE 2</t>
        </is>
      </c>
      <c r="E84" s="166" t="n">
        <v>45584</v>
      </c>
      <c r="F84" s="166" t="inlineStr">
        <is>
          <t>YAIR RIVEROS</t>
        </is>
      </c>
      <c r="G84" s="166" t="n">
        <v>3500</v>
      </c>
      <c r="H84" s="166" t="n">
        <v>3480</v>
      </c>
      <c r="I84" s="166" t="n">
        <v>8</v>
      </c>
      <c r="J84" s="166" t="n">
        <v>2</v>
      </c>
      <c r="K84" s="166" t="n">
        <v>-10</v>
      </c>
      <c r="L84" s="266" t="n">
        <v>2700</v>
      </c>
      <c r="M84" s="239" t="n"/>
      <c r="N84" s="113" t="n"/>
      <c r="O84" s="113" t="n"/>
      <c r="P84" s="398" t="n"/>
      <c r="Q84" s="398" t="n"/>
      <c r="R84" s="113" t="n"/>
      <c r="S84" s="113" t="n"/>
      <c r="T84" s="113" t="n"/>
      <c r="U84" s="113" t="n"/>
      <c r="V84" s="113" t="n"/>
    </row>
    <row r="85" ht="15.75" customHeight="1">
      <c r="A85" s="146" t="n">
        <v>3</v>
      </c>
      <c r="B85" s="238" t="n"/>
      <c r="C85" s="164" t="n">
        <v>46036</v>
      </c>
      <c r="D85" s="165" t="inlineStr">
        <is>
          <t>219 G. SAN JOSE 2</t>
        </is>
      </c>
      <c r="E85" s="166" t="n">
        <v>45585</v>
      </c>
      <c r="F85" s="166" t="inlineStr">
        <is>
          <t>ROBINSON PULIDO</t>
        </is>
      </c>
      <c r="G85" s="166" t="n">
        <v>2920</v>
      </c>
      <c r="H85" s="166" t="n">
        <v>2898</v>
      </c>
      <c r="I85" s="166" t="n">
        <v>6</v>
      </c>
      <c r="J85" s="166" t="n">
        <v>2</v>
      </c>
      <c r="K85" s="166" t="n">
        <v>-14</v>
      </c>
      <c r="L85" s="266" t="n">
        <v>2850</v>
      </c>
      <c r="M85" s="239" t="n"/>
      <c r="N85" s="113" t="n"/>
      <c r="O85" s="113" t="n"/>
      <c r="P85" s="398" t="n"/>
      <c r="Q85" s="398" t="n"/>
      <c r="R85" s="113" t="n"/>
      <c r="S85" s="113" t="n"/>
      <c r="T85" s="113" t="n"/>
      <c r="U85" s="113" t="n"/>
      <c r="V85" s="113" t="n"/>
    </row>
    <row r="86" ht="15.75" customHeight="1">
      <c r="A86" s="146" t="n">
        <v>3</v>
      </c>
      <c r="B86" s="238" t="n"/>
      <c r="C86" s="164" t="n">
        <v>46036</v>
      </c>
      <c r="D86" s="165" t="inlineStr">
        <is>
          <t>219 G. SAN JOSE 2</t>
        </is>
      </c>
      <c r="E86" s="166" t="n">
        <v>45586</v>
      </c>
      <c r="F86" s="166" t="inlineStr">
        <is>
          <t>JOSE SOLER</t>
        </is>
      </c>
      <c r="G86" s="166" t="n">
        <v>2920</v>
      </c>
      <c r="H86" s="166" t="n">
        <v>2909</v>
      </c>
      <c r="I86" s="166" t="n">
        <v>4</v>
      </c>
      <c r="J86" s="166" t="n">
        <v>1</v>
      </c>
      <c r="K86" s="166" t="n">
        <v>-6</v>
      </c>
      <c r="L86" s="266" t="n">
        <v>3500</v>
      </c>
      <c r="M86" s="239" t="n"/>
      <c r="N86" s="113" t="n"/>
      <c r="O86" s="113" t="n"/>
      <c r="P86" s="398" t="n"/>
      <c r="Q86" s="398" t="n"/>
      <c r="R86" s="113" t="n"/>
      <c r="S86" s="113" t="n"/>
      <c r="T86" s="113" t="n"/>
      <c r="U86" s="113" t="n"/>
      <c r="V86" s="113" t="n"/>
    </row>
    <row r="87" ht="15.75" customHeight="1">
      <c r="A87" s="146" t="n">
        <v>3</v>
      </c>
      <c r="B87" s="238" t="n"/>
      <c r="C87" s="164" t="n">
        <v>46036</v>
      </c>
      <c r="D87" s="165" t="inlineStr">
        <is>
          <t>221 G. MALAGUEÑA</t>
        </is>
      </c>
      <c r="E87" s="166" t="n">
        <v>45595</v>
      </c>
      <c r="F87" s="166" t="inlineStr">
        <is>
          <t>DUMAR ANGARITA</t>
        </is>
      </c>
      <c r="G87" s="166" t="n">
        <v>2850</v>
      </c>
      <c r="H87" s="166" t="n">
        <v>2822</v>
      </c>
      <c r="I87" s="166" t="n">
        <v>2</v>
      </c>
      <c r="J87" s="166" t="n">
        <v>22</v>
      </c>
      <c r="K87" s="166" t="n">
        <v>-4</v>
      </c>
      <c r="L87" s="266" t="n">
        <v>3500</v>
      </c>
      <c r="M87" s="239" t="n"/>
      <c r="N87" s="113" t="n"/>
      <c r="O87" s="113" t="n"/>
      <c r="P87" s="398" t="n"/>
      <c r="Q87" s="398" t="n"/>
      <c r="R87" s="113" t="n"/>
      <c r="S87" s="113" t="n"/>
      <c r="T87" s="113" t="n"/>
      <c r="U87" s="113" t="n"/>
      <c r="V87" s="113" t="n"/>
    </row>
    <row r="88" ht="15.75" customHeight="1">
      <c r="A88" s="146" t="n">
        <v>3</v>
      </c>
      <c r="B88" s="238" t="n"/>
      <c r="C88" s="164" t="n">
        <v>46036</v>
      </c>
      <c r="D88" s="165" t="inlineStr">
        <is>
          <t>219 G. SAN JOSE 2</t>
        </is>
      </c>
      <c r="E88" s="166" t="n">
        <v>45596</v>
      </c>
      <c r="F88" s="166" t="inlineStr">
        <is>
          <t>DIEGO NIÑO</t>
        </is>
      </c>
      <c r="G88" s="166" t="n">
        <v>2920</v>
      </c>
      <c r="H88" s="166" t="n">
        <v>2904</v>
      </c>
      <c r="I88" s="166" t="n">
        <v>1</v>
      </c>
      <c r="J88" s="166" t="n">
        <v>8</v>
      </c>
      <c r="K88" s="166" t="n">
        <v>-7</v>
      </c>
      <c r="L88" s="266" t="n">
        <v>3500</v>
      </c>
      <c r="M88" s="239" t="n"/>
      <c r="N88" s="113" t="n"/>
      <c r="O88" s="113" t="n"/>
      <c r="P88" s="398" t="n"/>
      <c r="Q88" s="398" t="n"/>
      <c r="R88" s="113" t="n"/>
      <c r="S88" s="113" t="n"/>
      <c r="T88" s="113" t="n"/>
      <c r="U88" s="113" t="n"/>
      <c r="V88" s="113" t="n"/>
    </row>
    <row r="89" ht="15.75" customHeight="1">
      <c r="A89" s="146" t="n">
        <v>3</v>
      </c>
      <c r="B89" s="238" t="n"/>
      <c r="C89" s="164" t="n">
        <v>46036</v>
      </c>
      <c r="D89" s="165" t="inlineStr">
        <is>
          <t>219 G. SAN JOSE 2</t>
        </is>
      </c>
      <c r="E89" s="166" t="n">
        <v>45597</v>
      </c>
      <c r="F89" s="166" t="inlineStr">
        <is>
          <t>ALEXANDER CHAGUALA</t>
        </is>
      </c>
      <c r="G89" s="166" t="n">
        <v>3240</v>
      </c>
      <c r="H89" s="166" t="n">
        <v>3226</v>
      </c>
      <c r="I89" s="166" t="n">
        <v>2</v>
      </c>
      <c r="J89" s="166" t="n">
        <v>8</v>
      </c>
      <c r="K89" s="166" t="n">
        <v>-4</v>
      </c>
      <c r="L89" s="266" t="n">
        <v>2920</v>
      </c>
      <c r="M89" s="239" t="n"/>
      <c r="N89" s="113" t="n"/>
      <c r="O89" s="113" t="n"/>
      <c r="P89" s="398" t="n"/>
      <c r="Q89" s="398" t="n"/>
      <c r="R89" s="113" t="n"/>
      <c r="S89" s="113" t="n"/>
      <c r="T89" s="113" t="n"/>
      <c r="U89" s="113" t="n"/>
      <c r="V89" s="113" t="n"/>
    </row>
    <row r="90" ht="15.75" customHeight="1">
      <c r="A90" s="146" t="n">
        <v>3</v>
      </c>
      <c r="B90" s="238" t="n"/>
      <c r="C90" s="164" t="n">
        <v>46036</v>
      </c>
      <c r="D90" s="165" t="inlineStr">
        <is>
          <t>219 G. SAN JOSE 2</t>
        </is>
      </c>
      <c r="E90" s="166" t="n">
        <v>45598</v>
      </c>
      <c r="F90" s="166" t="inlineStr">
        <is>
          <t>HENRY ROMERO</t>
        </is>
      </c>
      <c r="G90" s="166" t="n">
        <v>3240</v>
      </c>
      <c r="H90" s="166" t="n">
        <v>3227</v>
      </c>
      <c r="I90" s="166" t="n">
        <v>3</v>
      </c>
      <c r="J90" s="166" t="n">
        <v>10</v>
      </c>
      <c r="K90" s="166" t="n">
        <v>0</v>
      </c>
      <c r="L90" s="266" t="n">
        <v>2920</v>
      </c>
      <c r="M90" s="239" t="n"/>
      <c r="N90" s="113" t="n"/>
      <c r="O90" s="395" t="n"/>
      <c r="P90" s="494" t="n"/>
      <c r="Q90" s="398" t="n"/>
      <c r="R90" s="113" t="n"/>
      <c r="S90" s="113" t="n"/>
      <c r="T90" s="113" t="n"/>
      <c r="U90" s="113" t="n"/>
      <c r="V90" s="113" t="n"/>
    </row>
    <row r="91" ht="15.75" customHeight="1">
      <c r="A91" s="146" t="n">
        <v>3</v>
      </c>
      <c r="B91" s="238" t="n"/>
      <c r="C91" s="164" t="n">
        <v>46036</v>
      </c>
      <c r="D91" s="165" t="inlineStr">
        <is>
          <t>219 G. SAN JOSE 2</t>
        </is>
      </c>
      <c r="E91" s="166" t="n">
        <v>45599</v>
      </c>
      <c r="F91" s="166" t="inlineStr">
        <is>
          <t>YAIR RIVEROS</t>
        </is>
      </c>
      <c r="G91" s="166" t="n">
        <v>3240</v>
      </c>
      <c r="H91" s="166" t="n">
        <v>3224</v>
      </c>
      <c r="I91" s="166" t="n">
        <v>4</v>
      </c>
      <c r="J91" s="166" t="n">
        <v>12</v>
      </c>
      <c r="K91" s="166" t="n">
        <v>0</v>
      </c>
      <c r="L91" s="266" t="n">
        <v>2920</v>
      </c>
      <c r="M91" s="239" t="n"/>
      <c r="N91" s="113" t="n"/>
      <c r="O91" s="113" t="n"/>
      <c r="P91" s="398" t="n"/>
      <c r="Q91" s="398" t="n"/>
      <c r="R91" s="113" t="n"/>
      <c r="S91" s="113" t="n"/>
      <c r="T91" s="113" t="n"/>
      <c r="U91" s="113" t="n"/>
      <c r="V91" s="113" t="n"/>
    </row>
    <row r="92" ht="15.75" customHeight="1">
      <c r="A92" s="146" t="n">
        <v>3</v>
      </c>
      <c r="B92" s="238" t="n"/>
      <c r="C92" s="164" t="n">
        <v>46036</v>
      </c>
      <c r="D92" s="165" t="inlineStr">
        <is>
          <t>219 G. SAN JOSE 2</t>
        </is>
      </c>
      <c r="E92" s="166" t="n">
        <v>45600</v>
      </c>
      <c r="F92" s="166" t="inlineStr">
        <is>
          <t>DUMAR ANGARITA</t>
        </is>
      </c>
      <c r="G92" s="166" t="n">
        <v>3240</v>
      </c>
      <c r="H92" s="166" t="n">
        <v>3223</v>
      </c>
      <c r="I92" s="166" t="n">
        <v>4</v>
      </c>
      <c r="J92" s="166" t="n">
        <v>13</v>
      </c>
      <c r="K92" s="166" t="n">
        <v>0</v>
      </c>
      <c r="L92" s="266" t="n">
        <v>3240</v>
      </c>
      <c r="M92" s="239" t="n"/>
      <c r="N92" s="113" t="n"/>
      <c r="O92" s="113" t="n"/>
      <c r="P92" s="398" t="n"/>
      <c r="Q92" s="398" t="n"/>
      <c r="R92" s="113" t="n"/>
      <c r="S92" s="113" t="n"/>
      <c r="T92" s="113" t="n"/>
      <c r="U92" s="113" t="n"/>
      <c r="V92" s="113" t="n"/>
    </row>
    <row r="93" ht="15.75" customHeight="1">
      <c r="A93" s="146" t="n">
        <v>3</v>
      </c>
      <c r="B93" s="238" t="n"/>
      <c r="C93" s="164" t="n">
        <v>46036</v>
      </c>
      <c r="D93" s="165" t="inlineStr">
        <is>
          <t>219 G. SAN JOSE 2</t>
        </is>
      </c>
      <c r="E93" s="166" t="n">
        <v>45601</v>
      </c>
      <c r="F93" s="166" t="inlineStr">
        <is>
          <t>ROBINSON PULIDO</t>
        </is>
      </c>
      <c r="G93" s="166" t="n">
        <v>3240</v>
      </c>
      <c r="H93" s="166" t="n">
        <v>3225</v>
      </c>
      <c r="I93" s="166" t="n">
        <v>4</v>
      </c>
      <c r="J93" s="166" t="n">
        <v>11</v>
      </c>
      <c r="K93" s="166" t="n">
        <v>0</v>
      </c>
      <c r="L93" s="266" t="n">
        <v>3240</v>
      </c>
      <c r="M93" s="239" t="n"/>
      <c r="N93" s="113" t="n"/>
      <c r="O93" s="113" t="n"/>
      <c r="P93" s="398" t="n"/>
      <c r="Q93" s="398" t="n"/>
      <c r="R93" s="113" t="n"/>
      <c r="S93" s="113" t="n"/>
      <c r="T93" s="113" t="n"/>
      <c r="U93" s="113" t="n"/>
      <c r="V93" s="113" t="n"/>
    </row>
    <row r="94" ht="15.75" customHeight="1">
      <c r="A94" s="146" t="n">
        <v>3</v>
      </c>
      <c r="B94" s="238" t="n"/>
      <c r="C94" s="164" t="n">
        <v>46036</v>
      </c>
      <c r="D94" s="165" t="inlineStr">
        <is>
          <t>219 G. SAN JOSE 2</t>
        </is>
      </c>
      <c r="E94" s="166" t="n">
        <v>45602</v>
      </c>
      <c r="F94" s="166" t="inlineStr">
        <is>
          <t>MANUEL QUITIAN</t>
        </is>
      </c>
      <c r="G94" s="166" t="n">
        <v>3240</v>
      </c>
      <c r="H94" s="166" t="n">
        <v>3222</v>
      </c>
      <c r="I94" s="166" t="n">
        <v>4</v>
      </c>
      <c r="J94" s="166" t="n">
        <v>14</v>
      </c>
      <c r="K94" s="166" t="n">
        <v>0</v>
      </c>
      <c r="L94" s="266" t="n">
        <v>3240</v>
      </c>
      <c r="M94" s="239" t="n"/>
      <c r="N94" s="113" t="n"/>
      <c r="O94" s="113" t="n"/>
      <c r="P94" s="398" t="n"/>
      <c r="Q94" s="398" t="n"/>
      <c r="R94" s="113" t="n"/>
      <c r="S94" s="113" t="n"/>
      <c r="T94" s="113" t="n"/>
      <c r="U94" s="113" t="n"/>
      <c r="V94" s="113" t="n"/>
    </row>
    <row r="95" ht="15.75" customHeight="1">
      <c r="A95" s="146" t="n">
        <v>3</v>
      </c>
      <c r="B95" s="238" t="n"/>
      <c r="C95" s="164" t="n">
        <v>46038</v>
      </c>
      <c r="D95" s="165" t="inlineStr">
        <is>
          <t>219 G. SAN JOSE 2</t>
        </is>
      </c>
      <c r="E95" s="166" t="n">
        <v>45646</v>
      </c>
      <c r="F95" s="166" t="inlineStr">
        <is>
          <t>DUMAR ANGARITA</t>
        </is>
      </c>
      <c r="G95" s="166" t="n">
        <v>3346</v>
      </c>
      <c r="H95" s="166" t="n">
        <v>3337</v>
      </c>
      <c r="I95" s="166" t="n">
        <v>3</v>
      </c>
      <c r="J95" s="166" t="n">
        <v>5</v>
      </c>
      <c r="K95" s="166" t="n">
        <v>-1</v>
      </c>
      <c r="L95" s="266" t="n">
        <v>3240</v>
      </c>
      <c r="M95" s="239" t="n"/>
      <c r="N95" s="113" t="n"/>
      <c r="O95" s="113" t="n"/>
      <c r="P95" s="398" t="n"/>
      <c r="Q95" s="398" t="n"/>
      <c r="R95" s="113" t="n"/>
      <c r="S95" s="113" t="n"/>
      <c r="T95" s="113" t="n"/>
      <c r="U95" s="113" t="n"/>
      <c r="V95" s="113" t="n"/>
    </row>
    <row r="96" ht="15.75" customHeight="1">
      <c r="A96" s="146" t="n">
        <v>3</v>
      </c>
      <c r="B96" s="238" t="n"/>
      <c r="C96" s="164" t="n">
        <v>46038</v>
      </c>
      <c r="D96" s="165" t="inlineStr">
        <is>
          <t>219 G. SAN JOSE 2</t>
        </is>
      </c>
      <c r="E96" s="166" t="n">
        <v>45647</v>
      </c>
      <c r="F96" s="166" t="inlineStr">
        <is>
          <t>ROBINSON PULIDO</t>
        </is>
      </c>
      <c r="G96" s="166" t="n">
        <v>3564</v>
      </c>
      <c r="H96" s="166" t="n">
        <v>3555</v>
      </c>
      <c r="I96" s="166" t="n">
        <v>5</v>
      </c>
      <c r="J96" s="166" t="n">
        <v>5</v>
      </c>
      <c r="K96" s="166" t="n">
        <v>1</v>
      </c>
      <c r="L96" s="266" t="n">
        <v>3240</v>
      </c>
      <c r="M96" s="239" t="n"/>
      <c r="N96" s="113" t="n"/>
      <c r="O96" s="395" t="n"/>
      <c r="P96" s="494" t="n"/>
      <c r="Q96" s="398" t="n"/>
      <c r="R96" s="113" t="n"/>
      <c r="S96" s="113" t="n"/>
      <c r="T96" s="113" t="n"/>
      <c r="U96" s="113" t="n"/>
      <c r="V96" s="113" t="n"/>
    </row>
    <row r="97" ht="15.75" customHeight="1">
      <c r="A97" s="146" t="n">
        <v>3</v>
      </c>
      <c r="B97" s="238" t="n"/>
      <c r="C97" s="164" t="n">
        <v>46038</v>
      </c>
      <c r="D97" s="165" t="inlineStr">
        <is>
          <t>219 G. SAN JOSE 2</t>
        </is>
      </c>
      <c r="E97" s="166" t="n">
        <v>45648</v>
      </c>
      <c r="F97" s="166" t="inlineStr">
        <is>
          <t>EDUAN CAVIEDES</t>
        </is>
      </c>
      <c r="G97" s="166" t="n">
        <v>3564</v>
      </c>
      <c r="H97" s="166" t="n">
        <v>3556</v>
      </c>
      <c r="I97" s="166" t="n">
        <v>5</v>
      </c>
      <c r="J97" s="166" t="n">
        <v>4</v>
      </c>
      <c r="K97" s="166" t="n">
        <v>1</v>
      </c>
      <c r="L97" s="284" t="n">
        <v>3240</v>
      </c>
      <c r="M97" s="239" t="n"/>
      <c r="N97" s="113" t="n"/>
      <c r="O97" s="113" t="n"/>
      <c r="P97" s="398" t="n"/>
      <c r="Q97" s="398" t="n"/>
      <c r="R97" s="113" t="n"/>
      <c r="S97" s="113" t="n"/>
      <c r="T97" s="113" t="n"/>
      <c r="U97" s="113" t="n"/>
      <c r="V97" s="113" t="n"/>
    </row>
    <row r="98" ht="15.75" customHeight="1">
      <c r="A98" s="146" t="n">
        <v>3</v>
      </c>
      <c r="B98" s="238" t="n"/>
      <c r="C98" s="164" t="n">
        <v>46038</v>
      </c>
      <c r="D98" s="165" t="inlineStr">
        <is>
          <t>219 G. SAN JOSE 2</t>
        </is>
      </c>
      <c r="E98" s="166" t="n">
        <v>45652</v>
      </c>
      <c r="F98" s="166" t="inlineStr">
        <is>
          <t>ALBERTO HERRERA</t>
        </is>
      </c>
      <c r="G98" s="166" t="n">
        <v>3564</v>
      </c>
      <c r="H98" s="166" t="n">
        <v>3557</v>
      </c>
      <c r="I98" s="166" t="n">
        <v>3</v>
      </c>
      <c r="J98" s="166" t="n">
        <v>7</v>
      </c>
      <c r="K98" s="166" t="n">
        <v>3</v>
      </c>
      <c r="L98" s="260" t="n">
        <v>3000</v>
      </c>
      <c r="M98" s="239" t="n"/>
      <c r="N98" s="113" t="n"/>
      <c r="O98" s="113" t="n"/>
      <c r="P98" s="398" t="n"/>
      <c r="Q98" s="398" t="n"/>
      <c r="R98" s="113" t="n"/>
      <c r="S98" s="113" t="n"/>
      <c r="T98" s="113" t="n"/>
      <c r="U98" s="113" t="n"/>
      <c r="V98" s="113" t="n"/>
    </row>
    <row r="99" ht="15.75" customHeight="1">
      <c r="A99" s="146" t="n">
        <v>3</v>
      </c>
      <c r="B99" s="238" t="n"/>
      <c r="C99" s="164" t="n">
        <v>46038</v>
      </c>
      <c r="D99" s="165" t="inlineStr">
        <is>
          <t>219 G. SAN JOSE 2</t>
        </is>
      </c>
      <c r="E99" s="166" t="n">
        <v>45653</v>
      </c>
      <c r="F99" s="166" t="inlineStr">
        <is>
          <t>EDUAN CAVIEDES</t>
        </is>
      </c>
      <c r="G99" s="166" t="n">
        <v>3564</v>
      </c>
      <c r="H99" s="166" t="n">
        <v>3560</v>
      </c>
      <c r="I99" s="166" t="n">
        <v>3</v>
      </c>
      <c r="J99" s="166" t="n">
        <v>6</v>
      </c>
      <c r="K99" s="166" t="n">
        <v>5</v>
      </c>
      <c r="L99" s="266" t="n">
        <v>3000</v>
      </c>
      <c r="M99" s="239" t="n"/>
      <c r="N99" s="113" t="n"/>
      <c r="O99" s="113" t="n"/>
      <c r="P99" s="398" t="n"/>
      <c r="Q99" s="398" t="n"/>
      <c r="R99" s="113" t="n"/>
      <c r="S99" s="113" t="n"/>
      <c r="T99" s="113" t="n"/>
      <c r="U99" s="113" t="n"/>
      <c r="V99" s="113" t="n"/>
    </row>
    <row r="100" ht="15.75" customHeight="1">
      <c r="A100" s="146" t="n">
        <v>3</v>
      </c>
      <c r="B100" s="238" t="n"/>
      <c r="C100" s="164" t="n">
        <v>46038</v>
      </c>
      <c r="D100" s="166" t="inlineStr">
        <is>
          <t>219 G. SAN JOSE 2</t>
        </is>
      </c>
      <c r="E100" s="166" t="n">
        <v>45654</v>
      </c>
      <c r="F100" s="166" t="inlineStr">
        <is>
          <t>ALEX GOMEZ</t>
        </is>
      </c>
      <c r="G100" s="166" t="n">
        <v>3200</v>
      </c>
      <c r="H100" s="166" t="n">
        <v>3192</v>
      </c>
      <c r="I100" s="166" t="n">
        <v>2</v>
      </c>
      <c r="J100" s="166" t="n">
        <v>11</v>
      </c>
      <c r="K100" s="166" t="n">
        <v>5</v>
      </c>
      <c r="L100" s="266" t="n">
        <v>3000</v>
      </c>
      <c r="M100" s="239" t="n"/>
      <c r="N100" s="113" t="n"/>
      <c r="O100" s="113" t="n"/>
      <c r="P100" s="398" t="n"/>
      <c r="Q100" s="398" t="n"/>
      <c r="R100" s="113" t="n"/>
      <c r="S100" s="113" t="n"/>
      <c r="T100" s="113" t="n"/>
      <c r="U100" s="113" t="n"/>
      <c r="V100" s="113" t="n"/>
    </row>
    <row r="101" ht="15.75" customHeight="1">
      <c r="A101" s="146" t="n">
        <v>3</v>
      </c>
      <c r="B101" s="238" t="n"/>
      <c r="C101" s="164" t="n">
        <v>46038</v>
      </c>
      <c r="D101" s="166" t="inlineStr">
        <is>
          <t>219 G. SAN JOSE 2</t>
        </is>
      </c>
      <c r="E101" s="166" t="n">
        <v>45660</v>
      </c>
      <c r="F101" s="166" t="inlineStr">
        <is>
          <t>DIEGO NIÑO</t>
        </is>
      </c>
      <c r="G101" s="166" t="n">
        <v>3289</v>
      </c>
      <c r="H101" s="166" t="n">
        <v>3267</v>
      </c>
      <c r="I101" s="166" t="n">
        <v>2</v>
      </c>
      <c r="J101" s="166" t="n">
        <v>13</v>
      </c>
      <c r="K101" s="166" t="n">
        <v>-7</v>
      </c>
      <c r="L101" s="266" t="n">
        <v>2916</v>
      </c>
      <c r="M101" s="239" t="n"/>
      <c r="N101" s="113" t="n"/>
      <c r="O101" s="113" t="n"/>
      <c r="P101" s="398" t="n"/>
      <c r="Q101" s="398" t="n"/>
      <c r="R101" s="113" t="n"/>
      <c r="S101" s="113" t="n"/>
      <c r="T101" s="113" t="n"/>
      <c r="U101" s="113" t="n"/>
      <c r="V101" s="113" t="n"/>
    </row>
    <row r="102" ht="15.75" customHeight="1">
      <c r="A102" s="146" t="n">
        <v>3</v>
      </c>
      <c r="B102" s="238" t="n"/>
      <c r="C102" s="164" t="n">
        <v>46039</v>
      </c>
      <c r="D102" s="166" t="inlineStr">
        <is>
          <t>221 G. MALAGUEÑA</t>
        </is>
      </c>
      <c r="E102" s="166" t="n">
        <v>45687</v>
      </c>
      <c r="F102" s="166" t="inlineStr">
        <is>
          <t>JOSE  SOLER</t>
        </is>
      </c>
      <c r="G102" s="166" t="n">
        <v>2020</v>
      </c>
      <c r="H102" s="166" t="n">
        <v>1997</v>
      </c>
      <c r="I102" s="166" t="n">
        <v>3</v>
      </c>
      <c r="J102" s="166" t="n">
        <v>8</v>
      </c>
      <c r="K102" s="166" t="n">
        <v>-12</v>
      </c>
      <c r="L102" s="266" t="n">
        <v>3000</v>
      </c>
      <c r="M102" s="239" t="n"/>
      <c r="N102" s="113" t="n"/>
      <c r="O102" s="113" t="n"/>
      <c r="P102" s="398" t="n"/>
      <c r="Q102" s="398" t="n"/>
      <c r="R102" s="113" t="n"/>
      <c r="S102" s="113" t="n"/>
      <c r="T102" s="113" t="n"/>
      <c r="U102" s="113" t="n"/>
      <c r="V102" s="113" t="n"/>
    </row>
    <row r="103" ht="15.75" customHeight="1">
      <c r="A103" s="146" t="n">
        <v>3</v>
      </c>
      <c r="B103" s="238" t="n"/>
      <c r="C103" s="164" t="n">
        <v>46039</v>
      </c>
      <c r="D103" s="166" t="inlineStr">
        <is>
          <t>221 G. MALAGUEÑA</t>
        </is>
      </c>
      <c r="E103" s="166" t="n">
        <v>45688</v>
      </c>
      <c r="F103" s="166" t="inlineStr">
        <is>
          <t>ALEXANDER CHAGUALA</t>
        </is>
      </c>
      <c r="G103" s="166" t="n">
        <v>1700</v>
      </c>
      <c r="H103" s="166" t="n">
        <v>1680</v>
      </c>
      <c r="I103" s="166" t="n">
        <v>2</v>
      </c>
      <c r="J103" s="166" t="n">
        <v>5</v>
      </c>
      <c r="K103" s="166" t="n">
        <v>-13</v>
      </c>
      <c r="L103" s="266" t="n">
        <v>3120</v>
      </c>
      <c r="M103" s="239" t="n"/>
      <c r="N103" s="113" t="n"/>
      <c r="O103" s="113" t="n"/>
      <c r="P103" s="398" t="n"/>
      <c r="Q103" s="398" t="n"/>
      <c r="R103" s="113" t="n"/>
      <c r="S103" s="113" t="n"/>
      <c r="T103" s="113" t="n"/>
      <c r="U103" s="113" t="n"/>
      <c r="V103" s="113" t="n"/>
    </row>
    <row r="104" ht="15.75" customHeight="1">
      <c r="A104" s="146" t="n">
        <v>3</v>
      </c>
      <c r="B104" s="238" t="n"/>
      <c r="C104" s="164" t="n">
        <v>46036</v>
      </c>
      <c r="D104" s="165" t="inlineStr">
        <is>
          <t>202 G. HUERTAS</t>
        </is>
      </c>
      <c r="E104" s="165" t="n">
        <v>45579</v>
      </c>
      <c r="F104" s="165" t="inlineStr">
        <is>
          <t>FABIO ALDANA</t>
        </is>
      </c>
      <c r="G104" s="165" t="n">
        <v>2692</v>
      </c>
      <c r="H104" s="165" t="n">
        <v>2684</v>
      </c>
      <c r="I104" s="165" t="n">
        <v>2</v>
      </c>
      <c r="J104" s="165" t="n">
        <v>6</v>
      </c>
      <c r="K104" s="165" t="n">
        <v>0</v>
      </c>
      <c r="L104" s="284" t="n">
        <v>3120</v>
      </c>
      <c r="M104" s="239" t="n"/>
      <c r="N104" s="113" t="n"/>
      <c r="O104" s="113" t="n"/>
      <c r="P104" s="398" t="n"/>
      <c r="Q104" s="398" t="n"/>
      <c r="R104" s="113" t="n"/>
      <c r="S104" s="113" t="n"/>
      <c r="T104" s="113" t="n"/>
      <c r="U104" s="113" t="n"/>
      <c r="V104" s="113" t="n"/>
    </row>
    <row r="105" ht="15.75" customHeight="1">
      <c r="A105" s="146" t="n">
        <v>3</v>
      </c>
      <c r="B105" s="238" t="n"/>
      <c r="C105" s="164" t="n">
        <v>46036</v>
      </c>
      <c r="D105" s="165" t="inlineStr">
        <is>
          <t>202 G. HUERTAS</t>
        </is>
      </c>
      <c r="E105" s="165" t="n">
        <v>45580</v>
      </c>
      <c r="F105" s="165" t="inlineStr">
        <is>
          <t>JOSE HERRERA</t>
        </is>
      </c>
      <c r="G105" s="165" t="n">
        <v>2692</v>
      </c>
      <c r="H105" s="165" t="n">
        <v>2685</v>
      </c>
      <c r="I105" s="165" t="n">
        <v>1</v>
      </c>
      <c r="J105" s="165" t="n">
        <v>6</v>
      </c>
      <c r="K105" s="165" t="n">
        <v>0</v>
      </c>
      <c r="L105" s="260" t="n">
        <v>3365</v>
      </c>
      <c r="M105" s="239" t="n"/>
      <c r="N105" s="113" t="n"/>
      <c r="O105" s="113" t="n"/>
      <c r="P105" s="398" t="n"/>
      <c r="Q105" s="398" t="n"/>
      <c r="R105" s="113" t="n"/>
      <c r="S105" s="113" t="n"/>
      <c r="T105" s="113" t="n"/>
      <c r="U105" s="113" t="n"/>
      <c r="V105" s="113" t="n"/>
    </row>
    <row r="106" ht="15.75" customHeight="1">
      <c r="A106" s="146" t="n">
        <v>3</v>
      </c>
      <c r="B106" s="238" t="n"/>
      <c r="C106" s="164" t="n">
        <v>46036</v>
      </c>
      <c r="D106" s="165" t="inlineStr">
        <is>
          <t>202 G. HUERTAS</t>
        </is>
      </c>
      <c r="E106" s="165" t="n">
        <v>45581</v>
      </c>
      <c r="F106" s="165" t="inlineStr">
        <is>
          <t>DIEGO NIÑO</t>
        </is>
      </c>
      <c r="G106" s="165" t="n">
        <v>2700</v>
      </c>
      <c r="H106" s="165" t="n">
        <v>2692</v>
      </c>
      <c r="I106" s="165" t="n">
        <v>2</v>
      </c>
      <c r="J106" s="165" t="n">
        <v>6</v>
      </c>
      <c r="K106" s="165" t="n">
        <v>0</v>
      </c>
      <c r="L106" s="266" t="n">
        <v>3240</v>
      </c>
      <c r="M106" s="239" t="n"/>
      <c r="N106" s="113" t="n"/>
      <c r="O106" s="113" t="n"/>
      <c r="P106" s="398" t="n"/>
      <c r="Q106" s="398" t="n"/>
      <c r="R106" s="113" t="n"/>
      <c r="S106" s="113" t="n"/>
      <c r="T106" s="113" t="n"/>
      <c r="U106" s="113" t="n"/>
      <c r="V106" s="113" t="n"/>
    </row>
    <row r="107" ht="15.75" customHeight="1">
      <c r="A107" s="146" t="n">
        <v>3</v>
      </c>
      <c r="B107" s="238" t="n"/>
      <c r="C107" s="164" t="n">
        <v>46037</v>
      </c>
      <c r="D107" s="165" t="inlineStr">
        <is>
          <t>202 G. HUERTAS</t>
        </is>
      </c>
      <c r="E107" s="165" t="n">
        <v>45611</v>
      </c>
      <c r="F107" s="165" t="inlineStr">
        <is>
          <t>ROBINSON PULIDO</t>
        </is>
      </c>
      <c r="G107" s="165" t="n">
        <v>3000</v>
      </c>
      <c r="H107" s="165" t="n">
        <v>2980</v>
      </c>
      <c r="I107" s="165" t="n">
        <v>3</v>
      </c>
      <c r="J107" s="165" t="n">
        <v>19</v>
      </c>
      <c r="K107" s="165" t="n">
        <v>2</v>
      </c>
      <c r="L107" s="266" t="n">
        <v>3350</v>
      </c>
      <c r="M107" s="239" t="n"/>
      <c r="N107" s="113" t="n"/>
      <c r="O107" s="113" t="n"/>
      <c r="P107" s="398" t="n"/>
      <c r="Q107" s="398" t="n"/>
      <c r="R107" s="113" t="n"/>
      <c r="S107" s="113" t="n"/>
      <c r="T107" s="113" t="n"/>
      <c r="U107" s="113" t="n"/>
      <c r="V107" s="113" t="n"/>
    </row>
    <row r="108" ht="15.75" customHeight="1">
      <c r="A108" s="146" t="n">
        <v>3</v>
      </c>
      <c r="B108" s="238" t="n"/>
      <c r="C108" s="164" t="n">
        <v>46037</v>
      </c>
      <c r="D108" s="165" t="inlineStr">
        <is>
          <t>202 G. HUERTAS</t>
        </is>
      </c>
      <c r="E108" s="165" t="n">
        <v>45612</v>
      </c>
      <c r="F108" s="165" t="inlineStr">
        <is>
          <t>ALEXANDER CHAGUALA</t>
        </is>
      </c>
      <c r="G108" s="165" t="n">
        <v>3000</v>
      </c>
      <c r="H108" s="165" t="n">
        <v>2979</v>
      </c>
      <c r="I108" s="165" t="n">
        <v>3</v>
      </c>
      <c r="J108" s="165" t="n">
        <v>22</v>
      </c>
      <c r="K108" s="165" t="n">
        <v>4</v>
      </c>
      <c r="L108" s="266" t="n">
        <v>3365</v>
      </c>
      <c r="M108" s="239" t="n"/>
      <c r="N108" s="113" t="n"/>
      <c r="O108" s="113" t="n"/>
      <c r="P108" s="398" t="n"/>
      <c r="Q108" s="398" t="n"/>
      <c r="R108" s="113" t="n"/>
      <c r="S108" s="113" t="n"/>
      <c r="T108" s="113" t="n"/>
      <c r="U108" s="113" t="n"/>
      <c r="V108" s="113" t="n"/>
    </row>
    <row r="109" ht="15.75" customHeight="1">
      <c r="A109" s="146" t="n">
        <v>3</v>
      </c>
      <c r="B109" s="238" t="n"/>
      <c r="C109" s="164" t="n">
        <v>46037</v>
      </c>
      <c r="D109" s="166" t="inlineStr">
        <is>
          <t>202 G. HUERTAS</t>
        </is>
      </c>
      <c r="E109" s="166" t="n">
        <v>45613</v>
      </c>
      <c r="F109" s="166" t="inlineStr">
        <is>
          <t>ALBERTO LOPEZ</t>
        </is>
      </c>
      <c r="G109" s="166" t="n">
        <v>3000</v>
      </c>
      <c r="H109" s="166" t="n">
        <v>2983</v>
      </c>
      <c r="I109" s="166" t="n">
        <v>2</v>
      </c>
      <c r="J109" s="166" t="n">
        <v>19</v>
      </c>
      <c r="K109" s="166" t="n">
        <v>4</v>
      </c>
      <c r="L109" s="266" t="n">
        <v>3365</v>
      </c>
      <c r="M109" s="239" t="n"/>
      <c r="N109" s="113" t="n"/>
      <c r="O109" s="113" t="n"/>
      <c r="P109" s="398" t="n"/>
      <c r="Q109" s="398" t="n"/>
      <c r="R109" s="113" t="n"/>
      <c r="S109" s="113" t="n"/>
      <c r="T109" s="113" t="n"/>
      <c r="U109" s="113" t="n"/>
      <c r="V109" s="113" t="n"/>
    </row>
    <row r="110" ht="15.75" customHeight="1">
      <c r="A110" s="146" t="n">
        <v>3</v>
      </c>
      <c r="B110" s="238" t="n"/>
      <c r="C110" s="164" t="n">
        <v>46037</v>
      </c>
      <c r="D110" s="166" t="inlineStr">
        <is>
          <t>202 G. HUERTAS</t>
        </is>
      </c>
      <c r="E110" s="166" t="n">
        <v>45614</v>
      </c>
      <c r="F110" s="166" t="inlineStr">
        <is>
          <t>JAIRO CRUZ</t>
        </is>
      </c>
      <c r="G110" s="166" t="n">
        <v>2916</v>
      </c>
      <c r="H110" s="166" t="n">
        <v>2897</v>
      </c>
      <c r="I110" s="166" t="n">
        <v>3</v>
      </c>
      <c r="J110" s="166" t="n">
        <v>19</v>
      </c>
      <c r="K110" s="166" t="n">
        <v>3</v>
      </c>
      <c r="L110" s="266" t="n">
        <v>3564</v>
      </c>
      <c r="M110" s="239" t="n"/>
      <c r="N110" s="113" t="n"/>
      <c r="O110" s="113" t="n"/>
      <c r="P110" s="398" t="n"/>
      <c r="Q110" s="398" t="n"/>
      <c r="R110" s="113" t="n"/>
      <c r="S110" s="113" t="n"/>
      <c r="T110" s="113" t="n"/>
      <c r="U110" s="113" t="n"/>
      <c r="V110" s="113" t="n"/>
    </row>
    <row r="111" ht="15.75" customHeight="1">
      <c r="A111" s="146" t="n">
        <v>3</v>
      </c>
      <c r="B111" s="238" t="n"/>
      <c r="C111" s="164" t="n">
        <v>46037</v>
      </c>
      <c r="D111" s="166" t="inlineStr">
        <is>
          <t>202 G. HUERTAS</t>
        </is>
      </c>
      <c r="E111" s="166" t="n">
        <v>45615</v>
      </c>
      <c r="F111" s="166" t="inlineStr">
        <is>
          <t>EDUAN CAVIEDES</t>
        </is>
      </c>
      <c r="G111" s="166" t="n">
        <v>2916</v>
      </c>
      <c r="H111" s="166" t="n">
        <v>2975</v>
      </c>
      <c r="I111" s="166" t="n">
        <v>14</v>
      </c>
      <c r="J111" s="166" t="n">
        <v>7</v>
      </c>
      <c r="K111" s="166" t="n">
        <v>80</v>
      </c>
      <c r="L111" s="266" t="n">
        <v>3564</v>
      </c>
      <c r="M111" s="239" t="n"/>
      <c r="N111" s="113" t="n"/>
      <c r="O111" s="113" t="n"/>
      <c r="P111" s="398" t="n"/>
      <c r="Q111" s="398" t="n"/>
      <c r="R111" s="113" t="n"/>
      <c r="S111" s="113" t="n"/>
      <c r="T111" s="113" t="n"/>
      <c r="U111" s="113" t="n"/>
      <c r="V111" s="113" t="n"/>
    </row>
    <row r="112" ht="15.75" customHeight="1">
      <c r="A112" s="146" t="n">
        <v>3</v>
      </c>
      <c r="B112" s="238" t="n"/>
      <c r="C112" s="164" t="n">
        <v>46037</v>
      </c>
      <c r="D112" s="166" t="inlineStr">
        <is>
          <t>202 G. HUERTAS</t>
        </is>
      </c>
      <c r="E112" s="166" t="n">
        <v>45616</v>
      </c>
      <c r="F112" s="166" t="inlineStr">
        <is>
          <t>SEBASTIAN HIDALGO</t>
        </is>
      </c>
      <c r="G112" s="166" t="n">
        <v>3120</v>
      </c>
      <c r="H112" s="166" t="n">
        <v>3100</v>
      </c>
      <c r="I112" s="166" t="n">
        <v>13</v>
      </c>
      <c r="J112" s="166" t="n">
        <v>8</v>
      </c>
      <c r="K112" s="166" t="n">
        <v>1</v>
      </c>
      <c r="L112" s="266" t="n">
        <v>3564</v>
      </c>
      <c r="M112" s="239" t="n"/>
      <c r="N112" s="113" t="n"/>
      <c r="O112" s="113" t="n"/>
      <c r="P112" s="398" t="n"/>
      <c r="Q112" s="398" t="n"/>
      <c r="R112" s="113" t="n"/>
      <c r="S112" s="113" t="n"/>
      <c r="T112" s="113" t="n"/>
      <c r="U112" s="113" t="n"/>
      <c r="V112" s="113" t="n"/>
    </row>
    <row r="113" ht="15.75" customHeight="1">
      <c r="A113" s="146" t="n">
        <v>3</v>
      </c>
      <c r="B113" s="238" t="n"/>
      <c r="C113" s="164" t="n">
        <v>46037</v>
      </c>
      <c r="D113" s="166" t="inlineStr">
        <is>
          <t>202 G. HUERTAS</t>
        </is>
      </c>
      <c r="E113" s="166" t="n">
        <v>45617</v>
      </c>
      <c r="F113" s="166" t="inlineStr">
        <is>
          <t>DUMAR ANGARITA</t>
        </is>
      </c>
      <c r="G113" s="166" t="n">
        <v>3120</v>
      </c>
      <c r="H113" s="166" t="n">
        <v>3108</v>
      </c>
      <c r="I113" s="166" t="n">
        <v>7</v>
      </c>
      <c r="J113" s="166" t="n">
        <v>6</v>
      </c>
      <c r="K113" s="166" t="n">
        <v>1</v>
      </c>
      <c r="L113" s="266" t="n">
        <v>3350</v>
      </c>
      <c r="M113" s="239" t="n"/>
      <c r="N113" s="113" t="n"/>
      <c r="O113" s="395" t="n"/>
      <c r="P113" s="494" t="n"/>
      <c r="Q113" s="398" t="n"/>
      <c r="R113" s="113" t="n"/>
      <c r="S113" s="113" t="n"/>
      <c r="T113" s="113" t="n"/>
      <c r="U113" s="113" t="n"/>
      <c r="V113" s="113" t="n"/>
    </row>
    <row r="114" ht="15.75" customHeight="1">
      <c r="A114" s="146" t="n">
        <v>3</v>
      </c>
      <c r="B114" s="238" t="n"/>
      <c r="C114" s="164" t="n">
        <v>46038</v>
      </c>
      <c r="D114" s="166" t="inlineStr">
        <is>
          <t>202 G. HUERTAS</t>
        </is>
      </c>
      <c r="E114" s="166" t="n">
        <v>45641</v>
      </c>
      <c r="F114" s="166" t="inlineStr">
        <is>
          <t>EDUAN CAVIEDES</t>
        </is>
      </c>
      <c r="G114" s="166" t="n">
        <v>3365</v>
      </c>
      <c r="H114" s="166" t="n">
        <v>3343</v>
      </c>
      <c r="I114" s="166" t="n">
        <v>2</v>
      </c>
      <c r="J114" s="166" t="n">
        <v>17</v>
      </c>
      <c r="K114" s="166" t="n">
        <v>-3</v>
      </c>
      <c r="L114" s="266" t="n">
        <v>3564</v>
      </c>
      <c r="M114" s="239" t="n"/>
      <c r="N114" s="113" t="n"/>
      <c r="O114" s="113" t="n"/>
      <c r="P114" s="398" t="n"/>
      <c r="Q114" s="398" t="n"/>
      <c r="R114" s="113" t="n"/>
      <c r="S114" s="113" t="n"/>
      <c r="T114" s="113" t="n"/>
      <c r="U114" s="113" t="n"/>
      <c r="V114" s="113" t="n"/>
    </row>
    <row r="115" ht="15.75" customHeight="1">
      <c r="A115" s="146" t="n">
        <v>3</v>
      </c>
      <c r="B115" s="238" t="n"/>
      <c r="C115" s="164" t="n">
        <v>46038</v>
      </c>
      <c r="D115" s="166" t="inlineStr">
        <is>
          <t>202 G. HUERTAS</t>
        </is>
      </c>
      <c r="E115" s="166" t="n">
        <v>45642</v>
      </c>
      <c r="F115" s="166" t="inlineStr">
        <is>
          <t>WILMER PIÑEROS</t>
        </is>
      </c>
      <c r="G115" s="166" t="n">
        <v>3240</v>
      </c>
      <c r="H115" s="166" t="n">
        <v>3229</v>
      </c>
      <c r="I115" s="166" t="n">
        <v>1</v>
      </c>
      <c r="J115" s="166" t="n">
        <v>3</v>
      </c>
      <c r="K115" s="166" t="n">
        <v>-7</v>
      </c>
      <c r="L115" s="266" t="n">
        <v>3284</v>
      </c>
      <c r="M115" s="239" t="n"/>
      <c r="N115" s="113" t="n"/>
      <c r="O115" s="113" t="n"/>
      <c r="P115" s="398" t="n"/>
      <c r="Q115" s="398" t="n"/>
      <c r="R115" s="113" t="n"/>
      <c r="S115" s="113" t="n"/>
      <c r="T115" s="113" t="n"/>
      <c r="U115" s="113" t="n"/>
      <c r="V115" s="113" t="n"/>
    </row>
    <row r="116" ht="15.75" customHeight="1">
      <c r="A116" s="146" t="n">
        <v>3</v>
      </c>
      <c r="B116" s="238" t="n"/>
      <c r="C116" s="164" t="n">
        <v>46038</v>
      </c>
      <c r="D116" s="166" t="inlineStr">
        <is>
          <t>202 G. HUERTAS</t>
        </is>
      </c>
      <c r="E116" s="166" t="n">
        <v>45643</v>
      </c>
      <c r="F116" s="166" t="inlineStr">
        <is>
          <t>HENRY ROMERO</t>
        </is>
      </c>
      <c r="G116" s="166" t="n">
        <v>3350</v>
      </c>
      <c r="H116" s="166" t="n">
        <v>3336</v>
      </c>
      <c r="I116" s="166" t="n">
        <v>3</v>
      </c>
      <c r="J116" s="166" t="n">
        <v>3</v>
      </c>
      <c r="K116" s="166" t="n">
        <v>-8</v>
      </c>
      <c r="L116" s="284" t="n">
        <v>3200</v>
      </c>
      <c r="M116" s="239" t="n"/>
      <c r="N116" s="113" t="n"/>
      <c r="O116" s="113" t="n"/>
      <c r="P116" s="398" t="n"/>
      <c r="Q116" s="398" t="n"/>
      <c r="R116" s="113" t="n"/>
      <c r="S116" s="113" t="n"/>
      <c r="T116" s="113" t="n"/>
      <c r="U116" s="113" t="n"/>
      <c r="V116" s="113" t="n"/>
    </row>
    <row r="117" ht="15.75" customHeight="1">
      <c r="A117" s="146" t="n">
        <v>3</v>
      </c>
      <c r="B117" s="238" t="n"/>
      <c r="C117" s="164" t="n">
        <v>46038</v>
      </c>
      <c r="D117" s="166" t="inlineStr">
        <is>
          <t>202 G. HUERTAS</t>
        </is>
      </c>
      <c r="E117" s="166" t="n">
        <v>45644</v>
      </c>
      <c r="F117" s="166" t="inlineStr">
        <is>
          <t>FABIO ALDANA</t>
        </is>
      </c>
      <c r="G117" s="166" t="n">
        <v>3365</v>
      </c>
      <c r="H117" s="166" t="n">
        <v>3358</v>
      </c>
      <c r="I117" s="166" t="n">
        <v>2</v>
      </c>
      <c r="J117" s="166" t="n">
        <v>2</v>
      </c>
      <c r="K117" s="166" t="n">
        <v>-3</v>
      </c>
      <c r="L117" s="260" t="n">
        <v>3300</v>
      </c>
      <c r="M117" s="239" t="n"/>
      <c r="N117" s="113" t="n"/>
      <c r="O117" s="113" t="n"/>
      <c r="P117" s="398" t="n"/>
      <c r="Q117" s="398" t="n"/>
      <c r="R117" s="113" t="n"/>
      <c r="S117" s="113" t="n"/>
      <c r="T117" s="113" t="n"/>
      <c r="U117" s="113" t="n"/>
      <c r="V117" s="113" t="n"/>
    </row>
    <row r="118" ht="15.75" customHeight="1">
      <c r="A118" s="146" t="n">
        <v>3</v>
      </c>
      <c r="B118" s="238" t="n"/>
      <c r="C118" s="164" t="n">
        <v>46038</v>
      </c>
      <c r="D118" s="166" t="inlineStr">
        <is>
          <t>202 G. HUERTAS</t>
        </is>
      </c>
      <c r="E118" s="166" t="n">
        <v>45646</v>
      </c>
      <c r="F118" s="166" t="inlineStr">
        <is>
          <t>ALBERTO HERRERA</t>
        </is>
      </c>
      <c r="G118" s="166" t="n">
        <v>3365</v>
      </c>
      <c r="H118" s="166" t="n">
        <v>3357</v>
      </c>
      <c r="I118" s="166" t="n">
        <v>3</v>
      </c>
      <c r="J118" s="166" t="n">
        <v>3</v>
      </c>
      <c r="K118" s="166" t="n">
        <v>-2</v>
      </c>
      <c r="L118" s="266" t="n">
        <v>3300</v>
      </c>
      <c r="M118" s="239" t="n"/>
      <c r="N118" s="113" t="n"/>
      <c r="O118" s="113" t="n"/>
      <c r="P118" s="398" t="n"/>
      <c r="Q118" s="398" t="n"/>
      <c r="R118" s="113" t="n"/>
      <c r="S118" s="113" t="n"/>
      <c r="T118" s="113" t="n"/>
      <c r="U118" s="113" t="n"/>
      <c r="V118" s="113" t="n"/>
    </row>
    <row r="119" ht="15.75" customHeight="1">
      <c r="A119" s="146" t="n">
        <v>3</v>
      </c>
      <c r="B119" s="238" t="n"/>
      <c r="C119" s="164" t="n">
        <v>46039</v>
      </c>
      <c r="D119" s="166" t="inlineStr">
        <is>
          <t>202 G. HUERTAS</t>
        </is>
      </c>
      <c r="E119" s="166" t="n">
        <v>45672</v>
      </c>
      <c r="F119" s="166" t="inlineStr">
        <is>
          <t>JAIRO CUBILLOS</t>
        </is>
      </c>
      <c r="G119" s="166" t="n">
        <v>3300</v>
      </c>
      <c r="H119" s="166" t="n">
        <v>3288</v>
      </c>
      <c r="I119" s="166" t="n">
        <v>2</v>
      </c>
      <c r="J119" s="166" t="n">
        <v>9</v>
      </c>
      <c r="K119" s="166" t="n">
        <v>-1</v>
      </c>
      <c r="L119" s="266" t="n">
        <v>3300</v>
      </c>
      <c r="M119" s="239" t="n"/>
      <c r="N119" s="113" t="n"/>
      <c r="O119" s="113" t="n"/>
      <c r="P119" s="398" t="n"/>
      <c r="Q119" s="398" t="n"/>
      <c r="R119" s="113" t="n"/>
      <c r="S119" s="113" t="n"/>
      <c r="T119" s="113" t="n"/>
      <c r="U119" s="113" t="n"/>
      <c r="V119" s="113" t="n"/>
    </row>
    <row r="120" ht="15.75" customHeight="1">
      <c r="A120" s="146" t="n">
        <v>3</v>
      </c>
      <c r="B120" s="238" t="n"/>
      <c r="C120" s="164" t="n">
        <v>46039</v>
      </c>
      <c r="D120" s="166" t="inlineStr">
        <is>
          <t>202 G. HUERTAS</t>
        </is>
      </c>
      <c r="E120" s="166" t="n">
        <v>45673</v>
      </c>
      <c r="F120" s="166" t="inlineStr">
        <is>
          <t>JOSE SOLER</t>
        </is>
      </c>
      <c r="G120" s="166" t="n">
        <v>3300</v>
      </c>
      <c r="H120" s="166" t="n">
        <v>3285</v>
      </c>
      <c r="I120" s="166" t="n">
        <v>2</v>
      </c>
      <c r="J120" s="166" t="n">
        <v>10</v>
      </c>
      <c r="K120" s="166" t="n">
        <v>-3</v>
      </c>
      <c r="L120" s="266" t="n">
        <v>3180</v>
      </c>
      <c r="M120" s="239" t="n"/>
      <c r="N120" s="113" t="n"/>
      <c r="O120" s="113" t="n"/>
      <c r="P120" s="398" t="n"/>
      <c r="Q120" s="398" t="n"/>
      <c r="R120" s="113" t="n"/>
      <c r="S120" s="113" t="n"/>
      <c r="T120" s="113" t="n"/>
      <c r="U120" s="113" t="n"/>
      <c r="V120" s="113" t="n"/>
    </row>
    <row r="121" ht="15.75" customHeight="1">
      <c r="A121" s="146" t="n">
        <v>3</v>
      </c>
      <c r="B121" s="238" t="n"/>
      <c r="C121" s="164" t="n">
        <v>46039</v>
      </c>
      <c r="D121" s="166" t="inlineStr">
        <is>
          <t>202 G. HUERTAS</t>
        </is>
      </c>
      <c r="E121" s="166" t="n">
        <v>45674</v>
      </c>
      <c r="F121" s="166" t="inlineStr">
        <is>
          <t>FERNANDO OYUELA</t>
        </is>
      </c>
      <c r="G121" s="166" t="n">
        <v>3300</v>
      </c>
      <c r="H121" s="166" t="n">
        <v>3291</v>
      </c>
      <c r="I121" s="166" t="n">
        <v>2</v>
      </c>
      <c r="J121" s="166" t="n">
        <v>6</v>
      </c>
      <c r="K121" s="166" t="n">
        <v>-1</v>
      </c>
      <c r="L121" s="266" t="n">
        <v>2916</v>
      </c>
      <c r="M121" s="239" t="n"/>
      <c r="N121" s="113" t="n"/>
      <c r="O121" s="113" t="n"/>
      <c r="P121" s="398" t="n"/>
      <c r="Q121" s="398" t="n"/>
      <c r="R121" s="113" t="n"/>
      <c r="S121" s="113" t="n"/>
      <c r="T121" s="113" t="n"/>
      <c r="U121" s="113" t="n"/>
      <c r="V121" s="113" t="n"/>
    </row>
    <row r="122" ht="15.75" customHeight="1">
      <c r="A122" s="146" t="n">
        <v>3</v>
      </c>
      <c r="B122" s="238" t="n"/>
      <c r="C122" s="164" t="n">
        <v>46039</v>
      </c>
      <c r="D122" s="166" t="inlineStr">
        <is>
          <t>202 G. HUERTAS</t>
        </is>
      </c>
      <c r="E122" s="166" t="n">
        <v>45675</v>
      </c>
      <c r="F122" s="166" t="inlineStr">
        <is>
          <t>ALEXANDER CHAGUALA</t>
        </is>
      </c>
      <c r="G122" s="166" t="n">
        <v>2916</v>
      </c>
      <c r="H122" s="166" t="n">
        <v>2906</v>
      </c>
      <c r="I122" s="166" t="n">
        <v>3</v>
      </c>
      <c r="J122" s="166" t="n">
        <v>5</v>
      </c>
      <c r="K122" s="166" t="n">
        <v>-2</v>
      </c>
      <c r="L122" s="266" t="n">
        <v>2880</v>
      </c>
      <c r="M122" s="239" t="n"/>
      <c r="N122" s="113" t="n"/>
      <c r="O122" s="113" t="n"/>
      <c r="P122" s="398" t="n"/>
      <c r="Q122" s="398" t="n"/>
      <c r="R122" s="113" t="n"/>
      <c r="S122" s="113" t="n"/>
      <c r="T122" s="113" t="n"/>
      <c r="U122" s="113" t="n"/>
      <c r="V122" s="113" t="n"/>
    </row>
    <row r="123" ht="15.75" customHeight="1">
      <c r="A123" s="146" t="n">
        <v>3</v>
      </c>
      <c r="B123" s="238" t="n"/>
      <c r="C123" s="164" t="n">
        <v>46039</v>
      </c>
      <c r="D123" s="166" t="inlineStr">
        <is>
          <t>202 G. HUERTAS</t>
        </is>
      </c>
      <c r="E123" s="166" t="n">
        <v>45676</v>
      </c>
      <c r="F123" s="166" t="inlineStr">
        <is>
          <t>ROBINSON PULIDO</t>
        </is>
      </c>
      <c r="G123" s="166" t="n">
        <v>3180</v>
      </c>
      <c r="H123" s="166" t="n">
        <v>3180</v>
      </c>
      <c r="I123" s="166" t="n">
        <v>1</v>
      </c>
      <c r="J123" s="166" t="n">
        <v>5</v>
      </c>
      <c r="K123" s="166" t="n">
        <v>6</v>
      </c>
      <c r="L123" s="266" t="n">
        <v>2880</v>
      </c>
      <c r="M123" s="239" t="n"/>
      <c r="N123" s="113" t="n"/>
      <c r="O123" s="113" t="n"/>
      <c r="P123" s="398" t="n"/>
      <c r="Q123" s="398" t="n"/>
      <c r="R123" s="113" t="n"/>
      <c r="S123" s="113" t="n"/>
      <c r="T123" s="113" t="n"/>
      <c r="U123" s="113" t="n"/>
      <c r="V123" s="113" t="n"/>
    </row>
    <row r="124" ht="15.75" customHeight="1">
      <c r="A124" s="146" t="n">
        <v>3</v>
      </c>
      <c r="B124" s="238" t="n"/>
      <c r="C124" s="164" t="n">
        <v>46039</v>
      </c>
      <c r="D124" s="166" t="inlineStr">
        <is>
          <t>202 G. HUERTAS</t>
        </is>
      </c>
      <c r="E124" s="166" t="n">
        <v>45677</v>
      </c>
      <c r="F124" s="166" t="inlineStr">
        <is>
          <t>DIEGO NIÑO</t>
        </is>
      </c>
      <c r="G124" s="166" t="n">
        <v>2880</v>
      </c>
      <c r="H124" s="166" t="n">
        <v>2886</v>
      </c>
      <c r="I124" s="166" t="n">
        <v>2</v>
      </c>
      <c r="J124" s="166" t="n">
        <v>3</v>
      </c>
      <c r="K124" s="166" t="n">
        <v>11</v>
      </c>
      <c r="L124" s="266" t="n">
        <v>2586</v>
      </c>
      <c r="M124" s="239" t="n"/>
      <c r="N124" s="113" t="n"/>
      <c r="O124" s="113" t="n"/>
      <c r="P124" s="398" t="n"/>
      <c r="Q124" s="398" t="n"/>
      <c r="R124" s="113" t="n"/>
      <c r="S124" s="113" t="n"/>
      <c r="T124" s="113" t="n"/>
      <c r="U124" s="113" t="n"/>
      <c r="V124" s="113" t="n"/>
    </row>
    <row r="125" ht="15.75" customHeight="1">
      <c r="A125" s="146" t="n">
        <v>3</v>
      </c>
      <c r="B125" s="238" t="n"/>
      <c r="C125" s="164" t="n">
        <v>46039</v>
      </c>
      <c r="D125" s="165" t="inlineStr">
        <is>
          <t>202 G. HUERTAS</t>
        </is>
      </c>
      <c r="E125" s="165" t="n">
        <v>45678</v>
      </c>
      <c r="F125" s="165" t="inlineStr">
        <is>
          <t>YAIR RIVEROS</t>
        </is>
      </c>
      <c r="G125" s="165" t="n">
        <v>2880</v>
      </c>
      <c r="H125" s="165" t="n">
        <v>2879</v>
      </c>
      <c r="I125" s="165" t="n">
        <v>1</v>
      </c>
      <c r="J125" s="165" t="n">
        <v>4</v>
      </c>
      <c r="K125" s="165" t="n">
        <v>4</v>
      </c>
      <c r="L125" s="266" t="n">
        <v>2020</v>
      </c>
      <c r="M125" s="239" t="n"/>
      <c r="N125" s="113" t="n"/>
      <c r="O125" s="113" t="n"/>
      <c r="P125" s="398" t="n"/>
      <c r="Q125" s="398" t="n"/>
      <c r="R125" s="113" t="n"/>
      <c r="S125" s="113" t="n"/>
      <c r="T125" s="113" t="n"/>
      <c r="U125" s="113" t="n"/>
      <c r="V125" s="113" t="n"/>
    </row>
    <row r="126" ht="15.75" customHeight="1">
      <c r="A126" s="146" t="n">
        <v>3</v>
      </c>
      <c r="B126" s="238" t="n"/>
      <c r="C126" s="164" t="n">
        <v>46039</v>
      </c>
      <c r="D126" s="165" t="inlineStr">
        <is>
          <t>202 G. HUERTAS</t>
        </is>
      </c>
      <c r="E126" s="165" t="n">
        <v>45679</v>
      </c>
      <c r="F126" s="165" t="inlineStr">
        <is>
          <t>WILMER PIÑEROS</t>
        </is>
      </c>
      <c r="G126" s="522" t="n">
        <v>2583</v>
      </c>
      <c r="H126" s="522" t="n">
        <v>2578</v>
      </c>
      <c r="I126" s="522" t="n">
        <v>1</v>
      </c>
      <c r="J126" s="522" t="n">
        <v>5</v>
      </c>
      <c r="K126" s="522" t="n">
        <v>1</v>
      </c>
      <c r="L126" s="318" t="n">
        <v>1700</v>
      </c>
      <c r="M126" s="239" t="n"/>
      <c r="N126" s="113" t="n"/>
      <c r="O126" s="113" t="n"/>
      <c r="P126" s="398" t="n"/>
      <c r="Q126" s="398" t="n"/>
      <c r="R126" s="113" t="n"/>
      <c r="S126" s="113" t="n"/>
      <c r="T126" s="113" t="n"/>
      <c r="U126" s="113" t="n"/>
      <c r="V126" s="113" t="n"/>
    </row>
    <row r="127" ht="15.75" customHeight="1">
      <c r="A127" s="146" t="n">
        <v>3</v>
      </c>
      <c r="B127" s="238" t="n"/>
      <c r="C127" s="399" t="n"/>
      <c r="D127" s="162" t="n"/>
      <c r="E127" s="162" t="n"/>
      <c r="F127" s="162" t="n"/>
      <c r="G127" s="163">
        <f>SUM(G53:G126)</f>
        <v/>
      </c>
      <c r="H127" s="163">
        <f>SUM(H53:H126)</f>
        <v/>
      </c>
      <c r="I127" s="163">
        <f>SUM(I53:I126)</f>
        <v/>
      </c>
      <c r="J127" s="163">
        <f>SUM(J53:J126)</f>
        <v/>
      </c>
      <c r="K127" s="163">
        <f>SUM(K53:K126)</f>
        <v/>
      </c>
      <c r="L127" s="523">
        <f>SUM(L53:L126)</f>
        <v/>
      </c>
      <c r="M127" s="524">
        <f>+L127-H127</f>
        <v/>
      </c>
      <c r="N127" s="113" t="n"/>
      <c r="O127" s="395" t="n"/>
      <c r="P127" s="494" t="n"/>
      <c r="Q127" s="398" t="n"/>
      <c r="R127" s="113" t="n"/>
      <c r="S127" s="113" t="n"/>
      <c r="T127" s="113" t="n"/>
      <c r="U127" s="113" t="n"/>
      <c r="V127" s="113" t="n"/>
    </row>
    <row r="128" ht="15.75" customHeight="1">
      <c r="A128" s="146" t="n">
        <v>4</v>
      </c>
      <c r="B128" s="238" t="n"/>
      <c r="C128" s="164" t="n">
        <v>46041</v>
      </c>
      <c r="D128" s="165" t="inlineStr">
        <is>
          <t>218 G. SAN JOSE 1</t>
        </is>
      </c>
      <c r="E128" s="165" t="n">
        <v>45708</v>
      </c>
      <c r="F128" s="165" t="inlineStr">
        <is>
          <t>JOSE SOLER</t>
        </is>
      </c>
      <c r="G128" s="165" t="n">
        <v>3564</v>
      </c>
      <c r="H128" s="165" t="n">
        <v>3553</v>
      </c>
      <c r="I128" s="165" t="n">
        <v>1</v>
      </c>
      <c r="J128" s="165" t="n">
        <v>31</v>
      </c>
      <c r="K128" s="165" t="n">
        <v>21</v>
      </c>
      <c r="L128" s="260" t="n">
        <v>3240</v>
      </c>
      <c r="M128" s="239" t="n"/>
      <c r="N128" s="113" t="n"/>
      <c r="O128" s="113" t="n"/>
      <c r="P128" s="398" t="n"/>
      <c r="Q128" s="398" t="n"/>
      <c r="R128" s="113" t="n"/>
      <c r="S128" s="113" t="n"/>
      <c r="T128" s="113" t="n"/>
      <c r="U128" s="113" t="n"/>
      <c r="V128" s="113" t="n"/>
    </row>
    <row r="129" ht="15.75" customHeight="1">
      <c r="A129" s="146" t="n">
        <v>4</v>
      </c>
      <c r="B129" s="238" t="n"/>
      <c r="C129" s="164" t="n">
        <v>46041</v>
      </c>
      <c r="D129" s="165" t="inlineStr">
        <is>
          <t>218 G. SAN JOSE 1</t>
        </is>
      </c>
      <c r="E129" s="165" t="n">
        <v>45709</v>
      </c>
      <c r="F129" s="165" t="inlineStr">
        <is>
          <t>FERNANDO OYUELA</t>
        </is>
      </c>
      <c r="G129" s="165" t="n">
        <v>3564</v>
      </c>
      <c r="H129" s="165" t="n">
        <v>3513</v>
      </c>
      <c r="I129" s="165" t="n">
        <v>2</v>
      </c>
      <c r="J129" s="165" t="n">
        <v>31</v>
      </c>
      <c r="K129" s="165" t="n">
        <v>-18</v>
      </c>
      <c r="L129" s="266" t="n">
        <v>3240</v>
      </c>
      <c r="M129" s="239" t="n"/>
      <c r="N129" s="113" t="n"/>
      <c r="O129" s="113" t="n"/>
      <c r="P129" s="398" t="n"/>
      <c r="Q129" s="398" t="n"/>
      <c r="R129" s="113" t="n"/>
      <c r="S129" s="113" t="n"/>
      <c r="T129" s="113" t="n"/>
      <c r="U129" s="113" t="n"/>
      <c r="V129" s="113" t="n"/>
    </row>
    <row r="130" ht="15.75" customHeight="1">
      <c r="A130" s="146" t="n">
        <v>4</v>
      </c>
      <c r="B130" s="238" t="n"/>
      <c r="C130" s="164" t="n">
        <v>46041</v>
      </c>
      <c r="D130" s="165" t="inlineStr">
        <is>
          <t>218 G. SAN JOSE 1</t>
        </is>
      </c>
      <c r="E130" s="165" t="n">
        <v>45710</v>
      </c>
      <c r="F130" s="165" t="inlineStr">
        <is>
          <t>DUMAR ANGARITA</t>
        </is>
      </c>
      <c r="G130" s="165" t="n">
        <v>3564</v>
      </c>
      <c r="H130" s="165" t="n">
        <v>3493</v>
      </c>
      <c r="I130" s="165" t="n">
        <v>1</v>
      </c>
      <c r="J130" s="165" t="n">
        <v>31</v>
      </c>
      <c r="K130" s="165" t="n">
        <v>-39</v>
      </c>
      <c r="L130" s="266" t="n">
        <v>3130</v>
      </c>
      <c r="M130" s="239" t="n"/>
      <c r="N130" s="113" t="n"/>
      <c r="O130" s="113" t="n"/>
      <c r="P130" s="398" t="n"/>
      <c r="Q130" s="398" t="n"/>
      <c r="R130" s="113" t="n"/>
      <c r="S130" s="113" t="n"/>
      <c r="T130" s="113" t="n"/>
      <c r="U130" s="113" t="n"/>
      <c r="V130" s="113" t="n"/>
    </row>
    <row r="131" ht="15.75" customHeight="1">
      <c r="A131" s="146" t="n">
        <v>4</v>
      </c>
      <c r="B131" s="238" t="n"/>
      <c r="C131" s="164" t="n">
        <v>46041</v>
      </c>
      <c r="D131" s="165" t="inlineStr">
        <is>
          <t>218 G. SAN JOSE 1</t>
        </is>
      </c>
      <c r="E131" s="166" t="n">
        <v>45711</v>
      </c>
      <c r="F131" s="166" t="inlineStr">
        <is>
          <t>HENRY ROMERO</t>
        </is>
      </c>
      <c r="G131" s="166" t="n">
        <v>3564</v>
      </c>
      <c r="H131" s="166" t="n">
        <v>3441</v>
      </c>
      <c r="I131" s="166" t="n">
        <v>1</v>
      </c>
      <c r="J131" s="166" t="n">
        <v>58</v>
      </c>
      <c r="K131" s="166" t="n">
        <v>-64</v>
      </c>
      <c r="L131" s="266" t="n">
        <v>3100</v>
      </c>
      <c r="M131" s="239" t="n"/>
      <c r="N131" s="113" t="n"/>
      <c r="O131" s="113" t="n"/>
      <c r="P131" s="398" t="n"/>
      <c r="Q131" s="398" t="n"/>
      <c r="R131" s="113" t="n"/>
      <c r="S131" s="113" t="n"/>
      <c r="T131" s="113" t="n"/>
      <c r="U131" s="113" t="n"/>
      <c r="V131" s="113" t="n"/>
    </row>
    <row r="132" ht="15.75" customHeight="1">
      <c r="A132" s="146" t="n">
        <v>4</v>
      </c>
      <c r="B132" s="238" t="n"/>
      <c r="C132" s="164" t="n">
        <v>46041</v>
      </c>
      <c r="D132" s="165" t="inlineStr">
        <is>
          <t>218 G. SAN JOSE 1</t>
        </is>
      </c>
      <c r="E132" s="166" t="n">
        <v>45712</v>
      </c>
      <c r="F132" s="166" t="inlineStr">
        <is>
          <t>MANUEL QUITIAN</t>
        </is>
      </c>
      <c r="G132" s="166" t="n">
        <v>3564</v>
      </c>
      <c r="H132" s="166" t="n">
        <v>3524</v>
      </c>
      <c r="I132" s="166" t="n">
        <v>1</v>
      </c>
      <c r="J132" s="166" t="n">
        <v>10</v>
      </c>
      <c r="K132" s="166" t="n">
        <v>-29</v>
      </c>
      <c r="L132" s="266" t="n">
        <v>3240</v>
      </c>
      <c r="M132" s="239" t="n"/>
      <c r="N132" s="113" t="n"/>
      <c r="O132" s="113" t="n"/>
      <c r="P132" s="398" t="n"/>
      <c r="Q132" s="398" t="n"/>
      <c r="R132" s="113" t="n"/>
      <c r="S132" s="113" t="n"/>
      <c r="T132" s="113" t="n"/>
      <c r="U132" s="113" t="n"/>
      <c r="V132" s="113" t="n"/>
    </row>
    <row r="133" ht="15.75" customHeight="1">
      <c r="A133" s="146" t="n">
        <v>4</v>
      </c>
      <c r="B133" s="238" t="n"/>
      <c r="C133" s="164" t="n">
        <v>46041</v>
      </c>
      <c r="D133" s="165" t="inlineStr">
        <is>
          <t>218 G. SAN JOSE 1</t>
        </is>
      </c>
      <c r="E133" s="166" t="n">
        <v>45713</v>
      </c>
      <c r="F133" s="166" t="inlineStr">
        <is>
          <t>JAIRO CUBILLOS</t>
        </is>
      </c>
      <c r="G133" s="166" t="n">
        <v>3396</v>
      </c>
      <c r="H133" s="166" t="n">
        <v>3390</v>
      </c>
      <c r="I133" s="166" t="n">
        <v>1</v>
      </c>
      <c r="J133" s="166" t="n">
        <v>12</v>
      </c>
      <c r="K133" s="166" t="n">
        <v>7</v>
      </c>
      <c r="L133" s="266" t="n">
        <v>3240</v>
      </c>
      <c r="M133" s="239" t="n"/>
      <c r="N133" s="113" t="n"/>
      <c r="O133" s="113" t="n"/>
      <c r="P133" s="398" t="n"/>
      <c r="Q133" s="398" t="n"/>
      <c r="R133" s="113" t="n"/>
      <c r="S133" s="113" t="n"/>
      <c r="T133" s="113" t="n"/>
      <c r="U133" s="113" t="n"/>
      <c r="V133" s="113" t="n"/>
    </row>
    <row r="134" ht="15.75" customHeight="1">
      <c r="A134" s="146" t="n">
        <v>4</v>
      </c>
      <c r="B134" s="238" t="n"/>
      <c r="C134" s="164" t="n">
        <v>46042</v>
      </c>
      <c r="D134" s="165" t="inlineStr">
        <is>
          <t>218 G. SAN JOSE 1</t>
        </is>
      </c>
      <c r="E134" s="166" t="n">
        <v>45725</v>
      </c>
      <c r="F134" s="166" t="inlineStr">
        <is>
          <t>WILMER PIÑEROS</t>
        </is>
      </c>
      <c r="G134" s="166" t="n">
        <v>3240</v>
      </c>
      <c r="H134" s="166" t="n">
        <v>3231</v>
      </c>
      <c r="I134" s="166" t="n">
        <v>3</v>
      </c>
      <c r="J134" s="166" t="n">
        <v>9</v>
      </c>
      <c r="K134" s="166" t="n">
        <v>3</v>
      </c>
      <c r="L134" s="266" t="n">
        <v>3240</v>
      </c>
      <c r="M134" s="239" t="n"/>
      <c r="N134" s="113" t="n"/>
      <c r="O134" s="113" t="n"/>
      <c r="P134" s="398" t="n"/>
      <c r="Q134" s="398" t="n"/>
      <c r="R134" s="113" t="n"/>
      <c r="S134" s="113" t="n"/>
      <c r="T134" s="113" t="n"/>
      <c r="U134" s="113" t="n"/>
      <c r="V134" s="113" t="n"/>
    </row>
    <row r="135" ht="15.75" customHeight="1">
      <c r="A135" s="146" t="n">
        <v>4</v>
      </c>
      <c r="B135" s="238" t="n"/>
      <c r="C135" s="164" t="n">
        <v>46042</v>
      </c>
      <c r="D135" s="165" t="inlineStr">
        <is>
          <t>218 G. SAN JOSE 1</t>
        </is>
      </c>
      <c r="E135" s="166" t="n">
        <v>45726</v>
      </c>
      <c r="F135" s="166" t="inlineStr">
        <is>
          <t>MANUEL QUITIAN</t>
        </is>
      </c>
      <c r="G135" s="166" t="n">
        <v>3240</v>
      </c>
      <c r="H135" s="166" t="n">
        <v>3232</v>
      </c>
      <c r="I135" s="166" t="n">
        <v>4</v>
      </c>
      <c r="J135" s="166" t="n">
        <v>8</v>
      </c>
      <c r="K135" s="166" t="n">
        <v>4</v>
      </c>
      <c r="L135" s="266" t="n">
        <v>3270</v>
      </c>
      <c r="M135" s="239" t="n"/>
      <c r="N135" s="113" t="n"/>
      <c r="O135" s="113" t="n"/>
      <c r="P135" s="398" t="n"/>
      <c r="Q135" s="398" t="n"/>
      <c r="R135" s="113" t="n"/>
      <c r="S135" s="113" t="n"/>
      <c r="T135" s="113" t="n"/>
      <c r="U135" s="113" t="n"/>
      <c r="V135" s="113" t="n"/>
    </row>
    <row r="136" ht="15.75" customHeight="1">
      <c r="A136" s="146" t="n">
        <v>4</v>
      </c>
      <c r="B136" s="238" t="n"/>
      <c r="C136" s="164" t="n">
        <v>46042</v>
      </c>
      <c r="D136" s="165" t="inlineStr">
        <is>
          <t>218 G. SAN JOSE 1</t>
        </is>
      </c>
      <c r="E136" s="166" t="n">
        <v>45727</v>
      </c>
      <c r="F136" s="166" t="inlineStr">
        <is>
          <t>JAIRO CUBILLOS</t>
        </is>
      </c>
      <c r="G136" s="166" t="n">
        <v>3564</v>
      </c>
      <c r="H136" s="166" t="n">
        <v>3565</v>
      </c>
      <c r="I136" s="166" t="n">
        <v>5</v>
      </c>
      <c r="J136" s="166" t="n">
        <v>11</v>
      </c>
      <c r="K136" s="166" t="n">
        <v>17</v>
      </c>
      <c r="L136" s="266" t="n">
        <v>3320</v>
      </c>
      <c r="M136" s="239" t="n"/>
      <c r="N136" s="113" t="n"/>
      <c r="O136" s="113" t="n"/>
      <c r="P136" s="398" t="n"/>
      <c r="Q136" s="398" t="n"/>
      <c r="R136" s="113" t="n"/>
      <c r="S136" s="113" t="n"/>
      <c r="T136" s="113" t="n"/>
      <c r="U136" s="113" t="n"/>
      <c r="V136" s="113" t="n"/>
    </row>
    <row r="137" ht="15.75" customHeight="1">
      <c r="A137" s="146" t="n">
        <v>4</v>
      </c>
      <c r="B137" s="238" t="n"/>
      <c r="C137" s="164" t="n">
        <v>46042</v>
      </c>
      <c r="D137" s="165" t="inlineStr">
        <is>
          <t>219 G. SAN JOSE 2</t>
        </is>
      </c>
      <c r="E137" s="166" t="n">
        <v>45728</v>
      </c>
      <c r="F137" s="166" t="inlineStr">
        <is>
          <t>HENRY ROMERO</t>
        </is>
      </c>
      <c r="G137" s="166" t="n">
        <v>1610</v>
      </c>
      <c r="H137" s="166" t="n">
        <v>1600</v>
      </c>
      <c r="I137" s="166" t="n">
        <v>8</v>
      </c>
      <c r="J137" s="166" t="n">
        <v>10</v>
      </c>
      <c r="K137" s="166" t="n">
        <v>8</v>
      </c>
      <c r="L137" s="266" t="n">
        <v>3220</v>
      </c>
      <c r="M137" s="239" t="n"/>
      <c r="N137" s="113" t="n"/>
      <c r="O137" s="113" t="n"/>
      <c r="P137" s="398" t="n"/>
      <c r="Q137" s="398" t="n"/>
      <c r="R137" s="113" t="n"/>
      <c r="S137" s="113" t="n"/>
      <c r="T137" s="113" t="n"/>
      <c r="U137" s="113" t="n"/>
      <c r="V137" s="113" t="n"/>
    </row>
    <row r="138" ht="15.75" customHeight="1">
      <c r="A138" s="146" t="n">
        <v>4</v>
      </c>
      <c r="B138" s="238" t="n"/>
      <c r="C138" s="164" t="n">
        <v>46042</v>
      </c>
      <c r="D138" s="165" t="inlineStr">
        <is>
          <t>218 G. SAN JOSE 1</t>
        </is>
      </c>
      <c r="E138" s="166" t="n">
        <v>45729</v>
      </c>
      <c r="F138" s="166" t="inlineStr">
        <is>
          <t>FABIO ALDANA</t>
        </is>
      </c>
      <c r="G138" s="166" t="n">
        <v>3140</v>
      </c>
      <c r="H138" s="166" t="n">
        <v>3107</v>
      </c>
      <c r="I138" s="166" t="n">
        <v>7</v>
      </c>
      <c r="J138" s="166" t="n">
        <v>25</v>
      </c>
      <c r="K138" s="166" t="n">
        <v>-1</v>
      </c>
      <c r="L138" s="266" t="n">
        <v>3220</v>
      </c>
      <c r="M138" s="239" t="n"/>
      <c r="N138" s="113" t="n"/>
      <c r="O138" s="395" t="n"/>
      <c r="P138" s="494" t="n"/>
      <c r="Q138" s="398" t="n"/>
      <c r="R138" s="113" t="n"/>
      <c r="S138" s="113" t="n"/>
      <c r="T138" s="113" t="n"/>
      <c r="U138" s="113" t="n"/>
      <c r="V138" s="113" t="n"/>
    </row>
    <row r="139" ht="15.75" customHeight="1">
      <c r="A139" s="146" t="n">
        <v>4</v>
      </c>
      <c r="B139" s="238" t="n"/>
      <c r="C139" s="164" t="n">
        <v>46042</v>
      </c>
      <c r="D139" s="165" t="inlineStr">
        <is>
          <t>218 G. SAN JOSE 1</t>
        </is>
      </c>
      <c r="E139" s="166" t="n">
        <v>45739</v>
      </c>
      <c r="F139" s="166" t="inlineStr">
        <is>
          <t>DUMAR ANGARITA</t>
        </is>
      </c>
      <c r="G139" s="166" t="n">
        <v>3140</v>
      </c>
      <c r="H139" s="166" t="n">
        <v>3136</v>
      </c>
      <c r="I139" s="166" t="n">
        <v>3</v>
      </c>
      <c r="J139" s="166" t="n">
        <v>4</v>
      </c>
      <c r="K139" s="166" t="n">
        <v>3</v>
      </c>
      <c r="L139" s="266" t="n">
        <v>3289</v>
      </c>
      <c r="M139" s="525" t="n"/>
      <c r="N139" s="113" t="n"/>
      <c r="O139" s="113" t="n"/>
      <c r="P139" s="398" t="n"/>
      <c r="Q139" s="398" t="n"/>
      <c r="R139" s="146">
        <f>+Q139-P139</f>
        <v/>
      </c>
      <c r="S139" s="113" t="n"/>
      <c r="T139" s="113" t="n"/>
      <c r="U139" s="113" t="n"/>
      <c r="V139" s="113" t="n"/>
    </row>
    <row r="140" ht="15.75" customHeight="1">
      <c r="A140" s="146" t="n">
        <v>4</v>
      </c>
      <c r="B140" s="238" t="n"/>
      <c r="C140" s="164" t="n">
        <v>46042</v>
      </c>
      <c r="D140" s="165" t="inlineStr">
        <is>
          <t>218 G. SAN JOSE 1</t>
        </is>
      </c>
      <c r="E140" s="166" t="n">
        <v>45740</v>
      </c>
      <c r="F140" s="166" t="inlineStr">
        <is>
          <t>WILMER PIÑEROS</t>
        </is>
      </c>
      <c r="G140" s="166" t="n">
        <v>3140</v>
      </c>
      <c r="H140" s="166" t="n">
        <v>3123</v>
      </c>
      <c r="I140" s="166" t="n">
        <v>4</v>
      </c>
      <c r="J140" s="166" t="n">
        <v>4</v>
      </c>
      <c r="K140" s="166" t="n">
        <v>-9</v>
      </c>
      <c r="L140" s="266" t="n">
        <v>3320</v>
      </c>
      <c r="M140" s="113" t="n"/>
      <c r="N140" s="113" t="n"/>
      <c r="O140" s="113" t="n"/>
      <c r="P140" s="398" t="n"/>
      <c r="Q140" s="398" t="n"/>
      <c r="R140" s="113" t="n"/>
      <c r="S140" s="113" t="n"/>
      <c r="T140" s="113" t="n"/>
      <c r="U140" s="113" t="n"/>
      <c r="V140" s="113" t="n"/>
    </row>
    <row r="141" ht="15.75" customHeight="1">
      <c r="A141" s="146" t="n">
        <v>4</v>
      </c>
      <c r="B141" s="238" t="n"/>
      <c r="C141" s="164" t="n">
        <v>46042</v>
      </c>
      <c r="D141" s="165" t="inlineStr">
        <is>
          <t>218 G. SAN JOSE 1</t>
        </is>
      </c>
      <c r="E141" s="166" t="n">
        <v>45741</v>
      </c>
      <c r="F141" s="166" t="inlineStr">
        <is>
          <t>MANUEL QUITIAN</t>
        </is>
      </c>
      <c r="G141" s="166" t="n">
        <v>3140</v>
      </c>
      <c r="H141" s="166" t="n">
        <v>3106</v>
      </c>
      <c r="I141" s="166" t="n">
        <v>5</v>
      </c>
      <c r="J141" s="166" t="n">
        <v>4</v>
      </c>
      <c r="K141" s="166" t="n">
        <v>-25</v>
      </c>
      <c r="L141" s="266" t="n">
        <v>3564</v>
      </c>
      <c r="M141" s="162" t="n"/>
      <c r="N141" s="113" t="n"/>
      <c r="O141" s="113" t="n"/>
      <c r="P141" s="398" t="n"/>
      <c r="Q141" s="398" t="n"/>
      <c r="R141" s="113" t="n"/>
      <c r="S141" s="113" t="n"/>
      <c r="T141" s="113" t="n"/>
      <c r="U141" s="113" t="n"/>
      <c r="V141" s="113" t="n"/>
    </row>
    <row r="142" ht="15.75" customHeight="1">
      <c r="A142" s="146" t="n">
        <v>4</v>
      </c>
      <c r="B142" s="238" t="n"/>
      <c r="C142" s="164" t="n">
        <v>46042</v>
      </c>
      <c r="D142" s="165" t="inlineStr">
        <is>
          <t>218 G. SAN JOSE 1</t>
        </is>
      </c>
      <c r="E142" s="166" t="n">
        <v>45742</v>
      </c>
      <c r="F142" s="166" t="inlineStr">
        <is>
          <t>JAIRO CUBILLOS</t>
        </is>
      </c>
      <c r="G142" s="166" t="n">
        <v>3140</v>
      </c>
      <c r="H142" s="166" t="n">
        <v>3106</v>
      </c>
      <c r="I142" s="166" t="n">
        <v>5</v>
      </c>
      <c r="J142" s="166" t="n">
        <v>4</v>
      </c>
      <c r="K142" s="166" t="n">
        <v>-25</v>
      </c>
      <c r="L142" s="266" t="n">
        <v>3564</v>
      </c>
      <c r="M142" s="162" t="n"/>
      <c r="N142" s="113" t="n"/>
      <c r="O142" s="113" t="n"/>
      <c r="P142" s="398" t="n"/>
      <c r="Q142" s="398" t="n"/>
      <c r="R142" s="113" t="n"/>
      <c r="S142" s="113" t="n"/>
      <c r="T142" s="113" t="n"/>
      <c r="U142" s="113" t="n"/>
      <c r="V142" s="113" t="n"/>
    </row>
    <row r="143" ht="15.75" customHeight="1">
      <c r="A143" s="146" t="n">
        <v>4</v>
      </c>
      <c r="B143" s="238" t="n"/>
      <c r="C143" s="164" t="n">
        <v>46042</v>
      </c>
      <c r="D143" s="165" t="inlineStr">
        <is>
          <t>218 G. SAN JOSE 1</t>
        </is>
      </c>
      <c r="E143" s="166" t="n">
        <v>45743</v>
      </c>
      <c r="F143" s="166" t="inlineStr">
        <is>
          <t>HENRY ROMERO</t>
        </is>
      </c>
      <c r="G143" s="166" t="n">
        <v>3140</v>
      </c>
      <c r="H143" s="166" t="n">
        <v>3138</v>
      </c>
      <c r="I143" s="166" t="n">
        <v>3</v>
      </c>
      <c r="J143" s="166" t="n">
        <v>2</v>
      </c>
      <c r="K143" s="166" t="n">
        <v>3</v>
      </c>
      <c r="L143" s="266" t="n">
        <v>3564</v>
      </c>
      <c r="M143" s="162" t="n"/>
      <c r="N143" s="113" t="n"/>
      <c r="O143" s="113" t="n"/>
      <c r="P143" s="398" t="n"/>
      <c r="Q143" s="398" t="n"/>
      <c r="R143" s="113" t="n"/>
      <c r="S143" s="113" t="n"/>
      <c r="T143" s="113" t="n"/>
      <c r="U143" s="113" t="n"/>
      <c r="V143" s="113" t="n"/>
    </row>
    <row r="144" ht="15.75" customHeight="1">
      <c r="A144" s="146" t="n">
        <v>4</v>
      </c>
      <c r="B144" s="238" t="n"/>
      <c r="C144" s="164" t="n">
        <v>46042</v>
      </c>
      <c r="D144" s="165" t="inlineStr">
        <is>
          <t>218 G. SAN JOSE 1</t>
        </is>
      </c>
      <c r="E144" s="166" t="n">
        <v>45744</v>
      </c>
      <c r="F144" s="166" t="inlineStr">
        <is>
          <t>FABIO ALDANA</t>
        </is>
      </c>
      <c r="G144" s="166" t="n">
        <v>3140</v>
      </c>
      <c r="H144" s="166" t="n">
        <v>3173</v>
      </c>
      <c r="I144" s="166" t="n">
        <v>3</v>
      </c>
      <c r="J144" s="166" t="n">
        <v>3</v>
      </c>
      <c r="K144" s="166" t="n">
        <v>39</v>
      </c>
      <c r="L144" s="266" t="n">
        <v>3564</v>
      </c>
      <c r="M144" s="162" t="n"/>
      <c r="N144" s="113" t="n"/>
      <c r="O144" s="113" t="n"/>
      <c r="P144" s="398" t="n"/>
      <c r="Q144" s="398" t="n"/>
      <c r="R144" s="113" t="n"/>
      <c r="S144" s="113" t="n"/>
      <c r="T144" s="113" t="n"/>
      <c r="U144" s="113" t="n"/>
      <c r="V144" s="113" t="n"/>
    </row>
    <row r="145" ht="15.75" customHeight="1">
      <c r="A145" s="146" t="n">
        <v>4</v>
      </c>
      <c r="B145" s="238" t="n"/>
      <c r="C145" s="164" t="n">
        <v>46042</v>
      </c>
      <c r="D145" s="165" t="inlineStr">
        <is>
          <t>218 G. SAN JOSE 1</t>
        </is>
      </c>
      <c r="E145" s="166" t="n">
        <v>45745</v>
      </c>
      <c r="F145" s="166" t="inlineStr">
        <is>
          <t>EDWIN ROJAS</t>
        </is>
      </c>
      <c r="G145" s="166" t="n">
        <v>3140</v>
      </c>
      <c r="H145" s="166" t="n">
        <v>3124</v>
      </c>
      <c r="I145" s="166" t="n">
        <v>5</v>
      </c>
      <c r="J145" s="166" t="n">
        <v>6</v>
      </c>
      <c r="K145" s="166" t="n">
        <v>-5</v>
      </c>
      <c r="L145" s="266" t="n">
        <v>3564</v>
      </c>
      <c r="M145" s="162" t="n"/>
      <c r="N145" s="113" t="n"/>
      <c r="O145" s="113" t="n"/>
      <c r="P145" s="398" t="n"/>
      <c r="Q145" s="398" t="n"/>
      <c r="R145" s="113" t="n"/>
      <c r="S145" s="113" t="n"/>
      <c r="T145" s="113" t="n"/>
      <c r="U145" s="113" t="n"/>
      <c r="V145" s="113" t="n"/>
    </row>
    <row r="146" ht="15.75" customHeight="1">
      <c r="A146" s="146" t="n">
        <v>4</v>
      </c>
      <c r="B146" s="238" t="n"/>
      <c r="C146" s="164" t="n">
        <v>46042</v>
      </c>
      <c r="D146" s="165" t="inlineStr">
        <is>
          <t>218 G. SAN JOSE 1</t>
        </is>
      </c>
      <c r="E146" s="166" t="n">
        <v>45746</v>
      </c>
      <c r="F146" s="166" t="inlineStr">
        <is>
          <t>SEBASTIAN HIDALGO</t>
        </is>
      </c>
      <c r="G146" s="166" t="n">
        <v>3000</v>
      </c>
      <c r="H146" s="166" t="n">
        <v>2998</v>
      </c>
      <c r="I146" s="166" t="n">
        <v>4</v>
      </c>
      <c r="J146" s="166" t="n">
        <v>7</v>
      </c>
      <c r="K146" s="166" t="n">
        <v>9</v>
      </c>
      <c r="L146" s="318" t="n">
        <v>3396</v>
      </c>
      <c r="M146" s="162" t="n"/>
      <c r="N146" s="113" t="n"/>
      <c r="O146" s="113" t="n"/>
      <c r="P146" s="398" t="n"/>
      <c r="Q146" s="398" t="n"/>
      <c r="R146" s="113" t="n"/>
      <c r="S146" s="113" t="n"/>
      <c r="T146" s="113" t="n"/>
      <c r="U146" s="113" t="n"/>
      <c r="V146" s="113" t="n"/>
    </row>
    <row r="147" ht="15.75" customHeight="1">
      <c r="A147" s="146" t="n">
        <v>4</v>
      </c>
      <c r="B147" s="238" t="n"/>
      <c r="C147" s="164" t="n">
        <v>46043</v>
      </c>
      <c r="D147" s="165" t="inlineStr">
        <is>
          <t>218 G. SAN JOSE 1</t>
        </is>
      </c>
      <c r="E147" s="165" t="n">
        <v>45757</v>
      </c>
      <c r="F147" s="165" t="inlineStr">
        <is>
          <t>ALEX GOMEZ</t>
        </is>
      </c>
      <c r="G147" s="165" t="n">
        <v>2500</v>
      </c>
      <c r="H147" s="165" t="n">
        <v>2484</v>
      </c>
      <c r="I147" s="165" t="n">
        <v>3</v>
      </c>
      <c r="J147" s="165" t="n">
        <v>3</v>
      </c>
      <c r="K147" s="165" t="n">
        <v>-10</v>
      </c>
      <c r="L147" s="260" t="n">
        <v>2916</v>
      </c>
      <c r="M147" s="162" t="n"/>
      <c r="N147" s="113" t="n"/>
      <c r="O147" s="113" t="n"/>
      <c r="P147" s="398" t="n"/>
      <c r="Q147" s="398" t="n"/>
      <c r="R147" s="113" t="n"/>
      <c r="S147" s="113" t="n"/>
      <c r="T147" s="113" t="n"/>
      <c r="U147" s="113" t="n"/>
      <c r="V147" s="113" t="n"/>
    </row>
    <row r="148" ht="15.75" customHeight="1">
      <c r="A148" s="146" t="n">
        <v>4</v>
      </c>
      <c r="B148" s="238" t="n"/>
      <c r="C148" s="164" t="n">
        <v>46043</v>
      </c>
      <c r="D148" s="165" t="inlineStr">
        <is>
          <t>218 G. SAN JOSE 1</t>
        </is>
      </c>
      <c r="E148" s="165" t="n">
        <v>45758</v>
      </c>
      <c r="F148" s="165" t="inlineStr">
        <is>
          <t>JAIRO CUBILLOS</t>
        </is>
      </c>
      <c r="G148" s="165" t="n">
        <v>2500</v>
      </c>
      <c r="H148" s="165" t="n">
        <v>2492</v>
      </c>
      <c r="I148" s="165" t="n">
        <v>2</v>
      </c>
      <c r="J148" s="165" t="n">
        <v>3</v>
      </c>
      <c r="K148" s="165" t="n">
        <v>-3</v>
      </c>
      <c r="L148" s="266" t="n">
        <v>2916</v>
      </c>
      <c r="M148" s="162" t="n"/>
      <c r="N148" s="113" t="n"/>
      <c r="O148" s="113" t="n"/>
      <c r="P148" s="398" t="n"/>
      <c r="Q148" s="398" t="n"/>
      <c r="R148" s="113" t="n"/>
      <c r="S148" s="113" t="n"/>
      <c r="T148" s="113" t="n"/>
      <c r="U148" s="113" t="n"/>
      <c r="V148" s="113" t="n"/>
    </row>
    <row r="149" ht="15.75" customHeight="1">
      <c r="A149" s="146" t="n">
        <v>4</v>
      </c>
      <c r="B149" s="238" t="n"/>
      <c r="C149" s="164" t="n">
        <v>46043</v>
      </c>
      <c r="D149" s="165" t="inlineStr">
        <is>
          <t>218 G. SAN JOSE 1</t>
        </is>
      </c>
      <c r="E149" s="166" t="n">
        <v>45759</v>
      </c>
      <c r="F149" s="166" t="inlineStr">
        <is>
          <t>FABIO ALDANA</t>
        </is>
      </c>
      <c r="G149" s="166" t="n">
        <v>2240</v>
      </c>
      <c r="H149" s="166" t="n">
        <v>2232</v>
      </c>
      <c r="I149" s="166" t="n">
        <v>2</v>
      </c>
      <c r="J149" s="166" t="n">
        <v>5</v>
      </c>
      <c r="K149" s="166" t="n">
        <v>-1</v>
      </c>
      <c r="L149" s="266" t="n">
        <v>2986</v>
      </c>
      <c r="M149" s="162" t="n"/>
      <c r="N149" s="113" t="n"/>
      <c r="O149" s="113" t="n"/>
      <c r="P149" s="398" t="n"/>
      <c r="Q149" s="398" t="n"/>
      <c r="R149" s="113" t="n"/>
      <c r="S149" s="113" t="n"/>
      <c r="T149" s="113" t="n"/>
      <c r="U149" s="113" t="n"/>
      <c r="V149" s="113" t="n"/>
    </row>
    <row r="150" ht="15.75" customHeight="1">
      <c r="A150" s="146" t="n">
        <v>4</v>
      </c>
      <c r="B150" s="238" t="n"/>
      <c r="C150" s="164" t="n">
        <v>46044</v>
      </c>
      <c r="D150" s="165" t="inlineStr">
        <is>
          <t>218 G. SAN JOSE 1</t>
        </is>
      </c>
      <c r="E150" s="166" t="n">
        <v>45783</v>
      </c>
      <c r="F150" s="166" t="inlineStr">
        <is>
          <t>YAIR RIVEROS</t>
        </is>
      </c>
      <c r="G150" s="166" t="n">
        <v>2826</v>
      </c>
      <c r="H150" s="166" t="n">
        <v>2830</v>
      </c>
      <c r="I150" s="166" t="n">
        <v>2</v>
      </c>
      <c r="J150" s="166" t="n">
        <v>3</v>
      </c>
      <c r="K150" s="166" t="n">
        <v>9</v>
      </c>
      <c r="L150" s="266" t="n">
        <v>3564</v>
      </c>
      <c r="M150" s="162" t="n"/>
      <c r="N150" s="113" t="n"/>
      <c r="O150" s="113" t="n"/>
      <c r="P150" s="398" t="n"/>
      <c r="Q150" s="398" t="n"/>
      <c r="R150" s="113" t="n"/>
      <c r="S150" s="113" t="n"/>
      <c r="T150" s="113" t="n"/>
      <c r="U150" s="113" t="n"/>
      <c r="V150" s="113" t="n"/>
    </row>
    <row r="151" ht="15.75" customHeight="1">
      <c r="A151" s="146" t="n">
        <v>4</v>
      </c>
      <c r="B151" s="238" t="n"/>
      <c r="C151" s="164" t="n">
        <v>46044</v>
      </c>
      <c r="D151" s="165" t="inlineStr">
        <is>
          <t>218 G. SAN JOSE 1</t>
        </is>
      </c>
      <c r="E151" s="166" t="n">
        <v>45784</v>
      </c>
      <c r="F151" s="166" t="inlineStr">
        <is>
          <t>HENRY ROMERO</t>
        </is>
      </c>
      <c r="G151" s="166" t="n">
        <v>2826</v>
      </c>
      <c r="H151" s="166" t="n">
        <v>2828</v>
      </c>
      <c r="I151" s="166" t="n">
        <v>3</v>
      </c>
      <c r="J151" s="166" t="n">
        <v>8</v>
      </c>
      <c r="K151" s="166" t="n">
        <v>13</v>
      </c>
      <c r="L151" s="266" t="n">
        <v>3240</v>
      </c>
      <c r="M151" s="162" t="n"/>
      <c r="N151" s="113" t="n"/>
      <c r="O151" s="113" t="n"/>
      <c r="P151" s="398" t="n"/>
      <c r="Q151" s="398" t="n"/>
      <c r="R151" s="113" t="n"/>
      <c r="S151" s="113" t="n"/>
      <c r="T151" s="113" t="n"/>
      <c r="U151" s="113" t="n"/>
      <c r="V151" s="113" t="n"/>
    </row>
    <row r="152" ht="15.75" customHeight="1">
      <c r="A152" s="146" t="n">
        <v>4</v>
      </c>
      <c r="B152" s="238" t="n"/>
      <c r="C152" s="164" t="n">
        <v>46045</v>
      </c>
      <c r="D152" s="165" t="inlineStr">
        <is>
          <t>218 G. SAN JOSE 1</t>
        </is>
      </c>
      <c r="E152" s="166" t="n">
        <v>45786</v>
      </c>
      <c r="F152" s="166" t="inlineStr">
        <is>
          <t>WILMER PIÑEROS</t>
        </is>
      </c>
      <c r="G152" s="166" t="n">
        <v>2781</v>
      </c>
      <c r="H152" s="166" t="n">
        <v>2792</v>
      </c>
      <c r="I152" s="166" t="n">
        <v>5</v>
      </c>
      <c r="J152" s="166" t="n">
        <v>4</v>
      </c>
      <c r="K152" s="166" t="n">
        <v>20</v>
      </c>
      <c r="L152" s="266" t="n">
        <v>3240</v>
      </c>
      <c r="M152" s="162" t="n"/>
      <c r="N152" s="113" t="n"/>
      <c r="O152" s="113" t="n"/>
      <c r="P152" s="398" t="n"/>
      <c r="Q152" s="398" t="n"/>
      <c r="R152" s="113" t="n"/>
      <c r="S152" s="113" t="n"/>
      <c r="T152" s="113" t="n"/>
      <c r="U152" s="113" t="n"/>
      <c r="V152" s="113" t="n"/>
    </row>
    <row r="153" ht="15.75" customHeight="1">
      <c r="A153" s="146" t="n">
        <v>4</v>
      </c>
      <c r="B153" s="238" t="n"/>
      <c r="C153" s="164" t="n">
        <v>46045</v>
      </c>
      <c r="D153" s="165" t="inlineStr">
        <is>
          <t>218 G. SAN JOSE 1</t>
        </is>
      </c>
      <c r="E153" s="166" t="n">
        <v>45787</v>
      </c>
      <c r="F153" s="166" t="inlineStr">
        <is>
          <t>DUMAR ANGARITA</t>
        </is>
      </c>
      <c r="G153" s="166" t="n">
        <v>2781</v>
      </c>
      <c r="H153" s="166" t="n">
        <v>2766</v>
      </c>
      <c r="I153" s="166" t="n">
        <v>3</v>
      </c>
      <c r="J153" s="166" t="n">
        <v>3</v>
      </c>
      <c r="K153" s="166" t="n">
        <v>-9</v>
      </c>
      <c r="L153" s="266" t="n">
        <v>1610</v>
      </c>
      <c r="M153" s="162" t="n"/>
      <c r="N153" s="113" t="n"/>
      <c r="O153" s="113" t="n"/>
      <c r="P153" s="398" t="n"/>
      <c r="Q153" s="398" t="n"/>
      <c r="R153" s="113" t="n"/>
      <c r="S153" s="113" t="n"/>
      <c r="T153" s="113" t="n"/>
      <c r="U153" s="113" t="n"/>
      <c r="V153" s="113" t="n"/>
    </row>
    <row r="154" ht="15.75" customHeight="1">
      <c r="A154" s="146" t="n">
        <v>4</v>
      </c>
      <c r="B154" s="238" t="n"/>
      <c r="C154" s="164" t="n">
        <v>46045</v>
      </c>
      <c r="D154" s="165" t="inlineStr">
        <is>
          <t>218 G. SAN JOSE 1</t>
        </is>
      </c>
      <c r="E154" s="166" t="n">
        <v>45788</v>
      </c>
      <c r="F154" s="166" t="inlineStr">
        <is>
          <t>FERNANDO OYUELA</t>
        </is>
      </c>
      <c r="G154" s="166" t="n">
        <v>2781</v>
      </c>
      <c r="H154" s="166" t="n">
        <v>2776</v>
      </c>
      <c r="I154" s="166" t="n">
        <v>3</v>
      </c>
      <c r="J154" s="166" t="n">
        <v>5</v>
      </c>
      <c r="K154" s="166" t="n">
        <v>3</v>
      </c>
      <c r="L154" s="266" t="n">
        <v>3140</v>
      </c>
      <c r="M154" s="162" t="n"/>
      <c r="N154" s="113" t="n"/>
      <c r="O154" s="113" t="n"/>
      <c r="P154" s="398" t="n"/>
      <c r="Q154" s="398" t="n"/>
      <c r="R154" s="113" t="n"/>
      <c r="S154" s="113" t="n"/>
      <c r="T154" s="113" t="n"/>
      <c r="U154" s="113" t="n"/>
      <c r="V154" s="113" t="n"/>
    </row>
    <row r="155" ht="15.75" customHeight="1">
      <c r="A155" s="146" t="n">
        <v>4</v>
      </c>
      <c r="B155" s="238" t="n"/>
      <c r="C155" s="164" t="n">
        <v>46045</v>
      </c>
      <c r="D155" s="165" t="inlineStr">
        <is>
          <t>218 G. SAN JOSE 1</t>
        </is>
      </c>
      <c r="E155" s="166" t="n">
        <v>45789</v>
      </c>
      <c r="F155" s="166" t="inlineStr">
        <is>
          <t>JOSE SOLER</t>
        </is>
      </c>
      <c r="G155" s="166" t="n">
        <v>2853</v>
      </c>
      <c r="H155" s="166" t="n">
        <v>2850</v>
      </c>
      <c r="I155" s="166" t="n">
        <v>4</v>
      </c>
      <c r="J155" s="166" t="n">
        <v>3</v>
      </c>
      <c r="K155" s="166" t="n">
        <v>4</v>
      </c>
      <c r="L155" s="266" t="n">
        <v>3140</v>
      </c>
      <c r="M155" s="162" t="n"/>
      <c r="N155" s="113" t="n"/>
      <c r="O155" s="113" t="n"/>
      <c r="P155" s="398" t="n"/>
      <c r="Q155" s="398" t="n"/>
      <c r="R155" s="113" t="n"/>
      <c r="S155" s="113" t="n"/>
      <c r="T155" s="113" t="n"/>
      <c r="U155" s="113" t="n"/>
      <c r="V155" s="113" t="n"/>
    </row>
    <row r="156" ht="15.75" customHeight="1">
      <c r="A156" s="146" t="n">
        <v>4</v>
      </c>
      <c r="B156" s="238" t="n"/>
      <c r="C156" s="164" t="n">
        <v>46045</v>
      </c>
      <c r="D156" s="165" t="inlineStr">
        <is>
          <t>218 G. SAN JOSE 1</t>
        </is>
      </c>
      <c r="E156" s="166" t="n">
        <v>45790</v>
      </c>
      <c r="F156" s="166" t="inlineStr">
        <is>
          <t>ALBERTO LOPEZ</t>
        </is>
      </c>
      <c r="G156" s="166" t="n">
        <v>2853</v>
      </c>
      <c r="H156" s="166" t="n">
        <v>2849</v>
      </c>
      <c r="I156" s="166" t="n">
        <v>3</v>
      </c>
      <c r="J156" s="166" t="n">
        <v>4</v>
      </c>
      <c r="K156" s="166" t="n">
        <v>3</v>
      </c>
      <c r="L156" s="266" t="n">
        <v>3140</v>
      </c>
      <c r="M156" s="162" t="n"/>
      <c r="N156" s="113" t="n"/>
      <c r="O156" s="113" t="n"/>
      <c r="P156" s="398" t="n"/>
      <c r="Q156" s="398" t="n"/>
      <c r="R156" s="113" t="n"/>
      <c r="S156" s="113" t="n"/>
      <c r="T156" s="113" t="n"/>
      <c r="U156" s="113" t="n"/>
      <c r="V156" s="113" t="n"/>
    </row>
    <row r="157" ht="15.75" customHeight="1">
      <c r="A157" s="146" t="n">
        <v>4</v>
      </c>
      <c r="B157" s="238" t="n"/>
      <c r="C157" s="164" t="n">
        <v>46045</v>
      </c>
      <c r="D157" s="165" t="inlineStr">
        <is>
          <t>218 G. SAN JOSE 1</t>
        </is>
      </c>
      <c r="E157" s="166" t="n">
        <v>45791</v>
      </c>
      <c r="F157" s="166" t="inlineStr">
        <is>
          <t>JHON ARIAS</t>
        </is>
      </c>
      <c r="G157" s="166" t="n">
        <v>2853</v>
      </c>
      <c r="H157" s="166" t="n">
        <v>2867</v>
      </c>
      <c r="I157" s="166" t="n">
        <v>3</v>
      </c>
      <c r="J157" s="166" t="n">
        <v>3</v>
      </c>
      <c r="K157" s="166" t="n">
        <v>20</v>
      </c>
      <c r="L157" s="266" t="n">
        <v>3140</v>
      </c>
      <c r="M157" s="162" t="n"/>
      <c r="N157" s="113" t="n"/>
      <c r="O157" s="113" t="n"/>
      <c r="P157" s="398" t="n"/>
      <c r="Q157" s="398" t="n"/>
      <c r="R157" s="113" t="n"/>
      <c r="S157" s="113" t="n"/>
      <c r="T157" s="113" t="n"/>
      <c r="U157" s="113" t="n"/>
      <c r="V157" s="113" t="n"/>
    </row>
    <row r="158" ht="15.75" customHeight="1">
      <c r="A158" s="146" t="n">
        <v>4</v>
      </c>
      <c r="B158" s="238" t="n"/>
      <c r="C158" s="164" t="n">
        <v>46045</v>
      </c>
      <c r="D158" s="165" t="inlineStr">
        <is>
          <t>218 G. SAN JOSE 1</t>
        </is>
      </c>
      <c r="E158" s="166" t="n">
        <v>45792</v>
      </c>
      <c r="F158" s="166" t="inlineStr">
        <is>
          <t>WILMER PIÑEROS</t>
        </is>
      </c>
      <c r="G158" s="166" t="n">
        <v>2808</v>
      </c>
      <c r="H158" s="166" t="n">
        <v>2796</v>
      </c>
      <c r="I158" s="166" t="n">
        <v>6</v>
      </c>
      <c r="J158" s="166" t="n">
        <v>10</v>
      </c>
      <c r="K158" s="166" t="n">
        <v>4</v>
      </c>
      <c r="L158" s="266" t="n">
        <v>3140</v>
      </c>
      <c r="M158" s="162" t="n"/>
      <c r="N158" s="113" t="n"/>
      <c r="O158" s="113" t="n"/>
      <c r="P158" s="398" t="n"/>
      <c r="Q158" s="398" t="n"/>
      <c r="R158" s="113" t="n"/>
      <c r="S158" s="113" t="n"/>
      <c r="T158" s="113" t="n"/>
      <c r="U158" s="113" t="n"/>
      <c r="V158" s="113" t="n"/>
    </row>
    <row r="159" ht="15.75" customHeight="1">
      <c r="A159" s="146" t="n">
        <v>4</v>
      </c>
      <c r="B159" s="238" t="n"/>
      <c r="C159" s="164" t="n">
        <v>46045</v>
      </c>
      <c r="D159" s="165" t="inlineStr">
        <is>
          <t>218 G. SAN JOSE 1</t>
        </is>
      </c>
      <c r="E159" s="166" t="n">
        <v>45801</v>
      </c>
      <c r="F159" s="166" t="inlineStr">
        <is>
          <t>FERNANDO OYUELA</t>
        </is>
      </c>
      <c r="G159" s="166" t="n">
        <v>1656</v>
      </c>
      <c r="H159" s="166" t="n">
        <v>1650</v>
      </c>
      <c r="I159" s="166" t="n">
        <v>4</v>
      </c>
      <c r="J159" s="166" t="n">
        <v>6</v>
      </c>
      <c r="K159" s="166" t="n">
        <v>4</v>
      </c>
      <c r="L159" s="266" t="n">
        <v>3140</v>
      </c>
      <c r="M159" s="162" t="n"/>
      <c r="N159" s="113" t="n"/>
      <c r="O159" s="113" t="n"/>
      <c r="P159" s="398" t="n"/>
      <c r="Q159" s="398" t="n"/>
      <c r="R159" s="113" t="n"/>
      <c r="S159" s="113" t="n"/>
      <c r="T159" s="113" t="n"/>
      <c r="U159" s="113" t="n"/>
      <c r="V159" s="113" t="n"/>
    </row>
    <row r="160" ht="15.75" customHeight="1">
      <c r="A160" s="146" t="n">
        <v>4</v>
      </c>
      <c r="B160" s="238" t="n"/>
      <c r="C160" s="164" t="n">
        <v>46045</v>
      </c>
      <c r="D160" s="165" t="inlineStr">
        <is>
          <t>218 G. SAN JOSE 1</t>
        </is>
      </c>
      <c r="E160" s="166" t="n">
        <v>45802</v>
      </c>
      <c r="F160" s="166" t="inlineStr">
        <is>
          <t>JOSE SOLER</t>
        </is>
      </c>
      <c r="G160" s="166" t="n">
        <v>3564</v>
      </c>
      <c r="H160" s="166" t="n">
        <v>3558</v>
      </c>
      <c r="I160" s="166" t="n">
        <v>4</v>
      </c>
      <c r="J160" s="166" t="n">
        <v>6</v>
      </c>
      <c r="K160" s="166" t="n">
        <v>4</v>
      </c>
      <c r="L160" s="266" t="n">
        <v>3140</v>
      </c>
      <c r="M160" s="162" t="n"/>
      <c r="N160" s="113" t="n"/>
      <c r="O160" s="113" t="n"/>
      <c r="P160" s="398" t="n"/>
      <c r="Q160" s="398" t="n"/>
      <c r="R160" s="113" t="n"/>
      <c r="S160" s="113" t="n"/>
      <c r="T160" s="113" t="n"/>
      <c r="U160" s="113" t="n"/>
      <c r="V160" s="113" t="n"/>
    </row>
    <row r="161" ht="15.75" customHeight="1">
      <c r="A161" s="146" t="n">
        <v>4</v>
      </c>
      <c r="B161" s="238" t="n"/>
      <c r="C161" s="164" t="n">
        <v>46045</v>
      </c>
      <c r="D161" s="165" t="inlineStr">
        <is>
          <t>218 G. SAN JOSE 1</t>
        </is>
      </c>
      <c r="E161" s="166" t="n">
        <v>45803</v>
      </c>
      <c r="F161" s="166" t="inlineStr">
        <is>
          <t>ALBERTO LOPEZ</t>
        </is>
      </c>
      <c r="G161" s="166" t="n">
        <v>3564</v>
      </c>
      <c r="H161" s="166" t="n">
        <v>3557</v>
      </c>
      <c r="I161" s="166" t="n">
        <v>4</v>
      </c>
      <c r="J161" s="166" t="n">
        <v>7</v>
      </c>
      <c r="K161" s="166" t="n">
        <v>4</v>
      </c>
      <c r="L161" s="266" t="n">
        <v>3140</v>
      </c>
      <c r="M161" s="162" t="n"/>
      <c r="N161" s="113" t="n"/>
      <c r="O161" s="113" t="n"/>
      <c r="P161" s="398" t="n"/>
      <c r="Q161" s="398" t="n"/>
      <c r="R161" s="113" t="n"/>
      <c r="S161" s="113" t="n"/>
      <c r="T161" s="113" t="n"/>
      <c r="U161" s="113" t="n"/>
      <c r="V161" s="113" t="n"/>
    </row>
    <row r="162" ht="15.75" customHeight="1">
      <c r="A162" s="146" t="n">
        <v>4</v>
      </c>
      <c r="B162" s="238" t="n"/>
      <c r="C162" s="164" t="n">
        <v>46045</v>
      </c>
      <c r="D162" s="165" t="inlineStr">
        <is>
          <t>218 G. SAN JOSE 1</t>
        </is>
      </c>
      <c r="E162" s="166" t="n">
        <v>45804</v>
      </c>
      <c r="F162" s="166" t="inlineStr">
        <is>
          <t>JHON ARIAS</t>
        </is>
      </c>
      <c r="G162" s="166" t="n">
        <v>3564</v>
      </c>
      <c r="H162" s="166" t="n">
        <v>3593</v>
      </c>
      <c r="I162" s="166" t="n">
        <v>6</v>
      </c>
      <c r="J162" s="166" t="n">
        <v>1</v>
      </c>
      <c r="K162" s="166" t="n">
        <v>36</v>
      </c>
      <c r="L162" s="284" t="n">
        <v>3000</v>
      </c>
      <c r="M162" s="162" t="n"/>
      <c r="N162" s="113" t="n"/>
      <c r="O162" s="113" t="n"/>
      <c r="P162" s="398" t="n"/>
      <c r="Q162" s="398" t="n"/>
      <c r="R162" s="113" t="n"/>
      <c r="S162" s="113" t="n"/>
      <c r="T162" s="113" t="n"/>
      <c r="U162" s="113" t="n"/>
      <c r="V162" s="113" t="n"/>
    </row>
    <row r="163" ht="15.75" customHeight="1">
      <c r="A163" s="146" t="n">
        <v>4</v>
      </c>
      <c r="B163" s="238" t="n"/>
      <c r="C163" s="164" t="n">
        <v>46045</v>
      </c>
      <c r="D163" s="165" t="inlineStr">
        <is>
          <t>218 G. SAN JOSE 1</t>
        </is>
      </c>
      <c r="E163" s="166" t="n">
        <v>45805</v>
      </c>
      <c r="F163" s="166" t="inlineStr">
        <is>
          <t>DUMAR ANGARITA</t>
        </is>
      </c>
      <c r="G163" s="166" t="n">
        <v>2808</v>
      </c>
      <c r="H163" s="166" t="n">
        <v>2795</v>
      </c>
      <c r="I163" s="166" t="n">
        <v>3</v>
      </c>
      <c r="J163" s="166" t="n">
        <v>10</v>
      </c>
      <c r="K163" s="166" t="n">
        <v>0</v>
      </c>
      <c r="L163" s="260" t="n">
        <v>2500</v>
      </c>
      <c r="M163" s="162" t="n"/>
      <c r="N163" s="113" t="n"/>
      <c r="O163" s="113" t="n"/>
      <c r="P163" s="398" t="n"/>
      <c r="Q163" s="398" t="n"/>
      <c r="R163" s="113" t="n"/>
      <c r="S163" s="113" t="n"/>
      <c r="T163" s="113" t="n"/>
      <c r="U163" s="113" t="n"/>
      <c r="V163" s="113" t="n"/>
    </row>
    <row r="164" ht="15.75" customHeight="1">
      <c r="A164" s="146" t="n">
        <v>4</v>
      </c>
      <c r="B164" s="238" t="n"/>
      <c r="C164" s="164" t="n">
        <v>46046</v>
      </c>
      <c r="D164" s="165" t="inlineStr">
        <is>
          <t>218 G. SAN JOSE 1</t>
        </is>
      </c>
      <c r="E164" s="166" t="n">
        <v>45806</v>
      </c>
      <c r="F164" s="166" t="inlineStr">
        <is>
          <t>WILMER PIÑEROS</t>
        </is>
      </c>
      <c r="G164" s="166" t="n">
        <v>2916</v>
      </c>
      <c r="H164" s="166" t="n">
        <v>2912</v>
      </c>
      <c r="I164" s="166" t="n">
        <v>3</v>
      </c>
      <c r="J164" s="166" t="n">
        <v>4</v>
      </c>
      <c r="K164" s="166" t="n">
        <v>3</v>
      </c>
      <c r="L164" s="266" t="n">
        <v>2500</v>
      </c>
      <c r="M164" s="162" t="n"/>
      <c r="N164" s="113" t="n"/>
      <c r="O164" s="113" t="n"/>
      <c r="P164" s="398" t="n"/>
      <c r="Q164" s="398" t="n"/>
      <c r="R164" s="113" t="n"/>
      <c r="S164" s="113" t="n"/>
      <c r="T164" s="113" t="n"/>
      <c r="U164" s="113" t="n"/>
      <c r="V164" s="113" t="n"/>
    </row>
    <row r="165" ht="15.75" customHeight="1">
      <c r="A165" s="146" t="n">
        <v>4</v>
      </c>
      <c r="B165" s="238" t="n"/>
      <c r="C165" s="164" t="n">
        <v>46046</v>
      </c>
      <c r="D165" s="165" t="inlineStr">
        <is>
          <t>218 G. SAN JOSE 1</t>
        </is>
      </c>
      <c r="E165" s="166" t="n">
        <v>45807</v>
      </c>
      <c r="F165" s="166" t="inlineStr">
        <is>
          <t>JHON ARIAS</t>
        </is>
      </c>
      <c r="G165" s="166" t="n">
        <v>2916</v>
      </c>
      <c r="H165" s="166" t="n">
        <v>2912</v>
      </c>
      <c r="I165" s="166" t="n">
        <v>3</v>
      </c>
      <c r="J165" s="166" t="n">
        <v>4</v>
      </c>
      <c r="K165" s="166" t="n">
        <v>3</v>
      </c>
      <c r="L165" s="284" t="n">
        <v>2240</v>
      </c>
      <c r="M165" s="162" t="n"/>
      <c r="N165" s="113" t="n"/>
      <c r="O165" s="113" t="n"/>
      <c r="P165" s="398" t="n"/>
      <c r="Q165" s="398" t="n"/>
      <c r="R165" s="113" t="n"/>
      <c r="S165" s="113" t="n"/>
      <c r="T165" s="113" t="n"/>
      <c r="U165" s="113" t="n"/>
      <c r="V165" s="113" t="n"/>
    </row>
    <row r="166" ht="15.75" customHeight="1">
      <c r="A166" s="146" t="n">
        <v>4</v>
      </c>
      <c r="B166" s="238" t="n"/>
      <c r="C166" s="164" t="n">
        <v>46046</v>
      </c>
      <c r="D166" s="165" t="inlineStr">
        <is>
          <t>218 G. SAN JOSE 1</t>
        </is>
      </c>
      <c r="E166" s="166" t="n">
        <v>45808</v>
      </c>
      <c r="F166" s="166" t="inlineStr">
        <is>
          <t>DIEGO NIÑO</t>
        </is>
      </c>
      <c r="G166" s="166" t="n">
        <v>2916</v>
      </c>
      <c r="H166" s="166" t="n">
        <v>2909</v>
      </c>
      <c r="I166" s="166" t="n">
        <v>2</v>
      </c>
      <c r="J166" s="166" t="n">
        <v>7</v>
      </c>
      <c r="K166" s="166" t="n">
        <v>2</v>
      </c>
      <c r="L166" s="260" t="n">
        <v>2826</v>
      </c>
      <c r="M166" s="162" t="n"/>
      <c r="N166" s="113" t="n"/>
      <c r="O166" s="113" t="n"/>
      <c r="P166" s="398" t="n"/>
      <c r="Q166" s="398" t="n"/>
      <c r="R166" s="113" t="n"/>
      <c r="S166" s="113" t="n"/>
      <c r="T166" s="113" t="n"/>
      <c r="U166" s="113" t="n"/>
      <c r="V166" s="113" t="n"/>
    </row>
    <row r="167" ht="15.75" customHeight="1">
      <c r="A167" s="146" t="n">
        <v>4</v>
      </c>
      <c r="B167" s="238" t="n"/>
      <c r="C167" s="164" t="n">
        <v>46046</v>
      </c>
      <c r="D167" s="165" t="inlineStr">
        <is>
          <t>218 G. SAN JOSE 1</t>
        </is>
      </c>
      <c r="E167" s="166" t="n">
        <v>45809</v>
      </c>
      <c r="F167" s="166" t="inlineStr">
        <is>
          <t>EDWIN ROJAS</t>
        </is>
      </c>
      <c r="G167" s="166" t="n">
        <v>2916</v>
      </c>
      <c r="H167" s="166" t="n">
        <v>2938</v>
      </c>
      <c r="I167" s="166" t="n">
        <v>2</v>
      </c>
      <c r="J167" s="166" t="n">
        <v>4</v>
      </c>
      <c r="K167" s="166" t="n">
        <v>28</v>
      </c>
      <c r="L167" s="318" t="n">
        <v>2826</v>
      </c>
      <c r="M167" s="162" t="n"/>
      <c r="N167" s="113" t="n"/>
      <c r="O167" s="113" t="n"/>
      <c r="P167" s="398" t="n"/>
      <c r="Q167" s="398" t="n"/>
      <c r="R167" s="113" t="n"/>
      <c r="S167" s="113" t="n"/>
      <c r="T167" s="113" t="n"/>
      <c r="U167" s="113" t="n"/>
      <c r="V167" s="113" t="n"/>
    </row>
    <row r="168" ht="15.75" customHeight="1">
      <c r="A168" s="146" t="n">
        <v>4</v>
      </c>
      <c r="B168" s="238" t="n"/>
      <c r="C168" s="164" t="n">
        <v>46046</v>
      </c>
      <c r="D168" s="165" t="inlineStr">
        <is>
          <t>218 G. SAN JOSE 1</t>
        </is>
      </c>
      <c r="E168" s="166" t="n">
        <v>45810</v>
      </c>
      <c r="F168" s="166" t="inlineStr">
        <is>
          <t>ALEXANDER CHAGUALA</t>
        </is>
      </c>
      <c r="G168" s="166" t="n">
        <v>2916</v>
      </c>
      <c r="H168" s="166" t="n">
        <v>2925</v>
      </c>
      <c r="I168" s="166" t="n">
        <v>2</v>
      </c>
      <c r="J168" s="166" t="n">
        <v>6</v>
      </c>
      <c r="K168" s="166" t="n">
        <v>17</v>
      </c>
      <c r="L168" s="260" t="n">
        <v>2853</v>
      </c>
      <c r="M168" s="162" t="n"/>
      <c r="N168" s="113" t="n"/>
      <c r="O168" s="113" t="n"/>
      <c r="P168" s="398" t="n"/>
      <c r="Q168" s="398" t="n"/>
      <c r="R168" s="113" t="n"/>
      <c r="S168" s="113" t="n"/>
      <c r="T168" s="113" t="n"/>
      <c r="U168" s="113" t="n"/>
      <c r="V168" s="113" t="n"/>
    </row>
    <row r="169" ht="15.75" customHeight="1">
      <c r="A169" s="146" t="n">
        <v>4</v>
      </c>
      <c r="B169" s="238" t="n"/>
      <c r="C169" s="164" t="n">
        <v>46046</v>
      </c>
      <c r="D169" s="165" t="inlineStr">
        <is>
          <t>218 G. SAN JOSE 1</t>
        </is>
      </c>
      <c r="E169" s="166" t="n">
        <v>45811</v>
      </c>
      <c r="F169" s="166" t="inlineStr">
        <is>
          <t>WILMER PIÑEROS</t>
        </is>
      </c>
      <c r="G169" s="166" t="n">
        <v>2916</v>
      </c>
      <c r="H169" s="166" t="n">
        <v>2912</v>
      </c>
      <c r="I169" s="166" t="n">
        <v>2</v>
      </c>
      <c r="J169" s="166" t="n">
        <v>5</v>
      </c>
      <c r="K169" s="166" t="n">
        <v>3</v>
      </c>
      <c r="L169" s="266" t="n">
        <v>2781</v>
      </c>
      <c r="M169" s="162" t="n"/>
      <c r="N169" s="113" t="n"/>
      <c r="O169" s="113" t="n"/>
      <c r="P169" s="398" t="n"/>
      <c r="Q169" s="398" t="n"/>
      <c r="R169" s="113" t="n"/>
      <c r="S169" s="113" t="n"/>
      <c r="T169" s="113" t="n"/>
      <c r="U169" s="113" t="n"/>
      <c r="V169" s="113" t="n"/>
    </row>
    <row r="170" ht="15.75" customHeight="1">
      <c r="A170" s="146" t="n">
        <v>4</v>
      </c>
      <c r="B170" s="238" t="n"/>
      <c r="C170" s="164" t="n">
        <v>46046</v>
      </c>
      <c r="D170" s="165" t="inlineStr">
        <is>
          <t>218 G. SAN JOSE 1</t>
        </is>
      </c>
      <c r="E170" s="166" t="n">
        <v>45812</v>
      </c>
      <c r="F170" s="166" t="inlineStr">
        <is>
          <t>JHON ARIAS</t>
        </is>
      </c>
      <c r="G170" s="166" t="n">
        <v>2916</v>
      </c>
      <c r="H170" s="166" t="n">
        <v>2920</v>
      </c>
      <c r="I170" s="166" t="n">
        <v>2</v>
      </c>
      <c r="J170" s="166" t="n">
        <v>6</v>
      </c>
      <c r="K170" s="166" t="n">
        <v>12</v>
      </c>
      <c r="L170" s="266" t="n">
        <v>2786</v>
      </c>
      <c r="M170" s="162" t="n"/>
      <c r="N170" s="113" t="n"/>
      <c r="O170" s="113" t="n"/>
      <c r="P170" s="398" t="n"/>
      <c r="Q170" s="398" t="n"/>
      <c r="R170" s="113" t="n"/>
      <c r="S170" s="113" t="n"/>
      <c r="T170" s="113" t="n"/>
      <c r="U170" s="113" t="n"/>
      <c r="V170" s="113" t="n"/>
    </row>
    <row r="171" ht="15.75" customHeight="1">
      <c r="A171" s="146" t="n">
        <v>4</v>
      </c>
      <c r="B171" s="238" t="n"/>
      <c r="C171" s="164" t="n">
        <v>46040</v>
      </c>
      <c r="D171" s="165" t="inlineStr">
        <is>
          <t>202 G. HUERTAS</t>
        </is>
      </c>
      <c r="E171" s="165" t="n">
        <v>205587</v>
      </c>
      <c r="F171" s="165" t="inlineStr">
        <is>
          <t>LUIS GERMAN QUITIAN PEÑA</t>
        </is>
      </c>
      <c r="G171" s="165" t="n">
        <v>3240</v>
      </c>
      <c r="H171" s="165" t="n">
        <v>3226</v>
      </c>
      <c r="I171" s="165" t="n">
        <v>5</v>
      </c>
      <c r="J171" s="165" t="n">
        <v>7</v>
      </c>
      <c r="K171" s="165" t="n">
        <v>-2</v>
      </c>
      <c r="L171" s="266" t="n">
        <v>2856</v>
      </c>
      <c r="M171" s="162" t="n"/>
      <c r="N171" s="113" t="n"/>
      <c r="O171" s="113" t="n"/>
      <c r="P171" s="398" t="n"/>
      <c r="Q171" s="398" t="n"/>
      <c r="R171" s="113" t="n"/>
      <c r="S171" s="113" t="n"/>
      <c r="T171" s="113" t="n"/>
      <c r="U171" s="113" t="n"/>
      <c r="V171" s="113" t="n"/>
    </row>
    <row r="172" ht="15.75" customHeight="1">
      <c r="A172" s="146" t="n">
        <v>4</v>
      </c>
      <c r="B172" s="238" t="n"/>
      <c r="C172" s="164" t="n">
        <v>46040</v>
      </c>
      <c r="D172" s="165" t="inlineStr">
        <is>
          <t>202 G. HUERTAS</t>
        </is>
      </c>
      <c r="E172" s="165" t="n">
        <v>205588</v>
      </c>
      <c r="F172" s="165" t="inlineStr">
        <is>
          <t>JHON FREDY ECHEVERRIA</t>
        </is>
      </c>
      <c r="G172" s="165" t="n">
        <v>3240</v>
      </c>
      <c r="H172" s="165" t="n">
        <v>3225</v>
      </c>
      <c r="I172" s="165" t="n">
        <v>6</v>
      </c>
      <c r="J172" s="165" t="n">
        <v>4</v>
      </c>
      <c r="K172" s="165" t="n">
        <v>-5</v>
      </c>
      <c r="L172" s="266" t="n">
        <v>3564</v>
      </c>
      <c r="M172" s="162" t="n"/>
      <c r="N172" s="113" t="n"/>
      <c r="O172" s="113" t="n"/>
      <c r="P172" s="398" t="n"/>
      <c r="Q172" s="398" t="n"/>
      <c r="R172" s="113" t="n"/>
      <c r="S172" s="113" t="n"/>
      <c r="T172" s="113" t="n"/>
      <c r="U172" s="113" t="n"/>
      <c r="V172" s="113" t="n"/>
    </row>
    <row r="173" ht="15.75" customHeight="1">
      <c r="A173" s="146" t="n">
        <v>4</v>
      </c>
      <c r="B173" s="238" t="n"/>
      <c r="C173" s="164" t="n">
        <v>46041</v>
      </c>
      <c r="D173" s="165" t="inlineStr">
        <is>
          <t>202 G. HUERTAS</t>
        </is>
      </c>
      <c r="E173" s="165" t="n">
        <v>45697</v>
      </c>
      <c r="F173" s="165" t="inlineStr">
        <is>
          <t>HENRY ROMERO</t>
        </is>
      </c>
      <c r="G173" s="165" t="n">
        <v>3130</v>
      </c>
      <c r="H173" s="165" t="n">
        <v>3107</v>
      </c>
      <c r="I173" s="165" t="n">
        <v>2</v>
      </c>
      <c r="J173" s="165" t="n">
        <v>3</v>
      </c>
      <c r="K173" s="165" t="n">
        <v>-18</v>
      </c>
      <c r="L173" s="266" t="n">
        <v>2808</v>
      </c>
      <c r="M173" s="162" t="n"/>
      <c r="N173" s="113" t="n"/>
      <c r="O173" s="113" t="n"/>
      <c r="P173" s="398" t="n"/>
      <c r="Q173" s="398" t="n"/>
      <c r="R173" s="113" t="n"/>
      <c r="S173" s="113" t="n"/>
      <c r="T173" s="113" t="n"/>
      <c r="U173" s="113" t="n"/>
      <c r="V173" s="113" t="n"/>
    </row>
    <row r="174" ht="15.75" customHeight="1">
      <c r="A174" s="146" t="n">
        <v>4</v>
      </c>
      <c r="B174" s="238" t="n"/>
      <c r="C174" s="164" t="n">
        <v>46041</v>
      </c>
      <c r="D174" s="165" t="inlineStr">
        <is>
          <t>202 G. HUERTAS</t>
        </is>
      </c>
      <c r="E174" s="165" t="n">
        <v>45698</v>
      </c>
      <c r="F174" s="165" t="inlineStr">
        <is>
          <t>MANUEL QUITIAN</t>
        </is>
      </c>
      <c r="G174" s="165" t="n">
        <v>3100</v>
      </c>
      <c r="H174" s="165" t="n">
        <v>3089</v>
      </c>
      <c r="I174" s="165" t="n">
        <v>2</v>
      </c>
      <c r="J174" s="165" t="n">
        <v>6</v>
      </c>
      <c r="K174" s="165" t="n">
        <v>-3</v>
      </c>
      <c r="L174" s="266" t="n">
        <v>2786</v>
      </c>
      <c r="M174" s="162" t="n"/>
      <c r="N174" s="113" t="n"/>
      <c r="O174" s="113" t="n"/>
      <c r="P174" s="398" t="n"/>
      <c r="Q174" s="398" t="n"/>
      <c r="R174" s="113" t="n"/>
      <c r="S174" s="113" t="n"/>
      <c r="T174" s="113" t="n"/>
      <c r="U174" s="113" t="n"/>
      <c r="V174" s="113" t="n"/>
    </row>
    <row r="175" ht="15.75" customHeight="1">
      <c r="A175" s="146" t="n">
        <v>4</v>
      </c>
      <c r="B175" s="238" t="n"/>
      <c r="C175" s="164" t="n">
        <v>46041</v>
      </c>
      <c r="D175" s="165" t="inlineStr">
        <is>
          <t>202 G. HUERTAS</t>
        </is>
      </c>
      <c r="E175" s="165" t="n">
        <v>45699</v>
      </c>
      <c r="F175" s="165" t="inlineStr">
        <is>
          <t>JAIRO CUBILLOS</t>
        </is>
      </c>
      <c r="G175" s="165" t="n">
        <v>3240</v>
      </c>
      <c r="H175" s="165" t="n">
        <v>3243</v>
      </c>
      <c r="I175" s="165" t="n">
        <v>2</v>
      </c>
      <c r="J175" s="165" t="n">
        <v>4</v>
      </c>
      <c r="K175" s="165" t="n">
        <v>9</v>
      </c>
      <c r="L175" s="266" t="n">
        <v>2808</v>
      </c>
      <c r="M175" s="162" t="n"/>
      <c r="N175" s="113" t="n"/>
      <c r="O175" s="113" t="n"/>
      <c r="P175" s="398" t="n"/>
      <c r="Q175" s="398" t="n"/>
      <c r="R175" s="113" t="n"/>
      <c r="S175" s="113" t="n"/>
      <c r="T175" s="113" t="n"/>
      <c r="U175" s="113" t="n"/>
      <c r="V175" s="113" t="n"/>
    </row>
    <row r="176" ht="15.75" customHeight="1">
      <c r="A176" s="146" t="n">
        <v>4</v>
      </c>
      <c r="B176" s="238" t="n"/>
      <c r="C176" s="164" t="n">
        <v>46041</v>
      </c>
      <c r="D176" s="166" t="inlineStr">
        <is>
          <t>202 G. HUERTAS</t>
        </is>
      </c>
      <c r="E176" s="166" t="n">
        <v>45700</v>
      </c>
      <c r="F176" s="166" t="inlineStr">
        <is>
          <t>ALEXANDER CHAGUALA</t>
        </is>
      </c>
      <c r="G176" s="166" t="n">
        <v>3240</v>
      </c>
      <c r="H176" s="166" t="n">
        <v>3257</v>
      </c>
      <c r="I176" s="166" t="n">
        <v>1</v>
      </c>
      <c r="J176" s="166" t="n">
        <v>0</v>
      </c>
      <c r="K176" s="166" t="n">
        <v>18</v>
      </c>
      <c r="L176" s="266" t="n">
        <v>3564</v>
      </c>
      <c r="M176" s="162" t="n"/>
      <c r="N176" s="113" t="n"/>
      <c r="O176" s="113" t="n"/>
      <c r="P176" s="398" t="n"/>
      <c r="Q176" s="398" t="n"/>
      <c r="R176" s="113" t="n"/>
      <c r="S176" s="113" t="n"/>
      <c r="T176" s="113" t="n"/>
      <c r="U176" s="113" t="n"/>
      <c r="V176" s="113" t="n"/>
    </row>
    <row r="177" ht="15.75" customHeight="1">
      <c r="A177" s="146" t="n">
        <v>4</v>
      </c>
      <c r="B177" s="238" t="n"/>
      <c r="C177" s="164" t="n">
        <v>46041</v>
      </c>
      <c r="D177" s="166" t="inlineStr">
        <is>
          <t>202 G. HUERTAS</t>
        </is>
      </c>
      <c r="E177" s="166" t="n">
        <v>45701</v>
      </c>
      <c r="F177" s="166" t="inlineStr">
        <is>
          <t>WILMER PIÑEROS</t>
        </is>
      </c>
      <c r="G177" s="166" t="n">
        <v>3240</v>
      </c>
      <c r="H177" s="166" t="n">
        <v>3271</v>
      </c>
      <c r="I177" s="166" t="n">
        <v>2</v>
      </c>
      <c r="J177" s="166" t="n">
        <v>4</v>
      </c>
      <c r="K177" s="166" t="n">
        <v>37</v>
      </c>
      <c r="L177" s="266" t="n">
        <v>1686</v>
      </c>
      <c r="M177" s="162" t="n"/>
      <c r="N177" s="113" t="n"/>
      <c r="O177" s="113" t="n"/>
      <c r="P177" s="398" t="n"/>
      <c r="Q177" s="398" t="n"/>
      <c r="R177" s="113" t="n"/>
      <c r="S177" s="113" t="n"/>
      <c r="T177" s="113" t="n"/>
      <c r="U177" s="113" t="n"/>
      <c r="V177" s="113" t="n"/>
    </row>
    <row r="178" ht="15.75" customHeight="1">
      <c r="A178" s="146" t="n">
        <v>4</v>
      </c>
      <c r="B178" s="238" t="n"/>
      <c r="C178" s="164" t="n">
        <v>46041</v>
      </c>
      <c r="D178" s="166" t="inlineStr">
        <is>
          <t>202 G. HUERTAS</t>
        </is>
      </c>
      <c r="E178" s="166" t="n">
        <v>45702</v>
      </c>
      <c r="F178" s="166" t="inlineStr">
        <is>
          <t>YAIR RIVEROS</t>
        </is>
      </c>
      <c r="G178" s="166" t="n">
        <v>3280</v>
      </c>
      <c r="H178" s="166" t="n">
        <v>3299</v>
      </c>
      <c r="I178" s="166" t="n">
        <v>2</v>
      </c>
      <c r="J178" s="166" t="n">
        <v>1</v>
      </c>
      <c r="K178" s="166" t="n">
        <v>22</v>
      </c>
      <c r="L178" s="266" t="n">
        <v>2856</v>
      </c>
      <c r="M178" s="162" t="n"/>
      <c r="N178" s="113" t="n"/>
      <c r="O178" s="113" t="n"/>
      <c r="P178" s="398" t="n"/>
      <c r="Q178" s="398" t="n"/>
      <c r="R178" s="113" t="n"/>
      <c r="S178" s="113" t="n"/>
      <c r="T178" s="113" t="n"/>
      <c r="U178" s="113" t="n"/>
      <c r="V178" s="113" t="n"/>
    </row>
    <row r="179" ht="15.75" customHeight="1">
      <c r="A179" s="146" t="n">
        <v>4</v>
      </c>
      <c r="B179" s="238" t="n"/>
      <c r="C179" s="164" t="n">
        <v>46041</v>
      </c>
      <c r="D179" s="166" t="inlineStr">
        <is>
          <t>202 G. HUERTAS</t>
        </is>
      </c>
      <c r="E179" s="166" t="n">
        <v>45703</v>
      </c>
      <c r="F179" s="166" t="inlineStr">
        <is>
          <t>FABIO ALDANA</t>
        </is>
      </c>
      <c r="G179" s="166" t="n">
        <v>3320</v>
      </c>
      <c r="H179" s="166" t="n">
        <v>3302</v>
      </c>
      <c r="I179" s="166" t="n">
        <v>5</v>
      </c>
      <c r="J179" s="166" t="n">
        <v>3</v>
      </c>
      <c r="K179" s="166" t="n">
        <v>-10</v>
      </c>
      <c r="L179" s="273" t="n">
        <v>3564</v>
      </c>
      <c r="M179" s="162" t="n"/>
      <c r="N179" s="113" t="n"/>
      <c r="O179" s="113" t="n"/>
      <c r="P179" s="398" t="n"/>
      <c r="Q179" s="398" t="n"/>
      <c r="R179" s="113" t="n"/>
      <c r="S179" s="113" t="n"/>
      <c r="T179" s="113" t="n"/>
      <c r="U179" s="113" t="n"/>
      <c r="V179" s="113" t="n"/>
    </row>
    <row r="180" ht="15.75" customHeight="1">
      <c r="A180" s="146" t="n">
        <v>4</v>
      </c>
      <c r="B180" s="238" t="n"/>
      <c r="C180" s="164" t="n">
        <v>46041</v>
      </c>
      <c r="D180" s="166" t="inlineStr">
        <is>
          <t>202 G. HUERTAS</t>
        </is>
      </c>
      <c r="E180" s="166" t="n">
        <v>45704</v>
      </c>
      <c r="F180" s="166" t="inlineStr">
        <is>
          <t>ALEX GOMEZ</t>
        </is>
      </c>
      <c r="G180" s="166" t="n">
        <v>3320</v>
      </c>
      <c r="H180" s="166" t="n">
        <v>3304</v>
      </c>
      <c r="I180" s="166" t="n">
        <v>1</v>
      </c>
      <c r="J180" s="166" t="n">
        <v>0</v>
      </c>
      <c r="K180" s="166" t="n">
        <v>-15</v>
      </c>
      <c r="L180" s="260" t="n">
        <v>2916</v>
      </c>
      <c r="M180" s="162" t="n"/>
      <c r="N180" s="113" t="n"/>
      <c r="O180" s="113" t="n"/>
      <c r="P180" s="398" t="n"/>
      <c r="Q180" s="398" t="n"/>
      <c r="R180" s="113" t="n"/>
      <c r="S180" s="113" t="n"/>
      <c r="T180" s="113" t="n"/>
      <c r="U180" s="113" t="n"/>
      <c r="V180" s="113" t="n"/>
    </row>
    <row r="181" ht="15.75" customHeight="1">
      <c r="A181" s="146" t="n">
        <v>4</v>
      </c>
      <c r="B181" s="238" t="n"/>
      <c r="C181" s="164" t="n">
        <v>46041</v>
      </c>
      <c r="D181" s="166" t="inlineStr">
        <is>
          <t>202 G. HUERTAS</t>
        </is>
      </c>
      <c r="E181" s="166" t="n">
        <v>45705</v>
      </c>
      <c r="F181" s="166" t="inlineStr">
        <is>
          <t>SEBASTIAN HIDALGO</t>
        </is>
      </c>
      <c r="G181" s="166" t="n">
        <v>3320</v>
      </c>
      <c r="H181" s="166" t="n">
        <v>3318</v>
      </c>
      <c r="I181" s="166" t="n">
        <v>2</v>
      </c>
      <c r="J181" s="166" t="n">
        <v>0</v>
      </c>
      <c r="K181" s="166" t="n">
        <v>0</v>
      </c>
      <c r="L181" s="266" t="n">
        <v>2916</v>
      </c>
      <c r="M181" s="162" t="n"/>
      <c r="N181" s="113" t="n"/>
      <c r="O181" s="113" t="n"/>
      <c r="P181" s="398" t="n"/>
      <c r="Q181" s="398" t="n"/>
      <c r="R181" s="113" t="n"/>
      <c r="S181" s="113" t="n"/>
      <c r="T181" s="113" t="n"/>
      <c r="U181" s="113" t="n"/>
      <c r="V181" s="113" t="n"/>
    </row>
    <row r="182" ht="15.75" customHeight="1">
      <c r="A182" s="146" t="n">
        <v>4</v>
      </c>
      <c r="B182" s="238" t="n"/>
      <c r="C182" s="164" t="n">
        <v>46041</v>
      </c>
      <c r="D182" s="166" t="inlineStr">
        <is>
          <t>202 G. HUERTAS</t>
        </is>
      </c>
      <c r="E182" s="166" t="n">
        <v>45706</v>
      </c>
      <c r="F182" s="166" t="inlineStr">
        <is>
          <t>ALBERTO LOPEZ</t>
        </is>
      </c>
      <c r="G182" s="166" t="n">
        <v>3320</v>
      </c>
      <c r="H182" s="166" t="n">
        <v>3353</v>
      </c>
      <c r="I182" s="166" t="n">
        <v>5</v>
      </c>
      <c r="J182" s="166" t="n">
        <v>0</v>
      </c>
      <c r="K182" s="166" t="n">
        <v>38</v>
      </c>
      <c r="L182" s="266" t="n">
        <v>2916</v>
      </c>
      <c r="M182" s="162" t="n"/>
      <c r="N182" s="113" t="n"/>
      <c r="O182" s="113" t="n"/>
      <c r="P182" s="398" t="n"/>
      <c r="Q182" s="398" t="n"/>
      <c r="R182" s="113" t="n"/>
      <c r="S182" s="113" t="n"/>
      <c r="T182" s="113" t="n"/>
      <c r="U182" s="113" t="n"/>
      <c r="V182" s="113" t="n"/>
    </row>
    <row r="183" ht="15.75" customHeight="1">
      <c r="A183" s="146" t="n">
        <v>4</v>
      </c>
      <c r="B183" s="238" t="n"/>
      <c r="C183" s="164" t="n">
        <v>46041</v>
      </c>
      <c r="D183" s="166" t="inlineStr">
        <is>
          <t>202 G. HUERTAS</t>
        </is>
      </c>
      <c r="E183" s="166" t="n">
        <v>45707</v>
      </c>
      <c r="F183" s="166" t="inlineStr">
        <is>
          <t>JHON ARIAS</t>
        </is>
      </c>
      <c r="G183" s="166" t="n">
        <v>3289</v>
      </c>
      <c r="H183" s="166" t="n">
        <v>3358</v>
      </c>
      <c r="I183" s="166" t="n">
        <v>2</v>
      </c>
      <c r="J183" s="166" t="n">
        <v>2</v>
      </c>
      <c r="K183" s="166" t="n">
        <v>73</v>
      </c>
      <c r="L183" s="266" t="n">
        <v>2916</v>
      </c>
      <c r="M183" s="162" t="n"/>
      <c r="N183" s="113" t="n"/>
      <c r="O183" s="113" t="n"/>
      <c r="P183" s="398" t="n"/>
      <c r="Q183" s="398" t="n"/>
      <c r="R183" s="113" t="n"/>
      <c r="S183" s="113" t="n"/>
      <c r="T183" s="113" t="n"/>
      <c r="U183" s="113" t="n"/>
      <c r="V183" s="113" t="n"/>
    </row>
    <row r="184" ht="15.75" customHeight="1">
      <c r="A184" s="146" t="n">
        <v>4</v>
      </c>
      <c r="B184" s="238" t="n"/>
      <c r="C184" s="164" t="n">
        <v>46042</v>
      </c>
      <c r="D184" s="166" t="inlineStr">
        <is>
          <t>202 G. HUERTAS</t>
        </is>
      </c>
      <c r="E184" s="166" t="n">
        <v>45722</v>
      </c>
      <c r="F184" s="166" t="inlineStr">
        <is>
          <t>JOSE SOLER</t>
        </is>
      </c>
      <c r="G184" s="166" t="n">
        <v>2916</v>
      </c>
      <c r="H184" s="166" t="n">
        <v>2977</v>
      </c>
      <c r="I184" s="166" t="n">
        <v>2</v>
      </c>
      <c r="J184" s="166" t="n">
        <v>2</v>
      </c>
      <c r="K184" s="166" t="n">
        <v>65</v>
      </c>
      <c r="L184" s="266" t="n">
        <v>2916</v>
      </c>
      <c r="M184" s="162" t="n"/>
      <c r="N184" s="113" t="n"/>
      <c r="O184" s="113" t="n"/>
      <c r="P184" s="398" t="n"/>
      <c r="Q184" s="398" t="n"/>
      <c r="R184" s="113" t="n"/>
      <c r="S184" s="113" t="n"/>
      <c r="T184" s="113" t="n"/>
      <c r="U184" s="113" t="n"/>
      <c r="V184" s="113" t="n"/>
    </row>
    <row r="185" ht="15.75" customHeight="1">
      <c r="A185" s="146" t="n">
        <v>4</v>
      </c>
      <c r="B185" s="238" t="n"/>
      <c r="C185" s="164" t="n">
        <v>46042</v>
      </c>
      <c r="D185" s="166" t="inlineStr">
        <is>
          <t>202 G. HUERTAS</t>
        </is>
      </c>
      <c r="E185" s="166" t="n">
        <v>45723</v>
      </c>
      <c r="F185" s="166" t="inlineStr">
        <is>
          <t>DUMAR ANGARITA</t>
        </is>
      </c>
      <c r="G185" s="166" t="n">
        <v>2916</v>
      </c>
      <c r="H185" s="166" t="n">
        <v>2906</v>
      </c>
      <c r="I185" s="166" t="n">
        <v>2</v>
      </c>
      <c r="J185" s="166" t="n">
        <v>2</v>
      </c>
      <c r="K185" s="166" t="n">
        <v>-6</v>
      </c>
      <c r="L185" s="266" t="n">
        <v>2916</v>
      </c>
      <c r="M185" s="162" t="n"/>
      <c r="N185" s="113" t="n"/>
      <c r="O185" s="113" t="n"/>
      <c r="P185" s="398" t="n"/>
      <c r="Q185" s="398" t="n"/>
      <c r="R185" s="113" t="n"/>
      <c r="S185" s="113" t="n"/>
      <c r="T185" s="113" t="n"/>
      <c r="U185" s="113" t="n"/>
      <c r="V185" s="113" t="n"/>
    </row>
    <row r="186" ht="15.75" customHeight="1">
      <c r="A186" s="146" t="n">
        <v>4</v>
      </c>
      <c r="B186" s="238" t="n"/>
      <c r="C186" s="164" t="n">
        <v>46042</v>
      </c>
      <c r="D186" s="166" t="inlineStr">
        <is>
          <t>202 G. HUERTAS</t>
        </is>
      </c>
      <c r="E186" s="166" t="n">
        <v>45724</v>
      </c>
      <c r="F186" s="166" t="inlineStr">
        <is>
          <t>FERNANDO OYUELA</t>
        </is>
      </c>
      <c r="G186" s="526" t="n">
        <v>2986</v>
      </c>
      <c r="H186" s="526" t="n">
        <v>2976</v>
      </c>
      <c r="I186" s="526" t="n">
        <v>1</v>
      </c>
      <c r="J186" s="526" t="n">
        <v>2</v>
      </c>
      <c r="K186" s="526" t="n">
        <v>-7</v>
      </c>
      <c r="L186" s="318" t="n">
        <v>2916</v>
      </c>
      <c r="M186" s="162" t="n"/>
      <c r="N186" s="113" t="n"/>
      <c r="O186" s="113" t="n"/>
      <c r="P186" s="398" t="n"/>
      <c r="Q186" s="398" t="n"/>
      <c r="R186" s="113" t="n"/>
      <c r="S186" s="113" t="n"/>
      <c r="T186" s="113" t="n"/>
      <c r="U186" s="113" t="n"/>
      <c r="V186" s="113" t="n"/>
    </row>
    <row r="187" ht="15.75" customHeight="1">
      <c r="A187" s="146" t="n">
        <v>4</v>
      </c>
      <c r="B187" s="238" t="n"/>
      <c r="C187" s="399" t="n"/>
      <c r="D187" s="113" t="n"/>
      <c r="E187" s="113" t="n"/>
      <c r="F187" s="113" t="n"/>
      <c r="G187" s="490">
        <f>SUM(G128:G186)</f>
        <v/>
      </c>
      <c r="H187" s="490">
        <f>SUM(H128:H186)</f>
        <v/>
      </c>
      <c r="I187" s="490">
        <f>SUM(I128:I186)</f>
        <v/>
      </c>
      <c r="J187" s="490">
        <f>SUM(J128:J186)</f>
        <v/>
      </c>
      <c r="K187" s="490">
        <f>SUM(K128:K186)</f>
        <v/>
      </c>
      <c r="L187" s="524">
        <f>SUM(L128:L186)</f>
        <v/>
      </c>
      <c r="M187" s="162" t="n"/>
      <c r="N187" s="395" t="n"/>
      <c r="O187" s="113" t="n"/>
      <c r="P187" s="398" t="n"/>
      <c r="Q187" s="398" t="n"/>
      <c r="R187" s="113" t="n"/>
      <c r="S187" s="113" t="n"/>
      <c r="T187" s="113" t="n"/>
      <c r="U187" s="113" t="n"/>
      <c r="V187" s="113" t="n"/>
    </row>
    <row r="188" ht="15.75" customHeight="1">
      <c r="A188" s="146" t="n">
        <v>5</v>
      </c>
      <c r="B188" s="238" t="n">
        <v>1</v>
      </c>
      <c r="C188" s="164" t="n">
        <v>46048</v>
      </c>
      <c r="D188" s="165" t="inlineStr">
        <is>
          <t>218 G. SAN JOSE 1</t>
        </is>
      </c>
      <c r="E188" s="165" t="n">
        <v>46829</v>
      </c>
      <c r="F188" s="165" t="inlineStr">
        <is>
          <t>ROBERTO MONROY</t>
        </is>
      </c>
      <c r="G188" s="165" t="n">
        <v>2916</v>
      </c>
      <c r="H188" s="165" t="n">
        <v>2902</v>
      </c>
      <c r="I188" s="165" t="n">
        <v>3</v>
      </c>
      <c r="J188" s="165" t="n">
        <v>3</v>
      </c>
      <c r="K188" s="165" t="n">
        <v>-8</v>
      </c>
      <c r="L188" s="241" t="n">
        <v>2916</v>
      </c>
      <c r="M188" s="162" t="n"/>
      <c r="N188" s="113" t="n"/>
      <c r="O188" s="113" t="n"/>
      <c r="P188" s="398" t="n"/>
      <c r="Q188" s="398" t="n"/>
      <c r="R188" s="113" t="n"/>
      <c r="S188" s="113" t="n"/>
      <c r="T188" s="113" t="n"/>
      <c r="U188" s="113" t="n"/>
      <c r="V188" s="113" t="n"/>
    </row>
    <row r="189" ht="15.75" customHeight="1">
      <c r="A189" s="146" t="n">
        <v>5</v>
      </c>
      <c r="B189" s="238" t="n">
        <v>1</v>
      </c>
      <c r="C189" s="164" t="n">
        <v>46048</v>
      </c>
      <c r="D189" s="165" t="inlineStr">
        <is>
          <t>218 G. SAN JOSE 1</t>
        </is>
      </c>
      <c r="E189" s="165" t="n">
        <v>46830</v>
      </c>
      <c r="F189" s="165" t="inlineStr">
        <is>
          <t>FABIO ALDANA</t>
        </is>
      </c>
      <c r="G189" s="165" t="n">
        <v>2916</v>
      </c>
      <c r="H189" s="165" t="n">
        <v>2898</v>
      </c>
      <c r="I189" s="165" t="n">
        <v>4</v>
      </c>
      <c r="J189" s="165" t="n">
        <v>3</v>
      </c>
      <c r="K189" s="165" t="n">
        <v>-11</v>
      </c>
      <c r="L189" s="395" t="n">
        <v>3240</v>
      </c>
      <c r="M189" s="113" t="n"/>
      <c r="N189" s="113" t="n"/>
      <c r="O189" s="113" t="n"/>
      <c r="P189" s="398" t="n"/>
      <c r="Q189" s="398" t="n"/>
      <c r="R189" s="113" t="n"/>
      <c r="S189" s="113" t="n"/>
      <c r="T189" s="113" t="n"/>
      <c r="U189" s="113" t="n"/>
      <c r="V189" s="113" t="n"/>
    </row>
    <row r="190" ht="15.75" customHeight="1">
      <c r="A190" s="146" t="n">
        <v>5</v>
      </c>
      <c r="B190" s="238" t="n">
        <v>1</v>
      </c>
      <c r="C190" s="164" t="n">
        <v>46048</v>
      </c>
      <c r="D190" s="165" t="inlineStr">
        <is>
          <t>218 G. SAN JOSE 1</t>
        </is>
      </c>
      <c r="E190" s="165" t="n">
        <v>46831</v>
      </c>
      <c r="F190" s="165" t="inlineStr">
        <is>
          <t>HENRY ROMERO</t>
        </is>
      </c>
      <c r="G190" s="165" t="n">
        <v>2916</v>
      </c>
      <c r="H190" s="165" t="n">
        <v>2904</v>
      </c>
      <c r="I190" s="165" t="n">
        <v>4</v>
      </c>
      <c r="J190" s="165" t="n">
        <v>1</v>
      </c>
      <c r="K190" s="165" t="n">
        <v>-7</v>
      </c>
      <c r="L190" s="395" t="n">
        <v>2916</v>
      </c>
      <c r="M190" s="113" t="n"/>
      <c r="N190" s="113" t="n"/>
      <c r="O190" s="113" t="n"/>
      <c r="P190" s="398" t="n"/>
      <c r="Q190" s="398" t="n"/>
      <c r="R190" s="113" t="n"/>
      <c r="S190" s="113" t="n"/>
      <c r="T190" s="113" t="n"/>
      <c r="U190" s="113" t="n"/>
      <c r="V190" s="113" t="n"/>
    </row>
    <row r="191" ht="15.75" customHeight="1">
      <c r="A191" s="146" t="n">
        <v>5</v>
      </c>
      <c r="B191" s="238" t="n">
        <v>1</v>
      </c>
      <c r="C191" s="164" t="n">
        <v>46048</v>
      </c>
      <c r="D191" s="165" t="inlineStr">
        <is>
          <t>218 G. SAN JOSE 1</t>
        </is>
      </c>
      <c r="E191" s="166" t="n">
        <v>46832</v>
      </c>
      <c r="F191" s="166" t="inlineStr">
        <is>
          <t>JHON ARIAS</t>
        </is>
      </c>
      <c r="G191" s="166" t="n">
        <v>2916</v>
      </c>
      <c r="H191" s="166" t="n">
        <v>2904</v>
      </c>
      <c r="I191" s="166" t="n">
        <v>2</v>
      </c>
      <c r="J191" s="166" t="n">
        <v>2</v>
      </c>
      <c r="K191" s="166" t="n">
        <v>-8</v>
      </c>
      <c r="L191" s="395" t="n">
        <v>2916</v>
      </c>
      <c r="M191" s="113" t="n"/>
      <c r="N191" s="113" t="n"/>
      <c r="O191" s="113" t="n"/>
      <c r="P191" s="398" t="n"/>
      <c r="Q191" s="398" t="n"/>
      <c r="R191" s="113" t="n"/>
      <c r="S191" s="113" t="n"/>
      <c r="T191" s="113" t="n"/>
      <c r="U191" s="113" t="n"/>
      <c r="V191" s="113" t="n"/>
    </row>
    <row r="192" ht="15.75" customHeight="1">
      <c r="A192" s="146" t="n">
        <v>5</v>
      </c>
      <c r="B192" s="238" t="n">
        <v>1</v>
      </c>
      <c r="C192" s="164" t="n">
        <v>46048</v>
      </c>
      <c r="D192" s="165" t="inlineStr">
        <is>
          <t>218 G. SAN JOSE 1</t>
        </is>
      </c>
      <c r="E192" s="166" t="n">
        <v>46833</v>
      </c>
      <c r="F192" s="166" t="inlineStr">
        <is>
          <t>YAIR RIVEROS</t>
        </is>
      </c>
      <c r="G192" s="166" t="n">
        <v>3240</v>
      </c>
      <c r="H192" s="166" t="n">
        <v>3231</v>
      </c>
      <c r="I192" s="166" t="n">
        <v>1</v>
      </c>
      <c r="J192" s="166" t="n">
        <v>3</v>
      </c>
      <c r="K192" s="166" t="n">
        <v>-5</v>
      </c>
      <c r="L192" s="395" t="n">
        <v>666</v>
      </c>
      <c r="M192" s="113" t="n"/>
      <c r="N192" s="113" t="n"/>
      <c r="O192" s="113" t="n"/>
      <c r="P192" s="398" t="n"/>
      <c r="Q192" s="398" t="n"/>
      <c r="R192" s="113" t="n"/>
      <c r="S192" s="113" t="n"/>
      <c r="T192" s="113" t="n"/>
      <c r="U192" s="113" t="n"/>
      <c r="V192" s="113" t="n"/>
    </row>
    <row r="193" ht="15.75" customHeight="1">
      <c r="A193" s="146" t="n">
        <v>5</v>
      </c>
      <c r="B193" s="238" t="n">
        <v>1</v>
      </c>
      <c r="C193" s="164" t="n">
        <v>46048</v>
      </c>
      <c r="D193" s="165" t="inlineStr">
        <is>
          <t>218 G. SAN JOSE 1</t>
        </is>
      </c>
      <c r="E193" s="166" t="n">
        <v>46834</v>
      </c>
      <c r="F193" s="166" t="inlineStr">
        <is>
          <t>WILMER PIÑEROS</t>
        </is>
      </c>
      <c r="G193" s="166" t="n">
        <v>2916</v>
      </c>
      <c r="H193" s="166" t="n">
        <v>2903</v>
      </c>
      <c r="I193" s="166" t="n">
        <v>2</v>
      </c>
      <c r="J193" s="166" t="n">
        <v>4</v>
      </c>
      <c r="K193" s="166" t="n">
        <v>-7</v>
      </c>
      <c r="L193" s="395" t="n">
        <v>2916</v>
      </c>
      <c r="M193" s="113" t="n"/>
      <c r="N193" s="113" t="n"/>
      <c r="O193" s="113" t="n"/>
      <c r="P193" s="398" t="n"/>
      <c r="Q193" s="398" t="n"/>
      <c r="R193" s="113" t="n"/>
      <c r="S193" s="113" t="n"/>
      <c r="T193" s="113" t="n"/>
      <c r="U193" s="113" t="n"/>
      <c r="V193" s="113" t="n"/>
    </row>
    <row r="194" ht="15.75" customHeight="1">
      <c r="A194" s="146" t="n">
        <v>5</v>
      </c>
      <c r="B194" s="238" t="n">
        <v>1</v>
      </c>
      <c r="C194" s="164" t="n">
        <v>46048</v>
      </c>
      <c r="D194" s="165" t="inlineStr">
        <is>
          <t>218 G. SAN JOSE 1</t>
        </is>
      </c>
      <c r="E194" s="166" t="n">
        <v>46835</v>
      </c>
      <c r="F194" s="166" t="inlineStr">
        <is>
          <t>MANUEL QUITIAN</t>
        </is>
      </c>
      <c r="G194" s="166" t="n">
        <v>2916</v>
      </c>
      <c r="H194" s="166" t="n">
        <v>2901</v>
      </c>
      <c r="I194" s="166" t="n">
        <v>1</v>
      </c>
      <c r="J194" s="166" t="n">
        <v>2</v>
      </c>
      <c r="K194" s="166" t="n">
        <v>-12</v>
      </c>
      <c r="L194" s="395" t="n">
        <v>2916</v>
      </c>
      <c r="M194" s="113" t="n"/>
      <c r="N194" s="113" t="n"/>
      <c r="O194" s="113" t="n"/>
      <c r="P194" s="398" t="n"/>
      <c r="Q194" s="398" t="n"/>
      <c r="R194" s="113" t="n"/>
      <c r="S194" s="113" t="n"/>
      <c r="T194" s="113" t="n"/>
      <c r="U194" s="113" t="n"/>
      <c r="V194" s="113" t="n"/>
    </row>
    <row r="195" ht="15.75" customHeight="1">
      <c r="A195" s="146" t="n">
        <v>5</v>
      </c>
      <c r="B195" s="238" t="n">
        <v>1</v>
      </c>
      <c r="C195" s="164" t="n">
        <v>46048</v>
      </c>
      <c r="D195" s="165" t="inlineStr">
        <is>
          <t>218 G. SAN JOSE 1</t>
        </is>
      </c>
      <c r="E195" s="166" t="n">
        <v>46836</v>
      </c>
      <c r="F195" s="166" t="inlineStr">
        <is>
          <t>ROBINSON PULIDO</t>
        </is>
      </c>
      <c r="G195" s="166" t="n">
        <v>2916</v>
      </c>
      <c r="H195" s="166" t="n">
        <v>2902</v>
      </c>
      <c r="I195" s="166" t="n">
        <v>1</v>
      </c>
      <c r="J195" s="166" t="n">
        <v>3</v>
      </c>
      <c r="K195" s="166" t="n">
        <v>-10</v>
      </c>
      <c r="L195" s="395" t="n">
        <v>2916</v>
      </c>
      <c r="M195" s="113" t="n"/>
      <c r="N195" s="113" t="n"/>
      <c r="O195" s="113" t="n"/>
      <c r="P195" s="398" t="n"/>
      <c r="Q195" s="398" t="n"/>
      <c r="R195" s="113" t="n"/>
      <c r="S195" s="113" t="n"/>
      <c r="T195" s="113" t="n"/>
      <c r="U195" s="113" t="n"/>
      <c r="V195" s="113" t="n"/>
    </row>
    <row r="196" ht="15.75" customHeight="1">
      <c r="A196" s="146" t="n">
        <v>5</v>
      </c>
      <c r="B196" s="238" t="n">
        <v>1</v>
      </c>
      <c r="C196" s="164" t="n">
        <v>46048</v>
      </c>
      <c r="D196" s="165" t="inlineStr">
        <is>
          <t>218 G. SAN JOSE 1</t>
        </is>
      </c>
      <c r="E196" s="166" t="n">
        <v>46837</v>
      </c>
      <c r="F196" s="166" t="inlineStr">
        <is>
          <t>FABIO ALDANA</t>
        </is>
      </c>
      <c r="G196" s="166" t="n">
        <v>666</v>
      </c>
      <c r="H196" s="166" t="n">
        <v>659</v>
      </c>
      <c r="I196" s="166" t="n">
        <v>0</v>
      </c>
      <c r="J196" s="166" t="n">
        <v>1</v>
      </c>
      <c r="K196" s="166" t="n">
        <v>-6</v>
      </c>
      <c r="L196" s="395" t="n">
        <v>2916</v>
      </c>
      <c r="M196" s="113" t="n"/>
      <c r="N196" s="113" t="n"/>
      <c r="O196" s="113" t="n"/>
      <c r="P196" s="398" t="n"/>
      <c r="Q196" s="398" t="n"/>
      <c r="R196" s="113" t="n"/>
      <c r="S196" s="113" t="n"/>
      <c r="T196" s="113" t="n"/>
      <c r="U196" s="113" t="n"/>
      <c r="V196" s="113" t="n"/>
    </row>
    <row r="197" ht="15.75" customHeight="1">
      <c r="A197" s="146" t="n">
        <v>5</v>
      </c>
      <c r="B197" s="238" t="n">
        <v>1</v>
      </c>
      <c r="C197" s="164" t="n">
        <v>46049</v>
      </c>
      <c r="D197" s="165" t="inlineStr">
        <is>
          <t>218 G. SAN JOSE 1</t>
        </is>
      </c>
      <c r="E197" s="166" t="n">
        <v>45846</v>
      </c>
      <c r="F197" s="166" t="inlineStr">
        <is>
          <t>ALEX GOMEZ</t>
        </is>
      </c>
      <c r="G197" s="166" t="n">
        <v>3612</v>
      </c>
      <c r="H197" s="166" t="n">
        <v>3596</v>
      </c>
      <c r="I197" s="166" t="n">
        <v>5</v>
      </c>
      <c r="J197" s="166" t="n">
        <v>4</v>
      </c>
      <c r="K197" s="166" t="n">
        <v>-7</v>
      </c>
      <c r="L197" s="395" t="n">
        <v>3265</v>
      </c>
      <c r="M197" s="113" t="n"/>
      <c r="N197" s="113" t="n"/>
      <c r="O197" s="113" t="n"/>
      <c r="P197" s="398" t="n"/>
      <c r="Q197" s="398" t="n"/>
      <c r="R197" s="113" t="n"/>
      <c r="S197" s="113" t="n"/>
      <c r="T197" s="113" t="n"/>
      <c r="U197" s="113" t="n"/>
      <c r="V197" s="113" t="n"/>
    </row>
    <row r="198" ht="15.75" customHeight="1">
      <c r="A198" s="146" t="n">
        <v>5</v>
      </c>
      <c r="B198" s="238" t="n">
        <v>1</v>
      </c>
      <c r="C198" s="164" t="n">
        <v>46049</v>
      </c>
      <c r="D198" s="165" t="inlineStr">
        <is>
          <t>218 G. SAN JOSE 1</t>
        </is>
      </c>
      <c r="E198" s="166" t="n">
        <v>45847</v>
      </c>
      <c r="F198" s="166" t="inlineStr">
        <is>
          <t>YAIR RIVEROS</t>
        </is>
      </c>
      <c r="G198" s="166" t="n">
        <v>3600</v>
      </c>
      <c r="H198" s="166" t="n">
        <v>3578</v>
      </c>
      <c r="I198" s="166" t="n">
        <v>4</v>
      </c>
      <c r="J198" s="166" t="n">
        <v>4</v>
      </c>
      <c r="K198" s="166" t="n">
        <v>-14</v>
      </c>
      <c r="L198" s="395" t="n">
        <v>3960</v>
      </c>
      <c r="M198" s="113" t="n"/>
      <c r="N198" s="113" t="n"/>
      <c r="O198" s="113" t="n"/>
      <c r="P198" s="398" t="n"/>
      <c r="Q198" s="398" t="n"/>
      <c r="R198" s="113" t="n"/>
      <c r="S198" s="113" t="n"/>
      <c r="T198" s="113" t="n"/>
      <c r="U198" s="113" t="n"/>
      <c r="V198" s="113" t="n"/>
    </row>
    <row r="199" ht="15.75" customHeight="1">
      <c r="A199" s="146" t="n">
        <v>5</v>
      </c>
      <c r="B199" s="238" t="n">
        <v>1</v>
      </c>
      <c r="C199" s="164" t="n">
        <v>46049</v>
      </c>
      <c r="D199" s="165" t="inlineStr">
        <is>
          <t>218 G. SAN JOSE 1</t>
        </is>
      </c>
      <c r="E199" s="166" t="n">
        <v>45848</v>
      </c>
      <c r="F199" s="166" t="inlineStr">
        <is>
          <t>JHON ARIAS</t>
        </is>
      </c>
      <c r="G199" s="166" t="n">
        <v>3240</v>
      </c>
      <c r="H199" s="166" t="n">
        <v>3221</v>
      </c>
      <c r="I199" s="166" t="n">
        <v>5</v>
      </c>
      <c r="J199" s="166" t="n">
        <v>4</v>
      </c>
      <c r="K199" s="166" t="n">
        <v>-10</v>
      </c>
      <c r="L199" s="395" t="n">
        <v>3240</v>
      </c>
      <c r="M199" s="113" t="n"/>
      <c r="N199" s="113" t="n"/>
      <c r="O199" s="113" t="n"/>
      <c r="P199" s="398" t="n"/>
      <c r="Q199" s="398" t="n"/>
      <c r="R199" s="113" t="n"/>
      <c r="S199" s="113" t="n"/>
      <c r="T199" s="113" t="n"/>
      <c r="U199" s="113" t="n"/>
      <c r="V199" s="113" t="n"/>
    </row>
    <row r="200" ht="15.75" customHeight="1">
      <c r="A200" s="146" t="n">
        <v>5</v>
      </c>
      <c r="B200" s="238" t="n">
        <v>1</v>
      </c>
      <c r="C200" s="164" t="n">
        <v>46049</v>
      </c>
      <c r="D200" s="165" t="inlineStr">
        <is>
          <t>218 G. SAN JOSE 1</t>
        </is>
      </c>
      <c r="E200" s="166" t="n">
        <v>45849</v>
      </c>
      <c r="F200" s="166" t="inlineStr">
        <is>
          <t>JAIRO CUBILLOS</t>
        </is>
      </c>
      <c r="G200" s="166" t="n">
        <v>3264</v>
      </c>
      <c r="H200" s="166" t="n">
        <v>3248</v>
      </c>
      <c r="I200" s="166" t="n">
        <v>5</v>
      </c>
      <c r="J200" s="166" t="n">
        <v>4</v>
      </c>
      <c r="K200" s="166" t="n">
        <v>-7</v>
      </c>
      <c r="L200" s="395" t="n">
        <v>3600</v>
      </c>
      <c r="M200" s="113" t="n"/>
      <c r="N200" s="113" t="n"/>
      <c r="O200" s="113" t="n"/>
      <c r="P200" s="398" t="n"/>
      <c r="Q200" s="398" t="n"/>
      <c r="R200" s="113" t="n"/>
      <c r="S200" s="113" t="n"/>
      <c r="T200" s="113" t="n"/>
      <c r="U200" s="113" t="n"/>
      <c r="V200" s="113" t="n"/>
    </row>
    <row r="201" ht="15.75" customHeight="1">
      <c r="A201" s="146" t="n">
        <v>5</v>
      </c>
      <c r="B201" s="238" t="n">
        <v>1</v>
      </c>
      <c r="C201" s="164" t="n">
        <v>46049</v>
      </c>
      <c r="D201" s="165" t="inlineStr">
        <is>
          <t>218 G. SAN JOSE 1</t>
        </is>
      </c>
      <c r="E201" s="166" t="n">
        <v>45850</v>
      </c>
      <c r="F201" s="166" t="inlineStr">
        <is>
          <t>PABLO ALDANA</t>
        </is>
      </c>
      <c r="G201" s="166" t="n">
        <v>3240</v>
      </c>
      <c r="H201" s="166" t="n">
        <v>3219</v>
      </c>
      <c r="I201" s="166" t="n">
        <v>2</v>
      </c>
      <c r="J201" s="166" t="n">
        <v>6</v>
      </c>
      <c r="K201" s="166" t="n">
        <v>-13</v>
      </c>
      <c r="L201" s="395" t="n">
        <v>3240</v>
      </c>
      <c r="M201" s="113" t="n"/>
      <c r="N201" s="113" t="n"/>
      <c r="O201" s="113" t="n"/>
      <c r="P201" s="398" t="n"/>
      <c r="Q201" s="398" t="n"/>
      <c r="R201" s="113" t="n"/>
      <c r="S201" s="113" t="n"/>
      <c r="T201" s="113" t="n"/>
      <c r="U201" s="113" t="n"/>
      <c r="V201" s="113" t="n"/>
    </row>
    <row r="202" ht="15.75" customHeight="1">
      <c r="A202" s="146" t="n">
        <v>5</v>
      </c>
      <c r="B202" s="238" t="n">
        <v>1</v>
      </c>
      <c r="C202" s="164" t="n">
        <v>46049</v>
      </c>
      <c r="D202" s="165" t="inlineStr">
        <is>
          <t>218 G. SAN JOSE 1</t>
        </is>
      </c>
      <c r="E202" s="166" t="n">
        <v>45851</v>
      </c>
      <c r="F202" s="166" t="inlineStr">
        <is>
          <t>DIEGO NIÑO</t>
        </is>
      </c>
      <c r="G202" s="166" t="n">
        <v>3600</v>
      </c>
      <c r="H202" s="166" t="n">
        <v>3577</v>
      </c>
      <c r="I202" s="166" t="n">
        <v>2</v>
      </c>
      <c r="J202" s="166" t="n">
        <v>13</v>
      </c>
      <c r="K202" s="166" t="n">
        <v>-8</v>
      </c>
      <c r="L202" s="395" t="n">
        <v>3600</v>
      </c>
      <c r="M202" s="113" t="n"/>
      <c r="N202" s="113" t="n"/>
      <c r="O202" s="113" t="n"/>
      <c r="P202" s="398" t="n"/>
      <c r="Q202" s="398" t="n"/>
      <c r="R202" s="113" t="n"/>
      <c r="S202" s="113" t="n"/>
      <c r="T202" s="113" t="n"/>
      <c r="U202" s="113" t="n"/>
      <c r="V202" s="113" t="n"/>
    </row>
    <row r="203" ht="15.75" customHeight="1">
      <c r="A203" s="146" t="n">
        <v>5</v>
      </c>
      <c r="B203" s="238" t="n">
        <v>1</v>
      </c>
      <c r="C203" s="164" t="n">
        <v>46049</v>
      </c>
      <c r="D203" s="165" t="inlineStr">
        <is>
          <t>218 G. SAN JOSE 1</t>
        </is>
      </c>
      <c r="E203" s="166" t="n">
        <v>45852</v>
      </c>
      <c r="F203" s="166" t="inlineStr">
        <is>
          <t>DUMAR ANGARITA</t>
        </is>
      </c>
      <c r="G203" s="166" t="n">
        <v>3240</v>
      </c>
      <c r="H203" s="166" t="n">
        <v>3220</v>
      </c>
      <c r="I203" s="166" t="n">
        <v>3</v>
      </c>
      <c r="J203" s="166" t="n">
        <v>10</v>
      </c>
      <c r="K203" s="166" t="n">
        <v>-7</v>
      </c>
      <c r="L203" s="395" t="n">
        <v>3240</v>
      </c>
      <c r="M203" s="113" t="n"/>
      <c r="N203" s="113" t="n"/>
      <c r="O203" s="113" t="n"/>
      <c r="P203" s="398" t="n"/>
      <c r="Q203" s="398" t="n"/>
      <c r="R203" s="113" t="n"/>
      <c r="S203" s="113" t="n"/>
      <c r="T203" s="113" t="n"/>
      <c r="U203" s="113" t="n"/>
      <c r="V203" s="113" t="n"/>
    </row>
    <row r="204" ht="15.75" customHeight="1">
      <c r="A204" s="146" t="n">
        <v>5</v>
      </c>
      <c r="B204" s="238" t="n">
        <v>1</v>
      </c>
      <c r="C204" s="164" t="n">
        <v>46049</v>
      </c>
      <c r="D204" s="165" t="inlineStr">
        <is>
          <t>218 G. SAN JOSE 1</t>
        </is>
      </c>
      <c r="E204" s="166" t="n">
        <v>45860</v>
      </c>
      <c r="F204" s="166" t="inlineStr">
        <is>
          <t>ALEX GOMEZ</t>
        </is>
      </c>
      <c r="G204" s="166" t="n">
        <v>3960</v>
      </c>
      <c r="H204" s="166" t="n">
        <v>3952</v>
      </c>
      <c r="I204" s="166" t="n">
        <v>4</v>
      </c>
      <c r="J204" s="166" t="n">
        <v>2</v>
      </c>
      <c r="K204" s="166" t="n">
        <v>-2</v>
      </c>
      <c r="L204" s="395" t="n">
        <v>3240</v>
      </c>
      <c r="M204" s="113" t="n"/>
      <c r="N204" s="113" t="n"/>
      <c r="O204" s="113" t="n"/>
      <c r="P204" s="398" t="n"/>
      <c r="Q204" s="398" t="n"/>
      <c r="R204" s="113" t="n"/>
      <c r="S204" s="113" t="n"/>
      <c r="T204" s="113" t="n"/>
      <c r="U204" s="113" t="n"/>
      <c r="V204" s="113" t="n"/>
    </row>
    <row r="205" ht="15.75" customHeight="1">
      <c r="A205" s="146" t="n">
        <v>5</v>
      </c>
      <c r="B205" s="238" t="n">
        <v>1</v>
      </c>
      <c r="C205" s="164" t="n">
        <v>46049</v>
      </c>
      <c r="D205" s="165" t="inlineStr">
        <is>
          <t>218 G. SAN JOSE 1</t>
        </is>
      </c>
      <c r="E205" s="166" t="n">
        <v>45861</v>
      </c>
      <c r="F205" s="166" t="inlineStr">
        <is>
          <t>YAIR RIVEROS</t>
        </is>
      </c>
      <c r="G205" s="166" t="n">
        <v>3960</v>
      </c>
      <c r="H205" s="166" t="n">
        <v>3949</v>
      </c>
      <c r="I205" s="166" t="n">
        <v>4</v>
      </c>
      <c r="J205" s="166" t="n">
        <v>4</v>
      </c>
      <c r="K205" s="166" t="n">
        <v>-3</v>
      </c>
      <c r="L205" s="395" t="n">
        <v>3960</v>
      </c>
      <c r="M205" s="113" t="n"/>
      <c r="N205" s="113" t="n"/>
      <c r="O205" s="113" t="n"/>
      <c r="P205" s="398" t="n"/>
      <c r="Q205" s="398" t="n"/>
      <c r="R205" s="113" t="n"/>
      <c r="S205" s="113" t="n"/>
      <c r="T205" s="113" t="n"/>
      <c r="U205" s="113" t="n"/>
      <c r="V205" s="113" t="n"/>
    </row>
    <row r="206" ht="15.75" customHeight="1">
      <c r="A206" s="146" t="n">
        <v>5</v>
      </c>
      <c r="B206" s="238" t="n">
        <v>1</v>
      </c>
      <c r="C206" s="164" t="n">
        <v>46049</v>
      </c>
      <c r="D206" s="165" t="inlineStr">
        <is>
          <t>218 G. SAN JOSE 1</t>
        </is>
      </c>
      <c r="E206" s="166" t="n">
        <v>45862</v>
      </c>
      <c r="F206" s="166" t="inlineStr">
        <is>
          <t>JHON ARIAS</t>
        </is>
      </c>
      <c r="G206" s="166" t="n">
        <v>3240</v>
      </c>
      <c r="H206" s="166" t="n">
        <v>3228</v>
      </c>
      <c r="I206" s="166" t="n">
        <v>4</v>
      </c>
      <c r="J206" s="166" t="n">
        <v>4</v>
      </c>
      <c r="K206" s="166" t="n">
        <v>-4</v>
      </c>
      <c r="L206" s="395" t="n">
        <v>1150</v>
      </c>
      <c r="M206" s="113" t="n"/>
      <c r="N206" s="113" t="n"/>
      <c r="O206" s="113" t="n"/>
      <c r="P206" s="398" t="n"/>
      <c r="Q206" s="398" t="n"/>
      <c r="R206" s="113" t="n"/>
      <c r="S206" s="113" t="n"/>
      <c r="T206" s="113" t="n"/>
      <c r="U206" s="113" t="n"/>
      <c r="V206" s="113" t="n"/>
    </row>
    <row r="207" ht="15.75" customHeight="1">
      <c r="A207" s="146" t="n">
        <v>5</v>
      </c>
      <c r="B207" s="238" t="n">
        <v>1</v>
      </c>
      <c r="C207" s="164" t="n">
        <v>46049</v>
      </c>
      <c r="D207" s="165" t="inlineStr">
        <is>
          <t>218 G. SAN JOSE 1</t>
        </is>
      </c>
      <c r="E207" s="165" t="n">
        <v>45863</v>
      </c>
      <c r="F207" s="165" t="inlineStr">
        <is>
          <t>JAIRO CUBILLOS</t>
        </is>
      </c>
      <c r="G207" s="165" t="n">
        <v>1150</v>
      </c>
      <c r="H207" s="165" t="n">
        <v>1135</v>
      </c>
      <c r="I207" s="165" t="n">
        <v>4</v>
      </c>
      <c r="J207" s="165" t="n">
        <v>5</v>
      </c>
      <c r="K207" s="165" t="n">
        <v>-6</v>
      </c>
      <c r="L207" s="395" t="n">
        <v>3612</v>
      </c>
      <c r="M207" s="113" t="n"/>
      <c r="N207" s="113" t="n"/>
      <c r="O207" s="113" t="n"/>
      <c r="P207" s="398" t="n"/>
      <c r="Q207" s="398" t="n"/>
      <c r="R207" s="113" t="n"/>
      <c r="S207" s="113" t="n"/>
      <c r="T207" s="113" t="n"/>
      <c r="U207" s="113" t="n"/>
      <c r="V207" s="113" t="n"/>
    </row>
    <row r="208" ht="15.75" customHeight="1">
      <c r="A208" s="146" t="n">
        <v>5</v>
      </c>
      <c r="B208" s="238" t="n">
        <v>1</v>
      </c>
      <c r="C208" s="164" t="n">
        <v>46050</v>
      </c>
      <c r="D208" s="165" t="inlineStr">
        <is>
          <t>218 G. SAN JOSE 1</t>
        </is>
      </c>
      <c r="E208" s="165" t="n">
        <v>45866</v>
      </c>
      <c r="F208" s="165" t="inlineStr">
        <is>
          <t>JOSE HERRERA</t>
        </is>
      </c>
      <c r="G208" s="165" t="n">
        <v>2916</v>
      </c>
      <c r="H208" s="165" t="n">
        <v>2914</v>
      </c>
      <c r="I208" s="165" t="n">
        <v>3</v>
      </c>
      <c r="J208" s="165" t="n">
        <v>5</v>
      </c>
      <c r="K208" s="165" t="n">
        <v>6</v>
      </c>
      <c r="L208" s="395" t="n">
        <v>2592</v>
      </c>
      <c r="M208" s="113" t="n"/>
      <c r="N208" s="113" t="n"/>
      <c r="O208" s="113" t="n"/>
      <c r="P208" s="398" t="n"/>
      <c r="Q208" s="398" t="n"/>
      <c r="R208" s="113" t="n"/>
      <c r="S208" s="113" t="n"/>
      <c r="T208" s="113" t="n"/>
      <c r="U208" s="113" t="n"/>
      <c r="V208" s="113" t="n"/>
    </row>
    <row r="209" ht="15.75" customHeight="1">
      <c r="A209" s="146" t="n">
        <v>5</v>
      </c>
      <c r="B209" s="238" t="n">
        <v>1</v>
      </c>
      <c r="C209" s="164" t="n">
        <v>46050</v>
      </c>
      <c r="D209" s="165" t="inlineStr">
        <is>
          <t>218 G. SAN JOSE 1</t>
        </is>
      </c>
      <c r="E209" s="166" t="n">
        <v>45867</v>
      </c>
      <c r="F209" s="166" t="inlineStr">
        <is>
          <t>JAIRO CUBILLOS</t>
        </is>
      </c>
      <c r="G209" s="166" t="n">
        <v>2916</v>
      </c>
      <c r="H209" s="166" t="n">
        <v>2918</v>
      </c>
      <c r="I209" s="166" t="n">
        <v>3</v>
      </c>
      <c r="J209" s="166" t="n">
        <v>6</v>
      </c>
      <c r="K209" s="166" t="n">
        <v>11</v>
      </c>
      <c r="L209" s="395" t="n">
        <v>2520</v>
      </c>
      <c r="M209" s="113" t="n"/>
      <c r="N209" s="113" t="n"/>
      <c r="O209" s="113" t="n"/>
      <c r="P209" s="398" t="n"/>
      <c r="Q209" s="398" t="n"/>
      <c r="R209" s="113" t="n"/>
      <c r="S209" s="113" t="n"/>
      <c r="T209" s="113" t="n"/>
      <c r="U209" s="113" t="n"/>
      <c r="V209" s="113" t="n"/>
    </row>
    <row r="210" ht="15.75" customHeight="1">
      <c r="A210" s="146" t="n">
        <v>5</v>
      </c>
      <c r="B210" s="238" t="n">
        <v>1</v>
      </c>
      <c r="C210" s="164" t="n">
        <v>46050</v>
      </c>
      <c r="D210" s="165" t="inlineStr">
        <is>
          <t>218 G. SAN JOSE 1</t>
        </is>
      </c>
      <c r="E210" s="166" t="n">
        <v>45868</v>
      </c>
      <c r="F210" s="166" t="inlineStr">
        <is>
          <t>ROBINSON PULIDO</t>
        </is>
      </c>
      <c r="G210" s="166" t="n">
        <v>2916</v>
      </c>
      <c r="H210" s="166" t="n">
        <v>2919</v>
      </c>
      <c r="I210" s="166" t="n">
        <v>2</v>
      </c>
      <c r="J210" s="166" t="n">
        <v>1</v>
      </c>
      <c r="K210" s="166" t="n">
        <v>6</v>
      </c>
      <c r="L210" s="395" t="n">
        <v>2916</v>
      </c>
      <c r="M210" s="113" t="n"/>
      <c r="N210" s="113" t="n"/>
      <c r="O210" s="113" t="n"/>
      <c r="P210" s="398" t="n"/>
      <c r="Q210" s="398" t="n"/>
      <c r="R210" s="113" t="n"/>
      <c r="S210" s="113" t="n"/>
      <c r="T210" s="113" t="n"/>
      <c r="U210" s="113" t="n"/>
      <c r="V210" s="113" t="n"/>
    </row>
    <row r="211" ht="15.75" customHeight="1">
      <c r="A211" s="146" t="n">
        <v>5</v>
      </c>
      <c r="B211" s="238" t="n">
        <v>1</v>
      </c>
      <c r="C211" s="164" t="n">
        <v>46050</v>
      </c>
      <c r="D211" s="165" t="inlineStr">
        <is>
          <t>218 G. SAN JOSE 1</t>
        </is>
      </c>
      <c r="E211" s="166" t="n">
        <v>45869</v>
      </c>
      <c r="F211" s="166" t="inlineStr">
        <is>
          <t>EDWIN ROJAS</t>
        </is>
      </c>
      <c r="G211" s="166" t="n">
        <v>2916</v>
      </c>
      <c r="H211" s="166" t="n">
        <v>2923</v>
      </c>
      <c r="I211" s="166" t="n">
        <v>2</v>
      </c>
      <c r="J211" s="166" t="n">
        <v>2</v>
      </c>
      <c r="K211" s="166" t="n">
        <v>11</v>
      </c>
      <c r="L211" s="395" t="n">
        <v>2808</v>
      </c>
      <c r="M211" s="113" t="n"/>
      <c r="N211" s="113" t="n"/>
      <c r="O211" s="113" t="n"/>
      <c r="P211" s="398" t="n"/>
      <c r="Q211" s="398" t="n"/>
      <c r="R211" s="113" t="n"/>
      <c r="S211" s="113" t="n"/>
      <c r="T211" s="113" t="n"/>
      <c r="U211" s="113" t="n"/>
      <c r="V211" s="113" t="n"/>
    </row>
    <row r="212" ht="15.75" customHeight="1">
      <c r="A212" s="146" t="n">
        <v>5</v>
      </c>
      <c r="B212" s="238" t="n">
        <v>1</v>
      </c>
      <c r="C212" s="164" t="n">
        <v>46050</v>
      </c>
      <c r="D212" s="165" t="inlineStr">
        <is>
          <t>218 G. SAN JOSE 1</t>
        </is>
      </c>
      <c r="E212" s="166" t="n">
        <v>45870</v>
      </c>
      <c r="F212" s="166" t="inlineStr">
        <is>
          <t>DUMAR ANGARITA</t>
        </is>
      </c>
      <c r="G212" s="166" t="n">
        <v>2916</v>
      </c>
      <c r="H212" s="166" t="n">
        <v>2921</v>
      </c>
      <c r="I212" s="166" t="n">
        <v>3</v>
      </c>
      <c r="J212" s="166" t="n">
        <v>2</v>
      </c>
      <c r="K212" s="166" t="n">
        <v>10</v>
      </c>
      <c r="L212" s="395" t="n">
        <v>2916</v>
      </c>
      <c r="M212" s="113" t="n"/>
      <c r="N212" s="113" t="n"/>
      <c r="O212" s="113" t="n"/>
      <c r="P212" s="398" t="n"/>
      <c r="Q212" s="398" t="n"/>
      <c r="R212" s="113" t="n"/>
      <c r="S212" s="113" t="n"/>
      <c r="T212" s="113" t="n"/>
      <c r="U212" s="113" t="n"/>
      <c r="V212" s="113" t="n"/>
    </row>
    <row r="213" ht="15.75" customHeight="1">
      <c r="A213" s="146" t="n">
        <v>5</v>
      </c>
      <c r="B213" s="238" t="n">
        <v>1</v>
      </c>
      <c r="C213" s="164" t="n">
        <v>46050</v>
      </c>
      <c r="D213" s="165" t="inlineStr">
        <is>
          <t>218 G. SAN JOSE 1</t>
        </is>
      </c>
      <c r="E213" s="166" t="n">
        <v>45878</v>
      </c>
      <c r="F213" s="166" t="inlineStr">
        <is>
          <t>ALEX GOMEZ</t>
        </is>
      </c>
      <c r="G213" s="166" t="n">
        <v>2808</v>
      </c>
      <c r="H213" s="166" t="n">
        <v>2812</v>
      </c>
      <c r="I213" s="166" t="n">
        <v>2</v>
      </c>
      <c r="J213" s="166" t="n">
        <v>3</v>
      </c>
      <c r="K213" s="166" t="n">
        <v>9</v>
      </c>
      <c r="L213" s="395" t="n">
        <v>2960</v>
      </c>
      <c r="M213" s="113" t="n"/>
      <c r="N213" s="113" t="n"/>
      <c r="O213" s="113" t="n"/>
      <c r="P213" s="398" t="n"/>
      <c r="Q213" s="398" t="n"/>
      <c r="R213" s="113" t="n"/>
      <c r="S213" s="113" t="n"/>
      <c r="T213" s="113" t="n"/>
      <c r="U213" s="113" t="n"/>
      <c r="V213" s="113" t="n"/>
    </row>
    <row r="214" ht="15.75" customHeight="1">
      <c r="A214" s="146" t="n">
        <v>5</v>
      </c>
      <c r="B214" s="238" t="n">
        <v>1</v>
      </c>
      <c r="C214" s="164" t="n">
        <v>46050</v>
      </c>
      <c r="D214" s="165" t="inlineStr">
        <is>
          <t>218 G. SAN JOSE 1</t>
        </is>
      </c>
      <c r="E214" s="166" t="n">
        <v>45879</v>
      </c>
      <c r="F214" s="166" t="inlineStr">
        <is>
          <t>JAIRO CUBILLOS</t>
        </is>
      </c>
      <c r="G214" s="166" t="n">
        <v>2808</v>
      </c>
      <c r="H214" s="166" t="n">
        <v>2811</v>
      </c>
      <c r="I214" s="166" t="n">
        <v>1</v>
      </c>
      <c r="J214" s="166" t="n">
        <v>3</v>
      </c>
      <c r="K214" s="166" t="n">
        <v>7</v>
      </c>
      <c r="L214" s="395" t="n">
        <v>2916</v>
      </c>
      <c r="M214" s="113" t="n"/>
      <c r="N214" s="113" t="n"/>
      <c r="O214" s="113" t="n"/>
      <c r="P214" s="398" t="n"/>
      <c r="Q214" s="398" t="n"/>
      <c r="R214" s="113" t="n"/>
      <c r="S214" s="113" t="n"/>
      <c r="T214" s="113" t="n"/>
      <c r="U214" s="113" t="n"/>
      <c r="V214" s="113" t="n"/>
    </row>
    <row r="215" ht="15.75" customHeight="1">
      <c r="A215" s="146" t="n">
        <v>5</v>
      </c>
      <c r="B215" s="238" t="n">
        <v>1</v>
      </c>
      <c r="C215" s="164" t="n">
        <v>46050</v>
      </c>
      <c r="D215" s="165" t="inlineStr">
        <is>
          <t>218 G. SAN JOSE 1</t>
        </is>
      </c>
      <c r="E215" s="166" t="n">
        <v>45880</v>
      </c>
      <c r="F215" s="166" t="inlineStr">
        <is>
          <t>EDWIN ROJAS</t>
        </is>
      </c>
      <c r="G215" s="166" t="n">
        <v>2808</v>
      </c>
      <c r="H215" s="166" t="n">
        <v>2814</v>
      </c>
      <c r="I215" s="166" t="n">
        <v>2</v>
      </c>
      <c r="J215" s="166" t="n">
        <v>2</v>
      </c>
      <c r="K215" s="166" t="n">
        <v>10</v>
      </c>
      <c r="L215" s="395" t="n">
        <v>2808</v>
      </c>
      <c r="M215" s="113" t="n"/>
      <c r="N215" s="113" t="n"/>
      <c r="O215" s="113" t="n"/>
      <c r="P215" s="398" t="n"/>
      <c r="Q215" s="398" t="n"/>
      <c r="R215" s="113" t="n"/>
      <c r="S215" s="113" t="n"/>
      <c r="T215" s="113" t="n"/>
      <c r="U215" s="113" t="n"/>
      <c r="V215" s="113" t="n"/>
    </row>
    <row r="216" ht="15.75" customHeight="1">
      <c r="A216" s="146" t="n">
        <v>5</v>
      </c>
      <c r="B216" s="238" t="n">
        <v>1</v>
      </c>
      <c r="C216" s="164" t="n">
        <v>46051</v>
      </c>
      <c r="D216" s="165" t="inlineStr">
        <is>
          <t>218 G. SAN JOSE 1</t>
        </is>
      </c>
      <c r="E216" s="166" t="n">
        <v>45901</v>
      </c>
      <c r="F216" s="166" t="inlineStr">
        <is>
          <t>JOSE SOLER</t>
        </is>
      </c>
      <c r="G216" s="166" t="n">
        <v>3240</v>
      </c>
      <c r="H216" s="166" t="n">
        <v>3239</v>
      </c>
      <c r="I216" s="166" t="n">
        <v>2</v>
      </c>
      <c r="J216" s="166" t="n">
        <v>3</v>
      </c>
      <c r="K216" s="166" t="n">
        <v>4</v>
      </c>
      <c r="L216" s="395" t="n">
        <v>2916</v>
      </c>
      <c r="M216" s="113" t="n"/>
      <c r="N216" s="113" t="n"/>
      <c r="O216" s="113" t="n"/>
      <c r="P216" s="398" t="n"/>
      <c r="Q216" s="398" t="n"/>
      <c r="R216" s="113" t="n"/>
      <c r="S216" s="113" t="n"/>
      <c r="T216" s="113" t="n"/>
      <c r="U216" s="113" t="n"/>
      <c r="V216" s="113" t="n"/>
    </row>
    <row r="217" ht="15.75" customHeight="1">
      <c r="A217" s="146" t="n">
        <v>5</v>
      </c>
      <c r="B217" s="238" t="n">
        <v>1</v>
      </c>
      <c r="C217" s="164" t="n">
        <v>46051</v>
      </c>
      <c r="D217" s="165" t="inlineStr">
        <is>
          <t>218 G. SAN JOSE 1</t>
        </is>
      </c>
      <c r="E217" s="166" t="n">
        <v>45902</v>
      </c>
      <c r="F217" s="166" t="inlineStr">
        <is>
          <t>YAIR RIVEROS</t>
        </is>
      </c>
      <c r="G217" s="166" t="n">
        <v>3600</v>
      </c>
      <c r="H217" s="166" t="n">
        <v>3599</v>
      </c>
      <c r="I217" s="166" t="n">
        <v>2</v>
      </c>
      <c r="J217" s="166" t="n">
        <v>4</v>
      </c>
      <c r="K217" s="166" t="n">
        <v>5</v>
      </c>
      <c r="L217" s="395" t="n">
        <v>2808</v>
      </c>
      <c r="M217" s="113" t="n"/>
      <c r="N217" s="113" t="n"/>
      <c r="O217" s="113" t="n"/>
      <c r="P217" s="398" t="n"/>
      <c r="Q217" s="398" t="n"/>
      <c r="R217" s="113" t="n"/>
      <c r="S217" s="113" t="n"/>
      <c r="T217" s="113" t="n"/>
      <c r="U217" s="113" t="n"/>
      <c r="V217" s="113" t="n"/>
    </row>
    <row r="218" ht="15.75" customHeight="1">
      <c r="A218" s="146" t="n">
        <v>5</v>
      </c>
      <c r="B218" s="238" t="n">
        <v>1</v>
      </c>
      <c r="C218" s="164" t="n">
        <v>46051</v>
      </c>
      <c r="D218" s="165" t="inlineStr">
        <is>
          <t>218 G. SAN JOSE 1</t>
        </is>
      </c>
      <c r="E218" s="166" t="n">
        <v>45903</v>
      </c>
      <c r="F218" s="166" t="inlineStr">
        <is>
          <t>ROBINSON PULIDO</t>
        </is>
      </c>
      <c r="G218" s="166" t="n">
        <v>3600</v>
      </c>
      <c r="H218" s="166" t="n">
        <v>3600</v>
      </c>
      <c r="I218" s="166" t="n">
        <v>1</v>
      </c>
      <c r="J218" s="166" t="n">
        <v>4</v>
      </c>
      <c r="K218" s="166" t="n">
        <v>5</v>
      </c>
      <c r="L218" s="395" t="n">
        <v>2916</v>
      </c>
      <c r="M218" s="113" t="n"/>
      <c r="N218" s="113" t="n"/>
      <c r="O218" s="113" t="n"/>
      <c r="P218" s="398" t="n"/>
      <c r="Q218" s="398" t="n"/>
      <c r="R218" s="113" t="n"/>
      <c r="S218" s="113" t="n"/>
      <c r="T218" s="113" t="n"/>
      <c r="U218" s="113" t="n"/>
      <c r="V218" s="113" t="n"/>
    </row>
    <row r="219" ht="15.75" customHeight="1">
      <c r="A219" s="146" t="n">
        <v>5</v>
      </c>
      <c r="B219" s="238" t="n">
        <v>1</v>
      </c>
      <c r="C219" s="164" t="n">
        <v>46051</v>
      </c>
      <c r="D219" s="165" t="inlineStr">
        <is>
          <t>218 G. SAN JOSE 1</t>
        </is>
      </c>
      <c r="E219" s="166" t="n">
        <v>45904</v>
      </c>
      <c r="F219" s="166" t="inlineStr">
        <is>
          <t>FABIO ALDANA</t>
        </is>
      </c>
      <c r="G219" s="166" t="n">
        <v>2916</v>
      </c>
      <c r="H219" s="166" t="n">
        <v>2916</v>
      </c>
      <c r="I219" s="166" t="n">
        <v>2</v>
      </c>
      <c r="J219" s="166" t="n">
        <v>3</v>
      </c>
      <c r="K219" s="166" t="n">
        <v>5</v>
      </c>
      <c r="L219" s="395" t="n">
        <v>2916</v>
      </c>
      <c r="M219" s="113" t="n"/>
      <c r="N219" s="113" t="n"/>
      <c r="O219" s="113" t="n"/>
      <c r="P219" s="398" t="n"/>
      <c r="Q219" s="398" t="n"/>
      <c r="R219" s="113" t="n"/>
      <c r="S219" s="113" t="n"/>
      <c r="T219" s="113" t="n"/>
      <c r="U219" s="113" t="n"/>
      <c r="V219" s="113" t="n"/>
    </row>
    <row r="220" ht="15.75" customHeight="1">
      <c r="A220" s="146" t="n">
        <v>5</v>
      </c>
      <c r="B220" s="238" t="n">
        <v>1</v>
      </c>
      <c r="C220" s="164" t="n">
        <v>46051</v>
      </c>
      <c r="D220" s="165" t="inlineStr">
        <is>
          <t>218 G. SAN JOSE 1</t>
        </is>
      </c>
      <c r="E220" s="166" t="n">
        <v>45905</v>
      </c>
      <c r="F220" s="166" t="inlineStr">
        <is>
          <t>JHON ARIAS</t>
        </is>
      </c>
      <c r="G220" s="166" t="n">
        <v>2916</v>
      </c>
      <c r="H220" s="166" t="n">
        <v>2911</v>
      </c>
      <c r="I220" s="166" t="n">
        <v>1</v>
      </c>
      <c r="J220" s="166" t="n">
        <v>4</v>
      </c>
      <c r="K220" s="166" t="n">
        <v>0</v>
      </c>
      <c r="L220" s="395" t="n">
        <v>2916</v>
      </c>
      <c r="M220" s="113" t="n"/>
      <c r="N220" s="113" t="n"/>
      <c r="O220" s="113" t="n"/>
      <c r="P220" s="398" t="n"/>
      <c r="Q220" s="398" t="n"/>
      <c r="R220" s="113" t="n"/>
      <c r="S220" s="113" t="n"/>
      <c r="T220" s="113" t="n"/>
      <c r="U220" s="113" t="n"/>
      <c r="V220" s="113" t="n"/>
    </row>
    <row r="221" ht="15.75" customHeight="1">
      <c r="A221" s="146" t="n">
        <v>5</v>
      </c>
      <c r="B221" s="238" t="n">
        <v>1</v>
      </c>
      <c r="C221" s="164" t="n">
        <v>46051</v>
      </c>
      <c r="D221" s="165" t="inlineStr">
        <is>
          <t>218 G. SAN JOSE 1</t>
        </is>
      </c>
      <c r="E221" s="166" t="n">
        <v>45906</v>
      </c>
      <c r="F221" s="166" t="inlineStr">
        <is>
          <t>ALEX GOMEZ</t>
        </is>
      </c>
      <c r="G221" s="166" t="n">
        <v>3870</v>
      </c>
      <c r="H221" s="166" t="n">
        <v>3865</v>
      </c>
      <c r="I221" s="166" t="n">
        <v>2</v>
      </c>
      <c r="J221" s="166" t="n">
        <v>3</v>
      </c>
      <c r="K221" s="166" t="n">
        <v>0</v>
      </c>
      <c r="L221" s="395" t="n">
        <v>2916</v>
      </c>
      <c r="M221" s="113" t="n"/>
      <c r="N221" s="113" t="n"/>
      <c r="O221" s="113" t="n"/>
      <c r="P221" s="398" t="n"/>
      <c r="Q221" s="398" t="n"/>
      <c r="R221" s="113" t="n"/>
      <c r="S221" s="113" t="n"/>
      <c r="T221" s="113" t="n"/>
      <c r="U221" s="113" t="n"/>
      <c r="V221" s="113" t="n"/>
    </row>
    <row r="222" ht="15.75" customHeight="1">
      <c r="A222" s="146" t="n">
        <v>5</v>
      </c>
      <c r="B222" s="238" t="n">
        <v>1</v>
      </c>
      <c r="C222" s="164" t="n">
        <v>46052</v>
      </c>
      <c r="D222" s="165" t="inlineStr">
        <is>
          <t>200 G.GARCERAS</t>
        </is>
      </c>
      <c r="E222" s="166" t="n">
        <v>45911</v>
      </c>
      <c r="F222" s="166" t="inlineStr">
        <is>
          <t>ALBERTO LOPEZ</t>
        </is>
      </c>
      <c r="G222" s="166" t="n">
        <v>2820</v>
      </c>
      <c r="H222" s="166" t="n">
        <v>2812</v>
      </c>
      <c r="I222" s="166" t="n">
        <v>2</v>
      </c>
      <c r="J222" s="166" t="n">
        <v>2</v>
      </c>
      <c r="K222" s="166" t="n">
        <v>-4</v>
      </c>
      <c r="L222" s="395" t="n">
        <v>2916</v>
      </c>
      <c r="M222" s="113" t="n"/>
      <c r="N222" s="113" t="n"/>
      <c r="O222" s="113" t="n"/>
      <c r="P222" s="398" t="n"/>
      <c r="Q222" s="398" t="n"/>
      <c r="R222" s="113" t="n"/>
      <c r="S222" s="113" t="n"/>
      <c r="T222" s="113" t="n"/>
      <c r="U222" s="113" t="n"/>
      <c r="V222" s="113" t="n"/>
    </row>
    <row r="223" ht="15.75" customHeight="1">
      <c r="A223" s="146" t="n">
        <v>5</v>
      </c>
      <c r="B223" s="238" t="n">
        <v>1</v>
      </c>
      <c r="C223" s="164" t="n">
        <v>46052</v>
      </c>
      <c r="D223" s="165" t="inlineStr">
        <is>
          <t>200 G.GARCERAS</t>
        </is>
      </c>
      <c r="E223" s="166" t="n">
        <v>45912</v>
      </c>
      <c r="F223" s="166" t="inlineStr">
        <is>
          <t>YAIR RIVEROS</t>
        </is>
      </c>
      <c r="G223" s="166" t="n">
        <v>2820</v>
      </c>
      <c r="H223" s="166" t="n">
        <v>2808</v>
      </c>
      <c r="I223" s="166" t="n">
        <v>2</v>
      </c>
      <c r="J223" s="166" t="n">
        <v>2</v>
      </c>
      <c r="K223" s="166" t="n">
        <v>-8</v>
      </c>
      <c r="L223" s="395" t="n">
        <v>2592</v>
      </c>
      <c r="M223" s="113" t="n"/>
      <c r="N223" s="113" t="n"/>
      <c r="O223" s="113" t="n"/>
      <c r="P223" s="398" t="n"/>
      <c r="Q223" s="398" t="n"/>
      <c r="R223" s="113" t="n"/>
      <c r="S223" s="113" t="n"/>
      <c r="T223" s="113" t="n"/>
      <c r="U223" s="113" t="n"/>
      <c r="V223" s="113" t="n"/>
    </row>
    <row r="224" ht="15.75" customHeight="1">
      <c r="A224" s="146" t="n">
        <v>5</v>
      </c>
      <c r="B224" s="238" t="n">
        <v>1</v>
      </c>
      <c r="C224" s="164" t="n">
        <v>46052</v>
      </c>
      <c r="D224" s="165" t="inlineStr">
        <is>
          <t>200 G.GARCERAS</t>
        </is>
      </c>
      <c r="E224" s="166" t="n">
        <v>45913</v>
      </c>
      <c r="F224" s="166" t="inlineStr">
        <is>
          <t>FABIO ALDANA</t>
        </is>
      </c>
      <c r="G224" s="166" t="n">
        <v>2820</v>
      </c>
      <c r="H224" s="166" t="n">
        <v>2808</v>
      </c>
      <c r="I224" s="166" t="n">
        <v>2</v>
      </c>
      <c r="J224" s="166" t="n">
        <v>3</v>
      </c>
      <c r="K224" s="166" t="n">
        <v>-7</v>
      </c>
      <c r="L224" s="395" t="n">
        <v>3240</v>
      </c>
      <c r="M224" s="113" t="n"/>
      <c r="N224" s="113" t="n"/>
      <c r="O224" s="113" t="n"/>
      <c r="P224" s="398" t="n"/>
      <c r="Q224" s="398" t="n"/>
      <c r="R224" s="113" t="n"/>
      <c r="S224" s="113" t="n"/>
      <c r="T224" s="113" t="n"/>
      <c r="U224" s="113" t="n"/>
      <c r="V224" s="113" t="n"/>
    </row>
    <row r="225" ht="15.75" customHeight="1">
      <c r="A225" s="146" t="n">
        <v>5</v>
      </c>
      <c r="B225" s="238" t="n">
        <v>1</v>
      </c>
      <c r="C225" s="164" t="n">
        <v>46052</v>
      </c>
      <c r="D225" s="165" t="inlineStr">
        <is>
          <t>200 G.GARCERAS</t>
        </is>
      </c>
      <c r="E225" s="166" t="n">
        <v>45921</v>
      </c>
      <c r="F225" s="166" t="inlineStr">
        <is>
          <t>MANUEL QUITIAN</t>
        </is>
      </c>
      <c r="G225" s="166" t="n">
        <v>2820</v>
      </c>
      <c r="H225" s="166" t="n">
        <v>2808</v>
      </c>
      <c r="I225" s="166" t="n">
        <v>2</v>
      </c>
      <c r="J225" s="166" t="n">
        <v>2</v>
      </c>
      <c r="K225" s="166" t="n">
        <v>-8</v>
      </c>
      <c r="L225" s="395" t="n">
        <v>3600</v>
      </c>
      <c r="M225" s="113" t="n"/>
      <c r="N225" s="113" t="n"/>
      <c r="O225" s="113" t="n"/>
      <c r="P225" s="398" t="n"/>
      <c r="Q225" s="398" t="n"/>
      <c r="R225" s="113" t="n"/>
      <c r="S225" s="113" t="n"/>
      <c r="T225" s="113" t="n"/>
      <c r="U225" s="113" t="n"/>
      <c r="V225" s="113" t="n"/>
    </row>
    <row r="226" ht="15.75" customHeight="1">
      <c r="A226" s="146" t="n">
        <v>5</v>
      </c>
      <c r="B226" s="238" t="n">
        <v>1</v>
      </c>
      <c r="C226" s="164" t="n">
        <v>46052</v>
      </c>
      <c r="D226" s="165" t="inlineStr">
        <is>
          <t>200 G.GARCERAS</t>
        </is>
      </c>
      <c r="E226" s="166" t="n">
        <v>45922</v>
      </c>
      <c r="F226" s="166" t="inlineStr">
        <is>
          <t>ALEX GOMEZ</t>
        </is>
      </c>
      <c r="G226" s="166" t="n">
        <v>2820</v>
      </c>
      <c r="H226" s="166" t="n">
        <v>2805</v>
      </c>
      <c r="I226" s="166" t="n">
        <v>3</v>
      </c>
      <c r="J226" s="166" t="n">
        <v>5</v>
      </c>
      <c r="K226" s="166" t="n">
        <v>-7</v>
      </c>
      <c r="L226" s="395" t="n">
        <v>3600</v>
      </c>
      <c r="M226" s="395" t="n"/>
      <c r="N226" s="113" t="n"/>
      <c r="O226" s="113" t="n"/>
      <c r="P226" s="398" t="n"/>
      <c r="Q226" s="398" t="n"/>
      <c r="R226" s="113" t="n"/>
      <c r="S226" s="113" t="n"/>
      <c r="T226" s="113" t="n"/>
      <c r="U226" s="113" t="n"/>
      <c r="V226" s="113" t="n"/>
    </row>
    <row r="227" ht="15.75" customHeight="1">
      <c r="A227" s="146" t="n">
        <v>5</v>
      </c>
      <c r="B227" s="238" t="n">
        <v>1</v>
      </c>
      <c r="C227" s="164" t="n">
        <v>46052</v>
      </c>
      <c r="D227" s="165" t="inlineStr">
        <is>
          <t>200 G.GARCERAS</t>
        </is>
      </c>
      <c r="E227" s="166" t="n">
        <v>45923</v>
      </c>
      <c r="F227" s="166" t="inlineStr">
        <is>
          <t>WILMER PIÑEROS</t>
        </is>
      </c>
      <c r="G227" s="166" t="n">
        <v>2950</v>
      </c>
      <c r="H227" s="166" t="n">
        <v>2941</v>
      </c>
      <c r="I227" s="166" t="n">
        <v>2</v>
      </c>
      <c r="J227" s="166" t="n">
        <v>4</v>
      </c>
      <c r="K227" s="166" t="n">
        <v>-3</v>
      </c>
      <c r="L227" s="395" t="n">
        <v>2916</v>
      </c>
      <c r="M227" s="113" t="n"/>
      <c r="N227" s="113" t="n"/>
      <c r="O227" s="113" t="n"/>
      <c r="P227" s="398" t="n"/>
      <c r="Q227" s="398" t="n"/>
      <c r="R227" s="113" t="n"/>
      <c r="S227" s="113" t="n"/>
      <c r="T227" s="113" t="n"/>
      <c r="U227" s="113" t="n"/>
      <c r="V227" s="113" t="n"/>
    </row>
    <row r="228" ht="15.75" customHeight="1">
      <c r="A228" s="146" t="n">
        <v>5</v>
      </c>
      <c r="B228" s="238" t="n">
        <v>1</v>
      </c>
      <c r="C228" s="164" t="n">
        <v>46052</v>
      </c>
      <c r="D228" s="165" t="inlineStr">
        <is>
          <t>200 G.GARCERAS</t>
        </is>
      </c>
      <c r="E228" s="166" t="n">
        <v>45924</v>
      </c>
      <c r="F228" s="166" t="inlineStr">
        <is>
          <t>FERNANDO OYUELA</t>
        </is>
      </c>
      <c r="G228" s="166" t="n">
        <v>2950</v>
      </c>
      <c r="H228" s="166" t="n">
        <v>2932</v>
      </c>
      <c r="I228" s="166" t="n">
        <v>3</v>
      </c>
      <c r="J228" s="166" t="n">
        <v>8</v>
      </c>
      <c r="K228" s="166" t="n">
        <v>-7</v>
      </c>
      <c r="L228" s="395" t="n">
        <v>2916</v>
      </c>
      <c r="M228" s="113" t="n"/>
      <c r="N228" s="113" t="n"/>
      <c r="O228" s="113" t="n"/>
      <c r="P228" s="398" t="n"/>
      <c r="Q228" s="398" t="n"/>
      <c r="R228" s="113" t="n"/>
      <c r="S228" s="113" t="n"/>
      <c r="T228" s="113" t="n"/>
      <c r="U228" s="113" t="n"/>
      <c r="V228" s="113" t="n"/>
    </row>
    <row r="229" ht="15.75" customHeight="1">
      <c r="A229" s="146" t="n">
        <v>5</v>
      </c>
      <c r="B229" s="238" t="n">
        <v>1</v>
      </c>
      <c r="C229" s="164" t="n">
        <v>46052</v>
      </c>
      <c r="D229" s="165" t="inlineStr">
        <is>
          <t>200 G.GARCERAS</t>
        </is>
      </c>
      <c r="E229" s="166" t="n">
        <v>45925</v>
      </c>
      <c r="F229" s="166" t="inlineStr">
        <is>
          <t>DUMAR ANGARITA</t>
        </is>
      </c>
      <c r="G229" s="166" t="n">
        <v>2950</v>
      </c>
      <c r="H229" s="166" t="n">
        <v>2942</v>
      </c>
      <c r="I229" s="166" t="n">
        <v>3</v>
      </c>
      <c r="J229" s="166" t="n">
        <v>1</v>
      </c>
      <c r="K229" s="166" t="n">
        <v>-4</v>
      </c>
      <c r="L229" s="395" t="n">
        <v>3870</v>
      </c>
      <c r="M229" s="113" t="n"/>
      <c r="N229" s="113" t="n"/>
      <c r="O229" s="113" t="n"/>
      <c r="P229" s="398" t="n"/>
      <c r="Q229" s="398" t="n"/>
      <c r="R229" s="113" t="n"/>
      <c r="S229" s="113" t="n"/>
      <c r="T229" s="113" t="n"/>
      <c r="U229" s="113" t="n"/>
      <c r="V229" s="113" t="n"/>
    </row>
    <row r="230" ht="15.75" customHeight="1">
      <c r="A230" s="146" t="n">
        <v>5</v>
      </c>
      <c r="B230" s="238" t="n">
        <v>1</v>
      </c>
      <c r="C230" s="164" t="n">
        <v>46052</v>
      </c>
      <c r="D230" s="165" t="inlineStr">
        <is>
          <t>200 G.GARCERAS</t>
        </is>
      </c>
      <c r="E230" s="166" t="n">
        <v>45926</v>
      </c>
      <c r="F230" s="166" t="inlineStr">
        <is>
          <t>DIEGO NIÑO</t>
        </is>
      </c>
      <c r="G230" s="166" t="n">
        <v>3100</v>
      </c>
      <c r="H230" s="166" t="n">
        <v>3061</v>
      </c>
      <c r="I230" s="166" t="n">
        <v>19</v>
      </c>
      <c r="J230" s="166" t="n">
        <v>2</v>
      </c>
      <c r="K230" s="166" t="n">
        <v>-18</v>
      </c>
      <c r="L230" s="395" t="n">
        <v>2916</v>
      </c>
      <c r="M230" s="113" t="n"/>
      <c r="N230" s="113" t="n"/>
      <c r="O230" s="113" t="n"/>
      <c r="P230" s="398" t="n"/>
      <c r="Q230" s="398" t="n"/>
      <c r="R230" s="113" t="n"/>
      <c r="S230" s="113" t="n"/>
      <c r="T230" s="113" t="n"/>
      <c r="U230" s="113" t="n"/>
      <c r="V230" s="113" t="n"/>
    </row>
    <row r="231" ht="15.75" customHeight="1">
      <c r="A231" s="146" t="n">
        <v>5</v>
      </c>
      <c r="B231" s="238" t="n">
        <v>1</v>
      </c>
      <c r="C231" s="164" t="n">
        <v>46052</v>
      </c>
      <c r="D231" s="165" t="inlineStr">
        <is>
          <t>200 G.GARCERAS</t>
        </is>
      </c>
      <c r="E231" s="166" t="n">
        <v>45927</v>
      </c>
      <c r="F231" s="166" t="inlineStr">
        <is>
          <t>YAIR RIVEROS</t>
        </is>
      </c>
      <c r="G231" s="166" t="n">
        <v>2900</v>
      </c>
      <c r="H231" s="166" t="n">
        <v>2863</v>
      </c>
      <c r="I231" s="166" t="n">
        <v>16</v>
      </c>
      <c r="J231" s="166" t="n">
        <v>2</v>
      </c>
      <c r="K231" s="166" t="n">
        <v>-19</v>
      </c>
      <c r="L231" s="395" t="n">
        <v>2916</v>
      </c>
      <c r="M231" s="113" t="n"/>
      <c r="N231" s="113" t="n"/>
      <c r="O231" s="113" t="n"/>
      <c r="P231" s="398" t="n"/>
      <c r="Q231" s="398" t="n"/>
      <c r="R231" s="113" t="n"/>
      <c r="S231" s="113" t="n"/>
      <c r="T231" s="113" t="n"/>
      <c r="U231" s="113" t="n"/>
      <c r="V231" s="113" t="n"/>
    </row>
    <row r="232" ht="15.75" customHeight="1">
      <c r="A232" s="146" t="n">
        <v>5</v>
      </c>
      <c r="B232" s="238" t="n">
        <v>1</v>
      </c>
      <c r="C232" s="164" t="n">
        <v>46052</v>
      </c>
      <c r="D232" s="165" t="inlineStr">
        <is>
          <t>218 G. SAN JOSE 1</t>
        </is>
      </c>
      <c r="E232" s="166" t="n">
        <v>45928</v>
      </c>
      <c r="F232" s="166" t="inlineStr">
        <is>
          <t>EDWIN ROJAS</t>
        </is>
      </c>
      <c r="G232" s="166" t="n">
        <v>2040</v>
      </c>
      <c r="H232" s="166" t="n">
        <v>2010</v>
      </c>
      <c r="I232" s="166" t="n">
        <v>3</v>
      </c>
      <c r="J232" s="166" t="n">
        <v>5</v>
      </c>
      <c r="K232" s="166" t="n">
        <v>-22</v>
      </c>
      <c r="L232" s="395" t="n">
        <v>2916</v>
      </c>
      <c r="M232" s="113" t="n"/>
      <c r="N232" s="113" t="n"/>
      <c r="O232" s="113" t="n"/>
      <c r="P232" s="398" t="n"/>
      <c r="Q232" s="398" t="n"/>
      <c r="R232" s="113" t="n"/>
      <c r="S232" s="113" t="n"/>
      <c r="T232" s="113" t="n"/>
      <c r="U232" s="113" t="n"/>
      <c r="V232" s="113" t="n"/>
    </row>
    <row r="233" ht="15.75" customHeight="1">
      <c r="A233" s="146" t="n">
        <v>5</v>
      </c>
      <c r="B233" s="238" t="n">
        <v>1</v>
      </c>
      <c r="C233" s="164" t="n">
        <v>46050</v>
      </c>
      <c r="D233" s="165" t="inlineStr">
        <is>
          <t>202 G. HUERTAS</t>
        </is>
      </c>
      <c r="E233" s="165" t="n">
        <v>45864</v>
      </c>
      <c r="F233" s="165" t="inlineStr">
        <is>
          <t>JHON ARIAS</t>
        </is>
      </c>
      <c r="G233" s="165" t="n">
        <v>2592</v>
      </c>
      <c r="H233" s="165" t="n">
        <v>2570</v>
      </c>
      <c r="I233" s="165" t="n">
        <v>9</v>
      </c>
      <c r="J233" s="165" t="n">
        <v>10</v>
      </c>
      <c r="K233" s="165" t="n">
        <v>-3</v>
      </c>
      <c r="L233" s="395" t="n">
        <v>2880</v>
      </c>
      <c r="M233" s="113" t="n"/>
      <c r="N233" s="113" t="n"/>
      <c r="O233" s="113" t="n"/>
      <c r="P233" s="398" t="n"/>
      <c r="Q233" s="398" t="n"/>
      <c r="R233" s="113" t="n"/>
      <c r="S233" s="113" t="n"/>
      <c r="T233" s="113" t="n"/>
      <c r="U233" s="113" t="n"/>
      <c r="V233" s="113" t="n"/>
    </row>
    <row r="234" ht="15.75" customHeight="1">
      <c r="A234" s="146" t="n">
        <v>5</v>
      </c>
      <c r="B234" s="238" t="n">
        <v>1</v>
      </c>
      <c r="C234" s="164" t="n">
        <v>46050</v>
      </c>
      <c r="D234" s="165" t="inlineStr">
        <is>
          <t>202 G. HUERTAS</t>
        </is>
      </c>
      <c r="E234" s="165" t="n">
        <v>45865</v>
      </c>
      <c r="F234" s="165" t="inlineStr">
        <is>
          <t>ALEX GOMEZ</t>
        </is>
      </c>
      <c r="G234" s="165" t="n">
        <v>2520</v>
      </c>
      <c r="H234" s="165" t="n">
        <v>2501</v>
      </c>
      <c r="I234" s="165" t="n">
        <v>9</v>
      </c>
      <c r="J234" s="165" t="n">
        <v>8</v>
      </c>
      <c r="K234" s="165" t="n">
        <v>-2</v>
      </c>
      <c r="L234" s="395" t="n">
        <v>2820</v>
      </c>
      <c r="M234" s="113" t="n"/>
      <c r="N234" s="113" t="n"/>
      <c r="O234" s="113" t="n"/>
      <c r="P234" s="398" t="n"/>
      <c r="Q234" s="398" t="n"/>
      <c r="R234" s="113" t="n"/>
      <c r="S234" s="113" t="n"/>
      <c r="T234" s="113" t="n"/>
      <c r="U234" s="113" t="n"/>
      <c r="V234" s="113" t="n"/>
    </row>
    <row r="235" ht="15.75" customHeight="1">
      <c r="A235" s="146" t="n">
        <v>5</v>
      </c>
      <c r="B235" s="238" t="n">
        <v>1</v>
      </c>
      <c r="C235" s="164" t="n">
        <v>46051</v>
      </c>
      <c r="D235" s="165" t="inlineStr">
        <is>
          <t>202 G. HUERTAS</t>
        </is>
      </c>
      <c r="E235" s="165" t="n">
        <v>45895</v>
      </c>
      <c r="F235" s="165" t="inlineStr">
        <is>
          <t>HENRY ROMERO</t>
        </is>
      </c>
      <c r="G235" s="165" t="n">
        <v>2916</v>
      </c>
      <c r="H235" s="165" t="n">
        <v>2901</v>
      </c>
      <c r="I235" s="165" t="n">
        <v>8</v>
      </c>
      <c r="J235" s="165" t="n">
        <v>14</v>
      </c>
      <c r="K235" s="165" t="n">
        <v>7</v>
      </c>
      <c r="L235" s="395" t="n">
        <v>2900</v>
      </c>
      <c r="M235" s="113" t="n"/>
      <c r="N235" s="113" t="n"/>
      <c r="O235" s="113" t="n"/>
      <c r="P235" s="398" t="n"/>
      <c r="Q235" s="398" t="n"/>
      <c r="R235" s="113" t="n"/>
      <c r="S235" s="113" t="n"/>
      <c r="T235" s="113" t="n"/>
      <c r="U235" s="113" t="n"/>
      <c r="V235" s="113" t="n"/>
    </row>
    <row r="236" ht="15.75" customHeight="1">
      <c r="A236" s="146" t="n">
        <v>5</v>
      </c>
      <c r="B236" s="238" t="n">
        <v>1</v>
      </c>
      <c r="C236" s="164" t="n">
        <v>46051</v>
      </c>
      <c r="D236" s="165" t="inlineStr">
        <is>
          <t>202 G. HUERTAS</t>
        </is>
      </c>
      <c r="E236" s="165" t="n">
        <v>45896</v>
      </c>
      <c r="F236" s="165" t="inlineStr">
        <is>
          <t>EDUAN CAVIEDES</t>
        </is>
      </c>
      <c r="G236" s="165" t="n">
        <v>2916</v>
      </c>
      <c r="H236" s="165" t="n">
        <v>2903</v>
      </c>
      <c r="I236" s="165" t="n">
        <v>9</v>
      </c>
      <c r="J236" s="165" t="n">
        <v>13</v>
      </c>
      <c r="K236" s="165" t="n">
        <v>9</v>
      </c>
      <c r="L236" s="395" t="n">
        <v>2820</v>
      </c>
      <c r="M236" s="113" t="n"/>
      <c r="N236" s="113" t="n"/>
      <c r="O236" s="113" t="n"/>
      <c r="P236" s="398" t="n"/>
      <c r="Q236" s="398" t="n"/>
      <c r="R236" s="113" t="n"/>
      <c r="S236" s="113" t="n"/>
      <c r="T236" s="113" t="n"/>
      <c r="U236" s="113" t="n"/>
      <c r="V236" s="113" t="n"/>
    </row>
    <row r="237" ht="15.75" customHeight="1">
      <c r="A237" s="146" t="n">
        <v>5</v>
      </c>
      <c r="B237" s="238" t="n">
        <v>1</v>
      </c>
      <c r="C237" s="164" t="n">
        <v>46051</v>
      </c>
      <c r="D237" s="165" t="inlineStr">
        <is>
          <t>202 G. HUERTAS</t>
        </is>
      </c>
      <c r="E237" s="165" t="n">
        <v>45897</v>
      </c>
      <c r="F237" s="165" t="inlineStr">
        <is>
          <t>JAIRO CUBILLOS</t>
        </is>
      </c>
      <c r="G237" s="165" t="n">
        <v>2916</v>
      </c>
      <c r="H237" s="165" t="n">
        <v>2900</v>
      </c>
      <c r="I237" s="165" t="n">
        <v>8</v>
      </c>
      <c r="J237" s="165" t="n">
        <v>18</v>
      </c>
      <c r="K237" s="165" t="n">
        <v>10</v>
      </c>
      <c r="L237" s="395" t="n">
        <v>2950</v>
      </c>
      <c r="M237" s="113" t="n"/>
      <c r="N237" s="113" t="n"/>
      <c r="O237" s="113" t="n"/>
      <c r="P237" s="398" t="n"/>
      <c r="Q237" s="398" t="n"/>
      <c r="R237" s="113" t="n"/>
      <c r="S237" s="113" t="n"/>
      <c r="T237" s="113" t="n"/>
      <c r="U237" s="113" t="n"/>
      <c r="V237" s="113" t="n"/>
    </row>
    <row r="238" ht="15.75" customHeight="1">
      <c r="A238" s="146" t="n">
        <v>5</v>
      </c>
      <c r="B238" s="238" t="n">
        <v>1</v>
      </c>
      <c r="C238" s="164" t="n">
        <v>46051</v>
      </c>
      <c r="D238" s="166" t="inlineStr">
        <is>
          <t>202 G. HUERTAS</t>
        </is>
      </c>
      <c r="E238" s="166" t="n">
        <v>45898</v>
      </c>
      <c r="F238" s="166" t="inlineStr">
        <is>
          <t>MANUEL QUITIAN</t>
        </is>
      </c>
      <c r="G238" s="166" t="n">
        <v>2916</v>
      </c>
      <c r="H238" s="166" t="n">
        <v>2901</v>
      </c>
      <c r="I238" s="166" t="n">
        <v>11</v>
      </c>
      <c r="J238" s="166" t="n">
        <v>9</v>
      </c>
      <c r="K238" s="166" t="n">
        <v>5</v>
      </c>
      <c r="L238" s="395" t="n">
        <v>2820</v>
      </c>
      <c r="M238" s="113" t="n"/>
      <c r="N238" s="113" t="n"/>
      <c r="O238" s="113" t="n"/>
      <c r="P238" s="398" t="n"/>
      <c r="Q238" s="398" t="n"/>
      <c r="R238" s="113" t="n"/>
      <c r="S238" s="113" t="n"/>
      <c r="T238" s="113" t="n"/>
      <c r="U238" s="113" t="n"/>
      <c r="V238" s="113" t="n"/>
    </row>
    <row r="239" ht="15.75" customHeight="1">
      <c r="A239" s="146" t="n">
        <v>5</v>
      </c>
      <c r="B239" s="238" t="n">
        <v>1</v>
      </c>
      <c r="C239" s="164" t="n">
        <v>46051</v>
      </c>
      <c r="D239" s="166" t="inlineStr">
        <is>
          <t>202 G. HUERTAS</t>
        </is>
      </c>
      <c r="E239" s="166" t="n">
        <v>45899</v>
      </c>
      <c r="F239" s="166" t="inlineStr">
        <is>
          <t>EDWIN ROJAS</t>
        </is>
      </c>
      <c r="G239" s="166" t="n">
        <v>2916</v>
      </c>
      <c r="H239" s="166" t="n">
        <v>2900</v>
      </c>
      <c r="I239" s="166" t="n">
        <v>10</v>
      </c>
      <c r="J239" s="166" t="n">
        <v>10</v>
      </c>
      <c r="K239" s="166" t="n">
        <v>4</v>
      </c>
      <c r="L239" s="395" t="n">
        <v>2950</v>
      </c>
      <c r="M239" s="113" t="n"/>
      <c r="N239" s="113" t="n"/>
      <c r="O239" s="113" t="n"/>
      <c r="P239" s="398" t="n"/>
      <c r="Q239" s="398" t="n"/>
      <c r="R239" s="113" t="n"/>
      <c r="S239" s="113" t="n"/>
      <c r="T239" s="113" t="n"/>
      <c r="U239" s="113" t="n"/>
      <c r="V239" s="113" t="n"/>
    </row>
    <row r="240" ht="15.75" customHeight="1">
      <c r="A240" s="146" t="n">
        <v>5</v>
      </c>
      <c r="B240" s="238" t="n">
        <v>1</v>
      </c>
      <c r="C240" s="164" t="n">
        <v>46051</v>
      </c>
      <c r="D240" s="166" t="inlineStr">
        <is>
          <t>202 G. HUERTAS</t>
        </is>
      </c>
      <c r="E240" s="166" t="n">
        <v>45900</v>
      </c>
      <c r="F240" s="166" t="inlineStr">
        <is>
          <t>ALEXANDER CHAGUALA</t>
        </is>
      </c>
      <c r="G240" s="166" t="n">
        <v>2592</v>
      </c>
      <c r="H240" s="166" t="n">
        <v>2564</v>
      </c>
      <c r="I240" s="166" t="n">
        <v>10</v>
      </c>
      <c r="J240" s="166" t="n">
        <v>16</v>
      </c>
      <c r="K240" s="166" t="n">
        <v>-2</v>
      </c>
      <c r="L240" s="395" t="n">
        <v>2950</v>
      </c>
      <c r="M240" s="113" t="n"/>
      <c r="N240" s="113" t="n"/>
      <c r="O240" s="113" t="n"/>
      <c r="P240" s="398" t="n"/>
      <c r="Q240" s="398" t="n"/>
      <c r="R240" s="113" t="n"/>
      <c r="S240" s="113" t="n"/>
      <c r="T240" s="113" t="n"/>
      <c r="U240" s="113" t="n"/>
      <c r="V240" s="113" t="n"/>
    </row>
    <row r="241" ht="15.75" customHeight="1">
      <c r="A241" s="146" t="n">
        <v>5</v>
      </c>
      <c r="B241" s="238" t="n">
        <v>1</v>
      </c>
      <c r="C241" s="164" t="n">
        <v>46052</v>
      </c>
      <c r="D241" s="166" t="inlineStr">
        <is>
          <t>202 G. HUERTAS</t>
        </is>
      </c>
      <c r="E241" s="166" t="n">
        <v>45907</v>
      </c>
      <c r="F241" s="166" t="inlineStr">
        <is>
          <t>WILMER PIÑEROS</t>
        </is>
      </c>
      <c r="G241" s="166" t="n">
        <v>2916</v>
      </c>
      <c r="H241" s="166" t="n">
        <v>2890</v>
      </c>
      <c r="I241" s="166" t="n">
        <v>11</v>
      </c>
      <c r="J241" s="166" t="n">
        <v>15</v>
      </c>
      <c r="K241" s="166" t="n">
        <v>0</v>
      </c>
      <c r="L241" s="395" t="n">
        <v>2820</v>
      </c>
      <c r="M241" s="113" t="n"/>
      <c r="N241" s="113" t="n"/>
      <c r="O241" s="113" t="n"/>
      <c r="P241" s="398" t="n"/>
      <c r="Q241" s="398" t="n"/>
      <c r="R241" s="113" t="n"/>
      <c r="S241" s="113" t="n"/>
      <c r="T241" s="113" t="n"/>
      <c r="U241" s="113" t="n"/>
      <c r="V241" s="113" t="n"/>
    </row>
    <row r="242" ht="15.75" customHeight="1">
      <c r="A242" s="146" t="n">
        <v>5</v>
      </c>
      <c r="B242" s="238" t="n">
        <v>1</v>
      </c>
      <c r="C242" s="164" t="n">
        <v>46052</v>
      </c>
      <c r="D242" s="166" t="inlineStr">
        <is>
          <t>202 G. HUERTAS</t>
        </is>
      </c>
      <c r="E242" s="166" t="n">
        <v>45908</v>
      </c>
      <c r="F242" s="166" t="inlineStr">
        <is>
          <t>FERNANDO OYUELA</t>
        </is>
      </c>
      <c r="G242" s="166" t="n">
        <v>2916</v>
      </c>
      <c r="H242" s="166" t="n">
        <v>2894</v>
      </c>
      <c r="I242" s="166" t="n">
        <v>9</v>
      </c>
      <c r="J242" s="166" t="n">
        <v>13</v>
      </c>
      <c r="K242" s="166" t="n">
        <v>0</v>
      </c>
      <c r="L242" s="395" t="n">
        <v>3100</v>
      </c>
      <c r="M242" s="113" t="n"/>
      <c r="N242" s="113" t="n"/>
      <c r="O242" s="113" t="n"/>
      <c r="P242" s="398" t="n"/>
      <c r="Q242" s="398" t="n"/>
      <c r="R242" s="113" t="n"/>
      <c r="S242" s="113" t="n"/>
      <c r="T242" s="113" t="n"/>
      <c r="U242" s="113" t="n"/>
      <c r="V242" s="113" t="n"/>
    </row>
    <row r="243" ht="15.75" customHeight="1">
      <c r="A243" s="146" t="n">
        <v>5</v>
      </c>
      <c r="B243" s="238" t="n">
        <v>1</v>
      </c>
      <c r="C243" s="164" t="n">
        <v>46052</v>
      </c>
      <c r="D243" s="166" t="inlineStr">
        <is>
          <t>202 G. HUERTAS</t>
        </is>
      </c>
      <c r="E243" s="166" t="n">
        <v>45909</v>
      </c>
      <c r="F243" s="166" t="inlineStr">
        <is>
          <t>DUMAR ANGARITA</t>
        </is>
      </c>
      <c r="G243" s="166" t="n">
        <v>2916</v>
      </c>
      <c r="H243" s="166" t="n">
        <v>2887</v>
      </c>
      <c r="I243" s="166" t="n">
        <v>12</v>
      </c>
      <c r="J243" s="166" t="n">
        <v>15</v>
      </c>
      <c r="K243" s="166" t="n">
        <v>-2</v>
      </c>
      <c r="L243" s="395" t="n">
        <v>2820</v>
      </c>
      <c r="M243" s="113" t="n"/>
      <c r="N243" s="113" t="n"/>
      <c r="O243" s="113" t="n"/>
      <c r="P243" s="398" t="n"/>
      <c r="Q243" s="398" t="n"/>
      <c r="R243" s="113" t="n"/>
      <c r="S243" s="113" t="n"/>
      <c r="T243" s="113" t="n"/>
      <c r="U243" s="113" t="n"/>
      <c r="V243" s="113" t="n"/>
    </row>
    <row r="244" ht="15.75" customHeight="1">
      <c r="A244" s="146" t="n">
        <v>5</v>
      </c>
      <c r="B244" s="238" t="n">
        <v>1</v>
      </c>
      <c r="C244" s="164" t="n">
        <v>46052</v>
      </c>
      <c r="D244" s="166" t="inlineStr">
        <is>
          <t>202 G. HUERTAS</t>
        </is>
      </c>
      <c r="E244" s="166" t="n">
        <v>45910</v>
      </c>
      <c r="F244" s="166" t="inlineStr">
        <is>
          <t>DIEGO NIÑO</t>
        </is>
      </c>
      <c r="G244" s="166" t="n">
        <v>2880</v>
      </c>
      <c r="H244" s="166" t="n">
        <v>2858</v>
      </c>
      <c r="I244" s="166" t="n">
        <v>7</v>
      </c>
      <c r="J244" s="166" t="n">
        <v>15</v>
      </c>
      <c r="K244" s="166" t="n">
        <v>0</v>
      </c>
      <c r="L244" s="395" t="n">
        <v>2040</v>
      </c>
      <c r="M244" s="113" t="n"/>
      <c r="N244" s="113" t="n"/>
      <c r="O244" s="113" t="n"/>
      <c r="P244" s="398" t="n"/>
      <c r="Q244" s="398" t="n"/>
      <c r="R244" s="113" t="n"/>
      <c r="S244" s="113" t="n"/>
      <c r="T244" s="113" t="n"/>
      <c r="U244" s="113" t="n"/>
      <c r="V244" s="113" t="n"/>
    </row>
    <row r="245" ht="15.75" customHeight="1">
      <c r="A245" s="146" t="n">
        <v>5</v>
      </c>
      <c r="B245" s="238" t="n">
        <v>1</v>
      </c>
      <c r="C245" s="164" t="n">
        <v>46052</v>
      </c>
      <c r="D245" s="166" t="inlineStr">
        <is>
          <t>202 G. HUERTAS</t>
        </is>
      </c>
      <c r="E245" s="166" t="n">
        <v>205837</v>
      </c>
      <c r="F245" s="146" t="inlineStr">
        <is>
          <t>ROBERTO MONROY</t>
        </is>
      </c>
      <c r="G245" s="146" t="n">
        <v>2500</v>
      </c>
      <c r="H245" s="146" t="n">
        <v>2476</v>
      </c>
      <c r="I245" s="146" t="n">
        <v>17</v>
      </c>
      <c r="J245" s="146" t="n">
        <v>10</v>
      </c>
      <c r="K245" s="166" t="n">
        <v>3</v>
      </c>
      <c r="L245" s="395" t="n">
        <v>2500</v>
      </c>
      <c r="M245" s="113" t="n"/>
      <c r="N245" s="113" t="n"/>
      <c r="O245" s="113" t="n"/>
      <c r="P245" s="398" t="n"/>
      <c r="Q245" s="398" t="n"/>
      <c r="R245" s="113" t="n"/>
      <c r="S245" s="113" t="n"/>
      <c r="T245" s="113" t="n"/>
      <c r="U245" s="113" t="n"/>
      <c r="V245" s="113" t="n"/>
    </row>
    <row r="246" ht="15.75" customHeight="1">
      <c r="A246" s="146" t="n">
        <v>5</v>
      </c>
      <c r="B246" s="238" t="n">
        <v>1</v>
      </c>
      <c r="C246" s="164" t="n">
        <v>46053</v>
      </c>
      <c r="D246" s="166" t="inlineStr">
        <is>
          <t>202 G. HUERTAS</t>
        </is>
      </c>
      <c r="E246" s="166" t="n">
        <v>205841</v>
      </c>
      <c r="F246" s="166" t="inlineStr">
        <is>
          <t>JONATHAN DAVID GOMEZ</t>
        </is>
      </c>
      <c r="G246" s="166" t="n">
        <v>2500</v>
      </c>
      <c r="H246" s="166" t="n">
        <v>2451</v>
      </c>
      <c r="I246" s="166" t="n">
        <v>31</v>
      </c>
      <c r="J246" s="166" t="n">
        <v>18</v>
      </c>
      <c r="K246" s="166" t="n">
        <v>0</v>
      </c>
      <c r="L246" s="395" t="n">
        <v>2500</v>
      </c>
      <c r="M246" s="113" t="n"/>
      <c r="N246" s="113" t="n"/>
      <c r="O246" s="113" t="n"/>
      <c r="P246" s="398" t="n"/>
      <c r="Q246" s="398" t="n"/>
      <c r="R246" s="113" t="n"/>
      <c r="S246" s="113" t="n"/>
      <c r="T246" s="113" t="n"/>
      <c r="U246" s="113" t="n"/>
      <c r="V246" s="113" t="n"/>
    </row>
    <row r="247" ht="15.75" customHeight="1">
      <c r="A247" s="146" t="n">
        <v>5</v>
      </c>
      <c r="B247" s="238" t="n">
        <v>1</v>
      </c>
      <c r="C247" s="164" t="n">
        <v>46053</v>
      </c>
      <c r="D247" s="166" t="inlineStr">
        <is>
          <t>202 G. HUERTAS</t>
        </is>
      </c>
      <c r="E247" s="166" t="n">
        <v>205842</v>
      </c>
      <c r="F247" s="166" t="inlineStr">
        <is>
          <t>MARCO OSPINA</t>
        </is>
      </c>
      <c r="G247" s="166" t="n">
        <v>2500</v>
      </c>
      <c r="H247" s="166" t="n">
        <v>2439</v>
      </c>
      <c r="I247" s="166" t="n">
        <v>28</v>
      </c>
      <c r="J247" s="166" t="n">
        <v>32</v>
      </c>
      <c r="K247" s="166" t="n">
        <v>-1</v>
      </c>
      <c r="L247" s="395" t="n">
        <v>2500</v>
      </c>
      <c r="M247" s="113" t="n"/>
      <c r="N247" s="113" t="n"/>
      <c r="O247" s="113" t="n"/>
      <c r="P247" s="398" t="n"/>
      <c r="Q247" s="398" t="n"/>
      <c r="R247" s="113" t="n"/>
      <c r="S247" s="113" t="n"/>
      <c r="T247" s="113" t="n"/>
      <c r="U247" s="113" t="n"/>
      <c r="V247" s="113" t="n"/>
    </row>
    <row r="248" ht="15.75" customHeight="1">
      <c r="A248" s="146" t="n">
        <v>5</v>
      </c>
      <c r="B248" s="238" t="n">
        <v>1</v>
      </c>
      <c r="C248" s="164" t="n">
        <v>46053</v>
      </c>
      <c r="D248" s="166" t="inlineStr">
        <is>
          <t>202 G. HUERTAS</t>
        </is>
      </c>
      <c r="E248" s="166" t="n">
        <v>205844</v>
      </c>
      <c r="F248" s="166" t="inlineStr">
        <is>
          <t>CUCAITA EDWIN ALEJANDRO</t>
        </is>
      </c>
      <c r="G248" s="166" t="n">
        <v>2500</v>
      </c>
      <c r="H248" s="166" t="n">
        <v>2431</v>
      </c>
      <c r="I248" s="166" t="n">
        <v>18</v>
      </c>
      <c r="J248" s="166" t="n">
        <v>44</v>
      </c>
      <c r="K248" s="166" t="n">
        <v>-7</v>
      </c>
      <c r="L248" s="395" t="n">
        <v>2500</v>
      </c>
      <c r="M248" s="113" t="n"/>
      <c r="N248" s="113" t="n"/>
      <c r="O248" s="113" t="n"/>
      <c r="P248" s="398" t="n"/>
      <c r="Q248" s="398" t="n"/>
      <c r="R248" s="113" t="n"/>
      <c r="S248" s="113" t="n"/>
      <c r="T248" s="113" t="n"/>
      <c r="U248" s="113" t="n"/>
      <c r="V248" s="113" t="n"/>
    </row>
    <row r="249" ht="15.75" customHeight="1">
      <c r="A249" s="146" t="n">
        <v>5</v>
      </c>
      <c r="B249" s="238" t="n">
        <v>1</v>
      </c>
      <c r="C249" s="164" t="n">
        <v>46053</v>
      </c>
      <c r="D249" s="166" t="inlineStr">
        <is>
          <t>202 G. HUERTAS</t>
        </is>
      </c>
      <c r="E249" s="166" t="n">
        <v>45933</v>
      </c>
      <c r="F249" s="166" t="inlineStr">
        <is>
          <t xml:space="preserve">ALBERTO HERRERA </t>
        </is>
      </c>
      <c r="G249" s="166" t="n">
        <v>2592</v>
      </c>
      <c r="H249" s="166" t="n">
        <v>2589</v>
      </c>
      <c r="I249" s="166" t="n">
        <v>2</v>
      </c>
      <c r="J249" s="166" t="n">
        <v>10</v>
      </c>
      <c r="K249" s="166" t="n">
        <v>9</v>
      </c>
      <c r="L249" s="395" t="n">
        <v>2592</v>
      </c>
      <c r="M249" s="113" t="n"/>
      <c r="N249" s="113" t="n"/>
      <c r="O249" s="113" t="n"/>
      <c r="P249" s="398" t="n"/>
      <c r="Q249" s="398" t="n"/>
      <c r="R249" s="113" t="n"/>
      <c r="S249" s="113" t="n"/>
      <c r="T249" s="113" t="n"/>
      <c r="U249" s="113" t="n"/>
      <c r="V249" s="113" t="n"/>
    </row>
    <row r="250" ht="15.75" customHeight="1">
      <c r="A250" s="146" t="n">
        <v>5</v>
      </c>
      <c r="B250" s="238" t="n">
        <v>1</v>
      </c>
      <c r="C250" s="164" t="n">
        <v>46053</v>
      </c>
      <c r="D250" s="166" t="inlineStr">
        <is>
          <t>202 G. HUERTAS</t>
        </is>
      </c>
      <c r="E250" s="166" t="n">
        <v>45934</v>
      </c>
      <c r="F250" s="166" t="inlineStr">
        <is>
          <t>ROBINSON PULIDO</t>
        </is>
      </c>
      <c r="G250" s="166" t="n">
        <v>2880</v>
      </c>
      <c r="H250" s="166" t="n">
        <v>2880</v>
      </c>
      <c r="I250" s="166" t="n">
        <v>2</v>
      </c>
      <c r="J250" s="166" t="n">
        <v>10</v>
      </c>
      <c r="K250" s="166" t="n">
        <v>12</v>
      </c>
      <c r="L250" s="395" t="n">
        <v>2888</v>
      </c>
      <c r="M250" s="113" t="n"/>
      <c r="N250" s="113" t="n"/>
      <c r="O250" s="113" t="n"/>
      <c r="P250" s="398" t="n"/>
      <c r="Q250" s="398" t="n"/>
      <c r="R250" s="113" t="n"/>
      <c r="S250" s="113" t="n"/>
      <c r="T250" s="113" t="n"/>
      <c r="U250" s="113" t="n"/>
      <c r="V250" s="113" t="n"/>
    </row>
    <row r="251" ht="15.75" customHeight="1">
      <c r="A251" s="146" t="n">
        <v>5</v>
      </c>
      <c r="B251" s="238" t="n"/>
      <c r="C251" s="399" t="n"/>
      <c r="D251" s="113" t="n"/>
      <c r="E251" s="113" t="n"/>
      <c r="F251" s="113" t="n"/>
      <c r="G251" s="477">
        <f>SUBTOTAL(9,G188:G250)</f>
        <v/>
      </c>
      <c r="H251" s="477">
        <f>SUBTOTAL(9,H188:H250)</f>
        <v/>
      </c>
      <c r="I251" s="477">
        <f>SUBTOTAL(9,I188:I250)</f>
        <v/>
      </c>
      <c r="J251" s="477">
        <f>SUBTOTAL(9,J188:J250)</f>
        <v/>
      </c>
      <c r="K251" s="477">
        <f>SUBTOTAL(9,K188:K250)</f>
        <v/>
      </c>
      <c r="L251" s="477">
        <f>SUBTOTAL(9,L188:L250)</f>
        <v/>
      </c>
      <c r="M251" s="113" t="n"/>
      <c r="N251" s="395">
        <f>+H251-L251</f>
        <v/>
      </c>
      <c r="O251" s="113" t="n"/>
      <c r="P251" s="398" t="n"/>
      <c r="Q251" s="398" t="n"/>
      <c r="R251" s="113" t="n"/>
      <c r="S251" s="113" t="n"/>
      <c r="T251" s="113" t="n"/>
      <c r="U251" s="113" t="n"/>
      <c r="V251" s="113" t="n"/>
    </row>
    <row r="252" ht="15.75" customHeight="1">
      <c r="A252" s="146" t="n">
        <v>6</v>
      </c>
      <c r="B252" s="238" t="n"/>
      <c r="C252" s="164" t="n">
        <v>46055</v>
      </c>
      <c r="D252" s="165" t="inlineStr">
        <is>
          <t>202 G. HUERTAS</t>
        </is>
      </c>
      <c r="E252" s="165" t="n">
        <v>45953</v>
      </c>
      <c r="F252" s="165" t="inlineStr">
        <is>
          <t>ALEX GOMEZ</t>
        </is>
      </c>
      <c r="G252" s="165" t="n">
        <v>2520</v>
      </c>
      <c r="H252" s="165" t="n">
        <v>2508</v>
      </c>
      <c r="I252" s="165" t="n">
        <v>2</v>
      </c>
      <c r="J252" s="165" t="n">
        <v>7</v>
      </c>
      <c r="K252" s="165" t="n">
        <v>-3</v>
      </c>
      <c r="L252" s="395" t="n">
        <v>2520</v>
      </c>
      <c r="M252" s="113" t="n"/>
      <c r="N252" s="395" t="n"/>
      <c r="O252" s="113" t="n"/>
      <c r="P252" s="398" t="n"/>
      <c r="Q252" s="398" t="n"/>
      <c r="R252" s="113" t="n"/>
      <c r="S252" s="113" t="n"/>
      <c r="T252" s="113" t="n"/>
      <c r="U252" s="113" t="n"/>
      <c r="V252" s="113" t="n"/>
    </row>
    <row r="253" ht="15.75" customHeight="1">
      <c r="A253" s="146" t="n">
        <v>6</v>
      </c>
      <c r="B253" s="238" t="n"/>
      <c r="C253" s="164" t="n">
        <v>46055</v>
      </c>
      <c r="D253" s="165" t="inlineStr">
        <is>
          <t>202 G. HUERTAS</t>
        </is>
      </c>
      <c r="E253" s="165" t="n">
        <v>45954</v>
      </c>
      <c r="F253" s="165" t="inlineStr">
        <is>
          <t>ALBERTO HERRERA</t>
        </is>
      </c>
      <c r="G253" s="165" t="n">
        <v>2592</v>
      </c>
      <c r="H253" s="165" t="n">
        <v>2582</v>
      </c>
      <c r="I253" s="165" t="n">
        <v>2</v>
      </c>
      <c r="J253" s="165" t="n">
        <v>7</v>
      </c>
      <c r="K253" s="165" t="n">
        <v>-1</v>
      </c>
      <c r="L253" s="395" t="n">
        <v>2592</v>
      </c>
      <c r="M253" s="113" t="n"/>
      <c r="N253" s="395" t="n"/>
      <c r="O253" s="113" t="n"/>
      <c r="P253" s="398" t="n"/>
      <c r="Q253" s="398" t="n"/>
      <c r="R253" s="113" t="n"/>
      <c r="S253" s="113" t="n"/>
      <c r="T253" s="113" t="n"/>
      <c r="U253" s="113" t="n"/>
      <c r="V253" s="113" t="n"/>
    </row>
    <row r="254" ht="15.75" customHeight="1">
      <c r="A254" s="146" t="n">
        <v>6</v>
      </c>
      <c r="B254" s="238" t="n"/>
      <c r="C254" s="164" t="n">
        <v>46055</v>
      </c>
      <c r="D254" s="165" t="inlineStr">
        <is>
          <t>202 G. HUERTAS</t>
        </is>
      </c>
      <c r="E254" s="165" t="n">
        <v>45955</v>
      </c>
      <c r="F254" s="165" t="inlineStr">
        <is>
          <t>ALBERTO LOPEZ</t>
        </is>
      </c>
      <c r="G254" s="165" t="n">
        <v>2088</v>
      </c>
      <c r="H254" s="165" t="n">
        <v>2080</v>
      </c>
      <c r="I254" s="165" t="n">
        <v>2</v>
      </c>
      <c r="J254" s="165" t="n">
        <v>5</v>
      </c>
      <c r="K254" s="165" t="n">
        <v>-1</v>
      </c>
      <c r="L254" s="395" t="n">
        <v>2088</v>
      </c>
      <c r="M254" s="113" t="n"/>
      <c r="N254" s="395" t="n"/>
      <c r="O254" s="113" t="n"/>
      <c r="P254" s="398" t="n"/>
      <c r="Q254" s="398" t="n"/>
      <c r="R254" s="113" t="n"/>
      <c r="S254" s="113" t="n"/>
      <c r="T254" s="113" t="n"/>
      <c r="U254" s="113" t="n"/>
      <c r="V254" s="113" t="n"/>
    </row>
    <row r="255" ht="15.75" customHeight="1">
      <c r="A255" s="146" t="n">
        <v>6</v>
      </c>
      <c r="B255" s="238" t="n"/>
      <c r="C255" s="164" t="n">
        <v>46055</v>
      </c>
      <c r="D255" s="165" t="inlineStr">
        <is>
          <t>202 G. HUERTAS</t>
        </is>
      </c>
      <c r="E255" s="165" t="n">
        <v>45956</v>
      </c>
      <c r="F255" s="165" t="inlineStr">
        <is>
          <t>DIEGO NIÑO</t>
        </is>
      </c>
      <c r="G255" s="165" t="n">
        <v>2880</v>
      </c>
      <c r="H255" s="165" t="n">
        <v>2871</v>
      </c>
      <c r="I255" s="165" t="n">
        <v>2</v>
      </c>
      <c r="J255" s="165" t="n">
        <v>5</v>
      </c>
      <c r="K255" s="165" t="n">
        <v>-2</v>
      </c>
      <c r="L255" s="395" t="n">
        <v>2880</v>
      </c>
      <c r="M255" s="113" t="n"/>
      <c r="N255" s="395" t="n"/>
      <c r="O255" s="113" t="n"/>
      <c r="P255" s="398" t="n"/>
      <c r="Q255" s="398" t="n"/>
      <c r="R255" s="113" t="n"/>
      <c r="S255" s="113" t="n"/>
      <c r="T255" s="113" t="n"/>
      <c r="U255" s="113" t="n"/>
      <c r="V255" s="113" t="n"/>
    </row>
    <row r="256" ht="15.75" customHeight="1">
      <c r="A256" s="146" t="n">
        <v>6</v>
      </c>
      <c r="B256" s="238" t="n"/>
      <c r="C256" s="164" t="n">
        <v>46055</v>
      </c>
      <c r="D256" s="165" t="inlineStr">
        <is>
          <t>202 G. HUERTAS</t>
        </is>
      </c>
      <c r="E256" s="165" t="n">
        <v>45957</v>
      </c>
      <c r="F256" s="165" t="inlineStr">
        <is>
          <t>HENRY ROMERO</t>
        </is>
      </c>
      <c r="G256" s="165" t="n">
        <v>2916</v>
      </c>
      <c r="H256" s="165" t="n">
        <v>2903</v>
      </c>
      <c r="I256" s="165" t="n">
        <v>2</v>
      </c>
      <c r="J256" s="165" t="n">
        <v>9</v>
      </c>
      <c r="K256" s="165" t="n">
        <v>-2</v>
      </c>
      <c r="L256" s="395" t="n">
        <v>2916</v>
      </c>
      <c r="M256" s="113" t="n"/>
      <c r="N256" s="395" t="n"/>
      <c r="O256" s="113" t="n"/>
      <c r="P256" s="398" t="n"/>
      <c r="Q256" s="398" t="n"/>
      <c r="R256" s="113" t="n"/>
      <c r="S256" s="113" t="n"/>
      <c r="T256" s="113" t="n"/>
      <c r="U256" s="113" t="n"/>
      <c r="V256" s="113" t="n"/>
    </row>
    <row r="257" ht="15.75" customHeight="1">
      <c r="A257" s="146" t="n">
        <v>6</v>
      </c>
      <c r="B257" s="238" t="n"/>
      <c r="C257" s="399" t="n">
        <v>46055</v>
      </c>
      <c r="D257" s="146" t="inlineStr">
        <is>
          <t>200 G. GARCERAS</t>
        </is>
      </c>
      <c r="E257" s="146" t="n">
        <v>45958</v>
      </c>
      <c r="F257" s="146" t="inlineStr">
        <is>
          <t>EDUAN CAVIEDES</t>
        </is>
      </c>
      <c r="G257" s="395" t="n">
        <v>3090</v>
      </c>
      <c r="H257" s="395" t="n">
        <v>3076</v>
      </c>
      <c r="I257" s="395" t="n">
        <v>4</v>
      </c>
      <c r="J257" s="395" t="n">
        <v>4</v>
      </c>
      <c r="K257" s="395" t="n">
        <v>-6</v>
      </c>
      <c r="L257" s="395" t="n">
        <v>3090</v>
      </c>
      <c r="M257" s="113" t="n"/>
      <c r="N257" s="113" t="n"/>
      <c r="O257" s="113" t="n"/>
      <c r="P257" s="398" t="n"/>
      <c r="Q257" s="398" t="n"/>
      <c r="R257" s="113" t="n"/>
      <c r="S257" s="113" t="n"/>
      <c r="T257" s="113" t="n"/>
      <c r="U257" s="113" t="n"/>
      <c r="V257" s="113" t="n"/>
    </row>
    <row r="258" ht="15.75" customHeight="1">
      <c r="A258" s="146" t="n">
        <v>6</v>
      </c>
      <c r="B258" s="238" t="n"/>
      <c r="C258" s="399" t="n">
        <v>46055</v>
      </c>
      <c r="D258" s="146" t="inlineStr">
        <is>
          <t>200 G. GARCERAS</t>
        </is>
      </c>
      <c r="E258" s="146" t="n">
        <v>45959</v>
      </c>
      <c r="F258" s="146" t="inlineStr">
        <is>
          <t>FERNANDO OYUELA</t>
        </is>
      </c>
      <c r="G258" s="395" t="n">
        <v>3090</v>
      </c>
      <c r="H258" s="395" t="n">
        <v>3075</v>
      </c>
      <c r="I258" s="395" t="n">
        <v>4</v>
      </c>
      <c r="J258" s="395" t="n">
        <v>4</v>
      </c>
      <c r="K258" s="395" t="n">
        <v>-7</v>
      </c>
      <c r="L258" s="395" t="n">
        <v>3090</v>
      </c>
      <c r="M258" s="113" t="n"/>
      <c r="N258" s="113" t="n"/>
      <c r="O258" s="113" t="n"/>
      <c r="P258" s="398" t="n"/>
      <c r="Q258" s="398" t="n"/>
      <c r="R258" s="113" t="n"/>
      <c r="S258" s="113" t="n"/>
      <c r="T258" s="113" t="n"/>
      <c r="U258" s="113" t="n"/>
      <c r="V258" s="113" t="n"/>
    </row>
    <row r="259" ht="15.75" customHeight="1">
      <c r="A259" s="146" t="n">
        <v>6</v>
      </c>
      <c r="B259" s="238" t="n"/>
      <c r="C259" s="399" t="n">
        <v>46055</v>
      </c>
      <c r="D259" s="146" t="inlineStr">
        <is>
          <t>200 G. GARCERAS</t>
        </is>
      </c>
      <c r="E259" s="146" t="n">
        <v>45960</v>
      </c>
      <c r="F259" s="146" t="inlineStr">
        <is>
          <t>EDWIN ROJAS</t>
        </is>
      </c>
      <c r="G259" s="395" t="n">
        <v>3090</v>
      </c>
      <c r="H259" s="395" t="n">
        <v>3070</v>
      </c>
      <c r="I259" s="395" t="n">
        <v>6</v>
      </c>
      <c r="J259" s="395" t="n">
        <v>6</v>
      </c>
      <c r="K259" s="395" t="n">
        <v>-8</v>
      </c>
      <c r="L259" s="395" t="n">
        <v>3090</v>
      </c>
      <c r="M259" s="113" t="n"/>
      <c r="N259" s="113" t="n"/>
      <c r="O259" s="113" t="n"/>
      <c r="P259" s="398" t="n"/>
      <c r="Q259" s="398" t="n"/>
      <c r="R259" s="113" t="n"/>
      <c r="S259" s="113" t="n"/>
      <c r="T259" s="113" t="n"/>
      <c r="U259" s="113" t="n"/>
      <c r="V259" s="113" t="n"/>
    </row>
    <row r="260" ht="15.75" customHeight="1">
      <c r="A260" s="146" t="n">
        <v>6</v>
      </c>
      <c r="B260" s="238" t="n"/>
      <c r="C260" s="399" t="n">
        <v>46055</v>
      </c>
      <c r="D260" s="146" t="inlineStr">
        <is>
          <t>200 G. GARCERAS</t>
        </is>
      </c>
      <c r="E260" s="146" t="n">
        <v>45969</v>
      </c>
      <c r="F260" s="146" t="inlineStr">
        <is>
          <t>ROBINSON PULIDO</t>
        </is>
      </c>
      <c r="G260" s="395" t="n">
        <v>3090</v>
      </c>
      <c r="H260" s="395" t="n">
        <v>3075</v>
      </c>
      <c r="I260" s="395" t="n">
        <v>10</v>
      </c>
      <c r="J260" s="395" t="n">
        <v>3</v>
      </c>
      <c r="K260" s="395" t="n">
        <v>-2</v>
      </c>
      <c r="L260" s="395" t="n">
        <v>3090</v>
      </c>
      <c r="M260" s="113" t="n"/>
      <c r="N260" s="113" t="n"/>
      <c r="O260" s="113" t="n"/>
      <c r="P260" s="398" t="n"/>
      <c r="Q260" s="398" t="n"/>
      <c r="R260" s="113" t="n"/>
      <c r="S260" s="113" t="n"/>
      <c r="T260" s="113" t="n"/>
      <c r="U260" s="113" t="n"/>
      <c r="V260" s="113" t="n"/>
    </row>
    <row r="261" ht="15.75" customHeight="1">
      <c r="A261" s="146" t="n">
        <v>6</v>
      </c>
      <c r="B261" s="238" t="n"/>
      <c r="C261" s="399" t="n">
        <v>46055</v>
      </c>
      <c r="D261" s="146" t="inlineStr">
        <is>
          <t>200 G. GARCERAS</t>
        </is>
      </c>
      <c r="E261" s="146" t="n">
        <v>45970</v>
      </c>
      <c r="F261" s="146" t="inlineStr">
        <is>
          <t>ALEX GOMEZ</t>
        </is>
      </c>
      <c r="G261" s="395" t="n">
        <v>3090</v>
      </c>
      <c r="H261" s="395" t="n">
        <v>3074</v>
      </c>
      <c r="I261" s="395" t="n">
        <v>11</v>
      </c>
      <c r="J261" s="395" t="n">
        <v>4</v>
      </c>
      <c r="K261" s="395" t="n">
        <v>-1</v>
      </c>
      <c r="L261" s="395" t="n">
        <v>3090</v>
      </c>
      <c r="M261" s="113" t="n"/>
      <c r="N261" s="113" t="n"/>
      <c r="O261" s="113" t="n"/>
      <c r="P261" s="398" t="n"/>
      <c r="Q261" s="398" t="n"/>
      <c r="R261" s="113" t="n"/>
      <c r="S261" s="113" t="n"/>
      <c r="T261" s="113" t="n"/>
      <c r="U261" s="113" t="n"/>
      <c r="V261" s="113" t="n"/>
    </row>
    <row r="262" ht="15.75" customHeight="1">
      <c r="A262" s="146" t="n">
        <v>6</v>
      </c>
      <c r="B262" s="238" t="n"/>
      <c r="C262" s="399" t="n">
        <v>46055</v>
      </c>
      <c r="D262" s="146" t="inlineStr">
        <is>
          <t>200 G. GARCERAS</t>
        </is>
      </c>
      <c r="E262" s="146" t="n">
        <v>45971</v>
      </c>
      <c r="F262" s="146" t="inlineStr">
        <is>
          <t>ALBERTO LOPEZ</t>
        </is>
      </c>
      <c r="G262" s="395" t="n">
        <v>3170</v>
      </c>
      <c r="H262" s="395" t="n">
        <v>3154</v>
      </c>
      <c r="I262" s="395" t="n">
        <v>10</v>
      </c>
      <c r="J262" s="395" t="n">
        <v>1</v>
      </c>
      <c r="K262" s="395" t="n">
        <v>-5</v>
      </c>
      <c r="L262" s="395" t="n">
        <v>3170</v>
      </c>
      <c r="M262" s="113" t="n"/>
      <c r="N262" s="113" t="n"/>
      <c r="O262" s="113" t="n"/>
      <c r="P262" s="398" t="n"/>
      <c r="Q262" s="398" t="n"/>
      <c r="R262" s="113" t="n"/>
      <c r="S262" s="113" t="n"/>
      <c r="T262" s="113" t="n"/>
      <c r="U262" s="113" t="n"/>
      <c r="V262" s="113" t="n"/>
    </row>
    <row r="263" ht="15.75" customHeight="1">
      <c r="A263" s="146" t="n">
        <v>6</v>
      </c>
      <c r="B263" s="238" t="n"/>
      <c r="C263" s="399" t="n">
        <v>46055</v>
      </c>
      <c r="D263" s="146" t="inlineStr">
        <is>
          <t>200 G. GARCERAS</t>
        </is>
      </c>
      <c r="E263" s="146" t="n">
        <v>45972</v>
      </c>
      <c r="F263" s="146" t="inlineStr">
        <is>
          <t>HENRY ROMERO</t>
        </is>
      </c>
      <c r="G263" s="395" t="n">
        <v>3170</v>
      </c>
      <c r="H263" s="395" t="n">
        <v>3155</v>
      </c>
      <c r="I263" s="395" t="n">
        <v>10</v>
      </c>
      <c r="J263" s="395" t="n">
        <v>2</v>
      </c>
      <c r="K263" s="395" t="n">
        <v>-3</v>
      </c>
      <c r="L263" s="395" t="n">
        <v>3170</v>
      </c>
      <c r="M263" s="113" t="n"/>
      <c r="N263" s="113" t="n"/>
      <c r="O263" s="113" t="n"/>
      <c r="P263" s="398" t="n"/>
      <c r="Q263" s="398" t="n"/>
      <c r="R263" s="113" t="n"/>
      <c r="S263" s="113" t="n"/>
      <c r="T263" s="113" t="n"/>
      <c r="U263" s="113" t="n"/>
      <c r="V263" s="113" t="n"/>
    </row>
    <row r="264" ht="15.75" customHeight="1">
      <c r="A264" s="146" t="n">
        <v>6</v>
      </c>
      <c r="B264" s="238" t="n"/>
      <c r="C264" s="399" t="n">
        <v>46055</v>
      </c>
      <c r="D264" s="146" t="inlineStr">
        <is>
          <t>200 G. GARCERAS</t>
        </is>
      </c>
      <c r="E264" s="146" t="n">
        <v>45973</v>
      </c>
      <c r="F264" s="146" t="inlineStr">
        <is>
          <t>EDUAN CAVIEDES</t>
        </is>
      </c>
      <c r="G264" s="395" t="n">
        <v>3170</v>
      </c>
      <c r="H264" s="395" t="n">
        <v>3163</v>
      </c>
      <c r="I264" s="395" t="n">
        <v>5</v>
      </c>
      <c r="J264" s="395" t="n">
        <v>2</v>
      </c>
      <c r="K264" s="395" t="n">
        <v>0</v>
      </c>
      <c r="L264" s="395" t="n">
        <v>3170</v>
      </c>
      <c r="M264" s="113" t="n"/>
      <c r="N264" s="113" t="n"/>
      <c r="O264" s="113" t="n"/>
      <c r="P264" s="398" t="n"/>
      <c r="Q264" s="398" t="n"/>
      <c r="R264" s="113" t="n"/>
      <c r="S264" s="113" t="n"/>
      <c r="T264" s="113" t="n"/>
      <c r="U264" s="113" t="n"/>
      <c r="V264" s="113" t="n"/>
    </row>
    <row r="265" ht="15.75" customHeight="1">
      <c r="A265" s="146" t="n">
        <v>6</v>
      </c>
      <c r="B265" s="238" t="n"/>
      <c r="C265" s="399" t="n">
        <v>46055</v>
      </c>
      <c r="D265" s="146" t="inlineStr">
        <is>
          <t>200 G. GARCERAS</t>
        </is>
      </c>
      <c r="E265" s="146" t="n">
        <v>45974</v>
      </c>
      <c r="F265" s="146" t="inlineStr">
        <is>
          <t>JHON ARIAS</t>
        </is>
      </c>
      <c r="G265" s="395" t="n">
        <v>3170</v>
      </c>
      <c r="H265" s="395" t="n">
        <v>3164</v>
      </c>
      <c r="I265" s="395" t="n">
        <v>4</v>
      </c>
      <c r="J265" s="395" t="n">
        <v>2</v>
      </c>
      <c r="K265" s="395" t="n">
        <v>0</v>
      </c>
      <c r="L265" s="395" t="n">
        <v>3170</v>
      </c>
      <c r="M265" s="113" t="n"/>
      <c r="N265" s="113" t="n"/>
      <c r="O265" s="113" t="n"/>
      <c r="P265" s="398" t="n"/>
      <c r="Q265" s="398" t="n"/>
      <c r="R265" s="113" t="n"/>
      <c r="S265" s="113" t="n"/>
      <c r="T265" s="113" t="n"/>
      <c r="U265" s="113" t="n"/>
      <c r="V265" s="113" t="n"/>
    </row>
    <row r="266" ht="15.75" customHeight="1">
      <c r="A266" s="146" t="n">
        <v>6</v>
      </c>
      <c r="B266" s="238" t="n"/>
      <c r="C266" s="399" t="n">
        <v>46055</v>
      </c>
      <c r="D266" s="146" t="inlineStr">
        <is>
          <t>200 G. GARCERAS</t>
        </is>
      </c>
      <c r="E266" s="146" t="n">
        <v>45975</v>
      </c>
      <c r="F266" s="146" t="inlineStr">
        <is>
          <t>JOSE SOLER</t>
        </is>
      </c>
      <c r="G266" s="395" t="n">
        <v>3060</v>
      </c>
      <c r="H266" s="395" t="n">
        <v>3055</v>
      </c>
      <c r="I266" s="395" t="n">
        <v>4</v>
      </c>
      <c r="J266" s="395" t="n">
        <v>1</v>
      </c>
      <c r="K266" s="395" t="n">
        <v>0</v>
      </c>
      <c r="L266" s="395" t="n">
        <v>3060</v>
      </c>
      <c r="M266" s="113" t="n"/>
      <c r="N266" s="113" t="n"/>
      <c r="O266" s="113" t="n"/>
      <c r="P266" s="398" t="n"/>
      <c r="Q266" s="398" t="n"/>
      <c r="R266" s="113" t="n"/>
      <c r="S266" s="113" t="n"/>
      <c r="T266" s="113" t="n"/>
      <c r="U266" s="113" t="n"/>
      <c r="V266" s="113" t="n"/>
    </row>
    <row r="267" ht="15.75" customHeight="1">
      <c r="A267" s="146" t="n">
        <v>6</v>
      </c>
      <c r="B267" s="238" t="n"/>
      <c r="C267" s="399" t="n">
        <v>46056</v>
      </c>
      <c r="D267" s="146" t="inlineStr">
        <is>
          <t>200 G. GARCERAS</t>
        </is>
      </c>
      <c r="E267" s="146" t="n">
        <v>45984</v>
      </c>
      <c r="F267" s="146" t="inlineStr">
        <is>
          <t>JHON ARIAS</t>
        </is>
      </c>
      <c r="G267" s="395" t="n">
        <v>2950</v>
      </c>
      <c r="H267" s="395" t="n">
        <v>2941</v>
      </c>
      <c r="I267" s="395" t="n">
        <v>4</v>
      </c>
      <c r="J267" s="395" t="n">
        <v>3</v>
      </c>
      <c r="K267" s="395" t="n">
        <v>-2</v>
      </c>
      <c r="L267" s="395" t="n">
        <v>2950</v>
      </c>
      <c r="M267" s="113" t="n"/>
      <c r="N267" s="113" t="n"/>
      <c r="O267" s="113" t="n"/>
      <c r="P267" s="398" t="n"/>
      <c r="Q267" s="398" t="n"/>
      <c r="R267" s="113" t="n"/>
      <c r="S267" s="113" t="n"/>
      <c r="T267" s="113" t="n"/>
      <c r="U267" s="113" t="n"/>
      <c r="V267" s="113" t="n"/>
    </row>
    <row r="268" ht="15.75" customHeight="1">
      <c r="A268" s="146" t="n">
        <v>6</v>
      </c>
      <c r="B268" s="238" t="n"/>
      <c r="C268" s="399" t="n">
        <v>46056</v>
      </c>
      <c r="D268" s="146" t="inlineStr">
        <is>
          <t>200 G. GARCERAS</t>
        </is>
      </c>
      <c r="E268" s="146" t="n">
        <v>45985</v>
      </c>
      <c r="F268" s="146" t="inlineStr">
        <is>
          <t>MANUEL QUITIAN</t>
        </is>
      </c>
      <c r="G268" s="395" t="n">
        <v>2950</v>
      </c>
      <c r="H268" s="395" t="n">
        <v>2937</v>
      </c>
      <c r="I268" s="395" t="n">
        <v>3</v>
      </c>
      <c r="J268" s="395" t="n">
        <v>3</v>
      </c>
      <c r="K268" s="395" t="n">
        <v>-7</v>
      </c>
      <c r="L268" s="395" t="n">
        <v>2950</v>
      </c>
      <c r="M268" s="113" t="n"/>
      <c r="N268" s="113" t="n"/>
      <c r="O268" s="113" t="n"/>
      <c r="P268" s="398" t="n"/>
      <c r="Q268" s="398" t="n"/>
      <c r="R268" s="113" t="n"/>
      <c r="S268" s="113" t="n"/>
      <c r="T268" s="113" t="n"/>
      <c r="U268" s="113" t="n"/>
      <c r="V268" s="113" t="n"/>
    </row>
    <row r="269" ht="15.75" customHeight="1">
      <c r="A269" s="146" t="n">
        <v>6</v>
      </c>
      <c r="B269" s="238" t="n"/>
      <c r="C269" s="399" t="n">
        <v>46056</v>
      </c>
      <c r="D269" s="146" t="inlineStr">
        <is>
          <t>200 G. GARCERAS</t>
        </is>
      </c>
      <c r="E269" s="146" t="n">
        <v>45986</v>
      </c>
      <c r="F269" s="146" t="inlineStr">
        <is>
          <t>JOSE SOLER</t>
        </is>
      </c>
      <c r="G269" s="395" t="n">
        <v>2950</v>
      </c>
      <c r="H269" s="395" t="n">
        <v>2939</v>
      </c>
      <c r="I269" s="395" t="n">
        <v>4</v>
      </c>
      <c r="J269" s="395" t="n">
        <v>3</v>
      </c>
      <c r="K269" s="395" t="n">
        <v>-4</v>
      </c>
      <c r="L269" s="395" t="n">
        <v>2950</v>
      </c>
      <c r="M269" s="113" t="n"/>
      <c r="N269" s="113" t="n"/>
      <c r="O269" s="113" t="n"/>
      <c r="P269" s="398" t="n"/>
      <c r="Q269" s="398" t="n"/>
      <c r="R269" s="113" t="n"/>
      <c r="S269" s="113" t="n"/>
      <c r="T269" s="113" t="n"/>
      <c r="U269" s="113" t="n"/>
      <c r="V269" s="113" t="n"/>
    </row>
    <row r="270" ht="15.75" customHeight="1">
      <c r="A270" s="146" t="n">
        <v>6</v>
      </c>
      <c r="B270" s="238" t="n"/>
      <c r="C270" s="399" t="n">
        <v>46056</v>
      </c>
      <c r="D270" s="146" t="inlineStr">
        <is>
          <t>200 G. GARCERAS</t>
        </is>
      </c>
      <c r="E270" s="146" t="n">
        <v>45987</v>
      </c>
      <c r="F270" s="146" t="inlineStr">
        <is>
          <t>HENRY ROMERO</t>
        </is>
      </c>
      <c r="G270" s="395" t="n">
        <v>2950</v>
      </c>
      <c r="H270" s="395" t="n">
        <v>2942</v>
      </c>
      <c r="I270" s="395" t="n">
        <v>4</v>
      </c>
      <c r="J270" s="395" t="n">
        <v>1</v>
      </c>
      <c r="K270" s="395" t="n">
        <v>-3</v>
      </c>
      <c r="L270" s="395" t="n">
        <v>2950</v>
      </c>
      <c r="M270" s="113" t="n"/>
      <c r="N270" s="113" t="n"/>
      <c r="O270" s="113" t="n"/>
      <c r="P270" s="398" t="n"/>
      <c r="Q270" s="398" t="n"/>
      <c r="R270" s="113" t="n"/>
      <c r="S270" s="113" t="n"/>
      <c r="T270" s="113" t="n"/>
      <c r="U270" s="113" t="n"/>
      <c r="V270" s="113" t="n"/>
    </row>
    <row r="271" ht="15.75" customHeight="1">
      <c r="A271" s="146" t="n">
        <v>6</v>
      </c>
      <c r="B271" s="238" t="n"/>
      <c r="C271" s="399" t="n">
        <v>46056</v>
      </c>
      <c r="D271" s="146" t="inlineStr">
        <is>
          <t>200 G. GARCERAS</t>
        </is>
      </c>
      <c r="E271" s="146" t="n">
        <v>45988</v>
      </c>
      <c r="F271" s="146" t="inlineStr">
        <is>
          <t>EDWIN ROJAS</t>
        </is>
      </c>
      <c r="G271" s="395" t="n">
        <v>2950</v>
      </c>
      <c r="H271" s="395" t="n">
        <v>2926</v>
      </c>
      <c r="I271" s="395" t="n">
        <v>2</v>
      </c>
      <c r="J271" s="395" t="n">
        <v>7</v>
      </c>
      <c r="K271" s="395" t="n">
        <v>-15</v>
      </c>
      <c r="L271" s="395" t="n">
        <v>2950</v>
      </c>
      <c r="M271" s="113" t="n"/>
      <c r="N271" s="113" t="n"/>
      <c r="O271" s="113" t="n"/>
      <c r="P271" s="398" t="n"/>
      <c r="Q271" s="398" t="n"/>
      <c r="R271" s="113" t="n"/>
      <c r="S271" s="113" t="n"/>
      <c r="T271" s="113" t="n"/>
      <c r="U271" s="113" t="n"/>
      <c r="V271" s="113" t="n"/>
    </row>
    <row r="272" ht="15.75" customHeight="1">
      <c r="A272" s="146" t="n">
        <v>6</v>
      </c>
      <c r="B272" s="238" t="n"/>
      <c r="C272" s="399" t="n">
        <v>46056</v>
      </c>
      <c r="D272" s="146" t="inlineStr">
        <is>
          <t>200 G. GARCERAS</t>
        </is>
      </c>
      <c r="E272" s="146" t="n">
        <v>45989</v>
      </c>
      <c r="F272" s="146" t="inlineStr">
        <is>
          <t>ALBERTO LOPEZ</t>
        </is>
      </c>
      <c r="G272" s="395" t="n">
        <v>3020</v>
      </c>
      <c r="H272" s="395" t="n">
        <v>3002</v>
      </c>
      <c r="I272" s="395" t="n">
        <v>3</v>
      </c>
      <c r="J272" s="395" t="n">
        <v>1</v>
      </c>
      <c r="K272" s="395" t="n">
        <v>-14</v>
      </c>
      <c r="L272" s="395" t="n">
        <v>3020</v>
      </c>
      <c r="M272" s="113" t="n"/>
      <c r="N272" s="113" t="n"/>
      <c r="O272" s="113" t="n"/>
      <c r="P272" s="398" t="n"/>
      <c r="Q272" s="398" t="n"/>
      <c r="R272" s="113" t="n"/>
      <c r="S272" s="113" t="n"/>
      <c r="T272" s="113" t="n"/>
      <c r="U272" s="113" t="n"/>
      <c r="V272" s="113" t="n"/>
    </row>
    <row r="273" ht="15.75" customHeight="1">
      <c r="A273" s="146" t="n">
        <v>6</v>
      </c>
      <c r="B273" s="238" t="n"/>
      <c r="C273" s="399" t="n">
        <v>46056</v>
      </c>
      <c r="D273" s="146" t="inlineStr">
        <is>
          <t>200 G. GARCERAS</t>
        </is>
      </c>
      <c r="E273" s="146" t="n">
        <v>45990</v>
      </c>
      <c r="F273" s="146" t="inlineStr">
        <is>
          <t>JAIRO CUBILLOS</t>
        </is>
      </c>
      <c r="G273" s="395" t="n">
        <v>3020</v>
      </c>
      <c r="H273" s="395" t="n">
        <v>3001</v>
      </c>
      <c r="I273" s="395" t="n">
        <v>2</v>
      </c>
      <c r="J273" s="395" t="n">
        <v>2</v>
      </c>
      <c r="K273" s="395" t="n">
        <v>-15</v>
      </c>
      <c r="L273" s="395" t="n">
        <v>3020</v>
      </c>
      <c r="M273" s="113" t="n"/>
      <c r="N273" s="113" t="n"/>
      <c r="O273" s="113" t="n"/>
      <c r="P273" s="398" t="n"/>
      <c r="Q273" s="398" t="n"/>
      <c r="R273" s="113" t="n"/>
      <c r="S273" s="113" t="n"/>
      <c r="T273" s="113" t="n"/>
      <c r="U273" s="113" t="n"/>
      <c r="V273" s="113" t="n"/>
    </row>
    <row r="274" ht="15.75" customHeight="1">
      <c r="A274" s="146" t="n">
        <v>6</v>
      </c>
      <c r="B274" s="238" t="n"/>
      <c r="C274" s="399" t="n">
        <v>46056</v>
      </c>
      <c r="D274" s="146" t="inlineStr">
        <is>
          <t>200 G. GARCERAS</t>
        </is>
      </c>
      <c r="E274" s="146" t="n">
        <v>45991</v>
      </c>
      <c r="F274" s="146" t="inlineStr">
        <is>
          <t>FABIO ALDANA</t>
        </is>
      </c>
      <c r="G274" s="395" t="n">
        <v>3020</v>
      </c>
      <c r="H274" s="395" t="n">
        <v>3004</v>
      </c>
      <c r="I274" s="395" t="n">
        <v>1</v>
      </c>
      <c r="J274" s="395" t="n">
        <v>1</v>
      </c>
      <c r="K274" s="395" t="n">
        <v>-14</v>
      </c>
      <c r="L274" s="395" t="n">
        <v>3020</v>
      </c>
      <c r="M274" s="113" t="n"/>
      <c r="N274" s="113" t="n"/>
      <c r="O274" s="113" t="n"/>
      <c r="P274" s="398" t="n"/>
      <c r="Q274" s="398" t="n"/>
      <c r="R274" s="113" t="n"/>
      <c r="S274" s="113" t="n"/>
      <c r="T274" s="113" t="n"/>
      <c r="U274" s="113" t="n"/>
      <c r="V274" s="113" t="n"/>
    </row>
    <row r="275" ht="15.75" customHeight="1">
      <c r="A275" s="146" t="n">
        <v>6</v>
      </c>
      <c r="B275" s="238" t="n"/>
      <c r="C275" s="399" t="n">
        <v>46056</v>
      </c>
      <c r="D275" s="146" t="inlineStr">
        <is>
          <t>200 G. GARCERAS</t>
        </is>
      </c>
      <c r="E275" s="146" t="n">
        <v>45999</v>
      </c>
      <c r="F275" s="146" t="inlineStr">
        <is>
          <t>FERNANDO OYUELA</t>
        </is>
      </c>
      <c r="G275" s="395" t="n">
        <v>3020</v>
      </c>
      <c r="H275" s="395" t="n">
        <v>3000</v>
      </c>
      <c r="I275" s="395" t="n">
        <v>3</v>
      </c>
      <c r="J275" s="395" t="n">
        <v>0</v>
      </c>
      <c r="K275" s="395" t="n">
        <v>-17</v>
      </c>
      <c r="L275" s="395" t="n">
        <v>3020</v>
      </c>
      <c r="M275" s="113" t="n"/>
      <c r="N275" s="113" t="n"/>
      <c r="O275" s="113" t="n"/>
      <c r="P275" s="398" t="n"/>
      <c r="Q275" s="398" t="n"/>
      <c r="R275" s="113" t="n"/>
      <c r="S275" s="113" t="n"/>
      <c r="T275" s="113" t="n"/>
      <c r="U275" s="113" t="n"/>
      <c r="V275" s="113" t="n"/>
    </row>
    <row r="276" ht="15.75" customHeight="1">
      <c r="A276" s="146" t="n">
        <v>6</v>
      </c>
      <c r="B276" s="238" t="n"/>
      <c r="C276" s="399" t="n">
        <v>46056</v>
      </c>
      <c r="D276" s="146" t="inlineStr">
        <is>
          <t>200 G. GARCERAS</t>
        </is>
      </c>
      <c r="E276" s="146" t="n">
        <v>46000</v>
      </c>
      <c r="F276" s="146" t="inlineStr">
        <is>
          <t>MANUEL QUITIAN</t>
        </is>
      </c>
      <c r="G276" s="395" t="n">
        <v>2970</v>
      </c>
      <c r="H276" s="395" t="n">
        <v>2952</v>
      </c>
      <c r="I276" s="395" t="n">
        <v>5</v>
      </c>
      <c r="J276" s="395" t="n">
        <v>3</v>
      </c>
      <c r="K276" s="395" t="n">
        <v>-10</v>
      </c>
      <c r="L276" s="395" t="n">
        <v>2980</v>
      </c>
      <c r="M276" s="113" t="n"/>
      <c r="N276" s="113" t="n"/>
      <c r="O276" s="113" t="n"/>
      <c r="P276" s="398" t="n"/>
      <c r="Q276" s="398" t="n"/>
      <c r="R276" s="113" t="n"/>
      <c r="S276" s="113" t="n"/>
      <c r="T276" s="113" t="n"/>
      <c r="U276" s="113" t="n"/>
      <c r="V276" s="113" t="n"/>
    </row>
    <row r="277" ht="15.75" customHeight="1">
      <c r="A277" s="146" t="n">
        <v>6</v>
      </c>
      <c r="B277" s="238" t="n"/>
      <c r="C277" s="164" t="n">
        <v>46057</v>
      </c>
      <c r="D277" s="166" t="inlineStr">
        <is>
          <t>202 G. HUERTAS</t>
        </is>
      </c>
      <c r="E277" s="166" t="n">
        <v>46008</v>
      </c>
      <c r="F277" s="166" t="inlineStr">
        <is>
          <t>HENRY ROMERO</t>
        </is>
      </c>
      <c r="G277" s="166" t="n">
        <v>2592</v>
      </c>
      <c r="H277" s="166" t="n">
        <v>2593</v>
      </c>
      <c r="I277" s="166" t="n">
        <v>2</v>
      </c>
      <c r="J277" s="166" t="n">
        <v>6</v>
      </c>
      <c r="K277" s="166" t="n">
        <v>9</v>
      </c>
      <c r="L277" s="395" t="n">
        <v>2591</v>
      </c>
      <c r="M277" s="113" t="n"/>
      <c r="N277" s="113" t="n"/>
      <c r="O277" s="113" t="n"/>
      <c r="P277" s="398" t="n"/>
      <c r="Q277" s="398" t="n"/>
      <c r="R277" s="113" t="n"/>
      <c r="S277" s="113" t="n"/>
      <c r="T277" s="113" t="n"/>
      <c r="U277" s="113" t="n"/>
      <c r="V277" s="113" t="n"/>
    </row>
    <row r="278" ht="15.75" customHeight="1">
      <c r="A278" s="146" t="n">
        <v>6</v>
      </c>
      <c r="B278" s="238" t="n"/>
      <c r="C278" s="164" t="n">
        <v>46057</v>
      </c>
      <c r="D278" s="166" t="inlineStr">
        <is>
          <t>202 G. HUERTAS</t>
        </is>
      </c>
      <c r="E278" s="166" t="n">
        <v>46009</v>
      </c>
      <c r="F278" s="166" t="inlineStr">
        <is>
          <t>JAIRO CUBILLOS</t>
        </is>
      </c>
      <c r="G278" s="166" t="n">
        <v>2592</v>
      </c>
      <c r="H278" s="166" t="n">
        <v>2592</v>
      </c>
      <c r="I278" s="166" t="n">
        <v>2</v>
      </c>
      <c r="J278" s="166" t="n">
        <v>8</v>
      </c>
      <c r="K278" s="166" t="n">
        <v>10</v>
      </c>
      <c r="L278" s="395" t="n">
        <v>2591</v>
      </c>
      <c r="M278" s="113" t="n"/>
      <c r="N278" s="113" t="n"/>
      <c r="O278" s="113" t="n"/>
      <c r="P278" s="398" t="n"/>
      <c r="Q278" s="398" t="n"/>
      <c r="R278" s="113" t="n"/>
      <c r="S278" s="113" t="n"/>
      <c r="T278" s="113" t="n"/>
      <c r="U278" s="113" t="n"/>
      <c r="V278" s="113" t="n"/>
    </row>
    <row r="279" ht="15.75" customHeight="1">
      <c r="A279" s="146" t="n">
        <v>6</v>
      </c>
      <c r="B279" s="238" t="n"/>
      <c r="C279" s="164" t="n">
        <v>46057</v>
      </c>
      <c r="D279" s="166" t="inlineStr">
        <is>
          <t>202 G. HUERTAS</t>
        </is>
      </c>
      <c r="E279" s="166" t="n">
        <v>46010</v>
      </c>
      <c r="F279" s="166" t="inlineStr">
        <is>
          <t>EDUAN CAVIEDES</t>
        </is>
      </c>
      <c r="G279" s="166" t="n">
        <v>2592</v>
      </c>
      <c r="H279" s="166" t="n">
        <v>2593</v>
      </c>
      <c r="I279" s="166" t="n">
        <v>3</v>
      </c>
      <c r="J279" s="166" t="n">
        <v>3</v>
      </c>
      <c r="K279" s="166" t="n">
        <v>7</v>
      </c>
      <c r="L279" s="395" t="n">
        <v>2591</v>
      </c>
      <c r="M279" s="113" t="n"/>
      <c r="N279" s="113" t="n"/>
      <c r="O279" s="113" t="n"/>
      <c r="P279" s="398" t="n"/>
      <c r="Q279" s="398" t="n"/>
      <c r="R279" s="113" t="n"/>
      <c r="S279" s="113" t="n"/>
      <c r="T279" s="113" t="n"/>
      <c r="U279" s="113" t="n"/>
      <c r="V279" s="113" t="n"/>
    </row>
    <row r="280" ht="15.75" customHeight="1">
      <c r="A280" s="146" t="n">
        <v>6</v>
      </c>
      <c r="B280" s="238" t="n"/>
      <c r="C280" s="164" t="n">
        <v>46058</v>
      </c>
      <c r="D280" s="166" t="inlineStr">
        <is>
          <t>202 G. HUERTAS</t>
        </is>
      </c>
      <c r="E280" s="166" t="n">
        <v>46026</v>
      </c>
      <c r="F280" s="166" t="inlineStr">
        <is>
          <t>YAIR RIVEROS</t>
        </is>
      </c>
      <c r="G280" s="166" t="n">
        <v>2448</v>
      </c>
      <c r="H280" s="166" t="n">
        <v>2410</v>
      </c>
      <c r="I280" s="166" t="n">
        <v>12</v>
      </c>
      <c r="J280" s="166" t="n">
        <v>26</v>
      </c>
      <c r="K280" s="166" t="n">
        <v>0</v>
      </c>
      <c r="L280" s="395" t="n">
        <v>3448</v>
      </c>
      <c r="M280" s="113" t="n"/>
      <c r="N280" s="113" t="n"/>
      <c r="O280" s="113" t="n"/>
      <c r="P280" s="398" t="n"/>
      <c r="Q280" s="398" t="n"/>
      <c r="R280" s="113" t="n"/>
      <c r="S280" s="113" t="n"/>
      <c r="T280" s="113" t="n"/>
      <c r="U280" s="113" t="n"/>
      <c r="V280" s="113" t="n"/>
    </row>
    <row r="281" ht="15.75" customHeight="1">
      <c r="A281" s="146" t="n">
        <v>6</v>
      </c>
      <c r="B281" s="238" t="n"/>
      <c r="C281" s="164" t="n">
        <v>46058</v>
      </c>
      <c r="D281" s="166" t="inlineStr">
        <is>
          <t>202 G. HUERTAS</t>
        </is>
      </c>
      <c r="E281" s="166" t="n">
        <v>46027</v>
      </c>
      <c r="F281" s="166" t="inlineStr">
        <is>
          <t>FERNANDO OYUELA</t>
        </is>
      </c>
      <c r="G281" s="166" t="n">
        <v>3300</v>
      </c>
      <c r="H281" s="166" t="n">
        <v>3258</v>
      </c>
      <c r="I281" s="166" t="n">
        <v>11</v>
      </c>
      <c r="J281" s="166" t="n">
        <v>37</v>
      </c>
      <c r="K281" s="166" t="n">
        <v>6</v>
      </c>
      <c r="L281" s="395" t="n">
        <v>3300</v>
      </c>
      <c r="M281" s="113" t="n"/>
      <c r="N281" s="113" t="n"/>
      <c r="O281" s="113" t="n"/>
      <c r="P281" s="398" t="n"/>
      <c r="Q281" s="398" t="n"/>
      <c r="R281" s="113" t="n"/>
      <c r="S281" s="113" t="n"/>
      <c r="T281" s="113" t="n"/>
      <c r="U281" s="113" t="n"/>
      <c r="V281" s="113" t="n"/>
    </row>
    <row r="282" ht="15.75" customHeight="1">
      <c r="A282" s="146" t="n">
        <v>6</v>
      </c>
      <c r="B282" s="238" t="n"/>
      <c r="C282" s="164" t="n">
        <v>46058</v>
      </c>
      <c r="D282" s="166" t="inlineStr">
        <is>
          <t>202 G. HUERTAS</t>
        </is>
      </c>
      <c r="E282" s="166" t="n">
        <v>46028</v>
      </c>
      <c r="F282" s="166" t="inlineStr">
        <is>
          <t>MANUEL QUITIAN</t>
        </is>
      </c>
      <c r="G282" s="166" t="n">
        <v>3300</v>
      </c>
      <c r="H282" s="166" t="n">
        <v>3253</v>
      </c>
      <c r="I282" s="166" t="n">
        <v>13</v>
      </c>
      <c r="J282" s="166" t="n">
        <v>44</v>
      </c>
      <c r="K282" s="166" t="n">
        <v>10</v>
      </c>
      <c r="L282" s="395" t="n">
        <v>3300</v>
      </c>
      <c r="M282" s="113" t="n"/>
      <c r="N282" s="113" t="n"/>
      <c r="O282" s="113" t="n"/>
      <c r="P282" s="398" t="n"/>
      <c r="Q282" s="398" t="n"/>
      <c r="R282" s="113" t="n"/>
      <c r="S282" s="113" t="n"/>
      <c r="T282" s="113" t="n"/>
      <c r="U282" s="113" t="n"/>
      <c r="V282" s="113" t="n"/>
    </row>
    <row r="283" ht="15.75" customHeight="1">
      <c r="A283" s="146" t="n">
        <v>6</v>
      </c>
      <c r="B283" s="238" t="n"/>
      <c r="C283" s="164" t="n">
        <v>46058</v>
      </c>
      <c r="D283" s="166" t="inlineStr">
        <is>
          <t>202 G. HUERTAS</t>
        </is>
      </c>
      <c r="E283" s="166" t="n">
        <v>46029</v>
      </c>
      <c r="F283" s="166" t="inlineStr">
        <is>
          <t>JHON ARIAS</t>
        </is>
      </c>
      <c r="G283" s="166" t="n">
        <v>3300</v>
      </c>
      <c r="H283" s="166" t="n">
        <v>3263</v>
      </c>
      <c r="I283" s="166" t="n">
        <v>6</v>
      </c>
      <c r="J283" s="166" t="n">
        <v>29</v>
      </c>
      <c r="K283" s="166" t="n">
        <v>-2</v>
      </c>
      <c r="L283" s="395" t="n">
        <v>3300</v>
      </c>
      <c r="M283" s="113" t="n"/>
      <c r="N283" s="113" t="n"/>
      <c r="O283" s="113" t="n"/>
      <c r="P283" s="398" t="n"/>
      <c r="Q283" s="398" t="n"/>
      <c r="R283" s="113" t="n"/>
      <c r="S283" s="113" t="n"/>
      <c r="T283" s="113" t="n"/>
      <c r="U283" s="113" t="n"/>
      <c r="V283" s="113" t="n"/>
    </row>
    <row r="284" ht="15.75" customHeight="1">
      <c r="A284" s="146" t="n">
        <v>6</v>
      </c>
      <c r="B284" s="238" t="n"/>
      <c r="C284" s="164" t="n">
        <v>46058</v>
      </c>
      <c r="D284" s="166" t="inlineStr">
        <is>
          <t>202 G. HUERTAS</t>
        </is>
      </c>
      <c r="E284" s="166" t="n">
        <v>46030</v>
      </c>
      <c r="F284" s="146" t="inlineStr">
        <is>
          <t>DIEGO NIÑO</t>
        </is>
      </c>
      <c r="G284" s="146" t="n">
        <v>2940</v>
      </c>
      <c r="H284" s="146" t="n">
        <v>2903</v>
      </c>
      <c r="I284" s="146" t="n">
        <v>6</v>
      </c>
      <c r="J284" s="146" t="n">
        <v>27</v>
      </c>
      <c r="K284" s="166" t="n">
        <v>-4</v>
      </c>
      <c r="L284" s="395" t="n">
        <v>3970</v>
      </c>
      <c r="M284" s="113" t="n"/>
      <c r="N284" s="113" t="n"/>
      <c r="O284" s="113" t="n"/>
      <c r="P284" s="398" t="n"/>
      <c r="Q284" s="398" t="n"/>
      <c r="R284" s="113" t="n"/>
      <c r="S284" s="113" t="n"/>
      <c r="T284" s="113" t="n"/>
      <c r="U284" s="113" t="n"/>
      <c r="V284" s="113" t="n"/>
    </row>
    <row r="285" ht="15.75" customHeight="1">
      <c r="A285" s="146" t="n">
        <v>6</v>
      </c>
      <c r="B285" s="238" t="n"/>
      <c r="C285" s="399" t="n">
        <v>46058</v>
      </c>
      <c r="D285" s="146" t="inlineStr">
        <is>
          <t>200 G. GARCERAS</t>
        </is>
      </c>
      <c r="E285" s="146" t="n">
        <v>46031</v>
      </c>
      <c r="F285" s="146" t="inlineStr">
        <is>
          <t>DUMAR ANGARITA</t>
        </is>
      </c>
      <c r="G285" s="395" t="n">
        <v>3170</v>
      </c>
      <c r="H285" s="395" t="n">
        <v>3153</v>
      </c>
      <c r="I285" s="395" t="n">
        <v>4</v>
      </c>
      <c r="J285" s="395" t="n">
        <v>11</v>
      </c>
      <c r="K285" s="395" t="n">
        <v>-2</v>
      </c>
      <c r="L285" s="395" t="n">
        <v>3170</v>
      </c>
      <c r="M285" s="113" t="n"/>
      <c r="N285" s="113" t="n"/>
      <c r="O285" s="113" t="n"/>
      <c r="P285" s="398" t="n"/>
      <c r="Q285" s="398" t="n"/>
      <c r="R285" s="113" t="n"/>
      <c r="S285" s="113" t="n"/>
      <c r="T285" s="113" t="n"/>
      <c r="U285" s="113" t="n"/>
      <c r="V285" s="113" t="n"/>
    </row>
    <row r="286" ht="15.75" customHeight="1">
      <c r="A286" s="146" t="n">
        <v>6</v>
      </c>
      <c r="B286" s="238" t="n"/>
      <c r="C286" s="399" t="n">
        <v>46058</v>
      </c>
      <c r="D286" s="146" t="inlineStr">
        <is>
          <t>200 G. GARCERAS</t>
        </is>
      </c>
      <c r="E286" s="146" t="n">
        <v>46032</v>
      </c>
      <c r="F286" s="146" t="inlineStr">
        <is>
          <t>FABIO ALDANA</t>
        </is>
      </c>
      <c r="G286" s="395" t="n">
        <v>3170</v>
      </c>
      <c r="H286" s="395" t="n">
        <v>3161</v>
      </c>
      <c r="I286" s="395" t="n">
        <v>3</v>
      </c>
      <c r="J286" s="395" t="n">
        <v>4</v>
      </c>
      <c r="K286" s="395" t="n">
        <v>-2</v>
      </c>
      <c r="L286" s="395" t="n">
        <v>3170</v>
      </c>
      <c r="M286" s="113" t="n"/>
      <c r="N286" s="113" t="n"/>
      <c r="O286" s="113" t="n"/>
      <c r="P286" s="398" t="n"/>
      <c r="Q286" s="398" t="n"/>
      <c r="R286" s="113" t="n"/>
      <c r="S286" s="113" t="n"/>
      <c r="T286" s="113" t="n"/>
      <c r="U286" s="113" t="n"/>
      <c r="V286" s="113" t="n"/>
    </row>
    <row r="287" ht="15.75" customHeight="1">
      <c r="A287" s="146" t="n">
        <v>6</v>
      </c>
      <c r="B287" s="238" t="n"/>
      <c r="C287" s="399" t="n">
        <v>46058</v>
      </c>
      <c r="D287" s="146" t="inlineStr">
        <is>
          <t>200 G. GARCERAS</t>
        </is>
      </c>
      <c r="E287" s="146" t="n">
        <v>46036</v>
      </c>
      <c r="F287" s="146" t="inlineStr">
        <is>
          <t>ALBERTO HERRERA</t>
        </is>
      </c>
      <c r="G287" s="395" t="n">
        <v>3170</v>
      </c>
      <c r="H287" s="395" t="n">
        <v>3157</v>
      </c>
      <c r="I287" s="395" t="n">
        <v>2</v>
      </c>
      <c r="J287" s="395" t="n">
        <v>5</v>
      </c>
      <c r="K287" s="395" t="n">
        <v>-6</v>
      </c>
      <c r="L287" s="395" t="n">
        <v>3170</v>
      </c>
      <c r="M287" s="113" t="n"/>
      <c r="N287" s="113" t="n"/>
      <c r="O287" s="113" t="n"/>
      <c r="P287" s="398" t="n"/>
      <c r="Q287" s="398" t="n"/>
      <c r="R287" s="113" t="n"/>
      <c r="S287" s="113" t="n"/>
      <c r="T287" s="113" t="n"/>
      <c r="U287" s="113" t="n"/>
      <c r="V287" s="113" t="n"/>
    </row>
    <row r="288" ht="15.75" customHeight="1">
      <c r="A288" s="146" t="n">
        <v>6</v>
      </c>
      <c r="B288" s="238" t="n"/>
      <c r="C288" s="399" t="n">
        <v>46058</v>
      </c>
      <c r="D288" s="146" t="inlineStr">
        <is>
          <t>200 G. GARCERAS</t>
        </is>
      </c>
      <c r="E288" s="146" t="n">
        <v>46037</v>
      </c>
      <c r="F288" s="146" t="inlineStr">
        <is>
          <t>YAIR RIVEROS</t>
        </is>
      </c>
      <c r="G288" s="395" t="n">
        <v>3170</v>
      </c>
      <c r="H288" s="395" t="n">
        <v>3156</v>
      </c>
      <c r="I288" s="395" t="n">
        <v>2</v>
      </c>
      <c r="J288" s="395" t="n">
        <v>4</v>
      </c>
      <c r="K288" s="395" t="n">
        <v>-8</v>
      </c>
      <c r="L288" s="395" t="n">
        <v>3170</v>
      </c>
      <c r="M288" s="113" t="n"/>
      <c r="N288" s="113" t="n"/>
      <c r="O288" s="113" t="n"/>
      <c r="P288" s="398" t="n"/>
      <c r="Q288" s="398" t="n"/>
      <c r="R288" s="113" t="n"/>
      <c r="S288" s="113" t="n"/>
      <c r="T288" s="113" t="n"/>
      <c r="U288" s="113" t="n"/>
      <c r="V288" s="113" t="n"/>
    </row>
    <row r="289" ht="15.75" customHeight="1">
      <c r="A289" s="146" t="n">
        <v>6</v>
      </c>
      <c r="B289" s="238" t="n"/>
      <c r="C289" s="164" t="n">
        <v>46059</v>
      </c>
      <c r="D289" s="166" t="inlineStr">
        <is>
          <t>202 G. HUERTAS</t>
        </is>
      </c>
      <c r="E289" s="166" t="n">
        <v>45049</v>
      </c>
      <c r="F289" s="166" t="inlineStr">
        <is>
          <t>EDWIN ROJAS</t>
        </is>
      </c>
      <c r="G289" s="166" t="n">
        <v>3050</v>
      </c>
      <c r="H289" s="166" t="n">
        <v>3044</v>
      </c>
      <c r="I289" s="166" t="n">
        <v>2</v>
      </c>
      <c r="J289" s="166" t="n">
        <v>4</v>
      </c>
      <c r="K289" s="166" t="n">
        <v>0</v>
      </c>
      <c r="L289" s="395" t="n">
        <v>3170</v>
      </c>
      <c r="M289" s="113" t="n"/>
      <c r="N289" s="113" t="n"/>
      <c r="O289" s="113" t="n"/>
      <c r="P289" s="398" t="n"/>
      <c r="Q289" s="398" t="n"/>
      <c r="R289" s="113" t="n"/>
      <c r="S289" s="113" t="n"/>
      <c r="T289" s="113" t="n"/>
      <c r="U289" s="113" t="n"/>
      <c r="V289" s="113" t="n"/>
    </row>
    <row r="290" ht="15.75" customHeight="1">
      <c r="A290" s="146" t="n">
        <v>6</v>
      </c>
      <c r="B290" s="238" t="n"/>
      <c r="C290" s="399" t="n">
        <v>46059</v>
      </c>
      <c r="D290" s="146" t="inlineStr">
        <is>
          <t>200 G. GARCERAS</t>
        </is>
      </c>
      <c r="E290" s="146" t="n">
        <v>45050</v>
      </c>
      <c r="F290" s="146" t="inlineStr">
        <is>
          <t>ROBINSON PULIDO</t>
        </is>
      </c>
      <c r="G290" s="395" t="n">
        <v>3170</v>
      </c>
      <c r="H290" s="395" t="n">
        <v>3167</v>
      </c>
      <c r="I290" s="395" t="n">
        <v>1</v>
      </c>
      <c r="J290" s="395" t="n">
        <v>3</v>
      </c>
      <c r="K290" s="395" t="n">
        <v>1</v>
      </c>
      <c r="L290" s="395" t="n">
        <v>3090</v>
      </c>
      <c r="M290" s="113" t="n"/>
      <c r="N290" s="113" t="n"/>
      <c r="O290" s="113" t="n"/>
      <c r="P290" s="398" t="n"/>
      <c r="Q290" s="398" t="n"/>
      <c r="R290" s="113" t="n"/>
      <c r="S290" s="113" t="n"/>
      <c r="T290" s="113" t="n"/>
      <c r="U290" s="113" t="n"/>
      <c r="V290" s="113" t="n"/>
    </row>
    <row r="291" ht="15.75" customHeight="1">
      <c r="A291" s="146" t="n">
        <v>6</v>
      </c>
      <c r="B291" s="238" t="n"/>
      <c r="C291" s="399" t="n">
        <v>46059</v>
      </c>
      <c r="D291" s="146" t="inlineStr">
        <is>
          <t>200 G. GARCERAS</t>
        </is>
      </c>
      <c r="E291" s="146" t="n">
        <v>46051</v>
      </c>
      <c r="F291" s="146" t="inlineStr">
        <is>
          <t>JOSE SOLER</t>
        </is>
      </c>
      <c r="G291" s="395" t="n">
        <v>3090</v>
      </c>
      <c r="H291" s="395" t="n">
        <v>3086</v>
      </c>
      <c r="I291" s="395" t="n">
        <v>2</v>
      </c>
      <c r="J291" s="395" t="n">
        <v>4</v>
      </c>
      <c r="K291" s="395" t="n">
        <v>2</v>
      </c>
      <c r="L291" s="395" t="n">
        <v>3090</v>
      </c>
      <c r="M291" s="113" t="n"/>
      <c r="N291" s="113" t="n"/>
      <c r="O291" s="113" t="n"/>
      <c r="P291" s="398" t="n"/>
      <c r="Q291" s="398" t="n"/>
      <c r="R291" s="113" t="n"/>
      <c r="S291" s="113" t="n"/>
      <c r="T291" s="113" t="n"/>
      <c r="U291" s="113" t="n"/>
      <c r="V291" s="113" t="n"/>
    </row>
    <row r="292" ht="15.75" customHeight="1">
      <c r="A292" s="146" t="n">
        <v>6</v>
      </c>
      <c r="B292" s="238" t="n"/>
      <c r="C292" s="399" t="n">
        <v>46059</v>
      </c>
      <c r="D292" s="146" t="inlineStr">
        <is>
          <t>200 G. GARCERAS</t>
        </is>
      </c>
      <c r="E292" s="146" t="n">
        <v>46052</v>
      </c>
      <c r="F292" s="146" t="inlineStr">
        <is>
          <t>FABIO ALDANA</t>
        </is>
      </c>
      <c r="G292" s="395" t="n">
        <v>3090</v>
      </c>
      <c r="H292" s="395" t="n">
        <v>3089</v>
      </c>
      <c r="I292" s="395" t="n">
        <v>2</v>
      </c>
      <c r="J292" s="395" t="n">
        <v>1</v>
      </c>
      <c r="K292" s="395" t="n">
        <v>2</v>
      </c>
      <c r="L292" s="395" t="n">
        <v>3090</v>
      </c>
      <c r="M292" s="113" t="n"/>
      <c r="N292" s="113" t="n"/>
      <c r="O292" s="113" t="n"/>
      <c r="P292" s="398" t="n"/>
      <c r="Q292" s="398" t="n"/>
      <c r="R292" s="113" t="n"/>
      <c r="S292" s="113" t="n"/>
      <c r="T292" s="113" t="n"/>
      <c r="U292" s="113" t="n"/>
      <c r="V292" s="113" t="n"/>
    </row>
    <row r="293" ht="15.75" customHeight="1">
      <c r="A293" s="146" t="n">
        <v>6</v>
      </c>
      <c r="B293" s="238" t="n"/>
      <c r="C293" s="399" t="n">
        <v>46059</v>
      </c>
      <c r="D293" s="146" t="inlineStr">
        <is>
          <t>200 G. GARCERAS</t>
        </is>
      </c>
      <c r="E293" s="146" t="n">
        <v>46053</v>
      </c>
      <c r="F293" s="146" t="inlineStr">
        <is>
          <t>EDUAN CAVIEDES</t>
        </is>
      </c>
      <c r="G293" s="395" t="n">
        <v>3090</v>
      </c>
      <c r="H293" s="395" t="n">
        <v>3083</v>
      </c>
      <c r="I293" s="395" t="n">
        <v>4</v>
      </c>
      <c r="J293" s="395" t="n">
        <v>2</v>
      </c>
      <c r="K293" s="395" t="n">
        <v>-1</v>
      </c>
      <c r="L293" s="395" t="n">
        <v>3090</v>
      </c>
      <c r="M293" s="113" t="n"/>
      <c r="N293" s="113" t="n"/>
      <c r="O293" s="113" t="n"/>
      <c r="P293" s="398" t="n"/>
      <c r="Q293" s="398" t="n"/>
      <c r="R293" s="113" t="n"/>
      <c r="S293" s="113" t="n"/>
      <c r="T293" s="113" t="n"/>
      <c r="U293" s="113" t="n"/>
      <c r="V293" s="113" t="n"/>
    </row>
    <row r="294" ht="15.75" customHeight="1">
      <c r="A294" s="146" t="n">
        <v>6</v>
      </c>
      <c r="B294" s="238" t="n"/>
      <c r="C294" s="399" t="n">
        <v>46059</v>
      </c>
      <c r="D294" s="146" t="inlineStr">
        <is>
          <t>200 G. GARCERAS</t>
        </is>
      </c>
      <c r="E294" s="146" t="n">
        <v>46054</v>
      </c>
      <c r="F294" s="146" t="inlineStr">
        <is>
          <t>JOSE HERRERA</t>
        </is>
      </c>
      <c r="G294" s="395" t="n">
        <v>3090</v>
      </c>
      <c r="H294" s="395" t="n">
        <v>3083</v>
      </c>
      <c r="I294" s="395" t="n">
        <v>4</v>
      </c>
      <c r="J294" s="395" t="n">
        <v>2</v>
      </c>
      <c r="K294" s="395" t="n">
        <v>-1</v>
      </c>
      <c r="L294" s="395" t="n">
        <v>2980</v>
      </c>
      <c r="M294" s="113" t="n"/>
      <c r="N294" s="113" t="n"/>
      <c r="O294" s="113" t="n"/>
      <c r="P294" s="398" t="n"/>
      <c r="Q294" s="398" t="n"/>
      <c r="R294" s="113" t="n"/>
      <c r="S294" s="113" t="n"/>
      <c r="T294" s="113" t="n"/>
      <c r="U294" s="113" t="n"/>
      <c r="V294" s="113" t="n"/>
    </row>
    <row r="295" ht="15.75" customHeight="1">
      <c r="A295" s="146" t="n">
        <v>6</v>
      </c>
      <c r="B295" s="238" t="n"/>
      <c r="C295" s="399" t="n">
        <v>46059</v>
      </c>
      <c r="D295" s="146" t="inlineStr">
        <is>
          <t>200 G. GARCERAS</t>
        </is>
      </c>
      <c r="E295" s="146" t="n">
        <v>45055</v>
      </c>
      <c r="F295" s="146" t="inlineStr">
        <is>
          <t>ALBERTO LOPEZ</t>
        </is>
      </c>
      <c r="G295" s="395" t="n">
        <v>2980</v>
      </c>
      <c r="H295" s="395" t="n">
        <v>2977</v>
      </c>
      <c r="I295" s="395" t="n">
        <v>3</v>
      </c>
      <c r="J295" s="395" t="n">
        <v>1</v>
      </c>
      <c r="K295" s="395" t="n">
        <v>1</v>
      </c>
      <c r="L295" s="395" t="n">
        <v>3050</v>
      </c>
      <c r="M295" s="113" t="n"/>
      <c r="N295" s="113" t="n"/>
      <c r="O295" s="113" t="n"/>
      <c r="P295" s="398" t="n"/>
      <c r="Q295" s="398" t="n"/>
      <c r="R295" s="113" t="n"/>
      <c r="S295" s="113" t="n"/>
      <c r="T295" s="113" t="n"/>
      <c r="U295" s="113" t="n"/>
      <c r="V295" s="113" t="n"/>
    </row>
    <row r="296" ht="15.75" customHeight="1">
      <c r="A296" s="146" t="n">
        <v>6</v>
      </c>
      <c r="B296" s="238" t="n"/>
      <c r="C296" s="399" t="n"/>
      <c r="D296" s="113" t="n"/>
      <c r="E296" s="113" t="n"/>
      <c r="F296" s="113" t="n"/>
      <c r="G296" s="477">
        <f>SUBTOTAL(9,G252:G295)</f>
        <v/>
      </c>
      <c r="H296" s="477">
        <f>SUBTOTAL(9,H252:H295)</f>
        <v/>
      </c>
      <c r="I296" s="477">
        <f>SUBTOTAL(9,I252:I295)</f>
        <v/>
      </c>
      <c r="J296" s="477">
        <f>SUBTOTAL(9,J252:J295)</f>
        <v/>
      </c>
      <c r="K296" s="477">
        <f>SUBTOTAL(9,K252:K295)</f>
        <v/>
      </c>
      <c r="L296" s="477">
        <f>SUBTOTAL(9,L252:L295)</f>
        <v/>
      </c>
      <c r="M296" s="113" t="n"/>
      <c r="N296" s="113" t="n"/>
      <c r="O296" s="113" t="n"/>
      <c r="P296" s="398" t="n"/>
      <c r="Q296" s="398" t="n"/>
      <c r="R296" s="113" t="n"/>
      <c r="S296" s="113" t="n"/>
      <c r="T296" s="113" t="n"/>
      <c r="U296" s="113" t="n"/>
      <c r="V296" s="113" t="n"/>
    </row>
    <row r="297" ht="15.75" customHeight="1">
      <c r="A297" s="146" t="n">
        <v>7</v>
      </c>
      <c r="B297" s="238" t="n"/>
      <c r="C297" s="495" t="n">
        <v>46061</v>
      </c>
      <c r="D297" s="23" t="inlineStr">
        <is>
          <t>202 G. HUERTAS</t>
        </is>
      </c>
      <c r="E297" s="23" t="n">
        <v>205993</v>
      </c>
      <c r="F297" s="23" t="inlineStr">
        <is>
          <t>CARLOS PORRAS</t>
        </is>
      </c>
      <c r="G297" s="496" t="n">
        <v>3100</v>
      </c>
      <c r="H297" s="496" t="n">
        <v>3077</v>
      </c>
      <c r="I297" s="496" t="n">
        <v>8</v>
      </c>
      <c r="J297" s="496" t="n">
        <v>12</v>
      </c>
      <c r="K297" s="496" t="n">
        <v>-3</v>
      </c>
      <c r="L297" s="395" t="n">
        <v>3100</v>
      </c>
      <c r="M297" s="113" t="n"/>
      <c r="N297" s="113" t="n"/>
      <c r="O297" s="113" t="n"/>
      <c r="P297" s="398" t="n"/>
      <c r="Q297" s="398" t="n"/>
      <c r="R297" s="113" t="n"/>
      <c r="S297" s="113" t="n"/>
      <c r="T297" s="113" t="n"/>
      <c r="U297" s="113" t="n"/>
      <c r="V297" s="113" t="n"/>
    </row>
    <row r="298" ht="15.75" customHeight="1">
      <c r="A298" s="146" t="n">
        <v>7</v>
      </c>
      <c r="B298" s="238" t="n"/>
      <c r="C298" s="495" t="n">
        <v>46061</v>
      </c>
      <c r="D298" s="23" t="inlineStr">
        <is>
          <t>202 G. HUERTAS</t>
        </is>
      </c>
      <c r="E298" s="23" t="n">
        <v>205995</v>
      </c>
      <c r="F298" s="23" t="inlineStr">
        <is>
          <t>CUCAITA EDWIN ALEJANDRO</t>
        </is>
      </c>
      <c r="G298" s="496" t="n">
        <v>2961</v>
      </c>
      <c r="H298" s="496" t="n">
        <v>2897</v>
      </c>
      <c r="I298" s="496" t="n">
        <v>11</v>
      </c>
      <c r="J298" s="496" t="n">
        <v>10</v>
      </c>
      <c r="K298" s="496" t="n">
        <v>-43</v>
      </c>
      <c r="L298" s="395" t="n">
        <v>2916</v>
      </c>
      <c r="M298" s="113" t="n"/>
      <c r="N298" s="113" t="n"/>
      <c r="O298" s="113" t="n"/>
      <c r="P298" s="398" t="n"/>
      <c r="Q298" s="398" t="n"/>
      <c r="R298" s="113" t="n"/>
      <c r="S298" s="113" t="n"/>
      <c r="T298" s="113" t="n"/>
      <c r="U298" s="113" t="n"/>
      <c r="V298" s="113" t="n"/>
    </row>
    <row r="299" ht="15.75" customHeight="1">
      <c r="A299" s="146" t="n">
        <v>7</v>
      </c>
      <c r="B299" s="238" t="n"/>
      <c r="C299" s="495" t="n">
        <v>46062</v>
      </c>
      <c r="D299" s="23" t="inlineStr">
        <is>
          <t>202 G. HUERTAS</t>
        </is>
      </c>
      <c r="E299" s="23" t="n">
        <v>205996</v>
      </c>
      <c r="F299" s="23" t="inlineStr">
        <is>
          <t>MARCOS LOPEZ CASTAÑEDA</t>
        </is>
      </c>
      <c r="G299" s="496" t="n">
        <v>2925</v>
      </c>
      <c r="H299" s="496" t="n">
        <v>2878</v>
      </c>
      <c r="I299" s="496" t="n">
        <v>6</v>
      </c>
      <c r="J299" s="496" t="n">
        <v>17</v>
      </c>
      <c r="K299" s="496" t="n">
        <v>-24</v>
      </c>
      <c r="L299" s="395" t="n">
        <v>2925</v>
      </c>
      <c r="M299" s="113" t="n"/>
      <c r="N299" s="146">
        <f>287+11+10+43</f>
        <v/>
      </c>
      <c r="O299" s="113" t="n"/>
      <c r="P299" s="398" t="n"/>
      <c r="Q299" s="398" t="n"/>
      <c r="R299" s="113" t="n"/>
      <c r="S299" s="113" t="n"/>
      <c r="T299" s="113" t="n"/>
      <c r="U299" s="113" t="n"/>
      <c r="V299" s="113" t="n"/>
    </row>
    <row r="300" ht="15.75" customHeight="1">
      <c r="A300" s="146" t="n">
        <v>7</v>
      </c>
      <c r="B300" s="238" t="n"/>
      <c r="C300" s="495" t="n">
        <v>46062</v>
      </c>
      <c r="D300" s="23" t="inlineStr">
        <is>
          <t>202 G. HUERTAS</t>
        </is>
      </c>
      <c r="E300" s="23" t="n">
        <v>206000</v>
      </c>
      <c r="F300" s="23" t="inlineStr">
        <is>
          <t>JONATHAN DAVID GOMEZ</t>
        </is>
      </c>
      <c r="G300" s="496" t="n">
        <v>2925</v>
      </c>
      <c r="H300" s="496" t="n">
        <v>2897</v>
      </c>
      <c r="I300" s="496" t="n">
        <v>14</v>
      </c>
      <c r="J300" s="496" t="n">
        <v>13</v>
      </c>
      <c r="K300" s="496" t="n">
        <v>-1</v>
      </c>
      <c r="L300" s="395" t="n">
        <v>2925</v>
      </c>
      <c r="M300" s="113" t="n"/>
      <c r="N300" s="113" t="n"/>
      <c r="O300" s="113" t="n"/>
      <c r="P300" s="398" t="n"/>
      <c r="Q300" s="398" t="n"/>
      <c r="R300" s="113" t="n"/>
      <c r="S300" s="113" t="n"/>
      <c r="T300" s="113" t="n"/>
      <c r="U300" s="113" t="n"/>
      <c r="V300" s="113" t="n"/>
    </row>
    <row r="301" ht="15.75" customHeight="1">
      <c r="A301" s="146" t="n">
        <v>7</v>
      </c>
      <c r="B301" s="238" t="n"/>
      <c r="C301" s="495" t="n">
        <v>46062</v>
      </c>
      <c r="D301" s="23" t="inlineStr">
        <is>
          <t>202 G. HUERTAS</t>
        </is>
      </c>
      <c r="E301" s="23" t="n">
        <v>206002</v>
      </c>
      <c r="F301" s="23" t="inlineStr">
        <is>
          <t>JHON FREDY ECHEVERRIA</t>
        </is>
      </c>
      <c r="G301" s="496" t="n">
        <v>2268</v>
      </c>
      <c r="H301" s="496" t="n">
        <v>2224</v>
      </c>
      <c r="I301" s="496" t="n">
        <v>13</v>
      </c>
      <c r="J301" s="496" t="n">
        <v>29</v>
      </c>
      <c r="K301" s="496" t="n">
        <v>-2</v>
      </c>
      <c r="L301" s="395" t="n">
        <v>2277</v>
      </c>
      <c r="M301" s="113" t="n"/>
      <c r="N301" s="113" t="n"/>
      <c r="O301" s="113" t="n"/>
      <c r="P301" s="398" t="n"/>
      <c r="Q301" s="398" t="n"/>
      <c r="R301" s="113" t="n"/>
      <c r="S301" s="113" t="n"/>
      <c r="T301" s="113" t="n"/>
      <c r="U301" s="113" t="n"/>
      <c r="V301" s="113" t="n"/>
    </row>
    <row r="302" ht="15.75" customHeight="1">
      <c r="A302" s="146" t="n">
        <v>7</v>
      </c>
      <c r="B302" s="238" t="n"/>
      <c r="C302" s="399" t="n">
        <v>46062</v>
      </c>
      <c r="D302" s="146" t="inlineStr">
        <is>
          <t>200 G. GARCERAS</t>
        </is>
      </c>
      <c r="E302" s="146" t="n">
        <v>46098</v>
      </c>
      <c r="F302" s="146" t="inlineStr">
        <is>
          <t>ALBERTO HERRERA</t>
        </is>
      </c>
      <c r="G302" s="395" t="n">
        <v>3120</v>
      </c>
      <c r="H302" s="395" t="n">
        <v>3112</v>
      </c>
      <c r="I302" s="395" t="n">
        <v>8</v>
      </c>
      <c r="J302" s="395" t="n">
        <v>3</v>
      </c>
      <c r="K302" s="395" t="n">
        <v>3</v>
      </c>
      <c r="L302" s="395" t="n">
        <v>3120</v>
      </c>
      <c r="M302" s="113" t="n"/>
      <c r="N302" s="113" t="n"/>
      <c r="O302" s="113" t="n"/>
      <c r="P302" s="398" t="n"/>
      <c r="Q302" s="398" t="n"/>
      <c r="R302" s="113" t="n"/>
      <c r="S302" s="113" t="n"/>
      <c r="T302" s="113" t="n"/>
      <c r="U302" s="113" t="n"/>
      <c r="V302" s="113" t="n"/>
    </row>
    <row r="303" ht="15.75" customHeight="1">
      <c r="A303" s="146" t="n">
        <v>7</v>
      </c>
      <c r="B303" s="238" t="n"/>
      <c r="C303" s="399" t="n">
        <v>46062</v>
      </c>
      <c r="D303" s="146" t="inlineStr">
        <is>
          <t>200 G. GARCERAS</t>
        </is>
      </c>
      <c r="E303" s="146" t="n">
        <v>46099</v>
      </c>
      <c r="F303" s="146" t="inlineStr">
        <is>
          <t>EDWIN ROJAS</t>
        </is>
      </c>
      <c r="G303" s="395" t="n">
        <v>3120</v>
      </c>
      <c r="H303" s="395" t="n">
        <v>3118</v>
      </c>
      <c r="I303" s="395" t="n">
        <v>2</v>
      </c>
      <c r="J303" s="395" t="n">
        <v>2</v>
      </c>
      <c r="K303" s="395" t="n">
        <v>2</v>
      </c>
      <c r="L303" s="395" t="n">
        <v>3120</v>
      </c>
      <c r="M303" s="113" t="n"/>
      <c r="N303" s="395" t="n"/>
      <c r="O303" s="395" t="n"/>
      <c r="P303" s="398" t="n"/>
      <c r="Q303" s="398" t="n"/>
      <c r="R303" s="113" t="n"/>
      <c r="S303" s="113" t="n"/>
      <c r="T303" s="113" t="n"/>
      <c r="U303" s="113" t="n"/>
      <c r="V303" s="113" t="n"/>
    </row>
    <row r="304" ht="15.75" customHeight="1">
      <c r="A304" s="146" t="n">
        <v>7</v>
      </c>
      <c r="B304" s="238" t="n"/>
      <c r="C304" s="399" t="n">
        <v>46062</v>
      </c>
      <c r="D304" s="146" t="inlineStr">
        <is>
          <t>200 G. GARCERAS</t>
        </is>
      </c>
      <c r="E304" s="146" t="n">
        <v>46100</v>
      </c>
      <c r="F304" s="146" t="inlineStr">
        <is>
          <t>YAIR RIVEROS</t>
        </is>
      </c>
      <c r="G304" s="395" t="n">
        <v>3120</v>
      </c>
      <c r="H304" s="395" t="n">
        <v>3114</v>
      </c>
      <c r="I304" s="395" t="n">
        <v>2</v>
      </c>
      <c r="J304" s="395" t="n">
        <v>1</v>
      </c>
      <c r="K304" s="395" t="n">
        <v>-3</v>
      </c>
      <c r="L304" s="395" t="n">
        <v>3120</v>
      </c>
      <c r="M304" s="113" t="n"/>
      <c r="N304" s="113" t="n"/>
      <c r="O304" s="113" t="n"/>
      <c r="P304" s="398" t="n"/>
      <c r="Q304" s="398" t="n"/>
      <c r="R304" s="113" t="n"/>
      <c r="S304" s="113" t="n"/>
      <c r="T304" s="113" t="n"/>
      <c r="U304" s="113" t="n"/>
      <c r="V304" s="113" t="n"/>
    </row>
    <row r="305" ht="15.75" customHeight="1">
      <c r="A305" s="146" t="n">
        <v>7</v>
      </c>
      <c r="B305" s="238" t="n"/>
      <c r="C305" s="399" t="n">
        <v>46062</v>
      </c>
      <c r="D305" s="146" t="inlineStr">
        <is>
          <t>200 G. GARCERAS</t>
        </is>
      </c>
      <c r="E305" s="146" t="n">
        <v>46101</v>
      </c>
      <c r="F305" s="146" t="inlineStr">
        <is>
          <t>JHON ARIAS</t>
        </is>
      </c>
      <c r="G305" s="395" t="n">
        <v>3120</v>
      </c>
      <c r="H305" s="395" t="n">
        <v>3106</v>
      </c>
      <c r="I305" s="395" t="n">
        <v>2</v>
      </c>
      <c r="J305" s="395" t="n">
        <v>1</v>
      </c>
      <c r="K305" s="395" t="n">
        <v>-11</v>
      </c>
      <c r="L305" s="395" t="n">
        <v>3120</v>
      </c>
      <c r="M305" s="113" t="n"/>
      <c r="N305" s="113" t="n"/>
      <c r="O305" s="113" t="n"/>
      <c r="P305" s="398" t="n"/>
      <c r="Q305" s="398" t="n"/>
      <c r="R305" s="113" t="n"/>
      <c r="S305" s="113" t="n"/>
      <c r="T305" s="113" t="n"/>
      <c r="U305" s="113" t="n"/>
      <c r="V305" s="113" t="n"/>
    </row>
    <row r="306" ht="15.75" customHeight="1">
      <c r="A306" s="146" t="n">
        <v>7</v>
      </c>
      <c r="B306" s="238" t="n"/>
      <c r="C306" s="399" t="n">
        <v>46062</v>
      </c>
      <c r="D306" s="146" t="inlineStr">
        <is>
          <t>200 G. GARCERAS</t>
        </is>
      </c>
      <c r="E306" s="146" t="n">
        <v>46102</v>
      </c>
      <c r="F306" s="146" t="inlineStr">
        <is>
          <t>FABIO ALDANA</t>
        </is>
      </c>
      <c r="G306" s="395" t="n">
        <v>3120</v>
      </c>
      <c r="H306" s="395" t="n">
        <v>3113</v>
      </c>
      <c r="I306" s="395" t="n">
        <v>4</v>
      </c>
      <c r="J306" s="395" t="n">
        <v>3</v>
      </c>
      <c r="K306" s="395" t="n">
        <v>0</v>
      </c>
      <c r="L306" s="395" t="n">
        <v>3120</v>
      </c>
      <c r="M306" s="113" t="n"/>
      <c r="N306" s="395">
        <f>G298-H298</f>
        <v/>
      </c>
      <c r="O306" s="113" t="n"/>
      <c r="P306" s="398" t="n"/>
      <c r="Q306" s="398" t="n"/>
      <c r="R306" s="113" t="n"/>
      <c r="S306" s="113" t="n"/>
      <c r="T306" s="113" t="n"/>
      <c r="U306" s="113" t="n"/>
      <c r="V306" s="113" t="n"/>
    </row>
    <row r="307" ht="15.75" customHeight="1">
      <c r="A307" s="146" t="n">
        <v>7</v>
      </c>
      <c r="B307" s="238" t="n"/>
      <c r="C307" s="399" t="n">
        <v>46062</v>
      </c>
      <c r="D307" s="146" t="inlineStr">
        <is>
          <t>200 G. GARCERAS</t>
        </is>
      </c>
      <c r="E307" s="146" t="n">
        <v>46103</v>
      </c>
      <c r="F307" s="146" t="inlineStr">
        <is>
          <t>JAIRO CUBILLOS</t>
        </is>
      </c>
      <c r="G307" s="395" t="n">
        <v>3120</v>
      </c>
      <c r="H307" s="395" t="n">
        <v>3115</v>
      </c>
      <c r="I307" s="395" t="n">
        <v>3</v>
      </c>
      <c r="J307" s="395" t="n">
        <v>4</v>
      </c>
      <c r="K307" s="395" t="n">
        <v>2</v>
      </c>
      <c r="L307" s="395" t="n">
        <v>3120</v>
      </c>
      <c r="M307" s="113" t="n"/>
      <c r="N307" s="113" t="n"/>
      <c r="O307" s="113" t="n"/>
      <c r="P307" s="398" t="n"/>
      <c r="Q307" s="398" t="n"/>
      <c r="R307" s="113" t="n"/>
      <c r="S307" s="113" t="n"/>
      <c r="T307" s="113" t="n"/>
      <c r="U307" s="113" t="n"/>
      <c r="V307" s="113" t="n"/>
    </row>
    <row r="308" ht="15.75" customHeight="1">
      <c r="A308" s="146" t="n">
        <v>7</v>
      </c>
      <c r="B308" s="238" t="n"/>
      <c r="C308" s="399" t="n">
        <v>46062</v>
      </c>
      <c r="D308" s="146" t="inlineStr">
        <is>
          <t>200 G. GARCERAS</t>
        </is>
      </c>
      <c r="E308" s="146" t="n">
        <v>46104</v>
      </c>
      <c r="F308" s="146" t="inlineStr">
        <is>
          <t>ALBERTO HERRERA</t>
        </is>
      </c>
      <c r="G308" s="395" t="n">
        <v>3120</v>
      </c>
      <c r="H308" s="395" t="n">
        <v>3113</v>
      </c>
      <c r="I308" s="395" t="n">
        <v>4</v>
      </c>
      <c r="J308" s="395" t="n">
        <v>3</v>
      </c>
      <c r="K308" s="395" t="n">
        <v>0</v>
      </c>
      <c r="L308" s="395" t="n">
        <v>3120</v>
      </c>
      <c r="M308" s="113" t="n"/>
      <c r="N308" s="113" t="n"/>
      <c r="O308" s="113" t="n"/>
      <c r="P308" s="398" t="n"/>
      <c r="Q308" s="398" t="n"/>
      <c r="R308" s="113" t="n"/>
      <c r="S308" s="113" t="n"/>
      <c r="T308" s="113" t="n"/>
      <c r="U308" s="113" t="n"/>
      <c r="V308" s="113" t="n"/>
    </row>
    <row r="309" ht="15.75" customHeight="1">
      <c r="A309" s="146" t="n">
        <v>7</v>
      </c>
      <c r="B309" s="238" t="n"/>
      <c r="C309" s="399" t="n">
        <v>46062</v>
      </c>
      <c r="D309" s="146" t="inlineStr">
        <is>
          <t>200 G. GARCERAS</t>
        </is>
      </c>
      <c r="E309" s="146" t="n">
        <v>46105</v>
      </c>
      <c r="F309" s="146" t="inlineStr">
        <is>
          <t>ROBINSON PULIDO</t>
        </is>
      </c>
      <c r="G309" s="395" t="n">
        <v>2620</v>
      </c>
      <c r="H309" s="395" t="n">
        <v>2617</v>
      </c>
      <c r="I309" s="395" t="n">
        <v>1</v>
      </c>
      <c r="J309" s="395" t="n">
        <v>2</v>
      </c>
      <c r="K309" s="395" t="n">
        <v>0</v>
      </c>
      <c r="L309" s="395" t="n">
        <v>3120</v>
      </c>
      <c r="M309" s="113" t="n"/>
      <c r="N309" s="113" t="n"/>
      <c r="O309" s="113" t="n"/>
      <c r="P309" s="398" t="n"/>
      <c r="Q309" s="398" t="n"/>
      <c r="R309" s="113" t="n"/>
      <c r="S309" s="113" t="n"/>
      <c r="T309" s="113" t="n"/>
      <c r="U309" s="113" t="n"/>
      <c r="V309" s="113" t="n"/>
    </row>
    <row r="310" ht="15.75" customHeight="1">
      <c r="A310" s="146" t="n">
        <v>7</v>
      </c>
      <c r="B310" s="238" t="n"/>
      <c r="C310" s="399" t="n">
        <v>46062</v>
      </c>
      <c r="D310" s="146" t="inlineStr">
        <is>
          <t>200 G. GARCERAS</t>
        </is>
      </c>
      <c r="E310" s="146" t="n">
        <v>46106</v>
      </c>
      <c r="F310" s="146" t="inlineStr">
        <is>
          <t>ROBINSON PULIDO</t>
        </is>
      </c>
      <c r="G310" s="395" t="n">
        <v>3120</v>
      </c>
      <c r="H310" s="395" t="n">
        <v>3118</v>
      </c>
      <c r="I310" s="395" t="n">
        <v>3</v>
      </c>
      <c r="J310" s="395" t="n">
        <v>1</v>
      </c>
      <c r="K310" s="395" t="n">
        <v>2</v>
      </c>
      <c r="L310" s="395" t="n">
        <v>2620</v>
      </c>
      <c r="M310" s="113" t="n"/>
      <c r="N310" s="113" t="n"/>
      <c r="O310" s="113" t="n"/>
      <c r="P310" s="398" t="n"/>
      <c r="Q310" s="398" t="n"/>
      <c r="R310" s="113" t="n"/>
      <c r="S310" s="113" t="n"/>
      <c r="T310" s="113" t="n"/>
      <c r="U310" s="113" t="n"/>
      <c r="V310" s="113" t="n"/>
    </row>
    <row r="311" ht="15.75" customHeight="1">
      <c r="A311" s="146" t="n">
        <v>7</v>
      </c>
      <c r="B311" s="238" t="n"/>
      <c r="C311" s="399" t="n">
        <v>46063</v>
      </c>
      <c r="D311" s="146" t="inlineStr">
        <is>
          <t>200 G. GARCERAS</t>
        </is>
      </c>
      <c r="E311" s="146" t="n">
        <v>45122</v>
      </c>
      <c r="F311" s="146" t="inlineStr">
        <is>
          <t>ALEX GOMEZ</t>
        </is>
      </c>
      <c r="G311" s="395" t="n">
        <v>3160</v>
      </c>
      <c r="H311" s="395" t="n">
        <v>3157</v>
      </c>
      <c r="I311" s="395" t="n">
        <v>5</v>
      </c>
      <c r="J311" s="395" t="n">
        <v>1</v>
      </c>
      <c r="K311" s="395" t="n">
        <v>3</v>
      </c>
      <c r="L311" s="395" t="n">
        <v>3160</v>
      </c>
      <c r="M311" s="113" t="n"/>
      <c r="N311" s="113" t="n"/>
      <c r="O311" s="113" t="n"/>
      <c r="P311" s="398" t="n"/>
      <c r="Q311" s="398" t="n"/>
      <c r="R311" s="113" t="n"/>
      <c r="S311" s="113" t="n"/>
      <c r="T311" s="113" t="n"/>
      <c r="U311" s="113" t="n"/>
      <c r="V311" s="113" t="n"/>
    </row>
    <row r="312" ht="15.75" customHeight="1">
      <c r="A312" s="146" t="n">
        <v>7</v>
      </c>
      <c r="B312" s="238" t="n"/>
      <c r="C312" s="399" t="n">
        <v>46063</v>
      </c>
      <c r="D312" s="146" t="inlineStr">
        <is>
          <t>200 G. GARCERAS</t>
        </is>
      </c>
      <c r="E312" s="146" t="n">
        <v>46123</v>
      </c>
      <c r="F312" s="146" t="inlineStr">
        <is>
          <t>JOSE SOLER</t>
        </is>
      </c>
      <c r="G312" s="395" t="n">
        <v>3160</v>
      </c>
      <c r="H312" s="395" t="n">
        <v>3155</v>
      </c>
      <c r="I312" s="395" t="n">
        <v>6</v>
      </c>
      <c r="J312" s="395" t="n">
        <v>2</v>
      </c>
      <c r="K312" s="395" t="n">
        <v>3</v>
      </c>
      <c r="L312" s="395" t="n">
        <v>3160</v>
      </c>
      <c r="M312" s="113" t="n"/>
      <c r="N312" s="113" t="n"/>
      <c r="O312" s="113" t="n"/>
      <c r="P312" s="398" t="n"/>
      <c r="Q312" s="398" t="n"/>
      <c r="R312" s="113" t="n"/>
      <c r="S312" s="113" t="n"/>
      <c r="T312" s="113" t="n"/>
      <c r="U312" s="113" t="n"/>
      <c r="V312" s="113" t="n"/>
    </row>
    <row r="313" ht="15.75" customHeight="1">
      <c r="A313" s="146" t="n">
        <v>7</v>
      </c>
      <c r="B313" s="238" t="n"/>
      <c r="C313" s="399" t="n">
        <v>46063</v>
      </c>
      <c r="D313" s="146" t="inlineStr">
        <is>
          <t>200 G. GARCERAS</t>
        </is>
      </c>
      <c r="E313" s="146" t="n">
        <v>46124</v>
      </c>
      <c r="F313" s="146" t="inlineStr">
        <is>
          <t>HENRY ROMERO</t>
        </is>
      </c>
      <c r="G313" s="395" t="n">
        <v>3160</v>
      </c>
      <c r="H313" s="395" t="n">
        <v>3159</v>
      </c>
      <c r="I313" s="395" t="n">
        <v>4</v>
      </c>
      <c r="J313" s="395" t="n">
        <v>1</v>
      </c>
      <c r="K313" s="395" t="n">
        <v>4</v>
      </c>
      <c r="L313" s="395" t="n">
        <v>3160</v>
      </c>
      <c r="M313" s="113" t="n"/>
      <c r="N313" s="113" t="n"/>
      <c r="O313" s="113" t="n"/>
      <c r="P313" s="398" t="n"/>
      <c r="Q313" s="398" t="n"/>
      <c r="R313" s="113" t="n"/>
      <c r="S313" s="113" t="n"/>
      <c r="T313" s="113" t="n"/>
      <c r="U313" s="113" t="n"/>
      <c r="V313" s="113" t="n"/>
    </row>
    <row r="314" ht="15.75" customHeight="1">
      <c r="A314" s="146" t="n">
        <v>7</v>
      </c>
      <c r="B314" s="238" t="n"/>
      <c r="C314" s="399" t="n">
        <v>46063</v>
      </c>
      <c r="D314" s="146" t="inlineStr">
        <is>
          <t>200 G. GARCERAS</t>
        </is>
      </c>
      <c r="E314" s="146" t="n">
        <v>46125</v>
      </c>
      <c r="F314" s="146" t="inlineStr">
        <is>
          <t>ALBERTO LOPEZ</t>
        </is>
      </c>
      <c r="G314" s="395" t="n">
        <v>3160</v>
      </c>
      <c r="H314" s="395" t="n">
        <v>3157</v>
      </c>
      <c r="I314" s="395" t="n">
        <v>4</v>
      </c>
      <c r="J314" s="395" t="n">
        <v>1</v>
      </c>
      <c r="K314" s="395" t="n">
        <v>2</v>
      </c>
      <c r="L314" s="395" t="n">
        <v>3160</v>
      </c>
      <c r="M314" s="113" t="n"/>
      <c r="N314" s="113" t="n"/>
      <c r="O314" s="113" t="n"/>
      <c r="P314" s="398" t="n"/>
      <c r="Q314" s="398" t="n"/>
      <c r="R314" s="113" t="n"/>
      <c r="S314" s="113" t="n"/>
      <c r="T314" s="113" t="n"/>
      <c r="U314" s="113" t="n"/>
      <c r="V314" s="113" t="n"/>
    </row>
    <row r="315" ht="15.75" customHeight="1">
      <c r="A315" s="146" t="n">
        <v>7</v>
      </c>
      <c r="B315" s="238" t="n"/>
      <c r="C315" s="399" t="n">
        <v>46063</v>
      </c>
      <c r="D315" s="146" t="inlineStr">
        <is>
          <t>200 G. GARCERAS</t>
        </is>
      </c>
      <c r="E315" s="146" t="n">
        <v>46126</v>
      </c>
      <c r="F315" s="146" t="inlineStr">
        <is>
          <t>DIEGO NIÑO</t>
        </is>
      </c>
      <c r="G315" s="395" t="n">
        <v>3160</v>
      </c>
      <c r="H315" s="395" t="n">
        <v>3150</v>
      </c>
      <c r="I315" s="395" t="n">
        <v>3</v>
      </c>
      <c r="J315" s="395" t="n">
        <v>7</v>
      </c>
      <c r="K315" s="395" t="n">
        <v>0</v>
      </c>
      <c r="L315" s="395" t="n">
        <v>3160</v>
      </c>
      <c r="M315" s="113" t="n"/>
      <c r="N315" s="113" t="n"/>
      <c r="O315" s="113" t="n"/>
      <c r="P315" s="398" t="n"/>
      <c r="Q315" s="398" t="n"/>
      <c r="R315" s="113" t="n"/>
      <c r="S315" s="113" t="n"/>
      <c r="T315" s="113" t="n"/>
      <c r="U315" s="113" t="n"/>
      <c r="V315" s="113" t="n"/>
    </row>
    <row r="316" ht="15.75" customHeight="1">
      <c r="A316" s="146" t="n">
        <v>7</v>
      </c>
      <c r="B316" s="238" t="n"/>
      <c r="C316" s="399" t="n">
        <v>46063</v>
      </c>
      <c r="D316" s="146" t="inlineStr">
        <is>
          <t>200 G. GARCERAS</t>
        </is>
      </c>
      <c r="E316" s="146" t="n">
        <v>46127</v>
      </c>
      <c r="F316" s="146" t="inlineStr">
        <is>
          <t>YAIR RIVEROS</t>
        </is>
      </c>
      <c r="G316" s="395" t="n">
        <v>3160</v>
      </c>
      <c r="H316" s="395" t="n">
        <v>3147</v>
      </c>
      <c r="I316" s="395" t="n">
        <v>3</v>
      </c>
      <c r="J316" s="395" t="n">
        <v>8</v>
      </c>
      <c r="K316" s="395" t="n">
        <v>-2</v>
      </c>
      <c r="L316" s="395" t="n">
        <v>3160</v>
      </c>
      <c r="M316" s="113" t="n"/>
      <c r="N316" s="113" t="n"/>
      <c r="O316" s="113" t="n"/>
      <c r="P316" s="398" t="n"/>
      <c r="Q316" s="398" t="n"/>
      <c r="R316" s="113" t="n"/>
      <c r="S316" s="113" t="n"/>
      <c r="T316" s="113" t="n"/>
      <c r="U316" s="113" t="n"/>
      <c r="V316" s="113" t="n"/>
    </row>
    <row r="317" ht="15.75" customHeight="1">
      <c r="A317" s="146" t="n">
        <v>7</v>
      </c>
      <c r="B317" s="238" t="n"/>
      <c r="C317" s="399" t="n">
        <v>46063</v>
      </c>
      <c r="D317" s="146" t="inlineStr">
        <is>
          <t>200 G. GARCERAS</t>
        </is>
      </c>
      <c r="E317" s="146" t="n">
        <v>45128</v>
      </c>
      <c r="F317" s="146" t="inlineStr">
        <is>
          <t>FERNANDO OYUELA</t>
        </is>
      </c>
      <c r="G317" s="395" t="n">
        <v>3160</v>
      </c>
      <c r="H317" s="395" t="n">
        <v>3147</v>
      </c>
      <c r="I317" s="395" t="n">
        <v>4</v>
      </c>
      <c r="J317" s="395" t="n">
        <v>9</v>
      </c>
      <c r="K317" s="395" t="n">
        <v>0</v>
      </c>
      <c r="L317" s="395" t="n">
        <v>3160</v>
      </c>
      <c r="M317" s="113" t="n"/>
      <c r="N317" s="113" t="n"/>
      <c r="O317" s="113" t="n"/>
      <c r="P317" s="398" t="n"/>
      <c r="Q317" s="398" t="n"/>
      <c r="R317" s="113" t="n"/>
      <c r="S317" s="113" t="n"/>
      <c r="T317" s="113" t="n"/>
      <c r="U317" s="113" t="n"/>
      <c r="V317" s="113" t="n"/>
    </row>
    <row r="318" ht="15.75" customHeight="1">
      <c r="A318" s="146" t="n">
        <v>7</v>
      </c>
      <c r="B318" s="238" t="n"/>
      <c r="C318" s="399" t="n">
        <v>46063</v>
      </c>
      <c r="D318" s="146" t="inlineStr">
        <is>
          <t>200 G. GARCERAS</t>
        </is>
      </c>
      <c r="E318" s="146" t="n">
        <v>45129</v>
      </c>
      <c r="F318" s="146" t="inlineStr">
        <is>
          <t>EDUAN CAVIEDES</t>
        </is>
      </c>
      <c r="G318" s="395" t="n">
        <v>3160</v>
      </c>
      <c r="H318" s="395" t="n">
        <v>3145</v>
      </c>
      <c r="I318" s="395" t="n">
        <v>3</v>
      </c>
      <c r="J318" s="395" t="n">
        <v>10</v>
      </c>
      <c r="K318" s="395" t="n">
        <v>-2</v>
      </c>
      <c r="L318" s="395" t="n">
        <v>3160</v>
      </c>
      <c r="M318" s="113" t="n"/>
      <c r="N318" s="113" t="n"/>
      <c r="O318" s="113" t="n"/>
      <c r="P318" s="398" t="n"/>
      <c r="Q318" s="398" t="n"/>
      <c r="R318" s="113" t="n"/>
      <c r="S318" s="113" t="n"/>
      <c r="T318" s="113" t="n"/>
      <c r="U318" s="113" t="n"/>
      <c r="V318" s="113" t="n"/>
    </row>
    <row r="319" ht="15.75" customHeight="1">
      <c r="A319" s="146" t="n">
        <v>7</v>
      </c>
      <c r="B319" s="238" t="n"/>
      <c r="C319" s="399" t="n">
        <v>46063</v>
      </c>
      <c r="D319" s="146" t="inlineStr">
        <is>
          <t>200 G. GARCERAS</t>
        </is>
      </c>
      <c r="E319" s="146" t="n">
        <v>45130</v>
      </c>
      <c r="F319" s="146" t="inlineStr">
        <is>
          <t>JAIRO CUBILLOS</t>
        </is>
      </c>
      <c r="G319" s="395" t="n">
        <v>2870</v>
      </c>
      <c r="H319" s="395" t="n">
        <v>2862</v>
      </c>
      <c r="I319" s="395" t="n">
        <v>2</v>
      </c>
      <c r="J319" s="395" t="n">
        <v>6</v>
      </c>
      <c r="K319" s="395" t="n">
        <v>0</v>
      </c>
      <c r="L319" s="395" t="n">
        <v>2870</v>
      </c>
      <c r="M319" s="113" t="n"/>
      <c r="N319" s="113" t="n"/>
      <c r="O319" s="113" t="n"/>
      <c r="P319" s="398" t="n"/>
      <c r="Q319" s="398" t="n"/>
      <c r="R319" s="113" t="n"/>
      <c r="S319" s="113" t="n"/>
      <c r="T319" s="113" t="n"/>
      <c r="U319" s="113" t="n"/>
      <c r="V319" s="113" t="n"/>
    </row>
    <row r="320" ht="15.75" customHeight="1">
      <c r="A320" s="146" t="n">
        <v>7</v>
      </c>
      <c r="B320" s="238" t="n"/>
      <c r="C320" s="495" t="n">
        <v>46064</v>
      </c>
      <c r="D320" s="23" t="inlineStr">
        <is>
          <t>202 G. HUERTAS</t>
        </is>
      </c>
      <c r="E320" s="23" t="n">
        <v>46138</v>
      </c>
      <c r="F320" s="23" t="inlineStr">
        <is>
          <t>ALEX GOMEZ</t>
        </is>
      </c>
      <c r="G320" s="496" t="n">
        <v>2380</v>
      </c>
      <c r="H320" s="496" t="n">
        <v>2363</v>
      </c>
      <c r="I320" s="496" t="n">
        <v>5</v>
      </c>
      <c r="J320" s="496" t="n">
        <v>10</v>
      </c>
      <c r="K320" s="496" t="n">
        <v>-2</v>
      </c>
      <c r="L320" s="395" t="n">
        <v>2380</v>
      </c>
      <c r="M320" s="113" t="n"/>
      <c r="N320" s="113" t="n"/>
      <c r="O320" s="113" t="n"/>
      <c r="P320" s="398" t="n"/>
      <c r="Q320" s="398" t="n"/>
      <c r="R320" s="113" t="n"/>
      <c r="S320" s="113" t="n"/>
      <c r="T320" s="113" t="n"/>
      <c r="U320" s="113" t="n"/>
      <c r="V320" s="113" t="n"/>
    </row>
    <row r="321" ht="15.75" customHeight="1">
      <c r="A321" s="146" t="n">
        <v>7</v>
      </c>
      <c r="B321" s="238" t="n"/>
      <c r="C321" s="495" t="n">
        <v>46064</v>
      </c>
      <c r="D321" s="23" t="inlineStr">
        <is>
          <t>202 G. HUERTAS</t>
        </is>
      </c>
      <c r="E321" s="23" t="n">
        <v>46139</v>
      </c>
      <c r="F321" s="23" t="inlineStr">
        <is>
          <t>MANUEL QUITIAN</t>
        </is>
      </c>
      <c r="G321" s="496" t="n">
        <v>2268</v>
      </c>
      <c r="H321" s="496" t="n">
        <v>2254</v>
      </c>
      <c r="I321" s="496" t="n">
        <v>4</v>
      </c>
      <c r="J321" s="496" t="n">
        <v>8</v>
      </c>
      <c r="K321" s="496" t="n">
        <v>-2</v>
      </c>
      <c r="L321" s="395" t="n">
        <v>2268</v>
      </c>
      <c r="M321" s="113" t="n"/>
      <c r="N321" s="113" t="n"/>
      <c r="O321" s="113" t="n"/>
      <c r="P321" s="398" t="n"/>
      <c r="Q321" s="398" t="n"/>
      <c r="R321" s="113" t="n"/>
      <c r="S321" s="113" t="n"/>
      <c r="T321" s="113" t="n"/>
      <c r="U321" s="113" t="n"/>
      <c r="V321" s="113" t="n"/>
    </row>
    <row r="322" ht="15.75" customHeight="1">
      <c r="A322" s="146" t="n">
        <v>7</v>
      </c>
      <c r="B322" s="238" t="n"/>
      <c r="C322" s="495" t="n">
        <v>46064</v>
      </c>
      <c r="D322" s="23" t="inlineStr">
        <is>
          <t>202 G. HUERTAS</t>
        </is>
      </c>
      <c r="E322" s="23" t="n">
        <v>46140</v>
      </c>
      <c r="F322" s="23" t="inlineStr">
        <is>
          <t>HENRY ROMERO</t>
        </is>
      </c>
      <c r="G322" s="496" t="n">
        <v>2628</v>
      </c>
      <c r="H322" s="496" t="n">
        <v>2616</v>
      </c>
      <c r="I322" s="496" t="n">
        <v>4</v>
      </c>
      <c r="J322" s="496" t="n">
        <v>6</v>
      </c>
      <c r="K322" s="496" t="n">
        <v>-2</v>
      </c>
      <c r="L322" s="395" t="n">
        <v>2628</v>
      </c>
      <c r="M322" s="113" t="n"/>
      <c r="N322" s="113" t="n"/>
      <c r="O322" s="113" t="n"/>
      <c r="P322" s="398" t="n"/>
      <c r="Q322" s="398" t="n"/>
      <c r="R322" s="113" t="n"/>
      <c r="S322" s="113" t="n"/>
      <c r="T322" s="113" t="n"/>
      <c r="U322" s="113" t="n"/>
      <c r="V322" s="113" t="n"/>
    </row>
    <row r="323" ht="15.75" customHeight="1">
      <c r="A323" s="146" t="n">
        <v>7</v>
      </c>
      <c r="B323" s="238" t="n"/>
      <c r="C323" s="399" t="n">
        <v>46064</v>
      </c>
      <c r="D323" s="146" t="inlineStr">
        <is>
          <t>200 G. GARCERAS</t>
        </is>
      </c>
      <c r="E323" s="146" t="n">
        <v>46141</v>
      </c>
      <c r="F323" s="146" t="inlineStr">
        <is>
          <t>JAIRO CUBILLOS</t>
        </is>
      </c>
      <c r="G323" s="395" t="n">
        <v>3080</v>
      </c>
      <c r="H323" s="395" t="n">
        <v>3063</v>
      </c>
      <c r="I323" s="395" t="n">
        <v>3</v>
      </c>
      <c r="J323" s="395" t="n">
        <v>6</v>
      </c>
      <c r="K323" s="395" t="n">
        <v>-8</v>
      </c>
      <c r="L323" s="395" t="n">
        <v>3080</v>
      </c>
      <c r="M323" s="113" t="n"/>
      <c r="N323" s="113" t="n"/>
      <c r="O323" s="113" t="n"/>
      <c r="P323" s="398" t="n"/>
      <c r="Q323" s="398" t="n"/>
      <c r="R323" s="113" t="n"/>
      <c r="S323" s="113" t="n"/>
      <c r="T323" s="113" t="n"/>
      <c r="U323" s="113" t="n"/>
      <c r="V323" s="113" t="n"/>
    </row>
    <row r="324" ht="15.75" customHeight="1">
      <c r="A324" s="146" t="n">
        <v>7</v>
      </c>
      <c r="B324" s="238" t="n"/>
      <c r="C324" s="399" t="n">
        <v>46064</v>
      </c>
      <c r="D324" s="146" t="inlineStr">
        <is>
          <t>200 G. GARCERAS</t>
        </is>
      </c>
      <c r="E324" s="146" t="n">
        <v>46142</v>
      </c>
      <c r="F324" s="146" t="inlineStr">
        <is>
          <t>YAIR RIVEROS</t>
        </is>
      </c>
      <c r="G324" s="395" t="n">
        <v>3080</v>
      </c>
      <c r="H324" s="395" t="n">
        <v>3071</v>
      </c>
      <c r="I324" s="395" t="n">
        <v>4</v>
      </c>
      <c r="J324" s="395" t="n">
        <v>3</v>
      </c>
      <c r="K324" s="395" t="n">
        <v>-2</v>
      </c>
      <c r="L324" s="395" t="n">
        <v>3080</v>
      </c>
      <c r="M324" s="113" t="n"/>
      <c r="N324" s="113" t="n"/>
      <c r="O324" s="113" t="n"/>
      <c r="P324" s="398" t="n"/>
      <c r="Q324" s="398" t="n"/>
      <c r="R324" s="113" t="n"/>
      <c r="S324" s="113" t="n"/>
      <c r="T324" s="113" t="n"/>
      <c r="U324" s="113" t="n"/>
      <c r="V324" s="113" t="n"/>
    </row>
    <row r="325" ht="15.75" customHeight="1">
      <c r="A325" s="146" t="n">
        <v>7</v>
      </c>
      <c r="B325" s="238" t="n"/>
      <c r="C325" s="399" t="n">
        <v>46064</v>
      </c>
      <c r="D325" s="146" t="inlineStr">
        <is>
          <t>200 G. GARCERAS</t>
        </is>
      </c>
      <c r="E325" s="146" t="n">
        <v>46143</v>
      </c>
      <c r="F325" s="146" t="inlineStr">
        <is>
          <t>FABIO ALDANA</t>
        </is>
      </c>
      <c r="G325" s="395" t="n">
        <v>3080</v>
      </c>
      <c r="H325" s="395" t="n">
        <v>3069</v>
      </c>
      <c r="I325" s="395" t="n">
        <v>3</v>
      </c>
      <c r="J325" s="395" t="n">
        <v>6</v>
      </c>
      <c r="K325" s="395" t="n">
        <v>-2</v>
      </c>
      <c r="L325" s="395" t="n">
        <v>3080</v>
      </c>
      <c r="M325" s="113" t="n"/>
      <c r="N325" s="113" t="n"/>
      <c r="O325" s="113" t="n"/>
      <c r="P325" s="398" t="n"/>
      <c r="Q325" s="398" t="n"/>
      <c r="R325" s="113" t="n"/>
      <c r="S325" s="113" t="n"/>
      <c r="T325" s="113" t="n"/>
      <c r="U325" s="113" t="n"/>
      <c r="V325" s="113" t="n"/>
    </row>
    <row r="326" ht="15.75" customHeight="1">
      <c r="A326" s="146" t="n">
        <v>7</v>
      </c>
      <c r="B326" s="238" t="n"/>
      <c r="C326" s="399" t="n">
        <v>46064</v>
      </c>
      <c r="D326" s="146" t="inlineStr">
        <is>
          <t>200 G. GARCERAS</t>
        </is>
      </c>
      <c r="E326" s="146" t="n">
        <v>44144</v>
      </c>
      <c r="F326" s="146" t="inlineStr">
        <is>
          <t>JHON ARIAS</t>
        </is>
      </c>
      <c r="G326" s="395" t="n">
        <v>3080</v>
      </c>
      <c r="H326" s="395" t="n">
        <v>3072</v>
      </c>
      <c r="I326" s="395" t="n">
        <v>3</v>
      </c>
      <c r="J326" s="395" t="n">
        <v>3</v>
      </c>
      <c r="K326" s="395" t="n">
        <v>-2</v>
      </c>
      <c r="L326" s="395" t="n">
        <v>3080</v>
      </c>
      <c r="M326" s="113" t="n"/>
      <c r="N326" s="113" t="n"/>
      <c r="O326" s="113" t="n"/>
      <c r="P326" s="398" t="n"/>
      <c r="Q326" s="398" t="n"/>
      <c r="R326" s="113" t="n"/>
      <c r="S326" s="113" t="n"/>
      <c r="T326" s="113" t="n"/>
      <c r="U326" s="113" t="n"/>
      <c r="V326" s="113" t="n"/>
    </row>
    <row r="327" ht="15.75" customHeight="1">
      <c r="A327" s="146" t="n">
        <v>7</v>
      </c>
      <c r="B327" s="238" t="n"/>
      <c r="C327" s="399" t="n">
        <v>46064</v>
      </c>
      <c r="D327" s="146" t="inlineStr">
        <is>
          <t>200 G. GARCERAS</t>
        </is>
      </c>
      <c r="E327" s="146" t="n">
        <v>44145</v>
      </c>
      <c r="F327" s="146" t="inlineStr">
        <is>
          <t>ROBINSON PULIDO</t>
        </is>
      </c>
      <c r="G327" s="395" t="n">
        <v>3080</v>
      </c>
      <c r="H327" s="395" t="n">
        <v>3067</v>
      </c>
      <c r="I327" s="395" t="n">
        <v>6</v>
      </c>
      <c r="J327" s="395" t="n">
        <v>3</v>
      </c>
      <c r="K327" s="395" t="n">
        <v>-4</v>
      </c>
      <c r="L327" s="395" t="n">
        <v>3080</v>
      </c>
      <c r="M327" s="113" t="n"/>
      <c r="N327" s="113" t="n"/>
      <c r="O327" s="113" t="n"/>
      <c r="P327" s="398" t="n"/>
      <c r="Q327" s="398" t="n"/>
      <c r="R327" s="113" t="n"/>
      <c r="S327" s="113" t="n"/>
      <c r="T327" s="113" t="n"/>
      <c r="U327" s="113" t="n"/>
      <c r="V327" s="113" t="n"/>
    </row>
    <row r="328" ht="15.75" customHeight="1">
      <c r="A328" s="146" t="n">
        <v>7</v>
      </c>
      <c r="B328" s="238" t="n"/>
      <c r="C328" s="399" t="n">
        <v>46064</v>
      </c>
      <c r="D328" s="146" t="inlineStr">
        <is>
          <t>200 G. GARCERAS</t>
        </is>
      </c>
      <c r="E328" s="146" t="n">
        <v>44146</v>
      </c>
      <c r="F328" s="146" t="inlineStr">
        <is>
          <t>ALBERTO HERRERA</t>
        </is>
      </c>
      <c r="G328" s="395" t="n">
        <v>3160</v>
      </c>
      <c r="H328" s="395" t="n">
        <v>3152</v>
      </c>
      <c r="I328" s="395" t="n">
        <v>4</v>
      </c>
      <c r="J328" s="395" t="n">
        <v>1</v>
      </c>
      <c r="K328" s="395" t="n">
        <v>-3</v>
      </c>
      <c r="L328" s="395" t="n">
        <v>3050</v>
      </c>
      <c r="M328" s="113" t="n"/>
      <c r="N328" s="113" t="n"/>
      <c r="O328" s="113" t="n"/>
      <c r="P328" s="398" t="n"/>
      <c r="Q328" s="398" t="n"/>
      <c r="R328" s="113" t="n"/>
      <c r="S328" s="113" t="n"/>
      <c r="T328" s="113" t="n"/>
      <c r="U328" s="113" t="n"/>
      <c r="V328" s="113" t="n"/>
    </row>
    <row r="329" ht="15.75" customHeight="1">
      <c r="A329" s="146" t="n">
        <v>7</v>
      </c>
      <c r="B329" s="238" t="n"/>
      <c r="C329" s="399" t="n">
        <v>46064</v>
      </c>
      <c r="D329" s="146" t="inlineStr">
        <is>
          <t>200 G. GARCERAS</t>
        </is>
      </c>
      <c r="E329" s="146" t="n">
        <v>46147</v>
      </c>
      <c r="F329" s="146" t="inlineStr">
        <is>
          <t>ALBERTO LOPEZ</t>
        </is>
      </c>
      <c r="G329" s="395" t="n">
        <v>3160</v>
      </c>
      <c r="H329" s="395" t="n">
        <v>3154</v>
      </c>
      <c r="I329" s="395" t="n">
        <v>3</v>
      </c>
      <c r="J329" s="395" t="n">
        <v>1</v>
      </c>
      <c r="K329" s="395" t="n">
        <v>-2</v>
      </c>
      <c r="L329" s="395" t="n">
        <v>3160</v>
      </c>
      <c r="M329" s="113" t="n"/>
      <c r="N329" s="113" t="n"/>
      <c r="O329" s="113" t="n"/>
      <c r="P329" s="398" t="n"/>
      <c r="Q329" s="398" t="n"/>
      <c r="R329" s="113" t="n"/>
      <c r="S329" s="113" t="n"/>
      <c r="T329" s="113" t="n"/>
      <c r="U329" s="113" t="n"/>
      <c r="V329" s="113" t="n"/>
    </row>
    <row r="330" ht="15.75" customHeight="1">
      <c r="A330" s="146" t="n">
        <v>7</v>
      </c>
      <c r="B330" s="238" t="n"/>
      <c r="C330" s="399" t="n">
        <v>46064</v>
      </c>
      <c r="D330" s="146" t="inlineStr">
        <is>
          <t>200 G. GARCERAS</t>
        </is>
      </c>
      <c r="E330" s="146" t="n">
        <v>46148</v>
      </c>
      <c r="F330" s="146" t="inlineStr">
        <is>
          <t>JOSE SOLER</t>
        </is>
      </c>
      <c r="G330" s="395" t="n">
        <v>3160</v>
      </c>
      <c r="H330" s="395" t="n">
        <v>3152</v>
      </c>
      <c r="I330" s="395" t="n">
        <v>3</v>
      </c>
      <c r="J330" s="395" t="n">
        <v>3</v>
      </c>
      <c r="K330" s="395" t="n">
        <v>-2</v>
      </c>
      <c r="L330" s="395" t="n">
        <v>3160</v>
      </c>
      <c r="M330" s="113" t="n"/>
      <c r="N330" s="113" t="n"/>
      <c r="O330" s="113" t="n"/>
      <c r="P330" s="398" t="n"/>
      <c r="Q330" s="398" t="n"/>
      <c r="R330" s="113" t="n"/>
      <c r="S330" s="113" t="n"/>
      <c r="T330" s="113" t="n"/>
      <c r="U330" s="113" t="n"/>
      <c r="V330" s="113" t="n"/>
    </row>
    <row r="331" ht="15.75" customHeight="1">
      <c r="A331" s="146" t="n">
        <v>7</v>
      </c>
      <c r="B331" s="238" t="n"/>
      <c r="C331" s="399" t="n">
        <v>46064</v>
      </c>
      <c r="D331" s="146" t="inlineStr">
        <is>
          <t>200 G. GARCERAS</t>
        </is>
      </c>
      <c r="E331" s="146" t="n">
        <v>46149</v>
      </c>
      <c r="F331" s="146" t="inlineStr">
        <is>
          <t>DIEGO NIÑO</t>
        </is>
      </c>
      <c r="G331" s="395" t="n">
        <v>3160</v>
      </c>
      <c r="H331" s="395" t="n">
        <v>3153</v>
      </c>
      <c r="I331" s="395" t="n">
        <v>2</v>
      </c>
      <c r="J331" s="395" t="n">
        <v>2</v>
      </c>
      <c r="K331" s="395" t="n">
        <v>-3</v>
      </c>
      <c r="L331" s="395" t="n">
        <v>3160</v>
      </c>
      <c r="M331" s="113" t="n"/>
      <c r="N331" s="113" t="n"/>
      <c r="O331" s="113" t="n"/>
      <c r="P331" s="398" t="n"/>
      <c r="Q331" s="398" t="n"/>
      <c r="R331" s="113" t="n"/>
      <c r="S331" s="113" t="n"/>
      <c r="T331" s="113" t="n"/>
      <c r="U331" s="113" t="n"/>
      <c r="V331" s="113" t="n"/>
    </row>
    <row r="332" ht="15.75" customHeight="1">
      <c r="A332" s="146" t="n">
        <v>7</v>
      </c>
      <c r="B332" s="238" t="n"/>
      <c r="C332" s="399" t="n">
        <v>46064</v>
      </c>
      <c r="D332" s="146" t="inlineStr">
        <is>
          <t>200 G. GARCERAS</t>
        </is>
      </c>
      <c r="E332" s="146" t="n">
        <v>46150</v>
      </c>
      <c r="F332" s="146" t="inlineStr">
        <is>
          <t>FERNANDO OYUELA</t>
        </is>
      </c>
      <c r="G332" s="395" t="n">
        <v>3240</v>
      </c>
      <c r="H332" s="395" t="n">
        <v>3232</v>
      </c>
      <c r="I332" s="395" t="n">
        <v>2</v>
      </c>
      <c r="J332" s="395" t="n">
        <v>4</v>
      </c>
      <c r="K332" s="395" t="n">
        <v>-2</v>
      </c>
      <c r="L332" s="395" t="n">
        <v>3240</v>
      </c>
      <c r="M332" s="113" t="n"/>
      <c r="N332" s="113" t="n"/>
      <c r="O332" s="113" t="n"/>
      <c r="P332" s="398" t="n"/>
      <c r="Q332" s="398" t="n"/>
      <c r="R332" s="113" t="n"/>
      <c r="S332" s="113" t="n"/>
      <c r="T332" s="113" t="n"/>
      <c r="U332" s="113" t="n"/>
      <c r="V332" s="113" t="n"/>
    </row>
    <row r="333" ht="15.75" customHeight="1">
      <c r="A333" s="146" t="n">
        <v>7</v>
      </c>
      <c r="B333" s="238" t="n"/>
      <c r="C333" s="399" t="n">
        <v>46064</v>
      </c>
      <c r="D333" s="146" t="inlineStr">
        <is>
          <t>200 G. GARCERAS</t>
        </is>
      </c>
      <c r="E333" s="146" t="n">
        <v>46151</v>
      </c>
      <c r="F333" s="146" t="inlineStr">
        <is>
          <t>EDUAN CAVIEDES</t>
        </is>
      </c>
      <c r="G333" s="395" t="n">
        <v>3240</v>
      </c>
      <c r="H333" s="395" t="n">
        <v>3233</v>
      </c>
      <c r="I333" s="395" t="n">
        <v>2</v>
      </c>
      <c r="J333" s="395" t="n">
        <v>1</v>
      </c>
      <c r="K333" s="395" t="n">
        <v>-4</v>
      </c>
      <c r="L333" s="395" t="n">
        <v>3240</v>
      </c>
      <c r="M333" s="113" t="n"/>
      <c r="N333" s="113" t="n"/>
      <c r="O333" s="113" t="n"/>
      <c r="P333" s="398" t="n"/>
      <c r="Q333" s="398" t="n"/>
      <c r="R333" s="113" t="n"/>
      <c r="S333" s="113" t="n"/>
      <c r="T333" s="113" t="n"/>
      <c r="U333" s="113" t="n"/>
      <c r="V333" s="113" t="n"/>
    </row>
    <row r="334" ht="15.75" customHeight="1">
      <c r="A334" s="146" t="n">
        <v>7</v>
      </c>
      <c r="B334" s="238" t="n"/>
      <c r="C334" s="399" t="n">
        <v>46065</v>
      </c>
      <c r="D334" s="146" t="inlineStr">
        <is>
          <t>200 G. GARCERAS</t>
        </is>
      </c>
      <c r="E334" s="146" t="n">
        <v>46152</v>
      </c>
      <c r="F334" s="146" t="inlineStr">
        <is>
          <t>ALBERTO LOPEZ</t>
        </is>
      </c>
      <c r="G334" s="395" t="n">
        <v>2880</v>
      </c>
      <c r="H334" s="395" t="n">
        <v>2877</v>
      </c>
      <c r="I334" s="395" t="n">
        <v>3</v>
      </c>
      <c r="J334" s="395" t="n">
        <v>3</v>
      </c>
      <c r="K334" s="395" t="n">
        <v>3</v>
      </c>
      <c r="L334" s="395" t="n">
        <v>2880</v>
      </c>
      <c r="M334" s="113" t="n"/>
      <c r="N334" s="113" t="n"/>
      <c r="O334" s="113" t="n"/>
      <c r="P334" s="398" t="n"/>
      <c r="Q334" s="398" t="n"/>
      <c r="R334" s="113" t="n"/>
      <c r="S334" s="113" t="n"/>
      <c r="T334" s="113" t="n"/>
      <c r="U334" s="113" t="n"/>
      <c r="V334" s="113" t="n"/>
    </row>
    <row r="335" ht="15.75" customHeight="1">
      <c r="A335" s="146" t="n">
        <v>7</v>
      </c>
      <c r="B335" s="238" t="n"/>
      <c r="C335" s="399" t="n">
        <v>46065</v>
      </c>
      <c r="D335" s="146" t="inlineStr">
        <is>
          <t>200 G. GARCERAS</t>
        </is>
      </c>
      <c r="E335" s="146" t="n">
        <v>45153</v>
      </c>
      <c r="F335" s="146" t="inlineStr">
        <is>
          <t>DIEGO NIÑO</t>
        </is>
      </c>
      <c r="G335" s="395" t="n">
        <v>3180</v>
      </c>
      <c r="H335" s="395" t="n">
        <v>3176</v>
      </c>
      <c r="I335" s="395" t="n">
        <v>4</v>
      </c>
      <c r="J335" s="395" t="n">
        <v>2</v>
      </c>
      <c r="K335" s="395" t="n">
        <v>2</v>
      </c>
      <c r="L335" s="395" t="n">
        <v>3180</v>
      </c>
      <c r="M335" s="113" t="n"/>
      <c r="N335" s="113" t="n"/>
      <c r="O335" s="113" t="n"/>
      <c r="P335" s="398" t="n"/>
      <c r="Q335" s="398" t="n"/>
      <c r="R335" s="113" t="n"/>
      <c r="S335" s="113" t="n"/>
      <c r="T335" s="113" t="n"/>
      <c r="U335" s="113" t="n"/>
      <c r="V335" s="113" t="n"/>
    </row>
    <row r="336" ht="15.75" customHeight="1">
      <c r="A336" s="146" t="n">
        <v>7</v>
      </c>
      <c r="B336" s="238" t="n"/>
      <c r="C336" s="399" t="n">
        <v>46065</v>
      </c>
      <c r="D336" s="146" t="inlineStr">
        <is>
          <t>200 G. GARCERAS</t>
        </is>
      </c>
      <c r="E336" s="146" t="n">
        <v>45154</v>
      </c>
      <c r="F336" s="146" t="inlineStr">
        <is>
          <t>ALBERTO HERRERA</t>
        </is>
      </c>
      <c r="G336" s="395" t="n">
        <v>3184</v>
      </c>
      <c r="H336" s="395" t="n">
        <v>3175</v>
      </c>
      <c r="I336" s="395" t="n">
        <v>5</v>
      </c>
      <c r="J336" s="395" t="n">
        <v>1</v>
      </c>
      <c r="K336" s="395" t="n">
        <v>-3</v>
      </c>
      <c r="L336" s="395" t="n">
        <v>3180</v>
      </c>
      <c r="M336" s="113" t="n"/>
      <c r="N336" s="113" t="n"/>
      <c r="O336" s="113" t="n"/>
      <c r="P336" s="398" t="n"/>
      <c r="Q336" s="398" t="n"/>
      <c r="R336" s="113" t="n"/>
      <c r="S336" s="113" t="n"/>
      <c r="T336" s="113" t="n"/>
      <c r="U336" s="113" t="n"/>
      <c r="V336" s="113" t="n"/>
    </row>
    <row r="337" ht="15.75" customHeight="1">
      <c r="A337" s="146" t="n">
        <v>7</v>
      </c>
      <c r="B337" s="238" t="n"/>
      <c r="C337" s="399" t="n">
        <v>46065</v>
      </c>
      <c r="D337" s="146" t="inlineStr">
        <is>
          <t>200 G. GARCERAS</t>
        </is>
      </c>
      <c r="E337" s="146" t="n">
        <v>45155</v>
      </c>
      <c r="F337" s="146" t="inlineStr">
        <is>
          <t>FERNANDO OYUELA</t>
        </is>
      </c>
      <c r="G337" s="395" t="n">
        <v>3180</v>
      </c>
      <c r="H337" s="395" t="n">
        <v>3176</v>
      </c>
      <c r="I337" s="395" t="n">
        <v>5</v>
      </c>
      <c r="J337" s="395" t="n">
        <v>1</v>
      </c>
      <c r="K337" s="395" t="n">
        <v>2</v>
      </c>
      <c r="L337" s="395" t="n">
        <v>3180</v>
      </c>
      <c r="M337" s="113" t="n"/>
      <c r="N337" s="113" t="n"/>
      <c r="O337" s="113" t="n"/>
      <c r="P337" s="398" t="n"/>
      <c r="Q337" s="398" t="n"/>
      <c r="R337" s="113" t="n"/>
      <c r="S337" s="113" t="n"/>
      <c r="T337" s="113" t="n"/>
      <c r="U337" s="113" t="n"/>
      <c r="V337" s="113" t="n"/>
    </row>
    <row r="338" ht="15.75" customHeight="1">
      <c r="A338" s="146" t="n">
        <v>7</v>
      </c>
      <c r="B338" s="238" t="n"/>
      <c r="C338" s="399" t="n">
        <v>46065</v>
      </c>
      <c r="D338" s="146" t="inlineStr">
        <is>
          <t>200 G. GARCERAS</t>
        </is>
      </c>
      <c r="E338" s="146" t="n">
        <v>45156</v>
      </c>
      <c r="F338" s="146" t="inlineStr">
        <is>
          <t>EDWIN ROJAS</t>
        </is>
      </c>
      <c r="G338" s="395" t="n">
        <v>3180</v>
      </c>
      <c r="H338" s="395" t="n">
        <v>3176</v>
      </c>
      <c r="I338" s="395" t="n">
        <v>5</v>
      </c>
      <c r="J338" s="395" t="n">
        <v>0</v>
      </c>
      <c r="K338" s="395" t="n">
        <v>1</v>
      </c>
      <c r="L338" s="395" t="n">
        <v>3180</v>
      </c>
      <c r="M338" s="113" t="n"/>
      <c r="N338" s="113" t="n"/>
      <c r="O338" s="113" t="n"/>
      <c r="P338" s="398" t="n"/>
      <c r="Q338" s="398" t="n"/>
      <c r="R338" s="113" t="n"/>
      <c r="S338" s="113" t="n"/>
      <c r="T338" s="113" t="n"/>
      <c r="U338" s="113" t="n"/>
      <c r="V338" s="113" t="n"/>
    </row>
    <row r="339" ht="15.75" customHeight="1">
      <c r="A339" s="146" t="n">
        <v>7</v>
      </c>
      <c r="B339" s="238" t="n"/>
      <c r="C339" s="399" t="n">
        <v>46065</v>
      </c>
      <c r="D339" s="146" t="inlineStr">
        <is>
          <t>200 G. GARCERAS</t>
        </is>
      </c>
      <c r="E339" s="146" t="n">
        <v>45157</v>
      </c>
      <c r="F339" s="146" t="inlineStr">
        <is>
          <t>HENRY ROMERO</t>
        </is>
      </c>
      <c r="G339" s="395" t="n">
        <v>3180</v>
      </c>
      <c r="H339" s="395" t="n">
        <v>3176</v>
      </c>
      <c r="I339" s="395" t="n">
        <v>4</v>
      </c>
      <c r="J339" s="395" t="n">
        <v>2</v>
      </c>
      <c r="K339" s="395" t="n">
        <v>2</v>
      </c>
      <c r="L339" s="395" t="n">
        <v>3180</v>
      </c>
      <c r="M339" s="113" t="n"/>
      <c r="N339" s="113" t="n"/>
      <c r="O339" s="113" t="n"/>
      <c r="P339" s="398" t="n"/>
      <c r="Q339" s="398" t="n"/>
      <c r="R339" s="113" t="n"/>
      <c r="S339" s="113" t="n"/>
      <c r="T339" s="113" t="n"/>
      <c r="U339" s="113" t="n"/>
      <c r="V339" s="113" t="n"/>
    </row>
    <row r="340" ht="15.75" customHeight="1">
      <c r="A340" s="146" t="n">
        <v>7</v>
      </c>
      <c r="B340" s="238" t="n"/>
      <c r="C340" s="399" t="n">
        <v>46065</v>
      </c>
      <c r="D340" s="146" t="inlineStr">
        <is>
          <t>200 G. GARCERAS</t>
        </is>
      </c>
      <c r="E340" s="146" t="n">
        <v>45158</v>
      </c>
      <c r="F340" s="146" t="inlineStr">
        <is>
          <t>JAIRO CUBILLOS</t>
        </is>
      </c>
      <c r="G340" s="395" t="n">
        <v>3240</v>
      </c>
      <c r="H340" s="395" t="n">
        <v>3236</v>
      </c>
      <c r="I340" s="395" t="n">
        <v>3</v>
      </c>
      <c r="J340" s="395" t="n">
        <v>3</v>
      </c>
      <c r="K340" s="395" t="n">
        <v>2</v>
      </c>
      <c r="L340" s="395" t="n">
        <v>3240</v>
      </c>
      <c r="M340" s="113" t="n"/>
      <c r="N340" s="113" t="n"/>
      <c r="O340" s="113" t="n"/>
      <c r="P340" s="398" t="n"/>
      <c r="Q340" s="398" t="n"/>
      <c r="R340" s="113" t="n"/>
      <c r="S340" s="113" t="n"/>
      <c r="T340" s="113" t="n"/>
      <c r="U340" s="113" t="n"/>
      <c r="V340" s="113" t="n"/>
    </row>
    <row r="341" ht="15.75" customHeight="1">
      <c r="A341" s="146" t="n">
        <v>7</v>
      </c>
      <c r="B341" s="238" t="n"/>
      <c r="C341" s="399" t="n">
        <v>46065</v>
      </c>
      <c r="D341" s="146" t="inlineStr">
        <is>
          <t>200 G. GARCERAS</t>
        </is>
      </c>
      <c r="E341" s="146" t="n">
        <v>46159</v>
      </c>
      <c r="F341" s="146" t="inlineStr">
        <is>
          <t>JHON ARIAS</t>
        </is>
      </c>
      <c r="G341" s="395" t="n">
        <v>3240</v>
      </c>
      <c r="H341" s="395" t="n">
        <v>3232</v>
      </c>
      <c r="I341" s="395" t="n">
        <v>5</v>
      </c>
      <c r="J341" s="395" t="n">
        <v>4</v>
      </c>
      <c r="K341" s="395" t="n">
        <v>1</v>
      </c>
      <c r="L341" s="395" t="n">
        <v>3240</v>
      </c>
      <c r="M341" s="113" t="n"/>
      <c r="N341" s="113" t="n"/>
      <c r="O341" s="113" t="n"/>
      <c r="P341" s="398" t="n"/>
      <c r="Q341" s="398" t="n"/>
      <c r="R341" s="113" t="n"/>
      <c r="S341" s="113" t="n"/>
      <c r="T341" s="113" t="n"/>
      <c r="U341" s="113" t="n"/>
      <c r="V341" s="113" t="n"/>
    </row>
    <row r="342" ht="15.75" customHeight="1">
      <c r="A342" s="146" t="n">
        <v>7</v>
      </c>
      <c r="B342" s="238" t="n"/>
      <c r="C342" s="399" t="n">
        <v>46065</v>
      </c>
      <c r="D342" s="146" t="inlineStr">
        <is>
          <t>200 G. GARCERAS</t>
        </is>
      </c>
      <c r="E342" s="146" t="n">
        <v>46160</v>
      </c>
      <c r="F342" s="146" t="inlineStr">
        <is>
          <t>EDUAN CAVIEDES</t>
        </is>
      </c>
      <c r="G342" s="395" t="n">
        <v>3010</v>
      </c>
      <c r="H342" s="395" t="n">
        <v>2997</v>
      </c>
      <c r="I342" s="395" t="n">
        <v>4</v>
      </c>
      <c r="J342" s="395" t="n">
        <v>3</v>
      </c>
      <c r="K342" s="395" t="n">
        <v>-6</v>
      </c>
      <c r="L342" s="395" t="n">
        <v>3010</v>
      </c>
      <c r="M342" s="113" t="n"/>
      <c r="N342" s="113" t="n"/>
      <c r="O342" s="113" t="n"/>
      <c r="P342" s="398" t="n"/>
      <c r="Q342" s="398" t="n"/>
      <c r="R342" s="113" t="n"/>
      <c r="S342" s="113" t="n"/>
      <c r="T342" s="113" t="n"/>
      <c r="U342" s="113" t="n"/>
      <c r="V342" s="113" t="n"/>
    </row>
    <row r="343" ht="15.75" customHeight="1">
      <c r="A343" s="146" t="n">
        <v>7</v>
      </c>
      <c r="B343" s="238" t="n"/>
      <c r="C343" s="399" t="n">
        <v>46065</v>
      </c>
      <c r="D343" s="146" t="inlineStr">
        <is>
          <t>200 G. GARCERAS</t>
        </is>
      </c>
      <c r="E343" s="146" t="n">
        <v>45161</v>
      </c>
      <c r="F343" s="146" t="inlineStr">
        <is>
          <t>JOSE  SOLER</t>
        </is>
      </c>
      <c r="G343" s="395" t="n">
        <v>3010</v>
      </c>
      <c r="H343" s="395" t="n">
        <v>3000</v>
      </c>
      <c r="I343" s="395" t="n">
        <v>4</v>
      </c>
      <c r="J343" s="395" t="n">
        <v>1</v>
      </c>
      <c r="K343" s="395" t="n">
        <v>-5</v>
      </c>
      <c r="L343" s="395" t="n">
        <v>3010</v>
      </c>
      <c r="M343" s="113" t="n"/>
      <c r="N343" s="113" t="n"/>
      <c r="O343" s="113" t="n"/>
      <c r="P343" s="398" t="n"/>
      <c r="Q343" s="398" t="n"/>
      <c r="R343" s="113" t="n"/>
      <c r="S343" s="113" t="n"/>
      <c r="T343" s="113" t="n"/>
      <c r="U343" s="113" t="n"/>
      <c r="V343" s="113" t="n"/>
    </row>
    <row r="344" ht="15.75" customHeight="1">
      <c r="A344" s="146" t="n">
        <v>7</v>
      </c>
      <c r="B344" s="238" t="n"/>
      <c r="C344" s="399" t="n">
        <v>46065</v>
      </c>
      <c r="D344" s="146" t="inlineStr">
        <is>
          <t>221 G. MALAGUEÑA</t>
        </is>
      </c>
      <c r="E344" s="146" t="n">
        <v>45162</v>
      </c>
      <c r="F344" s="146" t="inlineStr">
        <is>
          <t>MANUEL QUITIAN</t>
        </is>
      </c>
      <c r="G344" s="395" t="n">
        <v>3240</v>
      </c>
      <c r="H344" s="395" t="n">
        <v>3228</v>
      </c>
      <c r="I344" s="395" t="n">
        <v>4</v>
      </c>
      <c r="J344" s="395" t="n">
        <v>2</v>
      </c>
      <c r="K344" s="395" t="n">
        <v>-6</v>
      </c>
      <c r="L344" s="395" t="n">
        <v>3240</v>
      </c>
      <c r="M344" s="113" t="n"/>
      <c r="N344" s="113" t="n"/>
      <c r="O344" s="113" t="n"/>
      <c r="P344" s="398" t="n"/>
      <c r="Q344" s="398" t="n"/>
      <c r="R344" s="113" t="n"/>
      <c r="S344" s="113" t="n"/>
      <c r="T344" s="113" t="n"/>
      <c r="U344" s="113" t="n"/>
      <c r="V344" s="113" t="n"/>
    </row>
    <row r="345" ht="15.75" customHeight="1">
      <c r="A345" s="146" t="n">
        <v>7</v>
      </c>
      <c r="B345" s="238" t="n"/>
      <c r="C345" s="399" t="n">
        <v>46065</v>
      </c>
      <c r="D345" s="146" t="inlineStr">
        <is>
          <t>221 G. MALAGUEÑA</t>
        </is>
      </c>
      <c r="E345" s="146" t="n">
        <v>45163</v>
      </c>
      <c r="F345" s="146" t="inlineStr">
        <is>
          <t>WILMER PIÑEROS</t>
        </is>
      </c>
      <c r="G345" s="395" t="n">
        <v>3240</v>
      </c>
      <c r="H345" s="395" t="n">
        <v>3228</v>
      </c>
      <c r="I345" s="395" t="n">
        <v>4</v>
      </c>
      <c r="J345" s="395" t="n">
        <v>2</v>
      </c>
      <c r="K345" s="395" t="n">
        <v>-6</v>
      </c>
      <c r="L345" s="395" t="n">
        <v>3240</v>
      </c>
      <c r="M345" s="113" t="n"/>
      <c r="N345" s="113" t="n"/>
      <c r="O345" s="113" t="n"/>
      <c r="P345" s="398" t="n"/>
      <c r="Q345" s="398" t="n"/>
      <c r="R345" s="113" t="n"/>
      <c r="S345" s="113" t="n"/>
      <c r="T345" s="113" t="n"/>
      <c r="U345" s="113" t="n"/>
      <c r="V345" s="113" t="n"/>
    </row>
    <row r="346" ht="15.75" customHeight="1">
      <c r="A346" s="146" t="n">
        <v>7</v>
      </c>
      <c r="B346" s="238" t="n"/>
      <c r="C346" s="399" t="n">
        <v>46065</v>
      </c>
      <c r="D346" s="146" t="inlineStr">
        <is>
          <t>221 G. MALAGUEÑA</t>
        </is>
      </c>
      <c r="E346" s="146" t="n">
        <v>45164</v>
      </c>
      <c r="F346" s="146" t="inlineStr">
        <is>
          <t>ROBINSON PULIDO</t>
        </is>
      </c>
      <c r="G346" s="395" t="n">
        <v>3240</v>
      </c>
      <c r="H346" s="395" t="n">
        <v>3221</v>
      </c>
      <c r="I346" s="395" t="n">
        <v>4</v>
      </c>
      <c r="J346" s="395" t="n">
        <v>4</v>
      </c>
      <c r="K346" s="395" t="n">
        <v>-11</v>
      </c>
      <c r="L346" s="395" t="n">
        <v>3240</v>
      </c>
      <c r="M346" s="113" t="n"/>
      <c r="N346" s="113" t="n"/>
      <c r="O346" s="113" t="n"/>
      <c r="P346" s="398" t="n"/>
      <c r="Q346" s="398" t="n"/>
      <c r="R346" s="113" t="n"/>
      <c r="S346" s="113" t="n"/>
      <c r="T346" s="113" t="n"/>
      <c r="U346" s="113" t="n"/>
      <c r="V346" s="113" t="n"/>
    </row>
    <row r="347" ht="15.75" customHeight="1">
      <c r="A347" s="146" t="n">
        <v>7</v>
      </c>
      <c r="B347" s="238" t="n"/>
      <c r="C347" s="399" t="n">
        <v>46065</v>
      </c>
      <c r="D347" s="146" t="inlineStr">
        <is>
          <t>221 G. MALAGUEÑA</t>
        </is>
      </c>
      <c r="E347" s="146" t="n">
        <v>45165</v>
      </c>
      <c r="F347" s="146" t="inlineStr">
        <is>
          <t>FABIO ALDANA</t>
        </is>
      </c>
      <c r="G347" s="395" t="n">
        <v>3240</v>
      </c>
      <c r="H347" s="395" t="n">
        <v>3226</v>
      </c>
      <c r="I347" s="395" t="n">
        <v>4</v>
      </c>
      <c r="J347" s="395" t="n">
        <v>2</v>
      </c>
      <c r="K347" s="395" t="n">
        <v>-8</v>
      </c>
      <c r="L347" s="395" t="n">
        <v>3240</v>
      </c>
      <c r="M347" s="113" t="n"/>
      <c r="N347" s="113" t="n"/>
      <c r="O347" s="113" t="n"/>
      <c r="P347" s="398" t="n"/>
      <c r="Q347" s="398" t="n"/>
      <c r="R347" s="113" t="n"/>
      <c r="S347" s="113" t="n"/>
      <c r="T347" s="113" t="n"/>
      <c r="U347" s="113" t="n"/>
      <c r="V347" s="113" t="n"/>
    </row>
    <row r="348" ht="15.75" customHeight="1">
      <c r="A348" s="146" t="n">
        <v>7</v>
      </c>
      <c r="B348" s="238" t="n"/>
      <c r="C348" s="399" t="n">
        <v>46065</v>
      </c>
      <c r="D348" s="146" t="inlineStr">
        <is>
          <t>221 G. MALAGUEÑA</t>
        </is>
      </c>
      <c r="E348" s="146" t="n">
        <v>45166</v>
      </c>
      <c r="F348" s="146" t="inlineStr">
        <is>
          <t>ALEX GOMEZ</t>
        </is>
      </c>
      <c r="G348" s="395" t="n">
        <v>3240</v>
      </c>
      <c r="H348" s="395" t="n">
        <v>3227</v>
      </c>
      <c r="I348" s="395" t="n">
        <v>4</v>
      </c>
      <c r="J348" s="395" t="n">
        <v>1</v>
      </c>
      <c r="K348" s="395" t="n">
        <v>-8</v>
      </c>
      <c r="L348" s="395" t="n">
        <v>3240</v>
      </c>
      <c r="M348" s="113" t="n"/>
      <c r="N348" s="113" t="n"/>
      <c r="O348" s="113" t="n"/>
      <c r="P348" s="398" t="n"/>
      <c r="Q348" s="398" t="n"/>
      <c r="R348" s="113" t="n"/>
      <c r="S348" s="113" t="n"/>
      <c r="T348" s="113" t="n"/>
      <c r="U348" s="113" t="n"/>
      <c r="V348" s="113" t="n"/>
    </row>
    <row r="349" ht="15.75" customHeight="1">
      <c r="A349" s="146" t="n">
        <v>7</v>
      </c>
      <c r="B349" s="238" t="n"/>
      <c r="C349" s="399" t="n">
        <v>46066</v>
      </c>
      <c r="D349" s="146" t="inlineStr">
        <is>
          <t>221 G. MALAGUEÑA</t>
        </is>
      </c>
      <c r="E349" s="146" t="n">
        <v>46167</v>
      </c>
      <c r="F349" s="146" t="inlineStr">
        <is>
          <t>EDWIN ROJAS</t>
        </is>
      </c>
      <c r="G349" s="395" t="n">
        <v>3200</v>
      </c>
      <c r="H349" s="395" t="n">
        <v>3187</v>
      </c>
      <c r="I349" s="395" t="n">
        <v>4</v>
      </c>
      <c r="J349" s="395" t="n">
        <v>3</v>
      </c>
      <c r="K349" s="395" t="n">
        <v>-6</v>
      </c>
      <c r="L349" s="395" t="n">
        <v>3200</v>
      </c>
      <c r="M349" s="113" t="n"/>
      <c r="N349" s="113" t="n"/>
      <c r="O349" s="113" t="n"/>
      <c r="P349" s="398" t="n"/>
      <c r="Q349" s="398" t="n"/>
      <c r="R349" s="113" t="n"/>
      <c r="S349" s="113" t="n"/>
      <c r="T349" s="113" t="n"/>
      <c r="U349" s="113" t="n"/>
      <c r="V349" s="113" t="n"/>
    </row>
    <row r="350" ht="15.75" customHeight="1">
      <c r="A350" s="146" t="n">
        <v>7</v>
      </c>
      <c r="B350" s="238" t="n"/>
      <c r="C350" s="399" t="n">
        <v>46066</v>
      </c>
      <c r="D350" s="146" t="inlineStr">
        <is>
          <t>221 G. MALAGUEÑA</t>
        </is>
      </c>
      <c r="E350" s="146" t="n">
        <v>46168</v>
      </c>
      <c r="F350" s="146" t="inlineStr">
        <is>
          <t>FERNANDO OYUELA</t>
        </is>
      </c>
      <c r="G350" s="395" t="n">
        <v>3200</v>
      </c>
      <c r="H350" s="395" t="n">
        <v>3187</v>
      </c>
      <c r="I350" s="395" t="n">
        <v>6</v>
      </c>
      <c r="J350" s="395" t="n">
        <v>5</v>
      </c>
      <c r="K350" s="395" t="n">
        <v>-2</v>
      </c>
      <c r="L350" s="395" t="n">
        <v>3300</v>
      </c>
      <c r="M350" s="113" t="n"/>
      <c r="N350" s="113" t="n"/>
      <c r="O350" s="113" t="n"/>
      <c r="P350" s="398" t="n"/>
      <c r="Q350" s="398" t="n"/>
      <c r="R350" s="113" t="n"/>
      <c r="S350" s="113" t="n"/>
      <c r="T350" s="113" t="n"/>
      <c r="U350" s="113" t="n"/>
      <c r="V350" s="113" t="n"/>
    </row>
    <row r="351" ht="15.75" customHeight="1">
      <c r="A351" s="146" t="n">
        <v>7</v>
      </c>
      <c r="B351" s="238" t="n"/>
      <c r="C351" s="399" t="n">
        <v>46066</v>
      </c>
      <c r="D351" s="146" t="inlineStr">
        <is>
          <t>221 G. MALAGUEÑA</t>
        </is>
      </c>
      <c r="E351" s="146" t="n">
        <v>46169</v>
      </c>
      <c r="F351" s="146" t="inlineStr">
        <is>
          <t>ALEX GOMEZ</t>
        </is>
      </c>
      <c r="G351" s="395" t="n">
        <v>3200</v>
      </c>
      <c r="H351" s="395" t="n">
        <v>3188</v>
      </c>
      <c r="I351" s="395" t="n">
        <v>7</v>
      </c>
      <c r="J351" s="395" t="n">
        <v>2</v>
      </c>
      <c r="K351" s="395" t="n">
        <v>-3</v>
      </c>
      <c r="L351" s="395" t="n">
        <v>3200</v>
      </c>
      <c r="M351" s="113" t="n"/>
      <c r="N351" s="113" t="n"/>
      <c r="O351" s="113" t="n"/>
      <c r="P351" s="398" t="n"/>
      <c r="Q351" s="398" t="n"/>
      <c r="R351" s="113" t="n"/>
      <c r="S351" s="113" t="n"/>
      <c r="T351" s="113" t="n"/>
      <c r="U351" s="113" t="n"/>
      <c r="V351" s="113" t="n"/>
    </row>
    <row r="352" ht="15.75" customHeight="1">
      <c r="A352" s="146" t="n">
        <v>7</v>
      </c>
      <c r="B352" s="238" t="n"/>
      <c r="C352" s="399" t="n">
        <v>46066</v>
      </c>
      <c r="D352" s="146" t="inlineStr">
        <is>
          <t>221 G. MALAGUEÑA</t>
        </is>
      </c>
      <c r="E352" s="146" t="n">
        <v>46170</v>
      </c>
      <c r="F352" s="146" t="inlineStr">
        <is>
          <t>JOSE SOLER</t>
        </is>
      </c>
      <c r="G352" s="395" t="n">
        <v>3200</v>
      </c>
      <c r="H352" s="395" t="n">
        <v>3187</v>
      </c>
      <c r="I352" s="395" t="n">
        <v>7</v>
      </c>
      <c r="J352" s="395" t="n">
        <v>3</v>
      </c>
      <c r="K352" s="395" t="n">
        <v>-3</v>
      </c>
      <c r="L352" s="395" t="n">
        <v>3200</v>
      </c>
      <c r="M352" s="113" t="n"/>
      <c r="N352" s="113" t="n"/>
      <c r="O352" s="113" t="n"/>
      <c r="P352" s="398" t="n"/>
      <c r="Q352" s="398" t="n"/>
      <c r="R352" s="113" t="n"/>
      <c r="S352" s="113" t="n"/>
      <c r="T352" s="113" t="n"/>
      <c r="U352" s="113" t="n"/>
      <c r="V352" s="113" t="n"/>
    </row>
    <row r="353" ht="15.75" customHeight="1">
      <c r="A353" s="146" t="n">
        <v>7</v>
      </c>
      <c r="B353" s="238" t="n"/>
      <c r="C353" s="399" t="n">
        <v>46066</v>
      </c>
      <c r="D353" s="146" t="inlineStr">
        <is>
          <t>221 G. MALAGUEÑA</t>
        </is>
      </c>
      <c r="E353" s="146" t="n">
        <v>46171</v>
      </c>
      <c r="F353" s="146" t="inlineStr">
        <is>
          <t>JAIRO CUBILLOS</t>
        </is>
      </c>
      <c r="G353" s="395" t="n">
        <v>3280</v>
      </c>
      <c r="H353" s="395" t="n">
        <v>3273</v>
      </c>
      <c r="I353" s="395" t="n">
        <v>3</v>
      </c>
      <c r="J353" s="395" t="n">
        <v>2</v>
      </c>
      <c r="K353" s="395" t="n">
        <v>-2</v>
      </c>
      <c r="L353" s="395" t="n">
        <v>3285</v>
      </c>
      <c r="M353" s="113" t="n"/>
      <c r="N353" s="113" t="n"/>
      <c r="O353" s="113" t="n"/>
      <c r="P353" s="398" t="n"/>
      <c r="Q353" s="398" t="n"/>
      <c r="R353" s="113" t="n"/>
      <c r="S353" s="113" t="n"/>
      <c r="T353" s="113" t="n"/>
      <c r="U353" s="113" t="n"/>
      <c r="V353" s="113" t="n"/>
    </row>
    <row r="354" ht="15.75" customHeight="1">
      <c r="A354" s="146" t="n">
        <v>7</v>
      </c>
      <c r="B354" s="238" t="n"/>
      <c r="C354" s="399" t="n">
        <v>46066</v>
      </c>
      <c r="D354" s="146" t="inlineStr">
        <is>
          <t>200 G. GARCERAS</t>
        </is>
      </c>
      <c r="E354" s="146" t="n">
        <v>46172</v>
      </c>
      <c r="F354" s="146" t="inlineStr">
        <is>
          <t>JHON ARIAS</t>
        </is>
      </c>
      <c r="G354" s="395" t="n">
        <v>2760</v>
      </c>
      <c r="H354" s="395" t="n">
        <v>2757</v>
      </c>
      <c r="I354" s="395" t="n">
        <v>2</v>
      </c>
      <c r="J354" s="395" t="n">
        <v>3</v>
      </c>
      <c r="K354" s="395" t="n">
        <v>2</v>
      </c>
      <c r="L354" s="395" t="n">
        <v>2760</v>
      </c>
      <c r="M354" s="113" t="n"/>
      <c r="N354" s="113" t="n"/>
      <c r="O354" s="113" t="n"/>
      <c r="P354" s="398" t="n"/>
      <c r="Q354" s="398" t="n"/>
      <c r="R354" s="113" t="n"/>
      <c r="S354" s="113" t="n"/>
      <c r="T354" s="113" t="n"/>
      <c r="U354" s="113" t="n"/>
      <c r="V354" s="113" t="n"/>
    </row>
    <row r="355" ht="15.75" customHeight="1">
      <c r="A355" s="146" t="n">
        <v>7</v>
      </c>
      <c r="B355" s="238" t="n"/>
      <c r="C355" s="399" t="n">
        <v>46066</v>
      </c>
      <c r="D355" s="146" t="inlineStr">
        <is>
          <t>200 G. GARCERAS</t>
        </is>
      </c>
      <c r="E355" s="146" t="n">
        <v>46173</v>
      </c>
      <c r="F355" s="146" t="inlineStr">
        <is>
          <t>MANUEL QUITIAN</t>
        </is>
      </c>
      <c r="G355" s="395" t="n">
        <v>2760</v>
      </c>
      <c r="H355" s="395" t="n">
        <v>2756</v>
      </c>
      <c r="I355" s="395" t="n">
        <v>2</v>
      </c>
      <c r="J355" s="395" t="n">
        <v>2</v>
      </c>
      <c r="K355" s="395" t="n">
        <v>0</v>
      </c>
      <c r="L355" s="395" t="n">
        <v>2760</v>
      </c>
      <c r="M355" s="113" t="n"/>
      <c r="N355" s="113" t="n"/>
      <c r="O355" s="113" t="n"/>
      <c r="P355" s="398" t="n"/>
      <c r="Q355" s="398" t="n"/>
      <c r="R355" s="113" t="n"/>
      <c r="S355" s="113" t="n"/>
      <c r="T355" s="113" t="n"/>
      <c r="U355" s="113" t="n"/>
      <c r="V355" s="113" t="n"/>
    </row>
    <row r="356" ht="15.75" customHeight="1">
      <c r="A356" s="146" t="n">
        <v>7</v>
      </c>
      <c r="B356" s="238" t="n"/>
      <c r="C356" s="399" t="n">
        <v>46066</v>
      </c>
      <c r="D356" s="146" t="inlineStr">
        <is>
          <t>200 G. GARCERAS</t>
        </is>
      </c>
      <c r="E356" s="146" t="n">
        <v>46180</v>
      </c>
      <c r="F356" s="146" t="inlineStr">
        <is>
          <t>ALBERTO HERRERA</t>
        </is>
      </c>
      <c r="G356" s="395" t="n">
        <v>2360</v>
      </c>
      <c r="H356" s="395" t="n">
        <v>2345</v>
      </c>
      <c r="I356" s="395" t="n">
        <v>3</v>
      </c>
      <c r="J356" s="395" t="n">
        <v>5</v>
      </c>
      <c r="K356" s="395" t="n">
        <v>-7</v>
      </c>
      <c r="L356" s="395" t="n">
        <v>2760</v>
      </c>
      <c r="M356" s="113" t="n"/>
      <c r="N356" s="113" t="n"/>
      <c r="O356" s="113" t="n"/>
      <c r="P356" s="398" t="n"/>
      <c r="Q356" s="398" t="n"/>
      <c r="R356" s="113" t="n"/>
      <c r="S356" s="113" t="n"/>
      <c r="T356" s="113" t="n"/>
      <c r="U356" s="113" t="n"/>
      <c r="V356" s="113" t="n"/>
    </row>
    <row r="357" ht="15.75" customHeight="1">
      <c r="A357" s="146" t="n">
        <v>7</v>
      </c>
      <c r="B357" s="238" t="n"/>
      <c r="C357" s="399" t="n">
        <v>46066</v>
      </c>
      <c r="D357" s="146" t="inlineStr">
        <is>
          <t>200 G. GARCERAS</t>
        </is>
      </c>
      <c r="E357" s="146" t="n">
        <v>46181</v>
      </c>
      <c r="F357" s="146" t="inlineStr">
        <is>
          <t>ROBINSON PULIDO</t>
        </is>
      </c>
      <c r="G357" s="395" t="n">
        <v>3000</v>
      </c>
      <c r="H357" s="395" t="n">
        <v>2986</v>
      </c>
      <c r="I357" s="395" t="n">
        <v>2</v>
      </c>
      <c r="J357" s="395" t="n">
        <v>4</v>
      </c>
      <c r="K357" s="395" t="n">
        <v>-8</v>
      </c>
      <c r="L357" s="395" t="n">
        <v>3000</v>
      </c>
      <c r="M357" s="113" t="n"/>
      <c r="N357" s="113" t="n"/>
      <c r="O357" s="113" t="n"/>
      <c r="P357" s="398" t="n"/>
      <c r="Q357" s="398" t="n"/>
      <c r="R357" s="113" t="n"/>
      <c r="S357" s="113" t="n"/>
      <c r="T357" s="113" t="n"/>
      <c r="U357" s="113" t="n"/>
      <c r="V357" s="113" t="n"/>
    </row>
    <row r="358" ht="15.75" customHeight="1">
      <c r="A358" s="146" t="n">
        <v>7</v>
      </c>
      <c r="B358" s="238" t="n"/>
      <c r="C358" s="399" t="n">
        <v>46066</v>
      </c>
      <c r="D358" s="146" t="inlineStr">
        <is>
          <t>200 G. GARCERAS</t>
        </is>
      </c>
      <c r="E358" s="146" t="n">
        <v>46182</v>
      </c>
      <c r="F358" s="146" t="inlineStr">
        <is>
          <t>EDWIN ROJAS</t>
        </is>
      </c>
      <c r="G358" s="395" t="n">
        <v>3000</v>
      </c>
      <c r="H358" s="395" t="n">
        <v>2985</v>
      </c>
      <c r="I358" s="395" t="n">
        <v>3</v>
      </c>
      <c r="J358" s="395" t="n">
        <v>2</v>
      </c>
      <c r="K358" s="395" t="n">
        <v>-10</v>
      </c>
      <c r="L358" s="395" t="n">
        <v>3000</v>
      </c>
      <c r="M358" s="113" t="n"/>
      <c r="N358" s="113" t="n"/>
      <c r="O358" s="113" t="n"/>
      <c r="P358" s="398" t="n"/>
      <c r="Q358" s="398" t="n"/>
      <c r="R358" s="113" t="n"/>
      <c r="S358" s="113" t="n"/>
      <c r="T358" s="113" t="n"/>
      <c r="U358" s="113" t="n"/>
      <c r="V358" s="113" t="n"/>
    </row>
    <row r="359" ht="15.75" customHeight="1">
      <c r="A359" s="146" t="n">
        <v>7</v>
      </c>
      <c r="B359" s="238" t="n"/>
      <c r="C359" s="399" t="n">
        <v>46067</v>
      </c>
      <c r="D359" s="146" t="inlineStr">
        <is>
          <t>200 G. GARCERAS</t>
        </is>
      </c>
      <c r="E359" s="146" t="n">
        <v>46183</v>
      </c>
      <c r="F359" s="146" t="inlineStr">
        <is>
          <t>DUMAR ANGARITA</t>
        </is>
      </c>
      <c r="G359" s="395" t="n">
        <v>2710</v>
      </c>
      <c r="H359" s="395" t="n">
        <v>2694</v>
      </c>
      <c r="I359" s="395" t="n">
        <v>4</v>
      </c>
      <c r="J359" s="395" t="n">
        <v>6</v>
      </c>
      <c r="K359" s="395" t="n">
        <v>-6</v>
      </c>
      <c r="L359" s="395" t="n">
        <v>2710</v>
      </c>
      <c r="M359" s="113" t="n"/>
      <c r="N359" s="113" t="n"/>
      <c r="O359" s="113" t="n"/>
      <c r="P359" s="398" t="n"/>
      <c r="Q359" s="398" t="n"/>
      <c r="R359" s="113" t="n"/>
      <c r="S359" s="113" t="n"/>
      <c r="T359" s="113" t="n"/>
      <c r="U359" s="113" t="n"/>
      <c r="V359" s="113" t="n"/>
    </row>
    <row r="360" ht="15.75" customHeight="1">
      <c r="A360" s="146" t="n">
        <v>7</v>
      </c>
      <c r="B360" s="238" t="n"/>
      <c r="C360" s="399" t="n">
        <v>46067</v>
      </c>
      <c r="D360" s="146" t="inlineStr">
        <is>
          <t>200 G. GARCERAS</t>
        </is>
      </c>
      <c r="E360" s="146" t="n">
        <v>46184</v>
      </c>
      <c r="F360" s="146" t="inlineStr">
        <is>
          <t>MANUEL QUITIAN</t>
        </is>
      </c>
      <c r="G360" s="395" t="n">
        <v>2710</v>
      </c>
      <c r="H360" s="395" t="n">
        <v>2696</v>
      </c>
      <c r="I360" s="395" t="n">
        <v>5</v>
      </c>
      <c r="J360" s="395" t="n">
        <v>5</v>
      </c>
      <c r="K360" s="395" t="n">
        <v>-4</v>
      </c>
      <c r="L360" s="395" t="n">
        <v>2710</v>
      </c>
      <c r="M360" s="113" t="n"/>
      <c r="N360" s="113" t="n"/>
      <c r="O360" s="113" t="n"/>
      <c r="P360" s="398" t="n"/>
      <c r="Q360" s="398" t="n"/>
      <c r="R360" s="113" t="n"/>
      <c r="S360" s="113" t="n"/>
      <c r="T360" s="113" t="n"/>
      <c r="U360" s="113" t="n"/>
      <c r="V360" s="113" t="n"/>
    </row>
    <row r="361" ht="15.75" customHeight="1">
      <c r="A361" s="146" t="n">
        <v>7</v>
      </c>
      <c r="B361" s="238" t="n"/>
      <c r="C361" s="399" t="n">
        <v>46067</v>
      </c>
      <c r="D361" s="146" t="inlineStr">
        <is>
          <t>200 G. GARCERAS</t>
        </is>
      </c>
      <c r="E361" s="146" t="n">
        <v>46185</v>
      </c>
      <c r="F361" s="146" t="inlineStr">
        <is>
          <t>FERNANDO OYUELA</t>
        </is>
      </c>
      <c r="G361" s="395" t="n">
        <v>2540</v>
      </c>
      <c r="H361" s="395" t="n">
        <v>2524</v>
      </c>
      <c r="I361" s="395" t="n">
        <v>4</v>
      </c>
      <c r="J361" s="395" t="n">
        <v>6</v>
      </c>
      <c r="K361" s="395" t="n">
        <v>-6</v>
      </c>
      <c r="L361" s="395" t="n">
        <v>2710</v>
      </c>
      <c r="M361" s="113" t="n"/>
      <c r="N361" s="113" t="n"/>
      <c r="O361" s="113" t="n"/>
      <c r="P361" s="398" t="n"/>
      <c r="Q361" s="398" t="n"/>
      <c r="R361" s="113" t="n"/>
      <c r="S361" s="113" t="n"/>
      <c r="T361" s="113" t="n"/>
      <c r="U361" s="113" t="n"/>
      <c r="V361" s="113" t="n"/>
    </row>
    <row r="362" ht="15.75" customHeight="1">
      <c r="A362" s="146" t="n">
        <v>7</v>
      </c>
      <c r="B362" s="238" t="n"/>
      <c r="C362" s="399" t="n">
        <v>46067</v>
      </c>
      <c r="D362" s="146" t="inlineStr">
        <is>
          <t>200 G. GARCERAS</t>
        </is>
      </c>
      <c r="E362" s="146" t="n">
        <v>46186</v>
      </c>
      <c r="F362" s="146" t="inlineStr">
        <is>
          <t>JHON ARIAS</t>
        </is>
      </c>
      <c r="G362" s="395" t="n">
        <v>3150</v>
      </c>
      <c r="H362" s="395" t="n">
        <v>3130</v>
      </c>
      <c r="I362" s="395" t="n">
        <v>9</v>
      </c>
      <c r="J362" s="395" t="n">
        <v>2</v>
      </c>
      <c r="K362" s="395" t="n">
        <v>-9</v>
      </c>
      <c r="L362" s="395" t="n">
        <v>2540</v>
      </c>
      <c r="M362" s="113" t="n"/>
      <c r="N362" s="113" t="n"/>
      <c r="O362" s="113" t="n"/>
      <c r="P362" s="398" t="n"/>
      <c r="Q362" s="398" t="n"/>
      <c r="R362" s="113" t="n"/>
      <c r="S362" s="113" t="n"/>
      <c r="T362" s="113" t="n"/>
      <c r="U362" s="113" t="n"/>
      <c r="V362" s="113" t="n"/>
    </row>
    <row r="363" ht="15.75" customHeight="1">
      <c r="A363" s="146" t="n">
        <v>7</v>
      </c>
      <c r="B363" s="238" t="n"/>
      <c r="C363" s="399" t="n">
        <v>46067</v>
      </c>
      <c r="D363" s="146" t="inlineStr">
        <is>
          <t>200 G. GARCERAS</t>
        </is>
      </c>
      <c r="E363" s="146" t="n">
        <v>46187</v>
      </c>
      <c r="F363" s="146" t="inlineStr">
        <is>
          <t>ALBERTO LOPEZ</t>
        </is>
      </c>
      <c r="G363" s="395" t="n">
        <v>3150</v>
      </c>
      <c r="H363" s="395" t="n">
        <v>3131</v>
      </c>
      <c r="I363" s="395" t="n">
        <v>8</v>
      </c>
      <c r="J363" s="395" t="n">
        <v>4</v>
      </c>
      <c r="K363" s="395" t="n">
        <v>-7</v>
      </c>
      <c r="L363" s="395" t="n">
        <v>3150</v>
      </c>
      <c r="M363" s="113" t="n"/>
      <c r="N363" s="113" t="n"/>
      <c r="O363" s="113" t="n"/>
      <c r="P363" s="398" t="n"/>
      <c r="Q363" s="398" t="n"/>
      <c r="R363" s="113" t="n"/>
      <c r="S363" s="113" t="n"/>
      <c r="T363" s="113" t="n"/>
      <c r="U363" s="113" t="n"/>
      <c r="V363" s="113" t="n"/>
    </row>
    <row r="364" ht="15.75" customHeight="1">
      <c r="A364" s="146" t="n">
        <v>7</v>
      </c>
      <c r="B364" s="238" t="n"/>
      <c r="C364" s="399" t="n">
        <v>46067</v>
      </c>
      <c r="D364" s="146" t="inlineStr">
        <is>
          <t>200 G. GARCERAS</t>
        </is>
      </c>
      <c r="E364" s="146" t="n">
        <v>46188</v>
      </c>
      <c r="F364" s="146" t="inlineStr">
        <is>
          <t>EDWIN ROJAS</t>
        </is>
      </c>
      <c r="G364" s="395" t="n">
        <v>3150</v>
      </c>
      <c r="H364" s="395" t="n">
        <v>3151</v>
      </c>
      <c r="I364" s="395" t="n">
        <v>4</v>
      </c>
      <c r="J364" s="395" t="n">
        <v>2</v>
      </c>
      <c r="K364" s="395" t="n">
        <v>7</v>
      </c>
      <c r="L364" s="395" t="n">
        <v>3150</v>
      </c>
      <c r="M364" s="113" t="n"/>
      <c r="N364" s="113" t="n"/>
      <c r="O364" s="113" t="n"/>
      <c r="P364" s="398" t="n"/>
      <c r="Q364" s="398" t="n"/>
      <c r="R364" s="113" t="n"/>
      <c r="S364" s="113" t="n"/>
      <c r="T364" s="113" t="n"/>
      <c r="U364" s="113" t="n"/>
      <c r="V364" s="113" t="n"/>
    </row>
    <row r="365" ht="15.75" customHeight="1">
      <c r="A365" s="146" t="n">
        <v>7</v>
      </c>
      <c r="B365" s="238" t="n"/>
      <c r="C365" s="399" t="n">
        <v>46067</v>
      </c>
      <c r="D365" s="146" t="inlineStr">
        <is>
          <t>200 G. GARCERAS</t>
        </is>
      </c>
      <c r="E365" s="146" t="n">
        <v>46189</v>
      </c>
      <c r="F365" s="146" t="inlineStr">
        <is>
          <t>FABIO ALDANA</t>
        </is>
      </c>
      <c r="G365" s="395" t="n">
        <v>3150</v>
      </c>
      <c r="H365" s="395" t="n">
        <v>3154</v>
      </c>
      <c r="I365" s="395" t="n">
        <v>4</v>
      </c>
      <c r="J365" s="395" t="n">
        <v>2</v>
      </c>
      <c r="K365" s="395" t="n">
        <v>10</v>
      </c>
      <c r="L365" s="395" t="n">
        <v>3150</v>
      </c>
      <c r="M365" s="113" t="n"/>
      <c r="N365" s="113" t="n"/>
      <c r="O365" s="113" t="n"/>
      <c r="P365" s="398" t="n"/>
      <c r="Q365" s="398" t="n"/>
      <c r="R365" s="113" t="n"/>
      <c r="S365" s="113" t="n"/>
      <c r="T365" s="113" t="n"/>
      <c r="U365" s="113" t="n"/>
      <c r="V365" s="113" t="n"/>
    </row>
    <row r="366" ht="15.75" customHeight="1">
      <c r="A366" s="146" t="n">
        <v>7</v>
      </c>
      <c r="B366" s="238" t="n"/>
      <c r="C366" s="399" t="n">
        <v>46067</v>
      </c>
      <c r="D366" s="146" t="inlineStr">
        <is>
          <t>200 G. GARCERAS</t>
        </is>
      </c>
      <c r="E366" s="146" t="n">
        <v>46190</v>
      </c>
      <c r="F366" s="146" t="inlineStr">
        <is>
          <t>DUMAR ANGARITA</t>
        </is>
      </c>
      <c r="G366" s="395" t="n">
        <v>3150</v>
      </c>
      <c r="H366" s="395" t="n">
        <v>3150</v>
      </c>
      <c r="I366" s="395" t="n">
        <v>4</v>
      </c>
      <c r="J366" s="395" t="n">
        <v>2</v>
      </c>
      <c r="K366" s="395" t="n">
        <v>6</v>
      </c>
      <c r="L366" s="395" t="n">
        <v>3150</v>
      </c>
      <c r="M366" s="113" t="n"/>
      <c r="N366" s="113" t="n"/>
      <c r="O366" s="113" t="n"/>
      <c r="P366" s="398" t="n"/>
      <c r="Q366" s="398" t="n"/>
      <c r="R366" s="113" t="n"/>
      <c r="S366" s="113" t="n"/>
      <c r="T366" s="113" t="n"/>
      <c r="U366" s="113" t="n"/>
      <c r="V366" s="113" t="n"/>
    </row>
    <row r="367" ht="15.75" customHeight="1">
      <c r="A367" s="146" t="n">
        <v>7</v>
      </c>
      <c r="B367" s="238" t="n"/>
      <c r="C367" s="399" t="n">
        <v>46067</v>
      </c>
      <c r="D367" s="162" t="inlineStr">
        <is>
          <t>200 G. GARCERAS</t>
        </is>
      </c>
      <c r="E367" s="162" t="n">
        <v>46191</v>
      </c>
      <c r="F367" s="162" t="inlineStr">
        <is>
          <t>EDUAN CAVIEDES</t>
        </is>
      </c>
      <c r="G367" s="162" t="n">
        <v>2710</v>
      </c>
      <c r="H367" s="162" t="n">
        <v>2711</v>
      </c>
      <c r="I367" s="162" t="n">
        <v>3</v>
      </c>
      <c r="J367" s="162" t="n">
        <v>1</v>
      </c>
      <c r="K367" s="162" t="n">
        <v>5</v>
      </c>
      <c r="L367" s="395" t="n">
        <v>3150</v>
      </c>
      <c r="M367" s="113" t="n"/>
      <c r="N367" s="113" t="n"/>
      <c r="O367" s="113" t="n"/>
      <c r="P367" s="398" t="n"/>
      <c r="Q367" s="398" t="n"/>
      <c r="R367" s="113" t="n"/>
      <c r="S367" s="113" t="n"/>
      <c r="T367" s="113" t="n"/>
      <c r="U367" s="113" t="n"/>
      <c r="V367" s="113" t="n"/>
    </row>
    <row r="368" ht="15.75" customHeight="1">
      <c r="A368" s="146" t="n">
        <v>7</v>
      </c>
      <c r="B368" s="480" t="n"/>
      <c r="C368" s="527" t="n"/>
      <c r="D368" s="528" t="n"/>
      <c r="E368" s="528" t="n"/>
      <c r="F368" s="528" t="n"/>
      <c r="G368" s="529">
        <f>SUBTOTAL(9,G297:G367)</f>
        <v/>
      </c>
      <c r="H368" s="529">
        <f>SUBTOTAL(9,H297:H367)</f>
        <v/>
      </c>
      <c r="I368" s="529">
        <f>SUBTOTAL(9,I297:I367)</f>
        <v/>
      </c>
      <c r="J368" s="529">
        <f>SUBTOTAL(9,J297:J367)</f>
        <v/>
      </c>
      <c r="K368" s="529">
        <f>SUBTOTAL(9,K297:K367)</f>
        <v/>
      </c>
      <c r="L368" s="529">
        <f>SUBTOTAL(9,L297:L367)</f>
        <v/>
      </c>
      <c r="M368" s="398" t="n"/>
      <c r="N368" s="398" t="n"/>
      <c r="O368" s="398" t="n"/>
      <c r="P368" s="398" t="n"/>
      <c r="Q368" s="398" t="n"/>
      <c r="R368" s="398" t="n"/>
      <c r="S368" s="398" t="n"/>
      <c r="T368" s="398" t="n"/>
      <c r="U368" s="398" t="n"/>
      <c r="V368" s="398" t="n"/>
    </row>
    <row r="369" ht="15.75" customHeight="1">
      <c r="A369" s="398" t="n">
        <v>8</v>
      </c>
      <c r="B369" s="480" t="n"/>
      <c r="C369" s="527" t="n">
        <v>46069</v>
      </c>
      <c r="D369" s="528" t="inlineStr">
        <is>
          <t>200 G. GARCERAS</t>
        </is>
      </c>
      <c r="E369" s="528" t="n">
        <v>46219</v>
      </c>
      <c r="F369" s="528" t="inlineStr">
        <is>
          <t>ALEX GOMEZ</t>
        </is>
      </c>
      <c r="G369" s="528" t="n">
        <v>3240</v>
      </c>
      <c r="H369" s="528" t="n">
        <v>3226</v>
      </c>
      <c r="I369" s="528" t="n">
        <v>5</v>
      </c>
      <c r="J369" s="528" t="n">
        <v>2</v>
      </c>
      <c r="K369" s="528" t="n">
        <v>-7</v>
      </c>
      <c r="L369" s="494" t="n">
        <v>3240</v>
      </c>
      <c r="M369" s="398" t="n"/>
      <c r="N369" s="398" t="n"/>
      <c r="O369" s="398" t="n"/>
      <c r="P369" s="398" t="n"/>
      <c r="Q369" s="398" t="n"/>
      <c r="R369" s="398" t="n"/>
      <c r="S369" s="398" t="n"/>
      <c r="T369" s="398" t="n"/>
      <c r="U369" s="398" t="n"/>
      <c r="V369" s="398" t="n"/>
    </row>
    <row r="370" ht="15.75" customHeight="1">
      <c r="A370" s="398" t="n">
        <v>8</v>
      </c>
      <c r="B370" s="480" t="n"/>
      <c r="C370" s="527" t="n">
        <v>46069</v>
      </c>
      <c r="D370" s="528" t="inlineStr">
        <is>
          <t>200 G. GARCERAS</t>
        </is>
      </c>
      <c r="E370" s="528" t="n">
        <v>46220</v>
      </c>
      <c r="F370" s="528" t="inlineStr">
        <is>
          <t>JOSE SOLER</t>
        </is>
      </c>
      <c r="G370" s="528" t="n">
        <v>3240</v>
      </c>
      <c r="H370" s="528" t="n">
        <v>3226</v>
      </c>
      <c r="I370" s="528" t="n">
        <v>3</v>
      </c>
      <c r="J370" s="528" t="n">
        <v>2</v>
      </c>
      <c r="K370" s="528" t="n">
        <v>-9</v>
      </c>
      <c r="L370" s="494" t="n">
        <v>3240</v>
      </c>
      <c r="M370" s="398" t="n"/>
      <c r="N370" s="398" t="n"/>
      <c r="O370" s="398" t="n"/>
      <c r="P370" s="398" t="n"/>
      <c r="Q370" s="398" t="n"/>
      <c r="R370" s="398" t="n"/>
      <c r="S370" s="398" t="n"/>
      <c r="T370" s="398" t="n"/>
      <c r="U370" s="398" t="n"/>
      <c r="V370" s="398" t="n"/>
    </row>
    <row r="371" ht="15.75" customHeight="1">
      <c r="A371" s="398" t="n">
        <v>8</v>
      </c>
      <c r="B371" s="480" t="n"/>
      <c r="C371" s="527" t="n">
        <v>46069</v>
      </c>
      <c r="D371" s="528" t="inlineStr">
        <is>
          <t>200 G. GARCERAS</t>
        </is>
      </c>
      <c r="E371" s="528" t="n">
        <v>46221</v>
      </c>
      <c r="F371" s="528" t="inlineStr">
        <is>
          <t>DUMAR ANGARITA</t>
        </is>
      </c>
      <c r="G371" s="528" t="n">
        <v>3240</v>
      </c>
      <c r="H371" s="528" t="n">
        <v>3226</v>
      </c>
      <c r="I371" s="528" t="n">
        <v>3</v>
      </c>
      <c r="J371" s="528" t="n">
        <v>2</v>
      </c>
      <c r="K371" s="528" t="n">
        <v>-9</v>
      </c>
      <c r="L371" s="494" t="n">
        <v>3240</v>
      </c>
      <c r="M371" s="398" t="n"/>
      <c r="N371" s="398" t="n"/>
      <c r="O371" s="398" t="n"/>
      <c r="P371" s="398" t="n"/>
      <c r="Q371" s="398" t="n"/>
      <c r="R371" s="398" t="n"/>
      <c r="S371" s="398" t="n"/>
      <c r="T371" s="398" t="n"/>
      <c r="U371" s="398" t="n"/>
      <c r="V371" s="398" t="n"/>
    </row>
    <row r="372" ht="15.75" customHeight="1">
      <c r="A372" s="398" t="n">
        <v>8</v>
      </c>
      <c r="B372" s="480" t="n"/>
      <c r="C372" s="527" t="n">
        <v>46069</v>
      </c>
      <c r="D372" s="528" t="inlineStr">
        <is>
          <t>200 G. GARCERAS</t>
        </is>
      </c>
      <c r="E372" s="528" t="n">
        <v>46222</v>
      </c>
      <c r="F372" s="528" t="inlineStr">
        <is>
          <t>YAIR RIVEROS</t>
        </is>
      </c>
      <c r="G372" s="528" t="n">
        <v>3240</v>
      </c>
      <c r="H372" s="528" t="n">
        <v>3224</v>
      </c>
      <c r="I372" s="528" t="n">
        <v>7</v>
      </c>
      <c r="J372" s="528" t="n">
        <v>1</v>
      </c>
      <c r="K372" s="528" t="n">
        <v>-8</v>
      </c>
      <c r="L372" s="494" t="n">
        <v>3240</v>
      </c>
      <c r="M372" s="398" t="n"/>
      <c r="N372" s="398" t="n"/>
      <c r="O372" s="398" t="n"/>
      <c r="P372" s="398" t="n"/>
      <c r="Q372" s="398" t="n"/>
      <c r="R372" s="398" t="n"/>
      <c r="S372" s="398" t="n"/>
      <c r="T372" s="398" t="n"/>
      <c r="U372" s="398" t="n"/>
      <c r="V372" s="398" t="n"/>
    </row>
    <row r="373" ht="15.75" customHeight="1">
      <c r="A373" s="398" t="n">
        <v>8</v>
      </c>
      <c r="B373" s="480" t="n"/>
      <c r="C373" s="527" t="n">
        <v>46069</v>
      </c>
      <c r="D373" s="528" t="inlineStr">
        <is>
          <t>221 G. MALAGUEÑA</t>
        </is>
      </c>
      <c r="E373" s="528" t="n">
        <v>46223</v>
      </c>
      <c r="F373" s="528" t="inlineStr">
        <is>
          <t>EDWIN ROJAS</t>
        </is>
      </c>
      <c r="G373" s="528" t="n">
        <v>3200</v>
      </c>
      <c r="H373" s="528" t="n">
        <v>3196</v>
      </c>
      <c r="I373" s="528" t="n">
        <v>5</v>
      </c>
      <c r="J373" s="528" t="n">
        <v>1</v>
      </c>
      <c r="K373" s="528" t="n">
        <v>2</v>
      </c>
      <c r="L373" s="494" t="n">
        <v>3240</v>
      </c>
      <c r="M373" s="398" t="n"/>
      <c r="N373" s="398" t="n"/>
      <c r="O373" s="398" t="n"/>
      <c r="P373" s="398" t="n"/>
      <c r="Q373" s="398" t="n"/>
      <c r="R373" s="398" t="n"/>
      <c r="S373" s="398" t="n"/>
      <c r="T373" s="398" t="n"/>
      <c r="U373" s="398" t="n"/>
      <c r="V373" s="398" t="n"/>
    </row>
    <row r="374" ht="15.75" customHeight="1">
      <c r="A374" s="398" t="n">
        <v>8</v>
      </c>
      <c r="B374" s="238" t="n"/>
      <c r="C374" s="399" t="n">
        <v>46069</v>
      </c>
      <c r="D374" s="162" t="inlineStr">
        <is>
          <t>221 G. MALAGUEÑA</t>
        </is>
      </c>
      <c r="E374" s="162" t="n">
        <v>46224</v>
      </c>
      <c r="F374" s="162" t="inlineStr">
        <is>
          <t>ALBERTO LOPEZ</t>
        </is>
      </c>
      <c r="G374" s="162" t="n">
        <v>3200</v>
      </c>
      <c r="H374" s="162" t="n">
        <v>3197</v>
      </c>
      <c r="I374" s="162" t="n">
        <v>4</v>
      </c>
      <c r="J374" s="162" t="n">
        <v>1</v>
      </c>
      <c r="K374" s="162" t="n">
        <v>2</v>
      </c>
      <c r="L374" s="395" t="n">
        <v>3200</v>
      </c>
      <c r="M374" s="113" t="n"/>
      <c r="N374" s="395" t="n"/>
      <c r="O374" s="395" t="n"/>
      <c r="P374" s="398" t="n"/>
      <c r="Q374" s="398" t="n"/>
      <c r="R374" s="113" t="n"/>
      <c r="S374" s="113" t="n"/>
      <c r="T374" s="113" t="n"/>
      <c r="U374" s="113" t="n"/>
      <c r="V374" s="113" t="n"/>
    </row>
    <row r="375" ht="15.75" customHeight="1">
      <c r="A375" s="398" t="n">
        <v>8</v>
      </c>
      <c r="B375" s="238" t="n"/>
      <c r="C375" s="399" t="n">
        <v>46069</v>
      </c>
      <c r="D375" s="162" t="inlineStr">
        <is>
          <t>200 G. GARCERAS</t>
        </is>
      </c>
      <c r="E375" s="162" t="n">
        <v>46225</v>
      </c>
      <c r="F375" s="162" t="inlineStr">
        <is>
          <t>JAIRO CUBILLOS</t>
        </is>
      </c>
      <c r="G375" s="162" t="n">
        <v>3240</v>
      </c>
      <c r="H375" s="162" t="n">
        <v>3235</v>
      </c>
      <c r="I375" s="162" t="n">
        <v>3</v>
      </c>
      <c r="J375" s="162" t="n">
        <v>2</v>
      </c>
      <c r="K375" s="162" t="n">
        <v>0</v>
      </c>
      <c r="L375" s="395" t="n">
        <v>3200</v>
      </c>
      <c r="M375" s="113" t="n"/>
      <c r="N375" s="113" t="n"/>
      <c r="O375" s="113" t="n"/>
      <c r="P375" s="398" t="n"/>
      <c r="Q375" s="398" t="n"/>
      <c r="R375" s="113" t="n"/>
      <c r="S375" s="113" t="n"/>
      <c r="T375" s="113" t="n"/>
      <c r="U375" s="113" t="n"/>
      <c r="V375" s="113" t="n"/>
    </row>
    <row r="376" ht="15.75" customHeight="1">
      <c r="A376" s="398" t="n">
        <v>8</v>
      </c>
      <c r="B376" s="238" t="n"/>
      <c r="C376" s="399" t="n">
        <v>46069</v>
      </c>
      <c r="D376" s="162" t="inlineStr">
        <is>
          <t>221 G. MALAGUEÑA</t>
        </is>
      </c>
      <c r="E376" s="162" t="n">
        <v>46233</v>
      </c>
      <c r="F376" s="162" t="inlineStr">
        <is>
          <t>DIEGO NIÑO</t>
        </is>
      </c>
      <c r="G376" s="162" t="n">
        <v>3200</v>
      </c>
      <c r="H376" s="162" t="n">
        <v>3195</v>
      </c>
      <c r="I376" s="162" t="n">
        <v>8</v>
      </c>
      <c r="J376" s="162" t="n">
        <v>5</v>
      </c>
      <c r="K376" s="162" t="n">
        <v>8</v>
      </c>
      <c r="L376" s="395" t="n">
        <v>3200</v>
      </c>
      <c r="M376" s="113" t="n"/>
      <c r="N376" s="113" t="n"/>
      <c r="O376" s="113" t="n"/>
      <c r="P376" s="398" t="n"/>
      <c r="Q376" s="398" t="n"/>
      <c r="R376" s="113" t="n"/>
      <c r="S376" s="113" t="n"/>
      <c r="T376" s="113" t="n"/>
      <c r="U376" s="113" t="n"/>
      <c r="V376" s="113" t="n"/>
    </row>
    <row r="377" ht="15.75" customHeight="1">
      <c r="A377" s="398" t="n">
        <v>8</v>
      </c>
      <c r="B377" s="238" t="n"/>
      <c r="C377" s="399" t="n">
        <v>46069</v>
      </c>
      <c r="D377" s="162" t="inlineStr">
        <is>
          <t>221 G. MALAGUEÑA</t>
        </is>
      </c>
      <c r="E377" s="162" t="n">
        <v>46234</v>
      </c>
      <c r="F377" s="162" t="inlineStr">
        <is>
          <t>ALBERTO HERRERA</t>
        </is>
      </c>
      <c r="G377" s="162" t="n">
        <v>3200</v>
      </c>
      <c r="H377" s="162" t="n">
        <v>3195</v>
      </c>
      <c r="I377" s="162" t="n">
        <v>8</v>
      </c>
      <c r="J377" s="162" t="n">
        <v>5</v>
      </c>
      <c r="K377" s="162" t="n">
        <v>8</v>
      </c>
      <c r="L377" s="395" t="n">
        <v>3200</v>
      </c>
      <c r="M377" s="113" t="n"/>
      <c r="N377" s="113" t="n"/>
      <c r="O377" s="113" t="n"/>
      <c r="P377" s="398" t="n"/>
      <c r="Q377" s="398" t="n"/>
      <c r="R377" s="113" t="n"/>
      <c r="S377" s="113" t="n"/>
      <c r="T377" s="113" t="n"/>
      <c r="U377" s="113" t="n"/>
      <c r="V377" s="113" t="n"/>
    </row>
    <row r="378" ht="15.75" customHeight="1">
      <c r="A378" s="398" t="n">
        <v>8</v>
      </c>
      <c r="B378" s="238" t="n"/>
      <c r="C378" s="399" t="n">
        <v>46069</v>
      </c>
      <c r="D378" s="162" t="inlineStr">
        <is>
          <t>221 G. MALAGUEÑA</t>
        </is>
      </c>
      <c r="E378" s="162" t="n">
        <v>46235</v>
      </c>
      <c r="F378" s="162" t="inlineStr">
        <is>
          <t>HENRY ROMERO</t>
        </is>
      </c>
      <c r="G378" s="162" t="n">
        <v>3200</v>
      </c>
      <c r="H378" s="162" t="n">
        <v>3196</v>
      </c>
      <c r="I378" s="162" t="n">
        <v>8</v>
      </c>
      <c r="J378" s="162" t="n">
        <v>4</v>
      </c>
      <c r="K378" s="162" t="n">
        <v>8</v>
      </c>
      <c r="L378" s="395" t="n">
        <v>3200</v>
      </c>
      <c r="M378" s="113" t="n"/>
      <c r="N378" s="113" t="n"/>
      <c r="O378" s="113" t="n"/>
      <c r="P378" s="398" t="n"/>
      <c r="Q378" s="398" t="n"/>
      <c r="R378" s="113" t="n"/>
      <c r="S378" s="113" t="n"/>
      <c r="T378" s="113" t="n"/>
      <c r="U378" s="113" t="n"/>
      <c r="V378" s="113" t="n"/>
    </row>
    <row r="379" ht="15.75" customHeight="1">
      <c r="A379" s="398" t="n">
        <v>8</v>
      </c>
      <c r="B379" s="238" t="n"/>
      <c r="C379" s="399" t="n">
        <v>46069</v>
      </c>
      <c r="D379" s="162" t="inlineStr">
        <is>
          <t>221 G. MALAGUEÑA</t>
        </is>
      </c>
      <c r="E379" s="162" t="n">
        <v>46236</v>
      </c>
      <c r="F379" s="162" t="inlineStr">
        <is>
          <t>JOSE SOLER</t>
        </is>
      </c>
      <c r="G379" s="162" t="n">
        <v>3200</v>
      </c>
      <c r="H379" s="162" t="n">
        <v>3154</v>
      </c>
      <c r="I379" s="162" t="n">
        <v>7</v>
      </c>
      <c r="J379" s="162" t="n">
        <v>6</v>
      </c>
      <c r="K379" s="162" t="n">
        <v>-33</v>
      </c>
      <c r="L379" s="395" t="n">
        <v>3200</v>
      </c>
      <c r="M379" s="113" t="n"/>
      <c r="N379" s="113" t="n"/>
      <c r="O379" s="113" t="n"/>
      <c r="P379" s="398" t="n"/>
      <c r="Q379" s="398" t="n"/>
      <c r="R379" s="113" t="n"/>
      <c r="S379" s="113" t="n"/>
      <c r="T379" s="113" t="n"/>
      <c r="U379" s="113" t="n"/>
      <c r="V379" s="113" t="n"/>
    </row>
    <row r="380" ht="15.75" customHeight="1">
      <c r="A380" s="398" t="n">
        <v>8</v>
      </c>
      <c r="B380" s="238" t="n"/>
      <c r="C380" s="399" t="n">
        <v>46069</v>
      </c>
      <c r="D380" s="162" t="inlineStr">
        <is>
          <t>221 G. MALAGUEÑA</t>
        </is>
      </c>
      <c r="E380" s="162" t="n">
        <v>46237</v>
      </c>
      <c r="F380" s="162" t="inlineStr">
        <is>
          <t>YAIR RIVEROS</t>
        </is>
      </c>
      <c r="G380" s="162" t="n">
        <v>3200</v>
      </c>
      <c r="H380" s="162" t="n">
        <v>3176</v>
      </c>
      <c r="I380" s="162" t="n">
        <v>11</v>
      </c>
      <c r="J380" s="162" t="n">
        <v>4</v>
      </c>
      <c r="K380" s="162" t="inlineStr">
        <is>
          <t> </t>
        </is>
      </c>
      <c r="L380" s="395" t="n">
        <v>3200</v>
      </c>
      <c r="M380" s="113" t="n"/>
      <c r="N380" s="113" t="n"/>
      <c r="O380" s="113" t="n"/>
      <c r="P380" s="398" t="n"/>
      <c r="Q380" s="398" t="n"/>
      <c r="R380" s="113" t="n"/>
      <c r="S380" s="113" t="n"/>
      <c r="T380" s="113" t="n"/>
      <c r="U380" s="113" t="n"/>
      <c r="V380" s="113" t="n"/>
    </row>
    <row r="381" ht="15.75" customHeight="1">
      <c r="A381" s="398" t="n">
        <v>8</v>
      </c>
      <c r="B381" s="238" t="n"/>
      <c r="C381" s="399" t="n">
        <v>46069</v>
      </c>
      <c r="D381" s="162" t="inlineStr">
        <is>
          <t>221 G. MALAGUEÑA</t>
        </is>
      </c>
      <c r="E381" s="162" t="n">
        <v>46238</v>
      </c>
      <c r="F381" s="162" t="inlineStr">
        <is>
          <t>JAIRO CUBILLOS</t>
        </is>
      </c>
      <c r="G381" s="162" t="n">
        <v>3200</v>
      </c>
      <c r="H381" s="162" t="n">
        <v>3174</v>
      </c>
      <c r="I381" s="162" t="n">
        <v>2</v>
      </c>
      <c r="J381" s="162" t="n">
        <v>6</v>
      </c>
      <c r="K381" s="162" t="n">
        <v>-18</v>
      </c>
      <c r="L381" s="395" t="n">
        <v>3200</v>
      </c>
      <c r="M381" s="113" t="n"/>
      <c r="N381" s="113" t="n"/>
      <c r="O381" s="113" t="n"/>
      <c r="P381" s="398" t="n"/>
      <c r="Q381" s="398" t="n"/>
      <c r="R381" s="113" t="n"/>
      <c r="S381" s="113" t="n"/>
      <c r="T381" s="113" t="n"/>
      <c r="U381" s="113" t="n"/>
      <c r="V381" s="113" t="n"/>
    </row>
    <row r="382" ht="15.75" customHeight="1">
      <c r="A382" s="398" t="n">
        <v>8</v>
      </c>
      <c r="B382" s="238" t="n"/>
      <c r="C382" s="399" t="n">
        <v>46069</v>
      </c>
      <c r="D382" s="162" t="inlineStr">
        <is>
          <t>221 G. MALAGUEÑA</t>
        </is>
      </c>
      <c r="E382" s="162" t="n">
        <v>46239</v>
      </c>
      <c r="F382" s="162" t="inlineStr">
        <is>
          <t>EDWIN ROJAS</t>
        </is>
      </c>
      <c r="G382" s="162" t="n">
        <v>3200</v>
      </c>
      <c r="H382" s="162" t="n">
        <v>3190</v>
      </c>
      <c r="I382" s="162" t="n">
        <v>2</v>
      </c>
      <c r="J382" s="162" t="n">
        <v>3</v>
      </c>
      <c r="K382" s="162" t="n">
        <v>-5</v>
      </c>
      <c r="L382" s="395" t="n">
        <v>3200</v>
      </c>
      <c r="M382" s="113" t="n"/>
      <c r="N382" s="113" t="n"/>
      <c r="O382" s="113" t="n"/>
      <c r="P382" s="398" t="n"/>
      <c r="Q382" s="398" t="n"/>
      <c r="R382" s="113" t="n"/>
      <c r="S382" s="113" t="n"/>
      <c r="T382" s="113" t="n"/>
      <c r="U382" s="113" t="n"/>
      <c r="V382" s="113" t="n"/>
    </row>
    <row r="383" ht="15.75" customHeight="1">
      <c r="A383" s="398" t="n">
        <v>8</v>
      </c>
      <c r="B383" s="238" t="n"/>
      <c r="C383" s="399" t="n">
        <v>46069</v>
      </c>
      <c r="D383" s="162" t="inlineStr">
        <is>
          <t>221 G. MALAGUEÑA</t>
        </is>
      </c>
      <c r="E383" s="162" t="n">
        <v>46240</v>
      </c>
      <c r="F383" s="162" t="inlineStr">
        <is>
          <t>ROBINSON PULIDO</t>
        </is>
      </c>
      <c r="G383" s="162" t="n">
        <v>3480</v>
      </c>
      <c r="H383" s="162" t="n">
        <v>3460</v>
      </c>
      <c r="I383" s="162" t="n">
        <v>6</v>
      </c>
      <c r="J383" s="162" t="n">
        <v>2</v>
      </c>
      <c r="K383" s="162" t="n">
        <v>-12</v>
      </c>
      <c r="L383" s="395" t="n">
        <v>3480</v>
      </c>
      <c r="M383" s="113" t="n"/>
      <c r="N383" s="113" t="n"/>
      <c r="O383" s="113" t="n"/>
      <c r="P383" s="398" t="n"/>
      <c r="Q383" s="398" t="n"/>
      <c r="R383" s="113" t="n"/>
      <c r="S383" s="113" t="n"/>
      <c r="T383" s="113" t="n"/>
      <c r="U383" s="113" t="n"/>
      <c r="V383" s="113" t="n"/>
    </row>
    <row r="384" ht="15.75" customHeight="1">
      <c r="A384" s="398" t="n">
        <v>8</v>
      </c>
      <c r="B384" s="480" t="n"/>
      <c r="C384" s="527" t="n">
        <v>46069</v>
      </c>
      <c r="D384" s="528" t="inlineStr">
        <is>
          <t>221 G. MALAGUEÑA</t>
        </is>
      </c>
      <c r="E384" s="528" t="n">
        <v>46241</v>
      </c>
      <c r="F384" s="528" t="inlineStr">
        <is>
          <t>MANUEL QUITIAN</t>
        </is>
      </c>
      <c r="G384" s="528" t="n">
        <v>3110</v>
      </c>
      <c r="H384" s="528" t="n">
        <v>3110</v>
      </c>
      <c r="I384" s="528" t="n">
        <v>1</v>
      </c>
      <c r="J384" s="528" t="n">
        <v>2</v>
      </c>
      <c r="K384" s="528" t="n">
        <v>3</v>
      </c>
      <c r="L384" s="494" t="n">
        <v>3110</v>
      </c>
      <c r="M384" s="398" t="n"/>
      <c r="N384" s="398" t="n"/>
      <c r="O384" s="398" t="n"/>
      <c r="P384" s="398" t="n"/>
      <c r="Q384" s="398" t="n"/>
      <c r="R384" s="398" t="n"/>
      <c r="S384" s="398" t="n"/>
      <c r="T384" s="398" t="n"/>
      <c r="U384" s="398" t="n"/>
      <c r="V384" s="398" t="n"/>
    </row>
    <row r="385" ht="15.75" customHeight="1">
      <c r="A385" s="398" t="n">
        <v>8</v>
      </c>
      <c r="B385" s="480" t="n"/>
      <c r="C385" s="527" t="n">
        <v>46069</v>
      </c>
      <c r="D385" s="528" t="inlineStr">
        <is>
          <t>221 G. MALAGUEÑA</t>
        </is>
      </c>
      <c r="E385" s="528" t="n">
        <v>46241</v>
      </c>
      <c r="F385" s="528" t="inlineStr">
        <is>
          <t>FERNANDO OYUELA</t>
        </is>
      </c>
      <c r="G385" s="528" t="n">
        <v>3110</v>
      </c>
      <c r="H385" s="528" t="n">
        <v>3118</v>
      </c>
      <c r="I385" s="528" t="n">
        <v>1</v>
      </c>
      <c r="J385" s="528" t="n">
        <v>2</v>
      </c>
      <c r="K385" s="528" t="n">
        <v>11</v>
      </c>
      <c r="L385" s="494" t="n">
        <v>3110</v>
      </c>
      <c r="M385" s="398" t="n"/>
      <c r="N385" s="398" t="n"/>
      <c r="O385" s="398" t="n"/>
      <c r="P385" s="398" t="n"/>
      <c r="Q385" s="398" t="n"/>
      <c r="R385" s="398" t="n"/>
      <c r="S385" s="398" t="n"/>
      <c r="T385" s="398" t="n"/>
      <c r="U385" s="398" t="n"/>
      <c r="V385" s="398" t="n"/>
    </row>
    <row r="386" ht="15.75" customHeight="1">
      <c r="A386" s="398" t="n">
        <v>8</v>
      </c>
      <c r="B386" s="480" t="n"/>
      <c r="C386" s="527" t="n">
        <v>46070</v>
      </c>
      <c r="D386" s="528" t="inlineStr">
        <is>
          <t>221 G. MALAGUEÑA</t>
        </is>
      </c>
      <c r="E386" s="528" t="n">
        <v>46250</v>
      </c>
      <c r="F386" s="528" t="inlineStr">
        <is>
          <t>HENRY ROMERO</t>
        </is>
      </c>
      <c r="G386" s="528" t="n">
        <v>3090</v>
      </c>
      <c r="H386" s="528" t="n">
        <v>3075</v>
      </c>
      <c r="I386" s="528" t="n">
        <v>3</v>
      </c>
      <c r="J386" s="528" t="n">
        <v>5</v>
      </c>
      <c r="K386" s="528" t="n">
        <v>-7</v>
      </c>
      <c r="L386" s="494" t="n">
        <v>3090</v>
      </c>
      <c r="M386" s="398" t="n"/>
      <c r="N386" s="398" t="n"/>
      <c r="O386" s="398" t="n"/>
      <c r="P386" s="398" t="n"/>
      <c r="Q386" s="398" t="n"/>
      <c r="R386" s="398" t="n"/>
      <c r="S386" s="398" t="n"/>
      <c r="T386" s="398" t="n"/>
      <c r="U386" s="398" t="n"/>
      <c r="V386" s="398" t="n"/>
    </row>
    <row r="387" ht="15.75" customHeight="1">
      <c r="A387" s="398" t="n">
        <v>8</v>
      </c>
      <c r="B387" s="480" t="n"/>
      <c r="C387" s="527" t="n">
        <v>46070</v>
      </c>
      <c r="D387" s="528" t="inlineStr">
        <is>
          <t>221 G. MALAGUEÑA</t>
        </is>
      </c>
      <c r="E387" s="528" t="n">
        <v>46251</v>
      </c>
      <c r="F387" s="528" t="inlineStr">
        <is>
          <t>YAIR RIVEROS</t>
        </is>
      </c>
      <c r="G387" s="528" t="n">
        <v>3090</v>
      </c>
      <c r="H387" s="528" t="n">
        <v>3070</v>
      </c>
      <c r="I387" s="528" t="n">
        <v>2</v>
      </c>
      <c r="J387" s="528" t="n">
        <v>8</v>
      </c>
      <c r="K387" s="528" t="n">
        <v>-10</v>
      </c>
      <c r="L387" s="494" t="n">
        <v>3090</v>
      </c>
      <c r="M387" s="398" t="n"/>
      <c r="N387" s="398" t="n"/>
      <c r="O387" s="398" t="n"/>
      <c r="P387" s="398" t="n"/>
      <c r="Q387" s="398" t="n"/>
      <c r="R387" s="398" t="n"/>
      <c r="S387" s="398" t="n"/>
      <c r="T387" s="398" t="n"/>
      <c r="U387" s="398" t="n"/>
      <c r="V387" s="398" t="n"/>
    </row>
    <row r="388" ht="15.75" customHeight="1">
      <c r="A388" s="398" t="n">
        <v>8</v>
      </c>
      <c r="B388" s="480" t="n"/>
      <c r="C388" s="527" t="n">
        <v>46070</v>
      </c>
      <c r="D388" s="528" t="inlineStr">
        <is>
          <t>221 G. MALAGUEÑA</t>
        </is>
      </c>
      <c r="E388" s="528" t="n">
        <v>46252</v>
      </c>
      <c r="F388" s="528" t="inlineStr">
        <is>
          <t>ALBERTO HERRERA</t>
        </is>
      </c>
      <c r="G388" s="528" t="n">
        <v>3400</v>
      </c>
      <c r="H388" s="528" t="n">
        <v>3379</v>
      </c>
      <c r="I388" s="528" t="n">
        <v>2</v>
      </c>
      <c r="J388" s="528" t="n">
        <v>8</v>
      </c>
      <c r="K388" s="528" t="n">
        <v>-11</v>
      </c>
      <c r="L388" s="494" t="n">
        <v>3400</v>
      </c>
      <c r="M388" s="398" t="n"/>
      <c r="N388" s="398" t="n"/>
      <c r="O388" s="398" t="n"/>
      <c r="P388" s="398" t="n"/>
      <c r="Q388" s="398" t="n"/>
      <c r="R388" s="398" t="n"/>
      <c r="S388" s="398" t="n"/>
      <c r="T388" s="398" t="n"/>
      <c r="U388" s="398" t="n"/>
      <c r="V388" s="398" t="n"/>
    </row>
    <row r="389" ht="15.75" customHeight="1">
      <c r="A389" s="398" t="n">
        <v>8</v>
      </c>
      <c r="B389" s="480" t="n"/>
      <c r="C389" s="527" t="n">
        <v>46070</v>
      </c>
      <c r="D389" s="528" t="inlineStr">
        <is>
          <t>221 G. MALAGUEÑA</t>
        </is>
      </c>
      <c r="E389" s="528" t="n">
        <v>46253</v>
      </c>
      <c r="F389" s="528" t="inlineStr">
        <is>
          <t>EDUAN CAVIEDES</t>
        </is>
      </c>
      <c r="G389" s="528" t="n">
        <v>3400</v>
      </c>
      <c r="H389" s="528" t="n">
        <v>3384</v>
      </c>
      <c r="I389" s="528" t="n">
        <v>4</v>
      </c>
      <c r="J389" s="528" t="n">
        <v>5</v>
      </c>
      <c r="K389" s="528" t="n">
        <v>-7</v>
      </c>
      <c r="L389" s="494" t="n">
        <v>3400</v>
      </c>
      <c r="M389" s="398" t="n"/>
      <c r="N389" s="398" t="n"/>
      <c r="O389" s="398" t="n"/>
      <c r="P389" s="398" t="n"/>
      <c r="Q389" s="398" t="n"/>
      <c r="R389" s="398" t="n"/>
      <c r="S389" s="398" t="n"/>
      <c r="T389" s="398" t="n"/>
      <c r="U389" s="398" t="n"/>
      <c r="V389" s="398" t="n"/>
    </row>
    <row r="390" ht="15.75" customHeight="1">
      <c r="A390" s="398" t="n">
        <v>8</v>
      </c>
      <c r="B390" s="480" t="n"/>
      <c r="C390" s="527" t="n">
        <v>46070</v>
      </c>
      <c r="D390" s="528" t="inlineStr">
        <is>
          <t>221 G. MALAGUEÑA</t>
        </is>
      </c>
      <c r="E390" s="528" t="n">
        <v>46254</v>
      </c>
      <c r="F390" s="528" t="inlineStr">
        <is>
          <t>EDWIN ROJAS</t>
        </is>
      </c>
      <c r="G390" s="528" t="n">
        <v>3400</v>
      </c>
      <c r="H390" s="528" t="n">
        <v>3383</v>
      </c>
      <c r="I390" s="528" t="n">
        <v>2</v>
      </c>
      <c r="J390" s="528" t="n">
        <v>7</v>
      </c>
      <c r="K390" s="528" t="n">
        <v>-8</v>
      </c>
      <c r="L390" s="494" t="n">
        <v>3400</v>
      </c>
      <c r="M390" s="398" t="n"/>
      <c r="N390" s="398" t="n"/>
      <c r="O390" s="398" t="n"/>
      <c r="P390" s="398" t="n"/>
      <c r="Q390" s="398" t="n"/>
      <c r="R390" s="398" t="n"/>
      <c r="S390" s="398" t="n"/>
      <c r="T390" s="398" t="n"/>
      <c r="U390" s="398" t="n"/>
      <c r="V390" s="398" t="n"/>
    </row>
    <row r="391" ht="15.75" customHeight="1">
      <c r="A391" s="398" t="n">
        <v>8</v>
      </c>
      <c r="B391" s="480" t="n"/>
      <c r="C391" s="527" t="n">
        <v>46070</v>
      </c>
      <c r="D391" s="528" t="inlineStr">
        <is>
          <t xml:space="preserve">219 G. SAN JOSE 2 </t>
        </is>
      </c>
      <c r="E391" s="528" t="n">
        <v>46255</v>
      </c>
      <c r="F391" s="528" t="inlineStr">
        <is>
          <t>ALEX GOMEZ</t>
        </is>
      </c>
      <c r="G391" s="528" t="n">
        <v>3240</v>
      </c>
      <c r="H391" s="528" t="n">
        <v>3225</v>
      </c>
      <c r="I391" s="528" t="n">
        <v>2</v>
      </c>
      <c r="J391" s="528" t="n">
        <v>5</v>
      </c>
      <c r="K391" s="528" t="n">
        <v>-8</v>
      </c>
      <c r="L391" s="494" t="n">
        <v>3240</v>
      </c>
      <c r="M391" s="398" t="n"/>
      <c r="N391" s="398" t="n"/>
      <c r="O391" s="398" t="n"/>
      <c r="P391" s="398" t="n"/>
      <c r="Q391" s="398" t="n"/>
      <c r="R391" s="398" t="n"/>
      <c r="S391" s="398" t="n"/>
      <c r="T391" s="398" t="n"/>
      <c r="U391" s="398" t="n"/>
      <c r="V391" s="398" t="n"/>
    </row>
    <row r="392" ht="15.75" customHeight="1">
      <c r="A392" s="398" t="n">
        <v>8</v>
      </c>
      <c r="B392" s="480" t="n"/>
      <c r="C392" s="527" t="n">
        <v>46070</v>
      </c>
      <c r="D392" s="528" t="inlineStr">
        <is>
          <t xml:space="preserve">219 G. SAN JOSE 2 </t>
        </is>
      </c>
      <c r="E392" s="528" t="n">
        <v>46256</v>
      </c>
      <c r="F392" s="528" t="inlineStr">
        <is>
          <t>HENRY ROMERO</t>
        </is>
      </c>
      <c r="G392" s="528" t="n">
        <v>3240</v>
      </c>
      <c r="H392" s="528" t="n">
        <v>3224</v>
      </c>
      <c r="I392" s="528" t="n">
        <v>3</v>
      </c>
      <c r="J392" s="528" t="n">
        <v>6</v>
      </c>
      <c r="K392" s="528" t="n">
        <v>-7</v>
      </c>
      <c r="L392" s="494" t="n">
        <v>3240</v>
      </c>
      <c r="M392" s="398" t="n"/>
      <c r="N392" s="398" t="n"/>
      <c r="O392" s="398" t="n"/>
      <c r="P392" s="398" t="n"/>
      <c r="Q392" s="398" t="n"/>
      <c r="R392" s="398" t="n"/>
      <c r="S392" s="398" t="n"/>
      <c r="T392" s="398" t="n"/>
      <c r="U392" s="398" t="n"/>
      <c r="V392" s="398" t="n"/>
    </row>
    <row r="393" ht="15.75" customHeight="1">
      <c r="A393" s="398" t="n">
        <v>8</v>
      </c>
      <c r="B393" s="238" t="n"/>
      <c r="C393" s="399" t="n">
        <v>46070</v>
      </c>
      <c r="D393" s="162" t="inlineStr">
        <is>
          <t xml:space="preserve">219 G. SAN JOSE 2 </t>
        </is>
      </c>
      <c r="E393" s="162" t="n">
        <v>46527</v>
      </c>
      <c r="F393" s="162" t="inlineStr">
        <is>
          <t>FABIO ALDANA</t>
        </is>
      </c>
      <c r="G393" s="162" t="n">
        <v>3240</v>
      </c>
      <c r="H393" s="162" t="n">
        <v>3226</v>
      </c>
      <c r="I393" s="162" t="n">
        <v>2</v>
      </c>
      <c r="J393" s="162" t="n">
        <v>4</v>
      </c>
      <c r="K393" s="162" t="n">
        <v>-8</v>
      </c>
      <c r="L393" s="395" t="n">
        <v>3240</v>
      </c>
      <c r="M393" s="113" t="n"/>
      <c r="N393" s="113" t="n"/>
      <c r="O393" s="113" t="n"/>
      <c r="P393" s="398" t="n"/>
      <c r="Q393" s="398" t="n"/>
      <c r="R393" s="113" t="n"/>
      <c r="S393" s="113" t="n"/>
      <c r="T393" s="113" t="n"/>
      <c r="U393" s="113" t="n"/>
      <c r="V393" s="113" t="n"/>
    </row>
    <row r="394" ht="15.75" customHeight="1">
      <c r="A394" s="398" t="n">
        <v>8</v>
      </c>
      <c r="B394" s="238" t="n"/>
      <c r="C394" s="399" t="n">
        <v>46071</v>
      </c>
      <c r="D394" s="162" t="inlineStr">
        <is>
          <t>221 G. MALAGUEÑA</t>
        </is>
      </c>
      <c r="E394" s="162" t="n">
        <v>46282</v>
      </c>
      <c r="F394" s="162" t="inlineStr">
        <is>
          <t>EDUAN CAVIEDES</t>
        </is>
      </c>
      <c r="G394" s="162" t="n">
        <v>3090</v>
      </c>
      <c r="H394" s="162" t="n">
        <v>3069</v>
      </c>
      <c r="I394" s="162" t="n">
        <v>2</v>
      </c>
      <c r="J394" s="162" t="n">
        <v>1</v>
      </c>
      <c r="K394" s="162" t="n">
        <v>-18</v>
      </c>
      <c r="L394" s="395" t="n">
        <v>3090</v>
      </c>
      <c r="M394" s="113" t="n"/>
      <c r="N394" s="113" t="n"/>
      <c r="O394" s="113" t="n"/>
      <c r="P394" s="398" t="n"/>
      <c r="Q394" s="398" t="n"/>
      <c r="R394" s="113" t="n"/>
      <c r="S394" s="113" t="n"/>
      <c r="T394" s="113" t="n"/>
      <c r="U394" s="113" t="n"/>
      <c r="V394" s="113" t="n"/>
    </row>
    <row r="395" ht="15.75" customHeight="1">
      <c r="A395" s="398" t="n">
        <v>8</v>
      </c>
      <c r="B395" s="238" t="n"/>
      <c r="C395" s="399" t="n">
        <v>46071</v>
      </c>
      <c r="D395" s="162" t="inlineStr">
        <is>
          <t xml:space="preserve">219 G. SAN JOSE 2 </t>
        </is>
      </c>
      <c r="E395" s="162" t="n">
        <v>46283</v>
      </c>
      <c r="F395" s="162" t="inlineStr">
        <is>
          <t>JAIRO CUBILLOS</t>
        </is>
      </c>
      <c r="G395" s="162" t="n">
        <v>3400</v>
      </c>
      <c r="H395" s="162" t="n">
        <v>3380</v>
      </c>
      <c r="I395" s="162" t="n">
        <v>6</v>
      </c>
      <c r="J395" s="162" t="n">
        <v>7</v>
      </c>
      <c r="K395" s="162" t="n">
        <v>-7</v>
      </c>
      <c r="L395" s="395" t="n">
        <v>3400</v>
      </c>
      <c r="M395" s="113" t="n"/>
      <c r="N395" s="113" t="n"/>
      <c r="O395" s="113" t="n"/>
      <c r="P395" s="398" t="n"/>
      <c r="Q395" s="398" t="n"/>
      <c r="R395" s="113" t="n"/>
      <c r="S395" s="113" t="n"/>
      <c r="T395" s="113" t="n"/>
      <c r="U395" s="113" t="n"/>
      <c r="V395" s="113" t="n"/>
    </row>
    <row r="396" ht="15.75" customHeight="1">
      <c r="A396" s="398" t="n">
        <v>8</v>
      </c>
      <c r="B396" s="238" t="n"/>
      <c r="C396" s="399" t="n">
        <v>46071</v>
      </c>
      <c r="D396" s="162" t="inlineStr">
        <is>
          <t xml:space="preserve">219 G. SAN JOSE 2 </t>
        </is>
      </c>
      <c r="E396" s="162" t="n">
        <v>46284</v>
      </c>
      <c r="F396" s="162" t="inlineStr">
        <is>
          <t>JOSE SOLER</t>
        </is>
      </c>
      <c r="G396" s="162" t="n">
        <v>3400</v>
      </c>
      <c r="H396" s="162" t="n">
        <v>3382</v>
      </c>
      <c r="I396" s="162" t="n">
        <v>8</v>
      </c>
      <c r="J396" s="162" t="n">
        <v>5</v>
      </c>
      <c r="K396" s="162" t="n">
        <v>-5</v>
      </c>
      <c r="L396" s="395" t="n">
        <v>3400</v>
      </c>
      <c r="M396" s="113" t="n"/>
      <c r="N396" s="113" t="n"/>
      <c r="O396" s="113" t="n"/>
      <c r="P396" s="398" t="n"/>
      <c r="Q396" s="398" t="n"/>
      <c r="R396" s="113" t="n"/>
      <c r="S396" s="113" t="n"/>
      <c r="T396" s="113" t="n"/>
      <c r="U396" s="113" t="n"/>
      <c r="V396" s="113" t="n"/>
    </row>
    <row r="397" ht="15.75" customHeight="1">
      <c r="A397" s="398" t="n">
        <v>8</v>
      </c>
      <c r="B397" s="238" t="n"/>
      <c r="C397" s="399" t="n">
        <v>46071</v>
      </c>
      <c r="D397" s="162" t="inlineStr">
        <is>
          <t xml:space="preserve">219 G. SAN JOSE 2 </t>
        </is>
      </c>
      <c r="E397" s="162" t="n">
        <v>42285</v>
      </c>
      <c r="F397" s="162" t="inlineStr">
        <is>
          <t>ALEX GOMEZ</t>
        </is>
      </c>
      <c r="G397" s="162" t="n">
        <v>3400</v>
      </c>
      <c r="H397" s="162" t="n">
        <v>3376</v>
      </c>
      <c r="I397" s="162" t="n">
        <v>6</v>
      </c>
      <c r="J397" s="162" t="n">
        <v>6</v>
      </c>
      <c r="K397" s="162" t="n">
        <v>-12</v>
      </c>
      <c r="L397" s="395" t="n">
        <v>3400</v>
      </c>
      <c r="M397" s="113" t="n"/>
      <c r="N397" s="113" t="n"/>
      <c r="O397" s="113" t="n"/>
      <c r="P397" s="398" t="n"/>
      <c r="Q397" s="398" t="n"/>
      <c r="R397" s="113" t="n"/>
      <c r="S397" s="113" t="n"/>
      <c r="T397" s="113" t="n"/>
      <c r="U397" s="113" t="n"/>
      <c r="V397" s="113" t="n"/>
    </row>
    <row r="398" ht="15.75" customHeight="1">
      <c r="A398" s="398" t="n">
        <v>8</v>
      </c>
      <c r="B398" s="238" t="n"/>
      <c r="C398" s="399" t="n">
        <v>46071</v>
      </c>
      <c r="D398" s="162" t="inlineStr">
        <is>
          <t xml:space="preserve">219 G. SAN JOSE 2 </t>
        </is>
      </c>
      <c r="E398" s="162" t="n">
        <v>46286</v>
      </c>
      <c r="F398" s="162" t="inlineStr">
        <is>
          <t>EDWIN ROJAS</t>
        </is>
      </c>
      <c r="G398" s="162" t="n">
        <v>3400</v>
      </c>
      <c r="H398" s="162" t="n">
        <v>3393</v>
      </c>
      <c r="I398" s="162" t="n">
        <v>6</v>
      </c>
      <c r="J398" s="162" t="n">
        <v>7</v>
      </c>
      <c r="K398" s="162" t="n">
        <v>6</v>
      </c>
      <c r="L398" s="395" t="n">
        <v>3400</v>
      </c>
      <c r="M398" s="113" t="n"/>
      <c r="N398" s="113" t="n"/>
      <c r="O398" s="113" t="n"/>
      <c r="P398" s="398" t="n"/>
      <c r="Q398" s="398" t="n"/>
      <c r="R398" s="113" t="n"/>
      <c r="S398" s="113" t="n"/>
      <c r="T398" s="113" t="n"/>
      <c r="U398" s="113" t="n"/>
      <c r="V398" s="113" t="n"/>
    </row>
    <row r="399" ht="15.75" customHeight="1">
      <c r="A399" s="398" t="n">
        <v>8</v>
      </c>
      <c r="B399" s="238" t="n"/>
      <c r="C399" s="399" t="n">
        <v>46071</v>
      </c>
      <c r="D399" s="162" t="inlineStr">
        <is>
          <t xml:space="preserve">219 G. SAN JOSE 2 </t>
        </is>
      </c>
      <c r="E399" s="162" t="n">
        <v>46287</v>
      </c>
      <c r="F399" s="162" t="inlineStr">
        <is>
          <t>HENRY ROMERO</t>
        </is>
      </c>
      <c r="G399" s="162" t="n">
        <v>3040</v>
      </c>
      <c r="H399" s="162" t="n">
        <v>3025</v>
      </c>
      <c r="I399" s="162" t="n">
        <v>14</v>
      </c>
      <c r="J399" s="162" t="n">
        <v>6</v>
      </c>
      <c r="K399" s="162" t="n">
        <v>5</v>
      </c>
      <c r="L399" s="395" t="n">
        <v>3040</v>
      </c>
      <c r="M399" s="113" t="n"/>
      <c r="N399" s="113" t="n"/>
      <c r="O399" s="113" t="n"/>
      <c r="P399" s="398" t="n"/>
      <c r="Q399" s="398" t="n"/>
      <c r="R399" s="113" t="n"/>
      <c r="S399" s="113" t="n"/>
      <c r="T399" s="113" t="n"/>
      <c r="U399" s="113" t="n"/>
      <c r="V399" s="113" t="n"/>
    </row>
    <row r="400" ht="15.75" customHeight="1">
      <c r="A400" s="398" t="n">
        <v>8</v>
      </c>
      <c r="B400" s="238" t="n"/>
      <c r="C400" s="399" t="n">
        <v>46071</v>
      </c>
      <c r="D400" s="162" t="inlineStr">
        <is>
          <t xml:space="preserve">219 G. SAN JOSE 2 </t>
        </is>
      </c>
      <c r="E400" s="162" t="n">
        <v>46288</v>
      </c>
      <c r="F400" s="162" t="inlineStr">
        <is>
          <t>EDUAN CAVIEDES</t>
        </is>
      </c>
      <c r="G400" s="162" t="n">
        <v>3040</v>
      </c>
      <c r="H400" s="162" t="n">
        <v>3028</v>
      </c>
      <c r="I400" s="162" t="n">
        <v>2</v>
      </c>
      <c r="J400" s="162" t="n">
        <v>5</v>
      </c>
      <c r="K400" s="162" t="n">
        <v>-5</v>
      </c>
      <c r="L400" s="395" t="n">
        <v>3040</v>
      </c>
      <c r="M400" s="113" t="n"/>
      <c r="N400" s="113" t="n"/>
      <c r="O400" s="113" t="n"/>
      <c r="P400" s="398" t="n"/>
      <c r="Q400" s="398" t="n"/>
      <c r="R400" s="113" t="n"/>
      <c r="S400" s="113" t="n"/>
      <c r="T400" s="113" t="n"/>
      <c r="U400" s="113" t="n"/>
      <c r="V400" s="113" t="n"/>
    </row>
    <row r="401" ht="15.75" customHeight="1">
      <c r="A401" s="398" t="n">
        <v>8</v>
      </c>
      <c r="B401" s="480" t="n"/>
      <c r="C401" s="527" t="n">
        <v>46071</v>
      </c>
      <c r="D401" s="528" t="inlineStr">
        <is>
          <t xml:space="preserve">219 G. SAN JOSE 2 </t>
        </is>
      </c>
      <c r="E401" s="528" t="n">
        <v>46289</v>
      </c>
      <c r="F401" s="528" t="inlineStr">
        <is>
          <t>JAIRO CUBILLOS</t>
        </is>
      </c>
      <c r="G401" s="528" t="n">
        <v>3040</v>
      </c>
      <c r="H401" s="528" t="n">
        <v>3023</v>
      </c>
      <c r="I401" s="528" t="n">
        <v>2</v>
      </c>
      <c r="J401" s="528" t="n">
        <v>5</v>
      </c>
      <c r="K401" s="528" t="n">
        <v>-10</v>
      </c>
      <c r="L401" s="494" t="n">
        <v>3040</v>
      </c>
      <c r="M401" s="398" t="n"/>
      <c r="N401" s="398" t="n"/>
      <c r="O401" s="398" t="n"/>
      <c r="P401" s="398" t="n"/>
      <c r="Q401" s="398" t="n"/>
      <c r="R401" s="398" t="n"/>
      <c r="S401" s="398" t="n"/>
      <c r="T401" s="398" t="n"/>
      <c r="U401" s="398" t="n"/>
      <c r="V401" s="398" t="n"/>
    </row>
    <row r="402" ht="15.75" customHeight="1">
      <c r="A402" s="398" t="n">
        <v>8</v>
      </c>
      <c r="B402" s="480" t="n"/>
      <c r="C402" s="527" t="n">
        <v>46071</v>
      </c>
      <c r="D402" s="528" t="inlineStr">
        <is>
          <t xml:space="preserve">219 G. SAN JOSE 2 </t>
        </is>
      </c>
      <c r="E402" s="528" t="n">
        <v>46298</v>
      </c>
      <c r="F402" s="528" t="inlineStr">
        <is>
          <t>JOSE SOLER</t>
        </is>
      </c>
      <c r="G402" s="528" t="n">
        <v>3240</v>
      </c>
      <c r="H402" s="528" t="n">
        <v>3230</v>
      </c>
      <c r="I402" s="528" t="n">
        <v>1</v>
      </c>
      <c r="J402" s="528" t="n">
        <v>5</v>
      </c>
      <c r="K402" s="528" t="n">
        <v>-4</v>
      </c>
      <c r="L402" s="494" t="n">
        <v>3240</v>
      </c>
      <c r="M402" s="398" t="n"/>
      <c r="N402" s="398" t="n"/>
      <c r="O402" s="398" t="n"/>
      <c r="P402" s="398" t="n"/>
      <c r="Q402" s="398" t="n"/>
      <c r="R402" s="398" t="n"/>
      <c r="S402" s="398" t="n"/>
      <c r="T402" s="398" t="n"/>
      <c r="U402" s="398" t="n"/>
      <c r="V402" s="398" t="n"/>
    </row>
    <row r="403" ht="15.75" customHeight="1">
      <c r="A403" s="398" t="n">
        <v>8</v>
      </c>
      <c r="B403" s="238" t="n"/>
      <c r="C403" s="399" t="n">
        <v>46071</v>
      </c>
      <c r="D403" s="162" t="inlineStr">
        <is>
          <t xml:space="preserve">219 G. SAN JOSE 2 </t>
        </is>
      </c>
      <c r="E403" s="162" t="n">
        <v>46299</v>
      </c>
      <c r="F403" s="162" t="inlineStr">
        <is>
          <t>ALEX GOMEZ</t>
        </is>
      </c>
      <c r="G403" s="162" t="n">
        <v>3240</v>
      </c>
      <c r="H403" s="162" t="n">
        <v>3231</v>
      </c>
      <c r="I403" s="162" t="n">
        <v>1</v>
      </c>
      <c r="J403" s="162" t="n">
        <v>5</v>
      </c>
      <c r="K403" s="162" t="n">
        <v>-3</v>
      </c>
      <c r="L403" s="395" t="n">
        <v>3400</v>
      </c>
      <c r="M403" s="113" t="n"/>
      <c r="N403" s="113" t="n"/>
      <c r="O403" s="113" t="n"/>
      <c r="P403" s="398" t="n"/>
      <c r="Q403" s="398" t="n"/>
      <c r="R403" s="113" t="n"/>
      <c r="S403" s="113" t="n"/>
      <c r="T403" s="113" t="n"/>
      <c r="U403" s="113" t="n"/>
      <c r="V403" s="113" t="n"/>
    </row>
    <row r="404" ht="15.75" customHeight="1">
      <c r="A404" s="398" t="n">
        <v>8</v>
      </c>
      <c r="B404" s="238" t="n"/>
      <c r="C404" s="399" t="n">
        <v>46072</v>
      </c>
      <c r="D404" s="162" t="inlineStr">
        <is>
          <t>200 G. GARCERAS</t>
        </is>
      </c>
      <c r="E404" s="162" t="n">
        <v>46307</v>
      </c>
      <c r="F404" s="162" t="inlineStr">
        <is>
          <t>FABIO ALDANA</t>
        </is>
      </c>
      <c r="G404" s="162" t="n">
        <v>2300</v>
      </c>
      <c r="H404" s="162" t="n">
        <v>2283</v>
      </c>
      <c r="I404" s="162" t="n">
        <v>5</v>
      </c>
      <c r="J404" s="162" t="n">
        <v>5</v>
      </c>
      <c r="K404" s="162" t="n">
        <v>-7</v>
      </c>
      <c r="L404" s="395" t="n">
        <v>3200</v>
      </c>
      <c r="M404" s="113" t="n"/>
      <c r="N404" s="113" t="n"/>
      <c r="O404" s="113" t="n"/>
      <c r="P404" s="398" t="n"/>
      <c r="Q404" s="398" t="n"/>
      <c r="R404" s="113" t="n"/>
      <c r="S404" s="113" t="n"/>
      <c r="T404" s="113" t="n"/>
      <c r="U404" s="113" t="n"/>
      <c r="V404" s="113" t="n"/>
    </row>
    <row r="405" ht="15.75" customHeight="1">
      <c r="A405" s="398" t="n">
        <v>8</v>
      </c>
      <c r="B405" s="238" t="n"/>
      <c r="C405" s="399" t="n">
        <v>46072</v>
      </c>
      <c r="D405" s="162" t="inlineStr">
        <is>
          <t xml:space="preserve">219 G. SAN JOSE 2 </t>
        </is>
      </c>
      <c r="E405" s="162" t="n">
        <v>46308</v>
      </c>
      <c r="F405" s="162" t="inlineStr">
        <is>
          <t>MANUEL QUITIAN</t>
        </is>
      </c>
      <c r="G405" s="162" t="n">
        <v>3000</v>
      </c>
      <c r="H405" s="162" t="n">
        <v>2986</v>
      </c>
      <c r="I405" s="162" t="n">
        <v>3</v>
      </c>
      <c r="J405" s="162" t="n">
        <v>9</v>
      </c>
      <c r="K405" s="162" t="n">
        <v>-2</v>
      </c>
      <c r="L405" s="395" t="n">
        <v>3000</v>
      </c>
      <c r="M405" s="113" t="n"/>
      <c r="N405" s="113" t="n"/>
      <c r="O405" s="113" t="n"/>
      <c r="P405" s="398" t="n"/>
      <c r="Q405" s="398" t="n"/>
      <c r="R405" s="113" t="n"/>
      <c r="S405" s="113" t="n"/>
      <c r="T405" s="113" t="n"/>
      <c r="U405" s="113" t="n"/>
      <c r="V405" s="113" t="n"/>
    </row>
    <row r="406" ht="15.75" customHeight="1">
      <c r="A406" s="398" t="n">
        <v>8</v>
      </c>
      <c r="B406" s="238" t="n"/>
      <c r="C406" s="399" t="n">
        <v>46072</v>
      </c>
      <c r="D406" s="162" t="inlineStr">
        <is>
          <t xml:space="preserve">219 G. SAN JOSE 2 </t>
        </is>
      </c>
      <c r="E406" s="162" t="n">
        <v>46309</v>
      </c>
      <c r="F406" s="162" t="inlineStr">
        <is>
          <t>HENRY ROMERO</t>
        </is>
      </c>
      <c r="G406" s="162" t="n">
        <v>3000</v>
      </c>
      <c r="H406" s="162" t="n">
        <v>2996</v>
      </c>
      <c r="I406" s="162" t="n">
        <v>2</v>
      </c>
      <c r="J406" s="162" t="n">
        <v>3</v>
      </c>
      <c r="K406" s="162" t="n">
        <v>1</v>
      </c>
      <c r="L406" s="395" t="n">
        <v>3000</v>
      </c>
      <c r="M406" s="113" t="n"/>
      <c r="N406" s="113" t="n"/>
      <c r="O406" s="113" t="n"/>
      <c r="P406" s="398" t="n"/>
      <c r="Q406" s="398" t="n"/>
      <c r="R406" s="113" t="n"/>
      <c r="S406" s="113" t="n"/>
      <c r="T406" s="113" t="n"/>
      <c r="U406" s="113" t="n"/>
      <c r="V406" s="113" t="n"/>
    </row>
    <row r="407" ht="15.75" customHeight="1">
      <c r="A407" s="398" t="n">
        <v>8</v>
      </c>
      <c r="B407" s="238" t="n"/>
      <c r="C407" s="399" t="n">
        <v>46072</v>
      </c>
      <c r="D407" s="162" t="inlineStr">
        <is>
          <t xml:space="preserve">219 G. SAN JOSE 2 </t>
        </is>
      </c>
      <c r="E407" s="162" t="n">
        <v>46310</v>
      </c>
      <c r="F407" s="162" t="inlineStr">
        <is>
          <t>DIEGO NIÑO</t>
        </is>
      </c>
      <c r="G407" s="162" t="n">
        <v>2000</v>
      </c>
      <c r="H407" s="162" t="n">
        <v>1996</v>
      </c>
      <c r="I407" s="162" t="n">
        <v>1</v>
      </c>
      <c r="J407" s="162" t="n">
        <v>4</v>
      </c>
      <c r="K407" s="162" t="n">
        <v>1</v>
      </c>
      <c r="L407" s="395" t="n">
        <v>2000</v>
      </c>
      <c r="M407" s="113" t="n"/>
      <c r="N407" s="113" t="n"/>
      <c r="O407" s="113" t="n"/>
      <c r="P407" s="398" t="n"/>
      <c r="Q407" s="398" t="n"/>
      <c r="R407" s="113" t="n"/>
      <c r="S407" s="113" t="n"/>
      <c r="T407" s="113" t="n"/>
      <c r="U407" s="113" t="n"/>
      <c r="V407" s="113" t="n"/>
    </row>
    <row r="408" ht="15.75" customHeight="1">
      <c r="A408" s="398" t="n">
        <v>8</v>
      </c>
      <c r="B408" s="238" t="n"/>
      <c r="C408" s="399" t="n">
        <v>46073</v>
      </c>
      <c r="D408" s="162" t="inlineStr">
        <is>
          <t>221 G. MALAGUEÑA</t>
        </is>
      </c>
      <c r="E408" s="162" t="n">
        <v>46334</v>
      </c>
      <c r="F408" s="162" t="inlineStr">
        <is>
          <t>JAIRO CUBILLOS</t>
        </is>
      </c>
      <c r="G408" s="162" t="n">
        <v>2870</v>
      </c>
      <c r="H408" s="162" t="n">
        <v>2862</v>
      </c>
      <c r="I408" s="162" t="n">
        <v>2</v>
      </c>
      <c r="J408" s="162" t="n">
        <v>7</v>
      </c>
      <c r="K408" s="162" t="n">
        <v>1</v>
      </c>
      <c r="L408" s="395" t="n">
        <v>2870</v>
      </c>
      <c r="M408" s="113" t="n"/>
      <c r="N408" s="113" t="n"/>
      <c r="O408" s="113" t="n"/>
      <c r="P408" s="398" t="n"/>
      <c r="Q408" s="398" t="n"/>
      <c r="R408" s="113" t="n"/>
      <c r="S408" s="113" t="n"/>
      <c r="T408" s="113" t="n"/>
      <c r="U408" s="113" t="n"/>
      <c r="V408" s="113" t="n"/>
    </row>
    <row r="409" ht="15.75" customHeight="1">
      <c r="A409" s="398" t="n">
        <v>8</v>
      </c>
      <c r="B409" s="238" t="n"/>
      <c r="C409" s="399" t="n">
        <v>46073</v>
      </c>
      <c r="D409" s="162" t="inlineStr">
        <is>
          <t>221 G. MALAGUEÑA</t>
        </is>
      </c>
      <c r="E409" s="162" t="n">
        <v>46335</v>
      </c>
      <c r="F409" s="162" t="inlineStr">
        <is>
          <t>YAIR RIVEROS</t>
        </is>
      </c>
      <c r="G409" s="162" t="n">
        <v>3190</v>
      </c>
      <c r="H409" s="162" t="n">
        <v>3185</v>
      </c>
      <c r="I409" s="162" t="n">
        <v>2</v>
      </c>
      <c r="J409" s="162" t="n">
        <v>0</v>
      </c>
      <c r="K409" s="162" t="n">
        <v>-3</v>
      </c>
      <c r="L409" s="395" t="n">
        <v>3190</v>
      </c>
      <c r="M409" s="113" t="n"/>
      <c r="N409" s="113" t="n"/>
      <c r="O409" s="113" t="n"/>
      <c r="P409" s="398" t="n"/>
      <c r="Q409" s="398" t="n"/>
      <c r="R409" s="113" t="n"/>
      <c r="S409" s="113" t="n"/>
      <c r="T409" s="113" t="n"/>
      <c r="U409" s="113" t="n"/>
      <c r="V409" s="113" t="n"/>
    </row>
    <row r="410" ht="15.75" customHeight="1">
      <c r="A410" s="398" t="n">
        <v>8</v>
      </c>
      <c r="B410" s="238" t="n"/>
      <c r="C410" s="399" t="n">
        <v>46073</v>
      </c>
      <c r="D410" s="162" t="inlineStr">
        <is>
          <t>221 G. MALAGUEÑA</t>
        </is>
      </c>
      <c r="E410" s="162" t="n">
        <v>46336</v>
      </c>
      <c r="F410" s="162" t="inlineStr">
        <is>
          <t>FERNANDO OYUELA</t>
        </is>
      </c>
      <c r="G410" s="162" t="n">
        <v>3190</v>
      </c>
      <c r="H410" s="162" t="n">
        <v>3184</v>
      </c>
      <c r="I410" s="162" t="n">
        <v>4</v>
      </c>
      <c r="J410" s="162" t="n">
        <v>0</v>
      </c>
      <c r="K410" s="162" t="n">
        <v>-2</v>
      </c>
      <c r="L410" s="395" t="n">
        <v>3190</v>
      </c>
      <c r="M410" s="113" t="n"/>
      <c r="N410" s="113" t="n"/>
      <c r="O410" s="113" t="n"/>
      <c r="P410" s="398" t="n"/>
      <c r="Q410" s="398" t="n"/>
      <c r="R410" s="113" t="n"/>
      <c r="S410" s="113" t="n"/>
      <c r="T410" s="113" t="n"/>
      <c r="U410" s="113" t="n"/>
      <c r="V410" s="113" t="n"/>
    </row>
    <row r="411" ht="15.75" customHeight="1">
      <c r="A411" s="398" t="n">
        <v>8</v>
      </c>
      <c r="B411" s="238" t="n"/>
      <c r="C411" s="399" t="n">
        <v>46073</v>
      </c>
      <c r="D411" s="162" t="inlineStr">
        <is>
          <t>221 G. MALAGUEÑA</t>
        </is>
      </c>
      <c r="E411" s="162" t="n">
        <v>46337</v>
      </c>
      <c r="F411" s="162" t="inlineStr">
        <is>
          <t>HENRY ROMERO</t>
        </is>
      </c>
      <c r="G411" s="162" t="n">
        <v>3360</v>
      </c>
      <c r="H411" s="162" t="n">
        <v>3354</v>
      </c>
      <c r="I411" s="162" t="n">
        <v>2</v>
      </c>
      <c r="J411" s="162" t="n">
        <v>1</v>
      </c>
      <c r="K411" s="162" t="n">
        <v>-3</v>
      </c>
      <c r="L411" s="395" t="n">
        <v>3360</v>
      </c>
      <c r="M411" s="113" t="n"/>
      <c r="N411" s="113" t="n"/>
      <c r="O411" s="113" t="n"/>
      <c r="P411" s="398" t="n"/>
      <c r="Q411" s="398" t="n"/>
      <c r="R411" s="113" t="n"/>
      <c r="S411" s="113" t="n"/>
      <c r="T411" s="113" t="n"/>
      <c r="U411" s="113" t="n"/>
      <c r="V411" s="113" t="n"/>
    </row>
    <row r="412" ht="15.75" customHeight="1">
      <c r="A412" s="398" t="n">
        <v>8</v>
      </c>
      <c r="B412" s="238" t="n"/>
      <c r="C412" s="399" t="n">
        <v>46074</v>
      </c>
      <c r="D412" s="162" t="inlineStr">
        <is>
          <t>221 G. MALAGUEÑA</t>
        </is>
      </c>
      <c r="E412" s="162" t="n">
        <v>46360</v>
      </c>
      <c r="F412" s="162" t="inlineStr">
        <is>
          <t>HENRY ROMERO</t>
        </is>
      </c>
      <c r="G412" s="162" t="n">
        <v>2890</v>
      </c>
      <c r="H412" s="162" t="n">
        <v>2892</v>
      </c>
      <c r="I412" s="162" t="n">
        <v>4</v>
      </c>
      <c r="J412" s="162" t="n">
        <v>2</v>
      </c>
      <c r="K412" s="162" t="n">
        <v>8</v>
      </c>
      <c r="L412" s="395" t="n">
        <v>2890</v>
      </c>
      <c r="M412" s="113" t="n"/>
      <c r="N412" s="113" t="n"/>
      <c r="O412" s="113" t="n"/>
      <c r="P412" s="398" t="n"/>
      <c r="Q412" s="398" t="n"/>
      <c r="R412" s="113" t="n"/>
      <c r="S412" s="113" t="n"/>
      <c r="T412" s="113" t="n"/>
      <c r="U412" s="113" t="n"/>
      <c r="V412" s="113" t="n"/>
    </row>
    <row r="413" ht="15.75" customHeight="1">
      <c r="A413" s="398" t="n">
        <v>8</v>
      </c>
      <c r="B413" s="238" t="n"/>
      <c r="C413" s="399" t="n">
        <v>46074</v>
      </c>
      <c r="D413" s="162" t="inlineStr">
        <is>
          <t>221 G. MALAGUEÑA</t>
        </is>
      </c>
      <c r="E413" s="162" t="n">
        <v>46361</v>
      </c>
      <c r="F413" s="162" t="inlineStr">
        <is>
          <t>EDWIN ROJAS</t>
        </is>
      </c>
      <c r="G413" s="162" t="n">
        <v>2890</v>
      </c>
      <c r="H413" s="162" t="n">
        <v>2892</v>
      </c>
      <c r="I413" s="162" t="n">
        <v>4</v>
      </c>
      <c r="J413" s="162" t="n">
        <v>5</v>
      </c>
      <c r="K413" s="162" t="n">
        <v>11</v>
      </c>
      <c r="L413" s="395" t="n">
        <v>2890</v>
      </c>
      <c r="M413" s="113" t="n"/>
      <c r="N413" s="113" t="n"/>
      <c r="O413" s="113" t="n"/>
      <c r="P413" s="398" t="n"/>
      <c r="Q413" s="398" t="n"/>
      <c r="R413" s="113" t="n"/>
      <c r="S413" s="113" t="n"/>
      <c r="T413" s="113" t="n"/>
      <c r="U413" s="113" t="n"/>
      <c r="V413" s="113" t="n"/>
    </row>
    <row r="414" ht="15.75" customHeight="1">
      <c r="A414" s="398" t="n">
        <v>8</v>
      </c>
      <c r="B414" s="238" t="n"/>
      <c r="C414" s="399" t="n">
        <v>46074</v>
      </c>
      <c r="D414" s="162" t="inlineStr">
        <is>
          <t>221 G. MALAGUEÑA</t>
        </is>
      </c>
      <c r="E414" s="162" t="n">
        <v>46362</v>
      </c>
      <c r="F414" s="162" t="inlineStr">
        <is>
          <t>DUMAR ANGARITA</t>
        </is>
      </c>
      <c r="G414" s="162" t="n">
        <v>2890</v>
      </c>
      <c r="H414" s="162" t="n">
        <v>2893</v>
      </c>
      <c r="I414" s="162" t="n">
        <v>4</v>
      </c>
      <c r="J414" s="162" t="n">
        <v>3</v>
      </c>
      <c r="K414" s="162" t="n">
        <v>10</v>
      </c>
      <c r="L414" s="395" t="n">
        <v>2890</v>
      </c>
      <c r="M414" s="113" t="n"/>
      <c r="N414" s="113" t="n"/>
      <c r="O414" s="113" t="n"/>
      <c r="P414" s="398" t="n"/>
      <c r="Q414" s="398" t="n"/>
      <c r="R414" s="113" t="n"/>
      <c r="S414" s="113" t="n"/>
      <c r="T414" s="113" t="n"/>
      <c r="U414" s="113" t="n"/>
      <c r="V414" s="113" t="n"/>
    </row>
    <row r="415" ht="15.75" customHeight="1">
      <c r="A415" s="398" t="n">
        <v>8</v>
      </c>
      <c r="B415" s="238" t="n"/>
      <c r="C415" s="399" t="n">
        <v>46074</v>
      </c>
      <c r="D415" s="162" t="inlineStr">
        <is>
          <t>221 G. MALAGUEÑA</t>
        </is>
      </c>
      <c r="E415" s="162" t="n">
        <v>46363</v>
      </c>
      <c r="F415" s="162" t="inlineStr">
        <is>
          <t>ALBERTO HERRERA</t>
        </is>
      </c>
      <c r="G415" s="162" t="n">
        <v>2890</v>
      </c>
      <c r="H415" s="162" t="n">
        <v>2896</v>
      </c>
      <c r="I415" s="162" t="n">
        <v>1</v>
      </c>
      <c r="J415" s="162" t="n">
        <v>4</v>
      </c>
      <c r="K415" s="162" t="n">
        <v>11</v>
      </c>
      <c r="L415" s="395" t="n">
        <v>2890</v>
      </c>
      <c r="M415" s="398" t="n"/>
      <c r="N415" s="113" t="n"/>
      <c r="O415" s="113" t="n"/>
      <c r="P415" s="398" t="n"/>
      <c r="Q415" s="398" t="n"/>
      <c r="R415" s="113" t="n"/>
      <c r="S415" s="113" t="n"/>
      <c r="T415" s="113" t="n"/>
      <c r="U415" s="113" t="n"/>
      <c r="V415" s="113" t="n"/>
    </row>
    <row r="416" ht="15.75" customHeight="1">
      <c r="A416" s="398" t="n">
        <v>8</v>
      </c>
      <c r="B416" s="480" t="n"/>
      <c r="C416" s="527" t="n">
        <v>46074</v>
      </c>
      <c r="D416" s="528" t="inlineStr">
        <is>
          <t>221 G. MALAGUEÑA</t>
        </is>
      </c>
      <c r="E416" s="528" t="n">
        <v>46364</v>
      </c>
      <c r="F416" s="528" t="inlineStr">
        <is>
          <t>JOSE SOLER</t>
        </is>
      </c>
      <c r="G416" s="528" t="n">
        <v>3340</v>
      </c>
      <c r="H416" s="528" t="n">
        <v>3334</v>
      </c>
      <c r="I416" s="528" t="n">
        <v>2</v>
      </c>
      <c r="J416" s="528" t="n">
        <v>4</v>
      </c>
      <c r="K416" s="528" t="n">
        <v>0</v>
      </c>
      <c r="L416" s="494" t="n">
        <v>3340</v>
      </c>
      <c r="M416" s="398" t="n"/>
      <c r="N416" s="398" t="n"/>
      <c r="O416" s="398" t="n"/>
      <c r="P416" s="398" t="n"/>
      <c r="Q416" s="398" t="n"/>
      <c r="R416" s="398" t="n"/>
      <c r="S416" s="398" t="n"/>
      <c r="T416" s="398" t="n"/>
      <c r="U416" s="398" t="n"/>
      <c r="V416" s="398" t="n"/>
    </row>
    <row r="417" ht="15.75" customHeight="1">
      <c r="A417" s="398" t="n">
        <v>8</v>
      </c>
      <c r="B417" s="480" t="n"/>
      <c r="C417" s="527" t="n">
        <v>46074</v>
      </c>
      <c r="D417" s="528" t="inlineStr">
        <is>
          <t>221 G. MALAGUEÑA</t>
        </is>
      </c>
      <c r="E417" s="528" t="n">
        <v>46365</v>
      </c>
      <c r="F417" s="528" t="inlineStr">
        <is>
          <t>MANUEL QUITIAN</t>
        </is>
      </c>
      <c r="G417" s="528" t="n">
        <v>3340</v>
      </c>
      <c r="H417" s="528" t="n">
        <v>3322</v>
      </c>
      <c r="I417" s="528" t="n">
        <v>1</v>
      </c>
      <c r="J417" s="528" t="n">
        <v>1</v>
      </c>
      <c r="K417" s="528" t="n">
        <v>-16</v>
      </c>
      <c r="L417" s="494" t="n">
        <v>3340</v>
      </c>
      <c r="M417" s="398" t="n"/>
      <c r="N417" s="398" t="n"/>
      <c r="O417" s="398" t="n"/>
      <c r="P417" s="398" t="n"/>
      <c r="Q417" s="398" t="n"/>
      <c r="R417" s="398" t="n"/>
      <c r="S417" s="398" t="n"/>
      <c r="T417" s="398" t="n"/>
      <c r="U417" s="398" t="n"/>
      <c r="V417" s="398" t="n"/>
    </row>
    <row r="418" ht="15.75" customHeight="1">
      <c r="A418" s="398" t="n">
        <v>8</v>
      </c>
      <c r="B418" s="480" t="n"/>
      <c r="C418" s="527" t="n">
        <v>46074</v>
      </c>
      <c r="D418" s="528" t="inlineStr">
        <is>
          <t xml:space="preserve">219 G. SAN JOSE 2 </t>
        </is>
      </c>
      <c r="E418" s="528" t="n">
        <v>46373</v>
      </c>
      <c r="F418" s="528" t="inlineStr">
        <is>
          <t>HENRY ROMERO</t>
        </is>
      </c>
      <c r="G418" s="528" t="n">
        <v>3150</v>
      </c>
      <c r="H418" s="528" t="n">
        <v>3127</v>
      </c>
      <c r="I418" s="528" t="n">
        <v>3</v>
      </c>
      <c r="J418" s="528" t="n">
        <v>3</v>
      </c>
      <c r="K418" s="528" t="n">
        <v>-17</v>
      </c>
      <c r="L418" s="494" t="n">
        <v>3150</v>
      </c>
      <c r="M418" s="398" t="n"/>
      <c r="N418" s="398" t="n"/>
      <c r="O418" s="398" t="n"/>
      <c r="P418" s="398" t="n"/>
      <c r="Q418" s="398" t="n"/>
      <c r="R418" s="398" t="n"/>
      <c r="S418" s="398" t="n"/>
      <c r="T418" s="398" t="n"/>
      <c r="U418" s="398" t="n"/>
      <c r="V418" s="398" t="n"/>
    </row>
    <row r="419" ht="15.75" customHeight="1">
      <c r="A419" s="398" t="n">
        <v>8</v>
      </c>
      <c r="B419" s="238" t="n"/>
      <c r="C419" s="399" t="n">
        <v>46074</v>
      </c>
      <c r="D419" s="162" t="inlineStr">
        <is>
          <t xml:space="preserve">219 G. SAN JOSE 2 </t>
        </is>
      </c>
      <c r="E419" s="162" t="n">
        <v>46374</v>
      </c>
      <c r="F419" s="162" t="inlineStr">
        <is>
          <t>DUMAR ANGARITA</t>
        </is>
      </c>
      <c r="G419" s="162" t="n">
        <v>3150</v>
      </c>
      <c r="H419" s="162" t="n">
        <v>3137</v>
      </c>
      <c r="I419" s="162" t="n">
        <v>5</v>
      </c>
      <c r="J419" s="162" t="n">
        <v>6</v>
      </c>
      <c r="K419" s="162" t="n">
        <v>-2</v>
      </c>
      <c r="L419" s="395" t="n">
        <v>3150</v>
      </c>
      <c r="M419" s="113" t="n"/>
      <c r="N419" s="113" t="n"/>
      <c r="O419" s="113" t="n"/>
      <c r="P419" s="398" t="n"/>
      <c r="Q419" s="398" t="n"/>
      <c r="R419" s="113" t="n"/>
      <c r="S419" s="113" t="n"/>
      <c r="T419" s="113" t="n"/>
      <c r="U419" s="113" t="n"/>
      <c r="V419" s="113" t="n"/>
    </row>
    <row r="420" ht="15.75" customHeight="1">
      <c r="A420" s="398" t="n">
        <v>8</v>
      </c>
      <c r="B420" s="238" t="n"/>
      <c r="C420" s="399" t="n">
        <v>46074</v>
      </c>
      <c r="D420" s="162" t="inlineStr">
        <is>
          <t xml:space="preserve">219 G. SAN JOSE 2 </t>
        </is>
      </c>
      <c r="E420" s="162" t="n">
        <v>46375</v>
      </c>
      <c r="F420" s="162" t="inlineStr">
        <is>
          <t>JOSE SOLER</t>
        </is>
      </c>
      <c r="G420" s="162" t="n">
        <v>3150</v>
      </c>
      <c r="H420" s="162" t="n">
        <v>3147</v>
      </c>
      <c r="I420" s="162" t="n">
        <v>4</v>
      </c>
      <c r="J420" s="162" t="n">
        <v>4</v>
      </c>
      <c r="K420" s="162" t="n">
        <v>5</v>
      </c>
      <c r="L420" s="395" t="n">
        <v>3150</v>
      </c>
      <c r="M420" s="113" t="n"/>
      <c r="N420" s="113" t="n"/>
      <c r="O420" s="113" t="n"/>
      <c r="P420" s="398" t="n"/>
      <c r="Q420" s="398" t="n"/>
      <c r="R420" s="113" t="n"/>
      <c r="S420" s="113" t="n"/>
      <c r="T420" s="113" t="n"/>
      <c r="U420" s="113" t="n"/>
      <c r="V420" s="113" t="n"/>
    </row>
    <row r="421" ht="15.75" customHeight="1">
      <c r="A421" s="398" t="n">
        <v>8</v>
      </c>
      <c r="B421" s="238" t="n"/>
      <c r="C421" s="399" t="n">
        <v>46074</v>
      </c>
      <c r="D421" s="162" t="inlineStr">
        <is>
          <t xml:space="preserve">219 G. SAN JOSE 2 </t>
        </is>
      </c>
      <c r="E421" s="162" t="n">
        <v>46376</v>
      </c>
      <c r="F421" s="162" t="inlineStr">
        <is>
          <t>YAIR RIVEROS</t>
        </is>
      </c>
      <c r="G421" s="162" t="n">
        <v>3150</v>
      </c>
      <c r="H421" s="162" t="n">
        <v>3148</v>
      </c>
      <c r="I421" s="162" t="n">
        <v>4</v>
      </c>
      <c r="J421" s="162" t="n">
        <v>0</v>
      </c>
      <c r="K421" s="162" t="n">
        <v>2</v>
      </c>
      <c r="L421" s="395" t="n">
        <v>3150</v>
      </c>
      <c r="M421" s="113" t="n"/>
      <c r="N421" s="113" t="n"/>
      <c r="O421" s="113" t="n"/>
      <c r="P421" s="398" t="n"/>
      <c r="Q421" s="398" t="n"/>
      <c r="R421" s="113" t="n"/>
      <c r="S421" s="113" t="n"/>
      <c r="T421" s="113" t="n"/>
      <c r="U421" s="113" t="n"/>
      <c r="V421" s="113" t="n"/>
    </row>
    <row r="422" ht="15.75" customHeight="1">
      <c r="A422" s="398" t="n">
        <v>8</v>
      </c>
      <c r="B422" s="238" t="n"/>
      <c r="C422" s="399" t="n">
        <v>46074</v>
      </c>
      <c r="D422" s="162" t="inlineStr">
        <is>
          <t xml:space="preserve">219 G. SAN JOSE 2 </t>
        </is>
      </c>
      <c r="E422" s="162" t="n">
        <v>46377</v>
      </c>
      <c r="F422" s="162" t="inlineStr">
        <is>
          <t>JAIRO CUBILLOS</t>
        </is>
      </c>
      <c r="G422" s="162" t="n">
        <v>2890</v>
      </c>
      <c r="H422" s="162" t="n">
        <v>2889</v>
      </c>
      <c r="I422" s="162" t="n">
        <v>4</v>
      </c>
      <c r="J422" s="162" t="n">
        <v>1</v>
      </c>
      <c r="K422" s="162" t="n">
        <v>4</v>
      </c>
      <c r="L422" s="395" t="n">
        <v>2890</v>
      </c>
      <c r="M422" s="113" t="n"/>
      <c r="N422" s="113" t="n"/>
      <c r="O422" s="113" t="n"/>
      <c r="P422" s="398" t="n"/>
      <c r="Q422" s="398" t="n"/>
      <c r="R422" s="113" t="n"/>
      <c r="S422" s="113" t="n"/>
      <c r="T422" s="113" t="n"/>
      <c r="U422" s="113" t="n"/>
      <c r="V422" s="113" t="n"/>
    </row>
    <row r="423" ht="15.75" customHeight="1">
      <c r="A423" s="398" t="n">
        <v>8</v>
      </c>
      <c r="B423" s="238" t="n"/>
      <c r="C423" s="399" t="n">
        <v>46074</v>
      </c>
      <c r="D423" s="162" t="inlineStr">
        <is>
          <t xml:space="preserve">219 G. SAN JOSE 2 </t>
        </is>
      </c>
      <c r="E423" s="162" t="n">
        <v>46378</v>
      </c>
      <c r="F423" s="162" t="inlineStr">
        <is>
          <t>JHON ARIAS</t>
        </is>
      </c>
      <c r="G423" s="162" t="n">
        <v>2890</v>
      </c>
      <c r="H423" s="162" t="n">
        <v>2890</v>
      </c>
      <c r="I423" s="162" t="n">
        <v>4</v>
      </c>
      <c r="J423" s="162" t="n">
        <v>0</v>
      </c>
      <c r="K423" s="162" t="n">
        <v>4</v>
      </c>
      <c r="L423" s="395" t="n">
        <v>2890</v>
      </c>
      <c r="M423" s="113" t="n"/>
      <c r="N423" s="113" t="n"/>
      <c r="O423" s="113" t="n"/>
      <c r="P423" s="398" t="n"/>
      <c r="Q423" s="398" t="n"/>
      <c r="R423" s="113" t="n"/>
      <c r="S423" s="113" t="n"/>
      <c r="T423" s="113" t="n"/>
      <c r="U423" s="113" t="n"/>
      <c r="V423" s="113" t="n"/>
    </row>
    <row r="424" ht="15.75" customHeight="1">
      <c r="A424" s="398" t="n">
        <v>8</v>
      </c>
      <c r="B424" s="238" t="n"/>
      <c r="C424" s="399" t="n">
        <v>46074</v>
      </c>
      <c r="D424" s="162" t="inlineStr">
        <is>
          <t xml:space="preserve">219 G. SAN JOSE 2 </t>
        </is>
      </c>
      <c r="E424" s="162" t="n">
        <v>46379</v>
      </c>
      <c r="F424" s="162" t="inlineStr">
        <is>
          <t>FABIO ALDANA</t>
        </is>
      </c>
      <c r="G424" s="162" t="n">
        <v>2890</v>
      </c>
      <c r="H424" s="162" t="n">
        <v>2872</v>
      </c>
      <c r="I424" s="162" t="n">
        <v>12</v>
      </c>
      <c r="J424" s="162" t="n">
        <v>4</v>
      </c>
      <c r="K424" s="162" t="n">
        <v>-2</v>
      </c>
      <c r="L424" s="395" t="n">
        <v>2890</v>
      </c>
      <c r="M424" s="113" t="n"/>
      <c r="N424" s="113" t="n"/>
      <c r="O424" s="113" t="n"/>
      <c r="P424" s="398" t="n"/>
      <c r="Q424" s="398" t="n"/>
      <c r="R424" s="113" t="n"/>
      <c r="S424" s="113" t="n"/>
      <c r="T424" s="113" t="n"/>
      <c r="U424" s="113" t="n"/>
      <c r="V424" s="113" t="n"/>
    </row>
    <row r="425" ht="15.75" customHeight="1">
      <c r="A425" s="398" t="n">
        <v>8</v>
      </c>
      <c r="B425" s="238" t="n"/>
      <c r="C425" s="399" t="n"/>
      <c r="D425" s="162" t="n"/>
      <c r="E425" s="162" t="n"/>
      <c r="F425" s="162" t="n"/>
      <c r="G425" s="530">
        <f>SUBTOTAL(9,G369:G424)</f>
        <v/>
      </c>
      <c r="H425" s="530">
        <f>SUBTOTAL(9,H369:H424)</f>
        <v/>
      </c>
      <c r="I425" s="530">
        <f>SUBTOTAL(9,I369:I424)</f>
        <v/>
      </c>
      <c r="J425" s="530">
        <f>SUBTOTAL(9,J369:J424)</f>
        <v/>
      </c>
      <c r="K425" s="530">
        <f>SUBTOTAL(9,K369:K424)</f>
        <v/>
      </c>
      <c r="L425" s="530">
        <f>SUBTOTAL(9,L369:L424)</f>
        <v/>
      </c>
      <c r="M425" s="113" t="n"/>
      <c r="N425" s="113" t="n"/>
      <c r="O425" s="113" t="n"/>
      <c r="P425" s="398" t="n"/>
      <c r="Q425" s="398" t="n"/>
      <c r="R425" s="113" t="n"/>
      <c r="S425" s="113" t="n"/>
      <c r="T425" s="113" t="n"/>
      <c r="U425" s="113" t="n"/>
      <c r="V425" s="113" t="n"/>
    </row>
    <row r="426" ht="15.75" customHeight="1">
      <c r="A426" s="398" t="n">
        <v>9</v>
      </c>
      <c r="B426" s="238" t="n"/>
      <c r="C426" s="399" t="n">
        <v>46076</v>
      </c>
      <c r="D426" s="162" t="inlineStr">
        <is>
          <t>221 G. MALAGUEÑA</t>
        </is>
      </c>
      <c r="E426" s="162" t="n">
        <v>46367</v>
      </c>
      <c r="F426" s="162" t="inlineStr">
        <is>
          <t>ROBINSON PULIDO</t>
        </is>
      </c>
      <c r="G426" s="162" t="n">
        <v>3036</v>
      </c>
      <c r="H426" s="162" t="n">
        <v>3033</v>
      </c>
      <c r="I426" s="162" t="n">
        <v>2</v>
      </c>
      <c r="J426" s="162" t="n">
        <v>1</v>
      </c>
      <c r="K426" s="162" t="n">
        <v>0</v>
      </c>
      <c r="L426" s="395" t="n"/>
      <c r="M426" s="113" t="n"/>
      <c r="N426" s="113" t="n"/>
      <c r="O426" s="113" t="n"/>
      <c r="P426" s="398" t="n"/>
      <c r="Q426" s="398" t="n"/>
      <c r="R426" s="113" t="n"/>
      <c r="S426" s="113" t="n"/>
      <c r="T426" s="113" t="n"/>
      <c r="U426" s="113" t="n"/>
      <c r="V426" s="113" t="n"/>
    </row>
    <row r="427" ht="15.75" customHeight="1">
      <c r="A427" s="398" t="n">
        <v>9</v>
      </c>
      <c r="B427" s="238" t="n"/>
      <c r="C427" s="399" t="n">
        <v>46076</v>
      </c>
      <c r="D427" s="162" t="inlineStr">
        <is>
          <t>221 G. MALAGUEÑA</t>
        </is>
      </c>
      <c r="E427" s="162" t="n">
        <v>46388</v>
      </c>
      <c r="F427" s="162" t="inlineStr">
        <is>
          <t>ALBERTO HERRERA</t>
        </is>
      </c>
      <c r="G427" s="162" t="n">
        <v>3580</v>
      </c>
      <c r="H427" s="162" t="n">
        <v>3578</v>
      </c>
      <c r="I427" s="162" t="n">
        <v>3</v>
      </c>
      <c r="J427" s="162" t="n">
        <v>1</v>
      </c>
      <c r="K427" s="162" t="n">
        <v>2</v>
      </c>
      <c r="L427" s="395" t="n"/>
      <c r="M427" s="113" t="n"/>
      <c r="N427" s="113" t="n"/>
      <c r="O427" s="113" t="n"/>
      <c r="P427" s="398" t="n"/>
      <c r="Q427" s="398" t="n"/>
      <c r="R427" s="113" t="n"/>
      <c r="S427" s="113" t="n"/>
      <c r="T427" s="113" t="n"/>
      <c r="U427" s="113" t="n"/>
      <c r="V427" s="113" t="n"/>
    </row>
    <row r="428" ht="15.75" customHeight="1">
      <c r="A428" s="398" t="n">
        <v>9</v>
      </c>
      <c r="B428" s="238" t="n"/>
      <c r="C428" s="399" t="n">
        <v>46076</v>
      </c>
      <c r="D428" s="162" t="inlineStr">
        <is>
          <t>221 G. MALAGUEÑA</t>
        </is>
      </c>
      <c r="E428" s="162" t="n">
        <v>46389</v>
      </c>
      <c r="F428" s="162" t="inlineStr">
        <is>
          <t>HENRY ROMERO</t>
        </is>
      </c>
      <c r="G428" s="162" t="n">
        <v>3580</v>
      </c>
      <c r="H428" s="162" t="n">
        <v>3576</v>
      </c>
      <c r="I428" s="162" t="n">
        <v>6</v>
      </c>
      <c r="J428" s="162" t="n">
        <v>2</v>
      </c>
      <c r="K428" s="162" t="n">
        <v>4</v>
      </c>
      <c r="L428" s="395" t="n"/>
      <c r="M428" s="113" t="n"/>
      <c r="N428" s="113" t="n"/>
      <c r="O428" s="113" t="n"/>
      <c r="P428" s="398" t="n"/>
      <c r="Q428" s="398" t="n"/>
      <c r="R428" s="113" t="n"/>
      <c r="S428" s="113" t="n"/>
      <c r="T428" s="113" t="n"/>
      <c r="U428" s="113" t="n"/>
      <c r="V428" s="113" t="n"/>
    </row>
    <row r="429" ht="15.75" customHeight="1">
      <c r="A429" s="398" t="n">
        <v>9</v>
      </c>
      <c r="B429" s="238" t="n"/>
      <c r="C429" s="399" t="n">
        <v>46076</v>
      </c>
      <c r="D429" s="162" t="inlineStr">
        <is>
          <t>221 G. MALAGUEÑA</t>
        </is>
      </c>
      <c r="E429" s="162" t="n">
        <v>46390</v>
      </c>
      <c r="F429" s="162" t="inlineStr">
        <is>
          <t>ALEX GOMEZ</t>
        </is>
      </c>
      <c r="G429" s="162" t="n">
        <v>2700</v>
      </c>
      <c r="H429" s="162" t="n">
        <v>2699</v>
      </c>
      <c r="I429" s="162" t="n">
        <v>4</v>
      </c>
      <c r="J429" s="162" t="n">
        <v>0</v>
      </c>
      <c r="K429" s="162" t="n">
        <v>3</v>
      </c>
      <c r="L429" s="395" t="n"/>
      <c r="M429" s="113" t="n"/>
      <c r="N429" s="113" t="n"/>
      <c r="O429" s="113" t="n"/>
      <c r="P429" s="398" t="n"/>
      <c r="Q429" s="398" t="n"/>
      <c r="R429" s="113" t="n"/>
      <c r="S429" s="113" t="n"/>
      <c r="T429" s="113" t="n"/>
      <c r="U429" s="113" t="n"/>
      <c r="V429" s="113" t="n"/>
    </row>
    <row r="430" ht="15.75" customHeight="1">
      <c r="A430" s="398" t="n">
        <v>9</v>
      </c>
      <c r="B430" s="238" t="n"/>
      <c r="C430" s="399" t="n">
        <v>46076</v>
      </c>
      <c r="D430" s="162" t="inlineStr">
        <is>
          <t>221 G. MALAGUEÑA</t>
        </is>
      </c>
      <c r="E430" s="162" t="n">
        <v>46391</v>
      </c>
      <c r="F430" s="162" t="inlineStr">
        <is>
          <t>WILMER PIÑEROS</t>
        </is>
      </c>
      <c r="G430" s="162" t="n">
        <v>2700</v>
      </c>
      <c r="H430" s="162" t="n">
        <v>2703</v>
      </c>
      <c r="I430" s="162" t="n">
        <v>2</v>
      </c>
      <c r="J430" s="162" t="n">
        <v>2</v>
      </c>
      <c r="K430" s="162" t="n">
        <v>7</v>
      </c>
      <c r="L430" s="395" t="n"/>
      <c r="M430" s="113" t="n"/>
      <c r="N430" s="113" t="n"/>
      <c r="O430" s="113" t="n"/>
      <c r="P430" s="398" t="n"/>
      <c r="Q430" s="398" t="n"/>
      <c r="R430" s="113" t="n"/>
      <c r="S430" s="113" t="n"/>
      <c r="T430" s="113" t="n"/>
      <c r="U430" s="113" t="n"/>
      <c r="V430" s="113" t="n"/>
    </row>
    <row r="431" ht="15.75" customHeight="1">
      <c r="A431" s="398" t="n">
        <v>9</v>
      </c>
      <c r="B431" s="238" t="n"/>
      <c r="C431" s="399" t="n">
        <v>46076</v>
      </c>
      <c r="D431" s="162" t="inlineStr">
        <is>
          <t>221 G. MALAGUEÑA</t>
        </is>
      </c>
      <c r="E431" s="162" t="n">
        <v>46392</v>
      </c>
      <c r="F431" s="162" t="inlineStr">
        <is>
          <t>JOSE SOLER</t>
        </is>
      </c>
      <c r="G431" s="162" t="n">
        <v>2700</v>
      </c>
      <c r="H431" s="162" t="n">
        <v>2701</v>
      </c>
      <c r="I431" s="162" t="n">
        <v>2</v>
      </c>
      <c r="J431" s="162" t="n">
        <v>3</v>
      </c>
      <c r="K431" s="162" t="n">
        <v>6</v>
      </c>
      <c r="L431" s="395" t="n"/>
      <c r="M431" s="113" t="n"/>
      <c r="N431" s="113" t="n"/>
      <c r="O431" s="113" t="n"/>
      <c r="P431" s="398" t="n"/>
      <c r="Q431" s="398" t="n"/>
      <c r="R431" s="113" t="n"/>
      <c r="S431" s="113" t="n"/>
      <c r="T431" s="113" t="n"/>
      <c r="U431" s="113" t="n"/>
      <c r="V431" s="113" t="n"/>
    </row>
    <row r="432" ht="15.75" customHeight="1">
      <c r="A432" s="398" t="n">
        <v>9</v>
      </c>
      <c r="B432" s="238" t="n"/>
      <c r="C432" s="399" t="n">
        <v>46076</v>
      </c>
      <c r="D432" s="162" t="inlineStr">
        <is>
          <t>221 G. MALAGUEÑA</t>
        </is>
      </c>
      <c r="E432" s="162" t="n">
        <v>46393</v>
      </c>
      <c r="F432" s="162" t="inlineStr">
        <is>
          <t>JAIRO CUBILLOS</t>
        </is>
      </c>
      <c r="G432" s="162" t="n">
        <v>2700</v>
      </c>
      <c r="H432" s="162" t="n">
        <v>2697</v>
      </c>
      <c r="I432" s="162" t="n">
        <v>2</v>
      </c>
      <c r="J432" s="162" t="n">
        <v>2</v>
      </c>
      <c r="K432" s="162" t="n">
        <v>1</v>
      </c>
      <c r="L432" s="395" t="n"/>
      <c r="M432" s="113" t="n"/>
      <c r="N432" s="113" t="n"/>
      <c r="O432" s="113" t="n"/>
      <c r="P432" s="398" t="n"/>
      <c r="Q432" s="398" t="n"/>
      <c r="R432" s="113" t="n"/>
      <c r="S432" s="113" t="n"/>
      <c r="T432" s="113" t="n"/>
      <c r="U432" s="113" t="n"/>
      <c r="V432" s="113" t="n"/>
    </row>
    <row r="433" ht="15.75" customHeight="1">
      <c r="A433" s="398" t="n">
        <v>9</v>
      </c>
      <c r="B433" s="238" t="n"/>
      <c r="C433" s="399" t="n">
        <v>46076</v>
      </c>
      <c r="D433" s="162" t="inlineStr">
        <is>
          <t xml:space="preserve">219 G. SAN JOSE 2 </t>
        </is>
      </c>
      <c r="E433" s="162" t="n">
        <v>46402</v>
      </c>
      <c r="F433" s="162" t="inlineStr">
        <is>
          <t>ROBINSON PULIDO</t>
        </is>
      </c>
      <c r="G433" s="162" t="n">
        <v>3200</v>
      </c>
      <c r="H433" s="162" t="n">
        <v>3214</v>
      </c>
      <c r="I433" s="162" t="n">
        <v>4</v>
      </c>
      <c r="J433" s="162" t="n">
        <v>1</v>
      </c>
      <c r="K433" s="162" t="n">
        <v>19</v>
      </c>
      <c r="L433" s="395" t="n"/>
      <c r="M433" s="113" t="n"/>
      <c r="N433" s="113" t="n"/>
      <c r="O433" s="113" t="n"/>
      <c r="P433" s="398" t="n"/>
      <c r="Q433" s="398" t="n"/>
      <c r="R433" s="113" t="n"/>
      <c r="S433" s="113" t="n"/>
      <c r="T433" s="113" t="n"/>
      <c r="U433" s="113" t="n"/>
      <c r="V433" s="113" t="n"/>
    </row>
    <row r="434" ht="15.75" customHeight="1">
      <c r="A434" s="398" t="n">
        <v>9</v>
      </c>
      <c r="B434" s="238" t="n"/>
      <c r="C434" s="399" t="n">
        <v>46076</v>
      </c>
      <c r="D434" s="162" t="inlineStr">
        <is>
          <t xml:space="preserve">219 G. SAN JOSE 2 </t>
        </is>
      </c>
      <c r="E434" s="162" t="n">
        <v>46403</v>
      </c>
      <c r="F434" s="162" t="inlineStr">
        <is>
          <t>WILMER PIÑEROS</t>
        </is>
      </c>
      <c r="G434" s="162" t="n">
        <v>3200</v>
      </c>
      <c r="H434" s="162" t="n">
        <v>3187</v>
      </c>
      <c r="I434" s="162" t="n">
        <v>4</v>
      </c>
      <c r="J434" s="162" t="n">
        <v>2</v>
      </c>
      <c r="K434" s="162" t="n">
        <v>-7</v>
      </c>
      <c r="L434" s="395" t="n"/>
      <c r="M434" s="113" t="n"/>
      <c r="N434" s="113" t="n"/>
      <c r="O434" s="113" t="n"/>
      <c r="P434" s="398" t="n"/>
      <c r="Q434" s="398" t="n"/>
      <c r="R434" s="113" t="n"/>
      <c r="S434" s="113" t="n"/>
      <c r="T434" s="113" t="n"/>
      <c r="U434" s="113" t="n"/>
      <c r="V434" s="113" t="n"/>
    </row>
    <row r="435" ht="15.75" customHeight="1">
      <c r="A435" s="398" t="n">
        <v>9</v>
      </c>
      <c r="B435" s="238" t="n"/>
      <c r="C435" s="399" t="n">
        <v>46076</v>
      </c>
      <c r="D435" s="162" t="inlineStr">
        <is>
          <t xml:space="preserve">219 G. SAN JOSE 2 </t>
        </is>
      </c>
      <c r="E435" s="162" t="n">
        <v>46404</v>
      </c>
      <c r="F435" s="162" t="inlineStr">
        <is>
          <t>JAIRO CUBILLOS</t>
        </is>
      </c>
      <c r="G435" s="162" t="n">
        <v>3200</v>
      </c>
      <c r="H435" s="162" t="n">
        <v>3184</v>
      </c>
      <c r="I435" s="162" t="n">
        <v>3</v>
      </c>
      <c r="J435" s="162" t="n">
        <v>1</v>
      </c>
      <c r="K435" s="162" t="n">
        <v>-12</v>
      </c>
      <c r="L435" s="395" t="n"/>
      <c r="M435" s="113" t="n"/>
      <c r="N435" s="113" t="n"/>
      <c r="O435" s="113" t="n"/>
      <c r="P435" s="398" t="n"/>
      <c r="Q435" s="398" t="n"/>
      <c r="R435" s="113" t="n"/>
      <c r="S435" s="113" t="n"/>
      <c r="T435" s="113" t="n"/>
      <c r="U435" s="113" t="n"/>
      <c r="V435" s="113" t="n"/>
    </row>
    <row r="436" ht="15.75" customHeight="1">
      <c r="A436" s="398" t="n">
        <v>9</v>
      </c>
      <c r="B436" s="238" t="n"/>
      <c r="C436" s="399" t="n">
        <v>46076</v>
      </c>
      <c r="D436" s="162" t="inlineStr">
        <is>
          <t xml:space="preserve">219 G. SAN JOSE 2 </t>
        </is>
      </c>
      <c r="E436" s="162" t="n">
        <v>46405</v>
      </c>
      <c r="F436" s="162" t="inlineStr">
        <is>
          <t>YAIR RIVEROS</t>
        </is>
      </c>
      <c r="G436" s="162" t="n">
        <v>3200</v>
      </c>
      <c r="H436" s="162" t="n">
        <v>3192</v>
      </c>
      <c r="I436" s="162" t="n">
        <v>0</v>
      </c>
      <c r="J436" s="162" t="n">
        <v>3</v>
      </c>
      <c r="K436" s="162" t="n">
        <v>-5</v>
      </c>
      <c r="L436" s="395" t="n"/>
      <c r="M436" s="113" t="n"/>
      <c r="N436" s="113" t="n"/>
      <c r="O436" s="113" t="n"/>
      <c r="P436" s="398" t="n"/>
      <c r="Q436" s="398" t="n"/>
      <c r="R436" s="113" t="n"/>
      <c r="S436" s="113" t="n"/>
      <c r="T436" s="113" t="n"/>
      <c r="U436" s="113" t="n"/>
      <c r="V436" s="113" t="n"/>
    </row>
    <row r="437" ht="15.75" customHeight="1">
      <c r="A437" s="398" t="n">
        <v>9</v>
      </c>
      <c r="B437" s="238" t="n"/>
      <c r="C437" s="399" t="n">
        <v>46076</v>
      </c>
      <c r="D437" s="162" t="inlineStr">
        <is>
          <t xml:space="preserve">219 G. SAN JOSE 2 </t>
        </is>
      </c>
      <c r="E437" s="162" t="n">
        <v>46406</v>
      </c>
      <c r="F437" s="162" t="inlineStr">
        <is>
          <t>FERNANDO OYUELA</t>
        </is>
      </c>
      <c r="G437" s="162" t="n">
        <v>3200</v>
      </c>
      <c r="H437" s="162" t="n">
        <v>3189</v>
      </c>
      <c r="I437" s="162" t="n">
        <v>1</v>
      </c>
      <c r="J437" s="162" t="n">
        <v>2</v>
      </c>
      <c r="K437" s="162" t="n">
        <v>-8</v>
      </c>
      <c r="L437" s="395" t="n"/>
      <c r="M437" s="113" t="n"/>
      <c r="N437" s="113" t="n"/>
      <c r="O437" s="113" t="n"/>
      <c r="P437" s="398" t="n"/>
      <c r="Q437" s="398" t="n"/>
      <c r="R437" s="113" t="n"/>
      <c r="S437" s="113" t="n"/>
      <c r="T437" s="113" t="n"/>
      <c r="U437" s="113" t="n"/>
      <c r="V437" s="113" t="n"/>
    </row>
    <row r="438" ht="15.75" customHeight="1">
      <c r="A438" s="398" t="n">
        <v>9</v>
      </c>
      <c r="B438" s="238" t="n"/>
      <c r="C438" s="399" t="n">
        <v>46076</v>
      </c>
      <c r="D438" s="162" t="inlineStr">
        <is>
          <t xml:space="preserve">219 G. SAN JOSE 2 </t>
        </is>
      </c>
      <c r="E438" s="162" t="n">
        <v>46407</v>
      </c>
      <c r="F438" s="162" t="inlineStr">
        <is>
          <t>EDWIN ROJAS</t>
        </is>
      </c>
      <c r="G438" s="162" t="n">
        <v>3200</v>
      </c>
      <c r="H438" s="162" t="n">
        <v>3188</v>
      </c>
      <c r="I438" s="162" t="n">
        <v>0</v>
      </c>
      <c r="J438" s="162" t="n">
        <v>2</v>
      </c>
      <c r="K438" s="162" t="n">
        <v>-10</v>
      </c>
      <c r="L438" s="395" t="n"/>
      <c r="M438" s="113" t="n"/>
      <c r="N438" s="113" t="n"/>
      <c r="O438" s="113" t="n"/>
      <c r="P438" s="398" t="n"/>
      <c r="Q438" s="398" t="n"/>
      <c r="R438" s="113" t="n"/>
      <c r="S438" s="113" t="n"/>
      <c r="T438" s="113" t="n"/>
      <c r="U438" s="113" t="n"/>
      <c r="V438" s="113" t="n"/>
    </row>
    <row r="439" ht="15.75" customHeight="1">
      <c r="A439" s="398" t="n">
        <v>9</v>
      </c>
      <c r="B439" s="238" t="n"/>
      <c r="C439" s="399" t="n">
        <v>46076</v>
      </c>
      <c r="D439" s="162" t="inlineStr">
        <is>
          <t xml:space="preserve">219 G. SAN JOSE 2 </t>
        </is>
      </c>
      <c r="E439" s="162" t="n">
        <v>46408</v>
      </c>
      <c r="F439" s="162" t="inlineStr">
        <is>
          <t>EDUAN CAVIEDES</t>
        </is>
      </c>
      <c r="G439" s="162" t="n">
        <v>2250</v>
      </c>
      <c r="H439" s="162" t="n">
        <v>2238</v>
      </c>
      <c r="I439" s="162" t="n">
        <v>1</v>
      </c>
      <c r="J439" s="162" t="n">
        <v>2</v>
      </c>
      <c r="K439" s="162" t="n">
        <v>-9</v>
      </c>
      <c r="L439" s="395" t="n"/>
      <c r="M439" s="113" t="n"/>
      <c r="N439" s="113" t="n"/>
      <c r="O439" s="113" t="n"/>
      <c r="P439" s="398" t="n"/>
      <c r="Q439" s="398" t="n"/>
      <c r="R439" s="113" t="n"/>
      <c r="S439" s="113" t="n"/>
      <c r="T439" s="113" t="n"/>
      <c r="U439" s="113" t="n"/>
      <c r="V439" s="113" t="n"/>
    </row>
    <row r="440" ht="15.75" customHeight="1">
      <c r="A440" s="398" t="n">
        <v>9</v>
      </c>
      <c r="B440" s="238" t="n"/>
      <c r="C440" s="399" t="n">
        <v>46077</v>
      </c>
      <c r="D440" s="162" t="inlineStr">
        <is>
          <t>221 G. MALAGUEÑA</t>
        </is>
      </c>
      <c r="E440" s="162" t="n">
        <v>46409</v>
      </c>
      <c r="F440" s="162" t="inlineStr">
        <is>
          <t>JAIRO CUBILLOS</t>
        </is>
      </c>
      <c r="G440" s="162" t="n">
        <v>3130</v>
      </c>
      <c r="H440" s="162" t="n">
        <v>3120</v>
      </c>
      <c r="I440" s="162" t="n">
        <v>5</v>
      </c>
      <c r="J440" s="162" t="n">
        <v>12</v>
      </c>
      <c r="K440" s="162" t="n">
        <v>7</v>
      </c>
      <c r="L440" s="395" t="n"/>
      <c r="M440" s="113" t="n"/>
      <c r="N440" s="113" t="n"/>
      <c r="O440" s="113" t="n"/>
      <c r="P440" s="398" t="n"/>
      <c r="Q440" s="398" t="n"/>
      <c r="R440" s="113" t="n"/>
      <c r="S440" s="113" t="n"/>
      <c r="T440" s="113" t="n"/>
      <c r="U440" s="113" t="n"/>
      <c r="V440" s="113" t="n"/>
    </row>
    <row r="441" ht="15.75" customHeight="1">
      <c r="A441" s="398" t="n">
        <v>9</v>
      </c>
      <c r="B441" s="238" t="n"/>
      <c r="C441" s="399" t="n">
        <v>46077</v>
      </c>
      <c r="D441" s="162" t="inlineStr">
        <is>
          <t>221 G. MALAGUEÑA</t>
        </is>
      </c>
      <c r="E441" s="162" t="n">
        <v>46410</v>
      </c>
      <c r="F441" s="162" t="inlineStr">
        <is>
          <t>YAIR RIVEROS</t>
        </is>
      </c>
      <c r="G441" s="162" t="n">
        <v>3130</v>
      </c>
      <c r="H441" s="162" t="n">
        <v>3114</v>
      </c>
      <c r="I441" s="162" t="n">
        <v>7</v>
      </c>
      <c r="J441" s="162" t="n">
        <v>12</v>
      </c>
      <c r="K441" s="162" t="n">
        <v>3</v>
      </c>
      <c r="L441" s="395" t="n"/>
      <c r="M441" s="113" t="n"/>
      <c r="N441" s="113" t="n"/>
      <c r="O441" s="113" t="n"/>
      <c r="P441" s="398" t="n"/>
      <c r="Q441" s="398" t="n"/>
      <c r="R441" s="113" t="n"/>
      <c r="S441" s="113" t="n"/>
      <c r="T441" s="113" t="n"/>
      <c r="U441" s="113" t="n"/>
      <c r="V441" s="113" t="n"/>
    </row>
    <row r="442" ht="15.75" customHeight="1">
      <c r="A442" s="398" t="n">
        <v>9</v>
      </c>
      <c r="B442" s="238" t="n"/>
      <c r="C442" s="399" t="n">
        <v>46077</v>
      </c>
      <c r="D442" s="146" t="inlineStr">
        <is>
          <t>221 G. MALAGUEÑA</t>
        </is>
      </c>
      <c r="E442" s="146" t="n">
        <v>46411</v>
      </c>
      <c r="F442" s="146" t="inlineStr">
        <is>
          <t>FABIO ALDANA</t>
        </is>
      </c>
      <c r="G442" s="395" t="n">
        <v>3130</v>
      </c>
      <c r="H442" s="395" t="n">
        <v>3118</v>
      </c>
      <c r="I442" s="395" t="n">
        <v>4</v>
      </c>
      <c r="J442" s="395" t="n">
        <v>11</v>
      </c>
      <c r="K442" s="395" t="n">
        <v>3</v>
      </c>
      <c r="L442" s="395" t="n"/>
      <c r="M442" s="395" t="n"/>
      <c r="N442" s="113" t="n"/>
      <c r="O442" s="113" t="n"/>
      <c r="P442" s="398" t="n"/>
      <c r="Q442" s="398" t="n"/>
      <c r="R442" s="113" t="n"/>
      <c r="S442" s="113" t="n"/>
      <c r="T442" s="113" t="n"/>
      <c r="U442" s="113" t="n"/>
      <c r="V442" s="113" t="n"/>
    </row>
    <row r="443" ht="15.75" customHeight="1">
      <c r="A443" s="398" t="n">
        <v>9</v>
      </c>
      <c r="B443" s="238" t="n"/>
      <c r="C443" s="527" t="n">
        <v>46077</v>
      </c>
      <c r="D443" s="528" t="inlineStr">
        <is>
          <t>221 G. MALAGUEÑA</t>
        </is>
      </c>
      <c r="E443" s="528" t="n">
        <v>46412</v>
      </c>
      <c r="F443" s="528" t="inlineStr">
        <is>
          <t>ALBERTO HERRERA</t>
        </is>
      </c>
      <c r="G443" s="528" t="n">
        <v>3130</v>
      </c>
      <c r="H443" s="528" t="n">
        <v>3116</v>
      </c>
      <c r="I443" s="528" t="n">
        <v>3</v>
      </c>
      <c r="J443" s="528" t="n">
        <v>12</v>
      </c>
      <c r="K443" s="528" t="n">
        <v>1</v>
      </c>
      <c r="L443" s="531" t="n"/>
      <c r="M443" s="532" t="n"/>
      <c r="N443" s="113" t="n"/>
      <c r="O443" s="113" t="n"/>
      <c r="P443" s="398" t="n"/>
      <c r="Q443" s="398" t="n"/>
      <c r="R443" s="113" t="n"/>
      <c r="S443" s="113" t="n"/>
      <c r="T443" s="113" t="n"/>
      <c r="U443" s="113" t="n"/>
      <c r="V443" s="113" t="n"/>
    </row>
    <row r="444" ht="15.75" customHeight="1">
      <c r="A444" s="398" t="n">
        <v>9</v>
      </c>
      <c r="B444" s="238" t="n"/>
      <c r="C444" s="527" t="n">
        <v>46077</v>
      </c>
      <c r="D444" s="528" t="inlineStr">
        <is>
          <t>221 G. MALAGUEÑA</t>
        </is>
      </c>
      <c r="E444" s="528" t="n">
        <v>46413</v>
      </c>
      <c r="F444" s="528" t="inlineStr">
        <is>
          <t>JHON ARIAS</t>
        </is>
      </c>
      <c r="G444" s="528" t="n">
        <v>2900</v>
      </c>
      <c r="H444" s="528" t="n">
        <v>2897</v>
      </c>
      <c r="I444" s="528" t="n">
        <v>3</v>
      </c>
      <c r="J444" s="528" t="n">
        <v>2</v>
      </c>
      <c r="K444" s="528" t="n">
        <v>2</v>
      </c>
      <c r="L444" s="531" t="n"/>
      <c r="M444" s="532" t="n"/>
      <c r="N444" s="113" t="n"/>
      <c r="O444" s="113" t="n"/>
      <c r="P444" s="398" t="n"/>
      <c r="Q444" s="398" t="n"/>
      <c r="R444" s="113" t="n"/>
      <c r="S444" s="113" t="n"/>
      <c r="T444" s="113" t="n"/>
      <c r="U444" s="113" t="n"/>
      <c r="V444" s="113" t="n"/>
    </row>
    <row r="445" ht="15.75" customHeight="1">
      <c r="A445" s="398" t="n">
        <v>9</v>
      </c>
      <c r="B445" s="238" t="n"/>
      <c r="C445" s="399" t="n">
        <v>46079</v>
      </c>
      <c r="D445" s="162" t="inlineStr">
        <is>
          <t>221 G. MALAGUEÑA</t>
        </is>
      </c>
      <c r="E445" s="162" t="n">
        <v>46424</v>
      </c>
      <c r="F445" s="162" t="inlineStr">
        <is>
          <t>FERNANDO OYUELA</t>
        </is>
      </c>
      <c r="G445" s="162" t="n">
        <v>3100</v>
      </c>
      <c r="H445" s="162" t="n">
        <v>3077</v>
      </c>
      <c r="I445" s="162" t="n">
        <v>11</v>
      </c>
      <c r="J445" s="162" t="n">
        <v>12</v>
      </c>
      <c r="K445" s="162" t="n">
        <v>0</v>
      </c>
      <c r="L445" s="241" t="n"/>
      <c r="M445" s="239" t="n"/>
      <c r="N445" s="113" t="n"/>
      <c r="O445" s="113" t="n"/>
      <c r="P445" s="398" t="n"/>
      <c r="Q445" s="398" t="n"/>
      <c r="R445" s="113" t="n"/>
      <c r="S445" s="113" t="n"/>
      <c r="T445" s="113" t="n"/>
      <c r="U445" s="113" t="n"/>
      <c r="V445" s="113" t="n"/>
    </row>
    <row r="446" ht="15.75" customHeight="1">
      <c r="A446" s="398" t="n">
        <v>9</v>
      </c>
      <c r="B446" s="238" t="n"/>
      <c r="C446" s="399" t="n">
        <v>46079</v>
      </c>
      <c r="D446" s="162" t="inlineStr">
        <is>
          <t>221 G. MALAGUEÑA</t>
        </is>
      </c>
      <c r="E446" s="162" t="n">
        <v>46425</v>
      </c>
      <c r="F446" s="162" t="inlineStr">
        <is>
          <t>ROBINSON PULIDO</t>
        </is>
      </c>
      <c r="G446" s="162" t="n">
        <v>3100</v>
      </c>
      <c r="H446" s="162" t="n">
        <v>3076</v>
      </c>
      <c r="I446" s="162" t="n">
        <v>17</v>
      </c>
      <c r="J446" s="162" t="n">
        <v>9</v>
      </c>
      <c r="K446" s="162" t="n">
        <v>2</v>
      </c>
      <c r="L446" s="241" t="n"/>
      <c r="M446" s="239" t="n"/>
      <c r="N446" s="113" t="n"/>
      <c r="O446" s="113" t="n"/>
      <c r="P446" s="398" t="n"/>
      <c r="Q446" s="398" t="n"/>
      <c r="R446" s="113" t="n"/>
      <c r="S446" s="113" t="n"/>
      <c r="T446" s="113" t="n"/>
      <c r="U446" s="113" t="n"/>
      <c r="V446" s="113" t="n"/>
    </row>
    <row r="447" ht="15.75" customHeight="1">
      <c r="A447" s="398" t="n">
        <v>9</v>
      </c>
      <c r="B447" s="238" t="n"/>
      <c r="C447" s="399" t="n">
        <v>46079</v>
      </c>
      <c r="D447" s="162" t="inlineStr">
        <is>
          <t>221 G. MALAGUEÑA</t>
        </is>
      </c>
      <c r="E447" s="162" t="n">
        <v>46426</v>
      </c>
      <c r="F447" s="162" t="inlineStr">
        <is>
          <t>DIEGO NIÑO</t>
        </is>
      </c>
      <c r="G447" s="162" t="n">
        <v>3100</v>
      </c>
      <c r="H447" s="162" t="n">
        <v>3068</v>
      </c>
      <c r="I447" s="162" t="n">
        <v>8</v>
      </c>
      <c r="J447" s="162" t="n">
        <v>26</v>
      </c>
      <c r="K447" s="162" t="n">
        <v>2</v>
      </c>
      <c r="L447" s="241" t="n"/>
      <c r="M447" s="239" t="n"/>
      <c r="N447" s="113" t="n"/>
      <c r="O447" s="113" t="n"/>
      <c r="P447" s="398" t="n"/>
      <c r="Q447" s="398" t="n"/>
      <c r="R447" s="113" t="n"/>
      <c r="S447" s="113" t="n"/>
      <c r="T447" s="113" t="n"/>
      <c r="U447" s="113" t="n"/>
      <c r="V447" s="113" t="n"/>
    </row>
    <row r="448" ht="15.75" customHeight="1">
      <c r="A448" s="398" t="n">
        <v>9</v>
      </c>
      <c r="B448" s="238" t="n"/>
      <c r="C448" s="399" t="n">
        <v>46079</v>
      </c>
      <c r="D448" s="162" t="inlineStr">
        <is>
          <t>221 G. MALAGUEÑA</t>
        </is>
      </c>
      <c r="E448" s="162" t="n">
        <v>46427</v>
      </c>
      <c r="F448" s="162" t="inlineStr">
        <is>
          <t>JOSE SOLER</t>
        </is>
      </c>
      <c r="G448" s="162" t="n">
        <v>3100</v>
      </c>
      <c r="H448" s="162" t="n">
        <v>3078</v>
      </c>
      <c r="I448" s="162" t="n">
        <v>6</v>
      </c>
      <c r="J448" s="162" t="n">
        <v>16</v>
      </c>
      <c r="K448" s="162" t="n">
        <v>0</v>
      </c>
      <c r="L448" s="241" t="n"/>
      <c r="M448" s="239" t="n"/>
      <c r="N448" s="113" t="n"/>
      <c r="O448" s="113" t="n"/>
      <c r="P448" s="398" t="n"/>
      <c r="Q448" s="398" t="n"/>
      <c r="R448" s="113" t="n"/>
      <c r="S448" s="113" t="n"/>
      <c r="T448" s="113" t="n"/>
      <c r="U448" s="113" t="n"/>
      <c r="V448" s="113" t="n"/>
    </row>
    <row r="449" ht="15.75" customHeight="1">
      <c r="A449" s="398" t="n">
        <v>9</v>
      </c>
      <c r="B449" s="238" t="n"/>
      <c r="C449" s="399" t="n">
        <v>46079</v>
      </c>
      <c r="D449" s="162" t="inlineStr">
        <is>
          <t>221 G. MALAGUEÑA</t>
        </is>
      </c>
      <c r="E449" s="162" t="n">
        <v>46428</v>
      </c>
      <c r="F449" s="162" t="inlineStr">
        <is>
          <t>FABIO ALDANA</t>
        </is>
      </c>
      <c r="G449" s="162" t="n">
        <v>3500</v>
      </c>
      <c r="H449" s="162" t="n">
        <v>3484</v>
      </c>
      <c r="I449" s="162" t="n">
        <v>6</v>
      </c>
      <c r="J449" s="162" t="n">
        <v>6</v>
      </c>
      <c r="K449" s="162" t="n">
        <v>-4</v>
      </c>
      <c r="L449" s="241" t="n"/>
      <c r="M449" s="239" t="n"/>
      <c r="N449" s="113" t="n"/>
      <c r="O449" s="113" t="n"/>
      <c r="P449" s="398" t="n"/>
      <c r="Q449" s="398" t="n"/>
      <c r="R449" s="113" t="n"/>
      <c r="S449" s="113" t="n"/>
      <c r="T449" s="113" t="n"/>
      <c r="U449" s="113" t="n"/>
      <c r="V449" s="113" t="n"/>
    </row>
    <row r="450" ht="15.75" customHeight="1">
      <c r="A450" s="398" t="n">
        <v>9</v>
      </c>
      <c r="B450" s="238" t="n"/>
      <c r="C450" s="399" t="n">
        <v>46079</v>
      </c>
      <c r="D450" s="162" t="inlineStr">
        <is>
          <t>221 G. MALAGUEÑA</t>
        </is>
      </c>
      <c r="E450" s="162" t="n">
        <v>46429</v>
      </c>
      <c r="F450" s="162" t="inlineStr">
        <is>
          <t>ALBERTO HERRERA</t>
        </is>
      </c>
      <c r="G450" s="162" t="n">
        <v>3450</v>
      </c>
      <c r="H450" s="162" t="n">
        <v>3436</v>
      </c>
      <c r="I450" s="162" t="n">
        <v>5</v>
      </c>
      <c r="J450" s="162" t="n">
        <v>4</v>
      </c>
      <c r="K450" s="162" t="n">
        <v>-5</v>
      </c>
      <c r="L450" s="241" t="n"/>
      <c r="M450" s="239" t="n"/>
      <c r="N450" s="113" t="n"/>
      <c r="O450" s="113" t="n"/>
      <c r="P450" s="398" t="n"/>
      <c r="Q450" s="398" t="n"/>
      <c r="R450" s="113" t="n"/>
      <c r="S450" s="113" t="n"/>
      <c r="T450" s="113" t="n"/>
      <c r="U450" s="113" t="n"/>
      <c r="V450" s="113" t="n"/>
    </row>
    <row r="451" ht="15.75" customHeight="1">
      <c r="A451" s="398" t="n">
        <v>9</v>
      </c>
      <c r="B451" s="238" t="n"/>
      <c r="C451" s="399" t="n">
        <v>46079</v>
      </c>
      <c r="D451" s="162" t="inlineStr">
        <is>
          <t>221 G. MALAGUEÑA</t>
        </is>
      </c>
      <c r="E451" s="162" t="n">
        <v>46430</v>
      </c>
      <c r="F451" s="162" t="inlineStr">
        <is>
          <t>YAIR RIVEROS</t>
        </is>
      </c>
      <c r="G451" s="162" t="n">
        <v>3450</v>
      </c>
      <c r="H451" s="162" t="n">
        <v>3434</v>
      </c>
      <c r="I451" s="162" t="n">
        <v>7</v>
      </c>
      <c r="J451" s="162" t="n">
        <v>3</v>
      </c>
      <c r="K451" s="162" t="n">
        <v>-6</v>
      </c>
      <c r="L451" s="241" t="n"/>
      <c r="M451" s="239" t="n"/>
      <c r="N451" s="113" t="n"/>
      <c r="O451" s="113" t="n"/>
      <c r="P451" s="398" t="n"/>
      <c r="Q451" s="398" t="n"/>
      <c r="R451" s="113" t="n"/>
      <c r="S451" s="113" t="n"/>
      <c r="T451" s="113" t="n"/>
      <c r="U451" s="113" t="n"/>
      <c r="V451" s="113" t="n"/>
    </row>
    <row r="452" ht="15.75" customHeight="1">
      <c r="A452" s="398" t="n">
        <v>9</v>
      </c>
      <c r="B452" s="238" t="n"/>
      <c r="C452" s="399" t="n">
        <v>46079</v>
      </c>
      <c r="D452" s="162" t="inlineStr">
        <is>
          <t>221 G. MALAGUEÑA</t>
        </is>
      </c>
      <c r="E452" s="162" t="n">
        <v>46431</v>
      </c>
      <c r="F452" s="162" t="inlineStr">
        <is>
          <t>DUMAR ANGARITA</t>
        </is>
      </c>
      <c r="G452" s="162" t="n">
        <v>3450</v>
      </c>
      <c r="H452" s="162" t="n">
        <v>3428</v>
      </c>
      <c r="I452" s="162" t="n">
        <v>8</v>
      </c>
      <c r="J452" s="162" t="n">
        <v>2</v>
      </c>
      <c r="K452" s="162" t="n">
        <v>-12</v>
      </c>
      <c r="L452" s="241" t="n"/>
      <c r="M452" s="239" t="n"/>
      <c r="N452" s="113" t="n"/>
      <c r="O452" s="113" t="n"/>
      <c r="P452" s="398" t="n"/>
      <c r="Q452" s="398" t="n"/>
      <c r="R452" s="113" t="n"/>
      <c r="S452" s="113" t="n"/>
      <c r="T452" s="113" t="n"/>
      <c r="U452" s="113" t="n"/>
      <c r="V452" s="113" t="n"/>
    </row>
    <row r="453" ht="15.75" customHeight="1">
      <c r="A453" s="398" t="n">
        <v>9</v>
      </c>
      <c r="B453" s="238" t="n"/>
      <c r="C453" s="399" t="n">
        <v>46079</v>
      </c>
      <c r="D453" s="162" t="inlineStr">
        <is>
          <t>221 G. MALAGUEÑA</t>
        </is>
      </c>
      <c r="E453" s="162" t="n">
        <v>46432</v>
      </c>
      <c r="F453" s="162" t="inlineStr">
        <is>
          <t>WILMER PIÑEROS</t>
        </is>
      </c>
      <c r="G453" s="162" t="n">
        <v>3375</v>
      </c>
      <c r="H453" s="162" t="n">
        <v>3358</v>
      </c>
      <c r="I453" s="162" t="n">
        <v>7</v>
      </c>
      <c r="J453" s="162" t="n">
        <v>7</v>
      </c>
      <c r="K453" s="162" t="n">
        <v>-3</v>
      </c>
      <c r="L453" s="241" t="n"/>
      <c r="M453" s="239" t="n"/>
      <c r="N453" s="113" t="n"/>
      <c r="O453" s="113" t="n"/>
      <c r="P453" s="398" t="n"/>
      <c r="Q453" s="398" t="n"/>
      <c r="R453" s="113" t="n"/>
      <c r="S453" s="113" t="n"/>
      <c r="T453" s="113" t="n"/>
      <c r="U453" s="113" t="n"/>
      <c r="V453" s="113" t="n"/>
    </row>
    <row r="454" ht="15.75" customHeight="1">
      <c r="A454" s="398" t="n">
        <v>9</v>
      </c>
      <c r="B454" s="238" t="n"/>
      <c r="C454" s="399" t="n">
        <v>46079</v>
      </c>
      <c r="D454" s="162" t="inlineStr">
        <is>
          <t>221 G. MALAGUEÑA</t>
        </is>
      </c>
      <c r="E454" s="162" t="n">
        <v>46433</v>
      </c>
      <c r="F454" s="162" t="inlineStr">
        <is>
          <t>JHON ARIAS</t>
        </is>
      </c>
      <c r="G454" s="162" t="n">
        <v>3680</v>
      </c>
      <c r="H454" s="162" t="n">
        <v>3661</v>
      </c>
      <c r="I454" s="162" t="n">
        <v>5</v>
      </c>
      <c r="J454" s="162" t="n">
        <v>7</v>
      </c>
      <c r="K454" s="162" t="n">
        <v>-7</v>
      </c>
      <c r="L454" s="241" t="n"/>
      <c r="M454" s="239" t="n"/>
      <c r="N454" s="113" t="n"/>
      <c r="O454" s="113" t="n"/>
      <c r="P454" s="398" t="n"/>
      <c r="Q454" s="398" t="n"/>
      <c r="R454" s="113" t="n"/>
      <c r="S454" s="113" t="n"/>
      <c r="T454" s="113" t="n"/>
      <c r="U454" s="113" t="n"/>
      <c r="V454" s="113" t="n"/>
    </row>
    <row r="455" ht="15.75" customHeight="1">
      <c r="A455" s="398" t="n">
        <v>9</v>
      </c>
      <c r="B455" s="238" t="n"/>
      <c r="C455" s="399" t="n">
        <v>46080</v>
      </c>
      <c r="D455" s="162" t="inlineStr">
        <is>
          <t>221 G. MALAGUEÑA</t>
        </is>
      </c>
      <c r="E455" s="162" t="n">
        <v>46434</v>
      </c>
      <c r="F455" s="162" t="inlineStr">
        <is>
          <t>HENRY ROMERO</t>
        </is>
      </c>
      <c r="G455" s="162" t="n">
        <v>2940</v>
      </c>
      <c r="H455" s="162" t="n">
        <v>2922</v>
      </c>
      <c r="I455" s="162" t="n">
        <v>10</v>
      </c>
      <c r="J455" s="162" t="n">
        <v>5</v>
      </c>
      <c r="K455" s="162" t="n">
        <v>-3</v>
      </c>
      <c r="L455" s="241" t="n"/>
      <c r="M455" s="239" t="n"/>
      <c r="N455" s="113" t="n"/>
      <c r="O455" s="113" t="n"/>
      <c r="P455" s="398" t="n"/>
      <c r="Q455" s="398" t="n"/>
      <c r="R455" s="113" t="n"/>
      <c r="S455" s="113" t="n"/>
      <c r="T455" s="113" t="n"/>
      <c r="U455" s="113" t="n"/>
      <c r="V455" s="113" t="n"/>
    </row>
    <row r="456" ht="15.75" customHeight="1">
      <c r="A456" s="398" t="n">
        <v>9</v>
      </c>
      <c r="B456" s="238" t="n"/>
      <c r="C456" s="399" t="n">
        <v>46080</v>
      </c>
      <c r="D456" s="162" t="inlineStr">
        <is>
          <t>221 G. MALAGUEÑA</t>
        </is>
      </c>
      <c r="E456" s="162" t="n">
        <v>46435</v>
      </c>
      <c r="F456" s="162" t="inlineStr">
        <is>
          <t>EDUAN CAVIEDES</t>
        </is>
      </c>
      <c r="G456" s="162" t="n">
        <v>2940</v>
      </c>
      <c r="H456" s="162" t="n">
        <v>2951</v>
      </c>
      <c r="I456" s="162" t="n">
        <v>9</v>
      </c>
      <c r="J456" s="162" t="n">
        <v>5</v>
      </c>
      <c r="K456" s="162" t="n">
        <v>25</v>
      </c>
      <c r="L456" s="241" t="n"/>
      <c r="M456" s="239" t="n"/>
      <c r="N456" s="113" t="n"/>
      <c r="O456" s="113" t="n"/>
      <c r="P456" s="398" t="n"/>
      <c r="Q456" s="398" t="n"/>
      <c r="R456" s="113" t="n"/>
      <c r="S456" s="113" t="n"/>
      <c r="T456" s="113" t="n"/>
      <c r="U456" s="113" t="n"/>
      <c r="V456" s="113" t="n"/>
    </row>
    <row r="457" ht="15.75" customHeight="1">
      <c r="A457" s="398" t="n">
        <v>9</v>
      </c>
      <c r="B457" s="238" t="n"/>
      <c r="C457" s="399" t="n">
        <v>46080</v>
      </c>
      <c r="D457" s="162" t="inlineStr">
        <is>
          <t>221 G. MALAGUEÑA</t>
        </is>
      </c>
      <c r="E457" s="162" t="n">
        <v>46436</v>
      </c>
      <c r="F457" s="162" t="inlineStr">
        <is>
          <t>ALEX GOMEZ</t>
        </is>
      </c>
      <c r="G457" s="162" t="n">
        <v>2940</v>
      </c>
      <c r="H457" s="162" t="n">
        <v>2923</v>
      </c>
      <c r="I457" s="162" t="n">
        <v>10</v>
      </c>
      <c r="J457" s="162" t="n">
        <v>9</v>
      </c>
      <c r="K457" s="162" t="n">
        <v>2</v>
      </c>
      <c r="L457" s="241" t="n"/>
      <c r="M457" s="239" t="n"/>
      <c r="N457" s="113" t="n"/>
      <c r="O457" s="113" t="n"/>
      <c r="P457" s="398" t="n"/>
      <c r="Q457" s="398" t="n"/>
      <c r="R457" s="113" t="n"/>
      <c r="S457" s="113" t="n"/>
      <c r="T457" s="113" t="n"/>
      <c r="U457" s="113" t="n"/>
      <c r="V457" s="113" t="n"/>
    </row>
    <row r="458" ht="15.75" customHeight="1">
      <c r="A458" s="398" t="n">
        <v>9</v>
      </c>
      <c r="B458" s="238" t="n"/>
      <c r="C458" s="399" t="n">
        <v>46080</v>
      </c>
      <c r="D458" s="162" t="inlineStr">
        <is>
          <t>221 G. MALAGUEÑA</t>
        </is>
      </c>
      <c r="E458" s="162" t="n">
        <v>46437</v>
      </c>
      <c r="F458" s="162" t="inlineStr">
        <is>
          <t>JHON ARIAS</t>
        </is>
      </c>
      <c r="G458" s="162" t="n">
        <v>2940</v>
      </c>
      <c r="H458" s="162" t="n">
        <v>2923</v>
      </c>
      <c r="I458" s="162" t="n">
        <v>4</v>
      </c>
      <c r="J458" s="162" t="n">
        <v>14</v>
      </c>
      <c r="K458" s="162" t="n">
        <v>1</v>
      </c>
      <c r="L458" s="241" t="n"/>
      <c r="M458" s="239" t="n"/>
      <c r="N458" s="113" t="n"/>
      <c r="O458" s="113" t="n"/>
      <c r="P458" s="398" t="n"/>
      <c r="Q458" s="398" t="n"/>
      <c r="R458" s="113" t="n"/>
      <c r="S458" s="113" t="n"/>
      <c r="T458" s="113" t="n"/>
      <c r="U458" s="113" t="n"/>
      <c r="V458" s="113" t="n"/>
    </row>
    <row r="459" ht="15.75" customHeight="1">
      <c r="A459" s="398" t="n">
        <v>9</v>
      </c>
      <c r="B459" s="238" t="n"/>
      <c r="C459" s="399" t="n">
        <v>46080</v>
      </c>
      <c r="D459" s="162" t="inlineStr">
        <is>
          <t>221 G. MALAGUEÑA</t>
        </is>
      </c>
      <c r="E459" s="162" t="n">
        <v>46438</v>
      </c>
      <c r="F459" s="162" t="inlineStr">
        <is>
          <t>EDWIN ROJAS</t>
        </is>
      </c>
      <c r="G459" s="162" t="n">
        <v>2750</v>
      </c>
      <c r="H459" s="162" t="n">
        <v>2747</v>
      </c>
      <c r="I459" s="162" t="n">
        <v>4</v>
      </c>
      <c r="J459" s="162" t="n">
        <v>4</v>
      </c>
      <c r="K459" s="162" t="n">
        <v>5</v>
      </c>
      <c r="L459" s="241" t="n"/>
      <c r="M459" s="239" t="n"/>
      <c r="N459" s="113" t="n"/>
      <c r="O459" s="113" t="n"/>
      <c r="P459" s="398" t="n"/>
      <c r="Q459" s="398" t="n"/>
      <c r="R459" s="113" t="n"/>
      <c r="S459" s="113" t="n"/>
      <c r="T459" s="113" t="n"/>
      <c r="U459" s="113" t="n"/>
      <c r="V459" s="113" t="n"/>
    </row>
    <row r="460" ht="15.75" customHeight="1">
      <c r="A460" s="398" t="n">
        <v>9</v>
      </c>
      <c r="B460" s="238" t="n"/>
      <c r="C460" s="399" t="n">
        <v>46080</v>
      </c>
      <c r="D460" s="162" t="inlineStr">
        <is>
          <t xml:space="preserve">219 G. SAN JOSE 2 </t>
        </is>
      </c>
      <c r="E460" s="162" t="n">
        <v>46439</v>
      </c>
      <c r="F460" s="162" t="inlineStr">
        <is>
          <t>FERNANDO OYUELA</t>
        </is>
      </c>
      <c r="G460" s="162" t="n">
        <v>3664</v>
      </c>
      <c r="H460" s="162" t="n">
        <v>3652</v>
      </c>
      <c r="I460" s="162" t="n">
        <v>6</v>
      </c>
      <c r="J460" s="162" t="n">
        <v>1</v>
      </c>
      <c r="K460" s="162" t="n">
        <v>-5</v>
      </c>
      <c r="L460" s="241" t="n"/>
      <c r="M460" s="239" t="n"/>
      <c r="N460" s="113" t="n"/>
      <c r="O460" s="113" t="n"/>
      <c r="P460" s="398" t="n"/>
      <c r="Q460" s="398" t="n"/>
      <c r="R460" s="113" t="n"/>
      <c r="S460" s="113" t="n"/>
      <c r="T460" s="113" t="n"/>
      <c r="U460" s="113" t="n"/>
      <c r="V460" s="113" t="n"/>
    </row>
    <row r="461" ht="15.75" customHeight="1">
      <c r="A461" s="398" t="n">
        <v>9</v>
      </c>
      <c r="B461" s="238" t="n"/>
      <c r="C461" s="399" t="n">
        <v>46080</v>
      </c>
      <c r="D461" s="162" t="inlineStr">
        <is>
          <t xml:space="preserve">219 G. SAN JOSE 2 </t>
        </is>
      </c>
      <c r="E461" s="162" t="n">
        <v>46440</v>
      </c>
      <c r="F461" s="162" t="inlineStr">
        <is>
          <t>ALBERTO HERRERA</t>
        </is>
      </c>
      <c r="G461" s="162" t="n">
        <v>3664</v>
      </c>
      <c r="H461" s="162" t="n">
        <v>3647</v>
      </c>
      <c r="I461" s="162" t="n">
        <v>6</v>
      </c>
      <c r="J461" s="162" t="n">
        <v>9</v>
      </c>
      <c r="K461" s="162" t="n">
        <v>-2</v>
      </c>
      <c r="L461" s="241" t="n"/>
      <c r="M461" s="239" t="n"/>
      <c r="N461" s="113" t="n"/>
      <c r="O461" s="113" t="n"/>
      <c r="P461" s="398" t="n"/>
      <c r="Q461" s="398" t="n"/>
      <c r="R461" s="113" t="n"/>
      <c r="S461" s="113" t="n"/>
      <c r="T461" s="113" t="n"/>
      <c r="U461" s="113" t="n"/>
      <c r="V461" s="113" t="n"/>
    </row>
    <row r="462" ht="15.75" customHeight="1">
      <c r="A462" s="398" t="n">
        <v>9</v>
      </c>
      <c r="B462" s="238" t="n"/>
      <c r="C462" s="399" t="n">
        <v>46080</v>
      </c>
      <c r="D462" s="162" t="inlineStr">
        <is>
          <t xml:space="preserve">219 G. SAN JOSE 2 </t>
        </is>
      </c>
      <c r="E462" s="162" t="n">
        <v>46441</v>
      </c>
      <c r="F462" s="162" t="inlineStr">
        <is>
          <t>JAIRO CUBILLOS</t>
        </is>
      </c>
      <c r="G462" s="162" t="n">
        <v>3664</v>
      </c>
      <c r="H462" s="162" t="n">
        <v>3640</v>
      </c>
      <c r="I462" s="162" t="n">
        <v>5</v>
      </c>
      <c r="J462" s="162" t="n">
        <v>10</v>
      </c>
      <c r="K462" s="162" t="n">
        <v>-9</v>
      </c>
      <c r="L462" s="241" t="n"/>
      <c r="M462" s="239" t="n"/>
      <c r="N462" s="113" t="n"/>
      <c r="O462" s="113" t="n"/>
      <c r="P462" s="398" t="n"/>
      <c r="Q462" s="398" t="n"/>
      <c r="R462" s="113" t="n"/>
      <c r="S462" s="113" t="n"/>
      <c r="T462" s="113" t="n"/>
      <c r="U462" s="113" t="n"/>
      <c r="V462" s="113" t="n"/>
    </row>
    <row r="463" ht="15.75" customHeight="1">
      <c r="A463" s="398" t="n">
        <v>9</v>
      </c>
      <c r="B463" s="238" t="n"/>
      <c r="C463" s="399" t="n">
        <v>46080</v>
      </c>
      <c r="D463" s="162" t="inlineStr">
        <is>
          <t xml:space="preserve">219 G. SAN JOSE 2 </t>
        </is>
      </c>
      <c r="E463" s="162" t="n">
        <v>46442</v>
      </c>
      <c r="F463" s="162" t="inlineStr">
        <is>
          <t>FABIO ALDANA</t>
        </is>
      </c>
      <c r="G463" s="162" t="n">
        <v>3664</v>
      </c>
      <c r="H463" s="162" t="n">
        <v>3647</v>
      </c>
      <c r="I463" s="162" t="n">
        <v>5</v>
      </c>
      <c r="J463" s="162" t="n">
        <v>8</v>
      </c>
      <c r="K463" s="162" t="n">
        <v>-4</v>
      </c>
      <c r="L463" s="241" t="n"/>
      <c r="M463" s="239" t="n"/>
      <c r="N463" s="113" t="n"/>
      <c r="O463" s="113" t="n"/>
      <c r="P463" s="398" t="n"/>
      <c r="Q463" s="398" t="n"/>
      <c r="R463" s="113" t="n"/>
      <c r="S463" s="113" t="n"/>
      <c r="T463" s="113" t="n"/>
      <c r="U463" s="113" t="n"/>
      <c r="V463" s="113" t="n"/>
    </row>
    <row r="464" ht="15.75" customHeight="1">
      <c r="A464" s="398" t="n">
        <v>9</v>
      </c>
      <c r="B464" s="238" t="n"/>
      <c r="C464" s="399" t="n"/>
      <c r="D464" s="162" t="n"/>
      <c r="E464" s="162" t="n"/>
      <c r="F464" s="162" t="n"/>
      <c r="G464" s="530">
        <f>SUBTOTAL(9,G426:G463)</f>
        <v/>
      </c>
      <c r="H464" s="530">
        <f>SUBTOTAL(9,H426:H463)</f>
        <v/>
      </c>
      <c r="I464" s="530">
        <f>SUBTOTAL(9,I426:I463)</f>
        <v/>
      </c>
      <c r="J464" s="530">
        <f>SUBTOTAL(9,J426:J463)</f>
        <v/>
      </c>
      <c r="K464" s="530">
        <f>SUBTOTAL(9,K426:K463)</f>
        <v/>
      </c>
      <c r="L464" s="530">
        <f>SUBTOTAL(9,L426:L463)</f>
        <v/>
      </c>
      <c r="M464" s="239" t="n"/>
      <c r="N464" s="113" t="n"/>
      <c r="O464" s="113" t="n"/>
      <c r="P464" s="398" t="n"/>
      <c r="Q464" s="398" t="n"/>
      <c r="R464" s="113" t="n"/>
      <c r="S464" s="113" t="n"/>
      <c r="T464" s="113" t="n"/>
      <c r="U464" s="113" t="n"/>
      <c r="V464" s="113" t="n"/>
    </row>
    <row r="465" ht="15.75" customHeight="1">
      <c r="A465" s="398" t="n">
        <v>10</v>
      </c>
      <c r="B465" s="238" t="n"/>
      <c r="C465" s="399" t="n">
        <v>46081</v>
      </c>
      <c r="D465" s="162" t="inlineStr">
        <is>
          <t xml:space="preserve">219 G. SAN JOSE 2 </t>
        </is>
      </c>
      <c r="E465" s="162" t="n">
        <v>46454</v>
      </c>
      <c r="F465" s="162" t="inlineStr">
        <is>
          <t>WILMER PIÑEROS</t>
        </is>
      </c>
      <c r="G465" s="162" t="n">
        <v>3588</v>
      </c>
      <c r="H465" s="162" t="n">
        <v>3583</v>
      </c>
      <c r="I465" s="162" t="n">
        <v>4</v>
      </c>
      <c r="J465" s="162" t="n">
        <v>3</v>
      </c>
      <c r="K465" s="162" t="n">
        <v>2</v>
      </c>
      <c r="L465" s="241" t="n"/>
      <c r="M465" s="239" t="n"/>
      <c r="N465" s="113" t="n"/>
      <c r="O465" s="113" t="n"/>
      <c r="P465" s="398" t="n"/>
      <c r="Q465" s="398" t="n"/>
      <c r="R465" s="113" t="n"/>
      <c r="S465" s="113" t="n"/>
      <c r="T465" s="113" t="n"/>
      <c r="U465" s="113" t="n"/>
      <c r="V465" s="113" t="n"/>
    </row>
    <row r="466" ht="15.75" customHeight="1">
      <c r="A466" s="398" t="n">
        <v>10</v>
      </c>
      <c r="B466" s="238" t="n"/>
      <c r="C466" s="399" t="n">
        <v>46081</v>
      </c>
      <c r="D466" s="162" t="inlineStr">
        <is>
          <t xml:space="preserve">219 G. SAN JOSE 2 </t>
        </is>
      </c>
      <c r="E466" s="162" t="n">
        <v>46455</v>
      </c>
      <c r="F466" s="162" t="inlineStr">
        <is>
          <t>JOSE SOLER</t>
        </is>
      </c>
      <c r="G466" s="162" t="n">
        <v>3588</v>
      </c>
      <c r="H466" s="162" t="n">
        <v>3579</v>
      </c>
      <c r="I466" s="162" t="n">
        <v>3</v>
      </c>
      <c r="J466" s="162" t="n">
        <v>7</v>
      </c>
      <c r="K466" s="162" t="n">
        <v>1</v>
      </c>
      <c r="L466" s="241" t="n"/>
      <c r="M466" s="239" t="n"/>
      <c r="N466" s="113" t="n"/>
      <c r="O466" s="113" t="n"/>
      <c r="P466" s="398" t="n"/>
      <c r="Q466" s="398" t="n"/>
      <c r="R466" s="113" t="n"/>
      <c r="S466" s="113" t="n"/>
      <c r="T466" s="113" t="n"/>
      <c r="U466" s="113" t="n"/>
      <c r="V466" s="113" t="n"/>
    </row>
    <row r="467" ht="15.75" customHeight="1">
      <c r="A467" s="398" t="n">
        <v>10</v>
      </c>
      <c r="B467" s="238" t="n"/>
      <c r="C467" s="399" t="n">
        <v>46081</v>
      </c>
      <c r="D467" s="162" t="inlineStr">
        <is>
          <t xml:space="preserve">219 G. SAN JOSE 2 </t>
        </is>
      </c>
      <c r="E467" s="162" t="n">
        <v>46456</v>
      </c>
      <c r="F467" s="162" t="inlineStr">
        <is>
          <t>JAIRO CUBILLOS</t>
        </is>
      </c>
      <c r="G467" s="162" t="n">
        <v>3588</v>
      </c>
      <c r="H467" s="162" t="n">
        <v>3577</v>
      </c>
      <c r="I467" s="162" t="n">
        <v>2</v>
      </c>
      <c r="J467" s="162" t="n">
        <v>7</v>
      </c>
      <c r="K467" s="162" t="n">
        <v>-2</v>
      </c>
      <c r="L467" s="241" t="n"/>
      <c r="M467" s="239" t="n"/>
      <c r="N467" s="113" t="n"/>
      <c r="O467" s="113" t="n"/>
      <c r="P467" s="398" t="n"/>
      <c r="Q467" s="398" t="n"/>
      <c r="R467" s="113" t="n"/>
      <c r="S467" s="113" t="n"/>
      <c r="T467" s="113" t="n"/>
      <c r="U467" s="113" t="n"/>
      <c r="V467" s="113" t="n"/>
    </row>
    <row r="468" ht="15.75" customHeight="1">
      <c r="A468" s="398" t="n">
        <v>10</v>
      </c>
      <c r="B468" s="238" t="n"/>
      <c r="C468" s="399" t="n">
        <v>46081</v>
      </c>
      <c r="D468" s="162" t="inlineStr">
        <is>
          <t xml:space="preserve">219 G. SAN JOSE 2 </t>
        </is>
      </c>
      <c r="E468" s="162" t="n">
        <v>46458</v>
      </c>
      <c r="F468" s="162" t="inlineStr">
        <is>
          <t>WILMER PIÑEROS</t>
        </is>
      </c>
      <c r="G468" s="162" t="n">
        <v>3462</v>
      </c>
      <c r="H468" s="162" t="n">
        <v>3429</v>
      </c>
      <c r="I468" s="162" t="n">
        <v>5</v>
      </c>
      <c r="J468" s="162" t="n">
        <v>5</v>
      </c>
      <c r="K468" s="162" t="n">
        <v>-23</v>
      </c>
      <c r="L468" s="241" t="n"/>
      <c r="M468" s="239" t="n"/>
      <c r="N468" s="113" t="n"/>
      <c r="O468" s="113" t="n"/>
      <c r="P468" s="398" t="n"/>
      <c r="Q468" s="398" t="n"/>
      <c r="R468" s="113" t="n"/>
      <c r="S468" s="113" t="n"/>
      <c r="T468" s="113" t="n"/>
      <c r="U468" s="113" t="n"/>
      <c r="V468" s="113" t="n"/>
    </row>
    <row r="469" ht="15.75" customHeight="1">
      <c r="A469" s="398" t="n">
        <v>10</v>
      </c>
      <c r="B469" s="238" t="n"/>
      <c r="C469" s="399" t="n">
        <v>46081</v>
      </c>
      <c r="D469" s="162" t="inlineStr">
        <is>
          <t xml:space="preserve">219 G. SAN JOSE 2 </t>
        </is>
      </c>
      <c r="E469" s="162" t="n">
        <v>46459</v>
      </c>
      <c r="F469" s="162" t="inlineStr">
        <is>
          <t>ALBERTO LOPEZ</t>
        </is>
      </c>
      <c r="G469" s="162" t="n">
        <v>3588</v>
      </c>
      <c r="H469" s="162" t="n">
        <v>3572</v>
      </c>
      <c r="I469" s="162" t="n">
        <v>5</v>
      </c>
      <c r="J469" s="162" t="n">
        <v>8</v>
      </c>
      <c r="K469" s="162" t="n">
        <v>-3</v>
      </c>
      <c r="L469" s="241" t="n"/>
      <c r="M469" s="239" t="n"/>
      <c r="N469" s="113" t="n"/>
      <c r="O469" s="113" t="n"/>
      <c r="P469" s="398" t="n"/>
      <c r="Q469" s="398" t="n"/>
      <c r="R469" s="113" t="n"/>
      <c r="S469" s="113" t="n"/>
      <c r="T469" s="113" t="n"/>
      <c r="U469" s="113" t="n"/>
      <c r="V469" s="113" t="n"/>
    </row>
    <row r="470" ht="15.75" customHeight="1">
      <c r="A470" s="398" t="n">
        <v>10</v>
      </c>
      <c r="B470" s="238" t="n"/>
      <c r="C470" s="399" t="n">
        <v>46081</v>
      </c>
      <c r="D470" s="162" t="inlineStr">
        <is>
          <t xml:space="preserve">219 G. SAN JOSE 2 </t>
        </is>
      </c>
      <c r="E470" s="162" t="n">
        <v>46468</v>
      </c>
      <c r="F470" s="162" t="inlineStr">
        <is>
          <t>JOSE SOLER</t>
        </is>
      </c>
      <c r="G470" s="162" t="n">
        <v>3462</v>
      </c>
      <c r="H470" s="162" t="n">
        <v>3456</v>
      </c>
      <c r="I470" s="162" t="n">
        <v>2</v>
      </c>
      <c r="J470" s="162" t="n">
        <v>11</v>
      </c>
      <c r="K470" s="162" t="n">
        <v>7</v>
      </c>
      <c r="L470" s="241" t="n"/>
      <c r="M470" s="239" t="n"/>
      <c r="N470" s="113" t="n"/>
      <c r="O470" s="113" t="n"/>
      <c r="P470" s="398" t="n"/>
      <c r="Q470" s="398" t="n"/>
      <c r="R470" s="113" t="n"/>
      <c r="S470" s="113" t="n"/>
      <c r="T470" s="113" t="n"/>
      <c r="U470" s="113" t="n"/>
      <c r="V470" s="113" t="n"/>
    </row>
    <row r="471" ht="15.75" customHeight="1">
      <c r="A471" s="398" t="n">
        <v>10</v>
      </c>
      <c r="B471" s="238" t="n"/>
      <c r="C471" s="399" t="n">
        <v>46081</v>
      </c>
      <c r="D471" s="162" t="inlineStr">
        <is>
          <t xml:space="preserve">219 G. SAN JOSE 2 </t>
        </is>
      </c>
      <c r="E471" s="162" t="n">
        <v>46469</v>
      </c>
      <c r="F471" s="162" t="inlineStr">
        <is>
          <t>JAIRO CUBILLOS</t>
        </is>
      </c>
      <c r="G471" s="162" t="n">
        <v>3462</v>
      </c>
      <c r="H471" s="162" t="n">
        <v>3461</v>
      </c>
      <c r="I471" s="162" t="n">
        <v>2</v>
      </c>
      <c r="J471" s="162" t="n">
        <v>1</v>
      </c>
      <c r="K471" s="162" t="n">
        <v>2</v>
      </c>
      <c r="L471" s="241" t="n"/>
      <c r="M471" s="239" t="n"/>
      <c r="N471" s="113" t="n"/>
      <c r="O471" s="113" t="n"/>
      <c r="P471" s="398" t="n"/>
      <c r="Q471" s="398" t="n"/>
      <c r="R471" s="113" t="n"/>
      <c r="S471" s="113" t="n"/>
      <c r="T471" s="113" t="n"/>
      <c r="U471" s="113" t="n"/>
      <c r="V471" s="113" t="n"/>
    </row>
    <row r="472" ht="15.75" customHeight="1">
      <c r="A472" s="398" t="n">
        <v>10</v>
      </c>
      <c r="B472" s="238" t="n"/>
      <c r="C472" s="399" t="n">
        <v>46081</v>
      </c>
      <c r="D472" s="162" t="inlineStr">
        <is>
          <t xml:space="preserve">219 G. SAN JOSE 2 </t>
        </is>
      </c>
      <c r="E472" s="162" t="n">
        <v>46470</v>
      </c>
      <c r="F472" s="162" t="inlineStr">
        <is>
          <t>DUMAR ANGARITA</t>
        </is>
      </c>
      <c r="G472" s="162" t="n">
        <v>2650</v>
      </c>
      <c r="H472" s="162" t="n">
        <v>2665</v>
      </c>
      <c r="I472" s="162" t="n">
        <v>7</v>
      </c>
      <c r="J472" s="162" t="n">
        <v>0</v>
      </c>
      <c r="K472" s="162" t="n">
        <v>22</v>
      </c>
      <c r="L472" s="241" t="n"/>
      <c r="M472" s="239" t="n"/>
      <c r="N472" s="113" t="n"/>
      <c r="O472" s="113" t="n"/>
      <c r="P472" s="398" t="n"/>
      <c r="Q472" s="398" t="n"/>
      <c r="R472" s="113" t="n"/>
      <c r="S472" s="113" t="n"/>
      <c r="T472" s="113" t="n"/>
      <c r="U472" s="113" t="n"/>
      <c r="V472" s="113" t="n"/>
    </row>
    <row r="473" ht="15.75" customHeight="1">
      <c r="A473" s="398" t="n">
        <v>10</v>
      </c>
      <c r="B473" s="238" t="n"/>
      <c r="C473" s="399" t="n">
        <v>46083</v>
      </c>
      <c r="D473" s="162" t="inlineStr">
        <is>
          <t>221 G. MALAGUEÑA</t>
        </is>
      </c>
      <c r="E473" s="162" t="n">
        <v>46490</v>
      </c>
      <c r="F473" s="162" t="inlineStr">
        <is>
          <t>ALEX GOMEZ</t>
        </is>
      </c>
      <c r="G473" s="162" t="n">
        <v>2780</v>
      </c>
      <c r="H473" s="162" t="n">
        <v>2776</v>
      </c>
      <c r="I473" s="162" t="n">
        <v>1</v>
      </c>
      <c r="J473" s="162" t="n">
        <v>6</v>
      </c>
      <c r="K473" s="162" t="n">
        <v>3</v>
      </c>
      <c r="L473" s="241" t="n"/>
      <c r="M473" s="239" t="n"/>
      <c r="N473" s="113" t="n"/>
      <c r="O473" s="113" t="n"/>
      <c r="P473" s="398" t="n"/>
      <c r="Q473" s="398" t="n"/>
      <c r="R473" s="113" t="n"/>
      <c r="S473" s="113" t="n"/>
      <c r="T473" s="113" t="n"/>
      <c r="U473" s="113" t="n"/>
      <c r="V473" s="113" t="n"/>
    </row>
    <row r="474" ht="15.75" customHeight="1">
      <c r="A474" s="398" t="n">
        <v>10</v>
      </c>
      <c r="B474" s="238" t="n"/>
      <c r="C474" s="399" t="n">
        <v>46083</v>
      </c>
      <c r="D474" s="162" t="inlineStr">
        <is>
          <t xml:space="preserve">219 G. SAN JOSE 2 </t>
        </is>
      </c>
      <c r="E474" s="162" t="n">
        <v>46495</v>
      </c>
      <c r="F474" s="162" t="inlineStr">
        <is>
          <t>ALBERTO HERRERA</t>
        </is>
      </c>
      <c r="G474" s="162" t="n">
        <v>3060</v>
      </c>
      <c r="H474" s="162" t="n">
        <v>3058</v>
      </c>
      <c r="I474" s="162" t="n">
        <v>5</v>
      </c>
      <c r="J474" s="162" t="n">
        <v>1</v>
      </c>
      <c r="K474" s="162" t="n">
        <v>4</v>
      </c>
      <c r="L474" s="241" t="n"/>
      <c r="M474" s="239" t="n"/>
      <c r="N474" s="113" t="n"/>
      <c r="O474" s="113" t="n"/>
      <c r="P474" s="398" t="n"/>
      <c r="Q474" s="398" t="n"/>
      <c r="R474" s="113" t="n"/>
      <c r="S474" s="113" t="n"/>
      <c r="T474" s="113" t="n"/>
      <c r="U474" s="113" t="n"/>
      <c r="V474" s="113" t="n"/>
    </row>
    <row r="475" ht="15.75" customHeight="1">
      <c r="A475" s="398" t="n">
        <v>10</v>
      </c>
      <c r="B475" s="238" t="n"/>
      <c r="C475" s="399" t="n">
        <v>46083</v>
      </c>
      <c r="D475" s="162" t="inlineStr">
        <is>
          <t xml:space="preserve">219 G. SAN JOSE 2 </t>
        </is>
      </c>
      <c r="E475" s="162" t="n">
        <v>46496</v>
      </c>
      <c r="F475" s="162" t="inlineStr">
        <is>
          <t>JOSE SOLER</t>
        </is>
      </c>
      <c r="G475" s="162" t="n">
        <v>3060</v>
      </c>
      <c r="H475" s="162" t="n">
        <v>3053</v>
      </c>
      <c r="I475" s="162" t="n">
        <v>6</v>
      </c>
      <c r="J475" s="162" t="n">
        <v>5</v>
      </c>
      <c r="K475" s="162" t="n">
        <v>4</v>
      </c>
      <c r="L475" s="241" t="n"/>
      <c r="M475" s="239" t="n"/>
      <c r="N475" s="113" t="n"/>
      <c r="O475" s="113" t="n"/>
      <c r="P475" s="398" t="n"/>
      <c r="Q475" s="398" t="n"/>
      <c r="R475" s="113" t="n"/>
      <c r="S475" s="113" t="n"/>
      <c r="T475" s="113" t="n"/>
      <c r="U475" s="113" t="n"/>
      <c r="V475" s="113" t="n"/>
    </row>
    <row r="476" ht="15.75" customHeight="1">
      <c r="A476" s="398" t="n">
        <v>10</v>
      </c>
      <c r="B476" s="238" t="n"/>
      <c r="C476" s="399" t="n">
        <v>46083</v>
      </c>
      <c r="D476" s="162" t="inlineStr">
        <is>
          <t xml:space="preserve">219 G. SAN JOSE 2 </t>
        </is>
      </c>
      <c r="E476" s="162" t="n">
        <v>46499</v>
      </c>
      <c r="F476" s="162" t="inlineStr">
        <is>
          <t xml:space="preserve">DIEGO NIÑO </t>
        </is>
      </c>
      <c r="G476" s="162" t="n">
        <v>3060</v>
      </c>
      <c r="H476" s="162" t="n">
        <v>3077</v>
      </c>
      <c r="I476" s="162" t="n">
        <v>3</v>
      </c>
      <c r="J476" s="162" t="n">
        <v>0</v>
      </c>
      <c r="K476" s="162" t="n">
        <v>20</v>
      </c>
      <c r="L476" s="241" t="n"/>
      <c r="M476" s="239" t="n"/>
      <c r="N476" s="113" t="n"/>
      <c r="O476" s="113" t="n"/>
      <c r="P476" s="398" t="n"/>
      <c r="Q476" s="398" t="n"/>
      <c r="R476" s="113" t="n"/>
      <c r="S476" s="113" t="n"/>
      <c r="T476" s="113" t="n"/>
      <c r="U476" s="113" t="n"/>
      <c r="V476" s="113" t="n"/>
    </row>
    <row r="477" ht="15.75" customHeight="1">
      <c r="A477" s="398" t="n">
        <v>10</v>
      </c>
      <c r="B477" s="238" t="n"/>
      <c r="C477" s="399" t="n">
        <v>46083</v>
      </c>
      <c r="D477" s="162" t="inlineStr">
        <is>
          <t xml:space="preserve">219 G. SAN JOSE 2 </t>
        </is>
      </c>
      <c r="E477" s="162" t="n">
        <v>46500</v>
      </c>
      <c r="F477" s="162" t="inlineStr">
        <is>
          <t>ALBERTO LOPEZ</t>
        </is>
      </c>
      <c r="G477" s="162" t="n">
        <v>3060</v>
      </c>
      <c r="H477" s="162" t="n">
        <v>3065</v>
      </c>
      <c r="I477" s="162" t="n">
        <v>6</v>
      </c>
      <c r="J477" s="162" t="n">
        <v>5</v>
      </c>
      <c r="K477" s="162" t="n">
        <v>16</v>
      </c>
      <c r="L477" s="241" t="n"/>
      <c r="M477" s="239" t="n"/>
      <c r="N477" s="113" t="n"/>
      <c r="O477" s="113" t="n"/>
      <c r="P477" s="398" t="n"/>
      <c r="Q477" s="398" t="n"/>
      <c r="R477" s="113" t="n"/>
      <c r="S477" s="113" t="n"/>
      <c r="T477" s="113" t="n"/>
      <c r="U477" s="113" t="n"/>
      <c r="V477" s="113" t="n"/>
    </row>
    <row r="478" ht="15.75" customHeight="1">
      <c r="A478" s="398" t="n">
        <v>10</v>
      </c>
      <c r="B478" s="238" t="n"/>
      <c r="C478" s="399" t="n">
        <v>46083</v>
      </c>
      <c r="D478" s="162" t="inlineStr">
        <is>
          <t xml:space="preserve">219 G. SAN JOSE 2 </t>
        </is>
      </c>
      <c r="E478" s="162" t="n">
        <v>46501</v>
      </c>
      <c r="F478" s="162" t="inlineStr">
        <is>
          <t>YAIR RIVEROS</t>
        </is>
      </c>
      <c r="G478" s="162" t="n">
        <v>3060</v>
      </c>
      <c r="H478" s="162" t="n">
        <v>3072</v>
      </c>
      <c r="I478" s="162" t="n">
        <v>1</v>
      </c>
      <c r="J478" s="162" t="n">
        <v>3</v>
      </c>
      <c r="K478" s="162" t="n">
        <v>16</v>
      </c>
      <c r="L478" s="241" t="n"/>
      <c r="M478" s="239" t="n"/>
      <c r="N478" s="113" t="n"/>
      <c r="O478" s="113" t="n"/>
      <c r="P478" s="398" t="n"/>
      <c r="Q478" s="398" t="n"/>
      <c r="R478" s="113" t="n"/>
      <c r="S478" s="113" t="n"/>
      <c r="T478" s="113" t="n"/>
      <c r="U478" s="113" t="n"/>
      <c r="V478" s="113" t="n"/>
    </row>
    <row r="479" ht="15.75" customHeight="1">
      <c r="A479" s="398" t="n">
        <v>10</v>
      </c>
      <c r="B479" s="238" t="n"/>
      <c r="C479" s="399" t="n">
        <v>46084</v>
      </c>
      <c r="D479" s="162" t="inlineStr">
        <is>
          <t>221 G. MALAGUEÑA</t>
        </is>
      </c>
      <c r="E479" s="162" t="n">
        <v>46512</v>
      </c>
      <c r="F479" s="162" t="inlineStr">
        <is>
          <t>EDWIN ROJAS</t>
        </is>
      </c>
      <c r="G479" s="162" t="n">
        <v>3671</v>
      </c>
      <c r="H479" s="162" t="n">
        <v>3661</v>
      </c>
      <c r="I479" s="162" t="n">
        <v>2</v>
      </c>
      <c r="J479" s="162" t="n">
        <v>8</v>
      </c>
      <c r="K479" s="162" t="n">
        <v>0</v>
      </c>
      <c r="L479" s="241" t="n"/>
      <c r="M479" s="239" t="n"/>
      <c r="N479" s="113" t="n"/>
      <c r="O479" s="113" t="n"/>
      <c r="P479" s="398" t="n"/>
      <c r="Q479" s="398" t="n"/>
      <c r="R479" s="113" t="n"/>
      <c r="S479" s="113" t="n"/>
      <c r="T479" s="113" t="n"/>
      <c r="U479" s="113" t="n"/>
      <c r="V479" s="113" t="n"/>
    </row>
    <row r="480" ht="15.75" customHeight="1">
      <c r="A480" s="398" t="n">
        <v>10</v>
      </c>
      <c r="B480" s="238" t="n"/>
      <c r="C480" s="399" t="n">
        <v>46084</v>
      </c>
      <c r="D480" s="162" t="inlineStr">
        <is>
          <t>221 G. MALAGUEÑA</t>
        </is>
      </c>
      <c r="E480" s="162" t="n">
        <v>46513</v>
      </c>
      <c r="F480" s="162" t="inlineStr">
        <is>
          <t>ALEX GOMEZ</t>
        </is>
      </c>
      <c r="G480" s="162" t="n">
        <v>3671</v>
      </c>
      <c r="H480" s="162" t="n">
        <v>3596</v>
      </c>
      <c r="I480" s="162" t="n">
        <v>1</v>
      </c>
      <c r="J480" s="162" t="n">
        <v>4</v>
      </c>
      <c r="K480" s="162" t="n">
        <v>-70</v>
      </c>
      <c r="L480" s="241" t="n"/>
      <c r="M480" s="239" t="n"/>
      <c r="N480" s="113" t="n"/>
      <c r="O480" s="113" t="n"/>
      <c r="P480" s="398" t="n"/>
      <c r="Q480" s="398" t="n"/>
      <c r="R480" s="113" t="n"/>
      <c r="S480" s="113" t="n"/>
      <c r="T480" s="113" t="n"/>
      <c r="U480" s="113" t="n"/>
      <c r="V480" s="113" t="n"/>
    </row>
    <row r="481" ht="15.75" customHeight="1">
      <c r="A481" s="398" t="n">
        <v>10</v>
      </c>
      <c r="B481" s="238" t="n"/>
      <c r="C481" s="399" t="n">
        <v>46084</v>
      </c>
      <c r="D481" s="162" t="inlineStr">
        <is>
          <t>221 G. MALAGUEÑA</t>
        </is>
      </c>
      <c r="E481" s="162" t="n">
        <v>46514</v>
      </c>
      <c r="F481" s="162" t="inlineStr">
        <is>
          <t>FERNANDO OYUELA</t>
        </is>
      </c>
      <c r="G481" s="162" t="n">
        <v>3100</v>
      </c>
      <c r="H481" s="162" t="n">
        <v>3019</v>
      </c>
      <c r="I481" s="162" t="n">
        <v>1</v>
      </c>
      <c r="J481" s="162" t="n">
        <v>9</v>
      </c>
      <c r="K481" s="162" t="n">
        <v>-71</v>
      </c>
      <c r="L481" s="241" t="n"/>
      <c r="M481" s="239" t="n"/>
      <c r="N481" s="113" t="n"/>
      <c r="O481" s="113" t="n"/>
      <c r="P481" s="398" t="n"/>
      <c r="Q481" s="398" t="n"/>
      <c r="R481" s="113" t="n"/>
      <c r="S481" s="113" t="n"/>
      <c r="T481" s="113" t="n"/>
      <c r="U481" s="113" t="n"/>
      <c r="V481" s="113" t="n"/>
    </row>
    <row r="482" ht="15.75" customHeight="1">
      <c r="A482" s="398" t="n">
        <v>10</v>
      </c>
      <c r="B482" s="238" t="n"/>
      <c r="C482" s="399" t="n">
        <v>46084</v>
      </c>
      <c r="D482" s="162" t="inlineStr">
        <is>
          <t xml:space="preserve">219 G. SAN JOSE 2 </t>
        </is>
      </c>
      <c r="E482" s="162" t="n">
        <v>46526</v>
      </c>
      <c r="F482" s="162" t="inlineStr">
        <is>
          <t>JHON ARIAS</t>
        </is>
      </c>
      <c r="G482" s="162" t="n">
        <v>2950</v>
      </c>
      <c r="H482" s="162" t="n">
        <v>2933</v>
      </c>
      <c r="I482" s="162" t="n">
        <v>4</v>
      </c>
      <c r="J482" s="162" t="n">
        <v>2</v>
      </c>
      <c r="K482" s="162" t="n">
        <v>-11</v>
      </c>
      <c r="L482" s="241" t="n"/>
      <c r="M482" s="239" t="n"/>
      <c r="N482" s="113" t="n"/>
      <c r="O482" s="113" t="n"/>
      <c r="P482" s="398" t="n"/>
      <c r="Q482" s="398" t="n"/>
      <c r="R482" s="113" t="n"/>
      <c r="S482" s="113" t="n"/>
      <c r="T482" s="113" t="n"/>
      <c r="U482" s="113" t="n"/>
      <c r="V482" s="113" t="n"/>
    </row>
    <row r="483" ht="15.75" customHeight="1">
      <c r="A483" s="398" t="n">
        <v>10</v>
      </c>
      <c r="B483" s="238" t="n"/>
      <c r="C483" s="399" t="n">
        <v>46084</v>
      </c>
      <c r="D483" s="162" t="inlineStr">
        <is>
          <t xml:space="preserve">219 G. SAN JOSE 2 </t>
        </is>
      </c>
      <c r="E483" s="162" t="n">
        <v>46527</v>
      </c>
      <c r="F483" s="162" t="inlineStr">
        <is>
          <t>DUMAR ANGARITA</t>
        </is>
      </c>
      <c r="G483" s="162" t="n">
        <v>2950</v>
      </c>
      <c r="H483" s="162" t="n">
        <v>2937</v>
      </c>
      <c r="I483" s="162" t="n">
        <v>4</v>
      </c>
      <c r="J483" s="162" t="n">
        <v>3</v>
      </c>
      <c r="K483" s="162" t="n">
        <v>-6</v>
      </c>
      <c r="L483" s="241" t="n"/>
      <c r="M483" s="239" t="n"/>
      <c r="N483" s="113" t="n"/>
      <c r="O483" s="113" t="n"/>
      <c r="P483" s="398" t="n"/>
      <c r="Q483" s="398" t="n"/>
      <c r="R483" s="113" t="n"/>
      <c r="S483" s="113" t="n"/>
      <c r="T483" s="113" t="n"/>
      <c r="U483" s="113" t="n"/>
      <c r="V483" s="113" t="n"/>
    </row>
    <row r="484" ht="15.75" customHeight="1">
      <c r="A484" s="398" t="n">
        <v>10</v>
      </c>
      <c r="B484" s="238" t="n"/>
      <c r="C484" s="399" t="n">
        <v>46084</v>
      </c>
      <c r="D484" s="162" t="inlineStr">
        <is>
          <t xml:space="preserve">219 G. SAN JOSE 2 </t>
        </is>
      </c>
      <c r="E484" s="162" t="n">
        <v>46528</v>
      </c>
      <c r="F484" s="162" t="inlineStr">
        <is>
          <t>ALEX GOMEZ</t>
        </is>
      </c>
      <c r="G484" s="162" t="n">
        <v>2950</v>
      </c>
      <c r="H484" s="162" t="n">
        <v>2941</v>
      </c>
      <c r="I484" s="162" t="n">
        <v>5</v>
      </c>
      <c r="J484" s="162" t="n">
        <v>1</v>
      </c>
      <c r="K484" s="162" t="n">
        <v>-3</v>
      </c>
      <c r="L484" s="241" t="n"/>
      <c r="M484" s="239" t="n"/>
      <c r="N484" s="113" t="n"/>
      <c r="O484" s="113" t="n"/>
      <c r="P484" s="398" t="n"/>
      <c r="Q484" s="398" t="n"/>
      <c r="R484" s="113" t="n"/>
      <c r="S484" s="113" t="n"/>
      <c r="T484" s="113" t="n"/>
      <c r="U484" s="113" t="n"/>
      <c r="V484" s="113" t="n"/>
    </row>
    <row r="485" ht="15.75" customHeight="1">
      <c r="A485" s="398" t="n">
        <v>10</v>
      </c>
      <c r="B485" s="238" t="n"/>
      <c r="C485" s="399" t="n">
        <v>46084</v>
      </c>
      <c r="D485" s="162" t="inlineStr">
        <is>
          <t xml:space="preserve">219 G. SAN JOSE 2 </t>
        </is>
      </c>
      <c r="E485" s="162" t="n">
        <v>46529</v>
      </c>
      <c r="F485" s="162" t="inlineStr">
        <is>
          <t>FERNANDO OYUELA</t>
        </is>
      </c>
      <c r="G485" s="162" t="n">
        <v>2950</v>
      </c>
      <c r="H485" s="162" t="n">
        <v>2939</v>
      </c>
      <c r="I485" s="162" t="n">
        <v>4</v>
      </c>
      <c r="J485" s="162" t="n">
        <v>1</v>
      </c>
      <c r="K485" s="162" t="n">
        <v>-6</v>
      </c>
      <c r="L485" s="241" t="n"/>
      <c r="M485" s="239" t="n"/>
      <c r="N485" s="113" t="n"/>
      <c r="O485" s="113" t="n"/>
      <c r="P485" s="398" t="n"/>
      <c r="Q485" s="398" t="n"/>
      <c r="R485" s="113" t="n"/>
      <c r="S485" s="113" t="n"/>
      <c r="T485" s="113" t="n"/>
      <c r="U485" s="113" t="n"/>
      <c r="V485" s="113" t="n"/>
    </row>
    <row r="486" ht="15.75" customHeight="1">
      <c r="A486" s="398" t="n">
        <v>10</v>
      </c>
      <c r="B486" s="238" t="n"/>
      <c r="C486" s="399" t="n">
        <v>46084</v>
      </c>
      <c r="D486" s="162" t="inlineStr">
        <is>
          <t xml:space="preserve">219 G. SAN JOSE 2 </t>
        </is>
      </c>
      <c r="E486" s="162" t="n">
        <v>46530</v>
      </c>
      <c r="F486" s="162" t="inlineStr">
        <is>
          <t>JAIRO CUBILLOS</t>
        </is>
      </c>
      <c r="G486" s="162" t="n">
        <v>3180</v>
      </c>
      <c r="H486" s="162" t="n">
        <v>3157</v>
      </c>
      <c r="I486" s="162" t="n">
        <v>6</v>
      </c>
      <c r="J486" s="162" t="n">
        <v>3</v>
      </c>
      <c r="K486" s="162" t="n">
        <v>-14</v>
      </c>
      <c r="L486" s="241" t="n"/>
      <c r="M486" s="239" t="n"/>
      <c r="N486" s="113" t="n"/>
      <c r="O486" s="113" t="n"/>
      <c r="P486" s="398" t="n"/>
      <c r="Q486" s="398" t="n"/>
      <c r="R486" s="113" t="n"/>
      <c r="S486" s="113" t="n"/>
      <c r="T486" s="113" t="n"/>
      <c r="U486" s="113" t="n"/>
      <c r="V486" s="113" t="n"/>
    </row>
    <row r="487" ht="15.75" customHeight="1">
      <c r="A487" s="398" t="n">
        <v>10</v>
      </c>
      <c r="B487" s="238" t="n"/>
      <c r="C487" s="399" t="n">
        <v>46084</v>
      </c>
      <c r="D487" s="162" t="inlineStr">
        <is>
          <t xml:space="preserve">219 G. SAN JOSE 2 </t>
        </is>
      </c>
      <c r="E487" s="162" t="n">
        <v>46531</v>
      </c>
      <c r="F487" s="162" t="inlineStr">
        <is>
          <t>FABIO ALDANA</t>
        </is>
      </c>
      <c r="G487" s="162" t="n">
        <v>3180</v>
      </c>
      <c r="H487" s="162" t="n">
        <v>3156</v>
      </c>
      <c r="I487" s="162" t="n">
        <v>8</v>
      </c>
      <c r="J487" s="162" t="n">
        <v>2</v>
      </c>
      <c r="K487" s="162" t="n">
        <v>-14</v>
      </c>
      <c r="L487" s="241" t="n"/>
      <c r="M487" s="239" t="n"/>
      <c r="N487" s="113" t="n"/>
      <c r="O487" s="113" t="n"/>
      <c r="P487" s="398" t="n"/>
      <c r="Q487" s="398" t="n"/>
      <c r="R487" s="113" t="n"/>
      <c r="S487" s="113" t="n"/>
      <c r="T487" s="113" t="n"/>
      <c r="U487" s="113" t="n"/>
      <c r="V487" s="113" t="n"/>
    </row>
    <row r="488" ht="15.75" customHeight="1">
      <c r="A488" s="398" t="n">
        <v>10</v>
      </c>
      <c r="B488" s="238" t="n"/>
      <c r="C488" s="399" t="n">
        <v>46084</v>
      </c>
      <c r="D488" s="162" t="inlineStr">
        <is>
          <t xml:space="preserve">219 G. SAN JOSE 2 </t>
        </is>
      </c>
      <c r="E488" s="162" t="n">
        <v>46532</v>
      </c>
      <c r="F488" s="162" t="inlineStr">
        <is>
          <t>ALBERTO HERRERA</t>
        </is>
      </c>
      <c r="G488" s="162" t="n">
        <v>3180</v>
      </c>
      <c r="H488" s="162" t="n">
        <v>3159</v>
      </c>
      <c r="I488" s="162" t="n">
        <v>4</v>
      </c>
      <c r="J488" s="162" t="n">
        <v>1</v>
      </c>
      <c r="K488" s="162" t="n">
        <v>-16</v>
      </c>
      <c r="L488" s="241" t="n"/>
      <c r="M488" s="239" t="n"/>
      <c r="N488" s="113" t="n"/>
      <c r="O488" s="113" t="n"/>
      <c r="P488" s="398" t="n"/>
      <c r="Q488" s="398" t="n"/>
      <c r="R488" s="113" t="n"/>
      <c r="S488" s="113" t="n"/>
      <c r="T488" s="113" t="n"/>
      <c r="U488" s="113" t="n"/>
      <c r="V488" s="113" t="n"/>
    </row>
    <row r="489" ht="15.75" customHeight="1">
      <c r="A489" s="398" t="n">
        <v>10</v>
      </c>
      <c r="B489" s="238" t="n"/>
      <c r="C489" s="399" t="n">
        <v>46084</v>
      </c>
      <c r="D489" s="162" t="inlineStr">
        <is>
          <t xml:space="preserve">219 G. SAN JOSE 2 </t>
        </is>
      </c>
      <c r="E489" s="162" t="n">
        <v>46533</v>
      </c>
      <c r="F489" s="162" t="inlineStr">
        <is>
          <t xml:space="preserve">HENRY ROMERO </t>
        </is>
      </c>
      <c r="G489" s="162" t="n">
        <v>3180</v>
      </c>
      <c r="H489" s="162" t="n">
        <v>3167</v>
      </c>
      <c r="I489" s="162" t="n">
        <v>2</v>
      </c>
      <c r="J489" s="162" t="n">
        <v>5</v>
      </c>
      <c r="K489" s="162" t="n">
        <v>-6</v>
      </c>
      <c r="L489" s="241" t="n"/>
      <c r="M489" s="239" t="n"/>
      <c r="N489" s="113" t="n"/>
      <c r="O489" s="113" t="n"/>
      <c r="P489" s="398" t="n"/>
      <c r="Q489" s="398" t="n"/>
      <c r="R489" s="113" t="n"/>
      <c r="S489" s="113" t="n"/>
      <c r="T489" s="113" t="n"/>
      <c r="U489" s="113" t="n"/>
      <c r="V489" s="113" t="n"/>
    </row>
    <row r="490" ht="15.75" customHeight="1">
      <c r="A490" s="398" t="n">
        <v>10</v>
      </c>
      <c r="B490" s="238" t="n"/>
      <c r="C490" s="399" t="n">
        <v>46085</v>
      </c>
      <c r="D490" s="162" t="inlineStr">
        <is>
          <t xml:space="preserve">219 G. SAN JOSE 2 </t>
        </is>
      </c>
      <c r="E490" s="162" t="n">
        <v>46559</v>
      </c>
      <c r="F490" s="162" t="inlineStr">
        <is>
          <t>ALBERTO HERRERA</t>
        </is>
      </c>
      <c r="G490" s="162" t="n">
        <v>3000</v>
      </c>
      <c r="H490" s="162" t="n">
        <v>2989</v>
      </c>
      <c r="I490" s="162" t="n">
        <v>8</v>
      </c>
      <c r="J490" s="162" t="n">
        <v>3</v>
      </c>
      <c r="K490" s="162" t="n">
        <v>0</v>
      </c>
      <c r="L490" s="241" t="n"/>
      <c r="M490" s="239" t="n"/>
      <c r="N490" s="113" t="n"/>
      <c r="O490" s="113" t="n"/>
      <c r="P490" s="398" t="n"/>
      <c r="Q490" s="398" t="n"/>
      <c r="R490" s="113" t="n"/>
      <c r="S490" s="113" t="n"/>
      <c r="T490" s="113" t="n"/>
      <c r="U490" s="113" t="n"/>
      <c r="V490" s="113" t="n"/>
    </row>
    <row r="491" ht="15.75" customHeight="1">
      <c r="A491" s="398" t="n">
        <v>10</v>
      </c>
      <c r="B491" s="238" t="n"/>
      <c r="C491" s="399" t="n">
        <v>46085</v>
      </c>
      <c r="D491" s="162" t="inlineStr">
        <is>
          <t xml:space="preserve">219 G. SAN JOSE 2 </t>
        </is>
      </c>
      <c r="E491" s="162" t="n">
        <v>46560</v>
      </c>
      <c r="F491" s="162" t="inlineStr">
        <is>
          <t xml:space="preserve">HENRY ROMERO </t>
        </is>
      </c>
      <c r="G491" s="162" t="n">
        <v>3000</v>
      </c>
      <c r="H491" s="162" t="n">
        <v>2986</v>
      </c>
      <c r="I491" s="162" t="n">
        <v>7</v>
      </c>
      <c r="J491" s="162" t="n">
        <v>4</v>
      </c>
      <c r="K491" s="162" t="n">
        <v>-3</v>
      </c>
      <c r="L491" s="241" t="n"/>
      <c r="M491" s="239" t="n"/>
      <c r="N491" s="113" t="n"/>
      <c r="O491" s="113" t="n"/>
      <c r="P491" s="398" t="n"/>
      <c r="Q491" s="398" t="n"/>
      <c r="R491" s="113" t="n"/>
      <c r="S491" s="113" t="n"/>
      <c r="T491" s="113" t="n"/>
      <c r="U491" s="113" t="n"/>
      <c r="V491" s="113" t="n"/>
    </row>
    <row r="492" ht="15.75" customHeight="1">
      <c r="A492" s="398" t="n">
        <v>10</v>
      </c>
      <c r="B492" s="238" t="n"/>
      <c r="C492" s="399" t="n">
        <v>46085</v>
      </c>
      <c r="D492" s="162" t="inlineStr">
        <is>
          <t xml:space="preserve">219 G. SAN JOSE 2 </t>
        </is>
      </c>
      <c r="E492" s="162" t="n">
        <v>46561</v>
      </c>
      <c r="F492" s="162" t="inlineStr">
        <is>
          <t>ALEX GOMEZ</t>
        </is>
      </c>
      <c r="G492" s="162" t="n">
        <v>3000</v>
      </c>
      <c r="H492" s="162" t="n">
        <v>2992</v>
      </c>
      <c r="I492" s="162" t="n">
        <v>4</v>
      </c>
      <c r="J492" s="162" t="n">
        <v>3</v>
      </c>
      <c r="K492" s="162" t="n">
        <v>-1</v>
      </c>
      <c r="L492" s="241" t="n"/>
      <c r="M492" s="239" t="n"/>
      <c r="N492" s="113" t="n"/>
      <c r="O492" s="113" t="n"/>
      <c r="P492" s="398" t="n"/>
      <c r="Q492" s="398" t="n"/>
      <c r="R492" s="113" t="n"/>
      <c r="S492" s="113" t="n"/>
      <c r="T492" s="113" t="n"/>
      <c r="U492" s="113" t="n"/>
      <c r="V492" s="113" t="n"/>
    </row>
    <row r="493" ht="15.75" customHeight="1">
      <c r="A493" s="398" t="n">
        <v>10</v>
      </c>
      <c r="B493" s="238" t="n"/>
      <c r="C493" s="399" t="n">
        <v>46085</v>
      </c>
      <c r="D493" s="162" t="inlineStr">
        <is>
          <t xml:space="preserve">219 G. SAN JOSE 2 </t>
        </is>
      </c>
      <c r="E493" s="162" t="n">
        <v>46562</v>
      </c>
      <c r="F493" s="162" t="inlineStr">
        <is>
          <t>ALBERTO LOPEZ</t>
        </is>
      </c>
      <c r="G493" s="162" t="n">
        <v>3000</v>
      </c>
      <c r="H493" s="162" t="n">
        <v>2993</v>
      </c>
      <c r="I493" s="162" t="n">
        <v>3</v>
      </c>
      <c r="J493" s="162" t="n">
        <v>2</v>
      </c>
      <c r="K493" s="162" t="n">
        <v>-2</v>
      </c>
      <c r="L493" s="241" t="n"/>
      <c r="M493" s="239" t="n"/>
      <c r="N493" s="113" t="n"/>
      <c r="O493" s="113" t="n"/>
      <c r="P493" s="398" t="n"/>
      <c r="Q493" s="398" t="n"/>
      <c r="R493" s="113" t="n"/>
      <c r="S493" s="113" t="n"/>
      <c r="T493" s="113" t="n"/>
      <c r="U493" s="113" t="n"/>
      <c r="V493" s="113" t="n"/>
    </row>
    <row r="494" ht="15.75" customHeight="1">
      <c r="A494" s="398" t="n">
        <v>10</v>
      </c>
      <c r="B494" s="238" t="n"/>
      <c r="C494" s="399" t="n">
        <v>46085</v>
      </c>
      <c r="D494" s="162" t="inlineStr">
        <is>
          <t>221 G. MALAGUEÑA 1</t>
        </is>
      </c>
      <c r="E494" s="162" t="n">
        <v>206474</v>
      </c>
      <c r="F494" s="162" t="inlineStr">
        <is>
          <t>MARCO OSPINA</t>
        </is>
      </c>
      <c r="G494" s="162" t="n">
        <v>2849</v>
      </c>
      <c r="H494" s="162" t="n">
        <v>2794</v>
      </c>
      <c r="I494" s="162" t="n">
        <v>36</v>
      </c>
      <c r="J494" s="162" t="n">
        <v>12</v>
      </c>
      <c r="K494" s="162" t="n">
        <v>-7</v>
      </c>
      <c r="L494" s="241" t="n"/>
      <c r="M494" s="239" t="n"/>
      <c r="N494" s="113" t="n"/>
      <c r="O494" s="113" t="n"/>
      <c r="P494" s="398" t="n"/>
      <c r="Q494" s="398" t="n"/>
      <c r="R494" s="113" t="n"/>
      <c r="S494" s="113" t="n"/>
      <c r="T494" s="113" t="n"/>
      <c r="U494" s="113" t="n"/>
      <c r="V494" s="113" t="n"/>
    </row>
    <row r="495" ht="15.75" customHeight="1">
      <c r="A495" s="398" t="n">
        <v>10</v>
      </c>
      <c r="B495" s="238" t="n"/>
      <c r="C495" s="399" t="n">
        <v>46085</v>
      </c>
      <c r="D495" s="162" t="inlineStr">
        <is>
          <t>221 G. MALAGUEÑA 1</t>
        </is>
      </c>
      <c r="E495" s="162" t="n">
        <v>206476</v>
      </c>
      <c r="F495" s="162" t="inlineStr">
        <is>
          <t>JOSE MARTINEZ</t>
        </is>
      </c>
      <c r="G495" s="162" t="n">
        <v>2849</v>
      </c>
      <c r="H495" s="162" t="n">
        <v>2801</v>
      </c>
      <c r="I495" s="162" t="n">
        <v>0</v>
      </c>
      <c r="J495" s="162" t="n">
        <v>15</v>
      </c>
      <c r="K495" s="162" t="n">
        <v>-33</v>
      </c>
      <c r="L495" s="241" t="n"/>
      <c r="M495" s="239" t="n"/>
      <c r="N495" s="113" t="n"/>
      <c r="O495" s="113" t="n"/>
      <c r="P495" s="398" t="n"/>
      <c r="Q495" s="398" t="n"/>
      <c r="R495" s="113" t="n"/>
      <c r="S495" s="113" t="n"/>
      <c r="T495" s="113" t="n"/>
      <c r="U495" s="113" t="n"/>
      <c r="V495" s="113" t="n"/>
    </row>
    <row r="496" ht="15.75" customHeight="1">
      <c r="A496" s="398" t="n">
        <v>10</v>
      </c>
      <c r="B496" s="238" t="n"/>
      <c r="C496" s="399" t="n">
        <v>46086</v>
      </c>
      <c r="D496" s="162" t="inlineStr">
        <is>
          <t>221 G. MALAGUEÑA 1</t>
        </is>
      </c>
      <c r="E496" s="162" t="n">
        <v>206481</v>
      </c>
      <c r="F496" s="162" t="inlineStr">
        <is>
          <t>ROBERTO MONROY</t>
        </is>
      </c>
      <c r="G496" s="162" t="n">
        <v>2849</v>
      </c>
      <c r="H496" s="162" t="n">
        <v>2824</v>
      </c>
      <c r="I496" s="162" t="n">
        <v>5</v>
      </c>
      <c r="J496" s="162" t="n">
        <v>17</v>
      </c>
      <c r="K496" s="162" t="n">
        <v>-3</v>
      </c>
      <c r="L496" s="241" t="n"/>
      <c r="M496" s="239" t="n"/>
      <c r="N496" s="113" t="n"/>
      <c r="O496" s="113" t="n"/>
      <c r="P496" s="398" t="n"/>
      <c r="Q496" s="398" t="n"/>
      <c r="R496" s="113" t="n"/>
      <c r="S496" s="113" t="n"/>
      <c r="T496" s="113" t="n"/>
      <c r="U496" s="113" t="n"/>
      <c r="V496" s="113" t="n"/>
    </row>
    <row r="497" ht="15.75" customHeight="1">
      <c r="A497" s="398" t="n">
        <v>10</v>
      </c>
      <c r="B497" s="238" t="n"/>
      <c r="C497" s="399" t="n">
        <v>46086</v>
      </c>
      <c r="D497" s="162" t="inlineStr">
        <is>
          <t>221 G. MALAGUEÑA</t>
        </is>
      </c>
      <c r="E497" s="162" t="n">
        <v>46572</v>
      </c>
      <c r="F497" s="162" t="inlineStr">
        <is>
          <t>JOSE SOLER</t>
        </is>
      </c>
      <c r="G497" s="162" t="n">
        <v>2320</v>
      </c>
      <c r="H497" s="162" t="n">
        <v>2384</v>
      </c>
      <c r="I497" s="162" t="n">
        <v>2</v>
      </c>
      <c r="J497" s="162" t="n">
        <v>6</v>
      </c>
      <c r="K497" s="162" t="n">
        <v>72</v>
      </c>
      <c r="L497" s="241" t="n"/>
      <c r="M497" s="239" t="n"/>
      <c r="N497" s="113" t="n"/>
      <c r="O497" s="113" t="n"/>
      <c r="P497" s="398" t="n"/>
      <c r="Q497" s="398" t="n"/>
      <c r="R497" s="113" t="n"/>
      <c r="S497" s="113" t="n"/>
      <c r="T497" s="113" t="n"/>
      <c r="U497" s="113" t="n"/>
      <c r="V497" s="113" t="n"/>
    </row>
    <row r="498" ht="15.75" customHeight="1">
      <c r="A498" s="398" t="n">
        <v>10</v>
      </c>
      <c r="B498" s="238" t="n"/>
      <c r="C498" s="399" t="n">
        <v>46086</v>
      </c>
      <c r="D498" s="162" t="inlineStr">
        <is>
          <t xml:space="preserve">219 G. SAN JOSE 2 </t>
        </is>
      </c>
      <c r="E498" s="162" t="n">
        <v>46575</v>
      </c>
      <c r="F498" s="162" t="inlineStr">
        <is>
          <t>ALBERTO LOPEZ</t>
        </is>
      </c>
      <c r="G498" s="162" t="n">
        <v>3030</v>
      </c>
      <c r="H498" s="162" t="n">
        <v>3024</v>
      </c>
      <c r="I498" s="162" t="n">
        <v>3</v>
      </c>
      <c r="J498" s="162" t="n">
        <v>3</v>
      </c>
      <c r="K498" s="162" t="n">
        <v>0</v>
      </c>
      <c r="L498" s="241" t="n"/>
      <c r="M498" s="239" t="n"/>
      <c r="N498" s="113" t="n"/>
      <c r="O498" s="113" t="n"/>
      <c r="P498" s="398" t="n"/>
      <c r="Q498" s="398" t="n"/>
      <c r="R498" s="113" t="n"/>
      <c r="S498" s="113" t="n"/>
      <c r="T498" s="113" t="n"/>
      <c r="U498" s="113" t="n"/>
      <c r="V498" s="113" t="n"/>
    </row>
    <row r="499" ht="15.75" customHeight="1">
      <c r="A499" s="398" t="n">
        <v>10</v>
      </c>
      <c r="B499" s="238" t="n"/>
      <c r="C499" s="399" t="n">
        <v>46086</v>
      </c>
      <c r="D499" s="146" t="inlineStr">
        <is>
          <t xml:space="preserve">219 G. SAN JOSE 2 </t>
        </is>
      </c>
      <c r="E499" s="146" t="n">
        <v>46576</v>
      </c>
      <c r="F499" s="146" t="inlineStr">
        <is>
          <t>FERNANDO OYUELA</t>
        </is>
      </c>
      <c r="G499" s="395" t="n">
        <v>3030</v>
      </c>
      <c r="H499" s="395" t="n">
        <v>3023</v>
      </c>
      <c r="I499" s="395" t="n">
        <v>2</v>
      </c>
      <c r="J499" s="395" t="n">
        <v>5</v>
      </c>
      <c r="K499" s="395" t="n">
        <v>0</v>
      </c>
      <c r="L499" s="395" t="n"/>
      <c r="M499" s="395" t="n"/>
      <c r="N499" s="113" t="n"/>
      <c r="O499" s="113" t="n"/>
      <c r="P499" s="398" t="n"/>
      <c r="Q499" s="398" t="n"/>
      <c r="R499" s="113" t="n"/>
      <c r="S499" s="113" t="n"/>
      <c r="T499" s="113" t="n"/>
      <c r="U499" s="113" t="n"/>
      <c r="V499" s="113" t="n"/>
    </row>
    <row r="500" ht="15.75" customHeight="1">
      <c r="A500" s="398" t="n">
        <v>10</v>
      </c>
      <c r="B500" s="238" t="n"/>
      <c r="C500" s="399" t="n">
        <v>46086</v>
      </c>
      <c r="D500" s="162" t="inlineStr">
        <is>
          <t xml:space="preserve">219 G. SAN JOSE 2 </t>
        </is>
      </c>
      <c r="E500" s="162" t="n">
        <v>46577</v>
      </c>
      <c r="F500" s="162" t="inlineStr">
        <is>
          <t xml:space="preserve">HENRY ROMERO </t>
        </is>
      </c>
      <c r="G500" s="162" t="n">
        <v>3030</v>
      </c>
      <c r="H500" s="162" t="n">
        <v>3025</v>
      </c>
      <c r="I500" s="162" t="n">
        <v>3</v>
      </c>
      <c r="J500" s="162" t="n">
        <v>2</v>
      </c>
      <c r="K500" s="162" t="n">
        <v>0</v>
      </c>
      <c r="L500" s="241" t="n"/>
      <c r="M500" s="113" t="n"/>
      <c r="N500" s="113" t="n"/>
      <c r="O500" s="113" t="n"/>
      <c r="P500" s="398" t="n"/>
      <c r="Q500" s="398" t="n"/>
      <c r="R500" s="113" t="n"/>
      <c r="S500" s="113" t="n"/>
      <c r="T500" s="113" t="n"/>
      <c r="U500" s="113" t="n"/>
      <c r="V500" s="113" t="n"/>
    </row>
    <row r="501" ht="15.75" customHeight="1">
      <c r="A501" s="398" t="n">
        <v>10</v>
      </c>
      <c r="B501" s="238" t="n"/>
      <c r="C501" s="399" t="n">
        <v>46086</v>
      </c>
      <c r="D501" s="162" t="inlineStr">
        <is>
          <t xml:space="preserve">219 G. SAN JOSE 2 </t>
        </is>
      </c>
      <c r="E501" s="162" t="n">
        <v>46578</v>
      </c>
      <c r="F501" s="162" t="inlineStr">
        <is>
          <t>JAIRO CUBILLOS</t>
        </is>
      </c>
      <c r="G501" s="162" t="n">
        <v>3030</v>
      </c>
      <c r="H501" s="162" t="n">
        <v>3009</v>
      </c>
      <c r="I501" s="162" t="n">
        <v>5</v>
      </c>
      <c r="J501" s="162" t="n">
        <v>6</v>
      </c>
      <c r="K501" s="162" t="n">
        <v>-10</v>
      </c>
      <c r="L501" s="241" t="n"/>
      <c r="M501" s="113" t="n"/>
      <c r="N501" s="113" t="n"/>
      <c r="O501" s="113" t="n"/>
      <c r="P501" s="398" t="n"/>
      <c r="Q501" s="398" t="n"/>
      <c r="R501" s="113" t="n"/>
      <c r="S501" s="113" t="n"/>
      <c r="T501" s="113" t="n"/>
      <c r="U501" s="113" t="n"/>
      <c r="V501" s="113" t="n"/>
    </row>
    <row r="502" ht="15.75" customHeight="1">
      <c r="A502" s="398" t="n">
        <v>10</v>
      </c>
      <c r="B502" s="238" t="n"/>
      <c r="C502" s="399" t="n">
        <v>46086</v>
      </c>
      <c r="D502" s="162" t="inlineStr">
        <is>
          <t xml:space="preserve">219 G. SAN JOSE 2 </t>
        </is>
      </c>
      <c r="E502" s="162" t="n">
        <v>46579</v>
      </c>
      <c r="F502" s="162" t="inlineStr">
        <is>
          <t xml:space="preserve">DIEGO NIÑO </t>
        </is>
      </c>
      <c r="G502" s="162" t="n">
        <v>3150</v>
      </c>
      <c r="H502" s="162" t="n">
        <v>3141</v>
      </c>
      <c r="I502" s="162" t="n">
        <v>3</v>
      </c>
      <c r="J502" s="162" t="n">
        <v>4</v>
      </c>
      <c r="K502" s="162" t="n">
        <v>-2</v>
      </c>
      <c r="L502" s="241" t="n"/>
      <c r="M502" s="113" t="n"/>
      <c r="N502" s="113" t="n"/>
      <c r="O502" s="113" t="n"/>
      <c r="P502" s="398" t="n"/>
      <c r="Q502" s="398" t="n"/>
      <c r="R502" s="113" t="n"/>
      <c r="S502" s="113" t="n"/>
      <c r="T502" s="113" t="n"/>
      <c r="U502" s="113" t="n"/>
      <c r="V502" s="113" t="n"/>
    </row>
    <row r="503" ht="15.75" customHeight="1">
      <c r="A503" s="398" t="n">
        <v>10</v>
      </c>
      <c r="B503" s="238" t="n"/>
      <c r="C503" s="399" t="n">
        <v>46086</v>
      </c>
      <c r="D503" s="162" t="inlineStr">
        <is>
          <t xml:space="preserve">219 G. SAN JOSE 2 </t>
        </is>
      </c>
      <c r="E503" s="162" t="n">
        <v>46580</v>
      </c>
      <c r="F503" s="162" t="inlineStr">
        <is>
          <t>ALEX GOMEZ</t>
        </is>
      </c>
      <c r="G503" s="162" t="n">
        <v>3150</v>
      </c>
      <c r="H503" s="162" t="n">
        <v>3133</v>
      </c>
      <c r="I503" s="162" t="n">
        <v>4</v>
      </c>
      <c r="J503" s="162" t="n">
        <v>5</v>
      </c>
      <c r="K503" s="162" t="n">
        <v>-8</v>
      </c>
      <c r="L503" s="241" t="n"/>
      <c r="M503" s="113" t="n"/>
      <c r="N503" s="113" t="n"/>
      <c r="O503" s="113" t="n"/>
      <c r="P503" s="398" t="n"/>
      <c r="Q503" s="398" t="n"/>
      <c r="R503" s="113" t="n"/>
      <c r="S503" s="113" t="n"/>
      <c r="T503" s="113" t="n"/>
      <c r="U503" s="113" t="n"/>
      <c r="V503" s="113" t="n"/>
    </row>
    <row r="504" ht="15.75" customHeight="1">
      <c r="A504" s="398" t="n">
        <v>10</v>
      </c>
      <c r="B504" s="238" t="n"/>
      <c r="C504" s="399" t="n">
        <v>46087</v>
      </c>
      <c r="D504" s="162" t="inlineStr">
        <is>
          <t>221 G. MALAGUEÑA</t>
        </is>
      </c>
      <c r="E504" s="162" t="n">
        <v>46594</v>
      </c>
      <c r="F504" s="162" t="inlineStr">
        <is>
          <t>ALEX GOMEZ</t>
        </is>
      </c>
      <c r="G504" s="162" t="n">
        <v>3440</v>
      </c>
      <c r="H504" s="162" t="n">
        <v>3425</v>
      </c>
      <c r="I504" s="162" t="n">
        <v>9</v>
      </c>
      <c r="J504" s="162" t="n">
        <v>8</v>
      </c>
      <c r="K504" s="162" t="n">
        <v>2</v>
      </c>
      <c r="L504" s="241" t="n"/>
      <c r="M504" s="113" t="n"/>
      <c r="N504" s="113" t="n"/>
      <c r="O504" s="113" t="n"/>
      <c r="P504" s="398" t="n"/>
      <c r="Q504" s="398" t="n"/>
      <c r="R504" s="113" t="n"/>
      <c r="S504" s="113" t="n"/>
      <c r="T504" s="113" t="n"/>
      <c r="U504" s="113" t="n"/>
      <c r="V504" s="113" t="n"/>
    </row>
    <row r="505" ht="15.75" customHeight="1">
      <c r="A505" s="398" t="n">
        <v>10</v>
      </c>
      <c r="B505" s="238" t="n"/>
      <c r="C505" s="399" t="n">
        <v>46087</v>
      </c>
      <c r="D505" s="162" t="inlineStr">
        <is>
          <t>221 G. MALAGUEÑA</t>
        </is>
      </c>
      <c r="E505" s="162" t="n">
        <v>46595</v>
      </c>
      <c r="F505" s="162" t="inlineStr">
        <is>
          <t>YAIR RIVEROS</t>
        </is>
      </c>
      <c r="G505" s="162" t="n">
        <v>3440</v>
      </c>
      <c r="H505" s="162" t="n">
        <v>3427</v>
      </c>
      <c r="I505" s="162" t="n">
        <v>9</v>
      </c>
      <c r="J505" s="162" t="n">
        <v>5</v>
      </c>
      <c r="K505" s="162" t="n">
        <v>1</v>
      </c>
      <c r="L505" s="241" t="n"/>
      <c r="M505" s="113" t="n"/>
      <c r="N505" s="113" t="n"/>
      <c r="O505" s="113" t="n"/>
      <c r="P505" s="398" t="n"/>
      <c r="Q505" s="398" t="n"/>
      <c r="R505" s="113" t="n"/>
      <c r="S505" s="113" t="n"/>
      <c r="T505" s="113" t="n"/>
      <c r="U505" s="113" t="n"/>
      <c r="V505" s="113" t="n"/>
    </row>
    <row r="506" ht="15.75" customHeight="1">
      <c r="A506" s="398" t="n">
        <v>10</v>
      </c>
      <c r="B506" s="238" t="n"/>
      <c r="C506" s="399" t="n">
        <v>46087</v>
      </c>
      <c r="D506" s="162" t="inlineStr">
        <is>
          <t>221 G. MALAGUEÑA</t>
        </is>
      </c>
      <c r="E506" s="162" t="n">
        <v>46596</v>
      </c>
      <c r="F506" s="162" t="inlineStr">
        <is>
          <t>JHON ARIAS</t>
        </is>
      </c>
      <c r="G506" s="162" t="n">
        <v>3440</v>
      </c>
      <c r="H506" s="162" t="n">
        <v>3430</v>
      </c>
      <c r="I506" s="162" t="n">
        <v>4</v>
      </c>
      <c r="J506" s="162" t="n">
        <v>7</v>
      </c>
      <c r="K506" s="162" t="n">
        <v>1</v>
      </c>
      <c r="L506" s="241" t="n"/>
      <c r="M506" s="113" t="n"/>
      <c r="N506" s="113" t="n"/>
      <c r="O506" s="113" t="n"/>
      <c r="P506" s="398" t="n"/>
      <c r="Q506" s="398" t="n"/>
      <c r="R506" s="113" t="n"/>
      <c r="S506" s="113" t="n"/>
      <c r="T506" s="113" t="n"/>
      <c r="U506" s="113" t="n"/>
      <c r="V506" s="113" t="n"/>
    </row>
    <row r="507" ht="15.75" customHeight="1">
      <c r="A507" s="398" t="n">
        <v>10</v>
      </c>
      <c r="B507" s="238" t="n"/>
      <c r="C507" s="399" t="n">
        <v>46087</v>
      </c>
      <c r="D507" s="162" t="inlineStr">
        <is>
          <t>221 G. MALAGUEÑA</t>
        </is>
      </c>
      <c r="E507" s="162" t="n">
        <v>46597</v>
      </c>
      <c r="F507" s="162" t="inlineStr">
        <is>
          <t>EDUAN CAVIEDES</t>
        </is>
      </c>
      <c r="G507" s="162" t="n">
        <v>3512</v>
      </c>
      <c r="H507" s="162" t="n">
        <v>3503</v>
      </c>
      <c r="I507" s="162" t="n">
        <v>5</v>
      </c>
      <c r="J507" s="162" t="n">
        <v>4</v>
      </c>
      <c r="K507" s="162" t="n">
        <v>0</v>
      </c>
      <c r="L507" s="241" t="n"/>
      <c r="M507" s="113" t="n"/>
      <c r="N507" s="113" t="n"/>
      <c r="O507" s="113" t="n"/>
      <c r="P507" s="398" t="n"/>
      <c r="Q507" s="398" t="n"/>
      <c r="R507" s="113" t="n"/>
      <c r="S507" s="113" t="n"/>
      <c r="T507" s="113" t="n"/>
      <c r="U507" s="113" t="n"/>
      <c r="V507" s="113" t="n"/>
    </row>
    <row r="508" ht="15.75" customHeight="1">
      <c r="A508" s="398" t="n">
        <v>10</v>
      </c>
      <c r="B508" s="238" t="n"/>
      <c r="C508" s="399" t="n">
        <v>46087</v>
      </c>
      <c r="D508" s="162" t="inlineStr">
        <is>
          <t xml:space="preserve">219 G. SAN JOSE 2 </t>
        </is>
      </c>
      <c r="E508" s="162" t="n">
        <v>46598</v>
      </c>
      <c r="F508" s="162" t="inlineStr">
        <is>
          <t>EDWIN ROJAS</t>
        </is>
      </c>
      <c r="G508" s="162" t="n">
        <v>3550</v>
      </c>
      <c r="H508" s="162" t="n">
        <v>3539</v>
      </c>
      <c r="I508" s="162" t="n">
        <v>5</v>
      </c>
      <c r="J508" s="162" t="n">
        <v>5</v>
      </c>
      <c r="K508" s="162" t="n">
        <v>-1</v>
      </c>
      <c r="L508" s="241" t="n"/>
      <c r="M508" s="113" t="n"/>
      <c r="N508" s="113" t="n"/>
      <c r="O508" s="113" t="n"/>
      <c r="P508" s="398" t="n"/>
      <c r="Q508" s="398" t="n"/>
      <c r="R508" s="113" t="n"/>
      <c r="S508" s="113" t="n"/>
      <c r="T508" s="113" t="n"/>
      <c r="U508" s="113" t="n"/>
      <c r="V508" s="113" t="n"/>
    </row>
    <row r="509" ht="15.75" customHeight="1">
      <c r="A509" s="398" t="n">
        <v>10</v>
      </c>
      <c r="B509" s="238" t="n"/>
      <c r="C509" s="399" t="n">
        <v>46087</v>
      </c>
      <c r="D509" s="162" t="inlineStr">
        <is>
          <t xml:space="preserve">219 G. SAN JOSE 2 </t>
        </is>
      </c>
      <c r="E509" s="162" t="n">
        <v>46599</v>
      </c>
      <c r="F509" s="162" t="inlineStr">
        <is>
          <t>FABIO ALDANA</t>
        </is>
      </c>
      <c r="G509" s="162" t="n">
        <v>3550</v>
      </c>
      <c r="H509" s="162" t="n">
        <v>3543</v>
      </c>
      <c r="I509" s="162" t="n">
        <v>2</v>
      </c>
      <c r="J509" s="162" t="n">
        <v>5</v>
      </c>
      <c r="K509" s="162" t="n">
        <v>0</v>
      </c>
      <c r="L509" s="241" t="n"/>
      <c r="M509" s="113" t="n"/>
      <c r="N509" s="113" t="n"/>
      <c r="O509" s="113" t="n"/>
      <c r="P509" s="398" t="n"/>
      <c r="Q509" s="398" t="n"/>
      <c r="R509" s="113" t="n"/>
      <c r="S509" s="113" t="n"/>
      <c r="T509" s="113" t="n"/>
      <c r="U509" s="113" t="n"/>
      <c r="V509" s="113" t="n"/>
    </row>
    <row r="510" ht="15.75" customHeight="1">
      <c r="A510" s="398" t="n">
        <v>10</v>
      </c>
      <c r="B510" s="238" t="n"/>
      <c r="C510" s="399" t="n">
        <v>46087</v>
      </c>
      <c r="D510" s="162" t="inlineStr">
        <is>
          <t xml:space="preserve">219 G. SAN JOSE 2 </t>
        </is>
      </c>
      <c r="E510" s="162" t="n">
        <v>46609</v>
      </c>
      <c r="F510" s="162" t="inlineStr">
        <is>
          <t>ALEX GOMEZ</t>
        </is>
      </c>
      <c r="G510" s="162" t="n">
        <v>3550</v>
      </c>
      <c r="H510" s="162" t="n">
        <v>3486</v>
      </c>
      <c r="I510" s="162" t="n">
        <v>29</v>
      </c>
      <c r="J510" s="162" t="n">
        <v>4</v>
      </c>
      <c r="K510" s="162" t="n">
        <v>-31</v>
      </c>
      <c r="L510" s="241" t="n"/>
      <c r="M510" s="113" t="n"/>
      <c r="N510" s="113" t="n"/>
      <c r="O510" s="113" t="n"/>
      <c r="P510" s="398" t="n"/>
      <c r="Q510" s="398" t="n"/>
      <c r="R510" s="113" t="n"/>
      <c r="S510" s="113" t="n"/>
      <c r="T510" s="113" t="n"/>
      <c r="U510" s="113" t="n"/>
      <c r="V510" s="113" t="n"/>
    </row>
    <row r="511" ht="15.75" customHeight="1">
      <c r="A511" s="398" t="n">
        <v>10</v>
      </c>
      <c r="B511" s="238" t="n"/>
      <c r="C511" s="399" t="n">
        <v>46087</v>
      </c>
      <c r="D511" s="162" t="inlineStr">
        <is>
          <t xml:space="preserve">219 G. SAN JOSE 2 </t>
        </is>
      </c>
      <c r="E511" s="162" t="n">
        <v>46610</v>
      </c>
      <c r="F511" s="162" t="inlineStr">
        <is>
          <t>YAIR RIVEROS</t>
        </is>
      </c>
      <c r="G511" s="162" t="n">
        <v>3550</v>
      </c>
      <c r="H511" s="162" t="n">
        <v>3495</v>
      </c>
      <c r="I511" s="162" t="n">
        <v>25</v>
      </c>
      <c r="J511" s="162" t="n">
        <v>5</v>
      </c>
      <c r="K511" s="162" t="n">
        <v>-25</v>
      </c>
      <c r="L511" s="241" t="n"/>
      <c r="M511" s="113" t="n"/>
      <c r="N511" s="113" t="n"/>
      <c r="O511" s="113" t="n"/>
      <c r="P511" s="398" t="n"/>
      <c r="Q511" s="398" t="n"/>
      <c r="R511" s="113" t="n"/>
      <c r="S511" s="113" t="n"/>
      <c r="T511" s="113" t="n"/>
      <c r="U511" s="113" t="n"/>
      <c r="V511" s="113" t="n"/>
    </row>
    <row r="512" ht="15.75" customHeight="1">
      <c r="A512" s="398" t="n">
        <v>10</v>
      </c>
      <c r="B512" s="238" t="n"/>
      <c r="C512" s="399" t="n">
        <v>46087</v>
      </c>
      <c r="D512" s="162" t="inlineStr">
        <is>
          <t xml:space="preserve">219 G. SAN JOSE 2 </t>
        </is>
      </c>
      <c r="E512" s="162" t="n">
        <v>46611</v>
      </c>
      <c r="F512" s="162" t="inlineStr">
        <is>
          <t>JHON ARIAS</t>
        </is>
      </c>
      <c r="G512" s="162" t="n">
        <v>3000</v>
      </c>
      <c r="H512" s="162" t="n">
        <v>2960</v>
      </c>
      <c r="I512" s="162" t="n">
        <v>7</v>
      </c>
      <c r="J512" s="162" t="n">
        <v>3</v>
      </c>
      <c r="K512" s="162" t="n">
        <v>-30</v>
      </c>
      <c r="L512" s="241" t="n"/>
      <c r="M512" s="113" t="n"/>
      <c r="N512" s="113" t="n"/>
      <c r="O512" s="113" t="n"/>
      <c r="P512" s="398" t="n"/>
      <c r="Q512" s="398" t="n"/>
      <c r="R512" s="113" t="n"/>
      <c r="S512" s="113" t="n"/>
      <c r="T512" s="113" t="n"/>
      <c r="U512" s="113" t="n"/>
      <c r="V512" s="113" t="n"/>
    </row>
    <row r="513" ht="15.75" customHeight="1">
      <c r="A513" s="398" t="n">
        <v>10</v>
      </c>
      <c r="B513" s="238" t="n"/>
      <c r="C513" s="399" t="n">
        <v>46087</v>
      </c>
      <c r="D513" s="162" t="inlineStr">
        <is>
          <t xml:space="preserve">219 G. SAN JOSE 2 </t>
        </is>
      </c>
      <c r="E513" s="162" t="n">
        <v>46612</v>
      </c>
      <c r="F513" s="162" t="inlineStr">
        <is>
          <t>JAIRO CUBILLOS</t>
        </is>
      </c>
      <c r="G513" s="162" t="n">
        <v>3000</v>
      </c>
      <c r="H513" s="162" t="n">
        <v>2957</v>
      </c>
      <c r="I513" s="162" t="n">
        <v>8</v>
      </c>
      <c r="J513" s="162" t="n">
        <v>3</v>
      </c>
      <c r="K513" s="162" t="n">
        <v>-32</v>
      </c>
      <c r="L513" s="241" t="n"/>
      <c r="M513" s="113" t="n"/>
      <c r="N513" s="113" t="n"/>
      <c r="O513" s="113" t="n"/>
      <c r="P513" s="398" t="n"/>
      <c r="Q513" s="398" t="n"/>
      <c r="R513" s="113" t="n"/>
      <c r="S513" s="113" t="n"/>
      <c r="T513" s="113" t="n"/>
      <c r="U513" s="113" t="n"/>
      <c r="V513" s="113" t="n"/>
    </row>
    <row r="514" ht="15.75" customHeight="1">
      <c r="A514" s="398" t="n">
        <v>10</v>
      </c>
      <c r="B514" s="238" t="n"/>
      <c r="C514" s="399" t="n">
        <v>46087</v>
      </c>
      <c r="D514" s="162" t="inlineStr">
        <is>
          <t xml:space="preserve">219 G. SAN JOSE 2 </t>
        </is>
      </c>
      <c r="E514" s="162" t="n">
        <v>46613</v>
      </c>
      <c r="F514" s="162" t="inlineStr">
        <is>
          <t>EDWIN ROJAS</t>
        </is>
      </c>
      <c r="G514" s="162" t="n">
        <v>3000</v>
      </c>
      <c r="H514" s="162" t="n">
        <v>3006</v>
      </c>
      <c r="I514" s="162" t="n">
        <v>7</v>
      </c>
      <c r="J514" s="162" t="n">
        <v>4</v>
      </c>
      <c r="K514" s="162" t="n">
        <v>17</v>
      </c>
      <c r="L514" s="241" t="n"/>
      <c r="M514" s="113" t="n"/>
      <c r="N514" s="113" t="n"/>
      <c r="O514" s="113" t="n"/>
      <c r="P514" s="398" t="n"/>
      <c r="Q514" s="398" t="n"/>
      <c r="R514" s="113" t="n"/>
      <c r="S514" s="113" t="n"/>
      <c r="T514" s="113" t="n"/>
      <c r="U514" s="113" t="n"/>
      <c r="V514" s="113" t="n"/>
    </row>
    <row r="515" ht="15.75" customHeight="1">
      <c r="A515" s="398" t="n">
        <v>10</v>
      </c>
      <c r="B515" s="238" t="n"/>
      <c r="C515" s="399" t="n">
        <v>46087</v>
      </c>
      <c r="D515" s="162" t="inlineStr">
        <is>
          <t xml:space="preserve">219 G. SAN JOSE 2 </t>
        </is>
      </c>
      <c r="E515" s="162" t="n">
        <v>46614</v>
      </c>
      <c r="F515" s="162" t="inlineStr">
        <is>
          <t>WILMER PIÑEROS</t>
        </is>
      </c>
      <c r="G515" s="162" t="n">
        <v>3000</v>
      </c>
      <c r="H515" s="162" t="n">
        <v>3002</v>
      </c>
      <c r="I515" s="162" t="n">
        <v>7</v>
      </c>
      <c r="J515" s="162" t="n">
        <v>3</v>
      </c>
      <c r="K515" s="162" t="n">
        <v>12</v>
      </c>
      <c r="L515" s="241" t="n"/>
      <c r="M515" s="113" t="n"/>
      <c r="N515" s="113" t="n"/>
      <c r="O515" s="113" t="n"/>
      <c r="P515" s="398" t="n"/>
      <c r="Q515" s="398" t="n"/>
      <c r="R515" s="113" t="n"/>
      <c r="S515" s="113" t="n"/>
      <c r="T515" s="113" t="n"/>
      <c r="U515" s="113" t="n"/>
      <c r="V515" s="113" t="n"/>
    </row>
    <row r="516" ht="15.75" customHeight="1">
      <c r="A516" s="398" t="n">
        <v>10</v>
      </c>
      <c r="B516" s="238" t="n"/>
      <c r="C516" s="399" t="n">
        <v>46087</v>
      </c>
      <c r="D516" s="162" t="inlineStr">
        <is>
          <t xml:space="preserve">219 G. SAN JOSE 2 </t>
        </is>
      </c>
      <c r="E516" s="162" t="n">
        <v>46615</v>
      </c>
      <c r="F516" s="162" t="inlineStr">
        <is>
          <t>FABIO ALDANA</t>
        </is>
      </c>
      <c r="G516" s="162" t="n">
        <v>3000</v>
      </c>
      <c r="H516" s="162" t="n">
        <v>3006</v>
      </c>
      <c r="I516" s="162" t="n">
        <v>3</v>
      </c>
      <c r="J516" s="162" t="n">
        <v>3</v>
      </c>
      <c r="K516" s="162" t="n">
        <v>12</v>
      </c>
      <c r="L516" s="241" t="n"/>
      <c r="M516" s="113" t="n"/>
      <c r="N516" s="113" t="n"/>
      <c r="O516" s="113" t="n"/>
      <c r="P516" s="398" t="n"/>
      <c r="Q516" s="398" t="n"/>
      <c r="R516" s="113" t="n"/>
      <c r="S516" s="113" t="n"/>
      <c r="T516" s="113" t="n"/>
      <c r="U516" s="113" t="n"/>
      <c r="V516" s="113" t="n"/>
    </row>
    <row r="517" ht="15.75" customHeight="1">
      <c r="A517" s="398" t="n">
        <v>10</v>
      </c>
      <c r="B517" s="238" t="n"/>
      <c r="C517" s="399" t="n">
        <v>46088</v>
      </c>
      <c r="D517" s="162" t="inlineStr">
        <is>
          <t>221 G. MALAGUEÑA 1</t>
        </is>
      </c>
      <c r="E517" s="162" t="n">
        <v>206513</v>
      </c>
      <c r="F517" s="162" t="inlineStr">
        <is>
          <t>JOSE PANTOJA</t>
        </is>
      </c>
      <c r="G517" s="162" t="n">
        <v>2562</v>
      </c>
      <c r="H517" s="162" t="n">
        <v>2537</v>
      </c>
      <c r="I517" s="162" t="n">
        <v>4</v>
      </c>
      <c r="J517" s="162" t="n">
        <v>5</v>
      </c>
      <c r="K517" s="162" t="n">
        <v>-16</v>
      </c>
      <c r="L517" s="241" t="n"/>
      <c r="M517" s="113" t="n"/>
      <c r="N517" s="113" t="n"/>
      <c r="O517" s="113" t="n"/>
      <c r="P517" s="398" t="n"/>
      <c r="Q517" s="398" t="n"/>
      <c r="R517" s="113" t="n"/>
      <c r="S517" s="113" t="n"/>
      <c r="T517" s="113" t="n"/>
      <c r="U517" s="113" t="n"/>
      <c r="V517" s="113" t="n"/>
    </row>
    <row r="518" ht="15.75" customHeight="1">
      <c r="A518" s="398" t="n">
        <v>10</v>
      </c>
      <c r="B518" s="238" t="n"/>
      <c r="C518" s="399" t="n">
        <v>46088</v>
      </c>
      <c r="D518" s="162" t="inlineStr">
        <is>
          <t>221 G. MALAGUEÑA 1</t>
        </is>
      </c>
      <c r="E518" s="162" t="n">
        <v>206517</v>
      </c>
      <c r="F518" s="162" t="inlineStr">
        <is>
          <t>JOSE MARTINEZ</t>
        </is>
      </c>
      <c r="G518" s="162" t="n">
        <v>2562</v>
      </c>
      <c r="H518" s="162" t="n">
        <v>2549</v>
      </c>
      <c r="I518" s="162" t="n">
        <v>2</v>
      </c>
      <c r="J518" s="162" t="n">
        <v>8</v>
      </c>
      <c r="K518" s="162" t="n">
        <v>-3</v>
      </c>
      <c r="L518" s="241" t="n"/>
      <c r="M518" s="113" t="n"/>
      <c r="N518" s="113" t="n"/>
      <c r="O518" s="113" t="n"/>
      <c r="P518" s="398" t="n"/>
      <c r="Q518" s="398" t="n"/>
      <c r="R518" s="113" t="n"/>
      <c r="S518" s="113" t="n"/>
      <c r="T518" s="113" t="n"/>
      <c r="U518" s="113" t="n"/>
      <c r="V518" s="113" t="n"/>
    </row>
    <row r="519" ht="15.75" customHeight="1">
      <c r="A519" s="398" t="n">
        <v>10</v>
      </c>
      <c r="B519" s="238" t="n"/>
      <c r="C519" s="399" t="n">
        <v>46088</v>
      </c>
      <c r="D519" s="162" t="inlineStr">
        <is>
          <t>221 G. MALAGUEÑA 1</t>
        </is>
      </c>
      <c r="E519" s="162" t="n">
        <v>206518</v>
      </c>
      <c r="F519" s="162" t="inlineStr">
        <is>
          <t>EDISIN DUQUE SAMBONI</t>
        </is>
      </c>
      <c r="G519" s="162" t="n">
        <v>2562</v>
      </c>
      <c r="H519" s="162" t="n">
        <v>2541</v>
      </c>
      <c r="I519" s="162" t="n">
        <v>2</v>
      </c>
      <c r="J519" s="162" t="n">
        <v>7</v>
      </c>
      <c r="K519" s="162" t="n">
        <v>-12</v>
      </c>
      <c r="L519" s="241" t="n"/>
      <c r="M519" s="113" t="n"/>
      <c r="N519" s="113" t="n"/>
      <c r="O519" s="113" t="n"/>
      <c r="P519" s="398" t="n"/>
      <c r="Q519" s="398" t="n"/>
      <c r="R519" s="113" t="n"/>
      <c r="S519" s="113" t="n"/>
      <c r="T519" s="113" t="n"/>
      <c r="U519" s="113" t="n"/>
      <c r="V519" s="113" t="n"/>
    </row>
    <row r="520" ht="15.75" customHeight="1">
      <c r="A520" s="398" t="n">
        <v>10</v>
      </c>
      <c r="B520" s="238" t="n"/>
      <c r="C520" s="399" t="n">
        <v>46088</v>
      </c>
      <c r="D520" s="162" t="inlineStr">
        <is>
          <t>221 G. MALAGUEÑA</t>
        </is>
      </c>
      <c r="E520" s="162" t="n">
        <v>46624</v>
      </c>
      <c r="F520" s="162" t="inlineStr">
        <is>
          <t>EDWIN ROJAS</t>
        </is>
      </c>
      <c r="G520" s="162" t="n">
        <v>2400</v>
      </c>
      <c r="H520" s="162" t="n">
        <v>2385</v>
      </c>
      <c r="I520" s="162" t="n">
        <v>3</v>
      </c>
      <c r="J520" s="162" t="n">
        <v>5</v>
      </c>
      <c r="K520" s="162" t="n">
        <v>-7</v>
      </c>
      <c r="L520" s="241" t="n"/>
      <c r="M520" s="113" t="n"/>
      <c r="N520" s="113" t="n"/>
      <c r="O520" s="113" t="n"/>
      <c r="P520" s="398" t="n"/>
      <c r="Q520" s="398" t="n"/>
      <c r="R520" s="113" t="n"/>
      <c r="S520" s="113" t="n"/>
      <c r="T520" s="113" t="n"/>
      <c r="U520" s="113" t="n"/>
      <c r="V520" s="113" t="n"/>
    </row>
    <row r="521" ht="15.75" customHeight="1">
      <c r="A521" s="398" t="n">
        <v>10</v>
      </c>
      <c r="B521" s="238" t="n"/>
      <c r="C521" s="399" t="n">
        <v>46088</v>
      </c>
      <c r="D521" s="162" t="inlineStr">
        <is>
          <t>221 G. MALAGUEÑA</t>
        </is>
      </c>
      <c r="E521" s="162" t="n">
        <v>46625</v>
      </c>
      <c r="F521" s="162" t="inlineStr">
        <is>
          <t xml:space="preserve">DIEGO NIÑO </t>
        </is>
      </c>
      <c r="G521" s="162" t="n">
        <v>2400</v>
      </c>
      <c r="H521" s="162" t="n">
        <v>2391</v>
      </c>
      <c r="I521" s="162" t="n">
        <v>3</v>
      </c>
      <c r="J521" s="162" t="n">
        <v>4</v>
      </c>
      <c r="K521" s="162" t="n">
        <v>-2</v>
      </c>
      <c r="L521" s="241" t="n"/>
      <c r="M521" s="113" t="n"/>
      <c r="N521" s="113" t="n"/>
      <c r="O521" s="113" t="n"/>
      <c r="P521" s="398" t="n"/>
      <c r="Q521" s="398" t="n"/>
      <c r="R521" s="113" t="n"/>
      <c r="S521" s="113" t="n"/>
      <c r="T521" s="113" t="n"/>
      <c r="U521" s="113" t="n"/>
      <c r="V521" s="113" t="n"/>
    </row>
    <row r="522" ht="15.75" customHeight="1">
      <c r="A522" s="398" t="n">
        <v>10</v>
      </c>
      <c r="B522" s="238" t="n"/>
      <c r="C522" s="399" t="n">
        <v>46088</v>
      </c>
      <c r="D522" s="162" t="inlineStr">
        <is>
          <t>221 G. MALAGUEÑA</t>
        </is>
      </c>
      <c r="E522" s="162" t="n">
        <v>46626</v>
      </c>
      <c r="F522" s="162" t="inlineStr">
        <is>
          <t>DUMAR ANGARITA</t>
        </is>
      </c>
      <c r="G522" s="162" t="n">
        <v>1550</v>
      </c>
      <c r="H522" s="162" t="n">
        <v>1541</v>
      </c>
      <c r="I522" s="162" t="n">
        <v>3</v>
      </c>
      <c r="J522" s="162" t="n">
        <v>2</v>
      </c>
      <c r="K522" s="162" t="n">
        <v>-4</v>
      </c>
      <c r="L522" s="241" t="n"/>
      <c r="M522" s="113" t="n"/>
      <c r="N522" s="113" t="n"/>
      <c r="O522" s="113" t="n"/>
      <c r="P522" s="398" t="n"/>
      <c r="Q522" s="398" t="n"/>
      <c r="R522" s="113" t="n"/>
      <c r="S522" s="113" t="n"/>
      <c r="T522" s="113" t="n"/>
      <c r="U522" s="113" t="n"/>
      <c r="V522" s="113" t="n"/>
    </row>
    <row r="523" ht="15.75" customHeight="1">
      <c r="A523" s="398" t="n">
        <v>10</v>
      </c>
      <c r="B523" s="238" t="n"/>
      <c r="C523" s="399" t="n">
        <v>46088</v>
      </c>
      <c r="D523" s="162" t="inlineStr">
        <is>
          <t xml:space="preserve">219 G. SAN JOSE 2 </t>
        </is>
      </c>
      <c r="E523" s="162" t="n">
        <v>46627</v>
      </c>
      <c r="F523" s="162" t="inlineStr">
        <is>
          <t>FERNANDO OYUELA</t>
        </is>
      </c>
      <c r="G523" s="162" t="n">
        <v>2880</v>
      </c>
      <c r="H523" s="162" t="n">
        <v>2876</v>
      </c>
      <c r="I523" s="162" t="n">
        <v>4</v>
      </c>
      <c r="J523" s="162" t="n">
        <v>2</v>
      </c>
      <c r="K523" s="162" t="n">
        <v>2</v>
      </c>
      <c r="L523" s="241" t="n"/>
      <c r="M523" s="113" t="n"/>
      <c r="N523" s="113" t="n"/>
      <c r="O523" s="113" t="n"/>
      <c r="P523" s="398" t="n"/>
      <c r="Q523" s="398" t="n"/>
      <c r="R523" s="113" t="n"/>
      <c r="S523" s="113" t="n"/>
      <c r="T523" s="113" t="n"/>
      <c r="U523" s="113" t="n"/>
      <c r="V523" s="113" t="n"/>
    </row>
    <row r="524" ht="15.75" customHeight="1">
      <c r="A524" s="398" t="n">
        <v>10</v>
      </c>
      <c r="B524" s="238" t="n"/>
      <c r="C524" s="399" t="n">
        <v>46088</v>
      </c>
      <c r="D524" s="162" t="inlineStr">
        <is>
          <t xml:space="preserve">219 G. SAN JOSE 2 </t>
        </is>
      </c>
      <c r="E524" s="162" t="n">
        <v>46628</v>
      </c>
      <c r="F524" s="162" t="inlineStr">
        <is>
          <t>JAIRO CUBILLOS</t>
        </is>
      </c>
      <c r="G524" s="162" t="n">
        <v>3120</v>
      </c>
      <c r="H524" s="162" t="n">
        <v>3114</v>
      </c>
      <c r="I524" s="162" t="n">
        <v>4</v>
      </c>
      <c r="J524" s="162" t="n">
        <v>2</v>
      </c>
      <c r="K524" s="162" t="n">
        <v>0</v>
      </c>
      <c r="L524" s="241" t="n"/>
      <c r="M524" s="113" t="n"/>
      <c r="N524" s="113" t="n"/>
      <c r="O524" s="113" t="n"/>
      <c r="P524" s="398" t="n"/>
      <c r="Q524" s="398" t="n"/>
      <c r="R524" s="113" t="n"/>
      <c r="S524" s="113" t="n"/>
      <c r="T524" s="113" t="n"/>
      <c r="U524" s="113" t="n"/>
      <c r="V524" s="113" t="n"/>
    </row>
    <row r="525" ht="15.75" customHeight="1">
      <c r="A525" s="398" t="n">
        <v>10</v>
      </c>
      <c r="B525" s="238" t="n"/>
      <c r="C525" s="399" t="n">
        <v>46088</v>
      </c>
      <c r="D525" s="162" t="inlineStr">
        <is>
          <t xml:space="preserve">219 G. SAN JOSE 2 </t>
        </is>
      </c>
      <c r="E525" s="162" t="n">
        <v>46639</v>
      </c>
      <c r="F525" s="162" t="inlineStr">
        <is>
          <t>JOSE SOLER</t>
        </is>
      </c>
      <c r="G525" s="162" t="n">
        <v>3130</v>
      </c>
      <c r="H525" s="162" t="n">
        <v>3121</v>
      </c>
      <c r="I525" s="162" t="n">
        <v>8</v>
      </c>
      <c r="J525" s="162" t="n">
        <v>4</v>
      </c>
      <c r="K525" s="162" t="n">
        <v>3</v>
      </c>
      <c r="L525" s="241" t="n"/>
      <c r="M525" s="113" t="n"/>
      <c r="N525" s="113" t="n"/>
      <c r="O525" s="113" t="n"/>
      <c r="P525" s="398" t="n"/>
      <c r="Q525" s="398" t="n"/>
      <c r="R525" s="113" t="n"/>
      <c r="S525" s="113" t="n"/>
      <c r="T525" s="113" t="n"/>
      <c r="U525" s="113" t="n"/>
      <c r="V525" s="113" t="n"/>
    </row>
    <row r="526" ht="15.75" customHeight="1">
      <c r="A526" s="398" t="n">
        <v>10</v>
      </c>
      <c r="B526" s="238" t="n"/>
      <c r="C526" s="399" t="n">
        <v>46088</v>
      </c>
      <c r="D526" s="162" t="inlineStr">
        <is>
          <t xml:space="preserve">219 G. SAN JOSE 2 </t>
        </is>
      </c>
      <c r="E526" s="162" t="n">
        <v>46640</v>
      </c>
      <c r="F526" s="162" t="inlineStr">
        <is>
          <t>EDWIN ROJAS</t>
        </is>
      </c>
      <c r="G526" s="162" t="n">
        <v>3000</v>
      </c>
      <c r="H526" s="162" t="n">
        <v>2994</v>
      </c>
      <c r="I526" s="162" t="n">
        <v>7</v>
      </c>
      <c r="J526" s="162" t="n">
        <v>4</v>
      </c>
      <c r="K526" s="162" t="n">
        <v>5</v>
      </c>
      <c r="L526" s="241" t="n"/>
      <c r="M526" s="113" t="n"/>
      <c r="N526" s="113" t="n"/>
      <c r="O526" s="113" t="n"/>
      <c r="P526" s="398" t="n"/>
      <c r="Q526" s="398" t="n"/>
      <c r="R526" s="113" t="n"/>
      <c r="S526" s="113" t="n"/>
      <c r="T526" s="113" t="n"/>
      <c r="U526" s="113" t="n"/>
      <c r="V526" s="113" t="n"/>
    </row>
    <row r="527" ht="15.75" customHeight="1">
      <c r="A527" s="398" t="n">
        <v>10</v>
      </c>
      <c r="B527" s="238" t="n"/>
      <c r="C527" s="399" t="n">
        <v>46088</v>
      </c>
      <c r="D527" s="162" t="inlineStr">
        <is>
          <t xml:space="preserve">219 G. SAN JOSE 2 </t>
        </is>
      </c>
      <c r="E527" s="162" t="n">
        <v>46641</v>
      </c>
      <c r="F527" s="162" t="inlineStr">
        <is>
          <t xml:space="preserve">DIEGO NIÑO </t>
        </is>
      </c>
      <c r="G527" s="162" t="n">
        <v>3000</v>
      </c>
      <c r="H527" s="162" t="n">
        <v>2992</v>
      </c>
      <c r="I527" s="162" t="n">
        <v>8</v>
      </c>
      <c r="J527" s="162" t="n">
        <v>3</v>
      </c>
      <c r="K527" s="162" t="n">
        <v>3</v>
      </c>
      <c r="L527" s="241" t="n"/>
      <c r="M527" s="113" t="n"/>
      <c r="N527" s="113" t="n"/>
      <c r="O527" s="113" t="n"/>
      <c r="P527" s="398" t="n"/>
      <c r="Q527" s="398" t="n"/>
      <c r="R527" s="113" t="n"/>
      <c r="S527" s="113" t="n"/>
      <c r="T527" s="113" t="n"/>
      <c r="U527" s="113" t="n"/>
      <c r="V527" s="113" t="n"/>
    </row>
    <row r="528" ht="15.75" customHeight="1">
      <c r="A528" s="398" t="n">
        <v>10</v>
      </c>
      <c r="B528" s="238" t="n"/>
      <c r="C528" s="399" t="n">
        <v>46088</v>
      </c>
      <c r="D528" s="162" t="inlineStr">
        <is>
          <t xml:space="preserve">219 G. SAN JOSE 2 </t>
        </is>
      </c>
      <c r="E528" s="162" t="n">
        <v>46642</v>
      </c>
      <c r="F528" s="162" t="inlineStr">
        <is>
          <t>DUMAR ANGARITA</t>
        </is>
      </c>
      <c r="G528" s="162" t="n">
        <v>3130</v>
      </c>
      <c r="H528" s="162" t="n">
        <v>3127</v>
      </c>
      <c r="I528" s="162" t="n">
        <v>6</v>
      </c>
      <c r="J528" s="162" t="n">
        <v>2</v>
      </c>
      <c r="K528" s="162" t="n">
        <v>5</v>
      </c>
      <c r="L528" s="241" t="n"/>
      <c r="M528" s="113" t="n"/>
      <c r="N528" s="113" t="n"/>
      <c r="O528" s="113" t="n"/>
      <c r="P528" s="398" t="n"/>
      <c r="Q528" s="398" t="n"/>
      <c r="R528" s="113" t="n"/>
      <c r="S528" s="113" t="n"/>
      <c r="T528" s="113" t="n"/>
      <c r="U528" s="113" t="n"/>
      <c r="V528" s="113" t="n"/>
    </row>
    <row r="529" ht="15.75" customHeight="1">
      <c r="A529" s="398" t="n">
        <v>10</v>
      </c>
      <c r="B529" s="238" t="n"/>
      <c r="C529" s="399" t="n">
        <v>46088</v>
      </c>
      <c r="D529" s="162" t="inlineStr">
        <is>
          <t xml:space="preserve">219 G. SAN JOSE 2 </t>
        </is>
      </c>
      <c r="E529" s="162" t="n">
        <v>46643</v>
      </c>
      <c r="F529" s="162" t="inlineStr">
        <is>
          <t>FERNANDO OYUELA</t>
        </is>
      </c>
      <c r="G529" s="162" t="n">
        <v>3130</v>
      </c>
      <c r="H529" s="162" t="n">
        <v>3101</v>
      </c>
      <c r="I529" s="162" t="n">
        <v>7</v>
      </c>
      <c r="J529" s="162" t="n">
        <v>4</v>
      </c>
      <c r="K529" s="162" t="n">
        <v>-18</v>
      </c>
      <c r="L529" s="241" t="n"/>
      <c r="M529" s="113" t="n"/>
      <c r="N529" s="113" t="n"/>
      <c r="O529" s="113" t="n"/>
      <c r="P529" s="398" t="n"/>
      <c r="Q529" s="398" t="n"/>
      <c r="R529" s="113" t="n"/>
      <c r="S529" s="113" t="n"/>
      <c r="T529" s="113" t="n"/>
      <c r="U529" s="113" t="n"/>
      <c r="V529" s="113" t="n"/>
    </row>
    <row r="530" ht="15.75" customHeight="1">
      <c r="A530" s="398" t="n">
        <v>10</v>
      </c>
      <c r="B530" s="238" t="n"/>
      <c r="C530" s="399" t="n">
        <v>46088</v>
      </c>
      <c r="D530" s="162" t="inlineStr">
        <is>
          <t xml:space="preserve">219 G. SAN JOSE 2 </t>
        </is>
      </c>
      <c r="E530" s="162" t="n">
        <v>46644</v>
      </c>
      <c r="F530" s="162" t="inlineStr">
        <is>
          <t>YAIR RIVEROS</t>
        </is>
      </c>
      <c r="G530" s="162" t="n">
        <v>3130</v>
      </c>
      <c r="H530" s="162" t="n">
        <v>3092</v>
      </c>
      <c r="I530" s="162" t="n">
        <v>7</v>
      </c>
      <c r="J530" s="162" t="n">
        <v>4</v>
      </c>
      <c r="K530" s="162" t="n">
        <v>-27</v>
      </c>
      <c r="L530" s="241" t="n"/>
      <c r="M530" s="113" t="n"/>
      <c r="N530" s="113" t="n"/>
      <c r="O530" s="113" t="n"/>
      <c r="P530" s="398" t="n"/>
      <c r="Q530" s="398" t="n"/>
      <c r="R530" s="113" t="n"/>
      <c r="S530" s="113" t="n"/>
      <c r="T530" s="113" t="n"/>
      <c r="U530" s="113" t="n"/>
      <c r="V530" s="113" t="n"/>
    </row>
    <row r="531" ht="15.75" customHeight="1">
      <c r="A531" s="398" t="n">
        <v>10</v>
      </c>
      <c r="B531" s="238" t="n"/>
      <c r="C531" s="399" t="n">
        <v>46088</v>
      </c>
      <c r="D531" s="162" t="inlineStr">
        <is>
          <t xml:space="preserve">219 G. SAN JOSE 2 </t>
        </is>
      </c>
      <c r="E531" s="162" t="n">
        <v>46645</v>
      </c>
      <c r="F531" s="162" t="inlineStr">
        <is>
          <t xml:space="preserve">HENRY ROMERO </t>
        </is>
      </c>
      <c r="G531" s="162" t="n">
        <v>3130</v>
      </c>
      <c r="H531" s="162" t="n">
        <v>3097</v>
      </c>
      <c r="I531" s="162" t="n">
        <v>6</v>
      </c>
      <c r="J531" s="162" t="n">
        <v>3</v>
      </c>
      <c r="K531" s="162" t="n">
        <v>-24</v>
      </c>
      <c r="L531" s="241" t="n"/>
      <c r="M531" s="113" t="n"/>
      <c r="N531" s="113" t="n"/>
      <c r="O531" s="113" t="n"/>
      <c r="P531" s="398" t="n"/>
      <c r="Q531" s="398" t="n"/>
      <c r="R531" s="113" t="n"/>
      <c r="S531" s="113" t="n"/>
      <c r="T531" s="113" t="n"/>
      <c r="U531" s="113" t="n"/>
      <c r="V531" s="113" t="n"/>
    </row>
    <row r="532" ht="15.75" customHeight="1">
      <c r="A532" s="398" t="n">
        <v>10</v>
      </c>
      <c r="B532" s="238" t="n"/>
      <c r="C532" s="399" t="n">
        <v>46088</v>
      </c>
      <c r="D532" s="162" t="inlineStr">
        <is>
          <t xml:space="preserve">219 G. SAN JOSE 2 </t>
        </is>
      </c>
      <c r="E532" s="162" t="n">
        <v>46646</v>
      </c>
      <c r="F532" s="162" t="inlineStr">
        <is>
          <t>ALBERTO LOPEZ</t>
        </is>
      </c>
      <c r="G532" s="162" t="n">
        <v>3150</v>
      </c>
      <c r="H532" s="162" t="n">
        <v>3118</v>
      </c>
      <c r="I532" s="162" t="n">
        <v>6</v>
      </c>
      <c r="J532" s="162" t="n">
        <v>2</v>
      </c>
      <c r="K532" s="162" t="n">
        <v>-24</v>
      </c>
      <c r="L532" s="241" t="n"/>
      <c r="M532" s="113" t="n"/>
      <c r="N532" s="113" t="n"/>
      <c r="O532" s="113" t="n"/>
      <c r="P532" s="398" t="n"/>
      <c r="Q532" s="398" t="n"/>
      <c r="R532" s="113" t="n"/>
      <c r="S532" s="113" t="n"/>
      <c r="T532" s="113" t="n"/>
      <c r="U532" s="113" t="n"/>
      <c r="V532" s="113" t="n"/>
    </row>
    <row r="533" ht="15.75" customHeight="1">
      <c r="A533" s="398" t="n">
        <v>10</v>
      </c>
      <c r="B533" s="238" t="n"/>
      <c r="C533" s="399" t="n"/>
      <c r="D533" s="162" t="n"/>
      <c r="E533" s="162" t="n"/>
      <c r="F533" s="162" t="n"/>
      <c r="G533" s="530">
        <f>SUBTOTAL(9,G465:G532)</f>
        <v/>
      </c>
      <c r="H533" s="530">
        <f>SUBTOTAL(9,H465:H532)</f>
        <v/>
      </c>
      <c r="I533" s="530">
        <f>SUBTOTAL(9,I465:I532)</f>
        <v/>
      </c>
      <c r="J533" s="530">
        <f>SUBTOTAL(9,J465:J532)</f>
        <v/>
      </c>
      <c r="K533" s="530">
        <f>SUBTOTAL(9,K465:K532)</f>
        <v/>
      </c>
      <c r="L533" s="530">
        <f>SUBTOTAL(9,L465:L532)</f>
        <v/>
      </c>
      <c r="M533" s="113" t="n"/>
      <c r="N533" s="113" t="n"/>
      <c r="O533" s="113" t="n"/>
      <c r="P533" s="398" t="n"/>
      <c r="Q533" s="398" t="n"/>
      <c r="R533" s="113" t="n"/>
      <c r="S533" s="113" t="n"/>
      <c r="T533" s="113" t="n"/>
      <c r="U533" s="113" t="n"/>
      <c r="V533" s="113" t="n"/>
    </row>
    <row r="534" ht="15.75" customHeight="1">
      <c r="A534" s="398" t="n">
        <v>11</v>
      </c>
      <c r="B534" s="238" t="n"/>
      <c r="C534" s="399" t="n">
        <v>46090</v>
      </c>
      <c r="D534" s="162" t="inlineStr">
        <is>
          <t xml:space="preserve">219 G. SAN JOSE 2 </t>
        </is>
      </c>
      <c r="E534" s="162" t="n">
        <v>46649</v>
      </c>
      <c r="F534" s="162" t="inlineStr">
        <is>
          <t>EDWIN ROJAS</t>
        </is>
      </c>
      <c r="G534" s="162" t="n">
        <v>3716</v>
      </c>
      <c r="H534" s="162" t="n">
        <v>3716</v>
      </c>
      <c r="I534" s="162" t="n">
        <v>5</v>
      </c>
      <c r="J534" s="162" t="n">
        <v>8</v>
      </c>
      <c r="K534" s="162" t="n">
        <v>13</v>
      </c>
      <c r="L534" s="241" t="n">
        <v>3720</v>
      </c>
      <c r="M534" s="113" t="n"/>
      <c r="N534" s="113" t="n"/>
      <c r="O534" s="113" t="n"/>
      <c r="P534" s="398" t="n"/>
      <c r="Q534" s="398" t="n"/>
      <c r="R534" s="113" t="n"/>
      <c r="S534" s="113" t="n"/>
      <c r="T534" s="113" t="n"/>
      <c r="U534" s="113" t="n"/>
      <c r="V534" s="113" t="n"/>
    </row>
    <row r="535" ht="15.75" customHeight="1">
      <c r="A535" s="398" t="n">
        <v>11</v>
      </c>
      <c r="B535" s="238" t="n"/>
      <c r="C535" s="399" t="n">
        <v>46090</v>
      </c>
      <c r="D535" s="146" t="inlineStr">
        <is>
          <t xml:space="preserve">219 G. SAN JOSE 2 </t>
        </is>
      </c>
      <c r="E535" s="146" t="n">
        <v>46650</v>
      </c>
      <c r="F535" s="146" t="inlineStr">
        <is>
          <t xml:space="preserve">DIEGO NIÑO </t>
        </is>
      </c>
      <c r="G535" s="395" t="n">
        <v>3200</v>
      </c>
      <c r="H535" s="395" t="n">
        <v>3188</v>
      </c>
      <c r="I535" s="395" t="n">
        <v>5</v>
      </c>
      <c r="J535" s="395" t="n">
        <v>7</v>
      </c>
      <c r="K535" s="395" t="n">
        <v>0</v>
      </c>
      <c r="L535" s="395" t="n">
        <v>3200</v>
      </c>
      <c r="M535" s="395" t="n"/>
      <c r="N535" s="113" t="n"/>
      <c r="O535" s="113" t="n"/>
      <c r="P535" s="398" t="n"/>
      <c r="Q535" s="398" t="n"/>
      <c r="R535" s="113" t="n"/>
      <c r="S535" s="113" t="n"/>
      <c r="T535" s="113" t="n"/>
      <c r="U535" s="113" t="n"/>
      <c r="V535" s="113" t="n"/>
    </row>
    <row r="536" ht="15.75" customHeight="1">
      <c r="A536" s="398" t="n">
        <v>11</v>
      </c>
      <c r="B536" s="238" t="n"/>
      <c r="C536" s="399" t="n">
        <v>46090</v>
      </c>
      <c r="D536" s="162" t="inlineStr">
        <is>
          <t xml:space="preserve">219 G. SAN JOSE 2 </t>
        </is>
      </c>
      <c r="E536" s="162" t="n">
        <v>46651</v>
      </c>
      <c r="F536" s="162" t="inlineStr">
        <is>
          <t>FERNANDO OYUELA</t>
        </is>
      </c>
      <c r="G536" s="162" t="n">
        <v>3291</v>
      </c>
      <c r="H536" s="162" t="n">
        <v>3283</v>
      </c>
      <c r="I536" s="162" t="n">
        <v>2</v>
      </c>
      <c r="J536" s="162" t="n">
        <v>9</v>
      </c>
      <c r="K536" s="162" t="n">
        <v>3</v>
      </c>
      <c r="L536" s="241" t="n">
        <v>3290</v>
      </c>
      <c r="M536" s="113" t="n"/>
      <c r="N536" s="113" t="n"/>
      <c r="O536" s="113" t="n"/>
      <c r="P536" s="398" t="n"/>
      <c r="Q536" s="398" t="n"/>
      <c r="R536" s="113" t="n"/>
      <c r="S536" s="113" t="n"/>
      <c r="T536" s="113" t="n"/>
      <c r="U536" s="113" t="n"/>
      <c r="V536" s="113" t="n"/>
    </row>
    <row r="537" ht="15.75" customHeight="1">
      <c r="A537" s="398" t="n">
        <v>11</v>
      </c>
      <c r="B537" s="238" t="n"/>
      <c r="C537" s="399" t="n">
        <v>46090</v>
      </c>
      <c r="D537" s="162" t="inlineStr">
        <is>
          <t xml:space="preserve">219 G. SAN JOSE 2 </t>
        </is>
      </c>
      <c r="E537" s="162" t="n">
        <v>46652</v>
      </c>
      <c r="F537" s="162" t="inlineStr">
        <is>
          <t>DUMAR ANGARITA</t>
        </is>
      </c>
      <c r="G537" s="162" t="n">
        <v>3200</v>
      </c>
      <c r="H537" s="162" t="n">
        <v>3202</v>
      </c>
      <c r="I537" s="162" t="n">
        <v>4</v>
      </c>
      <c r="J537" s="162" t="n">
        <v>7</v>
      </c>
      <c r="K537" s="162" t="n">
        <v>13</v>
      </c>
      <c r="L537" s="241" t="n">
        <v>3200</v>
      </c>
      <c r="M537" s="113" t="n"/>
      <c r="N537" s="113" t="n"/>
      <c r="O537" s="113" t="n"/>
      <c r="P537" s="398" t="n"/>
      <c r="Q537" s="398" t="n"/>
      <c r="R537" s="113" t="n"/>
      <c r="S537" s="113" t="n"/>
      <c r="T537" s="113" t="n"/>
      <c r="U537" s="113" t="n"/>
      <c r="V537" s="113" t="n"/>
    </row>
    <row r="538" ht="15.75" customHeight="1">
      <c r="A538" s="398" t="n">
        <v>11</v>
      </c>
      <c r="B538" s="238" t="n"/>
      <c r="C538" s="399" t="n">
        <v>46090</v>
      </c>
      <c r="D538" s="162" t="inlineStr">
        <is>
          <t xml:space="preserve">219 G. SAN JOSE 2 </t>
        </is>
      </c>
      <c r="E538" s="162" t="n">
        <v>46653</v>
      </c>
      <c r="F538" s="162" t="inlineStr">
        <is>
          <t xml:space="preserve">HENRY ROMERO </t>
        </is>
      </c>
      <c r="G538" s="162" t="n">
        <v>3200</v>
      </c>
      <c r="H538" s="162" t="n">
        <v>3199</v>
      </c>
      <c r="I538" s="162" t="n">
        <v>2</v>
      </c>
      <c r="J538" s="162" t="n">
        <v>7</v>
      </c>
      <c r="K538" s="162" t="n">
        <v>8</v>
      </c>
      <c r="L538" s="241" t="n">
        <v>3200</v>
      </c>
      <c r="M538" s="113" t="n"/>
      <c r="N538" s="113" t="n"/>
      <c r="O538" s="113" t="n"/>
      <c r="P538" s="398" t="n"/>
      <c r="Q538" s="398" t="n"/>
      <c r="R538" s="113" t="n"/>
      <c r="S538" s="113" t="n"/>
      <c r="T538" s="113" t="n"/>
      <c r="U538" s="113" t="n"/>
      <c r="V538" s="113" t="n"/>
    </row>
    <row r="539" ht="15.75" customHeight="1">
      <c r="A539" s="398" t="n">
        <v>11</v>
      </c>
      <c r="B539" s="238" t="n"/>
      <c r="C539" s="399" t="n">
        <v>46090</v>
      </c>
      <c r="D539" s="162" t="inlineStr">
        <is>
          <t xml:space="preserve">219 G. SAN JOSE 2 </t>
        </is>
      </c>
      <c r="E539" s="162" t="n">
        <v>46661</v>
      </c>
      <c r="F539" s="162" t="inlineStr">
        <is>
          <t>EDUAN CAVIEDES</t>
        </is>
      </c>
      <c r="G539" s="162" t="n">
        <v>3100</v>
      </c>
      <c r="H539" s="162" t="n">
        <v>3104</v>
      </c>
      <c r="I539" s="162" t="n">
        <v>1</v>
      </c>
      <c r="J539" s="162" t="n">
        <v>6</v>
      </c>
      <c r="K539" s="162" t="n">
        <v>11</v>
      </c>
      <c r="L539" s="241" t="n">
        <v>3100</v>
      </c>
      <c r="M539" s="113" t="n"/>
      <c r="N539" s="113" t="n"/>
      <c r="O539" s="113" t="n"/>
      <c r="P539" s="398" t="n"/>
      <c r="Q539" s="398" t="n"/>
      <c r="R539" s="113" t="n"/>
      <c r="S539" s="113" t="n"/>
      <c r="T539" s="113" t="n"/>
      <c r="U539" s="113" t="n"/>
      <c r="V539" s="113" t="n"/>
    </row>
    <row r="540" ht="15.75" customHeight="1">
      <c r="A540" s="398" t="n">
        <v>11</v>
      </c>
      <c r="B540" s="238" t="n"/>
      <c r="C540" s="399" t="n">
        <v>46090</v>
      </c>
      <c r="D540" s="162" t="inlineStr">
        <is>
          <t xml:space="preserve">219 G. SAN JOSE 2 </t>
        </is>
      </c>
      <c r="E540" s="162" t="n">
        <v>46662</v>
      </c>
      <c r="F540" s="162" t="inlineStr">
        <is>
          <t>WILMER PIÑEROS</t>
        </is>
      </c>
      <c r="G540" s="162" t="n">
        <v>3400</v>
      </c>
      <c r="H540" s="162" t="n">
        <v>3404</v>
      </c>
      <c r="I540" s="162" t="n">
        <v>2</v>
      </c>
      <c r="J540" s="162" t="n">
        <v>4</v>
      </c>
      <c r="K540" s="162" t="n">
        <v>10</v>
      </c>
      <c r="L540" s="241" t="n">
        <v>3400</v>
      </c>
      <c r="M540" s="113" t="n"/>
      <c r="N540" s="113" t="n"/>
      <c r="O540" s="113" t="n"/>
      <c r="P540" s="398" t="n"/>
      <c r="Q540" s="398" t="n"/>
      <c r="R540" s="113" t="n"/>
      <c r="S540" s="113" t="n"/>
      <c r="T540" s="113" t="n"/>
      <c r="U540" s="113" t="n"/>
      <c r="V540" s="113" t="n"/>
    </row>
    <row r="541" ht="15.75" customHeight="1">
      <c r="A541" s="398" t="n">
        <v>11</v>
      </c>
      <c r="B541" s="238" t="n"/>
      <c r="C541" s="399" t="n">
        <v>46091</v>
      </c>
      <c r="D541" s="162" t="inlineStr">
        <is>
          <t xml:space="preserve">219 G. SAN JOSE 2 </t>
        </is>
      </c>
      <c r="E541" s="162" t="n">
        <v>46663</v>
      </c>
      <c r="F541" s="162" t="inlineStr">
        <is>
          <t>EDWIN ROJAS</t>
        </is>
      </c>
      <c r="G541" s="162" t="n">
        <v>3564</v>
      </c>
      <c r="H541" s="162" t="n">
        <v>3558</v>
      </c>
      <c r="I541" s="162" t="n">
        <v>3</v>
      </c>
      <c r="J541" s="162" t="n">
        <v>10</v>
      </c>
      <c r="K541" s="162" t="n">
        <v>7</v>
      </c>
      <c r="L541" s="241" t="n">
        <v>3564</v>
      </c>
      <c r="M541" s="113" t="n"/>
      <c r="N541" s="113" t="n"/>
      <c r="O541" s="113" t="n"/>
      <c r="P541" s="398" t="n"/>
      <c r="Q541" s="398" t="n"/>
      <c r="R541" s="113" t="n"/>
      <c r="S541" s="113" t="n"/>
      <c r="T541" s="113" t="n"/>
      <c r="U541" s="113" t="n"/>
      <c r="V541" s="113" t="n"/>
    </row>
    <row r="542" ht="15.75" customHeight="1">
      <c r="A542" s="398" t="n">
        <v>11</v>
      </c>
      <c r="B542" s="238" t="n"/>
      <c r="C542" s="399" t="n">
        <v>46091</v>
      </c>
      <c r="D542" s="162" t="inlineStr">
        <is>
          <t xml:space="preserve">219 G. SAN JOSE 2 </t>
        </is>
      </c>
      <c r="E542" s="162" t="n">
        <v>46664</v>
      </c>
      <c r="F542" s="162" t="inlineStr">
        <is>
          <t>YAIR RIVEROS</t>
        </is>
      </c>
      <c r="G542" s="162" t="n">
        <v>3400</v>
      </c>
      <c r="H542" s="162" t="n">
        <v>3394</v>
      </c>
      <c r="I542" s="162" t="n">
        <v>5</v>
      </c>
      <c r="J542" s="162" t="n">
        <v>8</v>
      </c>
      <c r="K542" s="162" t="n">
        <v>7</v>
      </c>
      <c r="L542" s="241" t="n">
        <v>2728</v>
      </c>
      <c r="M542" s="113" t="n"/>
      <c r="N542" s="113" t="n"/>
      <c r="O542" s="113" t="n"/>
      <c r="P542" s="398" t="n"/>
      <c r="Q542" s="398" t="n"/>
      <c r="R542" s="113" t="n"/>
      <c r="S542" s="113" t="n"/>
      <c r="T542" s="113" t="n"/>
      <c r="U542" s="113" t="n"/>
      <c r="V542" s="113" t="n"/>
    </row>
    <row r="543" ht="15.75" customHeight="1">
      <c r="A543" s="398" t="n">
        <v>11</v>
      </c>
      <c r="B543" s="238" t="n"/>
      <c r="C543" s="399" t="n">
        <v>46091</v>
      </c>
      <c r="D543" s="162" t="inlineStr">
        <is>
          <t xml:space="preserve">219 G. SAN JOSE 2 </t>
        </is>
      </c>
      <c r="E543" s="162" t="n">
        <v>46665</v>
      </c>
      <c r="F543" s="162" t="inlineStr">
        <is>
          <t>DUMAR ANGARITA</t>
        </is>
      </c>
      <c r="G543" s="162" t="n">
        <v>3400</v>
      </c>
      <c r="H543" s="162" t="n">
        <v>3387</v>
      </c>
      <c r="I543" s="162" t="n">
        <v>4</v>
      </c>
      <c r="J543" s="162" t="n">
        <v>8</v>
      </c>
      <c r="K543" s="162" t="n">
        <v>-1</v>
      </c>
      <c r="L543" s="241" t="n">
        <v>3400</v>
      </c>
      <c r="M543" s="113" t="n"/>
      <c r="N543" s="113" t="n"/>
      <c r="O543" s="113" t="n"/>
      <c r="P543" s="398" t="n"/>
      <c r="Q543" s="398" t="n"/>
      <c r="R543" s="113" t="n"/>
      <c r="S543" s="113" t="n"/>
      <c r="T543" s="113" t="n"/>
      <c r="U543" s="113" t="n"/>
      <c r="V543" s="113" t="n"/>
    </row>
    <row r="544" ht="15.75" customHeight="1">
      <c r="A544" s="398" t="n">
        <v>11</v>
      </c>
      <c r="B544" s="238" t="n"/>
      <c r="C544" s="399" t="n">
        <v>46091</v>
      </c>
      <c r="D544" s="162" t="inlineStr">
        <is>
          <t>221 G. MALAGUEÑA</t>
        </is>
      </c>
      <c r="E544" s="162" t="n">
        <v>46666</v>
      </c>
      <c r="F544" s="162" t="inlineStr">
        <is>
          <t>EDUAN CAVIEDES</t>
        </is>
      </c>
      <c r="G544" s="162" t="n">
        <v>2728</v>
      </c>
      <c r="H544" s="162" t="n">
        <v>2699</v>
      </c>
      <c r="I544" s="162" t="n">
        <v>4</v>
      </c>
      <c r="J544" s="162" t="n">
        <v>15</v>
      </c>
      <c r="K544" s="162" t="n">
        <v>-10</v>
      </c>
      <c r="L544" s="241" t="n">
        <v>3400</v>
      </c>
      <c r="M544" s="113" t="n"/>
      <c r="N544" s="113" t="n"/>
      <c r="O544" s="113" t="n"/>
      <c r="P544" s="398" t="n"/>
      <c r="Q544" s="398" t="n"/>
      <c r="R544" s="113" t="n"/>
      <c r="S544" s="113" t="n"/>
      <c r="T544" s="113" t="n"/>
      <c r="U544" s="113" t="n"/>
      <c r="V544" s="113" t="n"/>
    </row>
    <row r="545" ht="15.75" customHeight="1">
      <c r="A545" s="398" t="n">
        <v>11</v>
      </c>
      <c r="B545" s="238" t="n"/>
      <c r="C545" s="399" t="n">
        <v>46091</v>
      </c>
      <c r="D545" s="162" t="inlineStr">
        <is>
          <t xml:space="preserve">219 G. SAN JOSE 2 </t>
        </is>
      </c>
      <c r="E545" s="162" t="n">
        <v>46667</v>
      </c>
      <c r="F545" s="162" t="inlineStr">
        <is>
          <t xml:space="preserve">HENRY ROMERO </t>
        </is>
      </c>
      <c r="G545" s="162" t="n">
        <v>3400</v>
      </c>
      <c r="H545" s="162" t="n">
        <v>3401</v>
      </c>
      <c r="I545" s="162" t="n">
        <v>2</v>
      </c>
      <c r="J545" s="162" t="n">
        <v>3</v>
      </c>
      <c r="K545" s="162" t="n">
        <v>6</v>
      </c>
      <c r="L545" s="241" t="n">
        <v>3400</v>
      </c>
      <c r="M545" s="113" t="n"/>
      <c r="N545" s="113" t="n"/>
      <c r="O545" s="113" t="n"/>
      <c r="P545" s="398" t="n"/>
      <c r="Q545" s="398" t="n"/>
      <c r="R545" s="113" t="n"/>
      <c r="S545" s="113" t="n"/>
      <c r="T545" s="113" t="n"/>
      <c r="U545" s="113" t="n"/>
      <c r="V545" s="113" t="n"/>
    </row>
    <row r="546" ht="15.75" customHeight="1">
      <c r="A546" s="398" t="n">
        <v>11</v>
      </c>
      <c r="B546" s="238" t="n"/>
      <c r="C546" s="399" t="n">
        <v>46091</v>
      </c>
      <c r="D546" s="162" t="inlineStr">
        <is>
          <t xml:space="preserve">219 G. SAN JOSE 2 </t>
        </is>
      </c>
      <c r="E546" s="162" t="n">
        <v>46668</v>
      </c>
      <c r="F546" s="162" t="inlineStr">
        <is>
          <t>FABIO ALDANA</t>
        </is>
      </c>
      <c r="G546" s="162" t="n">
        <v>3400</v>
      </c>
      <c r="H546" s="162" t="n">
        <v>3403</v>
      </c>
      <c r="I546" s="162" t="n">
        <v>4</v>
      </c>
      <c r="J546" s="162" t="n">
        <v>2</v>
      </c>
      <c r="K546" s="162" t="n">
        <v>9</v>
      </c>
      <c r="L546" s="241" t="n">
        <v>3400</v>
      </c>
      <c r="M546" s="113" t="n"/>
      <c r="N546" s="113" t="n"/>
      <c r="O546" s="113" t="n"/>
      <c r="P546" s="398" t="n"/>
      <c r="Q546" s="398" t="n"/>
      <c r="R546" s="113" t="n"/>
      <c r="S546" s="113" t="n"/>
      <c r="T546" s="113" t="n"/>
      <c r="U546" s="113" t="n"/>
      <c r="V546" s="113" t="n"/>
    </row>
    <row r="547" ht="15.75" customHeight="1">
      <c r="A547" s="398" t="n">
        <v>11</v>
      </c>
      <c r="B547" s="238" t="n"/>
      <c r="C547" s="399" t="n">
        <v>46091</v>
      </c>
      <c r="D547" s="162" t="inlineStr">
        <is>
          <t>221 G. MALAGUEÑA</t>
        </is>
      </c>
      <c r="E547" s="162" t="n">
        <v>46669</v>
      </c>
      <c r="F547" s="162" t="inlineStr">
        <is>
          <t>WILMER PIÑEROS</t>
        </is>
      </c>
      <c r="G547" s="162" t="n">
        <v>3400</v>
      </c>
      <c r="H547" s="162" t="n">
        <v>3407</v>
      </c>
      <c r="I547" s="162" t="n">
        <v>0</v>
      </c>
      <c r="J547" s="162" t="n">
        <v>2</v>
      </c>
      <c r="K547" s="162" t="n">
        <v>9</v>
      </c>
      <c r="L547" s="241" t="n">
        <v>3400</v>
      </c>
      <c r="M547" s="113" t="n"/>
      <c r="N547" s="113" t="n"/>
      <c r="O547" s="113" t="n"/>
      <c r="P547" s="398" t="n"/>
      <c r="Q547" s="398" t="n"/>
      <c r="R547" s="113" t="n"/>
      <c r="S547" s="113" t="n"/>
      <c r="T547" s="113" t="n"/>
      <c r="U547" s="113" t="n"/>
      <c r="V547" s="113" t="n"/>
    </row>
    <row r="548" ht="15.75" customHeight="1">
      <c r="A548" s="398" t="n">
        <v>11</v>
      </c>
      <c r="B548" s="238" t="n"/>
      <c r="C548" s="399" t="n">
        <v>46091</v>
      </c>
      <c r="D548" s="162" t="inlineStr">
        <is>
          <t xml:space="preserve">219 G. SAN JOSE 2 </t>
        </is>
      </c>
      <c r="E548" s="162" t="n">
        <v>46670</v>
      </c>
      <c r="F548" s="162" t="inlineStr">
        <is>
          <t xml:space="preserve">DIEGO NIÑO </t>
        </is>
      </c>
      <c r="G548" s="162" t="n">
        <v>3400</v>
      </c>
      <c r="H548" s="162" t="n">
        <v>3376</v>
      </c>
      <c r="I548" s="162" t="n">
        <v>3</v>
      </c>
      <c r="J548" s="162" t="n">
        <v>1</v>
      </c>
      <c r="K548" s="162" t="n">
        <v>-20</v>
      </c>
      <c r="L548" s="241" t="n">
        <v>3400</v>
      </c>
      <c r="M548" s="113" t="n"/>
      <c r="N548" s="113" t="n"/>
      <c r="O548" s="113" t="n"/>
      <c r="P548" s="398" t="n"/>
      <c r="Q548" s="398" t="n"/>
      <c r="R548" s="113" t="n"/>
      <c r="S548" s="113" t="n"/>
      <c r="T548" s="113" t="n"/>
      <c r="U548" s="113" t="n"/>
      <c r="V548" s="113" t="n"/>
    </row>
    <row r="549" ht="15.75" customHeight="1">
      <c r="A549" s="398" t="n">
        <v>11</v>
      </c>
      <c r="B549" s="238" t="n"/>
      <c r="C549" s="399" t="n">
        <v>46092</v>
      </c>
      <c r="D549" s="162" t="inlineStr">
        <is>
          <t>218 G. SAN JOSE 1</t>
        </is>
      </c>
      <c r="E549" s="162" t="n">
        <v>46678</v>
      </c>
      <c r="F549" s="162" t="inlineStr">
        <is>
          <t>JOSE HERRERA</t>
        </is>
      </c>
      <c r="G549" s="162" t="n">
        <v>3170</v>
      </c>
      <c r="H549" s="162" t="n">
        <v>3149</v>
      </c>
      <c r="I549" s="162" t="n">
        <v>4</v>
      </c>
      <c r="J549" s="162" t="n">
        <v>20</v>
      </c>
      <c r="K549" s="162" t="n">
        <v>3</v>
      </c>
      <c r="L549" s="241" t="n">
        <v>3170</v>
      </c>
      <c r="M549" s="113" t="n"/>
      <c r="N549" s="113" t="n"/>
      <c r="O549" s="113" t="n"/>
      <c r="P549" s="398" t="n"/>
      <c r="Q549" s="398" t="n"/>
      <c r="R549" s="113" t="n"/>
      <c r="S549" s="113" t="n"/>
      <c r="T549" s="113" t="n"/>
      <c r="U549" s="113" t="n"/>
      <c r="V549" s="113" t="n"/>
    </row>
    <row r="550" ht="15.75" customHeight="1">
      <c r="A550" s="398" t="n">
        <v>11</v>
      </c>
      <c r="B550" s="238" t="n"/>
      <c r="C550" s="399" t="n">
        <v>46092</v>
      </c>
      <c r="D550" s="162" t="inlineStr">
        <is>
          <t>218 G. SAN JOSE 1</t>
        </is>
      </c>
      <c r="E550" s="162" t="n">
        <v>46679</v>
      </c>
      <c r="F550" s="162" t="inlineStr">
        <is>
          <t>ROBERTO MONROY</t>
        </is>
      </c>
      <c r="G550" s="162" t="n">
        <v>3170</v>
      </c>
      <c r="H550" s="162" t="n">
        <v>3143</v>
      </c>
      <c r="I550" s="162" t="n">
        <v>5</v>
      </c>
      <c r="J550" s="162" t="n">
        <v>17</v>
      </c>
      <c r="K550" s="162" t="n">
        <v>-5</v>
      </c>
      <c r="L550" s="241" t="n">
        <v>3170</v>
      </c>
      <c r="M550" s="113" t="n"/>
      <c r="N550" s="113" t="n"/>
      <c r="O550" s="113" t="n"/>
      <c r="P550" s="398" t="n"/>
      <c r="Q550" s="398" t="n"/>
      <c r="R550" s="113" t="n"/>
      <c r="S550" s="113" t="n"/>
      <c r="T550" s="113" t="n"/>
      <c r="U550" s="113" t="n"/>
      <c r="V550" s="113" t="n"/>
    </row>
    <row r="551" ht="15.75" customHeight="1">
      <c r="A551" s="398" t="n">
        <v>11</v>
      </c>
      <c r="B551" s="238" t="n"/>
      <c r="C551" s="399" t="n">
        <v>46092</v>
      </c>
      <c r="D551" s="162" t="inlineStr">
        <is>
          <t>218 G. SAN JOSE 1</t>
        </is>
      </c>
      <c r="E551" s="162" t="n">
        <v>46680</v>
      </c>
      <c r="F551" s="162" t="inlineStr">
        <is>
          <t>ALEXANDER CHAGUALA</t>
        </is>
      </c>
      <c r="G551" s="162" t="n">
        <v>3170</v>
      </c>
      <c r="H551" s="162" t="n">
        <v>3141</v>
      </c>
      <c r="I551" s="162" t="n">
        <v>7</v>
      </c>
      <c r="J551" s="162" t="n">
        <v>20</v>
      </c>
      <c r="K551" s="162" t="n">
        <v>-2</v>
      </c>
      <c r="L551" s="241" t="n">
        <v>3170</v>
      </c>
      <c r="M551" s="113" t="n"/>
      <c r="N551" s="113" t="n"/>
      <c r="O551" s="113" t="n"/>
      <c r="P551" s="398" t="n"/>
      <c r="Q551" s="398" t="n"/>
      <c r="R551" s="113" t="n"/>
      <c r="S551" s="113" t="n"/>
      <c r="T551" s="113" t="n"/>
      <c r="U551" s="113" t="n"/>
      <c r="V551" s="113" t="n"/>
    </row>
    <row r="552" ht="15.75" customHeight="1">
      <c r="A552" s="398" t="n">
        <v>11</v>
      </c>
      <c r="B552" s="238" t="n"/>
      <c r="C552" s="399" t="n">
        <v>46092</v>
      </c>
      <c r="D552" s="162" t="inlineStr">
        <is>
          <t>218 G. SAN JOSE 1</t>
        </is>
      </c>
      <c r="E552" s="162" t="n">
        <v>46681</v>
      </c>
      <c r="F552" s="162" t="inlineStr">
        <is>
          <t>FERNANDO OYUELA</t>
        </is>
      </c>
      <c r="G552" s="162" t="n">
        <v>3170</v>
      </c>
      <c r="H552" s="162" t="n">
        <v>3133</v>
      </c>
      <c r="I552" s="162" t="n">
        <v>5</v>
      </c>
      <c r="J552" s="162" t="n">
        <v>25</v>
      </c>
      <c r="K552" s="162" t="n">
        <v>-7</v>
      </c>
      <c r="L552" s="241" t="n">
        <v>3170</v>
      </c>
      <c r="M552" s="113" t="n"/>
      <c r="N552" s="113" t="n"/>
      <c r="O552" s="113" t="n"/>
      <c r="P552" s="398" t="n"/>
      <c r="Q552" s="398" t="n"/>
      <c r="R552" s="113" t="n"/>
      <c r="S552" s="113" t="n"/>
      <c r="T552" s="113" t="n"/>
      <c r="U552" s="113" t="n"/>
      <c r="V552" s="113" t="n"/>
    </row>
    <row r="553" ht="15.75" customHeight="1">
      <c r="A553" s="398" t="n">
        <v>11</v>
      </c>
      <c r="B553" s="238" t="n"/>
      <c r="C553" s="399" t="n">
        <v>46092</v>
      </c>
      <c r="D553" s="162" t="inlineStr">
        <is>
          <t>218 G. SAN JOSE 1</t>
        </is>
      </c>
      <c r="E553" s="162" t="n">
        <v>46682</v>
      </c>
      <c r="F553" s="162" t="inlineStr">
        <is>
          <t>ALBERTO LOPEZ</t>
        </is>
      </c>
      <c r="G553" s="162" t="n">
        <v>3170</v>
      </c>
      <c r="H553" s="162" t="n">
        <v>3153</v>
      </c>
      <c r="I553" s="162" t="n">
        <v>3</v>
      </c>
      <c r="J553" s="162" t="n">
        <v>7</v>
      </c>
      <c r="K553" s="162" t="n">
        <v>-7</v>
      </c>
      <c r="L553" s="241" t="n">
        <v>3170</v>
      </c>
      <c r="M553" s="113" t="n"/>
      <c r="N553" s="113" t="n"/>
      <c r="O553" s="113" t="n"/>
      <c r="P553" s="398" t="n"/>
      <c r="Q553" s="398" t="n"/>
      <c r="R553" s="113" t="n"/>
      <c r="S553" s="113" t="n"/>
      <c r="T553" s="113" t="n"/>
      <c r="U553" s="113" t="n"/>
      <c r="V553" s="113" t="n"/>
    </row>
    <row r="554" ht="15.75" customHeight="1">
      <c r="A554" s="398" t="n">
        <v>11</v>
      </c>
      <c r="B554" s="238" t="n"/>
      <c r="C554" s="399" t="n">
        <v>46092</v>
      </c>
      <c r="D554" s="162" t="inlineStr">
        <is>
          <t>218 G. SAN JOSE 1</t>
        </is>
      </c>
      <c r="E554" s="162" t="n">
        <v>46683</v>
      </c>
      <c r="F554" s="162" t="inlineStr">
        <is>
          <t>WILMER PIÑEROS</t>
        </is>
      </c>
      <c r="G554" s="162" t="n">
        <v>3170</v>
      </c>
      <c r="H554" s="162" t="n">
        <v>3155</v>
      </c>
      <c r="I554" s="162" t="n">
        <v>5</v>
      </c>
      <c r="J554" s="162" t="n">
        <v>7</v>
      </c>
      <c r="K554" s="162" t="n">
        <v>-3</v>
      </c>
      <c r="L554" s="241" t="n">
        <v>3170</v>
      </c>
      <c r="M554" s="113" t="n"/>
      <c r="N554" s="113" t="n"/>
      <c r="O554" s="113" t="n"/>
      <c r="P554" s="398" t="n"/>
      <c r="Q554" s="398" t="n"/>
      <c r="R554" s="113" t="n"/>
      <c r="S554" s="113" t="n"/>
      <c r="T554" s="113" t="n"/>
      <c r="U554" s="113" t="n"/>
      <c r="V554" s="113" t="n"/>
    </row>
    <row r="555" ht="15.75" customHeight="1">
      <c r="A555" s="398" t="n">
        <v>11</v>
      </c>
      <c r="B555" s="238" t="n"/>
      <c r="C555" s="399" t="n">
        <v>46093</v>
      </c>
      <c r="D555" s="162" t="inlineStr">
        <is>
          <t xml:space="preserve">219 G. SAN JOSE 2 </t>
        </is>
      </c>
      <c r="E555" s="162" t="n">
        <v>46698</v>
      </c>
      <c r="F555" s="162" t="inlineStr">
        <is>
          <t>EDUAN CAVIEDES</t>
        </is>
      </c>
      <c r="G555" s="162" t="n">
        <v>3000</v>
      </c>
      <c r="H555" s="162" t="n">
        <v>2991</v>
      </c>
      <c r="I555" s="162" t="n">
        <v>4</v>
      </c>
      <c r="J555" s="162" t="n">
        <v>5</v>
      </c>
      <c r="K555" s="162" t="n">
        <v>0</v>
      </c>
      <c r="L555" s="241" t="n">
        <v>3000</v>
      </c>
      <c r="M555" s="113" t="n"/>
      <c r="N555" s="113" t="n"/>
      <c r="O555" s="113" t="n"/>
      <c r="P555" s="398" t="n"/>
      <c r="Q555" s="398" t="n"/>
      <c r="R555" s="113" t="n"/>
      <c r="S555" s="113" t="n"/>
      <c r="T555" s="113" t="n"/>
      <c r="U555" s="113" t="n"/>
      <c r="V555" s="113" t="n"/>
    </row>
    <row r="556" ht="15.75" customHeight="1">
      <c r="A556" s="398" t="n">
        <v>11</v>
      </c>
      <c r="B556" s="238" t="n"/>
      <c r="C556" s="399" t="n">
        <v>46093</v>
      </c>
      <c r="D556" s="162" t="inlineStr">
        <is>
          <t xml:space="preserve">219 G. SAN JOSE 2 </t>
        </is>
      </c>
      <c r="E556" s="162" t="n">
        <v>46699</v>
      </c>
      <c r="F556" s="162" t="inlineStr">
        <is>
          <t>DUMAR ANGARITA</t>
        </is>
      </c>
      <c r="G556" s="162" t="n">
        <v>3000</v>
      </c>
      <c r="H556" s="162" t="n">
        <v>2991</v>
      </c>
      <c r="I556" s="162" t="n">
        <v>3</v>
      </c>
      <c r="J556" s="162" t="n">
        <v>4</v>
      </c>
      <c r="K556" s="162" t="n">
        <v>-2</v>
      </c>
      <c r="L556" s="241" t="n">
        <v>3000</v>
      </c>
      <c r="M556" s="113" t="n"/>
      <c r="N556" s="113" t="n"/>
      <c r="O556" s="113" t="n"/>
      <c r="P556" s="398" t="n"/>
      <c r="Q556" s="398" t="n"/>
      <c r="R556" s="113" t="n"/>
      <c r="S556" s="113" t="n"/>
      <c r="T556" s="113" t="n"/>
      <c r="U556" s="113" t="n"/>
      <c r="V556" s="113" t="n"/>
    </row>
    <row r="557" ht="15.75" customHeight="1">
      <c r="A557" s="398" t="n">
        <v>11</v>
      </c>
      <c r="B557" s="238" t="n"/>
      <c r="C557" s="399" t="n">
        <v>46093</v>
      </c>
      <c r="D557" s="162" t="inlineStr">
        <is>
          <t>218 G. SAN JOSE 1</t>
        </is>
      </c>
      <c r="E557" s="162" t="n">
        <v>46700</v>
      </c>
      <c r="F557" s="162" t="inlineStr">
        <is>
          <t>JAIR RIVEROS</t>
        </is>
      </c>
      <c r="G557" s="162" t="n">
        <v>2800</v>
      </c>
      <c r="H557" s="162" t="n">
        <v>2792</v>
      </c>
      <c r="I557" s="162" t="n">
        <v>1</v>
      </c>
      <c r="J557" s="162" t="n">
        <v>18</v>
      </c>
      <c r="K557" s="162" t="n">
        <v>11</v>
      </c>
      <c r="L557" s="241" t="n">
        <v>2800</v>
      </c>
      <c r="M557" s="113" t="n"/>
      <c r="N557" s="113" t="n"/>
      <c r="O557" s="113" t="n"/>
      <c r="P557" s="398" t="n"/>
      <c r="Q557" s="398" t="n"/>
      <c r="R557" s="113" t="n"/>
      <c r="S557" s="113" t="n"/>
      <c r="T557" s="113" t="n"/>
      <c r="U557" s="113" t="n"/>
      <c r="V557" s="113" t="n"/>
    </row>
    <row r="558" ht="15.75" customHeight="1">
      <c r="A558" s="398" t="n">
        <v>11</v>
      </c>
      <c r="B558" s="238" t="n"/>
      <c r="C558" s="399" t="n">
        <v>46093</v>
      </c>
      <c r="D558" s="162" t="inlineStr">
        <is>
          <t>218 G. SAN JOSE 1</t>
        </is>
      </c>
      <c r="E558" s="162" t="n">
        <v>46701</v>
      </c>
      <c r="F558" s="162" t="inlineStr">
        <is>
          <t>JHON ARIAS</t>
        </is>
      </c>
      <c r="G558" s="162" t="n">
        <v>2800</v>
      </c>
      <c r="H558" s="162" t="n">
        <v>2787</v>
      </c>
      <c r="I558" s="162" t="n">
        <v>2</v>
      </c>
      <c r="J558" s="162" t="n">
        <v>18</v>
      </c>
      <c r="K558" s="162" t="n">
        <v>7</v>
      </c>
      <c r="L558" s="241" t="n">
        <v>2800</v>
      </c>
      <c r="M558" s="113" t="n"/>
      <c r="N558" s="113" t="n"/>
      <c r="O558" s="113" t="n"/>
      <c r="P558" s="398" t="n"/>
      <c r="Q558" s="398" t="n"/>
      <c r="R558" s="113" t="n"/>
      <c r="S558" s="113" t="n"/>
      <c r="T558" s="113" t="n"/>
      <c r="U558" s="113" t="n"/>
      <c r="V558" s="113" t="n"/>
    </row>
    <row r="559" ht="15.75" customHeight="1">
      <c r="A559" s="398" t="n">
        <v>11</v>
      </c>
      <c r="B559" s="238" t="n"/>
      <c r="C559" s="399" t="n">
        <v>46093</v>
      </c>
      <c r="D559" s="162" t="inlineStr">
        <is>
          <t>218 G. SAN JOSE 1</t>
        </is>
      </c>
      <c r="E559" s="162" t="n">
        <v>46702</v>
      </c>
      <c r="F559" s="162" t="inlineStr">
        <is>
          <t>JOSE SOLER</t>
        </is>
      </c>
      <c r="G559" s="162" t="n">
        <v>2800</v>
      </c>
      <c r="H559" s="162" t="n">
        <v>2793</v>
      </c>
      <c r="I559" s="162" t="n">
        <v>2</v>
      </c>
      <c r="J559" s="162" t="n">
        <v>5</v>
      </c>
      <c r="K559" s="162" t="n">
        <v>0</v>
      </c>
      <c r="L559" s="241" t="n">
        <v>2800</v>
      </c>
      <c r="M559" s="113" t="n"/>
      <c r="N559" s="113" t="n"/>
      <c r="O559" s="113" t="n"/>
      <c r="P559" s="398" t="n"/>
      <c r="Q559" s="398" t="n"/>
      <c r="R559" s="113" t="n"/>
      <c r="S559" s="113" t="n"/>
      <c r="T559" s="113" t="n"/>
      <c r="U559" s="113" t="n"/>
      <c r="V559" s="113" t="n"/>
    </row>
    <row r="560" ht="15.75" customHeight="1">
      <c r="A560" s="398" t="n">
        <v>11</v>
      </c>
      <c r="B560" s="238" t="n"/>
      <c r="C560" s="399" t="n">
        <v>46093</v>
      </c>
      <c r="D560" s="162" t="inlineStr">
        <is>
          <t>218 G. SAN JOSE 1</t>
        </is>
      </c>
      <c r="E560" s="162" t="n">
        <v>46703</v>
      </c>
      <c r="F560" s="162" t="inlineStr">
        <is>
          <t>ALEX GOMEZ</t>
        </is>
      </c>
      <c r="G560" s="162" t="n">
        <v>2000</v>
      </c>
      <c r="H560" s="162" t="n">
        <v>2166</v>
      </c>
      <c r="I560" s="162" t="n">
        <v>1</v>
      </c>
      <c r="J560" s="162" t="n">
        <v>4</v>
      </c>
      <c r="K560" s="162" t="n">
        <v>171</v>
      </c>
      <c r="L560" s="241" t="n">
        <v>2000</v>
      </c>
      <c r="M560" s="113" t="n"/>
      <c r="N560" s="113" t="n"/>
      <c r="O560" s="113" t="n"/>
      <c r="P560" s="398" t="n"/>
      <c r="Q560" s="398" t="n"/>
      <c r="R560" s="113" t="n"/>
      <c r="S560" s="113" t="n"/>
      <c r="T560" s="113" t="n"/>
      <c r="U560" s="113" t="n"/>
      <c r="V560" s="113" t="n"/>
    </row>
    <row r="561" ht="15.75" customHeight="1">
      <c r="A561" s="398" t="n">
        <v>11</v>
      </c>
      <c r="B561" s="238" t="n"/>
      <c r="C561" s="399" t="n">
        <v>46093</v>
      </c>
      <c r="D561" s="162" t="inlineStr">
        <is>
          <t>218 G. SAN JOSE 1</t>
        </is>
      </c>
      <c r="E561" s="162" t="n">
        <v>46704</v>
      </c>
      <c r="F561" s="162" t="inlineStr">
        <is>
          <t>FABIO ALDANA</t>
        </is>
      </c>
      <c r="G561" s="162" t="n">
        <v>1260</v>
      </c>
      <c r="H561" s="162" t="n">
        <v>1275</v>
      </c>
      <c r="I561" s="162" t="n">
        <v>0</v>
      </c>
      <c r="J561" s="162" t="n">
        <v>3</v>
      </c>
      <c r="K561" s="162" t="n">
        <v>18</v>
      </c>
      <c r="L561" s="241" t="n">
        <v>1260</v>
      </c>
      <c r="M561" s="113" t="n"/>
      <c r="N561" s="113" t="n"/>
      <c r="O561" s="113" t="n"/>
      <c r="P561" s="398" t="n"/>
      <c r="Q561" s="398" t="n"/>
      <c r="R561" s="113" t="n"/>
      <c r="S561" s="113" t="n"/>
      <c r="T561" s="113" t="n"/>
      <c r="U561" s="113" t="n"/>
      <c r="V561" s="113" t="n"/>
    </row>
    <row r="562" ht="15.75" customHeight="1">
      <c r="A562" s="398" t="n">
        <v>11</v>
      </c>
      <c r="B562" s="238" t="n"/>
      <c r="C562" s="164" t="n">
        <v>46094</v>
      </c>
      <c r="D562" s="165" t="inlineStr">
        <is>
          <t xml:space="preserve">202 G. HUERTAS </t>
        </is>
      </c>
      <c r="E562" s="165" t="n">
        <v>46721</v>
      </c>
      <c r="F562" s="165" t="inlineStr">
        <is>
          <t>JHON ARIAS</t>
        </is>
      </c>
      <c r="G562" s="165" t="n">
        <v>3380</v>
      </c>
      <c r="H562" s="165" t="n">
        <v>3383</v>
      </c>
      <c r="I562" s="165" t="n">
        <v>2</v>
      </c>
      <c r="J562" s="165" t="n">
        <v>5</v>
      </c>
      <c r="K562" s="165" t="n">
        <v>10</v>
      </c>
      <c r="L562" s="241" t="n">
        <v>3380</v>
      </c>
      <c r="M562" s="113" t="n"/>
      <c r="N562" s="113" t="n"/>
      <c r="O562" s="113" t="n"/>
      <c r="P562" s="398" t="n"/>
      <c r="Q562" s="398" t="n"/>
      <c r="R562" s="113" t="n"/>
      <c r="S562" s="113" t="n"/>
      <c r="T562" s="113" t="n"/>
      <c r="U562" s="113" t="n"/>
      <c r="V562" s="113" t="n"/>
    </row>
    <row r="563" ht="15.75" customHeight="1">
      <c r="A563" s="398" t="n">
        <v>11</v>
      </c>
      <c r="B563" s="238" t="n"/>
      <c r="C563" s="164" t="n">
        <v>46094</v>
      </c>
      <c r="D563" s="165" t="inlineStr">
        <is>
          <t xml:space="preserve">202 G. HUERTAS </t>
        </is>
      </c>
      <c r="E563" s="165" t="n">
        <v>46722</v>
      </c>
      <c r="F563" s="165" t="inlineStr">
        <is>
          <t>ALBERTO LOPEZ</t>
        </is>
      </c>
      <c r="G563" s="165" t="n">
        <v>3380</v>
      </c>
      <c r="H563" s="165" t="n">
        <v>3339</v>
      </c>
      <c r="I563" s="165" t="n">
        <v>5</v>
      </c>
      <c r="J563" s="165" t="n">
        <v>2</v>
      </c>
      <c r="K563" s="165" t="n">
        <v>-34</v>
      </c>
      <c r="L563" s="241" t="n">
        <v>3380</v>
      </c>
      <c r="M563" s="113" t="n"/>
      <c r="N563" s="113" t="n"/>
      <c r="O563" s="113" t="n"/>
      <c r="P563" s="398" t="n"/>
      <c r="Q563" s="398" t="n"/>
      <c r="R563" s="113" t="n"/>
      <c r="S563" s="113" t="n"/>
      <c r="T563" s="113" t="n"/>
      <c r="U563" s="113" t="n"/>
      <c r="V563" s="113" t="n"/>
    </row>
    <row r="564" ht="15.75" customHeight="1">
      <c r="A564" s="398" t="n">
        <v>11</v>
      </c>
      <c r="B564" s="238" t="n"/>
      <c r="C564" s="164" t="n">
        <v>46094</v>
      </c>
      <c r="D564" s="165" t="inlineStr">
        <is>
          <t xml:space="preserve">202 G. HUERTAS </t>
        </is>
      </c>
      <c r="E564" s="165" t="n">
        <v>46723</v>
      </c>
      <c r="F564" s="165" t="inlineStr">
        <is>
          <t>JOSE SOLER</t>
        </is>
      </c>
      <c r="G564" s="165" t="n">
        <v>3380</v>
      </c>
      <c r="H564" s="165" t="n">
        <v>3318</v>
      </c>
      <c r="I564" s="165" t="n">
        <v>1</v>
      </c>
      <c r="J564" s="165" t="n">
        <v>1</v>
      </c>
      <c r="K564" s="165" t="n">
        <v>-60</v>
      </c>
      <c r="L564" s="241" t="n">
        <v>3380</v>
      </c>
      <c r="M564" s="113" t="n"/>
      <c r="N564" s="113" t="n"/>
      <c r="O564" s="113" t="n"/>
      <c r="P564" s="398" t="n"/>
      <c r="Q564" s="398" t="n"/>
      <c r="R564" s="113" t="n"/>
      <c r="S564" s="113" t="n"/>
      <c r="T564" s="113" t="n"/>
      <c r="U564" s="113" t="n"/>
      <c r="V564" s="113" t="n"/>
    </row>
    <row r="565" ht="15.75" customHeight="1">
      <c r="A565" s="398" t="n">
        <v>11</v>
      </c>
      <c r="B565" s="238" t="n"/>
      <c r="C565" s="164" t="n">
        <v>46094</v>
      </c>
      <c r="D565" s="165" t="inlineStr">
        <is>
          <t xml:space="preserve">202 G. HUERTAS </t>
        </is>
      </c>
      <c r="E565" s="165" t="n">
        <v>46724</v>
      </c>
      <c r="F565" s="165" t="inlineStr">
        <is>
          <t>ALBERTO HERRERA</t>
        </is>
      </c>
      <c r="G565" s="165" t="n">
        <v>3380</v>
      </c>
      <c r="H565" s="165" t="n">
        <v>3350</v>
      </c>
      <c r="I565" s="165" t="n">
        <v>7</v>
      </c>
      <c r="J565" s="165" t="n">
        <v>4</v>
      </c>
      <c r="K565" s="165" t="n">
        <v>-19</v>
      </c>
      <c r="L565" s="395" t="n">
        <v>3380</v>
      </c>
      <c r="M565" s="395" t="n"/>
      <c r="N565" s="113" t="n"/>
      <c r="O565" s="113" t="n"/>
      <c r="P565" s="398" t="n"/>
      <c r="Q565" s="398" t="n"/>
      <c r="R565" s="113" t="n"/>
      <c r="S565" s="113" t="n"/>
      <c r="T565" s="113" t="n"/>
      <c r="U565" s="113" t="n"/>
      <c r="V565" s="113" t="n"/>
    </row>
    <row r="566" ht="15.75" customHeight="1">
      <c r="A566" s="398" t="n">
        <v>11</v>
      </c>
      <c r="B566" s="238" t="n"/>
      <c r="C566" s="164" t="n">
        <v>46094</v>
      </c>
      <c r="D566" s="165" t="inlineStr">
        <is>
          <t xml:space="preserve">202 G. HUERTAS </t>
        </is>
      </c>
      <c r="E566" s="165" t="n">
        <v>46725</v>
      </c>
      <c r="F566" s="165" t="inlineStr">
        <is>
          <t>WILMER PIÑEROS</t>
        </is>
      </c>
      <c r="G566" s="165" t="n">
        <v>3380</v>
      </c>
      <c r="H566" s="165" t="n">
        <v>3343</v>
      </c>
      <c r="I566" s="165" t="n">
        <v>4</v>
      </c>
      <c r="J566" s="165" t="n">
        <v>2</v>
      </c>
      <c r="K566" s="165" t="n">
        <v>-31</v>
      </c>
      <c r="L566" s="241" t="n">
        <v>3380</v>
      </c>
      <c r="M566" s="113" t="n"/>
      <c r="N566" s="113" t="n"/>
      <c r="O566" s="113" t="n"/>
      <c r="P566" s="398" t="n"/>
      <c r="Q566" s="398" t="n"/>
      <c r="R566" s="113" t="n"/>
      <c r="S566" s="113" t="n"/>
      <c r="T566" s="113" t="n"/>
      <c r="U566" s="113" t="n"/>
      <c r="V566" s="113" t="n"/>
    </row>
    <row r="567" ht="15.75" customHeight="1">
      <c r="A567" s="398" t="n">
        <v>11</v>
      </c>
      <c r="B567" s="238" t="n"/>
      <c r="C567" s="399" t="n">
        <v>46095</v>
      </c>
      <c r="D567" s="162" t="inlineStr">
        <is>
          <t xml:space="preserve">219 G. SAN JOSE 2 </t>
        </is>
      </c>
      <c r="E567" s="162" t="n">
        <v>46737</v>
      </c>
      <c r="F567" s="162" t="inlineStr">
        <is>
          <t>MANUEL QUITIAN</t>
        </is>
      </c>
      <c r="G567" s="162" t="n">
        <v>3564</v>
      </c>
      <c r="H567" s="162" t="n">
        <v>3559</v>
      </c>
      <c r="I567" s="162" t="n">
        <v>7</v>
      </c>
      <c r="J567" s="162" t="n">
        <v>5</v>
      </c>
      <c r="K567" s="162" t="n">
        <v>7</v>
      </c>
      <c r="L567" s="241" t="n">
        <v>3564</v>
      </c>
      <c r="M567" s="113" t="n"/>
      <c r="N567" s="113" t="n"/>
      <c r="O567" s="113" t="n"/>
      <c r="P567" s="398" t="n"/>
      <c r="Q567" s="398" t="n"/>
      <c r="R567" s="113" t="n"/>
      <c r="S567" s="113" t="n"/>
      <c r="T567" s="113" t="n"/>
      <c r="U567" s="113" t="n"/>
      <c r="V567" s="113" t="n"/>
    </row>
    <row r="568" ht="15.75" customHeight="1">
      <c r="A568" s="398" t="n">
        <v>11</v>
      </c>
      <c r="B568" s="238" t="n"/>
      <c r="C568" s="399" t="n">
        <v>46095</v>
      </c>
      <c r="D568" s="162" t="inlineStr">
        <is>
          <t xml:space="preserve">219 G. SAN JOSE 2 </t>
        </is>
      </c>
      <c r="E568" s="162" t="n">
        <v>46738</v>
      </c>
      <c r="F568" s="162" t="inlineStr">
        <is>
          <t>JOSE SOLER</t>
        </is>
      </c>
      <c r="G568" s="162" t="n">
        <v>3978</v>
      </c>
      <c r="H568" s="162" t="n">
        <v>3818</v>
      </c>
      <c r="I568" s="162" t="n">
        <v>3</v>
      </c>
      <c r="J568" s="162" t="n">
        <v>8</v>
      </c>
      <c r="K568" s="162" t="n">
        <v>-149</v>
      </c>
      <c r="L568" s="241" t="n">
        <v>3978</v>
      </c>
      <c r="M568" s="113" t="n"/>
      <c r="N568" s="113" t="n"/>
      <c r="O568" s="113" t="n"/>
      <c r="P568" s="398" t="n"/>
      <c r="Q568" s="398" t="n"/>
      <c r="R568" s="113" t="n"/>
      <c r="S568" s="113" t="n"/>
      <c r="T568" s="113" t="n"/>
      <c r="U568" s="113" t="n"/>
      <c r="V568" s="113" t="n"/>
    </row>
    <row r="569" ht="15.75" customHeight="1">
      <c r="A569" s="398" t="n">
        <v>11</v>
      </c>
      <c r="B569" s="238" t="n"/>
      <c r="C569" s="399" t="n">
        <v>46095</v>
      </c>
      <c r="D569" s="162" t="inlineStr">
        <is>
          <t xml:space="preserve">219 G. SAN JOSE 2 </t>
        </is>
      </c>
      <c r="E569" s="162" t="n">
        <v>46739</v>
      </c>
      <c r="F569" s="162" t="inlineStr">
        <is>
          <t xml:space="preserve">HENRY ROMERO </t>
        </is>
      </c>
      <c r="G569" s="162" t="n">
        <v>2900</v>
      </c>
      <c r="H569" s="162" t="n">
        <v>2890</v>
      </c>
      <c r="I569" s="162" t="n">
        <v>7</v>
      </c>
      <c r="J569" s="162" t="n">
        <v>10</v>
      </c>
      <c r="K569" s="162" t="n">
        <v>7</v>
      </c>
      <c r="L569" s="241" t="n">
        <v>2900</v>
      </c>
      <c r="M569" s="113" t="n"/>
      <c r="N569" s="113" t="n"/>
      <c r="O569" s="113" t="n"/>
      <c r="P569" s="398" t="n"/>
      <c r="Q569" s="398" t="n"/>
      <c r="R569" s="113" t="n"/>
      <c r="S569" s="113" t="n"/>
      <c r="T569" s="113" t="n"/>
      <c r="U569" s="113" t="n"/>
      <c r="V569" s="113" t="n"/>
    </row>
    <row r="570" ht="15.75" customHeight="1">
      <c r="A570" s="398" t="n">
        <v>11</v>
      </c>
      <c r="B570" s="238" t="n"/>
      <c r="C570" s="399" t="n">
        <v>46095</v>
      </c>
      <c r="D570" s="162" t="inlineStr">
        <is>
          <t xml:space="preserve">219 G. SAN JOSE 2 </t>
        </is>
      </c>
      <c r="E570" s="162" t="n">
        <v>46740</v>
      </c>
      <c r="F570" s="162" t="inlineStr">
        <is>
          <t>DUMAR ANGARITA</t>
        </is>
      </c>
      <c r="G570" s="162" t="n">
        <v>2900</v>
      </c>
      <c r="H570" s="162" t="n">
        <v>2890</v>
      </c>
      <c r="I570" s="162" t="n">
        <v>16</v>
      </c>
      <c r="J570" s="162" t="n">
        <v>10</v>
      </c>
      <c r="K570" s="162" t="n">
        <v>16</v>
      </c>
      <c r="L570" s="241" t="n">
        <v>2900</v>
      </c>
      <c r="M570" s="113" t="n"/>
      <c r="N570" s="113" t="n"/>
      <c r="O570" s="113" t="n"/>
      <c r="P570" s="398" t="n"/>
      <c r="Q570" s="398" t="n"/>
      <c r="R570" s="113" t="n"/>
      <c r="S570" s="113" t="n"/>
      <c r="T570" s="113" t="n"/>
      <c r="U570" s="113" t="n"/>
      <c r="V570" s="113" t="n"/>
    </row>
    <row r="571" ht="15.75" customHeight="1">
      <c r="A571" s="398" t="n">
        <v>11</v>
      </c>
      <c r="B571" s="238" t="n"/>
      <c r="C571" s="399" t="n">
        <v>46095</v>
      </c>
      <c r="D571" s="162" t="inlineStr">
        <is>
          <t xml:space="preserve">219 G. SAN JOSE 2 </t>
        </is>
      </c>
      <c r="E571" s="162" t="n">
        <v>46741</v>
      </c>
      <c r="F571" s="162" t="inlineStr">
        <is>
          <t>ALBERTO LOPEZ</t>
        </is>
      </c>
      <c r="G571" s="162" t="n">
        <v>2900</v>
      </c>
      <c r="H571" s="162" t="n">
        <v>2857</v>
      </c>
      <c r="I571" s="162" t="n">
        <v>4</v>
      </c>
      <c r="J571" s="162" t="n">
        <v>3</v>
      </c>
      <c r="K571" s="162" t="n">
        <v>-36</v>
      </c>
      <c r="L571" s="241" t="n">
        <v>2900</v>
      </c>
      <c r="M571" s="113" t="n"/>
      <c r="N571" s="113" t="n"/>
      <c r="O571" s="113" t="n"/>
      <c r="P571" s="398" t="n"/>
      <c r="Q571" s="398" t="n"/>
      <c r="R571" s="113" t="n"/>
      <c r="S571" s="113" t="n"/>
      <c r="T571" s="113" t="n"/>
      <c r="U571" s="113" t="n"/>
      <c r="V571" s="113" t="n"/>
    </row>
    <row r="572" ht="15.75" customHeight="1">
      <c r="A572" s="398" t="n">
        <v>11</v>
      </c>
      <c r="B572" s="238" t="n"/>
      <c r="C572" s="399" t="n">
        <v>46095</v>
      </c>
      <c r="D572" s="162" t="inlineStr">
        <is>
          <t xml:space="preserve">219 G. SAN JOSE 2 </t>
        </is>
      </c>
      <c r="E572" s="162" t="n">
        <v>46742</v>
      </c>
      <c r="F572" s="162" t="inlineStr">
        <is>
          <t>EDWIN ROJAS</t>
        </is>
      </c>
      <c r="G572" s="162" t="n">
        <v>2900</v>
      </c>
      <c r="H572" s="162" t="n">
        <v>2821</v>
      </c>
      <c r="I572" s="162" t="n">
        <v>4</v>
      </c>
      <c r="J572" s="162" t="n">
        <v>2</v>
      </c>
      <c r="K572" s="162" t="n">
        <v>-73</v>
      </c>
      <c r="L572" s="241" t="n">
        <v>2900</v>
      </c>
      <c r="M572" s="113" t="n"/>
      <c r="N572" s="113" t="n"/>
      <c r="O572" s="113" t="n"/>
      <c r="P572" s="398" t="n"/>
      <c r="Q572" s="398" t="n"/>
      <c r="R572" s="113" t="n"/>
      <c r="S572" s="113" t="n"/>
      <c r="T572" s="113" t="n"/>
      <c r="U572" s="113" t="n"/>
      <c r="V572" s="113" t="n"/>
    </row>
    <row r="573" ht="15.75" customHeight="1">
      <c r="A573" s="398" t="n">
        <v>11</v>
      </c>
      <c r="B573" s="238" t="n"/>
      <c r="C573" s="399" t="n">
        <v>46095</v>
      </c>
      <c r="D573" s="162" t="inlineStr">
        <is>
          <t xml:space="preserve">219 G. SAN JOSE 2 </t>
        </is>
      </c>
      <c r="E573" s="162" t="n">
        <v>46743</v>
      </c>
      <c r="F573" s="162" t="inlineStr">
        <is>
          <t>ALEX GOMEZ</t>
        </is>
      </c>
      <c r="G573" s="162" t="n">
        <v>2900</v>
      </c>
      <c r="H573" s="162" t="n">
        <v>2901</v>
      </c>
      <c r="I573" s="162" t="n">
        <v>4</v>
      </c>
      <c r="J573" s="162" t="n">
        <v>3</v>
      </c>
      <c r="K573" s="162" t="n">
        <v>8</v>
      </c>
      <c r="L573" s="241" t="n">
        <v>2900</v>
      </c>
      <c r="M573" s="113" t="n"/>
      <c r="N573" s="113" t="n"/>
      <c r="O573" s="113" t="n"/>
      <c r="P573" s="398" t="n"/>
      <c r="Q573" s="398" t="n"/>
      <c r="R573" s="113" t="n"/>
      <c r="S573" s="113" t="n"/>
      <c r="T573" s="113" t="n"/>
      <c r="U573" s="113" t="n"/>
      <c r="V573" s="113" t="n"/>
    </row>
    <row r="574" ht="15.75" customHeight="1">
      <c r="A574" s="398" t="n">
        <v>11</v>
      </c>
      <c r="B574" s="238" t="n"/>
      <c r="C574" s="399" t="n"/>
      <c r="D574" s="162" t="n"/>
      <c r="E574" s="162" t="n"/>
      <c r="F574" s="162" t="n"/>
      <c r="G574" s="530">
        <f>SUBTOTAL(9,G534:G573)</f>
        <v/>
      </c>
      <c r="H574" s="530">
        <f>SUBTOTAL(9,H534:H573)</f>
        <v/>
      </c>
      <c r="I574" s="530">
        <f>SUBTOTAL(9,I534:I573)</f>
        <v/>
      </c>
      <c r="J574" s="530">
        <f>SUBTOTAL(9,J534:J573)</f>
        <v/>
      </c>
      <c r="K574" s="530">
        <f>SUBTOTAL(9,K534:K573)</f>
        <v/>
      </c>
      <c r="L574" s="530">
        <f>SUBTOTAL(9,L534:L573)</f>
        <v/>
      </c>
      <c r="M574" s="530">
        <f>L574-H574</f>
        <v/>
      </c>
      <c r="N574" s="113" t="n"/>
      <c r="O574" s="113" t="n"/>
      <c r="P574" s="398" t="n"/>
      <c r="Q574" s="398" t="n"/>
      <c r="R574" s="113" t="n"/>
      <c r="S574" s="113" t="n"/>
      <c r="T574" s="113" t="n"/>
      <c r="U574" s="113" t="n"/>
      <c r="V574" s="113" t="n"/>
    </row>
    <row r="575" ht="15.75" customHeight="1">
      <c r="A575" s="398" t="n">
        <v>12</v>
      </c>
      <c r="B575" s="238" t="n"/>
      <c r="C575" s="164" t="n">
        <v>46097</v>
      </c>
      <c r="D575" s="165" t="inlineStr">
        <is>
          <t xml:space="preserve">202 G. HUERTAS </t>
        </is>
      </c>
      <c r="E575" s="165" t="n">
        <v>46751</v>
      </c>
      <c r="F575" s="165" t="inlineStr">
        <is>
          <t>MANUEL QUITIAN</t>
        </is>
      </c>
      <c r="G575" s="165" t="n">
        <v>3240</v>
      </c>
      <c r="H575" s="165" t="n">
        <v>3230</v>
      </c>
      <c r="I575" s="165" t="n">
        <v>2</v>
      </c>
      <c r="J575" s="165" t="n">
        <v>10</v>
      </c>
      <c r="K575" s="165" t="n">
        <v>2</v>
      </c>
      <c r="L575" s="162" t="n">
        <v>3240</v>
      </c>
      <c r="M575" s="162" t="n"/>
      <c r="N575" s="113" t="n"/>
      <c r="O575" s="113" t="n"/>
      <c r="P575" s="398" t="n"/>
      <c r="Q575" s="398" t="n"/>
      <c r="R575" s="113" t="n"/>
      <c r="S575" s="113" t="n"/>
      <c r="T575" s="113" t="n"/>
      <c r="U575" s="113" t="n"/>
      <c r="V575" s="113" t="n"/>
    </row>
    <row r="576" ht="15.75" customHeight="1">
      <c r="A576" s="398" t="n">
        <v>12</v>
      </c>
      <c r="B576" s="238" t="n"/>
      <c r="C576" s="164" t="n">
        <v>46097</v>
      </c>
      <c r="D576" s="165" t="inlineStr">
        <is>
          <t xml:space="preserve">202 G. HUERTAS </t>
        </is>
      </c>
      <c r="E576" s="165" t="n">
        <v>46752</v>
      </c>
      <c r="F576" s="165" t="inlineStr">
        <is>
          <t xml:space="preserve">DIEGO NIÑO </t>
        </is>
      </c>
      <c r="G576" s="165" t="n">
        <v>3400</v>
      </c>
      <c r="H576" s="165" t="n">
        <v>3382</v>
      </c>
      <c r="I576" s="165" t="n">
        <v>2</v>
      </c>
      <c r="J576" s="165" t="n">
        <v>7</v>
      </c>
      <c r="K576" s="165" t="n">
        <v>-9</v>
      </c>
      <c r="L576" s="162" t="n">
        <v>3400</v>
      </c>
      <c r="M576" s="162" t="n"/>
      <c r="N576" s="113" t="n"/>
      <c r="O576" s="113" t="n"/>
      <c r="P576" s="398" t="n"/>
      <c r="Q576" s="398" t="n"/>
      <c r="R576" s="113" t="n"/>
      <c r="S576" s="113" t="n"/>
      <c r="T576" s="113" t="n"/>
      <c r="U576" s="113" t="n"/>
      <c r="V576" s="113" t="n"/>
    </row>
    <row r="577" ht="15.75" customHeight="1">
      <c r="A577" s="398" t="n">
        <v>12</v>
      </c>
      <c r="B577" s="238" t="n"/>
      <c r="C577" s="164" t="n">
        <v>46097</v>
      </c>
      <c r="D577" s="165" t="inlineStr">
        <is>
          <t xml:space="preserve">202 G. HUERTAS </t>
        </is>
      </c>
      <c r="E577" s="165" t="n">
        <v>46753</v>
      </c>
      <c r="F577" s="165" t="inlineStr">
        <is>
          <t>FERNANDO OYUELA</t>
        </is>
      </c>
      <c r="G577" s="165" t="n">
        <v>3564</v>
      </c>
      <c r="H577" s="165" t="n">
        <v>3519</v>
      </c>
      <c r="I577" s="165" t="n">
        <v>7</v>
      </c>
      <c r="J577" s="165" t="n">
        <v>7</v>
      </c>
      <c r="K577" s="165" t="n">
        <v>-31</v>
      </c>
      <c r="L577" s="162" t="n">
        <v>3564</v>
      </c>
      <c r="M577" s="162" t="n"/>
      <c r="N577" s="113" t="n"/>
      <c r="O577" s="113" t="n"/>
      <c r="P577" s="398" t="n"/>
      <c r="Q577" s="398" t="n"/>
      <c r="R577" s="113" t="n"/>
      <c r="S577" s="113" t="n"/>
      <c r="T577" s="113" t="n"/>
      <c r="U577" s="113" t="n"/>
      <c r="V577" s="113" t="n"/>
    </row>
    <row r="578" ht="15.75" customHeight="1">
      <c r="A578" s="398" t="n">
        <v>12</v>
      </c>
      <c r="B578" s="238" t="n"/>
      <c r="C578" s="399" t="n">
        <v>46097</v>
      </c>
      <c r="D578" s="162" t="inlineStr">
        <is>
          <t>218 G. SAN JOSE 1</t>
        </is>
      </c>
      <c r="E578" s="162" t="n">
        <v>46754</v>
      </c>
      <c r="F578" s="162" t="inlineStr">
        <is>
          <t>ALBERTO LOPEZ</t>
        </is>
      </c>
      <c r="G578" s="162" t="n">
        <v>2780</v>
      </c>
      <c r="H578" s="162" t="n">
        <v>2773</v>
      </c>
      <c r="I578" s="162" t="n">
        <v>3</v>
      </c>
      <c r="J578" s="162" t="n">
        <v>4</v>
      </c>
      <c r="K578" s="162" t="n">
        <v>0</v>
      </c>
      <c r="L578" s="241" t="n">
        <v>2780</v>
      </c>
      <c r="M578" s="162" t="n"/>
      <c r="N578" s="113" t="n"/>
      <c r="O578" s="113" t="n"/>
      <c r="P578" s="398" t="n"/>
      <c r="Q578" s="398" t="n"/>
      <c r="R578" s="113" t="n"/>
      <c r="S578" s="113" t="n"/>
      <c r="T578" s="113" t="n"/>
      <c r="U578" s="113" t="n"/>
      <c r="V578" s="113" t="n"/>
    </row>
    <row r="579" ht="15.75" customHeight="1">
      <c r="A579" s="398" t="n">
        <v>12</v>
      </c>
      <c r="B579" s="238" t="n"/>
      <c r="C579" s="399" t="n">
        <v>46097</v>
      </c>
      <c r="D579" s="162" t="inlineStr">
        <is>
          <t>218 G. SAN JOSE 1</t>
        </is>
      </c>
      <c r="E579" s="162" t="n">
        <v>46755</v>
      </c>
      <c r="F579" s="162" t="inlineStr">
        <is>
          <t>DUMAR ANGARITA</t>
        </is>
      </c>
      <c r="G579" s="162" t="n">
        <v>2780</v>
      </c>
      <c r="H579" s="162" t="n">
        <v>2770</v>
      </c>
      <c r="I579" s="162" t="n">
        <v>2</v>
      </c>
      <c r="J579" s="162" t="n">
        <v>6</v>
      </c>
      <c r="K579" s="162" t="n">
        <v>-2</v>
      </c>
      <c r="L579" s="241" t="n">
        <v>2780</v>
      </c>
      <c r="M579" s="162" t="n"/>
      <c r="N579" s="113" t="n"/>
      <c r="O579" s="113" t="n"/>
      <c r="P579" s="398" t="n"/>
      <c r="Q579" s="398" t="n"/>
      <c r="R579" s="113" t="n"/>
      <c r="S579" s="113" t="n"/>
      <c r="T579" s="113" t="n"/>
      <c r="U579" s="113" t="n"/>
      <c r="V579" s="113" t="n"/>
    </row>
    <row r="580" ht="15.75" customHeight="1">
      <c r="A580" s="398" t="n">
        <v>12</v>
      </c>
      <c r="B580" s="238" t="n"/>
      <c r="C580" s="399" t="n">
        <v>46097</v>
      </c>
      <c r="D580" s="162" t="inlineStr">
        <is>
          <t>218 G. SAN JOSE 1</t>
        </is>
      </c>
      <c r="E580" s="162" t="n">
        <v>46756</v>
      </c>
      <c r="F580" s="162" t="inlineStr">
        <is>
          <t>ALEX GOMEZ</t>
        </is>
      </c>
      <c r="G580" s="162" t="n">
        <v>2780</v>
      </c>
      <c r="H580" s="162" t="n">
        <v>2775</v>
      </c>
      <c r="I580" s="162" t="n">
        <v>2</v>
      </c>
      <c r="J580" s="162" t="n">
        <v>3</v>
      </c>
      <c r="K580" s="162" t="n">
        <v>0</v>
      </c>
      <c r="L580" s="241" t="n">
        <v>2880</v>
      </c>
      <c r="M580" s="162" t="n"/>
      <c r="N580" s="113" t="n"/>
      <c r="O580" s="113" t="n"/>
      <c r="P580" s="398" t="n"/>
      <c r="Q580" s="398" t="n"/>
      <c r="R580" s="113" t="n"/>
      <c r="S580" s="113" t="n"/>
      <c r="T580" s="113" t="n"/>
      <c r="U580" s="113" t="n"/>
      <c r="V580" s="113" t="n"/>
    </row>
    <row r="581" ht="15.75" customHeight="1">
      <c r="A581" s="398" t="n">
        <v>12</v>
      </c>
      <c r="B581" s="238" t="n"/>
      <c r="C581" s="399" t="n">
        <v>46097</v>
      </c>
      <c r="D581" s="162" t="inlineStr">
        <is>
          <t>218 G. SAN JOSE 1</t>
        </is>
      </c>
      <c r="E581" s="162" t="n">
        <v>46757</v>
      </c>
      <c r="F581" s="162" t="inlineStr">
        <is>
          <t>MANUEL QUITIAN</t>
        </is>
      </c>
      <c r="G581" s="162" t="n">
        <v>2780</v>
      </c>
      <c r="H581" s="162" t="n">
        <v>2773</v>
      </c>
      <c r="I581" s="162" t="n">
        <v>3</v>
      </c>
      <c r="J581" s="162" t="n">
        <v>2</v>
      </c>
      <c r="K581" s="162" t="n">
        <v>-2</v>
      </c>
      <c r="L581" s="241" t="n">
        <v>2880</v>
      </c>
      <c r="M581" s="516" t="n"/>
      <c r="N581" s="113" t="n"/>
      <c r="O581" s="113" t="n"/>
      <c r="P581" s="398" t="n"/>
      <c r="Q581" s="398" t="n"/>
      <c r="R581" s="113" t="n"/>
      <c r="S581" s="113" t="n"/>
      <c r="T581" s="113" t="n"/>
      <c r="U581" s="113" t="n"/>
      <c r="V581" s="113" t="n"/>
    </row>
    <row r="582" ht="15.75" customHeight="1">
      <c r="A582" s="398" t="n">
        <v>12</v>
      </c>
      <c r="B582" s="238" t="n"/>
      <c r="C582" s="164" t="n">
        <v>46098</v>
      </c>
      <c r="D582" s="165" t="inlineStr">
        <is>
          <t xml:space="preserve">202 G. HUERTAS </t>
        </is>
      </c>
      <c r="E582" s="165" t="n">
        <v>46772</v>
      </c>
      <c r="F582" s="165" t="inlineStr">
        <is>
          <t xml:space="preserve">HENRY ROMERO </t>
        </is>
      </c>
      <c r="G582" s="165" t="n">
        <v>3444</v>
      </c>
      <c r="H582" s="165" t="n">
        <v>3433</v>
      </c>
      <c r="I582" s="165" t="n">
        <v>3</v>
      </c>
      <c r="J582" s="165" t="n">
        <v>7</v>
      </c>
      <c r="K582" s="165" t="n">
        <v>-1</v>
      </c>
      <c r="L582" s="241" t="n">
        <v>3444</v>
      </c>
      <c r="M582" s="162" t="n"/>
      <c r="N582" s="113" t="n"/>
      <c r="O582" s="113" t="n"/>
      <c r="P582" s="398" t="n"/>
      <c r="Q582" s="398" t="n"/>
      <c r="R582" s="113" t="n"/>
      <c r="S582" s="113" t="n"/>
      <c r="T582" s="113" t="n"/>
      <c r="U582" s="113" t="n"/>
      <c r="V582" s="113" t="n"/>
    </row>
    <row r="583" ht="15.75" customHeight="1">
      <c r="A583" s="398" t="n">
        <v>12</v>
      </c>
      <c r="B583" s="238" t="n"/>
      <c r="C583" s="164" t="n">
        <v>46098</v>
      </c>
      <c r="D583" s="165" t="inlineStr">
        <is>
          <t xml:space="preserve">202 G. HUERTAS </t>
        </is>
      </c>
      <c r="E583" s="165" t="n">
        <v>46773</v>
      </c>
      <c r="F583" s="165" t="inlineStr">
        <is>
          <t>ALEXANDER CHAGUALA</t>
        </is>
      </c>
      <c r="G583" s="165" t="n">
        <v>3600</v>
      </c>
      <c r="H583" s="165" t="n">
        <v>3593</v>
      </c>
      <c r="I583" s="165" t="n">
        <v>1</v>
      </c>
      <c r="J583" s="165" t="n">
        <v>5</v>
      </c>
      <c r="K583" s="165" t="n">
        <v>-1</v>
      </c>
      <c r="L583" s="241" t="n">
        <v>3600</v>
      </c>
      <c r="M583" s="162" t="n"/>
      <c r="N583" s="113" t="n"/>
      <c r="O583" s="113" t="n"/>
      <c r="P583" s="398" t="n"/>
      <c r="Q583" s="398" t="n"/>
      <c r="R583" s="113" t="n"/>
      <c r="S583" s="113" t="n"/>
      <c r="T583" s="113" t="n"/>
      <c r="U583" s="113" t="n"/>
      <c r="V583" s="113" t="n"/>
    </row>
    <row r="584" ht="15.75" customHeight="1">
      <c r="A584" s="398" t="n">
        <v>12</v>
      </c>
      <c r="B584" s="238" t="n"/>
      <c r="C584" s="164" t="n">
        <v>46098</v>
      </c>
      <c r="D584" s="166" t="inlineStr">
        <is>
          <t xml:space="preserve">202 G. HUERTAS </t>
        </is>
      </c>
      <c r="E584" s="166" t="n">
        <v>46774</v>
      </c>
      <c r="F584" s="166" t="inlineStr">
        <is>
          <t>ROBINSON PULIDO</t>
        </is>
      </c>
      <c r="G584" s="166" t="n">
        <v>3564</v>
      </c>
      <c r="H584" s="166" t="n">
        <v>3556</v>
      </c>
      <c r="I584" s="166" t="n">
        <v>3</v>
      </c>
      <c r="J584" s="166" t="n">
        <v>5</v>
      </c>
      <c r="K584" s="166" t="n">
        <v>0</v>
      </c>
      <c r="L584" s="241" t="n">
        <v>3564</v>
      </c>
      <c r="M584" s="162" t="n"/>
      <c r="N584" s="113" t="n"/>
      <c r="O584" s="113" t="n"/>
      <c r="P584" s="398" t="n"/>
      <c r="Q584" s="398" t="n"/>
      <c r="R584" s="113" t="n"/>
      <c r="S584" s="113" t="n"/>
      <c r="T584" s="113" t="n"/>
      <c r="U584" s="113" t="n"/>
      <c r="V584" s="113" t="n"/>
    </row>
    <row r="585" ht="15.75" customHeight="1">
      <c r="A585" s="398" t="n">
        <v>12</v>
      </c>
      <c r="B585" s="238" t="n"/>
      <c r="C585" s="164" t="n">
        <v>46098</v>
      </c>
      <c r="D585" s="166" t="inlineStr">
        <is>
          <t xml:space="preserve">202 G. HUERTAS </t>
        </is>
      </c>
      <c r="E585" s="166" t="n">
        <v>46775</v>
      </c>
      <c r="F585" s="166" t="inlineStr">
        <is>
          <t>WILMER PIÑEROS</t>
        </is>
      </c>
      <c r="G585" s="166" t="n">
        <v>3166</v>
      </c>
      <c r="H585" s="166" t="n">
        <v>3139</v>
      </c>
      <c r="I585" s="166" t="n">
        <v>1</v>
      </c>
      <c r="J585" s="166" t="n">
        <v>6</v>
      </c>
      <c r="K585" s="166" t="n">
        <v>-20</v>
      </c>
      <c r="L585" s="241" t="n">
        <v>3166</v>
      </c>
      <c r="M585" s="162" t="n"/>
      <c r="N585" s="113" t="n"/>
      <c r="O585" s="113" t="n"/>
      <c r="P585" s="398" t="n"/>
      <c r="Q585" s="398" t="n"/>
      <c r="R585" s="113" t="n"/>
      <c r="S585" s="113" t="n"/>
      <c r="T585" s="113" t="n"/>
      <c r="U585" s="113" t="n"/>
      <c r="V585" s="113" t="n"/>
    </row>
    <row r="586" ht="15.75" customHeight="1">
      <c r="A586" s="398" t="n">
        <v>12</v>
      </c>
      <c r="B586" s="238" t="n"/>
      <c r="C586" s="164" t="n">
        <v>46098</v>
      </c>
      <c r="D586" s="166" t="inlineStr">
        <is>
          <t xml:space="preserve">202 G. HUERTAS </t>
        </is>
      </c>
      <c r="E586" s="166" t="n">
        <v>46776</v>
      </c>
      <c r="F586" s="166" t="inlineStr">
        <is>
          <t>YAIR RIVEROS</t>
        </is>
      </c>
      <c r="G586" s="166" t="n">
        <v>3600</v>
      </c>
      <c r="H586" s="166" t="n">
        <v>3583</v>
      </c>
      <c r="I586" s="166" t="n">
        <v>6</v>
      </c>
      <c r="J586" s="166" t="n">
        <v>7</v>
      </c>
      <c r="K586" s="166" t="n">
        <v>-4</v>
      </c>
      <c r="L586" s="241" t="n">
        <v>3600</v>
      </c>
      <c r="M586" s="162" t="n"/>
      <c r="N586" s="113" t="n"/>
      <c r="O586" s="113" t="n"/>
      <c r="P586" s="398" t="n"/>
      <c r="Q586" s="398" t="n"/>
      <c r="R586" s="113" t="n"/>
      <c r="S586" s="113" t="n"/>
      <c r="T586" s="113" t="n"/>
      <c r="U586" s="113" t="n"/>
      <c r="V586" s="113" t="n"/>
    </row>
    <row r="587" ht="15.75" customHeight="1">
      <c r="A587" s="398" t="n">
        <v>12</v>
      </c>
      <c r="B587" s="238" t="n"/>
      <c r="C587" s="164" t="n">
        <v>46098</v>
      </c>
      <c r="D587" s="166" t="inlineStr">
        <is>
          <t xml:space="preserve">202 G. HUERTAS </t>
        </is>
      </c>
      <c r="E587" s="166" t="n">
        <v>46777</v>
      </c>
      <c r="F587" s="166" t="inlineStr">
        <is>
          <t>FABIO ALDANA</t>
        </is>
      </c>
      <c r="G587" s="166" t="n">
        <v>3590</v>
      </c>
      <c r="H587" s="166" t="n">
        <v>3578</v>
      </c>
      <c r="I587" s="166" t="n">
        <v>7</v>
      </c>
      <c r="J587" s="166" t="n">
        <v>4</v>
      </c>
      <c r="K587" s="166" t="n">
        <v>-1</v>
      </c>
      <c r="L587" s="241" t="n">
        <v>3590</v>
      </c>
      <c r="M587" s="162" t="n"/>
      <c r="N587" s="113" t="n"/>
      <c r="O587" s="113" t="n"/>
      <c r="P587" s="398" t="n"/>
      <c r="Q587" s="398" t="n"/>
      <c r="R587" s="113" t="n"/>
      <c r="S587" s="113" t="n"/>
      <c r="T587" s="113" t="n"/>
      <c r="U587" s="113" t="n"/>
      <c r="V587" s="113" t="n"/>
    </row>
    <row r="588" ht="15.75" customHeight="1">
      <c r="A588" s="398" t="n">
        <v>12</v>
      </c>
      <c r="B588" s="238" t="n"/>
      <c r="C588" s="399" t="n">
        <v>46098</v>
      </c>
      <c r="D588" s="162" t="inlineStr">
        <is>
          <t>218 G. SAN JOSE 1</t>
        </is>
      </c>
      <c r="E588" s="162" t="n">
        <v>46778</v>
      </c>
      <c r="F588" s="162" t="inlineStr">
        <is>
          <t>MANUEL QUITIAN</t>
        </is>
      </c>
      <c r="G588" s="162" t="n">
        <v>3210</v>
      </c>
      <c r="H588" s="162" t="n">
        <v>3191</v>
      </c>
      <c r="I588" s="162" t="n">
        <v>3</v>
      </c>
      <c r="J588" s="162" t="n">
        <v>14</v>
      </c>
      <c r="K588" s="162" t="n">
        <v>-2</v>
      </c>
      <c r="L588" s="241" t="n">
        <v>3210</v>
      </c>
      <c r="M588" s="162" t="n"/>
      <c r="N588" s="113" t="n"/>
      <c r="O588" s="113" t="n"/>
      <c r="P588" s="398" t="n"/>
      <c r="Q588" s="398" t="n"/>
      <c r="R588" s="113" t="n"/>
      <c r="S588" s="113" t="n"/>
      <c r="T588" s="113" t="n"/>
      <c r="U588" s="113" t="n"/>
      <c r="V588" s="113" t="n"/>
    </row>
    <row r="589" ht="15.75" customHeight="1">
      <c r="A589" s="398" t="n">
        <v>12</v>
      </c>
      <c r="B589" s="238" t="n"/>
      <c r="C589" s="399" t="n">
        <v>46098</v>
      </c>
      <c r="D589" s="162" t="inlineStr">
        <is>
          <t>218 G. SAN JOSE 1</t>
        </is>
      </c>
      <c r="E589" s="162" t="n">
        <v>46779</v>
      </c>
      <c r="F589" s="162" t="inlineStr">
        <is>
          <t>ALBERTO HERRERA</t>
        </is>
      </c>
      <c r="G589" s="162" t="n">
        <v>3200</v>
      </c>
      <c r="H589" s="162" t="n">
        <v>3180</v>
      </c>
      <c r="I589" s="162" t="n">
        <v>2</v>
      </c>
      <c r="J589" s="162" t="n">
        <v>13</v>
      </c>
      <c r="K589" s="162" t="n">
        <v>-5</v>
      </c>
      <c r="L589" s="241" t="n">
        <v>3200</v>
      </c>
      <c r="M589" s="162" t="n"/>
      <c r="N589" s="113" t="n"/>
      <c r="O589" s="113" t="n"/>
      <c r="P589" s="398" t="n"/>
      <c r="Q589" s="398" t="n"/>
      <c r="R589" s="113" t="n"/>
      <c r="S589" s="113" t="n"/>
      <c r="T589" s="113" t="n"/>
      <c r="U589" s="113" t="n"/>
      <c r="V589" s="113" t="n"/>
    </row>
    <row r="590" ht="15.75" customHeight="1">
      <c r="A590" s="398" t="n">
        <v>12</v>
      </c>
      <c r="B590" s="238" t="n"/>
      <c r="C590" s="399" t="n">
        <v>46098</v>
      </c>
      <c r="D590" s="162" t="inlineStr">
        <is>
          <t>218 G. SAN JOSE 1</t>
        </is>
      </c>
      <c r="E590" s="162" t="n">
        <v>46780</v>
      </c>
      <c r="F590" s="162" t="inlineStr">
        <is>
          <t>FERNANDO OYUELA</t>
        </is>
      </c>
      <c r="G590" s="162" t="n">
        <v>3200</v>
      </c>
      <c r="H590" s="162" t="n">
        <v>3181</v>
      </c>
      <c r="I590" s="162" t="n">
        <v>3</v>
      </c>
      <c r="J590" s="162" t="n">
        <v>12</v>
      </c>
      <c r="K590" s="162" t="n">
        <v>-4</v>
      </c>
      <c r="L590" s="241" t="n">
        <v>3200</v>
      </c>
      <c r="M590" s="162" t="n"/>
      <c r="N590" s="113" t="n"/>
      <c r="O590" s="113" t="n"/>
      <c r="P590" s="398" t="n"/>
      <c r="Q590" s="398" t="n"/>
      <c r="R590" s="113" t="n"/>
      <c r="S590" s="113" t="n"/>
      <c r="T590" s="113" t="n"/>
      <c r="U590" s="113" t="n"/>
      <c r="V590" s="113" t="n"/>
    </row>
    <row r="591" ht="15.75" customHeight="1">
      <c r="A591" s="398" t="n">
        <v>12</v>
      </c>
      <c r="B591" s="238" t="n"/>
      <c r="C591" s="399" t="n">
        <v>46098</v>
      </c>
      <c r="D591" s="162" t="inlineStr">
        <is>
          <t>218 G. SAN JOSE 1</t>
        </is>
      </c>
      <c r="E591" s="162" t="n">
        <v>46781</v>
      </c>
      <c r="F591" s="162" t="inlineStr">
        <is>
          <t>JHON ARIAS</t>
        </is>
      </c>
      <c r="G591" s="162" t="n">
        <v>3200</v>
      </c>
      <c r="H591" s="162" t="n">
        <v>3177</v>
      </c>
      <c r="I591" s="162" t="n">
        <v>5</v>
      </c>
      <c r="J591" s="162" t="n">
        <v>25</v>
      </c>
      <c r="K591" s="162" t="n">
        <v>7</v>
      </c>
      <c r="L591" s="241" t="n">
        <v>3200</v>
      </c>
      <c r="M591" s="162" t="n"/>
      <c r="N591" s="113" t="n"/>
      <c r="O591" s="113" t="n"/>
      <c r="P591" s="398" t="n"/>
      <c r="Q591" s="398" t="n"/>
      <c r="R591" s="113" t="n"/>
      <c r="S591" s="113" t="n"/>
      <c r="T591" s="113" t="n"/>
      <c r="U591" s="113" t="n"/>
      <c r="V591" s="113" t="n"/>
    </row>
    <row r="592" ht="15.75" customHeight="1">
      <c r="A592" s="398" t="n">
        <v>12</v>
      </c>
      <c r="B592" s="238" t="n"/>
      <c r="C592" s="399" t="n">
        <v>46099</v>
      </c>
      <c r="D592" s="162" t="inlineStr">
        <is>
          <t>218 G. SAN JOSE 1</t>
        </is>
      </c>
      <c r="E592" s="162" t="n">
        <v>46788</v>
      </c>
      <c r="F592" s="162" t="inlineStr">
        <is>
          <t>JOSE SOLER</t>
        </is>
      </c>
      <c r="G592" s="162" t="n">
        <v>3300</v>
      </c>
      <c r="H592" s="162" t="n">
        <v>3267</v>
      </c>
      <c r="I592" s="162" t="n">
        <v>8</v>
      </c>
      <c r="J592" s="162" t="n">
        <v>23</v>
      </c>
      <c r="K592" s="162" t="n">
        <v>-2</v>
      </c>
      <c r="L592" s="241" t="n">
        <v>3300</v>
      </c>
      <c r="M592" s="162" t="n"/>
      <c r="N592" s="113" t="n"/>
      <c r="O592" s="113" t="n"/>
      <c r="P592" s="398" t="n"/>
      <c r="Q592" s="398" t="n"/>
      <c r="R592" s="113" t="n"/>
      <c r="S592" s="113" t="n"/>
      <c r="T592" s="113" t="n"/>
      <c r="U592" s="113" t="n"/>
      <c r="V592" s="113" t="n"/>
    </row>
    <row r="593" ht="15.75" customHeight="1">
      <c r="A593" s="398" t="n">
        <v>12</v>
      </c>
      <c r="B593" s="238" t="n"/>
      <c r="C593" s="399" t="n">
        <v>46099</v>
      </c>
      <c r="D593" s="162" t="inlineStr">
        <is>
          <t>218 G. SAN JOSE 1</t>
        </is>
      </c>
      <c r="E593" s="162" t="n">
        <v>46789</v>
      </c>
      <c r="F593" s="162" t="inlineStr">
        <is>
          <t>DUMAR ANGARITA</t>
        </is>
      </c>
      <c r="G593" s="162" t="n">
        <v>3380</v>
      </c>
      <c r="H593" s="162" t="n">
        <v>3351</v>
      </c>
      <c r="I593" s="162" t="n">
        <v>6</v>
      </c>
      <c r="J593" s="162" t="n">
        <v>24</v>
      </c>
      <c r="K593" s="162" t="n">
        <v>1</v>
      </c>
      <c r="L593" s="241" t="n">
        <v>3380</v>
      </c>
      <c r="M593" s="162" t="n"/>
      <c r="N593" s="113" t="n"/>
      <c r="O593" s="113" t="n"/>
      <c r="P593" s="398" t="n"/>
      <c r="Q593" s="398" t="n"/>
      <c r="R593" s="113" t="n"/>
      <c r="S593" s="113" t="n"/>
      <c r="T593" s="113" t="n"/>
      <c r="U593" s="113" t="n"/>
      <c r="V593" s="113" t="n"/>
    </row>
    <row r="594" ht="15.75" customHeight="1">
      <c r="A594" s="398" t="n">
        <v>12</v>
      </c>
      <c r="B594" s="238" t="n"/>
      <c r="C594" s="399" t="n">
        <v>46099</v>
      </c>
      <c r="D594" s="162" t="inlineStr">
        <is>
          <t>218 G. SAN JOSE 1</t>
        </is>
      </c>
      <c r="E594" s="162" t="n">
        <v>46790</v>
      </c>
      <c r="F594" s="162" t="inlineStr">
        <is>
          <t>EDWIN ROJAS</t>
        </is>
      </c>
      <c r="G594" s="162" t="n">
        <v>2800</v>
      </c>
      <c r="H594" s="162" t="n">
        <v>2775</v>
      </c>
      <c r="I594" s="162" t="n">
        <v>4</v>
      </c>
      <c r="J594" s="162" t="n">
        <v>20</v>
      </c>
      <c r="K594" s="162" t="n">
        <v>-1</v>
      </c>
      <c r="L594" s="241" t="n">
        <v>2800</v>
      </c>
      <c r="M594" s="162" t="n"/>
      <c r="N594" s="113" t="n"/>
      <c r="O594" s="113" t="n"/>
      <c r="P594" s="398" t="n"/>
      <c r="Q594" s="398" t="n"/>
      <c r="R594" s="113" t="n"/>
      <c r="S594" s="113" t="n"/>
      <c r="T594" s="113" t="n"/>
      <c r="U594" s="113" t="n"/>
      <c r="V594" s="113" t="n"/>
    </row>
    <row r="595" ht="15.75" customHeight="1">
      <c r="A595" s="398" t="n">
        <v>12</v>
      </c>
      <c r="B595" s="238" t="n"/>
      <c r="C595" s="399" t="n">
        <v>46099</v>
      </c>
      <c r="D595" s="162" t="inlineStr">
        <is>
          <t>218 G. SAN JOSE 1</t>
        </is>
      </c>
      <c r="E595" s="162" t="n">
        <v>46791</v>
      </c>
      <c r="F595" s="162" t="inlineStr">
        <is>
          <t>JHON ARIAS</t>
        </is>
      </c>
      <c r="G595" s="162" t="n">
        <v>2800</v>
      </c>
      <c r="H595" s="162" t="n">
        <v>2800</v>
      </c>
      <c r="I595" s="162" t="n">
        <v>2</v>
      </c>
      <c r="J595" s="162" t="n">
        <v>10</v>
      </c>
      <c r="K595" s="162" t="n">
        <v>12</v>
      </c>
      <c r="L595" s="241" t="n">
        <v>2800</v>
      </c>
      <c r="M595" s="162" t="n"/>
      <c r="N595" s="113" t="n"/>
      <c r="O595" s="113" t="n"/>
      <c r="P595" s="398" t="n"/>
      <c r="Q595" s="398" t="n"/>
      <c r="R595" s="113" t="n"/>
      <c r="S595" s="113" t="n"/>
      <c r="T595" s="113" t="n"/>
      <c r="U595" s="113" t="n"/>
      <c r="V595" s="113" t="n"/>
    </row>
    <row r="596" ht="15.75" customHeight="1">
      <c r="A596" s="398" t="n">
        <v>12</v>
      </c>
      <c r="B596" s="238" t="n"/>
      <c r="C596" s="399" t="n">
        <v>46099</v>
      </c>
      <c r="D596" s="162" t="inlineStr">
        <is>
          <t>218 G. SAN JOSE 1</t>
        </is>
      </c>
      <c r="E596" s="162" t="n">
        <v>46792</v>
      </c>
      <c r="F596" s="162" t="inlineStr">
        <is>
          <t xml:space="preserve">HENRY ROMERO </t>
        </is>
      </c>
      <c r="G596" s="162" t="n">
        <v>2800</v>
      </c>
      <c r="H596" s="162" t="n">
        <v>2819</v>
      </c>
      <c r="I596" s="162" t="n">
        <v>1</v>
      </c>
      <c r="J596" s="162" t="n">
        <v>11</v>
      </c>
      <c r="K596" s="162" t="n">
        <v>31</v>
      </c>
      <c r="L596" s="241" t="n">
        <v>2800</v>
      </c>
      <c r="M596" s="162" t="n"/>
      <c r="N596" s="113" t="n"/>
      <c r="O596" s="113" t="n"/>
      <c r="P596" s="398" t="n"/>
      <c r="Q596" s="398" t="n"/>
      <c r="R596" s="113" t="n"/>
      <c r="S596" s="113" t="n"/>
      <c r="T596" s="113" t="n"/>
      <c r="U596" s="113" t="n"/>
      <c r="V596" s="113" t="n"/>
    </row>
    <row r="597" ht="15.75" customHeight="1">
      <c r="A597" s="398" t="n">
        <v>12</v>
      </c>
      <c r="B597" s="238" t="n"/>
      <c r="C597" s="399" t="n">
        <v>46099</v>
      </c>
      <c r="D597" s="162" t="inlineStr">
        <is>
          <t>218 G. SAN JOSE 1</t>
        </is>
      </c>
      <c r="E597" s="162" t="n">
        <v>46793</v>
      </c>
      <c r="F597" s="162" t="inlineStr">
        <is>
          <t>JAIRO CUBILLOS</t>
        </is>
      </c>
      <c r="G597" s="162" t="n">
        <v>2800</v>
      </c>
      <c r="H597" s="162" t="n">
        <v>2819</v>
      </c>
      <c r="I597" s="162" t="n">
        <v>2</v>
      </c>
      <c r="J597" s="162" t="n">
        <v>11</v>
      </c>
      <c r="K597" s="162" t="n">
        <v>32</v>
      </c>
      <c r="L597" s="241" t="n">
        <v>2800</v>
      </c>
      <c r="M597" s="162" t="n"/>
      <c r="N597" s="113" t="n"/>
      <c r="O597" s="113" t="n"/>
      <c r="P597" s="398" t="n"/>
      <c r="Q597" s="398" t="n"/>
      <c r="R597" s="113" t="n"/>
      <c r="S597" s="113" t="n"/>
      <c r="T597" s="113" t="n"/>
      <c r="U597" s="113" t="n"/>
      <c r="V597" s="113" t="n"/>
    </row>
    <row r="598" ht="15.75" customHeight="1">
      <c r="A598" s="398" t="n">
        <v>12</v>
      </c>
      <c r="B598" s="238" t="n"/>
      <c r="C598" s="399" t="n">
        <v>46099</v>
      </c>
      <c r="D598" s="162" t="inlineStr">
        <is>
          <t>218 G. SAN JOSE 1</t>
        </is>
      </c>
      <c r="E598" s="162" t="n">
        <v>46794</v>
      </c>
      <c r="F598" s="162" t="inlineStr">
        <is>
          <t>FABIO ALDANA</t>
        </is>
      </c>
      <c r="G598" s="162" t="n">
        <v>2800</v>
      </c>
      <c r="H598" s="162" t="n">
        <v>2804</v>
      </c>
      <c r="I598" s="162" t="n">
        <v>4</v>
      </c>
      <c r="J598" s="162" t="n">
        <v>2</v>
      </c>
      <c r="K598" s="162" t="n">
        <v>10</v>
      </c>
      <c r="L598" s="241" t="n">
        <v>2800</v>
      </c>
      <c r="M598" s="162" t="n"/>
      <c r="N598" s="113" t="n"/>
      <c r="O598" s="113" t="n"/>
      <c r="P598" s="398" t="n"/>
      <c r="Q598" s="398" t="n"/>
      <c r="R598" s="113" t="n"/>
      <c r="S598" s="113" t="n"/>
      <c r="T598" s="113" t="n"/>
      <c r="U598" s="113" t="n"/>
      <c r="V598" s="113" t="n"/>
    </row>
    <row r="599" ht="15.75" customHeight="1">
      <c r="A599" s="398" t="n">
        <v>12</v>
      </c>
      <c r="B599" s="238" t="n"/>
      <c r="C599" s="399" t="n">
        <v>46099</v>
      </c>
      <c r="D599" s="162" t="inlineStr">
        <is>
          <t>218 G. SAN JOSE 1</t>
        </is>
      </c>
      <c r="E599" s="162" t="n">
        <v>46801</v>
      </c>
      <c r="F599" s="162" t="inlineStr">
        <is>
          <t xml:space="preserve">HENRY ROMERO </t>
        </is>
      </c>
      <c r="G599" s="162" t="n">
        <v>2800</v>
      </c>
      <c r="H599" s="162" t="n">
        <v>2790</v>
      </c>
      <c r="I599" s="162" t="n">
        <v>4</v>
      </c>
      <c r="J599" s="162" t="n">
        <v>10</v>
      </c>
      <c r="K599" s="162" t="n">
        <v>4</v>
      </c>
      <c r="L599" s="241" t="n">
        <v>2800</v>
      </c>
      <c r="M599" s="162" t="n"/>
      <c r="N599" s="113" t="n"/>
      <c r="O599" s="113" t="n"/>
      <c r="P599" s="398" t="n"/>
      <c r="Q599" s="398" t="n"/>
      <c r="R599" s="113" t="n"/>
      <c r="S599" s="113" t="n"/>
      <c r="T599" s="113" t="n"/>
      <c r="U599" s="113" t="n"/>
      <c r="V599" s="113" t="n"/>
    </row>
    <row r="600" ht="15.75" customHeight="1">
      <c r="A600" s="398" t="n">
        <v>12</v>
      </c>
      <c r="B600" s="238" t="n"/>
      <c r="C600" s="399" t="n">
        <v>46099</v>
      </c>
      <c r="D600" s="162" t="inlineStr">
        <is>
          <t>218 G. SAN JOSE 1</t>
        </is>
      </c>
      <c r="E600" s="162" t="n">
        <v>46802</v>
      </c>
      <c r="F600" s="162" t="inlineStr">
        <is>
          <t>JAIRO CUBILLOS</t>
        </is>
      </c>
      <c r="G600" s="162" t="n">
        <v>2800</v>
      </c>
      <c r="H600" s="162" t="n">
        <v>2798</v>
      </c>
      <c r="I600" s="162" t="n">
        <v>2</v>
      </c>
      <c r="J600" s="162" t="n">
        <v>11</v>
      </c>
      <c r="K600" s="162" t="n">
        <v>11</v>
      </c>
      <c r="L600" s="241" t="n">
        <v>2800</v>
      </c>
      <c r="M600" s="162" t="n"/>
      <c r="N600" s="113" t="n"/>
      <c r="O600" s="113" t="n"/>
      <c r="P600" s="398" t="n"/>
      <c r="Q600" s="398" t="n"/>
      <c r="R600" s="113" t="n"/>
      <c r="S600" s="113" t="n"/>
      <c r="T600" s="113" t="n"/>
      <c r="U600" s="113" t="n"/>
      <c r="V600" s="113" t="n"/>
    </row>
    <row r="601" ht="15.75" customHeight="1">
      <c r="A601" s="398" t="n">
        <v>12</v>
      </c>
      <c r="B601" s="238" t="n"/>
      <c r="C601" s="164" t="n">
        <v>46100</v>
      </c>
      <c r="D601" s="166" t="inlineStr">
        <is>
          <t xml:space="preserve">202 G. HUERTAS </t>
        </is>
      </c>
      <c r="E601" s="166" t="n">
        <v>46810</v>
      </c>
      <c r="F601" s="166" t="inlineStr">
        <is>
          <t>JOSE SOLER</t>
        </is>
      </c>
      <c r="G601" s="166" t="n">
        <v>3240</v>
      </c>
      <c r="H601" s="166" t="n">
        <v>3229</v>
      </c>
      <c r="I601" s="166" t="n">
        <v>3</v>
      </c>
      <c r="J601" s="166" t="n">
        <v>1</v>
      </c>
      <c r="K601" s="166" t="n">
        <v>-7</v>
      </c>
      <c r="L601" s="241" t="n">
        <v>3240</v>
      </c>
      <c r="M601" s="162" t="n"/>
      <c r="N601" s="113" t="n"/>
      <c r="O601" s="113" t="n"/>
      <c r="P601" s="398" t="n"/>
      <c r="Q601" s="398" t="n"/>
      <c r="R601" s="113" t="n"/>
      <c r="S601" s="113" t="n"/>
      <c r="T601" s="113" t="n"/>
      <c r="U601" s="113" t="n"/>
      <c r="V601" s="113" t="n"/>
    </row>
    <row r="602" ht="15.75" customHeight="1">
      <c r="A602" s="398" t="n">
        <v>12</v>
      </c>
      <c r="B602" s="238" t="n"/>
      <c r="C602" s="164" t="n">
        <v>46100</v>
      </c>
      <c r="D602" s="166" t="inlineStr">
        <is>
          <t xml:space="preserve">202 G. HUERTAS </t>
        </is>
      </c>
      <c r="E602" s="166" t="n">
        <v>46811</v>
      </c>
      <c r="F602" s="166" t="inlineStr">
        <is>
          <t>MANUEL QUITIAN</t>
        </is>
      </c>
      <c r="G602" s="166" t="n">
        <v>3240</v>
      </c>
      <c r="H602" s="166" t="n">
        <v>3234</v>
      </c>
      <c r="I602" s="166" t="n">
        <v>2</v>
      </c>
      <c r="J602" s="166" t="n">
        <v>1</v>
      </c>
      <c r="K602" s="166" t="n">
        <v>-3</v>
      </c>
      <c r="L602" s="241" t="n">
        <v>3240</v>
      </c>
      <c r="M602" s="162" t="n"/>
      <c r="N602" s="113" t="n"/>
      <c r="O602" s="113" t="n"/>
      <c r="P602" s="398" t="n"/>
      <c r="Q602" s="398" t="n"/>
      <c r="R602" s="113" t="n"/>
      <c r="S602" s="113" t="n"/>
      <c r="T602" s="113" t="n"/>
      <c r="U602" s="113" t="n"/>
      <c r="V602" s="113" t="n"/>
    </row>
    <row r="603" ht="15.75" customHeight="1">
      <c r="A603" s="398" t="n">
        <v>12</v>
      </c>
      <c r="B603" s="238" t="n"/>
      <c r="C603" s="164" t="n">
        <v>46100</v>
      </c>
      <c r="D603" s="166" t="inlineStr">
        <is>
          <t xml:space="preserve">202 G. HUERTAS </t>
        </is>
      </c>
      <c r="E603" s="166" t="n">
        <v>46812</v>
      </c>
      <c r="F603" s="166" t="inlineStr">
        <is>
          <t>ROBINSON PULIDO</t>
        </is>
      </c>
      <c r="G603" s="166" t="n">
        <v>3240</v>
      </c>
      <c r="H603" s="166" t="n">
        <v>3236</v>
      </c>
      <c r="I603" s="166" t="n">
        <v>1</v>
      </c>
      <c r="J603" s="166" t="n">
        <v>1</v>
      </c>
      <c r="K603" s="166" t="n">
        <v>-2</v>
      </c>
      <c r="L603" s="241" t="n">
        <v>3240</v>
      </c>
      <c r="M603" s="162" t="n"/>
      <c r="N603" s="113" t="n"/>
      <c r="O603" s="113" t="n"/>
      <c r="P603" s="398" t="n"/>
      <c r="Q603" s="398" t="n"/>
      <c r="R603" s="113" t="n"/>
      <c r="S603" s="113" t="n"/>
      <c r="T603" s="113" t="n"/>
      <c r="U603" s="113" t="n"/>
      <c r="V603" s="113" t="n"/>
    </row>
    <row r="604" ht="15.75" customHeight="1">
      <c r="A604" s="398" t="n">
        <v>12</v>
      </c>
      <c r="B604" s="238" t="n"/>
      <c r="C604" s="164" t="n">
        <v>46100</v>
      </c>
      <c r="D604" s="166" t="inlineStr">
        <is>
          <t xml:space="preserve">202 G. HUERTAS </t>
        </is>
      </c>
      <c r="E604" s="166" t="n">
        <v>46813</v>
      </c>
      <c r="F604" s="146" t="inlineStr">
        <is>
          <t>DUMAR ANGARITA</t>
        </is>
      </c>
      <c r="G604" s="146" t="n">
        <v>3240</v>
      </c>
      <c r="H604" s="146" t="n">
        <v>3234</v>
      </c>
      <c r="I604" s="146" t="n">
        <v>2</v>
      </c>
      <c r="J604" s="146" t="n">
        <v>3</v>
      </c>
      <c r="K604" s="166" t="n">
        <v>-1</v>
      </c>
      <c r="L604" s="241" t="n">
        <v>3240</v>
      </c>
      <c r="M604" s="162" t="n"/>
      <c r="N604" s="113" t="n"/>
      <c r="O604" s="113" t="n"/>
      <c r="P604" s="398" t="n"/>
      <c r="Q604" s="398" t="n"/>
      <c r="R604" s="113" t="n"/>
      <c r="S604" s="113" t="n"/>
      <c r="T604" s="113" t="n"/>
      <c r="U604" s="113" t="n"/>
      <c r="V604" s="113" t="n"/>
    </row>
    <row r="605" ht="15.75" customHeight="1">
      <c r="A605" s="398" t="n">
        <v>12</v>
      </c>
      <c r="B605" s="238" t="n"/>
      <c r="C605" s="164" t="n">
        <v>46100</v>
      </c>
      <c r="D605" s="166" t="inlineStr">
        <is>
          <t xml:space="preserve">202 G. HUERTAS </t>
        </is>
      </c>
      <c r="E605" s="166" t="n">
        <v>46814</v>
      </c>
      <c r="F605" s="166" t="inlineStr">
        <is>
          <t xml:space="preserve">DIEGO NIÑO </t>
        </is>
      </c>
      <c r="G605" s="166" t="n">
        <v>3240</v>
      </c>
      <c r="H605" s="166" t="n">
        <v>3235</v>
      </c>
      <c r="I605" s="166" t="n">
        <v>1</v>
      </c>
      <c r="J605" s="166" t="n">
        <v>5</v>
      </c>
      <c r="K605" s="166" t="n">
        <v>1</v>
      </c>
      <c r="L605" s="241" t="n">
        <v>3240</v>
      </c>
      <c r="M605" s="162" t="n"/>
      <c r="N605" s="113" t="n"/>
      <c r="O605" s="113" t="n"/>
      <c r="P605" s="398" t="n"/>
      <c r="Q605" s="398" t="n"/>
      <c r="R605" s="113" t="n"/>
      <c r="S605" s="113" t="n"/>
      <c r="T605" s="113" t="n"/>
      <c r="U605" s="113" t="n"/>
      <c r="V605" s="113" t="n"/>
    </row>
    <row r="606" ht="15.75" customHeight="1">
      <c r="A606" s="398" t="n">
        <v>12</v>
      </c>
      <c r="B606" s="238" t="n"/>
      <c r="C606" s="164" t="n">
        <v>46100</v>
      </c>
      <c r="D606" s="166" t="inlineStr">
        <is>
          <t xml:space="preserve">202 G. HUERTAS </t>
        </is>
      </c>
      <c r="E606" s="166" t="n">
        <v>46815</v>
      </c>
      <c r="F606" s="166" t="inlineStr">
        <is>
          <t>ALEX GOMEZ</t>
        </is>
      </c>
      <c r="G606" s="166" t="n">
        <v>3115</v>
      </c>
      <c r="H606" s="166" t="n">
        <v>3107</v>
      </c>
      <c r="I606" s="166" t="n">
        <v>0</v>
      </c>
      <c r="J606" s="166" t="n">
        <v>4</v>
      </c>
      <c r="K606" s="166" t="n">
        <v>-4</v>
      </c>
      <c r="L606" s="241" t="n">
        <v>3115</v>
      </c>
      <c r="M606" s="162" t="n"/>
      <c r="N606" s="113" t="n"/>
      <c r="O606" s="113" t="n"/>
      <c r="P606" s="398" t="n"/>
      <c r="Q606" s="398" t="n"/>
      <c r="R606" s="113" t="n"/>
      <c r="S606" s="113" t="n"/>
      <c r="T606" s="113" t="n"/>
      <c r="U606" s="113" t="n"/>
      <c r="V606" s="113" t="n"/>
    </row>
    <row r="607" ht="15.75" customHeight="1">
      <c r="A607" s="398" t="n">
        <v>12</v>
      </c>
      <c r="B607" s="238" t="n"/>
      <c r="C607" s="399" t="n">
        <v>46100</v>
      </c>
      <c r="D607" s="162" t="inlineStr">
        <is>
          <t>218 G. SAN JOSE 1</t>
        </is>
      </c>
      <c r="E607" s="162" t="n">
        <v>46816</v>
      </c>
      <c r="F607" s="162" t="inlineStr">
        <is>
          <t>JAIRO CUBILLOS</t>
        </is>
      </c>
      <c r="G607" s="162" t="n">
        <v>3240</v>
      </c>
      <c r="H607" s="162" t="n">
        <v>3239</v>
      </c>
      <c r="I607" s="162" t="n">
        <v>3</v>
      </c>
      <c r="J607" s="162" t="n">
        <v>2</v>
      </c>
      <c r="K607" s="162" t="n">
        <v>4</v>
      </c>
      <c r="L607" s="241" t="n">
        <v>3240</v>
      </c>
      <c r="M607" s="162" t="n"/>
      <c r="N607" s="113" t="n"/>
      <c r="O607" s="113" t="n"/>
      <c r="P607" s="398" t="n"/>
      <c r="Q607" s="398" t="n"/>
      <c r="R607" s="113" t="n"/>
      <c r="S607" s="113" t="n"/>
      <c r="T607" s="113" t="n"/>
      <c r="U607" s="113" t="n"/>
      <c r="V607" s="113" t="n"/>
    </row>
    <row r="608" ht="15.75" customHeight="1">
      <c r="A608" s="398" t="n">
        <v>12</v>
      </c>
      <c r="B608" s="238" t="n"/>
      <c r="C608" s="399" t="n">
        <v>46100</v>
      </c>
      <c r="D608" s="162" t="inlineStr">
        <is>
          <t>218 G. SAN JOSE 1</t>
        </is>
      </c>
      <c r="E608" s="162" t="n">
        <v>46817</v>
      </c>
      <c r="F608" s="162" t="inlineStr">
        <is>
          <t>YAIR RIVEROS</t>
        </is>
      </c>
      <c r="G608" s="162" t="n">
        <v>3240</v>
      </c>
      <c r="H608" s="162" t="n">
        <v>3239</v>
      </c>
      <c r="I608" s="162" t="n">
        <v>4</v>
      </c>
      <c r="J608" s="162" t="n">
        <v>1</v>
      </c>
      <c r="K608" s="162" t="n">
        <v>4</v>
      </c>
      <c r="L608" s="241" t="n">
        <v>3240</v>
      </c>
      <c r="M608" s="162" t="n"/>
      <c r="N608" s="113" t="n"/>
      <c r="O608" s="113" t="n"/>
      <c r="P608" s="398" t="n"/>
      <c r="Q608" s="398" t="n"/>
      <c r="R608" s="113" t="n"/>
      <c r="S608" s="113" t="n"/>
      <c r="T608" s="113" t="n"/>
      <c r="U608" s="113" t="n"/>
      <c r="V608" s="113" t="n"/>
    </row>
    <row r="609" ht="15.75" customHeight="1">
      <c r="A609" s="398" t="n">
        <v>12</v>
      </c>
      <c r="B609" s="238" t="n"/>
      <c r="C609" s="399" t="n">
        <v>46100</v>
      </c>
      <c r="D609" s="162" t="inlineStr">
        <is>
          <t>218 G. SAN JOSE 1</t>
        </is>
      </c>
      <c r="E609" s="162" t="n">
        <v>46818</v>
      </c>
      <c r="F609" s="162" t="inlineStr">
        <is>
          <t>WILMER PIÑEROS</t>
        </is>
      </c>
      <c r="G609" s="162" t="n">
        <v>3240</v>
      </c>
      <c r="H609" s="162" t="n">
        <v>3237</v>
      </c>
      <c r="I609" s="162" t="n">
        <v>3</v>
      </c>
      <c r="J609" s="162" t="n">
        <v>3</v>
      </c>
      <c r="K609" s="162" t="n">
        <v>3</v>
      </c>
      <c r="L609" s="241" t="n">
        <v>3240</v>
      </c>
      <c r="M609" s="162" t="n"/>
      <c r="N609" s="113" t="n"/>
      <c r="O609" s="113" t="n"/>
      <c r="P609" s="398" t="n"/>
      <c r="Q609" s="398" t="n"/>
      <c r="R609" s="113" t="n"/>
      <c r="S609" s="113" t="n"/>
      <c r="T609" s="113" t="n"/>
      <c r="U609" s="113" t="n"/>
      <c r="V609" s="113" t="n"/>
    </row>
    <row r="610" ht="15.75" customHeight="1">
      <c r="A610" s="398" t="n">
        <v>12</v>
      </c>
      <c r="B610" s="238" t="n"/>
      <c r="C610" s="399" t="n">
        <v>46100</v>
      </c>
      <c r="D610" s="162" t="inlineStr">
        <is>
          <t>218 G. SAN JOSE 1</t>
        </is>
      </c>
      <c r="E610" s="162" t="n">
        <v>46819</v>
      </c>
      <c r="F610" s="162" t="inlineStr">
        <is>
          <t>EDWIN ROJAS</t>
        </is>
      </c>
      <c r="G610" s="162" t="n">
        <v>3240</v>
      </c>
      <c r="H610" s="162" t="n">
        <v>3240</v>
      </c>
      <c r="I610" s="162" t="n">
        <v>3</v>
      </c>
      <c r="J610" s="162" t="n">
        <v>0</v>
      </c>
      <c r="K610" s="162" t="n">
        <v>3</v>
      </c>
      <c r="L610" s="241" t="n">
        <v>3240</v>
      </c>
      <c r="M610" s="162" t="n"/>
      <c r="N610" s="113" t="n"/>
      <c r="O610" s="113" t="n"/>
      <c r="P610" s="398" t="n"/>
      <c r="Q610" s="398" t="n"/>
      <c r="R610" s="113" t="n"/>
      <c r="S610" s="113" t="n"/>
      <c r="T610" s="113" t="n"/>
      <c r="U610" s="113" t="n"/>
      <c r="V610" s="113" t="n"/>
    </row>
    <row r="611" ht="15.75" customHeight="1">
      <c r="A611" s="398" t="n">
        <v>12</v>
      </c>
      <c r="B611" s="238" t="n"/>
      <c r="C611" s="399" t="n">
        <v>46100</v>
      </c>
      <c r="D611" s="162" t="inlineStr">
        <is>
          <t>218 G. SAN JOSE 1</t>
        </is>
      </c>
      <c r="E611" s="162" t="n">
        <v>46820</v>
      </c>
      <c r="F611" s="162" t="inlineStr">
        <is>
          <t xml:space="preserve">HENRY ROMERO </t>
        </is>
      </c>
      <c r="G611" s="162" t="n">
        <v>3240</v>
      </c>
      <c r="H611" s="162" t="n">
        <v>3228</v>
      </c>
      <c r="I611" s="162" t="n">
        <v>0</v>
      </c>
      <c r="J611" s="162" t="n">
        <v>2</v>
      </c>
      <c r="K611" s="162" t="n">
        <v>-10</v>
      </c>
      <c r="L611" s="241" t="n">
        <v>3240</v>
      </c>
      <c r="M611" s="162" t="n"/>
      <c r="N611" s="113" t="n"/>
      <c r="O611" s="113" t="n"/>
      <c r="P611" s="398" t="n"/>
      <c r="Q611" s="398" t="n"/>
      <c r="R611" s="113" t="n"/>
      <c r="S611" s="113" t="n"/>
      <c r="T611" s="113" t="n"/>
      <c r="U611" s="113" t="n"/>
      <c r="V611" s="113" t="n"/>
    </row>
    <row r="612" ht="15.75" customHeight="1">
      <c r="A612" s="398" t="n">
        <v>12</v>
      </c>
      <c r="B612" s="238" t="n"/>
      <c r="C612" s="399" t="n">
        <v>46100</v>
      </c>
      <c r="D612" s="162" t="inlineStr">
        <is>
          <t>218 G. SAN JOSE 1</t>
        </is>
      </c>
      <c r="E612" s="162" t="n">
        <v>46821</v>
      </c>
      <c r="F612" s="162" t="inlineStr">
        <is>
          <t>ALBERTO LOPEZ</t>
        </is>
      </c>
      <c r="G612" s="162" t="n">
        <v>3240</v>
      </c>
      <c r="H612" s="162" t="n">
        <v>3220</v>
      </c>
      <c r="I612" s="162" t="n">
        <v>2</v>
      </c>
      <c r="J612" s="162" t="n">
        <v>2</v>
      </c>
      <c r="K612" s="162" t="n">
        <v>-16</v>
      </c>
      <c r="L612" s="241" t="n">
        <v>3240</v>
      </c>
      <c r="M612" s="162" t="n"/>
      <c r="N612" s="113" t="n"/>
      <c r="O612" s="113" t="n"/>
      <c r="P612" s="398" t="n"/>
      <c r="Q612" s="398" t="n"/>
      <c r="R612" s="113" t="n"/>
      <c r="S612" s="113" t="n"/>
      <c r="T612" s="113" t="n"/>
      <c r="U612" s="113" t="n"/>
      <c r="V612" s="113" t="n"/>
    </row>
    <row r="613" ht="15.75" customHeight="1">
      <c r="A613" s="398" t="n">
        <v>12</v>
      </c>
      <c r="B613" s="238" t="n"/>
      <c r="C613" s="399" t="n">
        <v>46100</v>
      </c>
      <c r="D613" s="162" t="inlineStr">
        <is>
          <t>218 G. SAN JOSE 1</t>
        </is>
      </c>
      <c r="E613" s="162" t="n">
        <v>46822</v>
      </c>
      <c r="F613" s="162" t="inlineStr">
        <is>
          <t>FABIO ALDANA</t>
        </is>
      </c>
      <c r="G613" s="162" t="n">
        <v>3240</v>
      </c>
      <c r="H613" s="162" t="n">
        <v>3224</v>
      </c>
      <c r="I613" s="162" t="n">
        <v>1</v>
      </c>
      <c r="J613" s="162" t="n">
        <v>1</v>
      </c>
      <c r="K613" s="162" t="n">
        <v>-14</v>
      </c>
      <c r="L613" s="241" t="n">
        <v>3240</v>
      </c>
      <c r="M613" s="162" t="n"/>
      <c r="N613" s="113" t="n"/>
      <c r="O613" s="113" t="n"/>
      <c r="P613" s="398" t="n"/>
      <c r="Q613" s="398" t="n"/>
      <c r="R613" s="113" t="n"/>
      <c r="S613" s="113" t="n"/>
      <c r="T613" s="113" t="n"/>
      <c r="U613" s="113" t="n"/>
      <c r="V613" s="113" t="n"/>
    </row>
    <row r="614" ht="15.75" customHeight="1">
      <c r="A614" s="398" t="n">
        <v>12</v>
      </c>
      <c r="B614" s="238" t="n"/>
      <c r="C614" s="399" t="n">
        <v>46100</v>
      </c>
      <c r="D614" s="162" t="inlineStr">
        <is>
          <t>218 G. SAN JOSE 1</t>
        </is>
      </c>
      <c r="E614" s="162" t="n">
        <v>46823</v>
      </c>
      <c r="F614" s="162" t="inlineStr">
        <is>
          <t>FERNANDO OYUELA</t>
        </is>
      </c>
      <c r="G614" s="162" t="n">
        <v>3564</v>
      </c>
      <c r="H614" s="162" t="n">
        <v>3547</v>
      </c>
      <c r="I614" s="162" t="n">
        <v>6</v>
      </c>
      <c r="J614" s="162" t="n">
        <v>1</v>
      </c>
      <c r="K614" s="162" t="n">
        <v>-10</v>
      </c>
      <c r="L614" s="241" t="n">
        <v>3564</v>
      </c>
      <c r="M614" s="162" t="n"/>
      <c r="N614" s="113" t="n"/>
      <c r="O614" s="113" t="n"/>
      <c r="P614" s="398" t="n"/>
      <c r="Q614" s="398" t="n"/>
      <c r="R614" s="113" t="n"/>
      <c r="S614" s="113" t="n"/>
      <c r="T614" s="113" t="n"/>
      <c r="U614" s="113" t="n"/>
      <c r="V614" s="113" t="n"/>
    </row>
    <row r="615" ht="15.75" customHeight="1">
      <c r="A615" s="398" t="n">
        <v>12</v>
      </c>
      <c r="B615" s="238" t="n"/>
      <c r="C615" s="399" t="n">
        <v>46100</v>
      </c>
      <c r="D615" s="162" t="inlineStr">
        <is>
          <t>218 G. SAN JOSE 1</t>
        </is>
      </c>
      <c r="E615" s="162" t="n">
        <v>46824</v>
      </c>
      <c r="F615" s="162" t="inlineStr">
        <is>
          <t>JHON ARIAS</t>
        </is>
      </c>
      <c r="G615" s="162" t="n">
        <v>3564</v>
      </c>
      <c r="H615" s="162" t="n">
        <v>3547</v>
      </c>
      <c r="I615" s="162" t="n">
        <v>4</v>
      </c>
      <c r="J615" s="162" t="n">
        <v>3</v>
      </c>
      <c r="K615" s="162" t="n">
        <v>-10</v>
      </c>
      <c r="L615" s="241" t="n">
        <v>3564</v>
      </c>
      <c r="M615" s="162" t="n"/>
      <c r="N615" s="113" t="n"/>
      <c r="O615" s="113" t="n"/>
      <c r="P615" s="398" t="n"/>
      <c r="Q615" s="398" t="n"/>
      <c r="R615" s="113" t="n"/>
      <c r="S615" s="113" t="n"/>
      <c r="T615" s="113" t="n"/>
      <c r="U615" s="113" t="n"/>
      <c r="V615" s="113" t="n"/>
    </row>
    <row r="616" ht="15.75" customHeight="1">
      <c r="A616" s="398" t="n">
        <v>12</v>
      </c>
      <c r="B616" s="238" t="n"/>
      <c r="C616" s="399" t="n">
        <v>46100</v>
      </c>
      <c r="D616" s="162" t="inlineStr">
        <is>
          <t>218 G. SAN JOSE 1</t>
        </is>
      </c>
      <c r="E616" s="162" t="n">
        <v>46825</v>
      </c>
      <c r="F616" s="162" t="inlineStr">
        <is>
          <t>JOSE SOLER</t>
        </is>
      </c>
      <c r="G616" s="162" t="n">
        <v>2695</v>
      </c>
      <c r="H616" s="162" t="n">
        <v>2684</v>
      </c>
      <c r="I616" s="162" t="n">
        <v>2</v>
      </c>
      <c r="J616" s="162" t="n">
        <v>4</v>
      </c>
      <c r="K616" s="162" t="n">
        <v>-5</v>
      </c>
      <c r="L616" s="241" t="n">
        <v>2695</v>
      </c>
      <c r="M616" s="162" t="n"/>
      <c r="N616" s="113" t="n"/>
      <c r="O616" s="113" t="n"/>
      <c r="P616" s="398" t="n"/>
      <c r="Q616" s="398" t="n"/>
      <c r="R616" s="113" t="n"/>
      <c r="S616" s="113" t="n"/>
      <c r="T616" s="113" t="n"/>
      <c r="U616" s="113" t="n"/>
      <c r="V616" s="113" t="n"/>
    </row>
    <row r="617" ht="15.75" customHeight="1">
      <c r="A617" s="398" t="n">
        <v>12</v>
      </c>
      <c r="B617" s="238" t="n"/>
      <c r="C617" s="164" t="n">
        <v>46101</v>
      </c>
      <c r="D617" s="166" t="inlineStr">
        <is>
          <t xml:space="preserve">202 G. HUERTAS </t>
        </is>
      </c>
      <c r="E617" s="166" t="n">
        <v>46834</v>
      </c>
      <c r="F617" s="166" t="inlineStr">
        <is>
          <t>JHON ARIAS</t>
        </is>
      </c>
      <c r="G617" s="166" t="n">
        <v>3440</v>
      </c>
      <c r="H617" s="166" t="n">
        <v>3442</v>
      </c>
      <c r="I617" s="166" t="n">
        <v>4</v>
      </c>
      <c r="J617" s="166" t="n">
        <v>5</v>
      </c>
      <c r="K617" s="166" t="n">
        <v>11</v>
      </c>
      <c r="L617" s="241" t="n">
        <v>3440</v>
      </c>
      <c r="M617" s="162" t="n"/>
      <c r="N617" s="113" t="n"/>
      <c r="O617" s="113" t="n"/>
      <c r="P617" s="398" t="n"/>
      <c r="Q617" s="398" t="n"/>
      <c r="R617" s="113" t="n"/>
      <c r="S617" s="113" t="n"/>
      <c r="T617" s="113" t="n"/>
      <c r="U617" s="113" t="n"/>
      <c r="V617" s="113" t="n"/>
    </row>
    <row r="618" ht="15.75" customHeight="1">
      <c r="A618" s="398" t="n">
        <v>12</v>
      </c>
      <c r="B618" s="238" t="n"/>
      <c r="C618" s="164" t="n">
        <v>46101</v>
      </c>
      <c r="D618" s="166" t="inlineStr">
        <is>
          <t xml:space="preserve">202 G. HUERTAS </t>
        </is>
      </c>
      <c r="E618" s="166" t="n">
        <v>46835</v>
      </c>
      <c r="F618" s="166" t="inlineStr">
        <is>
          <t>ALBERTO HERRERA</t>
        </is>
      </c>
      <c r="G618" s="166" t="n">
        <v>3430</v>
      </c>
      <c r="H618" s="166" t="n">
        <v>3441</v>
      </c>
      <c r="I618" s="166" t="n">
        <v>4</v>
      </c>
      <c r="J618" s="166" t="n">
        <v>4</v>
      </c>
      <c r="K618" s="166" t="n">
        <v>19</v>
      </c>
      <c r="L618" s="241" t="n">
        <v>3430</v>
      </c>
      <c r="M618" s="162" t="n"/>
      <c r="N618" s="113" t="n"/>
      <c r="O618" s="113" t="n"/>
      <c r="P618" s="398" t="n"/>
      <c r="Q618" s="398" t="n"/>
      <c r="R618" s="113" t="n"/>
      <c r="S618" s="113" t="n"/>
      <c r="T618" s="113" t="n"/>
      <c r="U618" s="113" t="n"/>
      <c r="V618" s="113" t="n"/>
    </row>
    <row r="619" ht="15.75" customHeight="1">
      <c r="A619" s="398" t="n">
        <v>12</v>
      </c>
      <c r="B619" s="238" t="n"/>
      <c r="C619" s="164" t="n">
        <v>46101</v>
      </c>
      <c r="D619" s="166" t="inlineStr">
        <is>
          <t xml:space="preserve">202 G. HUERTAS </t>
        </is>
      </c>
      <c r="E619" s="166" t="n">
        <v>46836</v>
      </c>
      <c r="F619" s="166" t="inlineStr">
        <is>
          <t>EDWIN ROJAS</t>
        </is>
      </c>
      <c r="G619" s="166" t="n">
        <v>3440</v>
      </c>
      <c r="H619" s="166" t="n">
        <v>3485</v>
      </c>
      <c r="I619" s="166" t="n">
        <v>3</v>
      </c>
      <c r="J619" s="166" t="n">
        <v>1</v>
      </c>
      <c r="K619" s="166" t="n">
        <v>49</v>
      </c>
      <c r="L619" s="241" t="n">
        <v>3440</v>
      </c>
      <c r="M619" s="162" t="n"/>
      <c r="N619" s="113" t="n"/>
      <c r="O619" s="113" t="n"/>
      <c r="P619" s="398" t="n"/>
      <c r="Q619" s="398" t="n"/>
      <c r="R619" s="113" t="n"/>
      <c r="S619" s="113" t="n"/>
      <c r="T619" s="113" t="n"/>
      <c r="U619" s="113" t="n"/>
      <c r="V619" s="113" t="n"/>
    </row>
    <row r="620" ht="15.75" customHeight="1">
      <c r="A620" s="398" t="n">
        <v>12</v>
      </c>
      <c r="B620" s="238" t="n"/>
      <c r="C620" s="164" t="n">
        <v>46101</v>
      </c>
      <c r="D620" s="166" t="inlineStr">
        <is>
          <t xml:space="preserve">202 G. HUERTAS </t>
        </is>
      </c>
      <c r="E620" s="166" t="n">
        <v>46837</v>
      </c>
      <c r="F620" s="166" t="inlineStr">
        <is>
          <t xml:space="preserve">HENRY ROMERO </t>
        </is>
      </c>
      <c r="G620" s="166" t="n">
        <v>3440</v>
      </c>
      <c r="H620" s="166" t="n">
        <v>3429</v>
      </c>
      <c r="I620" s="166" t="n">
        <v>1</v>
      </c>
      <c r="J620" s="166" t="n">
        <v>3</v>
      </c>
      <c r="K620" s="166" t="n">
        <v>-7</v>
      </c>
      <c r="L620" s="241" t="n">
        <v>3440</v>
      </c>
      <c r="M620" s="162" t="n"/>
      <c r="N620" s="113" t="n"/>
      <c r="O620" s="113" t="n"/>
      <c r="P620" s="398" t="n"/>
      <c r="Q620" s="398" t="n"/>
      <c r="R620" s="113" t="n"/>
      <c r="S620" s="113" t="n"/>
      <c r="T620" s="113" t="n"/>
      <c r="U620" s="113" t="n"/>
      <c r="V620" s="113" t="n"/>
    </row>
    <row r="621" ht="15.75" customHeight="1">
      <c r="A621" s="398" t="n">
        <v>12</v>
      </c>
      <c r="B621" s="238" t="n"/>
      <c r="C621" s="164" t="n">
        <v>46101</v>
      </c>
      <c r="D621" s="166" t="inlineStr">
        <is>
          <t xml:space="preserve">202 G. HUERTAS </t>
        </is>
      </c>
      <c r="E621" s="166" t="n">
        <v>46838</v>
      </c>
      <c r="F621" s="166" t="inlineStr">
        <is>
          <t>FABIO ALDANA</t>
        </is>
      </c>
      <c r="G621" s="166" t="n">
        <v>3440</v>
      </c>
      <c r="H621" s="166" t="n">
        <v>3435</v>
      </c>
      <c r="I621" s="166" t="n">
        <v>3</v>
      </c>
      <c r="J621" s="166" t="n">
        <v>4</v>
      </c>
      <c r="K621" s="166" t="n">
        <v>2</v>
      </c>
      <c r="L621" s="241" t="n">
        <v>3440</v>
      </c>
      <c r="M621" s="162" t="n"/>
      <c r="N621" s="113" t="n"/>
      <c r="O621" s="113" t="n"/>
      <c r="P621" s="398" t="n"/>
      <c r="Q621" s="398" t="n"/>
      <c r="R621" s="113" t="n"/>
      <c r="S621" s="113" t="n"/>
      <c r="T621" s="113" t="n"/>
      <c r="U621" s="113" t="n"/>
      <c r="V621" s="113" t="n"/>
    </row>
    <row r="622" ht="15.75" customHeight="1">
      <c r="A622" s="398" t="n">
        <v>12</v>
      </c>
      <c r="B622" s="238" t="n"/>
      <c r="C622" s="164" t="n">
        <v>46101</v>
      </c>
      <c r="D622" s="166" t="inlineStr">
        <is>
          <t xml:space="preserve">202 G. HUERTAS </t>
        </is>
      </c>
      <c r="E622" s="166" t="n">
        <v>46839</v>
      </c>
      <c r="F622" s="166" t="inlineStr">
        <is>
          <t>ALBERTO LOPEZ</t>
        </is>
      </c>
      <c r="G622" s="166" t="n">
        <v>3240</v>
      </c>
      <c r="H622" s="166" t="n">
        <v>3235</v>
      </c>
      <c r="I622" s="166" t="n">
        <v>3</v>
      </c>
      <c r="J622" s="166" t="n">
        <v>2</v>
      </c>
      <c r="K622" s="166" t="n">
        <v>0</v>
      </c>
      <c r="L622" s="241" t="n">
        <v>3240</v>
      </c>
      <c r="M622" s="162" t="n"/>
      <c r="N622" s="113" t="n"/>
      <c r="O622" s="113" t="n"/>
      <c r="P622" s="398" t="n"/>
      <c r="Q622" s="398" t="n"/>
      <c r="R622" s="113" t="n"/>
      <c r="S622" s="113" t="n"/>
      <c r="T622" s="113" t="n"/>
      <c r="U622" s="113" t="n"/>
      <c r="V622" s="113" t="n"/>
    </row>
    <row r="623" ht="15.75" customHeight="1">
      <c r="A623" s="398" t="n">
        <v>12</v>
      </c>
      <c r="B623" s="238" t="n"/>
      <c r="C623" s="164" t="n">
        <v>46101</v>
      </c>
      <c r="D623" s="165" t="inlineStr">
        <is>
          <t xml:space="preserve">202 G. HUERTAS </t>
        </is>
      </c>
      <c r="E623" s="165" t="n">
        <v>46840</v>
      </c>
      <c r="F623" s="165" t="inlineStr">
        <is>
          <t>FERNANDO OYUELA</t>
        </is>
      </c>
      <c r="G623" s="165" t="n">
        <v>3240</v>
      </c>
      <c r="H623" s="165" t="n">
        <v>3233</v>
      </c>
      <c r="I623" s="165" t="n">
        <v>2</v>
      </c>
      <c r="J623" s="165" t="n">
        <v>2</v>
      </c>
      <c r="K623" s="165" t="n">
        <v>-3</v>
      </c>
      <c r="L623" s="241" t="n">
        <v>3240</v>
      </c>
      <c r="M623" s="162" t="n"/>
      <c r="N623" s="113" t="n"/>
      <c r="O623" s="113" t="n"/>
      <c r="P623" s="398" t="n"/>
      <c r="Q623" s="398" t="n"/>
      <c r="R623" s="113" t="n"/>
      <c r="S623" s="113" t="n"/>
      <c r="T623" s="113" t="n"/>
      <c r="U623" s="113" t="n"/>
      <c r="V623" s="113" t="n"/>
    </row>
    <row r="624" ht="15.75" customHeight="1">
      <c r="A624" s="398" t="n">
        <v>12</v>
      </c>
      <c r="B624" s="238" t="n"/>
      <c r="C624" s="164" t="n">
        <v>46101</v>
      </c>
      <c r="D624" s="165" t="inlineStr">
        <is>
          <t xml:space="preserve">202 G. HUERTAS </t>
        </is>
      </c>
      <c r="E624" s="165" t="n">
        <v>46841</v>
      </c>
      <c r="F624" s="165" t="inlineStr">
        <is>
          <t>WILMER PIÑEROS</t>
        </is>
      </c>
      <c r="G624" s="165" t="n">
        <v>3240</v>
      </c>
      <c r="H624" s="165" t="n">
        <v>3238</v>
      </c>
      <c r="I624" s="165" t="n">
        <v>0</v>
      </c>
      <c r="J624" s="165" t="n">
        <v>2</v>
      </c>
      <c r="K624" s="165" t="n">
        <v>0</v>
      </c>
      <c r="L624" s="241" t="n">
        <v>3240</v>
      </c>
      <c r="M624" s="162" t="n"/>
      <c r="N624" s="113" t="n"/>
      <c r="O624" s="113" t="n"/>
      <c r="P624" s="398" t="n"/>
      <c r="Q624" s="398" t="n"/>
      <c r="R624" s="113" t="n"/>
      <c r="S624" s="113" t="n"/>
      <c r="T624" s="113" t="n"/>
      <c r="U624" s="113" t="n"/>
      <c r="V624" s="113" t="n"/>
    </row>
    <row r="625" ht="15.75" customHeight="1">
      <c r="A625" s="398" t="n">
        <v>12</v>
      </c>
      <c r="B625" s="238" t="n"/>
      <c r="C625" s="164" t="n">
        <v>46101</v>
      </c>
      <c r="D625" s="165" t="inlineStr">
        <is>
          <t xml:space="preserve">202 G. HUERTAS </t>
        </is>
      </c>
      <c r="E625" s="165" t="n">
        <v>46848</v>
      </c>
      <c r="F625" s="165" t="inlineStr">
        <is>
          <t>JOSE SOLER</t>
        </is>
      </c>
      <c r="G625" s="165" t="n">
        <v>3240</v>
      </c>
      <c r="H625" s="165" t="n">
        <v>3242</v>
      </c>
      <c r="I625" s="165" t="n">
        <v>7</v>
      </c>
      <c r="J625" s="165" t="n">
        <v>3</v>
      </c>
      <c r="K625" s="165" t="n">
        <v>12</v>
      </c>
      <c r="L625" s="241" t="n">
        <v>3240</v>
      </c>
      <c r="M625" s="162" t="n"/>
      <c r="N625" s="113" t="n"/>
      <c r="O625" s="113" t="n"/>
      <c r="P625" s="398" t="n"/>
      <c r="Q625" s="398" t="n"/>
      <c r="R625" s="113" t="n"/>
      <c r="S625" s="113" t="n"/>
      <c r="T625" s="113" t="n"/>
      <c r="U625" s="113" t="n"/>
      <c r="V625" s="113" t="n"/>
    </row>
    <row r="626" ht="15.75" customHeight="1">
      <c r="A626" s="398" t="n">
        <v>12</v>
      </c>
      <c r="B626" s="238" t="n"/>
      <c r="C626" s="164" t="n">
        <v>46101</v>
      </c>
      <c r="D626" s="165" t="inlineStr">
        <is>
          <t xml:space="preserve">202 G. HUERTAS </t>
        </is>
      </c>
      <c r="E626" s="165" t="n">
        <v>46849</v>
      </c>
      <c r="F626" s="165" t="inlineStr">
        <is>
          <t>JAIRO CUBILLOS</t>
        </is>
      </c>
      <c r="G626" s="165" t="n">
        <v>3240</v>
      </c>
      <c r="H626" s="165" t="n">
        <v>3236</v>
      </c>
      <c r="I626" s="165" t="n">
        <v>5</v>
      </c>
      <c r="J626" s="165" t="n">
        <v>2</v>
      </c>
      <c r="K626" s="165" t="n">
        <v>3</v>
      </c>
      <c r="L626" s="241" t="n">
        <v>3240</v>
      </c>
      <c r="M626" s="162" t="n"/>
      <c r="N626" s="113" t="n"/>
      <c r="O626" s="113" t="n"/>
      <c r="P626" s="398" t="n"/>
      <c r="Q626" s="398" t="n"/>
      <c r="R626" s="113" t="n"/>
      <c r="S626" s="113" t="n"/>
      <c r="T626" s="113" t="n"/>
      <c r="U626" s="113" t="n"/>
      <c r="V626" s="113" t="n"/>
    </row>
    <row r="627" ht="15.75" customHeight="1">
      <c r="A627" s="398" t="n">
        <v>12</v>
      </c>
      <c r="B627" s="238" t="n"/>
      <c r="C627" s="164" t="n">
        <v>46101</v>
      </c>
      <c r="D627" s="165" t="inlineStr">
        <is>
          <t xml:space="preserve">202 G. HUERTAS </t>
        </is>
      </c>
      <c r="E627" s="165" t="n">
        <v>46850</v>
      </c>
      <c r="F627" s="165" t="inlineStr">
        <is>
          <t>YAIR RIVEROS</t>
        </is>
      </c>
      <c r="G627" s="165" t="n">
        <v>3240</v>
      </c>
      <c r="H627" s="165" t="n">
        <v>3239</v>
      </c>
      <c r="I627" s="165" t="n">
        <v>9</v>
      </c>
      <c r="J627" s="165" t="n">
        <v>1</v>
      </c>
      <c r="K627" s="165" t="n">
        <v>9</v>
      </c>
      <c r="L627" s="241" t="n">
        <v>3240</v>
      </c>
      <c r="M627" s="162" t="n"/>
      <c r="N627" s="113" t="n"/>
      <c r="O627" s="113" t="n"/>
      <c r="P627" s="398" t="n"/>
      <c r="Q627" s="398" t="n"/>
      <c r="R627" s="113" t="n"/>
      <c r="S627" s="113" t="n"/>
      <c r="T627" s="113" t="n"/>
      <c r="U627" s="113" t="n"/>
      <c r="V627" s="113" t="n"/>
    </row>
    <row r="628" ht="15.75" customHeight="1">
      <c r="A628" s="398" t="n">
        <v>12</v>
      </c>
      <c r="B628" s="238" t="n"/>
      <c r="C628" s="164" t="n">
        <v>46101</v>
      </c>
      <c r="D628" s="165" t="inlineStr">
        <is>
          <t xml:space="preserve">202 G. HUERTAS </t>
        </is>
      </c>
      <c r="E628" s="165" t="n">
        <v>46853</v>
      </c>
      <c r="F628" s="165" t="inlineStr">
        <is>
          <t>ALEX GOMEZ</t>
        </is>
      </c>
      <c r="G628" s="165" t="n">
        <v>2384</v>
      </c>
      <c r="H628" s="165" t="n">
        <v>2387</v>
      </c>
      <c r="I628" s="165" t="n">
        <v>4</v>
      </c>
      <c r="J628" s="165" t="n">
        <v>4</v>
      </c>
      <c r="K628" s="165" t="n">
        <v>11</v>
      </c>
      <c r="L628" s="241" t="n">
        <v>2200</v>
      </c>
      <c r="M628" s="162" t="n"/>
      <c r="N628" s="113" t="n"/>
      <c r="O628" s="113" t="n"/>
      <c r="P628" s="398" t="n"/>
      <c r="Q628" s="398" t="n"/>
      <c r="R628" s="113" t="n"/>
      <c r="S628" s="113" t="n"/>
      <c r="T628" s="113" t="n"/>
      <c r="U628" s="113" t="n"/>
      <c r="V628" s="113" t="n"/>
    </row>
    <row r="629" ht="15.75" customHeight="1">
      <c r="A629" s="398" t="n">
        <v>12</v>
      </c>
      <c r="B629" s="238" t="n"/>
      <c r="C629" s="164" t="n">
        <v>46101</v>
      </c>
      <c r="D629" s="165" t="inlineStr">
        <is>
          <t xml:space="preserve">202 G. HUERTAS </t>
        </is>
      </c>
      <c r="E629" s="165" t="n">
        <v>46854</v>
      </c>
      <c r="F629" s="165" t="inlineStr">
        <is>
          <t>JHON ARIAS</t>
        </is>
      </c>
      <c r="G629" s="165" t="n">
        <v>3400</v>
      </c>
      <c r="H629" s="165" t="n">
        <v>3365</v>
      </c>
      <c r="I629" s="165" t="n">
        <v>32</v>
      </c>
      <c r="J629" s="165" t="n">
        <v>5</v>
      </c>
      <c r="K629" s="165" t="n">
        <v>2</v>
      </c>
      <c r="L629" s="241" t="n">
        <v>3400</v>
      </c>
      <c r="M629" s="162" t="n"/>
      <c r="N629" s="113" t="n"/>
      <c r="O629" s="113" t="n"/>
      <c r="P629" s="398" t="n"/>
      <c r="Q629" s="398" t="n"/>
      <c r="R629" s="113" t="n"/>
      <c r="S629" s="113" t="n"/>
      <c r="T629" s="113" t="n"/>
      <c r="U629" s="113" t="n"/>
      <c r="V629" s="113" t="n"/>
    </row>
    <row r="630" ht="15.75" customHeight="1">
      <c r="A630" s="398" t="n">
        <v>12</v>
      </c>
      <c r="B630" s="238" t="n"/>
      <c r="C630" s="164" t="n">
        <v>46101</v>
      </c>
      <c r="D630" s="165" t="inlineStr">
        <is>
          <t xml:space="preserve">202 G. HUERTAS </t>
        </is>
      </c>
      <c r="E630" s="165" t="n">
        <v>46855</v>
      </c>
      <c r="F630" s="165" t="inlineStr">
        <is>
          <t>EDWIN ROJAS</t>
        </is>
      </c>
      <c r="G630" s="165" t="n">
        <v>3240</v>
      </c>
      <c r="H630" s="165" t="n">
        <v>3157</v>
      </c>
      <c r="I630" s="165" t="n">
        <v>80</v>
      </c>
      <c r="J630" s="165" t="n">
        <v>4</v>
      </c>
      <c r="K630" s="165" t="n">
        <v>1</v>
      </c>
      <c r="L630" s="241" t="n">
        <v>3240</v>
      </c>
      <c r="M630" s="162" t="n"/>
      <c r="N630" s="113" t="n"/>
      <c r="O630" s="113" t="n"/>
      <c r="P630" s="398" t="n"/>
      <c r="Q630" s="398" t="n"/>
      <c r="R630" s="113" t="n"/>
      <c r="S630" s="113" t="n"/>
      <c r="T630" s="113" t="n"/>
      <c r="U630" s="113" t="n"/>
      <c r="V630" s="113" t="n"/>
    </row>
    <row r="631" ht="15.75" customHeight="1">
      <c r="A631" s="398" t="n">
        <v>12</v>
      </c>
      <c r="B631" s="238" t="n"/>
      <c r="C631" s="164" t="n">
        <v>46101</v>
      </c>
      <c r="D631" s="165" t="inlineStr">
        <is>
          <t xml:space="preserve">202 G. HUERTAS </t>
        </is>
      </c>
      <c r="E631" s="165" t="n">
        <v>46856</v>
      </c>
      <c r="F631" s="165" t="inlineStr">
        <is>
          <t>FABIO ALDANA</t>
        </is>
      </c>
      <c r="G631" s="165" t="n">
        <v>3400</v>
      </c>
      <c r="H631" s="165" t="n">
        <v>3375</v>
      </c>
      <c r="I631" s="165" t="n">
        <v>23</v>
      </c>
      <c r="J631" s="165" t="n">
        <v>4</v>
      </c>
      <c r="K631" s="165" t="n">
        <v>2</v>
      </c>
      <c r="L631" s="241" t="n">
        <v>3400</v>
      </c>
      <c r="M631" s="162" t="n"/>
      <c r="N631" s="113" t="n"/>
      <c r="O631" s="113" t="n"/>
      <c r="P631" s="398" t="n"/>
      <c r="Q631" s="398" t="n"/>
      <c r="R631" s="113" t="n"/>
      <c r="S631" s="113" t="n"/>
      <c r="T631" s="113" t="n"/>
      <c r="U631" s="113" t="n"/>
      <c r="V631" s="113" t="n"/>
    </row>
    <row r="632" ht="15.75" customHeight="1">
      <c r="A632" s="398" t="n">
        <v>12</v>
      </c>
      <c r="B632" s="238" t="n"/>
      <c r="C632" s="399" t="n">
        <v>46101</v>
      </c>
      <c r="D632" s="162" t="inlineStr">
        <is>
          <t>218 G. SAN JOSE 1</t>
        </is>
      </c>
      <c r="E632" s="162" t="n">
        <v>46857</v>
      </c>
      <c r="F632" s="162" t="inlineStr">
        <is>
          <t>FERNANDO OYUELA</t>
        </is>
      </c>
      <c r="G632" s="162" t="n">
        <v>3240</v>
      </c>
      <c r="H632" s="162" t="n">
        <v>3218</v>
      </c>
      <c r="I632" s="162" t="n">
        <v>5</v>
      </c>
      <c r="J632" s="162" t="n">
        <v>10</v>
      </c>
      <c r="K632" s="162" t="n">
        <v>-7</v>
      </c>
      <c r="L632" s="241" t="n">
        <v>3240</v>
      </c>
      <c r="M632" s="162" t="n"/>
      <c r="N632" s="113" t="n"/>
      <c r="O632" s="113" t="n"/>
      <c r="P632" s="398" t="n"/>
      <c r="Q632" s="398" t="n"/>
      <c r="R632" s="113" t="n"/>
      <c r="S632" s="113" t="n"/>
      <c r="T632" s="113" t="n"/>
      <c r="U632" s="113" t="n"/>
      <c r="V632" s="113" t="n"/>
    </row>
    <row r="633" ht="15.75" customHeight="1">
      <c r="A633" s="398" t="n">
        <v>12</v>
      </c>
      <c r="B633" s="238" t="n"/>
      <c r="C633" s="399" t="n">
        <v>46101</v>
      </c>
      <c r="D633" s="162" t="inlineStr">
        <is>
          <t>218 G. SAN JOSE 1</t>
        </is>
      </c>
      <c r="E633" s="162" t="n">
        <v>46858</v>
      </c>
      <c r="F633" s="162" t="inlineStr">
        <is>
          <t>ROBINSON PULIDO</t>
        </is>
      </c>
      <c r="G633" s="162" t="n">
        <v>3240</v>
      </c>
      <c r="H633" s="162" t="n">
        <v>3226</v>
      </c>
      <c r="I633" s="162" t="n">
        <v>0</v>
      </c>
      <c r="J633" s="162" t="n">
        <v>4</v>
      </c>
      <c r="K633" s="162" t="n">
        <v>-10</v>
      </c>
      <c r="L633" s="241" t="n">
        <v>3240</v>
      </c>
      <c r="M633" s="162" t="n"/>
      <c r="N633" s="113" t="n"/>
      <c r="O633" s="113" t="n"/>
      <c r="P633" s="398" t="n"/>
      <c r="Q633" s="398" t="n"/>
      <c r="R633" s="113" t="n"/>
      <c r="S633" s="113" t="n"/>
      <c r="T633" s="113" t="n"/>
      <c r="U633" s="113" t="n"/>
      <c r="V633" s="113" t="n"/>
    </row>
    <row r="634" ht="15.75" customHeight="1">
      <c r="A634" s="398" t="n">
        <v>12</v>
      </c>
      <c r="B634" s="238" t="n"/>
      <c r="C634" s="399" t="n"/>
      <c r="D634" s="162" t="n"/>
      <c r="E634" s="162" t="n"/>
      <c r="F634" s="162" t="n"/>
      <c r="G634" s="530">
        <f>SUBTOTAL(9,G575:G633)</f>
        <v/>
      </c>
      <c r="H634" s="530">
        <f>SUBTOTAL(9,H575:H633)</f>
        <v/>
      </c>
      <c r="I634" s="530">
        <f>SUBTOTAL(9,I575:I633)</f>
        <v/>
      </c>
      <c r="J634" s="530">
        <f>SUBTOTAL(9,J575:J633)</f>
        <v/>
      </c>
      <c r="K634" s="530">
        <f>SUBTOTAL(9,K575:K633)</f>
        <v/>
      </c>
      <c r="L634" s="530">
        <f>SUBTOTAL(9,L575:L633)</f>
        <v/>
      </c>
      <c r="M634" s="530">
        <f>L634-H634</f>
        <v/>
      </c>
      <c r="N634" s="113" t="n"/>
      <c r="O634" s="113" t="n"/>
      <c r="P634" s="398" t="n"/>
      <c r="Q634" s="398" t="n"/>
      <c r="R634" s="113" t="n"/>
      <c r="S634" s="113" t="n"/>
      <c r="T634" s="113" t="n"/>
      <c r="U634" s="113" t="n"/>
      <c r="V634" s="113" t="n"/>
    </row>
    <row r="635" ht="15.75" customHeight="1">
      <c r="A635" s="398" t="n">
        <v>13</v>
      </c>
      <c r="B635" s="238" t="n"/>
      <c r="C635" s="164" t="n">
        <v>46103</v>
      </c>
      <c r="D635" s="165" t="inlineStr">
        <is>
          <t xml:space="preserve">202 G. HUERTAS </t>
        </is>
      </c>
      <c r="E635" s="165" t="n">
        <v>46873</v>
      </c>
      <c r="F635" s="165" t="inlineStr">
        <is>
          <t>MANUEL QUITIAN</t>
        </is>
      </c>
      <c r="G635" s="165" t="n">
        <v>3150</v>
      </c>
      <c r="H635" s="165" t="n">
        <v>3145</v>
      </c>
      <c r="I635" s="165" t="n">
        <v>2</v>
      </c>
      <c r="J635" s="165" t="n">
        <v>7</v>
      </c>
      <c r="K635" s="165" t="n">
        <v>4</v>
      </c>
      <c r="L635" s="162" t="n">
        <v>3150</v>
      </c>
      <c r="M635" s="162" t="n"/>
      <c r="N635" s="113" t="n"/>
      <c r="O635" s="113" t="n"/>
      <c r="P635" s="398" t="n"/>
      <c r="Q635" s="398" t="n"/>
      <c r="R635" s="113" t="n"/>
      <c r="S635" s="113" t="n"/>
      <c r="T635" s="113" t="n"/>
      <c r="U635" s="113" t="n"/>
      <c r="V635" s="113" t="n"/>
    </row>
    <row r="636" ht="15.75" customHeight="1">
      <c r="A636" s="398" t="n">
        <v>13</v>
      </c>
      <c r="B636" s="238" t="n"/>
      <c r="C636" s="164" t="n">
        <v>46103</v>
      </c>
      <c r="D636" s="165" t="inlineStr">
        <is>
          <t xml:space="preserve">202 G. HUERTAS </t>
        </is>
      </c>
      <c r="E636" s="165" t="n">
        <v>46874</v>
      </c>
      <c r="F636" s="165" t="inlineStr">
        <is>
          <t>DUMAR ANGARITA</t>
        </is>
      </c>
      <c r="G636" s="165" t="n">
        <v>3150</v>
      </c>
      <c r="H636" s="165" t="n">
        <v>3144</v>
      </c>
      <c r="I636" s="165" t="n">
        <v>7</v>
      </c>
      <c r="J636" s="165" t="n">
        <v>6</v>
      </c>
      <c r="K636" s="165" t="n">
        <v>7</v>
      </c>
      <c r="L636" s="162" t="n">
        <v>3150</v>
      </c>
      <c r="M636" s="162" t="n"/>
      <c r="N636" s="113" t="n"/>
      <c r="O636" s="113" t="n"/>
      <c r="P636" s="398" t="n"/>
      <c r="Q636" s="398" t="n"/>
      <c r="R636" s="113" t="n"/>
      <c r="S636" s="113" t="n"/>
      <c r="T636" s="113" t="n"/>
      <c r="U636" s="113" t="n"/>
      <c r="V636" s="113" t="n"/>
    </row>
    <row r="637" ht="15.75" customHeight="1">
      <c r="A637" s="398" t="n">
        <v>13</v>
      </c>
      <c r="B637" s="238" t="n"/>
      <c r="C637" s="164" t="n">
        <v>46103</v>
      </c>
      <c r="D637" s="165" t="inlineStr">
        <is>
          <t xml:space="preserve">202 G. HUERTAS </t>
        </is>
      </c>
      <c r="E637" s="165" t="n">
        <v>46875</v>
      </c>
      <c r="F637" s="165" t="inlineStr">
        <is>
          <t xml:space="preserve">DIEGO NIÑO </t>
        </is>
      </c>
      <c r="G637" s="165" t="n">
        <v>2880</v>
      </c>
      <c r="H637" s="165" t="n">
        <v>2879</v>
      </c>
      <c r="I637" s="165" t="n">
        <v>2</v>
      </c>
      <c r="J637" s="165" t="n">
        <v>6</v>
      </c>
      <c r="K637" s="165" t="n">
        <v>7</v>
      </c>
      <c r="L637" s="162" t="n">
        <v>2880</v>
      </c>
      <c r="M637" s="162" t="n"/>
      <c r="N637" s="113" t="n"/>
      <c r="O637" s="113" t="n"/>
      <c r="P637" s="398" t="n"/>
      <c r="Q637" s="398" t="n"/>
      <c r="R637" s="113" t="n"/>
      <c r="S637" s="113" t="n"/>
      <c r="T637" s="113" t="n"/>
      <c r="U637" s="113" t="n"/>
      <c r="V637" s="113" t="n"/>
    </row>
    <row r="638" ht="15.75" customHeight="1">
      <c r="A638" s="398" t="n">
        <v>13</v>
      </c>
      <c r="B638" s="238" t="n"/>
      <c r="C638" s="399" t="n">
        <v>46103</v>
      </c>
      <c r="D638" s="162" t="inlineStr">
        <is>
          <t>218 G. SAN JOSE 1</t>
        </is>
      </c>
      <c r="E638" s="162" t="n">
        <v>46876</v>
      </c>
      <c r="F638" s="162" t="inlineStr">
        <is>
          <t>JHON ARIAS</t>
        </is>
      </c>
      <c r="G638" s="162" t="n">
        <v>3050</v>
      </c>
      <c r="H638" s="162" t="n">
        <v>3045</v>
      </c>
      <c r="I638" s="162" t="n">
        <v>5</v>
      </c>
      <c r="J638" s="162" t="n">
        <v>5</v>
      </c>
      <c r="K638" s="162" t="n">
        <v>5</v>
      </c>
      <c r="L638" s="241" t="n">
        <v>3050</v>
      </c>
      <c r="M638" s="113" t="n"/>
      <c r="N638" s="113" t="n"/>
      <c r="O638" s="113" t="n"/>
      <c r="P638" s="398" t="n"/>
      <c r="Q638" s="398" t="n"/>
      <c r="R638" s="113" t="n"/>
      <c r="S638" s="113" t="n"/>
      <c r="T638" s="113" t="n"/>
      <c r="U638" s="113" t="n"/>
      <c r="V638" s="113" t="n"/>
    </row>
    <row r="639" ht="15.75" customHeight="1">
      <c r="A639" s="398" t="n">
        <v>13</v>
      </c>
      <c r="B639" s="238" t="n"/>
      <c r="C639" s="399" t="n">
        <v>46103</v>
      </c>
      <c r="D639" s="162" t="inlineStr">
        <is>
          <t>218 G. SAN JOSE 1</t>
        </is>
      </c>
      <c r="E639" s="162" t="n">
        <v>46877</v>
      </c>
      <c r="F639" s="162" t="inlineStr">
        <is>
          <t>ROBINSON PULIDO</t>
        </is>
      </c>
      <c r="G639" s="162" t="n">
        <v>3050</v>
      </c>
      <c r="H639" s="162" t="n">
        <v>3046</v>
      </c>
      <c r="I639" s="162" t="n">
        <v>4</v>
      </c>
      <c r="J639" s="162" t="n">
        <v>6</v>
      </c>
      <c r="K639" s="162" t="n">
        <v>6</v>
      </c>
      <c r="L639" s="241" t="n">
        <v>3050</v>
      </c>
      <c r="M639" s="113" t="n"/>
      <c r="N639" s="113" t="n"/>
      <c r="O639" s="113" t="n"/>
      <c r="P639" s="398" t="n"/>
      <c r="Q639" s="398" t="n"/>
      <c r="R639" s="113" t="n"/>
      <c r="S639" s="113" t="n"/>
      <c r="T639" s="113" t="n"/>
      <c r="U639" s="113" t="n"/>
      <c r="V639" s="113" t="n"/>
    </row>
    <row r="640" ht="15.75" customHeight="1">
      <c r="A640" s="398" t="n">
        <v>13</v>
      </c>
      <c r="B640" s="238" t="n"/>
      <c r="C640" s="399" t="n">
        <v>46103</v>
      </c>
      <c r="D640" s="162" t="inlineStr">
        <is>
          <t>218 G. SAN JOSE 1</t>
        </is>
      </c>
      <c r="E640" s="162" t="n">
        <v>46878</v>
      </c>
      <c r="F640" s="162" t="inlineStr">
        <is>
          <t>JAIRO CUBILLOS</t>
        </is>
      </c>
      <c r="G640" s="162" t="n">
        <v>3050</v>
      </c>
      <c r="H640" s="162" t="n">
        <v>3050</v>
      </c>
      <c r="I640" s="162" t="n">
        <v>1</v>
      </c>
      <c r="J640" s="162" t="n">
        <v>6</v>
      </c>
      <c r="K640" s="162" t="n">
        <v>7</v>
      </c>
      <c r="L640" s="241" t="n">
        <v>3050</v>
      </c>
      <c r="M640" s="113" t="n"/>
      <c r="N640" s="113" t="n"/>
      <c r="O640" s="113" t="n"/>
      <c r="P640" s="398" t="n"/>
      <c r="Q640" s="398" t="n"/>
      <c r="R640" s="113" t="n"/>
      <c r="S640" s="113" t="n"/>
      <c r="T640" s="113" t="n"/>
      <c r="U640" s="113" t="n"/>
      <c r="V640" s="113" t="n"/>
    </row>
    <row r="641" ht="15.75" customHeight="1">
      <c r="A641" s="398" t="n">
        <v>13</v>
      </c>
      <c r="B641" s="238" t="n"/>
      <c r="C641" s="399" t="n">
        <v>46103</v>
      </c>
      <c r="D641" s="162" t="inlineStr">
        <is>
          <t>218 G. SAN JOSE 1</t>
        </is>
      </c>
      <c r="E641" s="162" t="n">
        <v>46879</v>
      </c>
      <c r="F641" s="162" t="inlineStr">
        <is>
          <t>WILMER PIÑEROS</t>
        </is>
      </c>
      <c r="G641" s="162" t="n">
        <v>3050</v>
      </c>
      <c r="H641" s="162" t="n">
        <v>3047</v>
      </c>
      <c r="I641" s="162" t="n">
        <v>1</v>
      </c>
      <c r="J641" s="162" t="n">
        <v>7</v>
      </c>
      <c r="K641" s="162" t="n">
        <v>5</v>
      </c>
      <c r="L641" s="241" t="n">
        <v>3050</v>
      </c>
      <c r="M641" s="113" t="n"/>
      <c r="N641" s="113" t="n"/>
      <c r="O641" s="113" t="n"/>
      <c r="P641" s="398" t="n"/>
      <c r="Q641" s="398" t="n"/>
      <c r="R641" s="113" t="n"/>
      <c r="S641" s="113" t="n"/>
      <c r="T641" s="113" t="n"/>
      <c r="U641" s="113" t="n"/>
      <c r="V641" s="113" t="n"/>
    </row>
    <row r="642" ht="15.75" customHeight="1">
      <c r="A642" s="398" t="n">
        <v>13</v>
      </c>
      <c r="B642" s="238" t="n"/>
      <c r="C642" s="399" t="n">
        <v>46103</v>
      </c>
      <c r="D642" s="162" t="inlineStr">
        <is>
          <t>218 G. SAN JOSE 1</t>
        </is>
      </c>
      <c r="E642" s="162" t="n">
        <v>46880</v>
      </c>
      <c r="F642" s="162" t="inlineStr">
        <is>
          <t>FERNANDO OYUELA</t>
        </is>
      </c>
      <c r="G642" s="162" t="n">
        <v>3050</v>
      </c>
      <c r="H642" s="162" t="n">
        <v>3234</v>
      </c>
      <c r="I642" s="162" t="n">
        <v>7</v>
      </c>
      <c r="J642" s="162" t="n">
        <v>8</v>
      </c>
      <c r="K642" s="162" t="n">
        <v>199</v>
      </c>
      <c r="L642" s="241" t="n">
        <v>3050</v>
      </c>
      <c r="M642" s="113" t="n"/>
      <c r="N642" s="113" t="n"/>
      <c r="O642" s="113" t="n"/>
      <c r="P642" s="398" t="n"/>
      <c r="Q642" s="398" t="n"/>
      <c r="R642" s="113" t="n"/>
      <c r="S642" s="113" t="n"/>
      <c r="T642" s="113" t="n"/>
      <c r="U642" s="113" t="n"/>
      <c r="V642" s="113" t="n"/>
    </row>
    <row r="643" ht="15.75" customHeight="1">
      <c r="A643" s="398" t="n">
        <v>13</v>
      </c>
      <c r="B643" s="238" t="n"/>
      <c r="C643" s="399" t="n">
        <v>46103</v>
      </c>
      <c r="D643" s="162" t="inlineStr">
        <is>
          <t>218 G. SAN JOSE 1</t>
        </is>
      </c>
      <c r="E643" s="162" t="n">
        <v>46889</v>
      </c>
      <c r="F643" s="162" t="inlineStr">
        <is>
          <t xml:space="preserve">DIEGO NIÑO </t>
        </is>
      </c>
      <c r="G643" s="162" t="n">
        <v>3240</v>
      </c>
      <c r="H643" s="162" t="n">
        <v>3239</v>
      </c>
      <c r="I643" s="162" t="n">
        <v>2</v>
      </c>
      <c r="J643" s="162" t="n">
        <v>1</v>
      </c>
      <c r="K643" s="162" t="n">
        <v>2</v>
      </c>
      <c r="L643" s="241" t="n">
        <v>3240</v>
      </c>
      <c r="M643" s="113" t="n"/>
      <c r="N643" s="113" t="n"/>
      <c r="O643" s="113" t="n"/>
      <c r="P643" s="398" t="n"/>
      <c r="Q643" s="398" t="n"/>
      <c r="R643" s="113" t="n"/>
      <c r="S643" s="113" t="n"/>
      <c r="T643" s="113" t="n"/>
      <c r="U643" s="113" t="n"/>
      <c r="V643" s="113" t="n"/>
    </row>
    <row r="644" ht="15.75" customHeight="1">
      <c r="A644" s="398" t="n">
        <v>13</v>
      </c>
      <c r="B644" s="238" t="n"/>
      <c r="C644" s="399" t="n">
        <v>46103</v>
      </c>
      <c r="D644" s="162" t="inlineStr">
        <is>
          <t>218 G. SAN JOSE 1</t>
        </is>
      </c>
      <c r="E644" s="162" t="n">
        <v>46890</v>
      </c>
      <c r="F644" s="162" t="inlineStr">
        <is>
          <t>ROBINSON PULIDO</t>
        </is>
      </c>
      <c r="G644" s="162" t="n">
        <v>3240</v>
      </c>
      <c r="H644" s="162" t="n">
        <v>3237</v>
      </c>
      <c r="I644" s="162" t="n">
        <v>5</v>
      </c>
      <c r="J644" s="162" t="n">
        <v>3</v>
      </c>
      <c r="K644" s="162" t="n">
        <v>5</v>
      </c>
      <c r="L644" s="241" t="n">
        <v>3240</v>
      </c>
      <c r="M644" s="113" t="n"/>
      <c r="N644" s="113" t="n"/>
      <c r="O644" s="113" t="n"/>
      <c r="P644" s="398" t="n"/>
      <c r="Q644" s="398" t="n"/>
      <c r="R644" s="113" t="n"/>
      <c r="S644" s="113" t="n"/>
      <c r="T644" s="113" t="n"/>
      <c r="U644" s="113" t="n"/>
      <c r="V644" s="113" t="n"/>
    </row>
    <row r="645" ht="15.75" customHeight="1">
      <c r="A645" s="398" t="n">
        <v>13</v>
      </c>
      <c r="B645" s="238" t="n"/>
      <c r="C645" s="399" t="n">
        <v>46103</v>
      </c>
      <c r="D645" s="162" t="inlineStr">
        <is>
          <t>218 G. SAN JOSE 1</t>
        </is>
      </c>
      <c r="E645" s="162" t="n">
        <v>46891</v>
      </c>
      <c r="F645" s="162" t="inlineStr">
        <is>
          <t>FERNANDO OYUELA</t>
        </is>
      </c>
      <c r="G645" s="162" t="n">
        <v>3240</v>
      </c>
      <c r="H645" s="162" t="n">
        <v>3240</v>
      </c>
      <c r="I645" s="162" t="n">
        <v>5</v>
      </c>
      <c r="J645" s="162" t="n">
        <v>0</v>
      </c>
      <c r="K645" s="162" t="n">
        <v>5</v>
      </c>
      <c r="L645" s="241" t="n">
        <v>3240</v>
      </c>
      <c r="M645" s="113" t="n"/>
      <c r="N645" s="113" t="n"/>
      <c r="O645" s="113" t="n"/>
      <c r="P645" s="398" t="n"/>
      <c r="Q645" s="398" t="n"/>
      <c r="R645" s="113" t="n"/>
      <c r="S645" s="113" t="n"/>
      <c r="T645" s="113" t="n"/>
      <c r="U645" s="113" t="n"/>
      <c r="V645" s="113" t="n"/>
    </row>
    <row r="646" ht="15.75" customHeight="1">
      <c r="A646" s="398" t="n">
        <v>13</v>
      </c>
      <c r="B646" s="238" t="n"/>
      <c r="C646" s="399" t="n">
        <v>46103</v>
      </c>
      <c r="D646" s="162" t="inlineStr">
        <is>
          <t>218 G. SAN JOSE 1</t>
        </is>
      </c>
      <c r="E646" s="162" t="n">
        <v>46892</v>
      </c>
      <c r="F646" s="162" t="inlineStr">
        <is>
          <t>ALEX GOMEZ</t>
        </is>
      </c>
      <c r="G646" s="162" t="n">
        <v>3600</v>
      </c>
      <c r="H646" s="162" t="n">
        <v>3584</v>
      </c>
      <c r="I646" s="162" t="n">
        <v>8</v>
      </c>
      <c r="J646" s="162" t="n">
        <v>2</v>
      </c>
      <c r="K646" s="162" t="n">
        <v>-6</v>
      </c>
      <c r="L646" s="241" t="n">
        <v>3600</v>
      </c>
      <c r="M646" s="113" t="n"/>
      <c r="N646" s="113" t="n"/>
      <c r="O646" s="113" t="n"/>
      <c r="P646" s="398" t="n"/>
      <c r="Q646" s="398" t="n"/>
      <c r="R646" s="113" t="n"/>
      <c r="S646" s="113" t="n"/>
      <c r="T646" s="113" t="n"/>
      <c r="U646" s="113" t="n"/>
      <c r="V646" s="113" t="n"/>
    </row>
    <row r="647" ht="15.75" customHeight="1">
      <c r="A647" s="398" t="n">
        <v>13</v>
      </c>
      <c r="B647" s="238" t="n"/>
      <c r="C647" s="399" t="n">
        <v>46103</v>
      </c>
      <c r="D647" s="162" t="inlineStr">
        <is>
          <t>218 G. SAN JOSE 1</t>
        </is>
      </c>
      <c r="E647" s="162" t="n">
        <v>46893</v>
      </c>
      <c r="F647" s="162" t="inlineStr">
        <is>
          <t>JOSE SOLER</t>
        </is>
      </c>
      <c r="G647" s="162" t="n">
        <v>3240</v>
      </c>
      <c r="H647" s="162" t="n">
        <v>3235</v>
      </c>
      <c r="I647" s="162" t="n">
        <v>4</v>
      </c>
      <c r="J647" s="162" t="n">
        <v>0</v>
      </c>
      <c r="K647" s="162" t="n">
        <v>-1</v>
      </c>
      <c r="L647" s="241" t="n">
        <v>3240</v>
      </c>
      <c r="M647" s="113" t="n"/>
      <c r="N647" s="113" t="n"/>
      <c r="O647" s="113" t="n"/>
      <c r="P647" s="398" t="n"/>
      <c r="Q647" s="398" t="n"/>
      <c r="R647" s="113" t="n"/>
      <c r="S647" s="113" t="n"/>
      <c r="T647" s="113" t="n"/>
      <c r="U647" s="113" t="n"/>
      <c r="V647" s="113" t="n"/>
    </row>
    <row r="648" ht="15.75" customHeight="1">
      <c r="A648" s="398" t="n">
        <v>13</v>
      </c>
      <c r="B648" s="238" t="n"/>
      <c r="C648" s="399" t="n">
        <v>46103</v>
      </c>
      <c r="D648" s="162" t="inlineStr">
        <is>
          <t>218 G. SAN JOSE 1</t>
        </is>
      </c>
      <c r="E648" s="162" t="n">
        <v>46894</v>
      </c>
      <c r="F648" s="162" t="inlineStr">
        <is>
          <t>YAIR RIVEROS</t>
        </is>
      </c>
      <c r="G648" s="162" t="n">
        <v>2907</v>
      </c>
      <c r="H648" s="162" t="n">
        <v>2894</v>
      </c>
      <c r="I648" s="162" t="n">
        <v>4</v>
      </c>
      <c r="J648" s="162" t="n">
        <v>2</v>
      </c>
      <c r="K648" s="162" t="n">
        <v>-7</v>
      </c>
      <c r="L648" s="241" t="n">
        <v>2907</v>
      </c>
      <c r="M648" s="113" t="n"/>
      <c r="N648" s="113" t="n"/>
      <c r="O648" s="113" t="n"/>
      <c r="P648" s="398" t="n"/>
      <c r="Q648" s="398" t="n"/>
      <c r="R648" s="113" t="n"/>
      <c r="S648" s="113" t="n"/>
      <c r="T648" s="113" t="n"/>
      <c r="U648" s="113" t="n"/>
      <c r="V648" s="113" t="n"/>
    </row>
    <row r="649" ht="15.75" customHeight="1">
      <c r="A649" s="398" t="n">
        <v>13</v>
      </c>
      <c r="B649" s="238" t="n"/>
      <c r="C649" s="164" t="n">
        <v>46105</v>
      </c>
      <c r="D649" s="165" t="inlineStr">
        <is>
          <t xml:space="preserve">202 G. HUERTAS </t>
        </is>
      </c>
      <c r="E649" s="165" t="n">
        <v>46903</v>
      </c>
      <c r="F649" s="165" t="inlineStr">
        <is>
          <t>ROBINSON PULIDO</t>
        </is>
      </c>
      <c r="G649" s="165" t="n">
        <v>3179</v>
      </c>
      <c r="H649" s="165" t="n">
        <v>3130</v>
      </c>
      <c r="I649" s="165" t="n">
        <v>67</v>
      </c>
      <c r="J649" s="165" t="n">
        <v>6</v>
      </c>
      <c r="K649" s="165" t="n">
        <v>24</v>
      </c>
      <c r="L649" s="241" t="n">
        <v>3179</v>
      </c>
      <c r="M649" s="113" t="n"/>
      <c r="N649" s="113" t="n"/>
      <c r="O649" s="113" t="n"/>
      <c r="P649" s="398" t="n"/>
      <c r="Q649" s="398" t="n"/>
      <c r="R649" s="113" t="n"/>
      <c r="S649" s="113" t="n"/>
      <c r="T649" s="113" t="n"/>
      <c r="U649" s="113" t="n"/>
      <c r="V649" s="113" t="n"/>
    </row>
    <row r="650" ht="15.75" customHeight="1">
      <c r="A650" s="398" t="n">
        <v>13</v>
      </c>
      <c r="B650" s="238" t="n"/>
      <c r="C650" s="164" t="n">
        <v>46105</v>
      </c>
      <c r="D650" s="165" t="inlineStr">
        <is>
          <t xml:space="preserve">202 G. HUERTAS </t>
        </is>
      </c>
      <c r="E650" s="165" t="n">
        <v>46904</v>
      </c>
      <c r="F650" s="165" t="inlineStr">
        <is>
          <t>JHON ARIAS</t>
        </is>
      </c>
      <c r="G650" s="165" t="n">
        <v>3350</v>
      </c>
      <c r="H650" s="165" t="n">
        <v>3332</v>
      </c>
      <c r="I650" s="165" t="n">
        <v>12</v>
      </c>
      <c r="J650" s="165" t="n">
        <v>3</v>
      </c>
      <c r="K650" s="165" t="n">
        <v>-3</v>
      </c>
      <c r="L650" s="241" t="n">
        <v>3350</v>
      </c>
      <c r="M650" s="113" t="n"/>
      <c r="N650" s="113" t="n"/>
      <c r="O650" s="113" t="n"/>
      <c r="P650" s="398" t="n"/>
      <c r="Q650" s="398" t="n"/>
      <c r="R650" s="113" t="n"/>
      <c r="S650" s="113" t="n"/>
      <c r="T650" s="113" t="n"/>
      <c r="U650" s="113" t="n"/>
      <c r="V650" s="113" t="n"/>
    </row>
    <row r="651" ht="15.75" customHeight="1">
      <c r="A651" s="398" t="n">
        <v>13</v>
      </c>
      <c r="B651" s="238" t="n"/>
      <c r="C651" s="164" t="n">
        <v>46105</v>
      </c>
      <c r="D651" s="166" t="inlineStr">
        <is>
          <t xml:space="preserve">202 G. HUERTAS </t>
        </is>
      </c>
      <c r="E651" s="166" t="n">
        <v>46905</v>
      </c>
      <c r="F651" s="166" t="inlineStr">
        <is>
          <t>JAIRO CUBILLOS</t>
        </is>
      </c>
      <c r="G651" s="166" t="n">
        <v>3350</v>
      </c>
      <c r="H651" s="166" t="n">
        <v>3330</v>
      </c>
      <c r="I651" s="166" t="n">
        <v>8</v>
      </c>
      <c r="J651" s="166" t="n">
        <v>5</v>
      </c>
      <c r="K651" s="166" t="n">
        <v>-7</v>
      </c>
      <c r="L651" s="241" t="n">
        <v>3350</v>
      </c>
      <c r="M651" s="113" t="n"/>
      <c r="N651" s="113" t="n"/>
      <c r="O651" s="113" t="n"/>
      <c r="P651" s="398" t="n"/>
      <c r="Q651" s="398" t="n"/>
      <c r="R651" s="113" t="n"/>
      <c r="S651" s="113" t="n"/>
      <c r="T651" s="113" t="n"/>
      <c r="U651" s="113" t="n"/>
      <c r="V651" s="113" t="n"/>
    </row>
    <row r="652" ht="15.75" customHeight="1">
      <c r="A652" s="398" t="n">
        <v>13</v>
      </c>
      <c r="B652" s="238" t="n"/>
      <c r="C652" s="164" t="n">
        <v>46105</v>
      </c>
      <c r="D652" s="166" t="inlineStr">
        <is>
          <t xml:space="preserve">202 G. HUERTAS </t>
        </is>
      </c>
      <c r="E652" s="166" t="n">
        <v>46906</v>
      </c>
      <c r="F652" s="166" t="inlineStr">
        <is>
          <t>WILMER PIÑEROS</t>
        </is>
      </c>
      <c r="G652" s="166" t="n">
        <v>3100</v>
      </c>
      <c r="H652" s="166" t="n">
        <v>3098</v>
      </c>
      <c r="I652" s="166" t="n">
        <v>7</v>
      </c>
      <c r="J652" s="166" t="n">
        <v>7</v>
      </c>
      <c r="K652" s="166" t="n">
        <v>12</v>
      </c>
      <c r="L652" s="241" t="n">
        <v>3350</v>
      </c>
      <c r="M652" s="113" t="n"/>
      <c r="N652" s="113" t="n"/>
      <c r="O652" s="113" t="n"/>
      <c r="P652" s="398" t="n"/>
      <c r="Q652" s="398" t="n"/>
      <c r="R652" s="113" t="n"/>
      <c r="S652" s="113" t="n"/>
      <c r="T652" s="113" t="n"/>
      <c r="U652" s="113" t="n"/>
      <c r="V652" s="113" t="n"/>
    </row>
    <row r="653" ht="15.75" customHeight="1">
      <c r="A653" s="398" t="n">
        <v>13</v>
      </c>
      <c r="B653" s="238" t="n"/>
      <c r="C653" s="164" t="n">
        <v>46105</v>
      </c>
      <c r="D653" s="166" t="inlineStr">
        <is>
          <t xml:space="preserve">202 G. HUERTAS </t>
        </is>
      </c>
      <c r="E653" s="166" t="n">
        <v>46907</v>
      </c>
      <c r="F653" s="166" t="inlineStr">
        <is>
          <t>FERNANDO OYUELA</t>
        </is>
      </c>
      <c r="G653" s="166" t="n">
        <v>3350</v>
      </c>
      <c r="H653" s="166" t="n">
        <v>3342</v>
      </c>
      <c r="I653" s="166" t="n">
        <v>5</v>
      </c>
      <c r="J653" s="166" t="n">
        <v>5</v>
      </c>
      <c r="K653" s="166" t="n">
        <v>2</v>
      </c>
      <c r="L653" s="241" t="n">
        <v>3100</v>
      </c>
      <c r="M653" s="113" t="n"/>
      <c r="N653" s="113" t="n"/>
      <c r="O653" s="113" t="n"/>
      <c r="P653" s="398" t="n"/>
      <c r="Q653" s="398" t="n"/>
      <c r="R653" s="113" t="n"/>
      <c r="S653" s="113" t="n"/>
      <c r="T653" s="113" t="n"/>
      <c r="U653" s="113" t="n"/>
      <c r="V653" s="113" t="n"/>
    </row>
    <row r="654" ht="15.75" customHeight="1">
      <c r="A654" s="398" t="n">
        <v>13</v>
      </c>
      <c r="B654" s="238" t="n"/>
      <c r="C654" s="164" t="n">
        <v>46105</v>
      </c>
      <c r="D654" s="166" t="inlineStr">
        <is>
          <t xml:space="preserve">202 G. HUERTAS </t>
        </is>
      </c>
      <c r="E654" s="166" t="n">
        <v>46908</v>
      </c>
      <c r="F654" s="166" t="inlineStr">
        <is>
          <t>JOSE SOLER</t>
        </is>
      </c>
      <c r="G654" s="166" t="n">
        <v>3120</v>
      </c>
      <c r="H654" s="166" t="n">
        <v>3118</v>
      </c>
      <c r="I654" s="166" t="n">
        <v>1</v>
      </c>
      <c r="J654" s="166" t="n">
        <v>3</v>
      </c>
      <c r="K654" s="166" t="n">
        <v>2</v>
      </c>
      <c r="L654" s="241" t="n">
        <v>3240</v>
      </c>
      <c r="M654" s="113" t="n"/>
      <c r="N654" s="113" t="n"/>
      <c r="O654" s="113" t="n"/>
      <c r="P654" s="398" t="n"/>
      <c r="Q654" s="398" t="n"/>
      <c r="R654" s="113" t="n"/>
      <c r="S654" s="113" t="n"/>
      <c r="T654" s="113" t="n"/>
      <c r="U654" s="113" t="n"/>
      <c r="V654" s="113" t="n"/>
    </row>
    <row r="655" ht="15.75" customHeight="1">
      <c r="A655" s="398" t="n">
        <v>13</v>
      </c>
      <c r="B655" s="238" t="n"/>
      <c r="C655" s="164" t="n">
        <v>46105</v>
      </c>
      <c r="D655" s="166" t="inlineStr">
        <is>
          <t xml:space="preserve">202 G. HUERTAS </t>
        </is>
      </c>
      <c r="E655" s="166" t="n">
        <v>46921</v>
      </c>
      <c r="F655" s="166" t="inlineStr">
        <is>
          <t xml:space="preserve">HENRY ROMERO </t>
        </is>
      </c>
      <c r="G655" s="166" t="n">
        <v>3240</v>
      </c>
      <c r="H655" s="166" t="n">
        <v>3213</v>
      </c>
      <c r="I655" s="166" t="n">
        <v>8</v>
      </c>
      <c r="J655" s="166" t="n">
        <v>21</v>
      </c>
      <c r="K655" s="166" t="n">
        <v>2</v>
      </c>
      <c r="L655" s="241" t="n">
        <v>3120</v>
      </c>
      <c r="M655" s="113" t="n"/>
      <c r="N655" s="113" t="n"/>
      <c r="O655" s="113" t="n"/>
      <c r="P655" s="398" t="n"/>
      <c r="Q655" s="398" t="n"/>
      <c r="R655" s="113" t="n"/>
      <c r="S655" s="113" t="n"/>
      <c r="T655" s="113" t="n"/>
      <c r="U655" s="113" t="n"/>
      <c r="V655" s="113" t="n"/>
    </row>
    <row r="656" ht="15.75" customHeight="1">
      <c r="A656" s="398" t="n">
        <v>13</v>
      </c>
      <c r="B656" s="238" t="n"/>
      <c r="C656" s="399" t="n">
        <v>46105</v>
      </c>
      <c r="D656" s="162" t="inlineStr">
        <is>
          <t>200 G. GARCERAS</t>
        </is>
      </c>
      <c r="E656" s="162" t="n">
        <v>46909</v>
      </c>
      <c r="F656" s="162" t="inlineStr">
        <is>
          <t>EDWIN ROJAS</t>
        </is>
      </c>
      <c r="G656" s="162" t="n">
        <v>3170</v>
      </c>
      <c r="H656" s="162" t="n">
        <v>3171</v>
      </c>
      <c r="I656" s="162" t="n">
        <v>2</v>
      </c>
      <c r="J656" s="162" t="n">
        <v>1</v>
      </c>
      <c r="K656" s="162" t="n">
        <v>4</v>
      </c>
      <c r="L656" s="241" t="n">
        <v>3531</v>
      </c>
      <c r="M656" s="113" t="n"/>
      <c r="N656" s="113" t="n"/>
      <c r="O656" s="113" t="n"/>
      <c r="P656" s="398" t="n"/>
      <c r="Q656" s="398" t="n"/>
      <c r="R656" s="113" t="n"/>
      <c r="S656" s="113" t="n"/>
      <c r="T656" s="113" t="n"/>
      <c r="U656" s="113" t="n"/>
      <c r="V656" s="113" t="n"/>
    </row>
    <row r="657" ht="15.75" customHeight="1">
      <c r="A657" s="398" t="n">
        <v>13</v>
      </c>
      <c r="B657" s="238" t="n"/>
      <c r="C657" s="399" t="n">
        <v>46105</v>
      </c>
      <c r="D657" s="162" t="inlineStr">
        <is>
          <t>218 G. SAN JOSE 1</t>
        </is>
      </c>
      <c r="E657" s="162" t="n">
        <v>46918</v>
      </c>
      <c r="F657" s="162" t="inlineStr">
        <is>
          <t>JAIRO CUBILLOS</t>
        </is>
      </c>
      <c r="G657" s="162" t="n">
        <v>3531</v>
      </c>
      <c r="H657" s="162" t="n">
        <v>3506</v>
      </c>
      <c r="I657" s="162" t="n">
        <v>3</v>
      </c>
      <c r="J657" s="162" t="n">
        <v>3</v>
      </c>
      <c r="K657" s="162" t="n">
        <v>-19</v>
      </c>
      <c r="L657" s="241" t="n">
        <v>3170</v>
      </c>
      <c r="M657" s="113" t="n"/>
      <c r="N657" s="113" t="n"/>
      <c r="O657" s="113" t="n"/>
      <c r="P657" s="398" t="n"/>
      <c r="Q657" s="398" t="n"/>
      <c r="R657" s="113" t="n"/>
      <c r="S657" s="113" t="n"/>
      <c r="T657" s="113" t="n"/>
      <c r="U657" s="113" t="n"/>
      <c r="V657" s="113" t="n"/>
    </row>
    <row r="658" ht="15.75" customHeight="1">
      <c r="A658" s="398" t="n">
        <v>13</v>
      </c>
      <c r="B658" s="238" t="n"/>
      <c r="C658" s="399" t="n">
        <v>46105</v>
      </c>
      <c r="D658" s="162" t="inlineStr">
        <is>
          <t>200 G. GARCERAS</t>
        </is>
      </c>
      <c r="E658" s="162" t="n">
        <v>46919</v>
      </c>
      <c r="F658" s="162" t="inlineStr">
        <is>
          <t>ROBINSON PULIDO</t>
        </is>
      </c>
      <c r="G658" s="162" t="n">
        <v>3170</v>
      </c>
      <c r="H658" s="162" t="n">
        <v>3167</v>
      </c>
      <c r="I658" s="162" t="n">
        <v>2</v>
      </c>
      <c r="J658" s="162" t="n">
        <v>3</v>
      </c>
      <c r="K658" s="162" t="n">
        <v>2</v>
      </c>
      <c r="L658" s="241" t="n">
        <v>3170</v>
      </c>
      <c r="M658" s="113" t="n"/>
      <c r="N658" s="113" t="n"/>
      <c r="O658" s="113" t="n"/>
      <c r="P658" s="398" t="n"/>
      <c r="Q658" s="398" t="n"/>
      <c r="R658" s="113" t="n"/>
      <c r="S658" s="113" t="n"/>
      <c r="T658" s="113" t="n"/>
      <c r="U658" s="113" t="n"/>
      <c r="V658" s="113" t="n"/>
    </row>
    <row r="659" ht="15.75" customHeight="1">
      <c r="A659" s="398" t="n">
        <v>13</v>
      </c>
      <c r="B659" s="238" t="n"/>
      <c r="C659" s="399" t="n">
        <v>46105</v>
      </c>
      <c r="D659" s="162" t="inlineStr">
        <is>
          <t>200 G. GARCERAS</t>
        </is>
      </c>
      <c r="E659" s="162" t="n">
        <v>46920</v>
      </c>
      <c r="F659" s="162" t="inlineStr">
        <is>
          <t>JHON ARIAS</t>
        </is>
      </c>
      <c r="G659" s="162" t="n">
        <v>3170</v>
      </c>
      <c r="H659" s="162" t="n">
        <v>3165</v>
      </c>
      <c r="I659" s="162" t="n">
        <v>3</v>
      </c>
      <c r="J659" s="162" t="n">
        <v>3</v>
      </c>
      <c r="K659" s="162" t="n">
        <v>1</v>
      </c>
      <c r="L659" s="241" t="n">
        <v>3170</v>
      </c>
      <c r="M659" s="113" t="n"/>
      <c r="N659" s="113" t="n"/>
      <c r="O659" s="113" t="n"/>
      <c r="P659" s="398" t="n"/>
      <c r="Q659" s="398" t="n"/>
      <c r="R659" s="113" t="n"/>
      <c r="S659" s="113" t="n"/>
      <c r="T659" s="113" t="n"/>
      <c r="U659" s="113" t="n"/>
      <c r="V659" s="113" t="n"/>
    </row>
    <row r="660" ht="15.75" customHeight="1">
      <c r="A660" s="398" t="n">
        <v>13</v>
      </c>
      <c r="B660" s="238" t="n"/>
      <c r="C660" s="399" t="n">
        <v>46105</v>
      </c>
      <c r="D660" s="162" t="inlineStr">
        <is>
          <t>200 G. GARCERAS</t>
        </is>
      </c>
      <c r="E660" s="162" t="n">
        <v>46922</v>
      </c>
      <c r="F660" s="162" t="inlineStr">
        <is>
          <t>WILMER PIÑEROS</t>
        </is>
      </c>
      <c r="G660" s="162" t="n">
        <v>3170</v>
      </c>
      <c r="H660" s="162" t="n">
        <v>3167</v>
      </c>
      <c r="I660" s="162" t="n">
        <v>3</v>
      </c>
      <c r="J660" s="162" t="n">
        <v>1</v>
      </c>
      <c r="K660" s="162" t="n">
        <v>1</v>
      </c>
      <c r="L660" s="241" t="n">
        <v>3170</v>
      </c>
      <c r="M660" s="113" t="n"/>
      <c r="N660" s="113" t="n"/>
      <c r="O660" s="113" t="n"/>
      <c r="P660" s="398" t="n"/>
      <c r="Q660" s="398" t="n"/>
      <c r="R660" s="113" t="n"/>
      <c r="S660" s="113" t="n"/>
      <c r="T660" s="113" t="n"/>
      <c r="U660" s="113" t="n"/>
      <c r="V660" s="113" t="n"/>
    </row>
    <row r="661" ht="15.75" customHeight="1">
      <c r="A661" s="398" t="n">
        <v>13</v>
      </c>
      <c r="B661" s="238" t="n"/>
      <c r="C661" s="399" t="n">
        <v>46105</v>
      </c>
      <c r="D661" s="162" t="inlineStr">
        <is>
          <t>200 G. GARCERAS</t>
        </is>
      </c>
      <c r="E661" s="162" t="n">
        <v>46923</v>
      </c>
      <c r="F661" s="162" t="inlineStr">
        <is>
          <t>FERNANDO OYUELA</t>
        </is>
      </c>
      <c r="G661" s="162" t="n">
        <v>3110</v>
      </c>
      <c r="H661" s="162" t="n">
        <v>3104</v>
      </c>
      <c r="I661" s="162" t="n">
        <v>3</v>
      </c>
      <c r="J661" s="162" t="n">
        <v>4</v>
      </c>
      <c r="K661" s="162" t="n">
        <v>1</v>
      </c>
      <c r="L661" s="241" t="n">
        <v>3110</v>
      </c>
      <c r="M661" s="113" t="n"/>
      <c r="N661" s="113" t="n"/>
      <c r="O661" s="113" t="n"/>
      <c r="P661" s="398" t="n"/>
      <c r="Q661" s="398" t="n"/>
      <c r="R661" s="113" t="n"/>
      <c r="S661" s="113" t="n"/>
      <c r="T661" s="113" t="n"/>
      <c r="U661" s="113" t="n"/>
      <c r="V661" s="113" t="n"/>
    </row>
    <row r="662" ht="15.75" customHeight="1">
      <c r="A662" s="398" t="n">
        <v>13</v>
      </c>
      <c r="B662" s="238" t="n"/>
      <c r="C662" s="399" t="n">
        <v>46105</v>
      </c>
      <c r="D662" s="162" t="inlineStr">
        <is>
          <t>200 G. GARCERAS</t>
        </is>
      </c>
      <c r="E662" s="162" t="n">
        <v>46924</v>
      </c>
      <c r="F662" s="162" t="inlineStr">
        <is>
          <t>FABIO ALDANA</t>
        </is>
      </c>
      <c r="G662" s="162" t="n">
        <v>3110</v>
      </c>
      <c r="H662" s="162" t="n">
        <v>3096</v>
      </c>
      <c r="I662" s="162" t="n">
        <v>0</v>
      </c>
      <c r="J662" s="162" t="n">
        <v>0</v>
      </c>
      <c r="K662" s="162" t="n">
        <v>-14</v>
      </c>
      <c r="L662" s="241" t="n">
        <v>3110</v>
      </c>
      <c r="M662" s="113" t="n"/>
      <c r="N662" s="113" t="n"/>
      <c r="O662" s="113" t="n"/>
      <c r="P662" s="398" t="n"/>
      <c r="Q662" s="398" t="n"/>
      <c r="R662" s="113" t="n"/>
      <c r="S662" s="113" t="n"/>
      <c r="T662" s="113" t="n"/>
      <c r="U662" s="113" t="n"/>
      <c r="V662" s="113" t="n"/>
    </row>
    <row r="663" ht="15.75" customHeight="1">
      <c r="A663" s="398" t="n">
        <v>13</v>
      </c>
      <c r="B663" s="238" t="n"/>
      <c r="C663" s="399" t="n">
        <v>46105</v>
      </c>
      <c r="D663" s="162" t="inlineStr">
        <is>
          <t>200 G. GARCERAS</t>
        </is>
      </c>
      <c r="E663" s="162" t="n">
        <v>46925</v>
      </c>
      <c r="F663" s="162" t="inlineStr">
        <is>
          <t>JAIRO CUBILLOS</t>
        </is>
      </c>
      <c r="G663" s="162" t="n">
        <v>3110</v>
      </c>
      <c r="H663" s="162" t="n">
        <v>3106</v>
      </c>
      <c r="I663" s="162" t="n">
        <v>3</v>
      </c>
      <c r="J663" s="162" t="n">
        <v>1</v>
      </c>
      <c r="K663" s="162" t="n">
        <v>0</v>
      </c>
      <c r="L663" s="241" t="n">
        <v>3110</v>
      </c>
      <c r="M663" s="113" t="n"/>
      <c r="N663" s="113" t="n"/>
      <c r="O663" s="113" t="n"/>
      <c r="P663" s="398" t="n"/>
      <c r="Q663" s="398" t="n"/>
      <c r="R663" s="113" t="n"/>
      <c r="S663" s="113" t="n"/>
      <c r="T663" s="113" t="n"/>
      <c r="U663" s="113" t="n"/>
      <c r="V663" s="113" t="n"/>
    </row>
    <row r="664" ht="15.75" customHeight="1">
      <c r="A664" s="398" t="n">
        <v>13</v>
      </c>
      <c r="B664" s="238" t="n"/>
      <c r="C664" s="399" t="n">
        <v>46105</v>
      </c>
      <c r="D664" s="162" t="inlineStr">
        <is>
          <t>200 G. GARCERAS</t>
        </is>
      </c>
      <c r="E664" s="162" t="n">
        <v>46926</v>
      </c>
      <c r="F664" s="162" t="inlineStr">
        <is>
          <t>ALBERTO LOPEZ</t>
        </is>
      </c>
      <c r="G664" s="162" t="n">
        <v>3110</v>
      </c>
      <c r="H664" s="162" t="n">
        <v>3106</v>
      </c>
      <c r="I664" s="162" t="n">
        <v>4</v>
      </c>
      <c r="J664" s="162" t="n">
        <v>0</v>
      </c>
      <c r="K664" s="162" t="n">
        <v>0</v>
      </c>
      <c r="L664" s="241" t="n">
        <v>3110</v>
      </c>
      <c r="M664" s="113" t="n"/>
      <c r="N664" s="113" t="n"/>
      <c r="O664" s="113" t="n"/>
      <c r="P664" s="398" t="n"/>
      <c r="Q664" s="398" t="n"/>
      <c r="R664" s="113" t="n"/>
      <c r="S664" s="113" t="n"/>
      <c r="T664" s="113" t="n"/>
      <c r="U664" s="113" t="n"/>
      <c r="V664" s="113" t="n"/>
    </row>
    <row r="665" ht="15.75" customHeight="1">
      <c r="A665" s="398" t="n">
        <v>13</v>
      </c>
      <c r="B665" s="238" t="n"/>
      <c r="C665" s="399" t="n">
        <v>46105</v>
      </c>
      <c r="D665" s="162" t="inlineStr">
        <is>
          <t>200 G. GARCERAS</t>
        </is>
      </c>
      <c r="E665" s="162" t="n">
        <v>46927</v>
      </c>
      <c r="F665" s="162" t="inlineStr">
        <is>
          <t>ALEX GOMEZ</t>
        </is>
      </c>
      <c r="G665" s="162" t="n">
        <v>3110</v>
      </c>
      <c r="H665" s="162" t="n">
        <v>3100</v>
      </c>
      <c r="I665" s="162" t="n">
        <v>3</v>
      </c>
      <c r="J665" s="162" t="n">
        <v>3</v>
      </c>
      <c r="K665" s="162" t="n">
        <v>-4</v>
      </c>
      <c r="L665" s="241" t="n">
        <v>3110</v>
      </c>
      <c r="M665" s="113" t="n"/>
      <c r="N665" s="113" t="n"/>
      <c r="O665" s="113" t="n"/>
      <c r="P665" s="398" t="n"/>
      <c r="Q665" s="398" t="n"/>
      <c r="R665" s="113" t="n"/>
      <c r="S665" s="113" t="n"/>
      <c r="T665" s="113" t="n"/>
      <c r="U665" s="113" t="n"/>
      <c r="V665" s="113" t="n"/>
    </row>
    <row r="666" ht="15.75" customHeight="1">
      <c r="A666" s="398" t="n">
        <v>13</v>
      </c>
      <c r="B666" s="238" t="n"/>
      <c r="C666" s="164" t="n">
        <v>46106</v>
      </c>
      <c r="D666" s="166" t="inlineStr">
        <is>
          <t xml:space="preserve">202 G. HUERTAS </t>
        </is>
      </c>
      <c r="E666" s="166" t="n">
        <v>46938</v>
      </c>
      <c r="F666" s="166" t="inlineStr">
        <is>
          <t>EDWIN ROJAS</t>
        </is>
      </c>
      <c r="G666" s="166" t="n">
        <v>3424</v>
      </c>
      <c r="H666" s="166" t="n">
        <v>3425</v>
      </c>
      <c r="I666" s="166" t="n">
        <v>0</v>
      </c>
      <c r="J666" s="166" t="n">
        <v>2</v>
      </c>
      <c r="K666" s="166" t="n">
        <v>3</v>
      </c>
      <c r="L666" s="241" t="n">
        <v>3424</v>
      </c>
      <c r="M666" s="113" t="n"/>
      <c r="N666" s="113" t="n"/>
      <c r="O666" s="113" t="n"/>
      <c r="P666" s="398" t="n"/>
      <c r="Q666" s="398" t="n"/>
      <c r="R666" s="113" t="n"/>
      <c r="S666" s="113" t="n"/>
      <c r="T666" s="113" t="n"/>
      <c r="U666" s="113" t="n"/>
      <c r="V666" s="113" t="n"/>
    </row>
    <row r="667" ht="15.75" customHeight="1">
      <c r="A667" s="398" t="n">
        <v>13</v>
      </c>
      <c r="B667" s="238" t="n"/>
      <c r="C667" s="164" t="n">
        <v>46106</v>
      </c>
      <c r="D667" s="166" t="inlineStr">
        <is>
          <t xml:space="preserve">202 G. HUERTAS </t>
        </is>
      </c>
      <c r="E667" s="166" t="n">
        <v>46939</v>
      </c>
      <c r="F667" s="166" t="inlineStr">
        <is>
          <t>ALEX GOMEZ</t>
        </is>
      </c>
      <c r="G667" s="166" t="n">
        <v>3416</v>
      </c>
      <c r="H667" s="166" t="n">
        <v>3412</v>
      </c>
      <c r="I667" s="166" t="n">
        <v>1</v>
      </c>
      <c r="J667" s="166" t="n">
        <v>3</v>
      </c>
      <c r="K667" s="166" t="n">
        <v>0</v>
      </c>
      <c r="L667" s="241" t="n">
        <v>3416</v>
      </c>
      <c r="M667" s="113" t="n"/>
      <c r="N667" s="113" t="n"/>
      <c r="O667" s="113" t="n"/>
      <c r="P667" s="398" t="n"/>
      <c r="Q667" s="398" t="n"/>
      <c r="R667" s="113" t="n"/>
      <c r="S667" s="113" t="n"/>
      <c r="T667" s="113" t="n"/>
      <c r="U667" s="113" t="n"/>
      <c r="V667" s="113" t="n"/>
    </row>
    <row r="668" ht="15.75" customHeight="1">
      <c r="A668" s="398" t="n">
        <v>13</v>
      </c>
      <c r="B668" s="238" t="n"/>
      <c r="C668" s="164" t="n">
        <v>46106</v>
      </c>
      <c r="D668" s="166" t="inlineStr">
        <is>
          <t xml:space="preserve">202 G. HUERTAS </t>
        </is>
      </c>
      <c r="E668" s="166" t="n">
        <v>46940</v>
      </c>
      <c r="F668" s="146" t="inlineStr">
        <is>
          <t xml:space="preserve">DIEGO NIÑO </t>
        </is>
      </c>
      <c r="G668" s="146" t="n">
        <v>3450</v>
      </c>
      <c r="H668" s="146" t="n">
        <v>3450</v>
      </c>
      <c r="I668" s="146" t="n">
        <v>0</v>
      </c>
      <c r="J668" s="146" t="n">
        <v>1</v>
      </c>
      <c r="K668" s="166" t="n">
        <v>1</v>
      </c>
      <c r="L668" s="241" t="n">
        <v>3450</v>
      </c>
      <c r="M668" s="113" t="n"/>
      <c r="N668" s="113" t="n"/>
      <c r="O668" s="113" t="n"/>
      <c r="P668" s="398" t="n"/>
      <c r="Q668" s="398" t="n"/>
      <c r="R668" s="113" t="n"/>
      <c r="S668" s="113" t="n"/>
      <c r="T668" s="113" t="n"/>
      <c r="U668" s="113" t="n"/>
      <c r="V668" s="113" t="n"/>
    </row>
    <row r="669" ht="15.75" customHeight="1">
      <c r="A669" s="398" t="n">
        <v>13</v>
      </c>
      <c r="B669" s="238" t="n"/>
      <c r="C669" s="399" t="n">
        <v>46106</v>
      </c>
      <c r="D669" s="162" t="inlineStr">
        <is>
          <t>200 G. GARCERAS</t>
        </is>
      </c>
      <c r="E669" s="162" t="n">
        <v>46941</v>
      </c>
      <c r="F669" s="162" t="inlineStr">
        <is>
          <t xml:space="preserve">HENRY ROMERO </t>
        </is>
      </c>
      <c r="G669" s="162" t="n">
        <v>3190</v>
      </c>
      <c r="H669" s="162" t="n">
        <v>3194</v>
      </c>
      <c r="I669" s="162" t="n">
        <v>0</v>
      </c>
      <c r="J669" s="162" t="n">
        <v>3</v>
      </c>
      <c r="K669" s="162" t="n">
        <v>7</v>
      </c>
      <c r="L669" s="241" t="n">
        <v>3190</v>
      </c>
      <c r="M669" s="113" t="n"/>
      <c r="N669" s="113" t="n"/>
      <c r="O669" s="113" t="n"/>
      <c r="P669" s="398" t="n"/>
      <c r="Q669" s="398" t="n"/>
      <c r="R669" s="113" t="n"/>
      <c r="S669" s="113" t="n"/>
      <c r="T669" s="113" t="n"/>
      <c r="U669" s="113" t="n"/>
      <c r="V669" s="113" t="n"/>
    </row>
    <row r="670" ht="15.75" customHeight="1">
      <c r="A670" s="398" t="n">
        <v>13</v>
      </c>
      <c r="B670" s="238" t="n"/>
      <c r="C670" s="399" t="n">
        <v>46106</v>
      </c>
      <c r="D670" s="162" t="inlineStr">
        <is>
          <t>200 G. GARCERAS</t>
        </is>
      </c>
      <c r="E670" s="162" t="n">
        <v>46942</v>
      </c>
      <c r="F670" s="162" t="inlineStr">
        <is>
          <t>FABIO ALDANA</t>
        </is>
      </c>
      <c r="G670" s="162" t="n">
        <v>3190</v>
      </c>
      <c r="H670" s="162" t="n">
        <v>3189</v>
      </c>
      <c r="I670" s="162" t="n">
        <v>0</v>
      </c>
      <c r="J670" s="162" t="n">
        <v>3</v>
      </c>
      <c r="K670" s="162" t="n">
        <v>2</v>
      </c>
      <c r="L670" s="241" t="n">
        <v>3190</v>
      </c>
      <c r="M670" s="113" t="n"/>
      <c r="N670" s="113" t="n"/>
      <c r="O670" s="113" t="n"/>
      <c r="P670" s="398" t="n"/>
      <c r="Q670" s="398" t="n"/>
      <c r="R670" s="113" t="n"/>
      <c r="S670" s="113" t="n"/>
      <c r="T670" s="113" t="n"/>
      <c r="U670" s="113" t="n"/>
      <c r="V670" s="113" t="n"/>
    </row>
    <row r="671" ht="15.75" customHeight="1">
      <c r="A671" s="398" t="n">
        <v>13</v>
      </c>
      <c r="B671" s="238" t="n"/>
      <c r="C671" s="399" t="n">
        <v>46106</v>
      </c>
      <c r="D671" s="162" t="inlineStr">
        <is>
          <t>200 G. GARCERAS</t>
        </is>
      </c>
      <c r="E671" s="162" t="n">
        <v>46943</v>
      </c>
      <c r="F671" s="162" t="inlineStr">
        <is>
          <t>MANUEL QUITIAN</t>
        </is>
      </c>
      <c r="G671" s="162" t="n">
        <v>3190</v>
      </c>
      <c r="H671" s="162" t="n">
        <v>3192</v>
      </c>
      <c r="I671" s="162" t="n">
        <v>1</v>
      </c>
      <c r="J671" s="162" t="n">
        <v>2</v>
      </c>
      <c r="K671" s="162" t="n">
        <v>5</v>
      </c>
      <c r="L671" s="241" t="n">
        <v>3190</v>
      </c>
      <c r="M671" s="113" t="n"/>
      <c r="N671" s="113" t="n"/>
      <c r="O671" s="113" t="n"/>
      <c r="P671" s="398" t="n"/>
      <c r="Q671" s="398" t="n"/>
      <c r="R671" s="113" t="n"/>
      <c r="S671" s="113" t="n"/>
      <c r="T671" s="113" t="n"/>
      <c r="U671" s="113" t="n"/>
      <c r="V671" s="113" t="n"/>
    </row>
    <row r="672" ht="15.75" customHeight="1">
      <c r="A672" s="398" t="n">
        <v>13</v>
      </c>
      <c r="B672" s="238" t="n"/>
      <c r="C672" s="399" t="n">
        <v>46106</v>
      </c>
      <c r="D672" s="162" t="inlineStr">
        <is>
          <t>200 G. GARCERAS</t>
        </is>
      </c>
      <c r="E672" s="162" t="n">
        <v>46944</v>
      </c>
      <c r="F672" s="162" t="inlineStr">
        <is>
          <t>DUMAR ANGARITA</t>
        </is>
      </c>
      <c r="G672" s="162" t="n">
        <v>3190</v>
      </c>
      <c r="H672" s="162" t="n">
        <v>3188</v>
      </c>
      <c r="I672" s="162" t="n">
        <v>2</v>
      </c>
      <c r="J672" s="162" t="n">
        <v>2</v>
      </c>
      <c r="K672" s="162" t="n">
        <v>2</v>
      </c>
      <c r="L672" s="241" t="n">
        <v>3190</v>
      </c>
      <c r="M672" s="113" t="n"/>
      <c r="N672" s="113" t="n"/>
      <c r="O672" s="113" t="n"/>
      <c r="P672" s="398" t="n"/>
      <c r="Q672" s="398" t="n"/>
      <c r="R672" s="113" t="n"/>
      <c r="S672" s="113" t="n"/>
      <c r="T672" s="113" t="n"/>
      <c r="U672" s="113" t="n"/>
      <c r="V672" s="113" t="n"/>
    </row>
    <row r="673" ht="15.75" customHeight="1">
      <c r="A673" s="398" t="n">
        <v>13</v>
      </c>
      <c r="B673" s="238" t="n"/>
      <c r="C673" s="399" t="n">
        <v>46106</v>
      </c>
      <c r="D673" s="162" t="inlineStr">
        <is>
          <t>200 G. GARCERAS</t>
        </is>
      </c>
      <c r="E673" s="162" t="n">
        <v>46952</v>
      </c>
      <c r="F673" s="162" t="inlineStr">
        <is>
          <t>JAIRO CUBILLOS</t>
        </is>
      </c>
      <c r="G673" s="162" t="n">
        <v>3190</v>
      </c>
      <c r="H673" s="162" t="n">
        <v>3195</v>
      </c>
      <c r="I673" s="162" t="n">
        <v>1</v>
      </c>
      <c r="J673" s="162" t="n">
        <v>2</v>
      </c>
      <c r="K673" s="162" t="n">
        <v>8</v>
      </c>
      <c r="L673" s="241" t="n">
        <v>3190</v>
      </c>
      <c r="M673" s="113" t="n"/>
      <c r="N673" s="113" t="n"/>
      <c r="O673" s="113" t="n"/>
      <c r="P673" s="398" t="n"/>
      <c r="Q673" s="398" t="n"/>
      <c r="R673" s="113" t="n"/>
      <c r="S673" s="113" t="n"/>
      <c r="T673" s="113" t="n"/>
      <c r="U673" s="113" t="n"/>
      <c r="V673" s="113" t="n"/>
    </row>
    <row r="674" ht="15.75" customHeight="1">
      <c r="A674" s="398" t="n">
        <v>13</v>
      </c>
      <c r="B674" s="238" t="n"/>
      <c r="C674" s="399" t="n">
        <v>46106</v>
      </c>
      <c r="D674" s="162" t="inlineStr">
        <is>
          <t>200 G. GARCERAS</t>
        </is>
      </c>
      <c r="E674" s="162" t="n">
        <v>46953</v>
      </c>
      <c r="F674" s="162" t="inlineStr">
        <is>
          <t>ALEX GOMEZ</t>
        </is>
      </c>
      <c r="G674" s="162" t="n">
        <v>3100</v>
      </c>
      <c r="H674" s="162" t="n">
        <v>3102</v>
      </c>
      <c r="I674" s="162" t="n">
        <v>3</v>
      </c>
      <c r="J674" s="162" t="n">
        <v>1</v>
      </c>
      <c r="K674" s="162" t="n">
        <v>6</v>
      </c>
      <c r="L674" s="241" t="n">
        <v>3100</v>
      </c>
      <c r="M674" s="113" t="n"/>
      <c r="N674" s="113" t="n"/>
      <c r="O674" s="113" t="n"/>
      <c r="P674" s="398" t="n"/>
      <c r="Q674" s="398" t="n"/>
      <c r="R674" s="113" t="n"/>
      <c r="S674" s="113" t="n"/>
      <c r="T674" s="113" t="n"/>
      <c r="U674" s="113" t="n"/>
      <c r="V674" s="113" t="n"/>
    </row>
    <row r="675" ht="15.75" customHeight="1">
      <c r="A675" s="398" t="n">
        <v>13</v>
      </c>
      <c r="B675" s="238" t="n"/>
      <c r="C675" s="399" t="n">
        <v>46106</v>
      </c>
      <c r="D675" s="146" t="inlineStr">
        <is>
          <t>200 G. GARCERAS</t>
        </is>
      </c>
      <c r="E675" s="146" t="n">
        <v>46954</v>
      </c>
      <c r="F675" s="146" t="inlineStr">
        <is>
          <t xml:space="preserve">HENRY ROMERO </t>
        </is>
      </c>
      <c r="G675" s="395" t="n">
        <v>2980</v>
      </c>
      <c r="H675" s="395" t="n">
        <v>2962</v>
      </c>
      <c r="I675" s="395" t="n">
        <v>3</v>
      </c>
      <c r="J675" s="395" t="n">
        <v>3</v>
      </c>
      <c r="K675" s="395" t="n">
        <v>-12</v>
      </c>
      <c r="L675" s="395" t="n">
        <v>2980</v>
      </c>
      <c r="M675" s="113" t="n"/>
      <c r="N675" s="113" t="n"/>
      <c r="O675" s="113" t="n"/>
      <c r="P675" s="398" t="n"/>
      <c r="Q675" s="398" t="n"/>
      <c r="R675" s="113" t="n"/>
      <c r="S675" s="113" t="n"/>
      <c r="T675" s="113" t="n"/>
      <c r="U675" s="113" t="n"/>
      <c r="V675" s="113" t="n"/>
    </row>
    <row r="676" ht="15.75" customHeight="1">
      <c r="A676" s="398" t="n">
        <v>13</v>
      </c>
      <c r="B676" s="238" t="n"/>
      <c r="C676" s="399" t="n">
        <v>46106</v>
      </c>
      <c r="D676" s="146" t="inlineStr">
        <is>
          <t>218 G. SAN JOSE 1</t>
        </is>
      </c>
      <c r="E676" s="146" t="n">
        <v>46955</v>
      </c>
      <c r="F676" s="146" t="inlineStr">
        <is>
          <t>ALBERTO HERRERA</t>
        </is>
      </c>
      <c r="G676" s="395" t="n">
        <v>3465</v>
      </c>
      <c r="H676" s="395" t="n">
        <v>3466</v>
      </c>
      <c r="I676" s="395" t="n">
        <v>3</v>
      </c>
      <c r="J676" s="395" t="n">
        <v>2</v>
      </c>
      <c r="K676" s="395" t="n">
        <v>6</v>
      </c>
      <c r="L676" s="241" t="n">
        <v>3465</v>
      </c>
      <c r="M676" s="113" t="n"/>
      <c r="N676" s="113" t="n"/>
      <c r="O676" s="113" t="n"/>
      <c r="P676" s="398" t="n"/>
      <c r="Q676" s="398" t="n"/>
      <c r="R676" s="113" t="n"/>
      <c r="S676" s="113" t="n"/>
      <c r="T676" s="113" t="n"/>
      <c r="U676" s="113" t="n"/>
      <c r="V676" s="113" t="n"/>
    </row>
    <row r="677" ht="15.75" customHeight="1">
      <c r="A677" s="398" t="n">
        <v>13</v>
      </c>
      <c r="B677" s="238" t="n"/>
      <c r="C677" s="164" t="n">
        <v>46107</v>
      </c>
      <c r="D677" s="166" t="inlineStr">
        <is>
          <t xml:space="preserve">202 G. HUERTAS </t>
        </is>
      </c>
      <c r="E677" s="166" t="n">
        <v>46962</v>
      </c>
      <c r="F677" s="166" t="inlineStr">
        <is>
          <t>DUMAR ANGARITA</t>
        </is>
      </c>
      <c r="G677" s="166" t="n">
        <v>3030</v>
      </c>
      <c r="H677" s="166" t="n">
        <v>3026</v>
      </c>
      <c r="I677" s="166" t="n">
        <v>6</v>
      </c>
      <c r="J677" s="166" t="n">
        <v>4</v>
      </c>
      <c r="K677" s="166" t="n">
        <v>6</v>
      </c>
      <c r="L677" s="241" t="n">
        <v>3240</v>
      </c>
      <c r="M677" s="113" t="n"/>
      <c r="N677" s="113" t="n"/>
      <c r="O677" s="113" t="n"/>
      <c r="P677" s="398" t="n"/>
      <c r="Q677" s="398" t="n"/>
      <c r="R677" s="113" t="n"/>
      <c r="S677" s="113" t="n"/>
      <c r="T677" s="113" t="n"/>
      <c r="U677" s="113" t="n"/>
      <c r="V677" s="113" t="n"/>
    </row>
    <row r="678" ht="15.75" customHeight="1">
      <c r="A678" s="398" t="n">
        <v>13</v>
      </c>
      <c r="B678" s="238" t="n"/>
      <c r="C678" s="164" t="n">
        <v>46107</v>
      </c>
      <c r="D678" s="166" t="inlineStr">
        <is>
          <t xml:space="preserve">202 G. HUERTAS </t>
        </is>
      </c>
      <c r="E678" s="166" t="n">
        <v>46963</v>
      </c>
      <c r="F678" s="166" t="inlineStr">
        <is>
          <t>YAIR RIVEROS</t>
        </is>
      </c>
      <c r="G678" s="166" t="n">
        <v>3240</v>
      </c>
      <c r="H678" s="166" t="n">
        <v>3240</v>
      </c>
      <c r="I678" s="166" t="n">
        <v>5</v>
      </c>
      <c r="J678" s="166" t="n">
        <v>3</v>
      </c>
      <c r="K678" s="166" t="n">
        <v>8</v>
      </c>
      <c r="L678" s="241" t="n">
        <v>3030</v>
      </c>
      <c r="M678" s="113" t="n"/>
      <c r="N678" s="113" t="n"/>
      <c r="O678" s="113" t="n"/>
      <c r="P678" s="398" t="n"/>
      <c r="Q678" s="398" t="n"/>
      <c r="R678" s="113" t="n"/>
      <c r="S678" s="113" t="n"/>
      <c r="T678" s="113" t="n"/>
      <c r="U678" s="113" t="n"/>
      <c r="V678" s="113" t="n"/>
    </row>
    <row r="679" ht="15.75" customHeight="1">
      <c r="A679" s="398" t="n">
        <v>13</v>
      </c>
      <c r="B679" s="238" t="n"/>
      <c r="C679" s="164" t="n">
        <v>46107</v>
      </c>
      <c r="D679" s="166" t="inlineStr">
        <is>
          <t xml:space="preserve">202 G. HUERTAS </t>
        </is>
      </c>
      <c r="E679" s="166" t="n">
        <v>46694</v>
      </c>
      <c r="F679" s="166" t="inlineStr">
        <is>
          <t>ALBERTO LOPEZ</t>
        </is>
      </c>
      <c r="G679" s="166" t="n">
        <v>2484</v>
      </c>
      <c r="H679" s="166" t="n">
        <v>2490</v>
      </c>
      <c r="I679" s="166" t="n">
        <v>3</v>
      </c>
      <c r="J679" s="166" t="n">
        <v>2</v>
      </c>
      <c r="K679" s="166" t="n">
        <v>11</v>
      </c>
      <c r="L679" s="241" t="n">
        <v>3484</v>
      </c>
      <c r="M679" s="113" t="n"/>
      <c r="N679" s="113" t="n"/>
      <c r="O679" s="113" t="n"/>
      <c r="P679" s="398" t="n"/>
      <c r="Q679" s="398" t="n"/>
      <c r="R679" s="113" t="n"/>
      <c r="S679" s="113" t="n"/>
      <c r="T679" s="113" t="n"/>
      <c r="U679" s="113" t="n"/>
      <c r="V679" s="113" t="n"/>
    </row>
    <row r="680" ht="15.75" customHeight="1">
      <c r="A680" s="398" t="n">
        <v>13</v>
      </c>
      <c r="B680" s="238" t="n"/>
      <c r="C680" s="399" t="n">
        <v>46107</v>
      </c>
      <c r="D680" s="146" t="inlineStr">
        <is>
          <t>200 G. GARCERAS</t>
        </is>
      </c>
      <c r="E680" s="146" t="n">
        <v>46965</v>
      </c>
      <c r="F680" s="146" t="inlineStr">
        <is>
          <t>JHON ARIAS</t>
        </is>
      </c>
      <c r="G680" s="395" t="n">
        <v>3090</v>
      </c>
      <c r="H680" s="395" t="n">
        <v>3084</v>
      </c>
      <c r="I680" s="395" t="n">
        <v>2</v>
      </c>
      <c r="J680" s="395" t="n">
        <v>3</v>
      </c>
      <c r="K680" s="395" t="n">
        <v>-1</v>
      </c>
      <c r="L680" s="241" t="n">
        <v>3090</v>
      </c>
      <c r="M680" s="113" t="n"/>
      <c r="N680" s="113" t="n"/>
      <c r="O680" s="113" t="n"/>
      <c r="P680" s="398" t="n"/>
      <c r="Q680" s="398" t="n"/>
      <c r="R680" s="113" t="n"/>
      <c r="S680" s="113" t="n"/>
      <c r="T680" s="113" t="n"/>
      <c r="U680" s="113" t="n"/>
      <c r="V680" s="113" t="n"/>
    </row>
    <row r="681" ht="15.75" customHeight="1">
      <c r="A681" s="398" t="n">
        <v>13</v>
      </c>
      <c r="B681" s="238" t="n"/>
      <c r="C681" s="399" t="n">
        <v>46107</v>
      </c>
      <c r="D681" s="146" t="inlineStr">
        <is>
          <t>200 G. GARCERAS</t>
        </is>
      </c>
      <c r="E681" s="146" t="n">
        <v>46966</v>
      </c>
      <c r="F681" s="146" t="inlineStr">
        <is>
          <t>FABIO ALDANA</t>
        </is>
      </c>
      <c r="G681" s="395" t="n">
        <v>3090</v>
      </c>
      <c r="H681" s="395" t="n">
        <v>3088</v>
      </c>
      <c r="I681" s="395" t="n">
        <v>2</v>
      </c>
      <c r="J681" s="395" t="n">
        <v>0</v>
      </c>
      <c r="K681" s="395" t="n">
        <v>0</v>
      </c>
      <c r="L681" s="241" t="n">
        <v>3090</v>
      </c>
      <c r="M681" s="113" t="n"/>
      <c r="N681" s="113" t="n"/>
      <c r="O681" s="113" t="n"/>
      <c r="P681" s="398" t="n"/>
      <c r="Q681" s="398" t="n"/>
      <c r="R681" s="113" t="n"/>
      <c r="S681" s="113" t="n"/>
      <c r="T681" s="113" t="n"/>
      <c r="U681" s="113" t="n"/>
      <c r="V681" s="113" t="n"/>
    </row>
    <row r="682" ht="15.75" customHeight="1">
      <c r="A682" s="398" t="n">
        <v>13</v>
      </c>
      <c r="B682" s="238" t="n"/>
      <c r="C682" s="399" t="n">
        <v>46107</v>
      </c>
      <c r="D682" s="146" t="inlineStr">
        <is>
          <t>200 G. GARCERAS</t>
        </is>
      </c>
      <c r="E682" s="146" t="n">
        <v>46967</v>
      </c>
      <c r="F682" s="146" t="inlineStr">
        <is>
          <t>WILMER PIÑEROS</t>
        </is>
      </c>
      <c r="G682" s="395" t="n">
        <v>3090</v>
      </c>
      <c r="H682" s="395" t="n">
        <v>3091</v>
      </c>
      <c r="I682" s="395" t="n">
        <v>1</v>
      </c>
      <c r="J682" s="395" t="n">
        <v>1</v>
      </c>
      <c r="K682" s="395" t="n">
        <v>3</v>
      </c>
      <c r="L682" s="241" t="n">
        <v>3090</v>
      </c>
      <c r="M682" s="113" t="n"/>
      <c r="N682" s="113" t="n"/>
      <c r="O682" s="113" t="n"/>
      <c r="P682" s="398" t="n"/>
      <c r="Q682" s="398" t="n"/>
      <c r="R682" s="113" t="n"/>
      <c r="S682" s="113" t="n"/>
      <c r="T682" s="113" t="n"/>
      <c r="U682" s="113" t="n"/>
      <c r="V682" s="113" t="n"/>
    </row>
    <row r="683" ht="15.75" customHeight="1">
      <c r="A683" s="398" t="n">
        <v>13</v>
      </c>
      <c r="B683" s="238" t="n"/>
      <c r="C683" s="399" t="n">
        <v>46107</v>
      </c>
      <c r="D683" s="146" t="inlineStr">
        <is>
          <t>200 G. GARCERAS</t>
        </is>
      </c>
      <c r="E683" s="146" t="n">
        <v>46968</v>
      </c>
      <c r="F683" s="146" t="inlineStr">
        <is>
          <t>FERNANDO OYUELA</t>
        </is>
      </c>
      <c r="G683" s="395" t="n">
        <v>3090</v>
      </c>
      <c r="H683" s="395" t="n">
        <v>3083</v>
      </c>
      <c r="I683" s="395" t="n">
        <v>2</v>
      </c>
      <c r="J683" s="395" t="n">
        <v>1</v>
      </c>
      <c r="K683" s="395" t="n">
        <v>-4</v>
      </c>
      <c r="L683" s="241" t="n">
        <v>3090</v>
      </c>
      <c r="M683" s="113" t="n"/>
      <c r="N683" s="113" t="n"/>
      <c r="O683" s="113" t="n"/>
      <c r="P683" s="398" t="n"/>
      <c r="Q683" s="398" t="n"/>
      <c r="R683" s="113" t="n"/>
      <c r="S683" s="113" t="n"/>
      <c r="T683" s="113" t="n"/>
      <c r="U683" s="113" t="n"/>
      <c r="V683" s="113" t="n"/>
    </row>
    <row r="684" ht="15.75" customHeight="1">
      <c r="A684" s="398" t="n">
        <v>13</v>
      </c>
      <c r="B684" s="238" t="n"/>
      <c r="C684" s="399" t="n">
        <v>46107</v>
      </c>
      <c r="D684" s="146" t="inlineStr">
        <is>
          <t>200 G. GARCERAS</t>
        </is>
      </c>
      <c r="E684" s="146" t="n">
        <v>46976</v>
      </c>
      <c r="F684" s="146" t="inlineStr">
        <is>
          <t xml:space="preserve">HENRY ROMERO </t>
        </is>
      </c>
      <c r="G684" s="395" t="n">
        <v>3090</v>
      </c>
      <c r="H684" s="395" t="n">
        <v>3086</v>
      </c>
      <c r="I684" s="395" t="n">
        <v>2</v>
      </c>
      <c r="J684" s="395" t="n">
        <v>5</v>
      </c>
      <c r="K684" s="395" t="n">
        <v>3</v>
      </c>
      <c r="L684" s="241" t="n">
        <v>3090</v>
      </c>
      <c r="M684" s="113" t="n"/>
      <c r="N684" s="113" t="n"/>
      <c r="O684" s="113" t="n"/>
      <c r="P684" s="398" t="n"/>
      <c r="Q684" s="398" t="n"/>
      <c r="R684" s="113" t="n"/>
      <c r="S684" s="113" t="n"/>
      <c r="T684" s="113" t="n"/>
      <c r="U684" s="113" t="n"/>
      <c r="V684" s="113" t="n"/>
    </row>
    <row r="685" ht="15.75" customHeight="1">
      <c r="A685" s="398" t="n">
        <v>13</v>
      </c>
      <c r="B685" s="238" t="n"/>
      <c r="C685" s="399" t="n">
        <v>46107</v>
      </c>
      <c r="D685" s="146" t="inlineStr">
        <is>
          <t>200 G. GARCERAS</t>
        </is>
      </c>
      <c r="E685" s="146" t="n">
        <v>46977</v>
      </c>
      <c r="F685" s="146" t="inlineStr">
        <is>
          <t>DUMAR ANGARITA</t>
        </is>
      </c>
      <c r="G685" s="395" t="n">
        <v>3090</v>
      </c>
      <c r="H685" s="395" t="n">
        <v>3091</v>
      </c>
      <c r="I685" s="395" t="n">
        <v>0</v>
      </c>
      <c r="J685" s="395" t="n">
        <v>1</v>
      </c>
      <c r="K685" s="395" t="n">
        <v>2</v>
      </c>
      <c r="L685" s="241" t="n">
        <v>3090</v>
      </c>
      <c r="M685" s="113" t="n"/>
      <c r="N685" s="113" t="n"/>
      <c r="O685" s="113" t="n"/>
      <c r="P685" s="398" t="n"/>
      <c r="Q685" s="398" t="n"/>
      <c r="R685" s="113" t="n"/>
      <c r="S685" s="113" t="n"/>
      <c r="T685" s="113" t="n"/>
      <c r="U685" s="113" t="n"/>
      <c r="V685" s="113" t="n"/>
    </row>
    <row r="686" ht="15.75" customHeight="1">
      <c r="A686" s="398" t="n">
        <v>13</v>
      </c>
      <c r="B686" s="238" t="n"/>
      <c r="C686" s="399" t="n">
        <v>46107</v>
      </c>
      <c r="D686" s="146" t="inlineStr">
        <is>
          <t>200 G. GARCERAS</t>
        </is>
      </c>
      <c r="E686" s="146" t="n">
        <v>46978</v>
      </c>
      <c r="F686" s="146" t="inlineStr">
        <is>
          <t>YAIR RIVEROS</t>
        </is>
      </c>
      <c r="G686" s="395" t="n">
        <v>2970</v>
      </c>
      <c r="H686" s="395" t="n">
        <v>2974</v>
      </c>
      <c r="I686" s="395" t="n">
        <v>1</v>
      </c>
      <c r="J686" s="395" t="n">
        <v>1</v>
      </c>
      <c r="K686" s="395" t="n">
        <v>6</v>
      </c>
      <c r="L686" s="241" t="n">
        <v>2970</v>
      </c>
      <c r="M686" s="113" t="n"/>
      <c r="N686" s="113" t="n"/>
      <c r="O686" s="113" t="n"/>
      <c r="P686" s="398" t="n"/>
      <c r="Q686" s="398" t="n"/>
      <c r="R686" s="113" t="n"/>
      <c r="S686" s="113" t="n"/>
      <c r="T686" s="113" t="n"/>
      <c r="U686" s="113" t="n"/>
      <c r="V686" s="113" t="n"/>
    </row>
    <row r="687" ht="15.75" customHeight="1">
      <c r="A687" s="398" t="n">
        <v>13</v>
      </c>
      <c r="B687" s="238" t="n"/>
      <c r="C687" s="399" t="n">
        <v>46107</v>
      </c>
      <c r="D687" s="146" t="inlineStr">
        <is>
          <t>218 G. SAN JOSE 1</t>
        </is>
      </c>
      <c r="E687" s="146" t="n">
        <v>46979</v>
      </c>
      <c r="F687" s="146" t="inlineStr">
        <is>
          <t>WILMER PIÑEROS</t>
        </is>
      </c>
      <c r="G687" s="395" t="n">
        <v>2880</v>
      </c>
      <c r="H687" s="395" t="n">
        <v>2862</v>
      </c>
      <c r="I687" s="395" t="n">
        <v>5</v>
      </c>
      <c r="J687" s="395" t="n">
        <v>3</v>
      </c>
      <c r="K687" s="395" t="n">
        <v>-10</v>
      </c>
      <c r="L687" s="241" t="n">
        <v>2880</v>
      </c>
      <c r="M687" s="113" t="n"/>
      <c r="N687" s="113" t="n"/>
      <c r="O687" s="113" t="n"/>
      <c r="P687" s="398" t="n"/>
      <c r="Q687" s="398" t="n"/>
      <c r="R687" s="113" t="n"/>
      <c r="S687" s="113" t="n"/>
      <c r="T687" s="113" t="n"/>
      <c r="U687" s="113" t="n"/>
      <c r="V687" s="113" t="n"/>
    </row>
    <row r="688" ht="15.75" customHeight="1">
      <c r="A688" s="398" t="n">
        <v>13</v>
      </c>
      <c r="B688" s="238" t="n"/>
      <c r="C688" s="399" t="n">
        <v>46107</v>
      </c>
      <c r="D688" s="146" t="inlineStr">
        <is>
          <t>218 G. SAN JOSE 1</t>
        </is>
      </c>
      <c r="E688" s="146" t="n">
        <v>46980</v>
      </c>
      <c r="F688" s="146" t="inlineStr">
        <is>
          <t>ALBERTO LOPEZ</t>
        </is>
      </c>
      <c r="G688" s="395" t="n">
        <v>2880</v>
      </c>
      <c r="H688" s="395" t="n">
        <v>2866</v>
      </c>
      <c r="I688" s="395" t="n">
        <v>3</v>
      </c>
      <c r="J688" s="395" t="n">
        <v>4</v>
      </c>
      <c r="K688" s="395" t="n">
        <v>-7</v>
      </c>
      <c r="L688" s="241" t="n">
        <v>2880</v>
      </c>
      <c r="M688" s="113" t="n"/>
      <c r="N688" s="113" t="n"/>
      <c r="O688" s="113" t="n"/>
      <c r="P688" s="398" t="n"/>
      <c r="Q688" s="398" t="n"/>
      <c r="R688" s="113" t="n"/>
      <c r="S688" s="113" t="n"/>
      <c r="T688" s="113" t="n"/>
      <c r="U688" s="113" t="n"/>
      <c r="V688" s="113" t="n"/>
    </row>
    <row r="689" ht="15.75" customHeight="1">
      <c r="A689" s="398" t="n">
        <v>13</v>
      </c>
      <c r="B689" s="238" t="n"/>
      <c r="C689" s="399" t="n">
        <v>46107</v>
      </c>
      <c r="D689" s="146" t="inlineStr">
        <is>
          <t>218 G. SAN JOSE 1</t>
        </is>
      </c>
      <c r="E689" s="146" t="n">
        <v>46981</v>
      </c>
      <c r="F689" s="146" t="inlineStr">
        <is>
          <t>JHON ARIAS</t>
        </is>
      </c>
      <c r="G689" s="395" t="n">
        <v>2880</v>
      </c>
      <c r="H689" s="395" t="n">
        <v>2867</v>
      </c>
      <c r="I689" s="395" t="n">
        <v>4</v>
      </c>
      <c r="J689" s="395" t="n">
        <v>3</v>
      </c>
      <c r="K689" s="395" t="n">
        <v>-6</v>
      </c>
      <c r="L689" s="241" t="n">
        <v>2880</v>
      </c>
      <c r="M689" s="113" t="n"/>
      <c r="N689" s="113" t="n"/>
      <c r="O689" s="113" t="n"/>
      <c r="P689" s="398" t="n"/>
      <c r="Q689" s="398" t="n"/>
      <c r="R689" s="113" t="n"/>
      <c r="S689" s="113" t="n"/>
      <c r="T689" s="113" t="n"/>
      <c r="U689" s="113" t="n"/>
      <c r="V689" s="113" t="n"/>
    </row>
    <row r="690" ht="15.75" customHeight="1">
      <c r="A690" s="398" t="n">
        <v>13</v>
      </c>
      <c r="B690" s="238" t="n"/>
      <c r="C690" s="399" t="n">
        <v>46107</v>
      </c>
      <c r="D690" s="146" t="inlineStr">
        <is>
          <t>218 G. SAN JOSE 1</t>
        </is>
      </c>
      <c r="E690" s="146" t="n">
        <v>46982</v>
      </c>
      <c r="F690" s="146" t="inlineStr">
        <is>
          <t>FABIO ALDANA</t>
        </is>
      </c>
      <c r="G690" s="395" t="n">
        <v>2880</v>
      </c>
      <c r="H690" s="395" t="n">
        <v>2868</v>
      </c>
      <c r="I690" s="395" t="n">
        <v>1</v>
      </c>
      <c r="J690" s="395" t="n">
        <v>4</v>
      </c>
      <c r="K690" s="395" t="n">
        <v>-7</v>
      </c>
      <c r="L690" s="241" t="n">
        <v>2880</v>
      </c>
      <c r="M690" s="113" t="n"/>
      <c r="N690" s="113" t="n"/>
      <c r="O690" s="113" t="n"/>
      <c r="P690" s="398" t="n"/>
      <c r="Q690" s="398" t="n"/>
      <c r="R690" s="113" t="n"/>
      <c r="S690" s="113" t="n"/>
      <c r="T690" s="113" t="n"/>
      <c r="U690" s="113" t="n"/>
      <c r="V690" s="113" t="n"/>
    </row>
    <row r="691" ht="15.75" customHeight="1">
      <c r="A691" s="398" t="n">
        <v>13</v>
      </c>
      <c r="B691" s="238" t="n"/>
      <c r="C691" s="399" t="n">
        <v>46107</v>
      </c>
      <c r="D691" s="146" t="inlineStr">
        <is>
          <t>218 G. SAN JOSE 1</t>
        </is>
      </c>
      <c r="E691" s="146" t="n">
        <v>46983</v>
      </c>
      <c r="F691" s="146" t="inlineStr">
        <is>
          <t>FERNANDO OYUELA</t>
        </is>
      </c>
      <c r="G691" s="395" t="n">
        <v>2880</v>
      </c>
      <c r="H691" s="395" t="n">
        <v>2873</v>
      </c>
      <c r="I691" s="395" t="n">
        <v>3</v>
      </c>
      <c r="J691" s="395" t="n">
        <v>2</v>
      </c>
      <c r="K691" s="395" t="n">
        <v>-2</v>
      </c>
      <c r="L691" s="241" t="n">
        <v>2880</v>
      </c>
      <c r="M691" s="113" t="n"/>
      <c r="N691" s="113" t="n"/>
      <c r="O691" s="113" t="n"/>
      <c r="P691" s="398" t="n"/>
      <c r="Q691" s="398" t="n"/>
      <c r="R691" s="113" t="n"/>
      <c r="S691" s="113" t="n"/>
      <c r="T691" s="113" t="n"/>
      <c r="U691" s="113" t="n"/>
      <c r="V691" s="113" t="n"/>
    </row>
    <row r="692" ht="15.75" customHeight="1">
      <c r="A692" s="398" t="n">
        <v>13</v>
      </c>
      <c r="B692" s="238" t="n"/>
      <c r="C692" s="399" t="n">
        <v>46107</v>
      </c>
      <c r="D692" s="146" t="inlineStr">
        <is>
          <t>218 G. SAN JOSE 1</t>
        </is>
      </c>
      <c r="E692" s="146" t="n">
        <v>46984</v>
      </c>
      <c r="F692" s="146" t="inlineStr">
        <is>
          <t>JAIRO CUBILLOS</t>
        </is>
      </c>
      <c r="G692" s="395" t="n">
        <v>2880</v>
      </c>
      <c r="H692" s="395" t="n">
        <v>2868</v>
      </c>
      <c r="I692" s="395" t="n">
        <v>3</v>
      </c>
      <c r="J692" s="395" t="n">
        <v>2</v>
      </c>
      <c r="K692" s="395" t="n">
        <v>-7</v>
      </c>
      <c r="L692" s="241" t="n">
        <v>2880</v>
      </c>
      <c r="M692" s="113" t="n"/>
      <c r="N692" s="113" t="n"/>
      <c r="O692" s="113" t="n"/>
      <c r="P692" s="398" t="n"/>
      <c r="Q692" s="398" t="n"/>
      <c r="R692" s="113" t="n"/>
      <c r="S692" s="113" t="n"/>
      <c r="T692" s="113" t="n"/>
      <c r="U692" s="113" t="n"/>
      <c r="V692" s="113" t="n"/>
    </row>
    <row r="693" ht="15.75" customHeight="1">
      <c r="A693" s="398" t="n">
        <v>13</v>
      </c>
      <c r="B693" s="238" t="n"/>
      <c r="C693" s="399" t="n">
        <v>46107</v>
      </c>
      <c r="D693" s="146" t="inlineStr">
        <is>
          <t>218 G. SAN JOSE 1</t>
        </is>
      </c>
      <c r="E693" s="146" t="n">
        <v>46985</v>
      </c>
      <c r="F693" s="146" t="inlineStr">
        <is>
          <t>MANUEL QUITIAN</t>
        </is>
      </c>
      <c r="G693" s="395" t="n">
        <v>2950</v>
      </c>
      <c r="H693" s="395" t="n">
        <v>2941</v>
      </c>
      <c r="I693" s="395" t="n">
        <v>2</v>
      </c>
      <c r="J693" s="395" t="n">
        <v>0</v>
      </c>
      <c r="K693" s="395" t="n">
        <v>-7</v>
      </c>
      <c r="L693" s="241" t="n">
        <v>2950</v>
      </c>
      <c r="M693" s="113" t="n"/>
      <c r="N693" s="113" t="n"/>
      <c r="O693" s="113" t="n"/>
      <c r="P693" s="398" t="n"/>
      <c r="Q693" s="398" t="n"/>
      <c r="R693" s="113" t="n"/>
      <c r="S693" s="113" t="n"/>
      <c r="T693" s="113" t="n"/>
      <c r="U693" s="113" t="n"/>
      <c r="V693" s="113" t="n"/>
    </row>
    <row r="694" ht="15.75" customHeight="1">
      <c r="A694" s="398" t="n">
        <v>13</v>
      </c>
      <c r="B694" s="238" t="n"/>
      <c r="C694" s="164" t="n">
        <v>46108</v>
      </c>
      <c r="D694" s="166" t="inlineStr">
        <is>
          <t xml:space="preserve">202 G. HUERTAS </t>
        </is>
      </c>
      <c r="E694" s="166" t="n">
        <v>46986</v>
      </c>
      <c r="F694" s="166" t="inlineStr">
        <is>
          <t>MANUEL QUITIAN</t>
        </is>
      </c>
      <c r="G694" s="166" t="n">
        <v>2592</v>
      </c>
      <c r="H694" s="166" t="n">
        <v>2586</v>
      </c>
      <c r="I694" s="166" t="n">
        <v>2</v>
      </c>
      <c r="J694" s="166" t="n">
        <v>7</v>
      </c>
      <c r="K694" s="166" t="n">
        <v>3</v>
      </c>
      <c r="L694" s="241" t="n">
        <v>2592</v>
      </c>
      <c r="M694" s="113" t="n"/>
      <c r="N694" s="113" t="n"/>
      <c r="O694" s="113" t="n"/>
      <c r="P694" s="398" t="n"/>
      <c r="Q694" s="398" t="n"/>
      <c r="R694" s="113" t="n"/>
      <c r="S694" s="113" t="n"/>
      <c r="T694" s="113" t="n"/>
      <c r="U694" s="113" t="n"/>
      <c r="V694" s="113" t="n"/>
    </row>
    <row r="695" ht="15.75" customHeight="1">
      <c r="A695" s="398" t="n">
        <v>13</v>
      </c>
      <c r="B695" s="238" t="n"/>
      <c r="C695" s="164" t="n">
        <v>46108</v>
      </c>
      <c r="D695" s="166" t="inlineStr">
        <is>
          <t xml:space="preserve">202 G. HUERTAS </t>
        </is>
      </c>
      <c r="E695" s="166" t="n">
        <v>46987</v>
      </c>
      <c r="F695" s="166" t="inlineStr">
        <is>
          <t>JAIRO CUBILLOS</t>
        </is>
      </c>
      <c r="G695" s="166" t="n">
        <v>2592</v>
      </c>
      <c r="H695" s="166" t="n">
        <v>2586</v>
      </c>
      <c r="I695" s="166" t="n">
        <v>2</v>
      </c>
      <c r="J695" s="166" t="n">
        <v>7</v>
      </c>
      <c r="K695" s="166" t="n">
        <v>3</v>
      </c>
      <c r="L695" s="241" t="n">
        <v>2592</v>
      </c>
      <c r="M695" s="113" t="n"/>
      <c r="N695" s="113" t="n"/>
      <c r="O695" s="113" t="n"/>
      <c r="P695" s="398" t="n"/>
      <c r="Q695" s="398" t="n"/>
      <c r="R695" s="113" t="n"/>
      <c r="S695" s="113" t="n"/>
      <c r="T695" s="113" t="n"/>
      <c r="U695" s="113" t="n"/>
      <c r="V695" s="113" t="n"/>
    </row>
    <row r="696" ht="15.75" customHeight="1">
      <c r="A696" s="398" t="n">
        <v>13</v>
      </c>
      <c r="B696" s="238" t="n"/>
      <c r="C696" s="164" t="n">
        <v>46108</v>
      </c>
      <c r="D696" s="166" t="inlineStr">
        <is>
          <t xml:space="preserve">202 G. HUERTAS </t>
        </is>
      </c>
      <c r="E696" s="166" t="n">
        <v>46988</v>
      </c>
      <c r="F696" s="166" t="inlineStr">
        <is>
          <t>ALEX GOMEZ</t>
        </is>
      </c>
      <c r="G696" s="166" t="n">
        <v>2880</v>
      </c>
      <c r="H696" s="166" t="n">
        <v>2870</v>
      </c>
      <c r="I696" s="166" t="n">
        <v>2</v>
      </c>
      <c r="J696" s="166" t="n">
        <v>12</v>
      </c>
      <c r="K696" s="166" t="n">
        <v>4</v>
      </c>
      <c r="L696" s="241" t="n">
        <v>2880</v>
      </c>
      <c r="M696" s="113" t="n"/>
      <c r="N696" s="113" t="n"/>
      <c r="O696" s="113" t="n"/>
      <c r="P696" s="398" t="n"/>
      <c r="Q696" s="398" t="n"/>
      <c r="R696" s="113" t="n"/>
      <c r="S696" s="113" t="n"/>
      <c r="T696" s="113" t="n"/>
      <c r="U696" s="113" t="n"/>
      <c r="V696" s="113" t="n"/>
    </row>
    <row r="697" ht="15.75" customHeight="1">
      <c r="A697" s="398" t="n">
        <v>13</v>
      </c>
      <c r="B697" s="238" t="n"/>
      <c r="C697" s="164" t="n">
        <v>46108</v>
      </c>
      <c r="D697" s="166" t="inlineStr">
        <is>
          <t xml:space="preserve">202 G. HUERTAS </t>
        </is>
      </c>
      <c r="E697" s="166" t="n">
        <v>46989</v>
      </c>
      <c r="F697" s="166" t="inlineStr">
        <is>
          <t>SEBASTIAN HIDALGO</t>
        </is>
      </c>
      <c r="G697" s="166" t="n">
        <v>3240</v>
      </c>
      <c r="H697" s="166" t="n">
        <v>3236</v>
      </c>
      <c r="I697" s="166" t="n">
        <v>0</v>
      </c>
      <c r="J697" s="166" t="n">
        <v>4</v>
      </c>
      <c r="K697" s="166" t="n">
        <v>0</v>
      </c>
      <c r="L697" s="241" t="n">
        <v>3240</v>
      </c>
      <c r="M697" s="113" t="n"/>
      <c r="N697" s="113" t="n"/>
      <c r="O697" s="113" t="n"/>
      <c r="P697" s="398" t="n"/>
      <c r="Q697" s="398" t="n"/>
      <c r="R697" s="113" t="n"/>
      <c r="S697" s="113" t="n"/>
      <c r="T697" s="113" t="n"/>
      <c r="U697" s="113" t="n"/>
      <c r="V697" s="113" t="n"/>
    </row>
    <row r="698" ht="15.75" customHeight="1">
      <c r="A698" s="398" t="n">
        <v>13</v>
      </c>
      <c r="B698" s="238" t="n"/>
      <c r="C698" s="164" t="n">
        <v>46108</v>
      </c>
      <c r="D698" s="166" t="inlineStr">
        <is>
          <t xml:space="preserve">202 G. HUERTAS </t>
        </is>
      </c>
      <c r="E698" s="166" t="n">
        <v>46990</v>
      </c>
      <c r="F698" s="166" t="inlineStr">
        <is>
          <t>FABIO ALDANA</t>
        </is>
      </c>
      <c r="G698" s="166" t="n">
        <v>3240</v>
      </c>
      <c r="H698" s="166" t="n">
        <v>3236</v>
      </c>
      <c r="I698" s="166" t="n">
        <v>0</v>
      </c>
      <c r="J698" s="166" t="n">
        <v>4</v>
      </c>
      <c r="K698" s="166" t="n">
        <v>0</v>
      </c>
      <c r="L698" s="241" t="n">
        <v>3240</v>
      </c>
      <c r="M698" s="113" t="n"/>
      <c r="N698" s="113" t="n"/>
      <c r="O698" s="113" t="n"/>
      <c r="P698" s="398" t="n"/>
      <c r="Q698" s="398" t="n"/>
      <c r="R698" s="113" t="n"/>
      <c r="S698" s="113" t="n"/>
      <c r="T698" s="113" t="n"/>
      <c r="U698" s="113" t="n"/>
      <c r="V698" s="113" t="n"/>
    </row>
    <row r="699" ht="15.75" customHeight="1">
      <c r="A699" s="398" t="n">
        <v>13</v>
      </c>
      <c r="B699" s="238" t="n"/>
      <c r="C699" s="164" t="n">
        <v>46108</v>
      </c>
      <c r="D699" s="165" t="inlineStr">
        <is>
          <t xml:space="preserve">202 G. HUERTAS </t>
        </is>
      </c>
      <c r="E699" s="165" t="n">
        <v>46991</v>
      </c>
      <c r="F699" s="165" t="inlineStr">
        <is>
          <t>ROBINSON PULIDO</t>
        </is>
      </c>
      <c r="G699" s="165" t="n">
        <v>3240</v>
      </c>
      <c r="H699" s="165" t="n">
        <v>3233</v>
      </c>
      <c r="I699" s="165" t="n">
        <v>1</v>
      </c>
      <c r="J699" s="165" t="n">
        <v>6</v>
      </c>
      <c r="K699" s="165" t="n">
        <v>0</v>
      </c>
      <c r="L699" s="241" t="n">
        <v>3240</v>
      </c>
      <c r="M699" s="113" t="n"/>
      <c r="N699" s="113" t="n"/>
      <c r="O699" s="113" t="n"/>
      <c r="P699" s="398" t="n"/>
      <c r="Q699" s="398" t="n"/>
      <c r="R699" s="113" t="n"/>
      <c r="S699" s="113" t="n"/>
      <c r="T699" s="113" t="n"/>
      <c r="U699" s="113" t="n"/>
      <c r="V699" s="113" t="n"/>
    </row>
    <row r="700" ht="15.75" customHeight="1">
      <c r="A700" s="398" t="n">
        <v>13</v>
      </c>
      <c r="B700" s="238" t="n"/>
      <c r="C700" s="399" t="n">
        <v>46108</v>
      </c>
      <c r="D700" s="146" t="inlineStr">
        <is>
          <t>200 G. GARCERAS</t>
        </is>
      </c>
      <c r="E700" s="146" t="n">
        <v>46992</v>
      </c>
      <c r="F700" s="146" t="inlineStr">
        <is>
          <t xml:space="preserve">DIEGO NIÑO </t>
        </is>
      </c>
      <c r="G700" s="395" t="n">
        <v>3070</v>
      </c>
      <c r="H700" s="395" t="n">
        <v>3059</v>
      </c>
      <c r="I700" s="395" t="n">
        <v>2</v>
      </c>
      <c r="J700" s="395" t="n">
        <v>4</v>
      </c>
      <c r="K700" s="395" t="n">
        <v>-5</v>
      </c>
      <c r="L700" s="241" t="n">
        <v>3070</v>
      </c>
      <c r="M700" s="113" t="n"/>
      <c r="N700" s="113" t="n"/>
      <c r="O700" s="113" t="n"/>
      <c r="P700" s="398" t="n"/>
      <c r="Q700" s="398" t="n"/>
      <c r="R700" s="113" t="n"/>
      <c r="S700" s="113" t="n"/>
      <c r="T700" s="113" t="n"/>
      <c r="U700" s="113" t="n"/>
      <c r="V700" s="113" t="n"/>
    </row>
    <row r="701" ht="15.75" customHeight="1">
      <c r="A701" s="398" t="n">
        <v>13</v>
      </c>
      <c r="B701" s="238" t="n"/>
      <c r="C701" s="399" t="n">
        <v>46108</v>
      </c>
      <c r="D701" s="146" t="inlineStr">
        <is>
          <t>200 G. GARCERAS</t>
        </is>
      </c>
      <c r="E701" s="146" t="n">
        <v>47001</v>
      </c>
      <c r="F701" s="146" t="inlineStr">
        <is>
          <t>EDWIN ROJAS</t>
        </is>
      </c>
      <c r="G701" s="395" t="n">
        <v>3070</v>
      </c>
      <c r="H701" s="395" t="n">
        <v>3070</v>
      </c>
      <c r="I701" s="395" t="n">
        <v>2</v>
      </c>
      <c r="J701" s="395" t="n">
        <v>3</v>
      </c>
      <c r="K701" s="395" t="n">
        <v>5</v>
      </c>
      <c r="L701" s="241" t="n">
        <v>3070</v>
      </c>
      <c r="M701" s="113" t="n"/>
      <c r="N701" s="113" t="n"/>
      <c r="O701" s="113" t="n"/>
      <c r="P701" s="398" t="n"/>
      <c r="Q701" s="398" t="n"/>
      <c r="R701" s="113" t="n"/>
      <c r="S701" s="113" t="n"/>
      <c r="T701" s="113" t="n"/>
      <c r="U701" s="113" t="n"/>
      <c r="V701" s="113" t="n"/>
    </row>
    <row r="702" ht="15.75" customHeight="1">
      <c r="A702" s="398" t="n">
        <v>13</v>
      </c>
      <c r="B702" s="238" t="n"/>
      <c r="C702" s="399" t="n">
        <v>46108</v>
      </c>
      <c r="D702" s="146" t="inlineStr">
        <is>
          <t>200 G. GARCERAS</t>
        </is>
      </c>
      <c r="E702" s="146" t="n">
        <v>47002</v>
      </c>
      <c r="F702" s="146" t="inlineStr">
        <is>
          <t>JAIRO CUBILLOS</t>
        </is>
      </c>
      <c r="G702" s="395" t="n">
        <v>3130</v>
      </c>
      <c r="H702" s="395" t="n">
        <v>3128</v>
      </c>
      <c r="I702" s="395" t="n">
        <v>2</v>
      </c>
      <c r="J702" s="395" t="n">
        <v>2</v>
      </c>
      <c r="K702" s="395" t="n">
        <v>2</v>
      </c>
      <c r="L702" s="241" t="n">
        <v>3130</v>
      </c>
      <c r="M702" s="113" t="n"/>
      <c r="N702" s="113" t="n"/>
      <c r="O702" s="113" t="n"/>
      <c r="P702" s="398" t="n"/>
      <c r="Q702" s="398" t="n"/>
      <c r="R702" s="113" t="n"/>
      <c r="S702" s="113" t="n"/>
      <c r="T702" s="113" t="n"/>
      <c r="U702" s="113" t="n"/>
      <c r="V702" s="113" t="n"/>
    </row>
    <row r="703" ht="15.75" customHeight="1">
      <c r="A703" s="398" t="n">
        <v>13</v>
      </c>
      <c r="B703" s="238" t="n"/>
      <c r="C703" s="399" t="n">
        <v>46108</v>
      </c>
      <c r="D703" s="146" t="inlineStr">
        <is>
          <t>200 G. GARCERAS</t>
        </is>
      </c>
      <c r="E703" s="146" t="n">
        <v>47003</v>
      </c>
      <c r="F703" s="146" t="inlineStr">
        <is>
          <t>SEBASTIAN HIDALGO</t>
        </is>
      </c>
      <c r="G703" s="395" t="n">
        <v>3130</v>
      </c>
      <c r="H703" s="395" t="n">
        <v>3129</v>
      </c>
      <c r="I703" s="395" t="n">
        <v>2</v>
      </c>
      <c r="J703" s="395" t="n">
        <v>3</v>
      </c>
      <c r="K703" s="395" t="n">
        <v>4</v>
      </c>
      <c r="L703" s="241" t="n">
        <v>3130</v>
      </c>
      <c r="M703" s="113" t="n"/>
      <c r="N703" s="113" t="n"/>
      <c r="O703" s="113" t="n"/>
      <c r="P703" s="398" t="n"/>
      <c r="Q703" s="398" t="n"/>
      <c r="R703" s="113" t="n"/>
      <c r="S703" s="113" t="n"/>
      <c r="T703" s="113" t="n"/>
      <c r="U703" s="113" t="n"/>
      <c r="V703" s="113" t="n"/>
    </row>
    <row r="704" ht="15.75" customHeight="1">
      <c r="A704" s="398" t="n">
        <v>13</v>
      </c>
      <c r="B704" s="238" t="n"/>
      <c r="C704" s="399" t="n">
        <v>46108</v>
      </c>
      <c r="D704" s="146" t="inlineStr">
        <is>
          <t>200 G. GARCERAS</t>
        </is>
      </c>
      <c r="E704" s="146" t="n">
        <v>47004</v>
      </c>
      <c r="F704" s="146" t="inlineStr">
        <is>
          <t>ROBINSON PULIDO</t>
        </is>
      </c>
      <c r="G704" s="395" t="n">
        <v>3130</v>
      </c>
      <c r="H704" s="395" t="n">
        <v>3130</v>
      </c>
      <c r="I704" s="395" t="n">
        <v>2</v>
      </c>
      <c r="J704" s="395" t="n">
        <v>1</v>
      </c>
      <c r="K704" s="395" t="n">
        <v>3</v>
      </c>
      <c r="L704" s="241" t="n">
        <v>3130</v>
      </c>
      <c r="M704" s="113" t="n"/>
      <c r="N704" s="113" t="n"/>
      <c r="O704" s="113" t="n"/>
      <c r="P704" s="398" t="n"/>
      <c r="Q704" s="398" t="n"/>
      <c r="R704" s="113" t="n"/>
      <c r="S704" s="113" t="n"/>
      <c r="T704" s="113" t="n"/>
      <c r="U704" s="113" t="n"/>
      <c r="V704" s="113" t="n"/>
    </row>
    <row r="705" ht="15.75" customHeight="1">
      <c r="A705" s="398" t="n">
        <v>13</v>
      </c>
      <c r="B705" s="238" t="n"/>
      <c r="C705" s="399" t="n">
        <v>46108</v>
      </c>
      <c r="D705" s="146" t="inlineStr">
        <is>
          <t>200 G. GARCERAS</t>
        </is>
      </c>
      <c r="E705" s="146" t="n">
        <v>47005</v>
      </c>
      <c r="F705" s="146" t="inlineStr">
        <is>
          <t>WILMER PIÑEROS</t>
        </is>
      </c>
      <c r="G705" s="395" t="n">
        <v>3130</v>
      </c>
      <c r="H705" s="395" t="n">
        <v>3142</v>
      </c>
      <c r="I705" s="395" t="n">
        <v>3</v>
      </c>
      <c r="J705" s="395" t="n">
        <v>0</v>
      </c>
      <c r="K705" s="395" t="n">
        <v>15</v>
      </c>
      <c r="L705" s="241" t="n">
        <v>3130</v>
      </c>
      <c r="M705" s="113" t="n"/>
      <c r="N705" s="113" t="n"/>
      <c r="O705" s="113" t="n"/>
      <c r="P705" s="398" t="n"/>
      <c r="Q705" s="398" t="n"/>
      <c r="R705" s="113" t="n"/>
      <c r="S705" s="113" t="n"/>
      <c r="T705" s="113" t="n"/>
      <c r="U705" s="113" t="n"/>
      <c r="V705" s="113" t="n"/>
    </row>
    <row r="706" ht="15.75" customHeight="1">
      <c r="A706" s="398" t="n">
        <v>13</v>
      </c>
      <c r="B706" s="238" t="n"/>
      <c r="C706" s="399" t="n">
        <v>46108</v>
      </c>
      <c r="D706" s="146" t="inlineStr">
        <is>
          <t>200 G. GARCERAS</t>
        </is>
      </c>
      <c r="E706" s="146" t="n">
        <v>47006</v>
      </c>
      <c r="F706" s="146" t="inlineStr">
        <is>
          <t>FERNANDO OYUELA</t>
        </is>
      </c>
      <c r="G706" s="395" t="n">
        <v>3010</v>
      </c>
      <c r="H706" s="395" t="n">
        <v>3015</v>
      </c>
      <c r="I706" s="395" t="n">
        <v>5</v>
      </c>
      <c r="J706" s="395" t="n">
        <v>2</v>
      </c>
      <c r="K706" s="395" t="n">
        <v>12</v>
      </c>
      <c r="L706" s="241" t="n">
        <v>3010</v>
      </c>
      <c r="M706" s="113" t="n"/>
      <c r="N706" s="113" t="n"/>
      <c r="O706" s="113" t="n"/>
      <c r="P706" s="398" t="n"/>
      <c r="Q706" s="398" t="n"/>
      <c r="R706" s="113" t="n"/>
      <c r="S706" s="113" t="n"/>
      <c r="T706" s="113" t="n"/>
      <c r="U706" s="113" t="n"/>
      <c r="V706" s="113" t="n"/>
    </row>
    <row r="707" ht="15.75" customHeight="1">
      <c r="A707" s="398" t="n">
        <v>13</v>
      </c>
      <c r="B707" s="238" t="n"/>
      <c r="C707" s="399" t="n">
        <v>46108</v>
      </c>
      <c r="D707" s="146" t="inlineStr">
        <is>
          <t>218 G. SAN JOSE 1</t>
        </is>
      </c>
      <c r="E707" s="146" t="n">
        <v>47007</v>
      </c>
      <c r="F707" s="146" t="inlineStr">
        <is>
          <t>YAIR RIVEROS</t>
        </is>
      </c>
      <c r="G707" s="395" t="n">
        <v>3960</v>
      </c>
      <c r="H707" s="395" t="n">
        <v>3950</v>
      </c>
      <c r="I707" s="395" t="n">
        <v>4</v>
      </c>
      <c r="J707" s="395" t="n">
        <v>9</v>
      </c>
      <c r="K707" s="395" t="n">
        <v>3</v>
      </c>
      <c r="L707" s="241" t="n">
        <v>3960</v>
      </c>
      <c r="M707" s="113" t="n"/>
      <c r="N707" s="113" t="n"/>
      <c r="O707" s="113" t="n"/>
      <c r="P707" s="398" t="n"/>
      <c r="Q707" s="398" t="n"/>
      <c r="R707" s="113" t="n"/>
      <c r="S707" s="113" t="n"/>
      <c r="T707" s="113" t="n"/>
      <c r="U707" s="113" t="n"/>
      <c r="V707" s="113" t="n"/>
    </row>
    <row r="708" ht="15.75" customHeight="1">
      <c r="A708" s="398" t="n">
        <v>13</v>
      </c>
      <c r="B708" s="238" t="n"/>
      <c r="C708" s="399" t="n">
        <v>46108</v>
      </c>
      <c r="D708" s="146" t="inlineStr">
        <is>
          <t>218 G. SAN JOSE 1</t>
        </is>
      </c>
      <c r="E708" s="146" t="n">
        <v>47008</v>
      </c>
      <c r="F708" s="146" t="inlineStr">
        <is>
          <t>ALBERTO LOPEZ</t>
        </is>
      </c>
      <c r="G708" s="395" t="n">
        <v>3520</v>
      </c>
      <c r="H708" s="395" t="n">
        <v>3509</v>
      </c>
      <c r="I708" s="395" t="n">
        <v>7</v>
      </c>
      <c r="J708" s="395" t="n">
        <v>2</v>
      </c>
      <c r="K708" s="395" t="n">
        <v>-2</v>
      </c>
      <c r="L708" s="241" t="n">
        <v>3520</v>
      </c>
      <c r="M708" s="113" t="n"/>
      <c r="N708" s="113" t="n"/>
      <c r="O708" s="113" t="n"/>
      <c r="P708" s="398" t="n"/>
      <c r="Q708" s="398" t="n"/>
      <c r="R708" s="113" t="n"/>
      <c r="S708" s="113" t="n"/>
      <c r="T708" s="113" t="n"/>
      <c r="U708" s="113" t="n"/>
      <c r="V708" s="113" t="n"/>
    </row>
    <row r="709" ht="15.75" customHeight="1">
      <c r="A709" s="398" t="n">
        <v>13</v>
      </c>
      <c r="B709" s="238" t="n"/>
      <c r="C709" s="164" t="n">
        <v>46109</v>
      </c>
      <c r="D709" s="165" t="inlineStr">
        <is>
          <t xml:space="preserve">202 G. HUERTAS </t>
        </is>
      </c>
      <c r="E709" s="165" t="n">
        <v>47015</v>
      </c>
      <c r="F709" s="165" t="inlineStr">
        <is>
          <t>DUMAR ANGARITA</t>
        </is>
      </c>
      <c r="G709" s="165" t="n">
        <v>3240</v>
      </c>
      <c r="H709" s="165" t="n">
        <v>3238</v>
      </c>
      <c r="I709" s="165" t="n">
        <v>4</v>
      </c>
      <c r="J709" s="165" t="n">
        <v>7</v>
      </c>
      <c r="K709" s="165" t="n">
        <v>9</v>
      </c>
      <c r="L709" s="241" t="n">
        <v>3240</v>
      </c>
      <c r="M709" s="113" t="n"/>
      <c r="N709" s="113" t="n"/>
      <c r="O709" s="113" t="n"/>
      <c r="P709" s="398" t="n"/>
      <c r="Q709" s="398" t="n"/>
      <c r="R709" s="113" t="n"/>
      <c r="S709" s="113" t="n"/>
      <c r="T709" s="113" t="n"/>
      <c r="U709" s="113" t="n"/>
      <c r="V709" s="113" t="n"/>
    </row>
    <row r="710" ht="15.75" customHeight="1">
      <c r="A710" s="398" t="n">
        <v>13</v>
      </c>
      <c r="B710" s="238" t="n"/>
      <c r="C710" s="164" t="n">
        <v>46109</v>
      </c>
      <c r="D710" s="165" t="inlineStr">
        <is>
          <t xml:space="preserve">202 G. HUERTAS </t>
        </is>
      </c>
      <c r="E710" s="165" t="n">
        <v>47016</v>
      </c>
      <c r="F710" s="165" t="inlineStr">
        <is>
          <t>ALEX GOMEZ</t>
        </is>
      </c>
      <c r="G710" s="165" t="n">
        <v>2961</v>
      </c>
      <c r="H710" s="165" t="n">
        <v>2969</v>
      </c>
      <c r="I710" s="165" t="n">
        <v>6</v>
      </c>
      <c r="J710" s="165" t="n">
        <v>6</v>
      </c>
      <c r="K710" s="165" t="n">
        <v>20</v>
      </c>
      <c r="L710" s="241" t="n">
        <v>2961</v>
      </c>
      <c r="M710" s="113" t="n"/>
      <c r="N710" s="113" t="n"/>
      <c r="O710" s="113" t="n"/>
      <c r="P710" s="398" t="n"/>
      <c r="Q710" s="398" t="n"/>
      <c r="R710" s="113" t="n"/>
      <c r="S710" s="113" t="n"/>
      <c r="T710" s="113" t="n"/>
      <c r="U710" s="113" t="n"/>
      <c r="V710" s="113" t="n"/>
    </row>
    <row r="711" ht="15.75" customHeight="1">
      <c r="A711" s="398" t="n">
        <v>13</v>
      </c>
      <c r="B711" s="238" t="n"/>
      <c r="C711" s="164" t="n">
        <v>46109</v>
      </c>
      <c r="D711" s="165" t="inlineStr">
        <is>
          <t xml:space="preserve">202 G. HUERTAS </t>
        </is>
      </c>
      <c r="E711" s="165" t="n">
        <v>47017</v>
      </c>
      <c r="F711" s="165" t="inlineStr">
        <is>
          <t xml:space="preserve">DIEGO NIÑO </t>
        </is>
      </c>
      <c r="G711" s="165" t="n">
        <v>3240</v>
      </c>
      <c r="H711" s="165" t="n">
        <v>3235</v>
      </c>
      <c r="I711" s="165" t="n">
        <v>5</v>
      </c>
      <c r="J711" s="165" t="n">
        <v>8</v>
      </c>
      <c r="K711" s="165" t="n">
        <v>8</v>
      </c>
      <c r="L711" s="241" t="n">
        <v>3240</v>
      </c>
      <c r="M711" s="113" t="n"/>
      <c r="N711" s="113" t="n"/>
      <c r="O711" s="113" t="n"/>
      <c r="P711" s="398" t="n"/>
      <c r="Q711" s="398" t="n"/>
      <c r="R711" s="113" t="n"/>
      <c r="S711" s="113" t="n"/>
      <c r="T711" s="113" t="n"/>
      <c r="U711" s="113" t="n"/>
      <c r="V711" s="113" t="n"/>
    </row>
    <row r="712" ht="15.75" customHeight="1">
      <c r="A712" s="398" t="n">
        <v>13</v>
      </c>
      <c r="B712" s="238" t="n"/>
      <c r="C712" s="164" t="n">
        <v>46109</v>
      </c>
      <c r="D712" s="165" t="inlineStr">
        <is>
          <t xml:space="preserve">202 G. HUERTAS </t>
        </is>
      </c>
      <c r="E712" s="165" t="n">
        <v>47018</v>
      </c>
      <c r="F712" s="165" t="inlineStr">
        <is>
          <t>WILMER PIÑEROS</t>
        </is>
      </c>
      <c r="G712" s="165" t="n">
        <v>3240</v>
      </c>
      <c r="H712" s="165" t="n">
        <v>3233</v>
      </c>
      <c r="I712" s="165" t="n">
        <v>3</v>
      </c>
      <c r="J712" s="165" t="n">
        <v>10</v>
      </c>
      <c r="K712" s="165" t="n">
        <v>6</v>
      </c>
      <c r="L712" s="241" t="n">
        <v>3240</v>
      </c>
      <c r="M712" s="113" t="n"/>
      <c r="N712" s="113" t="n"/>
      <c r="O712" s="113" t="n"/>
      <c r="P712" s="398" t="n"/>
      <c r="Q712" s="398" t="n"/>
      <c r="R712" s="113" t="n"/>
      <c r="S712" s="113" t="n"/>
      <c r="T712" s="113" t="n"/>
      <c r="U712" s="113" t="n"/>
      <c r="V712" s="113" t="n"/>
    </row>
    <row r="713" ht="15.75" customHeight="1">
      <c r="A713" s="398" t="n">
        <v>13</v>
      </c>
      <c r="B713" s="238" t="n"/>
      <c r="C713" s="164" t="n">
        <v>46109</v>
      </c>
      <c r="D713" s="165" t="inlineStr">
        <is>
          <t xml:space="preserve">202 G. HUERTAS </t>
        </is>
      </c>
      <c r="E713" s="165" t="n">
        <v>47019</v>
      </c>
      <c r="F713" s="165" t="inlineStr">
        <is>
          <t>FERNANDO OYUELA</t>
        </is>
      </c>
      <c r="G713" s="165" t="n">
        <v>3240</v>
      </c>
      <c r="H713" s="165" t="n">
        <v>3243</v>
      </c>
      <c r="I713" s="165" t="n">
        <v>4</v>
      </c>
      <c r="J713" s="165" t="n">
        <v>4</v>
      </c>
      <c r="K713" s="165" t="n">
        <v>11</v>
      </c>
      <c r="L713" s="241" t="n">
        <v>3240</v>
      </c>
      <c r="M713" s="113" t="n"/>
      <c r="N713" s="113" t="n"/>
      <c r="O713" s="113" t="n"/>
      <c r="P713" s="398" t="n"/>
      <c r="Q713" s="398" t="n"/>
      <c r="R713" s="113" t="n"/>
      <c r="S713" s="113" t="n"/>
      <c r="T713" s="113" t="n"/>
      <c r="U713" s="113" t="n"/>
      <c r="V713" s="113" t="n"/>
    </row>
    <row r="714" ht="15.75" customHeight="1">
      <c r="A714" s="398" t="n">
        <v>13</v>
      </c>
      <c r="B714" s="238" t="n"/>
      <c r="C714" s="164" t="n">
        <v>46109</v>
      </c>
      <c r="D714" s="165" t="inlineStr">
        <is>
          <t xml:space="preserve">202 G. HUERTAS </t>
        </is>
      </c>
      <c r="E714" s="165" t="n">
        <v>47020</v>
      </c>
      <c r="F714" s="165" t="inlineStr">
        <is>
          <t>MANUEL QUITIAN</t>
        </is>
      </c>
      <c r="G714" s="165" t="n">
        <v>2900</v>
      </c>
      <c r="H714" s="165" t="n">
        <v>2897</v>
      </c>
      <c r="I714" s="165" t="n">
        <v>3</v>
      </c>
      <c r="J714" s="165" t="n">
        <v>4</v>
      </c>
      <c r="K714" s="165" t="n">
        <v>4</v>
      </c>
      <c r="L714" s="241" t="n">
        <v>2900</v>
      </c>
      <c r="M714" s="113" t="n"/>
      <c r="N714" s="113" t="n"/>
      <c r="O714" s="113" t="n"/>
      <c r="P714" s="398" t="n"/>
      <c r="Q714" s="398" t="n"/>
      <c r="R714" s="113" t="n"/>
      <c r="S714" s="113" t="n"/>
      <c r="T714" s="113" t="n"/>
      <c r="U714" s="113" t="n"/>
      <c r="V714" s="113" t="n"/>
    </row>
    <row r="715" ht="15.75" customHeight="1">
      <c r="A715" s="398" t="n">
        <v>13</v>
      </c>
      <c r="B715" s="238" t="n"/>
      <c r="C715" s="164" t="n">
        <v>46109</v>
      </c>
      <c r="D715" s="165" t="inlineStr">
        <is>
          <t xml:space="preserve">202 G. HUERTAS </t>
        </is>
      </c>
      <c r="E715" s="165" t="n">
        <v>47021</v>
      </c>
      <c r="F715" s="165" t="inlineStr">
        <is>
          <t>YAIR RIVEROS</t>
        </is>
      </c>
      <c r="G715" s="165" t="n">
        <v>2880</v>
      </c>
      <c r="H715" s="165" t="n">
        <v>2872</v>
      </c>
      <c r="I715" s="165" t="n">
        <v>2</v>
      </c>
      <c r="J715" s="165" t="n">
        <v>8</v>
      </c>
      <c r="K715" s="165" t="n">
        <v>2</v>
      </c>
      <c r="L715" s="241" t="n">
        <v>2880</v>
      </c>
      <c r="M715" s="113" t="n"/>
      <c r="N715" s="113" t="n"/>
      <c r="O715" s="113" t="n"/>
      <c r="P715" s="398" t="n"/>
      <c r="Q715" s="398" t="n"/>
      <c r="R715" s="113" t="n"/>
      <c r="S715" s="113" t="n"/>
      <c r="T715" s="113" t="n"/>
      <c r="U715" s="113" t="n"/>
      <c r="V715" s="113" t="n"/>
    </row>
    <row r="716" ht="15.75" customHeight="1">
      <c r="A716" s="398" t="n">
        <v>13</v>
      </c>
      <c r="B716" s="238" t="n"/>
      <c r="C716" s="164" t="n">
        <v>46109</v>
      </c>
      <c r="D716" s="165" t="inlineStr">
        <is>
          <t xml:space="preserve">202 G. HUERTAS </t>
        </is>
      </c>
      <c r="E716" s="165" t="n">
        <v>47022</v>
      </c>
      <c r="F716" s="165" t="inlineStr">
        <is>
          <t xml:space="preserve">HENRY ROMERO </t>
        </is>
      </c>
      <c r="G716" s="165" t="n">
        <v>2916</v>
      </c>
      <c r="H716" s="165" t="n">
        <v>2905</v>
      </c>
      <c r="I716" s="165" t="n">
        <v>3</v>
      </c>
      <c r="J716" s="165" t="n">
        <v>14</v>
      </c>
      <c r="K716" s="165" t="n">
        <v>6</v>
      </c>
      <c r="L716" s="241" t="n">
        <v>2916</v>
      </c>
      <c r="M716" s="113" t="n"/>
      <c r="N716" s="113" t="n"/>
      <c r="O716" s="113" t="n"/>
      <c r="P716" s="398" t="n"/>
      <c r="Q716" s="398" t="n"/>
      <c r="R716" s="113" t="n"/>
      <c r="S716" s="113" t="n"/>
      <c r="T716" s="113" t="n"/>
      <c r="U716" s="113" t="n"/>
      <c r="V716" s="113" t="n"/>
    </row>
    <row r="717" ht="15.75" customHeight="1">
      <c r="A717" s="398" t="n">
        <v>13</v>
      </c>
      <c r="B717" s="238" t="n"/>
      <c r="C717" s="399" t="n">
        <v>46109</v>
      </c>
      <c r="D717" s="146" t="inlineStr">
        <is>
          <t>200 G. GARCERAS</t>
        </is>
      </c>
      <c r="E717" s="146" t="n">
        <v>47023</v>
      </c>
      <c r="F717" s="146" t="inlineStr">
        <is>
          <t>ALBERTO LOPEZ</t>
        </is>
      </c>
      <c r="G717" s="395" t="n">
        <v>3060</v>
      </c>
      <c r="H717" s="395" t="n">
        <v>3056</v>
      </c>
      <c r="I717" s="395" t="n">
        <v>3</v>
      </c>
      <c r="J717" s="395" t="n">
        <v>1</v>
      </c>
      <c r="K717" s="395" t="n">
        <v>0</v>
      </c>
      <c r="L717" s="241" t="n">
        <v>3060</v>
      </c>
      <c r="M717" s="113" t="n"/>
      <c r="N717" s="113" t="n"/>
      <c r="O717" s="113" t="n"/>
      <c r="P717" s="398" t="n"/>
      <c r="Q717" s="398" t="n"/>
      <c r="R717" s="113" t="n"/>
      <c r="S717" s="113" t="n"/>
      <c r="T717" s="113" t="n"/>
      <c r="U717" s="113" t="n"/>
      <c r="V717" s="113" t="n"/>
    </row>
    <row r="718" ht="15.75" customHeight="1">
      <c r="A718" s="398" t="n">
        <v>13</v>
      </c>
      <c r="B718" s="238" t="n"/>
      <c r="C718" s="399" t="n">
        <v>46109</v>
      </c>
      <c r="D718" s="146" t="inlineStr">
        <is>
          <t>200 G. GARCERAS</t>
        </is>
      </c>
      <c r="E718" s="146" t="n">
        <v>47024</v>
      </c>
      <c r="F718" s="146" t="inlineStr">
        <is>
          <t>EDWIN ROJAS</t>
        </is>
      </c>
      <c r="G718" s="395" t="n">
        <v>3060</v>
      </c>
      <c r="H718" s="395" t="n">
        <v>3042</v>
      </c>
      <c r="I718" s="395" t="n">
        <v>3</v>
      </c>
      <c r="J718" s="395" t="n">
        <v>3</v>
      </c>
      <c r="K718" s="395" t="n">
        <v>-12</v>
      </c>
      <c r="L718" s="241" t="n">
        <v>3060</v>
      </c>
      <c r="M718" s="113" t="n"/>
      <c r="N718" s="113" t="n"/>
      <c r="O718" s="113" t="n"/>
      <c r="P718" s="398" t="n"/>
      <c r="Q718" s="398" t="n"/>
      <c r="R718" s="113" t="n"/>
      <c r="S718" s="113" t="n"/>
      <c r="T718" s="113" t="n"/>
      <c r="U718" s="113" t="n"/>
      <c r="V718" s="113" t="n"/>
    </row>
    <row r="719" ht="15.75" customHeight="1">
      <c r="A719" s="398" t="n">
        <v>13</v>
      </c>
      <c r="B719" s="238" t="n"/>
      <c r="C719" s="399" t="n">
        <v>46109</v>
      </c>
      <c r="D719" s="146" t="inlineStr">
        <is>
          <t>200 G. GARCERAS</t>
        </is>
      </c>
      <c r="E719" s="146" t="n">
        <v>47025</v>
      </c>
      <c r="F719" s="146" t="inlineStr">
        <is>
          <t>ROBINSON PULIDO</t>
        </is>
      </c>
      <c r="G719" s="395" t="n">
        <v>3060</v>
      </c>
      <c r="H719" s="395" t="n">
        <v>3047</v>
      </c>
      <c r="I719" s="395" t="n">
        <v>1</v>
      </c>
      <c r="J719" s="395" t="n">
        <v>3</v>
      </c>
      <c r="K719" s="395" t="n">
        <v>-9</v>
      </c>
      <c r="L719" s="241" t="n">
        <v>3060</v>
      </c>
      <c r="M719" s="113" t="n"/>
      <c r="N719" s="113" t="n"/>
      <c r="O719" s="113" t="n"/>
      <c r="P719" s="398" t="n"/>
      <c r="Q719" s="398" t="n"/>
      <c r="R719" s="113" t="n"/>
      <c r="S719" s="113" t="n"/>
      <c r="T719" s="113" t="n"/>
      <c r="U719" s="113" t="n"/>
      <c r="V719" s="113" t="n"/>
    </row>
    <row r="720" ht="15.75" customHeight="1">
      <c r="A720" s="398" t="n">
        <v>13</v>
      </c>
      <c r="B720" s="238" t="n"/>
      <c r="C720" s="399" t="n">
        <v>46109</v>
      </c>
      <c r="D720" s="146" t="inlineStr">
        <is>
          <t>200 G. GARCERAS</t>
        </is>
      </c>
      <c r="E720" s="146" t="n">
        <v>47026</v>
      </c>
      <c r="F720" s="146" t="inlineStr">
        <is>
          <t>JHON ARIAS</t>
        </is>
      </c>
      <c r="G720" s="395" t="n">
        <v>3060</v>
      </c>
      <c r="H720" s="395" t="n">
        <v>3044</v>
      </c>
      <c r="I720" s="395" t="n">
        <v>2</v>
      </c>
      <c r="J720" s="395" t="n">
        <v>3</v>
      </c>
      <c r="K720" s="395" t="n">
        <v>-11</v>
      </c>
      <c r="L720" s="241" t="n">
        <v>3060</v>
      </c>
      <c r="M720" s="113" t="n"/>
      <c r="N720" s="113" t="n"/>
      <c r="O720" s="113" t="n"/>
      <c r="P720" s="398" t="n"/>
      <c r="Q720" s="398" t="n"/>
      <c r="R720" s="113" t="n"/>
      <c r="S720" s="113" t="n"/>
      <c r="T720" s="113" t="n"/>
      <c r="U720" s="113" t="n"/>
      <c r="V720" s="113" t="n"/>
    </row>
    <row r="721" ht="15.75" customHeight="1">
      <c r="A721" s="398" t="n">
        <v>13</v>
      </c>
      <c r="B721" s="238" t="n"/>
      <c r="C721" s="399" t="n">
        <v>46109</v>
      </c>
      <c r="D721" s="146" t="inlineStr">
        <is>
          <t>200 G. GARCERAS</t>
        </is>
      </c>
      <c r="E721" s="146" t="n">
        <v>47027</v>
      </c>
      <c r="F721" s="146" t="inlineStr">
        <is>
          <t>FABIO ALDANA</t>
        </is>
      </c>
      <c r="G721" s="395" t="n">
        <v>3060</v>
      </c>
      <c r="H721" s="395" t="n">
        <v>3049</v>
      </c>
      <c r="I721" s="395" t="n">
        <v>1</v>
      </c>
      <c r="J721" s="395" t="n">
        <v>2</v>
      </c>
      <c r="K721" s="395" t="n">
        <v>-8</v>
      </c>
      <c r="L721" s="241" t="n">
        <v>3060</v>
      </c>
      <c r="M721" s="113" t="n"/>
      <c r="N721" s="113" t="n"/>
      <c r="O721" s="113" t="n"/>
      <c r="P721" s="398" t="n"/>
      <c r="Q721" s="398" t="n"/>
      <c r="R721" s="113" t="n"/>
      <c r="S721" s="113" t="n"/>
      <c r="T721" s="113" t="n"/>
      <c r="U721" s="113" t="n"/>
      <c r="V721" s="113" t="n"/>
    </row>
    <row r="722" ht="15.75" customHeight="1">
      <c r="A722" s="398" t="n">
        <v>13</v>
      </c>
      <c r="B722" s="238" t="n"/>
      <c r="C722" s="399" t="n">
        <v>46109</v>
      </c>
      <c r="D722" s="146" t="inlineStr">
        <is>
          <t>200 G. GARCERAS</t>
        </is>
      </c>
      <c r="E722" s="146" t="n">
        <v>47028</v>
      </c>
      <c r="F722" s="146" t="inlineStr">
        <is>
          <t>JOSE SOLER</t>
        </is>
      </c>
      <c r="G722" s="395" t="n">
        <v>3160</v>
      </c>
      <c r="H722" s="395" t="n">
        <v>3155</v>
      </c>
      <c r="I722" s="395" t="n">
        <v>0</v>
      </c>
      <c r="J722" s="395" t="n">
        <v>0</v>
      </c>
      <c r="K722" s="395" t="n">
        <v>-5</v>
      </c>
      <c r="L722" s="241" t="n">
        <v>3160</v>
      </c>
      <c r="M722" s="113" t="n"/>
      <c r="N722" s="113" t="n"/>
      <c r="O722" s="113" t="n"/>
      <c r="P722" s="398" t="n"/>
      <c r="Q722" s="398" t="n"/>
      <c r="R722" s="113" t="n"/>
      <c r="S722" s="113" t="n"/>
      <c r="T722" s="113" t="n"/>
      <c r="U722" s="113" t="n"/>
      <c r="V722" s="113" t="n"/>
    </row>
    <row r="723" ht="15.75" customHeight="1">
      <c r="A723" s="398" t="n">
        <v>13</v>
      </c>
      <c r="B723" s="238" t="n"/>
      <c r="C723" s="399" t="n">
        <v>46109</v>
      </c>
      <c r="D723" s="146" t="inlineStr">
        <is>
          <t>200 G. GARCERAS</t>
        </is>
      </c>
      <c r="E723" s="146" t="n">
        <v>47029</v>
      </c>
      <c r="F723" s="146" t="inlineStr">
        <is>
          <t>JAIRO CUBILLOS</t>
        </is>
      </c>
      <c r="G723" s="395" t="n">
        <v>3160</v>
      </c>
      <c r="H723" s="395" t="n">
        <v>3155</v>
      </c>
      <c r="I723" s="395" t="n">
        <v>2</v>
      </c>
      <c r="J723" s="395" t="n">
        <v>0</v>
      </c>
      <c r="K723" s="395" t="n">
        <v>-3</v>
      </c>
      <c r="L723" s="241" t="n">
        <v>3160</v>
      </c>
      <c r="M723" s="113" t="n"/>
      <c r="N723" s="113" t="n"/>
      <c r="O723" s="113" t="n"/>
      <c r="P723" s="398" t="n"/>
      <c r="Q723" s="398" t="n"/>
      <c r="R723" s="113" t="n"/>
      <c r="S723" s="113" t="n"/>
      <c r="T723" s="113" t="n"/>
      <c r="U723" s="113" t="n"/>
      <c r="V723" s="113" t="n"/>
    </row>
    <row r="724" ht="15.75" customHeight="1">
      <c r="A724" s="398" t="n">
        <v>13</v>
      </c>
      <c r="B724" s="238" t="n"/>
      <c r="C724" s="399" t="n">
        <v>46109</v>
      </c>
      <c r="D724" s="146" t="inlineStr">
        <is>
          <t>200 G. GARCERAS</t>
        </is>
      </c>
      <c r="E724" s="146" t="n">
        <v>47030</v>
      </c>
      <c r="F724" s="146" t="inlineStr">
        <is>
          <t>ALBERTO HERRERA</t>
        </is>
      </c>
      <c r="G724" s="395" t="n">
        <v>3160</v>
      </c>
      <c r="H724" s="395" t="n">
        <v>3151</v>
      </c>
      <c r="I724" s="395" t="n">
        <v>0</v>
      </c>
      <c r="J724" s="395" t="n">
        <v>1</v>
      </c>
      <c r="K724" s="395" t="n">
        <v>-8</v>
      </c>
      <c r="L724" s="241" t="n">
        <v>3160</v>
      </c>
      <c r="M724" s="113" t="n"/>
      <c r="N724" s="113" t="n"/>
      <c r="O724" s="113" t="n"/>
      <c r="P724" s="398" t="n"/>
      <c r="Q724" s="398" t="n"/>
      <c r="R724" s="113" t="n"/>
      <c r="S724" s="113" t="n"/>
      <c r="T724" s="113" t="n"/>
      <c r="U724" s="113" t="n"/>
      <c r="V724" s="113" t="n"/>
    </row>
    <row r="725" ht="15.75" customHeight="1">
      <c r="A725" s="398" t="n">
        <v>13</v>
      </c>
      <c r="B725" s="238" t="n"/>
      <c r="C725" s="399" t="n">
        <v>46109</v>
      </c>
      <c r="D725" s="146" t="inlineStr">
        <is>
          <t>218 G. SAN JOSE 1</t>
        </is>
      </c>
      <c r="E725" s="146" t="n">
        <v>47031</v>
      </c>
      <c r="F725" s="146" t="inlineStr">
        <is>
          <t>EDWIN ROJAS</t>
        </is>
      </c>
      <c r="G725" s="395" t="n">
        <v>3000</v>
      </c>
      <c r="H725" s="395" t="n">
        <v>3000</v>
      </c>
      <c r="I725" s="395" t="n">
        <v>2</v>
      </c>
      <c r="J725" s="395" t="n">
        <v>3</v>
      </c>
      <c r="K725" s="395" t="n">
        <v>5</v>
      </c>
      <c r="L725" s="241" t="n">
        <v>3000</v>
      </c>
      <c r="M725" s="113" t="n"/>
      <c r="N725" s="113" t="n"/>
      <c r="O725" s="113" t="n"/>
      <c r="P725" s="398" t="n"/>
      <c r="Q725" s="398" t="n"/>
      <c r="R725" s="113" t="n"/>
      <c r="S725" s="113" t="n"/>
      <c r="T725" s="113" t="n"/>
      <c r="U725" s="113" t="n"/>
      <c r="V725" s="113" t="n"/>
    </row>
    <row r="726" ht="15.75" customHeight="1">
      <c r="A726" s="398" t="n">
        <v>13</v>
      </c>
      <c r="B726" s="238" t="n"/>
      <c r="C726" s="399" t="n"/>
      <c r="D726" s="113" t="n"/>
      <c r="E726" s="113" t="n"/>
      <c r="F726" s="113" t="n"/>
      <c r="G726" s="477">
        <f>SUBTOTAL(9,G638:G725)</f>
        <v/>
      </c>
      <c r="H726" s="477">
        <f>SUBTOTAL(9,H638:H725)</f>
        <v/>
      </c>
      <c r="I726" s="477">
        <f>SUBTOTAL(9,I638:I725)</f>
        <v/>
      </c>
      <c r="J726" s="477">
        <f>SUBTOTAL(9,J638:J725)</f>
        <v/>
      </c>
      <c r="K726" s="477">
        <f>SUBTOTAL(9,K638:K725)</f>
        <v/>
      </c>
      <c r="L726" s="477">
        <f>SUBTOTAL(9,L638:L725)</f>
        <v/>
      </c>
      <c r="M726" s="395" t="n"/>
      <c r="N726" s="395" t="n"/>
      <c r="O726" s="113" t="n"/>
      <c r="P726" s="398" t="n"/>
      <c r="Q726" s="398" t="n"/>
      <c r="R726" s="113" t="n"/>
      <c r="S726" s="113" t="n"/>
      <c r="T726" s="113" t="n"/>
      <c r="U726" s="113" t="n"/>
      <c r="V726" s="113" t="n"/>
    </row>
    <row r="727" ht="15.75" customHeight="1">
      <c r="A727" s="398" t="n">
        <v>14</v>
      </c>
      <c r="B727" s="238" t="n"/>
      <c r="C727" s="164" t="n">
        <v>46110</v>
      </c>
      <c r="D727" s="165" t="inlineStr">
        <is>
          <t xml:space="preserve">202 G. HUERTAS </t>
        </is>
      </c>
      <c r="E727" s="165" t="n">
        <v>47039</v>
      </c>
      <c r="F727" s="165" t="inlineStr">
        <is>
          <t>JOSE SOLER</t>
        </is>
      </c>
      <c r="G727" s="165" t="n">
        <v>2916</v>
      </c>
      <c r="H727" s="165" t="n">
        <v>2893</v>
      </c>
      <c r="I727" s="165" t="n">
        <v>8</v>
      </c>
      <c r="J727" s="165" t="n">
        <v>21</v>
      </c>
      <c r="K727" s="165" t="n">
        <v>6</v>
      </c>
      <c r="L727" s="395" t="n">
        <v>2916</v>
      </c>
      <c r="M727" s="395" t="n"/>
      <c r="N727" s="395" t="n"/>
      <c r="O727" s="113" t="n"/>
      <c r="P727" s="398" t="n"/>
      <c r="Q727" s="398" t="n"/>
      <c r="R727" s="113" t="n"/>
      <c r="S727" s="113" t="n"/>
      <c r="T727" s="113" t="n"/>
      <c r="U727" s="113" t="n"/>
      <c r="V727" s="113" t="n"/>
    </row>
    <row r="728" ht="15.75" customHeight="1">
      <c r="A728" s="398" t="n">
        <v>14</v>
      </c>
      <c r="B728" s="238" t="n"/>
      <c r="C728" s="164" t="n">
        <v>46110</v>
      </c>
      <c r="D728" s="165" t="inlineStr">
        <is>
          <t xml:space="preserve">202 G. HUERTAS </t>
        </is>
      </c>
      <c r="E728" s="165" t="n">
        <v>47040</v>
      </c>
      <c r="F728" s="165" t="inlineStr">
        <is>
          <t>FABIO ALDANA</t>
        </is>
      </c>
      <c r="G728" s="165" t="n">
        <v>2106</v>
      </c>
      <c r="H728" s="165" t="n">
        <v>2117</v>
      </c>
      <c r="I728" s="165" t="n">
        <v>7</v>
      </c>
      <c r="J728" s="165" t="n">
        <v>3</v>
      </c>
      <c r="K728" s="165" t="n">
        <v>21</v>
      </c>
      <c r="L728" s="395" t="n">
        <v>2106</v>
      </c>
      <c r="M728" s="395" t="n"/>
      <c r="N728" s="395" t="n"/>
      <c r="O728" s="113" t="n"/>
      <c r="P728" s="398" t="n"/>
      <c r="Q728" s="398" t="n"/>
      <c r="R728" s="113" t="n"/>
      <c r="S728" s="113" t="n"/>
      <c r="T728" s="113" t="n"/>
      <c r="U728" s="113" t="n"/>
      <c r="V728" s="113" t="n"/>
    </row>
    <row r="729" ht="15.75" customHeight="1">
      <c r="A729" s="398" t="n">
        <v>14</v>
      </c>
      <c r="B729" s="238" t="n"/>
      <c r="C729" s="399" t="n">
        <v>46110</v>
      </c>
      <c r="D729" s="162" t="inlineStr">
        <is>
          <t>200 G. GARCERAS</t>
        </is>
      </c>
      <c r="E729" s="162" t="n">
        <v>47041</v>
      </c>
      <c r="F729" s="162" t="inlineStr">
        <is>
          <t>EDWIN ROJAS</t>
        </is>
      </c>
      <c r="G729" s="162" t="n">
        <v>3100</v>
      </c>
      <c r="H729" s="162" t="n">
        <v>3084</v>
      </c>
      <c r="I729" s="162" t="n">
        <v>3</v>
      </c>
      <c r="J729" s="162" t="n">
        <v>3</v>
      </c>
      <c r="K729" s="162" t="n">
        <v>-10</v>
      </c>
      <c r="L729" s="241" t="n">
        <v>3100</v>
      </c>
      <c r="M729" s="113" t="n"/>
      <c r="N729" s="113" t="n"/>
      <c r="O729" s="113" t="n"/>
      <c r="P729" s="398" t="n"/>
      <c r="Q729" s="398" t="n"/>
      <c r="R729" s="113" t="n"/>
      <c r="S729" s="113" t="n"/>
      <c r="T729" s="113" t="n"/>
      <c r="U729" s="113" t="n"/>
      <c r="V729" s="113" t="n"/>
    </row>
    <row r="730" ht="15.75" customHeight="1">
      <c r="A730" s="398" t="n">
        <v>14</v>
      </c>
      <c r="B730" s="238" t="n"/>
      <c r="C730" s="399" t="n">
        <v>46110</v>
      </c>
      <c r="D730" s="162" t="inlineStr">
        <is>
          <t>200 G. GARCERAS</t>
        </is>
      </c>
      <c r="E730" s="162" t="n">
        <v>47042</v>
      </c>
      <c r="F730" s="162" t="inlineStr">
        <is>
          <t>DUMAR ANGARITA</t>
        </is>
      </c>
      <c r="G730" s="162" t="n">
        <v>3080</v>
      </c>
      <c r="H730" s="162" t="n">
        <v>3057</v>
      </c>
      <c r="I730" s="162" t="n">
        <v>2</v>
      </c>
      <c r="J730" s="162" t="n">
        <v>2</v>
      </c>
      <c r="K730" s="162" t="n">
        <v>-19</v>
      </c>
      <c r="L730" s="241" t="n">
        <v>3080</v>
      </c>
      <c r="M730" s="113" t="n"/>
      <c r="N730" s="113" t="n"/>
      <c r="O730" s="113" t="n"/>
      <c r="P730" s="398" t="n"/>
      <c r="Q730" s="398" t="n"/>
      <c r="R730" s="113" t="n"/>
      <c r="S730" s="113" t="n"/>
      <c r="T730" s="113" t="n"/>
      <c r="U730" s="113" t="n"/>
      <c r="V730" s="113" t="n"/>
    </row>
    <row r="731" ht="15.75" customHeight="1">
      <c r="A731" s="398" t="n">
        <v>14</v>
      </c>
      <c r="B731" s="238" t="n"/>
      <c r="C731" s="399" t="n">
        <v>46110</v>
      </c>
      <c r="D731" s="146" t="inlineStr">
        <is>
          <t>218 G. SAN JOSE 1</t>
        </is>
      </c>
      <c r="E731" s="146" t="n">
        <v>47043</v>
      </c>
      <c r="F731" s="146" t="inlineStr">
        <is>
          <t>FERNANDO OYUELA</t>
        </is>
      </c>
      <c r="G731" s="395" t="n">
        <v>3564</v>
      </c>
      <c r="H731" s="395" t="n">
        <v>3557</v>
      </c>
      <c r="I731" s="395" t="n">
        <v>2</v>
      </c>
      <c r="J731" s="395" t="n">
        <v>3</v>
      </c>
      <c r="K731" s="395" t="n">
        <v>-2</v>
      </c>
      <c r="L731" s="241" t="n">
        <v>3564</v>
      </c>
      <c r="M731" s="113" t="n"/>
      <c r="N731" s="113" t="n"/>
      <c r="O731" s="113" t="n"/>
      <c r="P731" s="398" t="n"/>
      <c r="Q731" s="398" t="n"/>
      <c r="R731" s="113" t="n"/>
      <c r="S731" s="113" t="n"/>
      <c r="T731" s="113" t="n"/>
      <c r="U731" s="113" t="n"/>
      <c r="V731" s="113" t="n"/>
    </row>
    <row r="732" ht="15.75" customHeight="1">
      <c r="A732" s="398" t="n">
        <v>14</v>
      </c>
      <c r="B732" s="238" t="n"/>
      <c r="C732" s="399" t="n">
        <v>46110</v>
      </c>
      <c r="D732" s="146" t="inlineStr">
        <is>
          <t>218 G. SAN JOSE 1</t>
        </is>
      </c>
      <c r="E732" s="146" t="n">
        <v>47044</v>
      </c>
      <c r="F732" s="146" t="inlineStr">
        <is>
          <t>WILMER PIÑEROS</t>
        </is>
      </c>
      <c r="G732" s="395" t="n">
        <v>3240</v>
      </c>
      <c r="H732" s="395" t="n">
        <v>3231</v>
      </c>
      <c r="I732" s="395" t="n">
        <v>1</v>
      </c>
      <c r="J732" s="395" t="n">
        <v>4</v>
      </c>
      <c r="K732" s="395" t="n">
        <v>-4</v>
      </c>
      <c r="L732" s="241" t="n">
        <v>3240</v>
      </c>
      <c r="M732" s="113" t="n"/>
      <c r="N732" s="113" t="n"/>
      <c r="O732" s="113" t="n"/>
      <c r="P732" s="398" t="n"/>
      <c r="Q732" s="398" t="n"/>
      <c r="R732" s="113" t="n"/>
      <c r="S732" s="113" t="n"/>
      <c r="T732" s="113" t="n"/>
      <c r="U732" s="113" t="n"/>
      <c r="V732" s="113" t="n"/>
    </row>
    <row r="733" ht="15.75" customHeight="1">
      <c r="A733" s="398" t="n">
        <v>14</v>
      </c>
      <c r="B733" s="238" t="n"/>
      <c r="C733" s="399" t="n">
        <v>46110</v>
      </c>
      <c r="D733" s="146" t="inlineStr">
        <is>
          <t>218 G. SAN JOSE 1</t>
        </is>
      </c>
      <c r="E733" s="146" t="n">
        <v>47045</v>
      </c>
      <c r="F733" s="146" t="inlineStr">
        <is>
          <t xml:space="preserve">DIEGO NIÑO </t>
        </is>
      </c>
      <c r="G733" s="395" t="n">
        <v>3960</v>
      </c>
      <c r="H733" s="395" t="n">
        <v>3892</v>
      </c>
      <c r="I733" s="395" t="n">
        <v>2</v>
      </c>
      <c r="J733" s="395" t="n">
        <v>1</v>
      </c>
      <c r="K733" s="395" t="n">
        <v>-65</v>
      </c>
      <c r="L733" s="395" t="n">
        <v>3960</v>
      </c>
      <c r="M733" s="113" t="n"/>
      <c r="N733" s="113" t="n"/>
      <c r="O733" s="113" t="n"/>
      <c r="P733" s="398" t="n"/>
      <c r="Q733" s="398" t="n"/>
      <c r="R733" s="113" t="n"/>
      <c r="S733" s="113" t="n"/>
      <c r="T733" s="113" t="n"/>
      <c r="U733" s="113" t="n"/>
      <c r="V733" s="113" t="n"/>
    </row>
    <row r="734" ht="15.75" customHeight="1">
      <c r="A734" s="398" t="n">
        <v>14</v>
      </c>
      <c r="B734" s="238" t="n"/>
      <c r="C734" s="164" t="n">
        <v>46111</v>
      </c>
      <c r="D734" s="165" t="inlineStr">
        <is>
          <t xml:space="preserve">202 G. HUERTAS </t>
        </is>
      </c>
      <c r="E734" s="165" t="n">
        <v>47062</v>
      </c>
      <c r="F734" s="165" t="inlineStr">
        <is>
          <t>ALBERTO HERRERA</t>
        </is>
      </c>
      <c r="G734" s="165" t="n">
        <v>2916</v>
      </c>
      <c r="H734" s="165" t="n">
        <v>2904</v>
      </c>
      <c r="I734" s="165" t="n">
        <v>5</v>
      </c>
      <c r="J734" s="165" t="n">
        <v>7</v>
      </c>
      <c r="K734" s="165" t="n">
        <v>0</v>
      </c>
      <c r="L734" s="395" t="n">
        <v>2916</v>
      </c>
      <c r="M734" s="113" t="n"/>
      <c r="N734" s="113" t="n"/>
      <c r="O734" s="113" t="n"/>
      <c r="P734" s="398" t="n"/>
      <c r="Q734" s="398" t="n"/>
      <c r="R734" s="113" t="n"/>
      <c r="S734" s="113" t="n"/>
      <c r="T734" s="113" t="n"/>
      <c r="U734" s="113" t="n"/>
      <c r="V734" s="113" t="n"/>
    </row>
    <row r="735" ht="15.75" customHeight="1">
      <c r="A735" s="398" t="n">
        <v>14</v>
      </c>
      <c r="B735" s="238" t="n"/>
      <c r="C735" s="164" t="n">
        <v>46111</v>
      </c>
      <c r="D735" s="165" t="inlineStr">
        <is>
          <t xml:space="preserve">202 G. HUERTAS </t>
        </is>
      </c>
      <c r="E735" s="165" t="n">
        <v>47063</v>
      </c>
      <c r="F735" s="165" t="inlineStr">
        <is>
          <t>ALEX GOMEZ</t>
        </is>
      </c>
      <c r="G735" s="165" t="n">
        <v>2880</v>
      </c>
      <c r="H735" s="165" t="n">
        <v>2862</v>
      </c>
      <c r="I735" s="165" t="n">
        <v>9</v>
      </c>
      <c r="J735" s="165" t="n">
        <v>6</v>
      </c>
      <c r="K735" s="165" t="n">
        <v>-3</v>
      </c>
      <c r="L735" s="395" t="n">
        <v>2880</v>
      </c>
      <c r="M735" s="113" t="n"/>
      <c r="N735" s="113" t="n"/>
      <c r="O735" s="113" t="n"/>
      <c r="P735" s="398" t="n"/>
      <c r="Q735" s="398" t="n"/>
      <c r="R735" s="113" t="n"/>
      <c r="S735" s="113" t="n"/>
      <c r="T735" s="113" t="n"/>
      <c r="U735" s="113" t="n"/>
      <c r="V735" s="113" t="n"/>
    </row>
    <row r="736" ht="15.75" customHeight="1">
      <c r="A736" s="398" t="n">
        <v>14</v>
      </c>
      <c r="B736" s="238" t="n"/>
      <c r="C736" s="164" t="n">
        <v>46111</v>
      </c>
      <c r="D736" s="165" t="inlineStr">
        <is>
          <t xml:space="preserve">202 G. HUERTAS </t>
        </is>
      </c>
      <c r="E736" s="165" t="n">
        <v>47064</v>
      </c>
      <c r="F736" s="165" t="inlineStr">
        <is>
          <t>ROBINSON PULIDO</t>
        </is>
      </c>
      <c r="G736" s="165" t="n">
        <v>2916</v>
      </c>
      <c r="H736" s="165" t="n">
        <v>2884</v>
      </c>
      <c r="I736" s="165" t="n">
        <v>8</v>
      </c>
      <c r="J736" s="165" t="n">
        <v>36</v>
      </c>
      <c r="K736" s="165" t="n">
        <v>12</v>
      </c>
      <c r="L736" s="395" t="n">
        <v>2916</v>
      </c>
      <c r="M736" s="113" t="n"/>
      <c r="N736" s="113" t="n"/>
      <c r="O736" s="113" t="n"/>
      <c r="P736" s="398" t="n"/>
      <c r="Q736" s="398" t="n"/>
      <c r="R736" s="113" t="n"/>
      <c r="S736" s="113" t="n"/>
      <c r="T736" s="113" t="n"/>
      <c r="U736" s="113" t="n"/>
      <c r="V736" s="113" t="n"/>
    </row>
    <row r="737" ht="15.75" customHeight="1">
      <c r="A737" s="398" t="n">
        <v>14</v>
      </c>
      <c r="B737" s="238" t="n"/>
      <c r="C737" s="164" t="n">
        <v>46111</v>
      </c>
      <c r="D737" s="166" t="inlineStr">
        <is>
          <t xml:space="preserve">202 G. HUERTAS </t>
        </is>
      </c>
      <c r="E737" s="166" t="n">
        <v>47065</v>
      </c>
      <c r="F737" s="166" t="inlineStr">
        <is>
          <t>FABIO ALDANA</t>
        </is>
      </c>
      <c r="G737" s="166" t="n">
        <v>3337</v>
      </c>
      <c r="H737" s="166" t="n">
        <v>3304</v>
      </c>
      <c r="I737" s="166" t="n">
        <v>6</v>
      </c>
      <c r="J737" s="166" t="n">
        <v>31</v>
      </c>
      <c r="K737" s="166" t="n">
        <v>4</v>
      </c>
      <c r="L737" s="395" t="n">
        <v>3360</v>
      </c>
      <c r="M737" s="113" t="n"/>
      <c r="N737" s="113" t="n"/>
      <c r="O737" s="113" t="n"/>
      <c r="P737" s="398" t="n"/>
      <c r="Q737" s="398" t="n"/>
      <c r="R737" s="113" t="n"/>
      <c r="S737" s="113" t="n"/>
      <c r="T737" s="113" t="n"/>
      <c r="U737" s="113" t="n"/>
      <c r="V737" s="113" t="n"/>
    </row>
    <row r="738" ht="15.75" customHeight="1">
      <c r="A738" s="398" t="n">
        <v>14</v>
      </c>
      <c r="B738" s="238" t="n"/>
      <c r="C738" s="533" t="n">
        <v>46111</v>
      </c>
      <c r="D738" s="534" t="inlineStr">
        <is>
          <t>218 G. SAN JOSE 1</t>
        </is>
      </c>
      <c r="E738" s="534" t="n">
        <v>47060</v>
      </c>
      <c r="F738" s="534" t="inlineStr">
        <is>
          <t>ALBERTO LOPEZ</t>
        </is>
      </c>
      <c r="G738" s="534" t="n">
        <v>4212</v>
      </c>
      <c r="H738" s="534" t="n">
        <v>4170</v>
      </c>
      <c r="I738" s="534" t="n">
        <v>6</v>
      </c>
      <c r="J738" s="534" t="n">
        <v>2</v>
      </c>
      <c r="K738" s="534" t="n">
        <v>-34</v>
      </c>
      <c r="L738" s="395" t="n">
        <v>3880</v>
      </c>
      <c r="M738" s="113" t="n"/>
      <c r="N738" s="113" t="n"/>
      <c r="O738" s="113" t="n"/>
      <c r="P738" s="398" t="n"/>
      <c r="Q738" s="398" t="n"/>
      <c r="R738" s="113" t="n"/>
      <c r="S738" s="113" t="n"/>
      <c r="T738" s="113" t="n"/>
      <c r="U738" s="113" t="n"/>
      <c r="V738" s="113" t="n"/>
    </row>
    <row r="739" ht="15.75" customHeight="1">
      <c r="A739" s="398" t="n">
        <v>14</v>
      </c>
      <c r="B739" s="238" t="n"/>
      <c r="C739" s="533" t="n">
        <v>46111</v>
      </c>
      <c r="D739" s="534" t="inlineStr">
        <is>
          <t>218 G. SAN JOSE 1</t>
        </is>
      </c>
      <c r="E739" s="534" t="n">
        <v>47061</v>
      </c>
      <c r="F739" s="534" t="inlineStr">
        <is>
          <t>EDWIN ROJAS</t>
        </is>
      </c>
      <c r="G739" s="534" t="n">
        <v>3888</v>
      </c>
      <c r="H739" s="534" t="n">
        <v>3879</v>
      </c>
      <c r="I739" s="534" t="n">
        <v>4</v>
      </c>
      <c r="J739" s="534" t="n">
        <v>5</v>
      </c>
      <c r="K739" s="534" t="n">
        <v>0</v>
      </c>
      <c r="L739" s="395" t="n">
        <v>4212</v>
      </c>
      <c r="M739" s="113" t="n"/>
      <c r="N739" s="113" t="n"/>
      <c r="O739" s="113" t="n"/>
      <c r="P739" s="398" t="n"/>
      <c r="Q739" s="398" t="n"/>
      <c r="R739" s="113" t="n"/>
      <c r="S739" s="113" t="n"/>
      <c r="T739" s="113" t="n"/>
      <c r="U739" s="113" t="n"/>
      <c r="V739" s="113" t="n"/>
    </row>
    <row r="740" ht="15.75" customHeight="1">
      <c r="A740" s="398" t="n">
        <v>14</v>
      </c>
      <c r="B740" s="238" t="n"/>
      <c r="C740" s="533" t="n">
        <v>46111</v>
      </c>
      <c r="D740" s="534" t="inlineStr">
        <is>
          <t>200 G. GARCERAS</t>
        </is>
      </c>
      <c r="E740" s="534" t="n">
        <v>47066</v>
      </c>
      <c r="F740" s="534" t="inlineStr">
        <is>
          <t xml:space="preserve">HENRY ROMERO </t>
        </is>
      </c>
      <c r="G740" s="534" t="n">
        <v>3080</v>
      </c>
      <c r="H740" s="534" t="n">
        <v>3084</v>
      </c>
      <c r="I740" s="534" t="n">
        <v>2</v>
      </c>
      <c r="J740" s="534" t="n">
        <v>3</v>
      </c>
      <c r="K740" s="534" t="n">
        <v>9</v>
      </c>
      <c r="L740" s="395" t="n">
        <v>3080</v>
      </c>
      <c r="M740" s="113" t="n"/>
      <c r="N740" s="113" t="n"/>
      <c r="O740" s="113" t="n"/>
      <c r="P740" s="398" t="n"/>
      <c r="Q740" s="398" t="n"/>
      <c r="R740" s="113" t="n"/>
      <c r="S740" s="113" t="n"/>
      <c r="T740" s="113" t="n"/>
      <c r="U740" s="113" t="n"/>
      <c r="V740" s="113" t="n"/>
    </row>
    <row r="741" ht="15.75" customHeight="1">
      <c r="A741" s="398" t="n">
        <v>14</v>
      </c>
      <c r="B741" s="238" t="n"/>
      <c r="C741" s="533" t="n">
        <v>46111</v>
      </c>
      <c r="D741" s="162" t="inlineStr">
        <is>
          <t>200 G. GARCERAS</t>
        </is>
      </c>
      <c r="E741" s="162" t="n">
        <v>47074</v>
      </c>
      <c r="F741" s="162" t="inlineStr">
        <is>
          <t>WILMER PIÑEROS</t>
        </is>
      </c>
      <c r="G741" s="162" t="n">
        <v>3080</v>
      </c>
      <c r="H741" s="162" t="n">
        <v>3088</v>
      </c>
      <c r="I741" s="162" t="n">
        <v>2</v>
      </c>
      <c r="J741" s="162" t="n">
        <v>2</v>
      </c>
      <c r="K741" s="162" t="n">
        <v>12</v>
      </c>
      <c r="L741" s="395" t="n">
        <v>3080</v>
      </c>
      <c r="M741" s="113" t="n"/>
      <c r="N741" s="113" t="n"/>
      <c r="O741" s="113" t="n"/>
      <c r="P741" s="398" t="n"/>
      <c r="Q741" s="398" t="n"/>
      <c r="R741" s="113" t="n"/>
      <c r="S741" s="113" t="n"/>
      <c r="T741" s="113" t="n"/>
      <c r="U741" s="113" t="n"/>
      <c r="V741" s="113" t="n"/>
    </row>
    <row r="742" ht="15.75" customHeight="1">
      <c r="A742" s="398" t="n">
        <v>14</v>
      </c>
      <c r="B742" s="238" t="n"/>
      <c r="C742" s="399" t="n">
        <v>46111</v>
      </c>
      <c r="D742" s="162" t="inlineStr">
        <is>
          <t>200 G. GARCERAS</t>
        </is>
      </c>
      <c r="E742" s="162" t="n">
        <v>47075</v>
      </c>
      <c r="F742" s="162" t="inlineStr">
        <is>
          <t xml:space="preserve">DIEGO NIÑO </t>
        </is>
      </c>
      <c r="G742" s="162" t="n">
        <v>3080</v>
      </c>
      <c r="H742" s="162" t="n">
        <v>3075</v>
      </c>
      <c r="I742" s="162" t="n">
        <v>2</v>
      </c>
      <c r="J742" s="162" t="n">
        <v>5</v>
      </c>
      <c r="K742" s="162" t="n">
        <v>2</v>
      </c>
      <c r="L742" s="395" t="n">
        <v>3080</v>
      </c>
      <c r="M742" s="113" t="n"/>
      <c r="N742" s="113" t="n"/>
      <c r="O742" s="113" t="n"/>
      <c r="P742" s="398" t="n"/>
      <c r="Q742" s="398" t="n"/>
      <c r="R742" s="113" t="n"/>
      <c r="S742" s="113" t="n"/>
      <c r="T742" s="113" t="n"/>
      <c r="U742" s="113" t="n"/>
      <c r="V742" s="113" t="n"/>
    </row>
    <row r="743" ht="15.75" customHeight="1">
      <c r="A743" s="398" t="n">
        <v>14</v>
      </c>
      <c r="B743" s="238" t="n"/>
      <c r="C743" s="399" t="n">
        <v>46111</v>
      </c>
      <c r="D743" s="162" t="inlineStr">
        <is>
          <t>200 G. GARCERAS</t>
        </is>
      </c>
      <c r="E743" s="162" t="n">
        <v>47076</v>
      </c>
      <c r="F743" s="162" t="inlineStr">
        <is>
          <t>EDWIN ROJAS</t>
        </is>
      </c>
      <c r="G743" s="162" t="n">
        <v>3080</v>
      </c>
      <c r="H743" s="162" t="n">
        <v>3076</v>
      </c>
      <c r="I743" s="162" t="n">
        <v>2</v>
      </c>
      <c r="J743" s="162" t="n">
        <v>4</v>
      </c>
      <c r="K743" s="162" t="n">
        <v>2</v>
      </c>
      <c r="L743" s="395" t="n">
        <v>3080</v>
      </c>
      <c r="M743" s="113" t="n"/>
      <c r="N743" s="113" t="n"/>
      <c r="O743" s="113" t="n"/>
      <c r="P743" s="398" t="n"/>
      <c r="Q743" s="398" t="n"/>
      <c r="R743" s="113" t="n"/>
      <c r="S743" s="113" t="n"/>
      <c r="T743" s="113" t="n"/>
      <c r="U743" s="113" t="n"/>
      <c r="V743" s="113" t="n"/>
    </row>
    <row r="744" ht="15.75" customHeight="1">
      <c r="A744" s="398" t="n">
        <v>14</v>
      </c>
      <c r="B744" s="238" t="n"/>
      <c r="C744" s="527" t="n">
        <v>46111</v>
      </c>
      <c r="D744" s="528" t="inlineStr">
        <is>
          <t>200 G. GARCERAS</t>
        </is>
      </c>
      <c r="E744" s="528" t="n">
        <v>47077</v>
      </c>
      <c r="F744" s="528" t="inlineStr">
        <is>
          <t>ALBERTO LOPEZ</t>
        </is>
      </c>
      <c r="G744" s="528" t="n">
        <v>2940</v>
      </c>
      <c r="H744" s="528" t="n">
        <v>2942</v>
      </c>
      <c r="I744" s="528" t="n">
        <v>2</v>
      </c>
      <c r="J744" s="528" t="n">
        <v>4</v>
      </c>
      <c r="K744" s="528" t="n">
        <v>8</v>
      </c>
      <c r="L744" s="395" t="n">
        <v>2940</v>
      </c>
      <c r="M744" s="113" t="n"/>
      <c r="N744" s="113" t="n"/>
      <c r="O744" s="113" t="n"/>
      <c r="P744" s="398" t="n"/>
      <c r="Q744" s="398" t="n"/>
      <c r="R744" s="113" t="n"/>
      <c r="S744" s="113" t="n"/>
      <c r="T744" s="113" t="n"/>
      <c r="U744" s="113" t="n"/>
      <c r="V744" s="113" t="n"/>
    </row>
    <row r="745" ht="15.75" customHeight="1">
      <c r="A745" s="398" t="n">
        <v>14</v>
      </c>
      <c r="B745" s="238" t="n"/>
      <c r="C745" s="527" t="n">
        <v>46112</v>
      </c>
      <c r="D745" s="528" t="inlineStr">
        <is>
          <t>200 G. GARCERAS</t>
        </is>
      </c>
      <c r="E745" s="528" t="n">
        <v>47092</v>
      </c>
      <c r="F745" s="528" t="inlineStr">
        <is>
          <t>JOSE SOLER</t>
        </is>
      </c>
      <c r="G745" s="528" t="n">
        <v>3150</v>
      </c>
      <c r="H745" s="528" t="n">
        <v>3139</v>
      </c>
      <c r="I745" s="528" t="n">
        <v>5</v>
      </c>
      <c r="J745" s="528" t="n">
        <v>1</v>
      </c>
      <c r="K745" s="528" t="n">
        <v>-5</v>
      </c>
      <c r="L745" s="395" t="n">
        <v>3150</v>
      </c>
      <c r="M745" s="113" t="n"/>
      <c r="N745" s="113" t="n"/>
      <c r="O745" s="113" t="n"/>
      <c r="P745" s="398" t="n"/>
      <c r="Q745" s="398" t="n"/>
      <c r="R745" s="113" t="n"/>
      <c r="S745" s="113" t="n"/>
      <c r="T745" s="113" t="n"/>
      <c r="U745" s="113" t="n"/>
      <c r="V745" s="113" t="n"/>
    </row>
    <row r="746" ht="15.75" customHeight="1">
      <c r="A746" s="398" t="n">
        <v>14</v>
      </c>
      <c r="B746" s="238" t="n"/>
      <c r="C746" s="527" t="n">
        <v>46112</v>
      </c>
      <c r="D746" s="528" t="inlineStr">
        <is>
          <t>200 G. GARCERAS</t>
        </is>
      </c>
      <c r="E746" s="528" t="n">
        <v>47093</v>
      </c>
      <c r="F746" s="528" t="inlineStr">
        <is>
          <t>JAIRO CUBILLOS</t>
        </is>
      </c>
      <c r="G746" s="528" t="n">
        <v>3150</v>
      </c>
      <c r="H746" s="528" t="n">
        <v>3139</v>
      </c>
      <c r="I746" s="528" t="n">
        <v>3</v>
      </c>
      <c r="J746" s="528" t="n">
        <v>1</v>
      </c>
      <c r="K746" s="528" t="n">
        <v>-7</v>
      </c>
      <c r="L746" s="395" t="n">
        <v>3150</v>
      </c>
      <c r="M746" s="113" t="n"/>
      <c r="N746" s="113" t="n"/>
      <c r="O746" s="113" t="n"/>
      <c r="P746" s="398" t="n"/>
      <c r="Q746" s="398" t="n"/>
      <c r="R746" s="113" t="n"/>
      <c r="S746" s="113" t="n"/>
      <c r="T746" s="113" t="n"/>
      <c r="U746" s="113" t="n"/>
      <c r="V746" s="113" t="n"/>
    </row>
    <row r="747" ht="15.75" customHeight="1">
      <c r="A747" s="398" t="n">
        <v>14</v>
      </c>
      <c r="B747" s="238" t="n"/>
      <c r="C747" s="527" t="n">
        <v>46112</v>
      </c>
      <c r="D747" s="528" t="inlineStr">
        <is>
          <t>200 G. GARCERAS</t>
        </is>
      </c>
      <c r="E747" s="528" t="n">
        <v>47094</v>
      </c>
      <c r="F747" s="528" t="inlineStr">
        <is>
          <t>FABIO ALDANA</t>
        </is>
      </c>
      <c r="G747" s="528" t="n">
        <v>3150</v>
      </c>
      <c r="H747" s="528" t="n">
        <v>3133</v>
      </c>
      <c r="I747" s="528" t="n">
        <v>2</v>
      </c>
      <c r="J747" s="528" t="n">
        <v>2</v>
      </c>
      <c r="K747" s="528" t="n">
        <v>-13</v>
      </c>
      <c r="L747" s="395" t="n">
        <v>3150</v>
      </c>
      <c r="M747" s="113" t="n"/>
      <c r="N747" s="113" t="n"/>
      <c r="O747" s="113" t="n"/>
      <c r="P747" s="398" t="n"/>
      <c r="Q747" s="398" t="n"/>
      <c r="R747" s="113" t="n"/>
      <c r="S747" s="113" t="n"/>
      <c r="T747" s="113" t="n"/>
      <c r="U747" s="113" t="n"/>
      <c r="V747" s="113" t="n"/>
    </row>
    <row r="748" ht="15.75" customHeight="1">
      <c r="A748" s="398" t="n">
        <v>14</v>
      </c>
      <c r="B748" s="238" t="n"/>
      <c r="C748" s="527" t="n">
        <v>46112</v>
      </c>
      <c r="D748" s="528" t="inlineStr">
        <is>
          <t>200 G. GARCERAS</t>
        </is>
      </c>
      <c r="E748" s="528" t="n">
        <v>47095</v>
      </c>
      <c r="F748" s="528" t="inlineStr">
        <is>
          <t>ROBINSON PULIDO</t>
        </is>
      </c>
      <c r="G748" s="528" t="n">
        <v>3150</v>
      </c>
      <c r="H748" s="528" t="n">
        <v>3142</v>
      </c>
      <c r="I748" s="528" t="n">
        <v>2</v>
      </c>
      <c r="J748" s="528" t="n">
        <v>2</v>
      </c>
      <c r="K748" s="528" t="n">
        <v>-4</v>
      </c>
      <c r="L748" s="395" t="n">
        <v>3150</v>
      </c>
      <c r="M748" s="113" t="n"/>
      <c r="N748" s="113" t="n"/>
      <c r="O748" s="113" t="n"/>
      <c r="P748" s="398" t="n"/>
      <c r="Q748" s="398" t="n"/>
      <c r="R748" s="113" t="n"/>
      <c r="S748" s="113" t="n"/>
      <c r="T748" s="113" t="n"/>
      <c r="U748" s="113" t="n"/>
      <c r="V748" s="113" t="n"/>
    </row>
    <row r="749" ht="15.75" customHeight="1">
      <c r="A749" s="398" t="n">
        <v>14</v>
      </c>
      <c r="B749" s="238" t="n"/>
      <c r="C749" s="527" t="n">
        <v>46112</v>
      </c>
      <c r="D749" s="528" t="inlineStr">
        <is>
          <t>200 G. GARCERAS</t>
        </is>
      </c>
      <c r="E749" s="528" t="n">
        <v>47096</v>
      </c>
      <c r="F749" s="528" t="inlineStr">
        <is>
          <t>MANUEL QUITIAN</t>
        </is>
      </c>
      <c r="G749" s="528" t="n">
        <v>3280</v>
      </c>
      <c r="H749" s="528" t="n">
        <v>3270</v>
      </c>
      <c r="I749" s="528" t="n">
        <v>3</v>
      </c>
      <c r="J749" s="528" t="n">
        <v>2</v>
      </c>
      <c r="K749" s="528" t="n">
        <v>-5</v>
      </c>
      <c r="L749" s="395" t="n">
        <v>3280</v>
      </c>
      <c r="M749" s="113" t="n"/>
      <c r="N749" s="113" t="n"/>
      <c r="O749" s="113" t="n"/>
      <c r="P749" s="398" t="n"/>
      <c r="Q749" s="398" t="n"/>
      <c r="R749" s="113" t="n"/>
      <c r="S749" s="113" t="n"/>
      <c r="T749" s="113" t="n"/>
      <c r="U749" s="113" t="n"/>
      <c r="V749" s="113" t="n"/>
    </row>
    <row r="750" ht="15.75" customHeight="1">
      <c r="A750" s="398" t="n">
        <v>14</v>
      </c>
      <c r="B750" s="238" t="n"/>
      <c r="C750" s="527" t="n">
        <v>46112</v>
      </c>
      <c r="D750" s="528" t="inlineStr">
        <is>
          <t>200 G. GARCERAS</t>
        </is>
      </c>
      <c r="E750" s="528" t="n">
        <v>47097</v>
      </c>
      <c r="F750" s="528" t="inlineStr">
        <is>
          <t>ALBERTO HERRERA</t>
        </is>
      </c>
      <c r="G750" s="528" t="n">
        <v>3110</v>
      </c>
      <c r="H750" s="528" t="n">
        <v>3098</v>
      </c>
      <c r="I750" s="528" t="n">
        <v>4</v>
      </c>
      <c r="J750" s="528" t="n">
        <v>2</v>
      </c>
      <c r="K750" s="528" t="n">
        <v>-6</v>
      </c>
      <c r="L750" s="395" t="n">
        <v>3150</v>
      </c>
      <c r="M750" s="113" t="n"/>
      <c r="N750" s="113" t="n"/>
      <c r="O750" s="113" t="n"/>
      <c r="P750" s="398" t="n"/>
      <c r="Q750" s="398" t="n"/>
      <c r="R750" s="113" t="n"/>
      <c r="S750" s="113" t="n"/>
      <c r="T750" s="113" t="n"/>
      <c r="U750" s="113" t="n"/>
      <c r="V750" s="113" t="n"/>
    </row>
    <row r="751" ht="15.75" customHeight="1">
      <c r="A751" s="398" t="n">
        <v>14</v>
      </c>
      <c r="B751" s="238" t="n"/>
      <c r="C751" s="527" t="n">
        <v>46112</v>
      </c>
      <c r="D751" s="528" t="inlineStr">
        <is>
          <t>200 G. GARCERAS</t>
        </is>
      </c>
      <c r="E751" s="528" t="n">
        <v>47098</v>
      </c>
      <c r="F751" s="528" t="inlineStr">
        <is>
          <t>WILMER PIÑEROS</t>
        </is>
      </c>
      <c r="G751" s="528" t="n">
        <v>3110</v>
      </c>
      <c r="H751" s="528" t="n">
        <v>3101</v>
      </c>
      <c r="I751" s="528" t="n">
        <v>4</v>
      </c>
      <c r="J751" s="528" t="n">
        <v>4</v>
      </c>
      <c r="K751" s="528" t="n">
        <v>-1</v>
      </c>
      <c r="L751" s="395" t="n">
        <v>3130</v>
      </c>
      <c r="M751" s="113" t="n"/>
      <c r="N751" s="113" t="n"/>
      <c r="O751" s="113" t="n"/>
      <c r="P751" s="398" t="n"/>
      <c r="Q751" s="398" t="n"/>
      <c r="R751" s="113" t="n"/>
      <c r="S751" s="113" t="n"/>
      <c r="T751" s="113" t="n"/>
      <c r="U751" s="113" t="n"/>
      <c r="V751" s="113" t="n"/>
    </row>
    <row r="752" ht="15.75" customHeight="1">
      <c r="A752" s="398" t="n">
        <v>14</v>
      </c>
      <c r="B752" s="238" t="n"/>
      <c r="C752" s="527" t="n">
        <v>46112</v>
      </c>
      <c r="D752" s="528" t="inlineStr">
        <is>
          <t>200 G. GARCERAS</t>
        </is>
      </c>
      <c r="E752" s="528" t="n">
        <v>47105</v>
      </c>
      <c r="F752" s="528" t="inlineStr">
        <is>
          <t>FERNANDO OYUELA</t>
        </is>
      </c>
      <c r="G752" s="528" t="n">
        <v>2930</v>
      </c>
      <c r="H752" s="528" t="n">
        <v>2929</v>
      </c>
      <c r="I752" s="528" t="n">
        <v>1</v>
      </c>
      <c r="J752" s="528" t="n">
        <v>0</v>
      </c>
      <c r="K752" s="528" t="n">
        <v>0</v>
      </c>
      <c r="L752" s="395" t="n">
        <v>2930</v>
      </c>
      <c r="M752" s="113" t="n"/>
      <c r="N752" s="113" t="n"/>
      <c r="O752" s="113" t="n"/>
      <c r="P752" s="398" t="n"/>
      <c r="Q752" s="398" t="n"/>
      <c r="R752" s="113" t="n"/>
      <c r="S752" s="113" t="n"/>
      <c r="T752" s="113" t="n"/>
      <c r="U752" s="113" t="n"/>
      <c r="V752" s="113" t="n"/>
    </row>
    <row r="753" ht="15.75" customHeight="1">
      <c r="A753" s="398" t="n">
        <v>14</v>
      </c>
      <c r="B753" s="238" t="n"/>
      <c r="C753" s="527" t="n">
        <v>46112</v>
      </c>
      <c r="D753" s="528" t="inlineStr">
        <is>
          <t>200 G. GARCERAS</t>
        </is>
      </c>
      <c r="E753" s="528" t="n">
        <v>47106</v>
      </c>
      <c r="F753" s="528" t="inlineStr">
        <is>
          <t xml:space="preserve">HENRY ROMERO </t>
        </is>
      </c>
      <c r="G753" s="528" t="n">
        <v>2930</v>
      </c>
      <c r="H753" s="528" t="n">
        <v>2926</v>
      </c>
      <c r="I753" s="528" t="n">
        <v>2</v>
      </c>
      <c r="J753" s="528" t="n">
        <v>2</v>
      </c>
      <c r="K753" s="528" t="n">
        <v>0</v>
      </c>
      <c r="L753" s="395" t="n">
        <v>2930</v>
      </c>
      <c r="M753" s="113" t="n"/>
      <c r="N753" s="113" t="n"/>
      <c r="O753" s="113" t="n"/>
      <c r="P753" s="398" t="n"/>
      <c r="Q753" s="398" t="n"/>
      <c r="R753" s="113" t="n"/>
      <c r="S753" s="113" t="n"/>
      <c r="T753" s="113" t="n"/>
      <c r="U753" s="113" t="n"/>
      <c r="V753" s="113" t="n"/>
    </row>
    <row r="754" ht="15.75" customHeight="1">
      <c r="A754" s="398" t="n">
        <v>14</v>
      </c>
      <c r="B754" s="238" t="n"/>
      <c r="C754" s="527" t="n">
        <v>46112</v>
      </c>
      <c r="D754" s="528" t="inlineStr">
        <is>
          <t>200 G. GARCERAS</t>
        </is>
      </c>
      <c r="E754" s="528" t="n">
        <v>47107</v>
      </c>
      <c r="F754" s="528" t="inlineStr">
        <is>
          <t>JAIRO CUBILLOS</t>
        </is>
      </c>
      <c r="G754" s="528" t="n">
        <v>2770</v>
      </c>
      <c r="H754" s="528" t="n">
        <v>2770</v>
      </c>
      <c r="I754" s="528" t="n">
        <v>3</v>
      </c>
      <c r="J754" s="528" t="n">
        <v>1</v>
      </c>
      <c r="K754" s="528" t="n">
        <v>4</v>
      </c>
      <c r="L754" s="395" t="n">
        <v>2930</v>
      </c>
      <c r="M754" s="113" t="n"/>
      <c r="N754" s="113" t="n"/>
      <c r="O754" s="113" t="n"/>
      <c r="P754" s="398" t="n"/>
      <c r="Q754" s="398" t="n"/>
      <c r="R754" s="113" t="n"/>
      <c r="S754" s="113" t="n"/>
      <c r="T754" s="113" t="n"/>
      <c r="U754" s="113" t="n"/>
      <c r="V754" s="113" t="n"/>
    </row>
    <row r="755" ht="15.75" customHeight="1">
      <c r="A755" s="398" t="n">
        <v>14</v>
      </c>
      <c r="B755" s="238" t="n"/>
      <c r="C755" s="527" t="n">
        <v>46112</v>
      </c>
      <c r="D755" s="528" t="inlineStr">
        <is>
          <t>200 G. GARCERAS</t>
        </is>
      </c>
      <c r="E755" s="528" t="n">
        <v>47108</v>
      </c>
      <c r="F755" s="528" t="inlineStr">
        <is>
          <t>YAIR RIVEROS</t>
        </is>
      </c>
      <c r="G755" s="528" t="n">
        <v>2930</v>
      </c>
      <c r="H755" s="528" t="n">
        <v>2925</v>
      </c>
      <c r="I755" s="528" t="n">
        <v>2</v>
      </c>
      <c r="J755" s="528" t="n">
        <v>3</v>
      </c>
      <c r="K755" s="528" t="n">
        <v>0</v>
      </c>
      <c r="L755" s="395" t="n">
        <v>2930</v>
      </c>
      <c r="M755" s="113" t="n"/>
      <c r="N755" s="113" t="n"/>
      <c r="O755" s="113" t="n"/>
      <c r="P755" s="398" t="n"/>
      <c r="Q755" s="398" t="n"/>
      <c r="R755" s="113" t="n"/>
      <c r="S755" s="113" t="n"/>
      <c r="T755" s="113" t="n"/>
      <c r="U755" s="113" t="n"/>
      <c r="V755" s="113" t="n"/>
    </row>
    <row r="756" ht="15.75" customHeight="1">
      <c r="A756" s="398" t="n">
        <v>14</v>
      </c>
      <c r="B756" s="238" t="n"/>
      <c r="C756" s="527" t="n">
        <v>46112</v>
      </c>
      <c r="D756" s="528" t="inlineStr">
        <is>
          <t>200 G. GARCERAS</t>
        </is>
      </c>
      <c r="E756" s="528" t="n">
        <v>47109</v>
      </c>
      <c r="F756" s="528" t="inlineStr">
        <is>
          <t>JOSE SOLER</t>
        </is>
      </c>
      <c r="G756" s="528" t="n">
        <v>2930</v>
      </c>
      <c r="H756" s="528" t="n">
        <v>2929</v>
      </c>
      <c r="I756" s="528" t="n">
        <v>2</v>
      </c>
      <c r="J756" s="528" t="n">
        <v>2</v>
      </c>
      <c r="K756" s="528" t="n">
        <v>3</v>
      </c>
      <c r="L756" s="395" t="n">
        <v>2770</v>
      </c>
      <c r="M756" s="113" t="n"/>
      <c r="N756" s="113" t="n"/>
      <c r="O756" s="113" t="n"/>
      <c r="P756" s="398" t="n"/>
      <c r="Q756" s="398" t="n"/>
      <c r="R756" s="113" t="n"/>
      <c r="S756" s="113" t="n"/>
      <c r="T756" s="113" t="n"/>
      <c r="U756" s="113" t="n"/>
      <c r="V756" s="113" t="n"/>
    </row>
    <row r="757" ht="15.75" customHeight="1">
      <c r="A757" s="398" t="n">
        <v>14</v>
      </c>
      <c r="B757" s="238" t="n"/>
      <c r="C757" s="527" t="n"/>
      <c r="D757" s="528" t="n"/>
      <c r="E757" s="528" t="n"/>
      <c r="F757" s="528" t="n"/>
      <c r="G757" s="529">
        <f>SUBTOTAL(9,G727:G756)</f>
        <v/>
      </c>
      <c r="H757" s="529">
        <f>SUBTOTAL(9,H727:H756)</f>
        <v/>
      </c>
      <c r="I757" s="529">
        <f>SUBTOTAL(9,I727:I756)</f>
        <v/>
      </c>
      <c r="J757" s="529">
        <f>SUBTOTAL(9,J727:J756)</f>
        <v/>
      </c>
      <c r="K757" s="529">
        <f>SUBTOTAL(9,K727:K756)</f>
        <v/>
      </c>
      <c r="L757" s="529">
        <f>SUBTOTAL(9,L727:L756)</f>
        <v/>
      </c>
      <c r="M757" s="528" t="n"/>
      <c r="N757" s="113" t="n"/>
      <c r="O757" s="113" t="n"/>
      <c r="P757" s="398" t="n"/>
      <c r="Q757" s="398" t="n"/>
      <c r="R757" s="113" t="n"/>
      <c r="S757" s="113" t="n"/>
      <c r="T757" s="113" t="n"/>
      <c r="U757" s="113" t="n"/>
      <c r="V757" s="113" t="n"/>
    </row>
    <row r="758" ht="15.75" customHeight="1">
      <c r="A758" s="398" t="n">
        <v>15</v>
      </c>
      <c r="B758" s="238" t="n"/>
      <c r="C758" s="527" t="n">
        <v>46113</v>
      </c>
      <c r="D758" s="528" t="inlineStr">
        <is>
          <t>200 G. GARCERAS</t>
        </is>
      </c>
      <c r="E758" s="528" t="n">
        <v>47124</v>
      </c>
      <c r="F758" s="528" t="inlineStr">
        <is>
          <t xml:space="preserve">HENRY ROMERO </t>
        </is>
      </c>
      <c r="G758" s="528" t="n">
        <v>3100</v>
      </c>
      <c r="H758" s="528" t="n">
        <v>3093</v>
      </c>
      <c r="I758" s="528" t="n">
        <v>4</v>
      </c>
      <c r="J758" s="528" t="n">
        <v>2</v>
      </c>
      <c r="K758" s="528" t="n">
        <v>-1</v>
      </c>
      <c r="L758" s="395" t="n">
        <v>3093</v>
      </c>
      <c r="M758" s="113" t="n"/>
      <c r="N758" s="113" t="n"/>
      <c r="O758" s="113" t="n"/>
      <c r="P758" s="398" t="n"/>
      <c r="Q758" s="398" t="n"/>
      <c r="R758" s="113" t="n"/>
      <c r="S758" s="113" t="n"/>
      <c r="T758" s="113" t="n"/>
      <c r="U758" s="113" t="n"/>
      <c r="V758" s="113" t="n"/>
    </row>
    <row r="759" ht="15.75" customHeight="1">
      <c r="A759" s="398" t="n">
        <v>15</v>
      </c>
      <c r="B759" s="238" t="n"/>
      <c r="C759" s="527" t="n">
        <v>46113</v>
      </c>
      <c r="D759" s="528" t="inlineStr">
        <is>
          <t>200 G. GARCERAS</t>
        </is>
      </c>
      <c r="E759" s="528" t="n">
        <v>47125</v>
      </c>
      <c r="F759" s="528" t="inlineStr">
        <is>
          <t>YAIR RIVEROS</t>
        </is>
      </c>
      <c r="G759" s="528" t="n">
        <v>3100</v>
      </c>
      <c r="H759" s="528" t="n">
        <v>3094</v>
      </c>
      <c r="I759" s="528" t="n">
        <v>5</v>
      </c>
      <c r="J759" s="528" t="n">
        <v>1</v>
      </c>
      <c r="K759" s="528" t="n">
        <v>0</v>
      </c>
      <c r="L759" s="395" t="n">
        <v>3094</v>
      </c>
      <c r="M759" s="113" t="n"/>
      <c r="N759" s="113" t="n"/>
      <c r="O759" s="113" t="n"/>
      <c r="P759" s="398" t="n"/>
      <c r="Q759" s="398" t="n"/>
      <c r="R759" s="113" t="n"/>
      <c r="S759" s="113" t="n"/>
      <c r="T759" s="113" t="n"/>
      <c r="U759" s="113" t="n"/>
      <c r="V759" s="113" t="n"/>
    </row>
    <row r="760" ht="15.75" customHeight="1">
      <c r="A760" s="398" t="n">
        <v>15</v>
      </c>
      <c r="B760" s="238" t="n"/>
      <c r="C760" s="399" t="n">
        <v>46113</v>
      </c>
      <c r="D760" s="162" t="inlineStr">
        <is>
          <t>200 G. GARCERAS</t>
        </is>
      </c>
      <c r="E760" s="162" t="n">
        <v>47126</v>
      </c>
      <c r="F760" s="162" t="inlineStr">
        <is>
          <t>DIEGO NIÑO</t>
        </is>
      </c>
      <c r="G760" s="162" t="n">
        <v>3100</v>
      </c>
      <c r="H760" s="162" t="n">
        <v>3096</v>
      </c>
      <c r="I760" s="162" t="n">
        <v>4</v>
      </c>
      <c r="J760" s="162" t="n">
        <v>1</v>
      </c>
      <c r="K760" s="162" t="n">
        <v>1</v>
      </c>
      <c r="L760" s="395" t="n">
        <v>3096</v>
      </c>
      <c r="M760" s="113" t="n"/>
      <c r="N760" s="113" t="n"/>
      <c r="O760" s="113" t="n"/>
      <c r="P760" s="398" t="n"/>
      <c r="Q760" s="398" t="n"/>
      <c r="R760" s="113" t="n"/>
      <c r="S760" s="113" t="n"/>
      <c r="T760" s="113" t="n"/>
      <c r="U760" s="113" t="n"/>
      <c r="V760" s="113" t="n"/>
    </row>
    <row r="761" ht="15.75" customHeight="1">
      <c r="A761" s="398" t="n">
        <v>15</v>
      </c>
      <c r="B761" s="238" t="n"/>
      <c r="C761" s="399" t="n">
        <v>46113</v>
      </c>
      <c r="D761" s="162" t="inlineStr">
        <is>
          <t>200 G. GARCERAS</t>
        </is>
      </c>
      <c r="E761" s="162" t="n">
        <v>47127</v>
      </c>
      <c r="F761" s="162" t="inlineStr">
        <is>
          <t>JAIRO CUBILLOS</t>
        </is>
      </c>
      <c r="G761" s="162" t="n">
        <v>2940</v>
      </c>
      <c r="H761" s="162" t="n">
        <v>2935</v>
      </c>
      <c r="I761" s="162" t="n">
        <v>3</v>
      </c>
      <c r="J761" s="162" t="n">
        <v>2</v>
      </c>
      <c r="K761" s="162" t="n">
        <v>0</v>
      </c>
      <c r="L761" s="395" t="n">
        <v>2935</v>
      </c>
      <c r="M761" s="113" t="n"/>
      <c r="N761" s="113" t="n"/>
      <c r="O761" s="113" t="n"/>
      <c r="P761" s="398" t="n"/>
      <c r="Q761" s="398" t="n"/>
      <c r="R761" s="113" t="n"/>
      <c r="S761" s="113" t="n"/>
      <c r="T761" s="113" t="n"/>
      <c r="U761" s="113" t="n"/>
      <c r="V761" s="113" t="n"/>
    </row>
    <row r="762" ht="15.75" customHeight="1">
      <c r="A762" s="398" t="n">
        <v>15</v>
      </c>
      <c r="B762" s="238" t="n"/>
      <c r="C762" s="399" t="n">
        <v>46113</v>
      </c>
      <c r="D762" s="162" t="inlineStr">
        <is>
          <t>200 G. GARCERAS</t>
        </is>
      </c>
      <c r="E762" s="162" t="n">
        <v>47128</v>
      </c>
      <c r="F762" s="162" t="inlineStr">
        <is>
          <t xml:space="preserve">ALBERTO HERRERA </t>
        </is>
      </c>
      <c r="G762" s="162" t="n">
        <v>2940</v>
      </c>
      <c r="H762" s="162" t="n">
        <v>2913</v>
      </c>
      <c r="I762" s="162" t="n">
        <v>5</v>
      </c>
      <c r="J762" s="162" t="n">
        <v>2</v>
      </c>
      <c r="K762" s="162" t="n">
        <v>-20</v>
      </c>
      <c r="L762" s="395" t="n">
        <v>2913</v>
      </c>
      <c r="M762" s="113" t="n"/>
      <c r="N762" s="113" t="n"/>
      <c r="O762" s="113" t="n"/>
      <c r="P762" s="398" t="n"/>
      <c r="Q762" s="398" t="n"/>
      <c r="R762" s="113" t="n"/>
      <c r="S762" s="113" t="n"/>
      <c r="T762" s="113" t="n"/>
      <c r="U762" s="113" t="n"/>
      <c r="V762" s="113" t="n"/>
    </row>
    <row r="763" ht="15.75" customHeight="1">
      <c r="A763" s="398" t="n">
        <v>15</v>
      </c>
      <c r="B763" s="238" t="n"/>
      <c r="C763" s="399" t="n">
        <v>46113</v>
      </c>
      <c r="D763" s="162" t="inlineStr">
        <is>
          <t>200 G. GARCERAS</t>
        </is>
      </c>
      <c r="E763" s="162" t="n">
        <v>47129</v>
      </c>
      <c r="F763" s="162" t="inlineStr">
        <is>
          <t>ALBERTO LOPEZ</t>
        </is>
      </c>
      <c r="G763" s="162" t="n">
        <v>2940</v>
      </c>
      <c r="H763" s="162" t="n">
        <v>2938</v>
      </c>
      <c r="I763" s="162" t="n">
        <v>3</v>
      </c>
      <c r="J763" s="162" t="n">
        <v>4</v>
      </c>
      <c r="K763" s="162" t="n">
        <v>5</v>
      </c>
      <c r="L763" s="395" t="n">
        <v>2938</v>
      </c>
      <c r="M763" s="113" t="n"/>
      <c r="N763" s="113" t="n"/>
      <c r="O763" s="113" t="n"/>
      <c r="P763" s="398" t="n"/>
      <c r="Q763" s="398" t="n"/>
      <c r="R763" s="113" t="n"/>
      <c r="S763" s="113" t="n"/>
      <c r="T763" s="113" t="n"/>
      <c r="U763" s="113" t="n"/>
      <c r="V763" s="113" t="n"/>
    </row>
    <row r="764" ht="15.75" customHeight="1">
      <c r="A764" s="398" t="n">
        <v>15</v>
      </c>
      <c r="B764" s="238" t="n"/>
      <c r="C764" s="399" t="n">
        <v>46113</v>
      </c>
      <c r="D764" s="162" t="inlineStr">
        <is>
          <t>200 G. GARCERAS</t>
        </is>
      </c>
      <c r="E764" s="162" t="n">
        <v>47130</v>
      </c>
      <c r="F764" s="162" t="inlineStr">
        <is>
          <t>DIUMAR ANGARITA</t>
        </is>
      </c>
      <c r="G764" s="162" t="n">
        <v>2810</v>
      </c>
      <c r="H764" s="162" t="n">
        <v>2811</v>
      </c>
      <c r="I764" s="162" t="n">
        <v>2</v>
      </c>
      <c r="J764" s="162" t="n">
        <v>2</v>
      </c>
      <c r="K764" s="162" t="n">
        <v>5</v>
      </c>
      <c r="L764" s="395" t="n">
        <v>2811</v>
      </c>
      <c r="M764" s="113" t="n"/>
      <c r="N764" s="113" t="n"/>
      <c r="O764" s="113" t="n"/>
      <c r="P764" s="398" t="n"/>
      <c r="Q764" s="398" t="n"/>
      <c r="R764" s="113" t="n"/>
      <c r="S764" s="113" t="n"/>
      <c r="T764" s="113" t="n"/>
      <c r="U764" s="113" t="n"/>
      <c r="V764" s="113" t="n"/>
    </row>
    <row r="765" ht="15.75" customHeight="1">
      <c r="A765" s="398" t="n">
        <v>15</v>
      </c>
      <c r="B765" s="238" t="n"/>
      <c r="C765" s="399" t="n">
        <v>46113</v>
      </c>
      <c r="D765" s="162" t="inlineStr">
        <is>
          <t>200 G. GARCERAS</t>
        </is>
      </c>
      <c r="E765" s="162" t="n">
        <v>47131</v>
      </c>
      <c r="F765" s="162" t="inlineStr">
        <is>
          <t>JHON ARIAS</t>
        </is>
      </c>
      <c r="G765" s="162" t="n">
        <v>2940</v>
      </c>
      <c r="H765" s="162" t="n">
        <v>2948</v>
      </c>
      <c r="I765" s="162" t="n">
        <v>3</v>
      </c>
      <c r="J765" s="162" t="n">
        <v>1</v>
      </c>
      <c r="K765" s="162" t="n">
        <v>12</v>
      </c>
      <c r="L765" s="395" t="n">
        <v>2948</v>
      </c>
      <c r="M765" s="113" t="n"/>
      <c r="N765" s="113" t="n"/>
      <c r="O765" s="113" t="n"/>
      <c r="P765" s="398" t="n"/>
      <c r="Q765" s="398" t="n"/>
      <c r="R765" s="113" t="n"/>
      <c r="S765" s="113" t="n"/>
      <c r="T765" s="113" t="n"/>
      <c r="U765" s="113" t="n"/>
      <c r="V765" s="113" t="n"/>
    </row>
    <row r="766" ht="15.75" customHeight="1">
      <c r="A766" s="398" t="n">
        <v>15</v>
      </c>
      <c r="B766" s="238" t="n"/>
      <c r="C766" s="399" t="n">
        <v>46113</v>
      </c>
      <c r="D766" s="162" t="inlineStr">
        <is>
          <t>200 G. GARCERAS</t>
        </is>
      </c>
      <c r="E766" s="162" t="n">
        <v>47132</v>
      </c>
      <c r="F766" s="162" t="inlineStr">
        <is>
          <t xml:space="preserve">SEBASTIAN HIDALGO </t>
        </is>
      </c>
      <c r="G766" s="162" t="n">
        <v>3030</v>
      </c>
      <c r="H766" s="162" t="n">
        <v>3029</v>
      </c>
      <c r="I766" s="162" t="n">
        <v>3</v>
      </c>
      <c r="J766" s="162" t="n">
        <v>2</v>
      </c>
      <c r="K766" s="162" t="n">
        <v>4</v>
      </c>
      <c r="L766" s="395" t="n">
        <v>3029</v>
      </c>
      <c r="M766" s="113" t="n"/>
      <c r="N766" s="113" t="n"/>
      <c r="O766" s="113" t="n"/>
      <c r="P766" s="398" t="n"/>
      <c r="Q766" s="398" t="n"/>
      <c r="R766" s="113" t="n"/>
      <c r="S766" s="113" t="n"/>
      <c r="T766" s="113" t="n"/>
      <c r="U766" s="113" t="n"/>
      <c r="V766" s="113" t="n"/>
    </row>
    <row r="767" ht="15.75" customHeight="1">
      <c r="A767" s="398" t="n">
        <v>15</v>
      </c>
      <c r="B767" s="238" t="n"/>
      <c r="C767" s="527" t="n">
        <v>46113</v>
      </c>
      <c r="D767" s="528" t="inlineStr">
        <is>
          <t>200 G. GARCERAS</t>
        </is>
      </c>
      <c r="E767" s="528" t="n">
        <v>47133</v>
      </c>
      <c r="F767" s="528" t="inlineStr">
        <is>
          <t>WILMER PIÑEROS</t>
        </is>
      </c>
      <c r="G767" s="528" t="n">
        <v>3030</v>
      </c>
      <c r="H767" s="528" t="n">
        <v>3029</v>
      </c>
      <c r="I767" s="528" t="n">
        <v>2</v>
      </c>
      <c r="J767" s="528" t="n">
        <v>3</v>
      </c>
      <c r="K767" s="528" t="n">
        <v>4</v>
      </c>
      <c r="L767" s="395" t="n">
        <v>3029</v>
      </c>
      <c r="M767" s="113" t="n"/>
      <c r="N767" s="113" t="n"/>
      <c r="O767" s="113" t="n"/>
      <c r="P767" s="398" t="n"/>
      <c r="Q767" s="398" t="n"/>
      <c r="R767" s="113" t="n"/>
      <c r="S767" s="113" t="n"/>
      <c r="T767" s="113" t="n"/>
      <c r="U767" s="113" t="n"/>
      <c r="V767" s="113" t="n"/>
    </row>
    <row r="768" ht="15.75" customHeight="1">
      <c r="A768" s="398" t="n">
        <v>15</v>
      </c>
      <c r="B768" s="238" t="n"/>
      <c r="C768" s="527" t="n">
        <v>46113</v>
      </c>
      <c r="D768" s="528" t="inlineStr">
        <is>
          <t>200 G. GARCERAS</t>
        </is>
      </c>
      <c r="E768" s="528" t="n">
        <v>47134</v>
      </c>
      <c r="F768" s="528" t="inlineStr">
        <is>
          <t xml:space="preserve">MANUEL QUITIAN </t>
        </is>
      </c>
      <c r="G768" s="528" t="n">
        <v>3030</v>
      </c>
      <c r="H768" s="528" t="n">
        <v>3027</v>
      </c>
      <c r="I768" s="528" t="n">
        <v>2</v>
      </c>
      <c r="J768" s="528" t="n">
        <v>5</v>
      </c>
      <c r="K768" s="528" t="n">
        <v>4</v>
      </c>
      <c r="L768" s="395" t="n">
        <v>3027</v>
      </c>
      <c r="M768" s="113" t="n"/>
      <c r="N768" s="113" t="n"/>
      <c r="O768" s="113" t="n"/>
      <c r="P768" s="398" t="n"/>
      <c r="Q768" s="398" t="n"/>
      <c r="R768" s="113" t="n"/>
      <c r="S768" s="113" t="n"/>
      <c r="T768" s="113" t="n"/>
      <c r="U768" s="113" t="n"/>
      <c r="V768" s="113" t="n"/>
    </row>
    <row r="769" ht="15.75" customHeight="1">
      <c r="A769" s="398" t="n">
        <v>15</v>
      </c>
      <c r="B769" s="238" t="n"/>
      <c r="C769" s="527" t="n">
        <v>46113</v>
      </c>
      <c r="D769" s="528" t="inlineStr">
        <is>
          <t>200 G. GARCERAS</t>
        </is>
      </c>
      <c r="E769" s="528" t="n">
        <v>47135</v>
      </c>
      <c r="F769" s="528" t="inlineStr">
        <is>
          <t>JOSE SOLER</t>
        </is>
      </c>
      <c r="G769" s="528" t="n">
        <v>3030</v>
      </c>
      <c r="H769" s="528" t="n">
        <v>3031</v>
      </c>
      <c r="I769" s="528" t="n">
        <v>1</v>
      </c>
      <c r="J769" s="528" t="n">
        <v>7</v>
      </c>
      <c r="K769" s="528" t="n">
        <v>9</v>
      </c>
      <c r="L769" s="395" t="n">
        <v>3031</v>
      </c>
      <c r="M769" s="113" t="n"/>
      <c r="N769" s="113" t="n"/>
      <c r="O769" s="113" t="n"/>
      <c r="P769" s="398" t="n"/>
      <c r="Q769" s="398" t="n"/>
      <c r="R769" s="113" t="n"/>
      <c r="S769" s="113" t="n"/>
      <c r="T769" s="113" t="n"/>
      <c r="U769" s="113" t="n"/>
      <c r="V769" s="113" t="n"/>
    </row>
    <row r="770" ht="15.75" customHeight="1">
      <c r="A770" s="398" t="n">
        <v>15</v>
      </c>
      <c r="B770" s="238" t="n"/>
      <c r="C770" s="527" t="n">
        <v>46113</v>
      </c>
      <c r="D770" s="528" t="inlineStr">
        <is>
          <t>200 G. GARCERAS</t>
        </is>
      </c>
      <c r="E770" s="528" t="n">
        <v>47136</v>
      </c>
      <c r="F770" s="528" t="inlineStr">
        <is>
          <t xml:space="preserve">ROBINSON PULIDO </t>
        </is>
      </c>
      <c r="G770" s="528" t="n">
        <v>2910</v>
      </c>
      <c r="H770" s="528" t="n">
        <v>2909</v>
      </c>
      <c r="I770" s="528" t="n">
        <v>1</v>
      </c>
      <c r="J770" s="528" t="n">
        <v>6</v>
      </c>
      <c r="K770" s="528" t="n">
        <v>6</v>
      </c>
      <c r="L770" s="395" t="n">
        <v>2909</v>
      </c>
      <c r="M770" s="113" t="n"/>
      <c r="N770" s="113" t="n"/>
      <c r="O770" s="113" t="n"/>
      <c r="P770" s="398" t="n"/>
      <c r="Q770" s="398" t="n"/>
      <c r="R770" s="113" t="n"/>
      <c r="S770" s="113" t="n"/>
      <c r="T770" s="113" t="n"/>
      <c r="U770" s="113" t="n"/>
      <c r="V770" s="113" t="n"/>
    </row>
    <row r="771" ht="15.75" customHeight="1">
      <c r="A771" s="398" t="n">
        <v>15</v>
      </c>
      <c r="B771" s="238" t="n"/>
      <c r="C771" s="527" t="n">
        <v>46113</v>
      </c>
      <c r="D771" s="528" t="inlineStr">
        <is>
          <t>200 G. GARCERAS</t>
        </is>
      </c>
      <c r="E771" s="528" t="n">
        <v>47137</v>
      </c>
      <c r="F771" s="528" t="inlineStr">
        <is>
          <t>ALEX GOMEZ</t>
        </is>
      </c>
      <c r="G771" s="528" t="n">
        <v>3200</v>
      </c>
      <c r="H771" s="528" t="n">
        <v>3191</v>
      </c>
      <c r="I771" s="528" t="n">
        <v>2</v>
      </c>
      <c r="J771" s="528" t="n">
        <v>3</v>
      </c>
      <c r="K771" s="528" t="n">
        <v>-4</v>
      </c>
      <c r="L771" s="395" t="n">
        <v>3191</v>
      </c>
      <c r="M771" s="113" t="n"/>
      <c r="N771" s="113" t="n"/>
      <c r="O771" s="113" t="n"/>
      <c r="P771" s="398" t="n"/>
      <c r="Q771" s="398" t="n"/>
      <c r="R771" s="113" t="n"/>
      <c r="S771" s="113" t="n"/>
      <c r="T771" s="113" t="n"/>
      <c r="U771" s="113" t="n"/>
      <c r="V771" s="113" t="n"/>
    </row>
    <row r="772" ht="15.75" customHeight="1">
      <c r="A772" s="398" t="n">
        <v>15</v>
      </c>
      <c r="B772" s="238" t="n"/>
      <c r="C772" s="527" t="n">
        <v>46116</v>
      </c>
      <c r="D772" s="528" t="inlineStr">
        <is>
          <t>200 G. GARCERAS</t>
        </is>
      </c>
      <c r="E772" s="528" t="n">
        <v>47146</v>
      </c>
      <c r="F772" s="528" t="inlineStr">
        <is>
          <t>JOSE SOLER</t>
        </is>
      </c>
      <c r="G772" s="528" t="n">
        <v>3582</v>
      </c>
      <c r="H772" s="528" t="n">
        <v>3559</v>
      </c>
      <c r="I772" s="528" t="n">
        <v>2</v>
      </c>
      <c r="J772" s="528" t="n">
        <v>3</v>
      </c>
      <c r="K772" s="528" t="n">
        <v>-18</v>
      </c>
      <c r="L772" s="395" t="n">
        <v>3559</v>
      </c>
      <c r="M772" s="113" t="n"/>
      <c r="N772" s="113" t="n"/>
      <c r="O772" s="113" t="n"/>
      <c r="P772" s="398" t="n"/>
      <c r="Q772" s="398" t="n"/>
      <c r="R772" s="113" t="n"/>
      <c r="S772" s="113" t="n"/>
      <c r="T772" s="113" t="n"/>
      <c r="U772" s="113" t="n"/>
      <c r="V772" s="113" t="n"/>
    </row>
    <row r="773" ht="15.75" customHeight="1">
      <c r="A773" s="398" t="n">
        <v>15</v>
      </c>
      <c r="B773" s="238" t="n"/>
      <c r="C773" s="527" t="n">
        <v>46116</v>
      </c>
      <c r="D773" s="528" t="inlineStr">
        <is>
          <t>200 G. GARCERAS</t>
        </is>
      </c>
      <c r="E773" s="528" t="n">
        <v>47147</v>
      </c>
      <c r="F773" s="528" t="inlineStr">
        <is>
          <t>WILMER PIÑEROS</t>
        </is>
      </c>
      <c r="G773" s="528" t="n">
        <v>3582</v>
      </c>
      <c r="H773" s="528" t="n">
        <v>3575</v>
      </c>
      <c r="I773" s="528" t="n">
        <v>4</v>
      </c>
      <c r="J773" s="528" t="n">
        <v>0</v>
      </c>
      <c r="K773" s="528" t="n">
        <v>-3</v>
      </c>
      <c r="L773" s="395" t="n">
        <v>3575</v>
      </c>
      <c r="M773" s="113" t="n"/>
      <c r="N773" s="113" t="n"/>
      <c r="O773" s="113" t="n"/>
      <c r="P773" s="398" t="n"/>
      <c r="Q773" s="398" t="n"/>
      <c r="R773" s="113" t="n"/>
      <c r="S773" s="113" t="n"/>
      <c r="T773" s="113" t="n"/>
      <c r="U773" s="113" t="n"/>
      <c r="V773" s="113" t="n"/>
    </row>
    <row r="774" ht="15.75" customHeight="1">
      <c r="A774" s="398" t="n">
        <v>15</v>
      </c>
      <c r="B774" s="238" t="n"/>
      <c r="C774" s="527" t="n">
        <v>46116</v>
      </c>
      <c r="D774" s="528" t="inlineStr">
        <is>
          <t>200 G. GARCERAS</t>
        </is>
      </c>
      <c r="E774" s="528" t="n">
        <v>47148</v>
      </c>
      <c r="F774" s="528" t="inlineStr">
        <is>
          <t>ALEXANDER CHAGUALA</t>
        </is>
      </c>
      <c r="G774" s="528" t="n">
        <v>3582</v>
      </c>
      <c r="H774" s="528" t="n">
        <v>3568</v>
      </c>
      <c r="I774" s="528" t="n">
        <v>3</v>
      </c>
      <c r="J774" s="528" t="n">
        <v>3</v>
      </c>
      <c r="K774" s="528" t="n">
        <v>-8</v>
      </c>
      <c r="L774" s="395" t="n">
        <v>3568</v>
      </c>
      <c r="M774" s="113" t="n"/>
      <c r="N774" s="113" t="n"/>
      <c r="O774" s="113" t="n"/>
      <c r="P774" s="398" t="n"/>
      <c r="Q774" s="398" t="n"/>
      <c r="R774" s="113" t="n"/>
      <c r="S774" s="113" t="n"/>
      <c r="T774" s="113" t="n"/>
      <c r="U774" s="113" t="n"/>
      <c r="V774" s="113" t="n"/>
    </row>
    <row r="775" ht="15.75" customHeight="1">
      <c r="A775" s="398" t="n">
        <v>15</v>
      </c>
      <c r="B775" s="238" t="n"/>
      <c r="C775" s="527" t="n">
        <v>46116</v>
      </c>
      <c r="D775" s="528" t="inlineStr">
        <is>
          <t>200 G. GARCERAS</t>
        </is>
      </c>
      <c r="E775" s="528" t="n">
        <v>47149</v>
      </c>
      <c r="F775" s="528" t="inlineStr">
        <is>
          <t>EDWIN ROJAS</t>
        </is>
      </c>
      <c r="G775" s="528" t="n">
        <v>3582</v>
      </c>
      <c r="H775" s="528" t="n">
        <v>3572</v>
      </c>
      <c r="I775" s="528" t="n">
        <v>3</v>
      </c>
      <c r="J775" s="528" t="n">
        <v>3</v>
      </c>
      <c r="K775" s="528" t="n">
        <v>-4</v>
      </c>
      <c r="L775" s="395" t="n">
        <v>3572</v>
      </c>
      <c r="M775" s="113" t="n"/>
      <c r="N775" s="113" t="n"/>
      <c r="O775" s="113" t="n"/>
      <c r="P775" s="398" t="n"/>
      <c r="Q775" s="398" t="n"/>
      <c r="R775" s="113" t="n"/>
      <c r="S775" s="113" t="n"/>
      <c r="T775" s="113" t="n"/>
      <c r="U775" s="113" t="n"/>
      <c r="V775" s="113" t="n"/>
    </row>
    <row r="776" ht="15.75" customHeight="1">
      <c r="A776" s="398" t="n">
        <v>15</v>
      </c>
      <c r="B776" s="238" t="n"/>
      <c r="C776" s="527" t="n">
        <v>46116</v>
      </c>
      <c r="D776" s="528" t="inlineStr">
        <is>
          <t>200 G. GARCERAS</t>
        </is>
      </c>
      <c r="E776" s="528" t="n">
        <v>47150</v>
      </c>
      <c r="F776" s="528" t="inlineStr">
        <is>
          <t>DUMAR ANGARITA</t>
        </is>
      </c>
      <c r="G776" s="528" t="n">
        <v>3582</v>
      </c>
      <c r="H776" s="528" t="n">
        <v>3583</v>
      </c>
      <c r="I776" s="528" t="n">
        <v>5</v>
      </c>
      <c r="J776" s="528" t="n">
        <v>1</v>
      </c>
      <c r="K776" s="528" t="n">
        <v>7</v>
      </c>
      <c r="L776" s="395" t="n">
        <v>3583</v>
      </c>
      <c r="M776" s="113" t="n"/>
      <c r="N776" s="113" t="n"/>
      <c r="O776" s="113" t="n"/>
      <c r="P776" s="398" t="n"/>
      <c r="Q776" s="398" t="n"/>
      <c r="R776" s="113" t="n"/>
      <c r="S776" s="113" t="n"/>
      <c r="T776" s="113" t="n"/>
      <c r="U776" s="113" t="n"/>
      <c r="V776" s="113" t="n"/>
    </row>
    <row r="777" ht="15.75" customHeight="1">
      <c r="A777" s="398" t="n">
        <v>15</v>
      </c>
      <c r="B777" s="238" t="n"/>
      <c r="C777" s="399" t="n">
        <v>46116</v>
      </c>
      <c r="D777" s="162" t="inlineStr">
        <is>
          <t>200 G. GARCERAS</t>
        </is>
      </c>
      <c r="E777" s="162" t="n">
        <v>47151</v>
      </c>
      <c r="F777" s="162" t="inlineStr">
        <is>
          <t>FERNANDO OYUELA</t>
        </is>
      </c>
      <c r="G777" s="162" t="n">
        <v>3582</v>
      </c>
      <c r="H777" s="162" t="n">
        <v>3580</v>
      </c>
      <c r="I777" s="162" t="n">
        <v>6</v>
      </c>
      <c r="J777" s="162" t="n">
        <v>1</v>
      </c>
      <c r="K777" s="162" t="n">
        <v>5</v>
      </c>
      <c r="L777" s="395" t="n">
        <v>3580</v>
      </c>
      <c r="M777" s="113" t="n"/>
      <c r="N777" s="113" t="n"/>
      <c r="O777" s="113" t="n"/>
      <c r="P777" s="398" t="n"/>
      <c r="Q777" s="398" t="n"/>
      <c r="R777" s="113" t="n"/>
      <c r="S777" s="113" t="n"/>
      <c r="T777" s="113" t="n"/>
      <c r="U777" s="113" t="n"/>
      <c r="V777" s="113" t="n"/>
    </row>
    <row r="778" ht="15.75" customHeight="1">
      <c r="A778" s="398" t="n">
        <v>15</v>
      </c>
      <c r="B778" s="238" t="n"/>
      <c r="C778" s="399" t="n">
        <v>46116</v>
      </c>
      <c r="D778" s="162" t="inlineStr">
        <is>
          <t>200 G. GARCERAS</t>
        </is>
      </c>
      <c r="E778" s="162" t="n">
        <v>47152</v>
      </c>
      <c r="F778" s="162" t="inlineStr">
        <is>
          <t>FABIO ALDANA</t>
        </is>
      </c>
      <c r="G778" s="162" t="n">
        <v>3582</v>
      </c>
      <c r="H778" s="162" t="n">
        <v>3582</v>
      </c>
      <c r="I778" s="162" t="n">
        <v>6</v>
      </c>
      <c r="J778" s="162" t="n">
        <v>0</v>
      </c>
      <c r="K778" s="162" t="n">
        <v>6</v>
      </c>
      <c r="L778" s="395" t="n">
        <v>3582</v>
      </c>
      <c r="M778" s="113" t="n"/>
      <c r="N778" s="113" t="n"/>
      <c r="O778" s="113" t="n"/>
      <c r="P778" s="398" t="n"/>
      <c r="Q778" s="398" t="n"/>
      <c r="R778" s="113" t="n"/>
      <c r="S778" s="113" t="n"/>
      <c r="T778" s="113" t="n"/>
      <c r="U778" s="113" t="n"/>
      <c r="V778" s="113" t="n"/>
    </row>
    <row r="779" ht="15.75" customHeight="1">
      <c r="A779" s="398" t="n">
        <v>15</v>
      </c>
      <c r="B779" s="238" t="n"/>
      <c r="C779" s="399" t="n">
        <v>46116</v>
      </c>
      <c r="D779" s="162" t="inlineStr">
        <is>
          <t>200 G. GARCERAS</t>
        </is>
      </c>
      <c r="E779" s="162" t="n">
        <v>47153</v>
      </c>
      <c r="F779" s="162" t="inlineStr">
        <is>
          <t xml:space="preserve">SEBASTIAN HIDALGO </t>
        </is>
      </c>
      <c r="G779" s="162" t="n">
        <v>3647</v>
      </c>
      <c r="H779" s="162" t="n">
        <v>3649</v>
      </c>
      <c r="I779" s="162" t="n">
        <v>1</v>
      </c>
      <c r="J779" s="162" t="n">
        <v>1</v>
      </c>
      <c r="K779" s="162" t="n">
        <v>4</v>
      </c>
      <c r="L779" s="395" t="n">
        <v>3649</v>
      </c>
      <c r="M779" s="113" t="n"/>
      <c r="N779" s="113" t="n"/>
      <c r="O779" s="113" t="n"/>
      <c r="P779" s="398" t="n"/>
      <c r="Q779" s="398" t="n"/>
      <c r="R779" s="113" t="n"/>
      <c r="S779" s="113" t="n"/>
      <c r="T779" s="113" t="n"/>
      <c r="U779" s="113" t="n"/>
      <c r="V779" s="113" t="n"/>
    </row>
    <row r="780" ht="15.75" customHeight="1">
      <c r="A780" s="398" t="n">
        <v>15</v>
      </c>
      <c r="B780" s="238" t="n"/>
      <c r="C780" s="399" t="n">
        <v>46116</v>
      </c>
      <c r="D780" s="162" t="inlineStr">
        <is>
          <t>200 G. GARCERAS</t>
        </is>
      </c>
      <c r="E780" s="162" t="n">
        <v>47154</v>
      </c>
      <c r="F780" s="162" t="inlineStr">
        <is>
          <t>ALBERTO LOPEZ</t>
        </is>
      </c>
      <c r="G780" s="162" t="n">
        <v>3545</v>
      </c>
      <c r="H780" s="162" t="n">
        <v>3509</v>
      </c>
      <c r="I780" s="162" t="n">
        <v>3</v>
      </c>
      <c r="J780" s="162" t="n">
        <v>1</v>
      </c>
      <c r="K780" s="162" t="n">
        <v>-32</v>
      </c>
      <c r="L780" s="395" t="n">
        <v>3509</v>
      </c>
      <c r="M780" s="113" t="n"/>
      <c r="N780" s="113" t="n"/>
      <c r="O780" s="113" t="n"/>
      <c r="P780" s="398" t="n"/>
      <c r="Q780" s="398" t="n"/>
      <c r="R780" s="113" t="n"/>
      <c r="S780" s="113" t="n"/>
      <c r="T780" s="113" t="n"/>
      <c r="U780" s="113" t="n"/>
      <c r="V780" s="113" t="n"/>
    </row>
    <row r="781" ht="15.75" customHeight="1">
      <c r="A781" s="398" t="n">
        <v>15</v>
      </c>
      <c r="B781" s="238" t="n"/>
      <c r="C781" s="399" t="n">
        <v>46116</v>
      </c>
      <c r="D781" s="162" t="inlineStr">
        <is>
          <t>200 G. GARCERAS</t>
        </is>
      </c>
      <c r="E781" s="162" t="n">
        <v>47155</v>
      </c>
      <c r="F781" s="162" t="inlineStr">
        <is>
          <t xml:space="preserve">MANUEL QUITIAN </t>
        </is>
      </c>
      <c r="G781" s="162" t="n">
        <v>3545</v>
      </c>
      <c r="H781" s="162" t="n">
        <v>3494</v>
      </c>
      <c r="I781" s="162" t="n">
        <v>2</v>
      </c>
      <c r="J781" s="162" t="n">
        <v>1</v>
      </c>
      <c r="K781" s="162" t="n">
        <v>-48</v>
      </c>
      <c r="L781" s="395" t="n">
        <v>3494</v>
      </c>
      <c r="M781" s="113" t="n"/>
      <c r="N781" s="113" t="n"/>
      <c r="O781" s="113" t="n"/>
      <c r="P781" s="398" t="n"/>
      <c r="Q781" s="398" t="n"/>
      <c r="R781" s="113" t="n"/>
      <c r="S781" s="113" t="n"/>
      <c r="T781" s="113" t="n"/>
      <c r="U781" s="113" t="n"/>
      <c r="V781" s="113" t="n"/>
    </row>
    <row r="782" ht="15.75" customHeight="1">
      <c r="A782" s="398" t="n">
        <v>15</v>
      </c>
      <c r="B782" s="238" t="n"/>
      <c r="C782" s="399" t="n">
        <v>46116</v>
      </c>
      <c r="D782" s="162" t="inlineStr">
        <is>
          <t>200 G. GARCERAS</t>
        </is>
      </c>
      <c r="E782" s="162" t="n">
        <v>47156</v>
      </c>
      <c r="F782" s="162" t="inlineStr">
        <is>
          <t>YAIR RIVEROS</t>
        </is>
      </c>
      <c r="G782" s="162" t="n">
        <v>3400</v>
      </c>
      <c r="H782" s="162" t="n">
        <v>3367</v>
      </c>
      <c r="I782" s="162" t="n">
        <v>1</v>
      </c>
      <c r="J782" s="162" t="n">
        <v>2</v>
      </c>
      <c r="K782" s="162" t="n">
        <v>-30</v>
      </c>
      <c r="L782" s="395" t="n">
        <v>3367</v>
      </c>
      <c r="M782" s="113" t="n"/>
      <c r="N782" s="113" t="n"/>
      <c r="O782" s="113" t="n"/>
      <c r="P782" s="398" t="n"/>
      <c r="Q782" s="398" t="n"/>
      <c r="R782" s="113" t="n"/>
      <c r="S782" s="113" t="n"/>
      <c r="T782" s="113" t="n"/>
      <c r="U782" s="113" t="n"/>
      <c r="V782" s="113" t="n"/>
    </row>
    <row r="783" ht="15.75" customHeight="1">
      <c r="A783" s="398" t="n">
        <v>15</v>
      </c>
      <c r="B783" s="238" t="n"/>
      <c r="C783" s="399" t="n">
        <v>46116</v>
      </c>
      <c r="D783" s="162" t="inlineStr">
        <is>
          <t>200 G. GARCERAS</t>
        </is>
      </c>
      <c r="E783" s="162" t="n">
        <v>47157</v>
      </c>
      <c r="F783" s="162" t="inlineStr">
        <is>
          <t>JAIRO CUBILLOS</t>
        </is>
      </c>
      <c r="G783" s="162" t="n">
        <v>3404</v>
      </c>
      <c r="H783" s="162" t="n">
        <v>3367</v>
      </c>
      <c r="I783" s="162" t="n">
        <v>1</v>
      </c>
      <c r="J783" s="162" t="n">
        <v>3</v>
      </c>
      <c r="K783" s="162" t="n">
        <v>-33</v>
      </c>
      <c r="L783" s="395" t="n">
        <v>3367</v>
      </c>
      <c r="M783" s="113" t="n"/>
      <c r="N783" s="113" t="n"/>
      <c r="O783" s="113" t="n"/>
      <c r="P783" s="398" t="n"/>
      <c r="Q783" s="398" t="n"/>
      <c r="R783" s="113" t="n"/>
      <c r="S783" s="113" t="n"/>
      <c r="T783" s="113" t="n"/>
      <c r="U783" s="113" t="n"/>
      <c r="V783" s="113" t="n"/>
    </row>
    <row r="784" ht="15.75" customHeight="1">
      <c r="A784" s="398" t="n">
        <v>15</v>
      </c>
      <c r="B784" s="238" t="n"/>
      <c r="C784" s="399" t="n">
        <v>46116</v>
      </c>
      <c r="D784" s="162" t="inlineStr">
        <is>
          <t>200 G. GARCERAS</t>
        </is>
      </c>
      <c r="E784" s="162" t="n">
        <v>47158</v>
      </c>
      <c r="F784" s="162" t="inlineStr">
        <is>
          <t>JOSE SOLER</t>
        </is>
      </c>
      <c r="G784" s="162" t="n">
        <v>3404</v>
      </c>
      <c r="H784" s="162" t="n">
        <v>3368</v>
      </c>
      <c r="I784" s="162" t="n">
        <v>1</v>
      </c>
      <c r="J784" s="162" t="n">
        <v>2</v>
      </c>
      <c r="K784" s="162" t="n">
        <v>-33</v>
      </c>
      <c r="L784" s="395" t="n">
        <v>3368</v>
      </c>
      <c r="M784" s="113" t="n"/>
      <c r="N784" s="113" t="n"/>
      <c r="O784" s="113" t="n"/>
      <c r="P784" s="398" t="n"/>
      <c r="Q784" s="398" t="n"/>
      <c r="R784" s="113" t="n"/>
      <c r="S784" s="113" t="n"/>
      <c r="T784" s="113" t="n"/>
      <c r="U784" s="113" t="n"/>
      <c r="V784" s="113" t="n"/>
    </row>
    <row r="785" ht="15.75" customHeight="1">
      <c r="A785" s="398" t="n">
        <v>15</v>
      </c>
      <c r="B785" s="238" t="n"/>
      <c r="C785" s="399" t="n">
        <v>46116</v>
      </c>
      <c r="D785" s="162" t="inlineStr">
        <is>
          <t>200 G. GARCERAS</t>
        </is>
      </c>
      <c r="E785" s="162" t="n">
        <v>47159</v>
      </c>
      <c r="F785" s="162" t="inlineStr">
        <is>
          <t xml:space="preserve">HENRY ROMERO </t>
        </is>
      </c>
      <c r="G785" s="162" t="n">
        <v>3404</v>
      </c>
      <c r="H785" s="162" t="n">
        <v>3367</v>
      </c>
      <c r="I785" s="162" t="n">
        <v>3</v>
      </c>
      <c r="J785" s="162" t="n">
        <v>0</v>
      </c>
      <c r="K785" s="162" t="n">
        <v>-34</v>
      </c>
      <c r="L785" s="395" t="n">
        <v>3367</v>
      </c>
      <c r="M785" s="113" t="n"/>
      <c r="N785" s="113" t="n"/>
      <c r="O785" s="113" t="n"/>
      <c r="P785" s="398" t="n"/>
      <c r="Q785" s="398" t="n"/>
      <c r="R785" s="113" t="n"/>
      <c r="S785" s="113" t="n"/>
      <c r="T785" s="113" t="n"/>
      <c r="U785" s="113" t="n"/>
      <c r="V785" s="113" t="n"/>
    </row>
    <row r="786" ht="15.75" customHeight="1">
      <c r="A786" s="398" t="n">
        <v>15</v>
      </c>
      <c r="B786" s="238" t="n"/>
      <c r="C786" s="399" t="n">
        <v>46116</v>
      </c>
      <c r="D786" s="162" t="inlineStr">
        <is>
          <t>200 G. GARCERAS</t>
        </is>
      </c>
      <c r="E786" s="162" t="n">
        <v>47160</v>
      </c>
      <c r="F786" s="162" t="inlineStr">
        <is>
          <t>ALEX GOMEZ</t>
        </is>
      </c>
      <c r="G786" s="162" t="n">
        <v>3400</v>
      </c>
      <c r="H786" s="162" t="n">
        <v>3390</v>
      </c>
      <c r="I786" s="162" t="n">
        <v>5</v>
      </c>
      <c r="J786" s="162" t="n">
        <v>0</v>
      </c>
      <c r="K786" s="162" t="n">
        <v>-5</v>
      </c>
      <c r="L786" s="395" t="n">
        <v>3390</v>
      </c>
      <c r="M786" s="113" t="n"/>
      <c r="N786" s="113" t="n"/>
      <c r="O786" s="113" t="n"/>
      <c r="P786" s="398" t="n"/>
      <c r="Q786" s="398" t="n"/>
      <c r="R786" s="113" t="n"/>
      <c r="S786" s="113" t="n"/>
      <c r="T786" s="113" t="n"/>
      <c r="U786" s="113" t="n"/>
      <c r="V786" s="113" t="n"/>
    </row>
    <row r="787" ht="15.75" customHeight="1">
      <c r="A787" s="398" t="n">
        <v>15</v>
      </c>
      <c r="B787" s="238" t="n"/>
      <c r="C787" s="527" t="n">
        <v>46116</v>
      </c>
      <c r="D787" s="528" t="inlineStr">
        <is>
          <t>200 G. GARCERAS</t>
        </is>
      </c>
      <c r="E787" s="528" t="n">
        <v>47161</v>
      </c>
      <c r="F787" s="528" t="inlineStr">
        <is>
          <t>WILMER PIÑEROS</t>
        </is>
      </c>
      <c r="G787" s="528" t="n">
        <v>3404</v>
      </c>
      <c r="H787" s="528" t="n">
        <v>3399</v>
      </c>
      <c r="I787" s="528" t="n">
        <v>4</v>
      </c>
      <c r="J787" s="528" t="n">
        <v>1</v>
      </c>
      <c r="K787" s="528" t="n">
        <v>0</v>
      </c>
      <c r="L787" s="395" t="n">
        <v>3399</v>
      </c>
      <c r="M787" s="113" t="n"/>
      <c r="N787" s="113" t="n"/>
      <c r="O787" s="113" t="n"/>
      <c r="P787" s="398" t="n"/>
      <c r="Q787" s="398" t="n"/>
      <c r="R787" s="113" t="n"/>
      <c r="S787" s="113" t="n"/>
      <c r="T787" s="113" t="n"/>
      <c r="U787" s="113" t="n"/>
      <c r="V787" s="113" t="n"/>
    </row>
    <row r="788" ht="15.75" customHeight="1">
      <c r="A788" s="398" t="n">
        <v>15</v>
      </c>
      <c r="B788" s="238" t="n"/>
      <c r="C788" s="527" t="n">
        <v>46116</v>
      </c>
      <c r="D788" s="528" t="inlineStr">
        <is>
          <t>200 G. GARCERAS</t>
        </is>
      </c>
      <c r="E788" s="528" t="n">
        <v>47162</v>
      </c>
      <c r="F788" s="528" t="inlineStr">
        <is>
          <t>ALEXANDER CHAGUALA</t>
        </is>
      </c>
      <c r="G788" s="528" t="n">
        <v>3404</v>
      </c>
      <c r="H788" s="528" t="n">
        <v>3405</v>
      </c>
      <c r="I788" s="528" t="n">
        <v>5</v>
      </c>
      <c r="J788" s="528" t="n">
        <v>1</v>
      </c>
      <c r="K788" s="528" t="n">
        <v>7</v>
      </c>
      <c r="L788" s="395" t="n">
        <v>3405</v>
      </c>
      <c r="M788" s="113" t="n"/>
      <c r="N788" s="113" t="n"/>
      <c r="O788" s="113" t="n"/>
      <c r="P788" s="398" t="n"/>
      <c r="Q788" s="398" t="n"/>
      <c r="R788" s="113" t="n"/>
      <c r="S788" s="113" t="n"/>
      <c r="T788" s="113" t="n"/>
      <c r="U788" s="113" t="n"/>
      <c r="V788" s="113" t="n"/>
    </row>
    <row r="789" ht="15.75" customHeight="1">
      <c r="A789" s="398" t="n">
        <v>15</v>
      </c>
      <c r="B789" s="238" t="n"/>
      <c r="C789" s="527" t="n">
        <v>46116</v>
      </c>
      <c r="D789" s="528" t="inlineStr">
        <is>
          <t>200 G. GARCERAS</t>
        </is>
      </c>
      <c r="E789" s="528" t="n">
        <v>47163</v>
      </c>
      <c r="F789" s="528" t="inlineStr">
        <is>
          <t>EDWIN ROJAS</t>
        </is>
      </c>
      <c r="G789" s="528" t="n">
        <v>3360</v>
      </c>
      <c r="H789" s="528" t="n">
        <v>3353</v>
      </c>
      <c r="I789" s="528" t="n">
        <v>9</v>
      </c>
      <c r="J789" s="528" t="n">
        <v>0</v>
      </c>
      <c r="K789" s="528" t="n">
        <v>2</v>
      </c>
      <c r="L789" s="395" t="n">
        <v>3353</v>
      </c>
      <c r="M789" s="113" t="n"/>
      <c r="N789" s="113" t="n"/>
      <c r="O789" s="113" t="n"/>
      <c r="P789" s="398" t="n"/>
      <c r="Q789" s="398" t="n"/>
      <c r="R789" s="113" t="n"/>
      <c r="S789" s="113" t="n"/>
      <c r="T789" s="113" t="n"/>
      <c r="U789" s="113" t="n"/>
      <c r="V789" s="113" t="n"/>
    </row>
    <row r="790" ht="15.75" customHeight="1">
      <c r="A790" s="398" t="n">
        <v>15</v>
      </c>
      <c r="B790" s="238" t="n"/>
      <c r="C790" s="527" t="n">
        <v>46116</v>
      </c>
      <c r="D790" s="528" t="inlineStr">
        <is>
          <t>200 G. GARCERAS</t>
        </is>
      </c>
      <c r="E790" s="528" t="n">
        <v>47164</v>
      </c>
      <c r="F790" s="528" t="inlineStr">
        <is>
          <t>DUMAR ANGARITA</t>
        </is>
      </c>
      <c r="G790" s="528" t="n">
        <v>3404</v>
      </c>
      <c r="H790" s="528" t="n">
        <v>3404</v>
      </c>
      <c r="I790" s="528" t="n">
        <v>3</v>
      </c>
      <c r="J790" s="528" t="n">
        <v>2</v>
      </c>
      <c r="K790" s="528" t="n">
        <v>5</v>
      </c>
      <c r="L790" s="395" t="n">
        <v>3404</v>
      </c>
      <c r="M790" s="113" t="n"/>
      <c r="N790" s="113" t="n"/>
      <c r="O790" s="113" t="n"/>
      <c r="P790" s="398" t="n"/>
      <c r="Q790" s="398" t="n"/>
      <c r="R790" s="113" t="n"/>
      <c r="S790" s="113" t="n"/>
      <c r="T790" s="113" t="n"/>
      <c r="U790" s="113" t="n"/>
      <c r="V790" s="113" t="n"/>
    </row>
    <row r="791" ht="15.75" customHeight="1">
      <c r="A791" s="398" t="n">
        <v>15</v>
      </c>
      <c r="B791" s="238" t="n"/>
      <c r="C791" s="527" t="n"/>
      <c r="D791" s="528" t="n"/>
      <c r="E791" s="528" t="n"/>
      <c r="F791" s="528" t="n"/>
      <c r="G791" s="529">
        <f>SUBTOTAL(9,G758:G790)</f>
        <v/>
      </c>
      <c r="H791" s="529">
        <f>SUBTOTAL(9,H758:H790)</f>
        <v/>
      </c>
      <c r="I791" s="529">
        <f>SUBTOTAL(9,I758:I790)</f>
        <v/>
      </c>
      <c r="J791" s="529">
        <f>SUBTOTAL(9,J758:J790)</f>
        <v/>
      </c>
      <c r="K791" s="529">
        <f>SUBTOTAL(9,K758:K790)</f>
        <v/>
      </c>
      <c r="L791" s="529">
        <f>SUBTOTAL(9,L758:L790)</f>
        <v/>
      </c>
      <c r="M791" s="528" t="n"/>
      <c r="N791" s="113" t="n"/>
      <c r="O791" s="113" t="n"/>
      <c r="P791" s="398" t="n"/>
      <c r="Q791" s="398" t="n"/>
      <c r="R791" s="113" t="n"/>
      <c r="S791" s="113" t="n"/>
      <c r="T791" s="113" t="n"/>
      <c r="U791" s="113" t="n"/>
      <c r="V791" s="113" t="n"/>
    </row>
    <row r="792" ht="15.75" customHeight="1">
      <c r="A792" s="398" t="n">
        <v>16</v>
      </c>
      <c r="B792" s="238" t="n"/>
      <c r="C792" s="527" t="n">
        <v>46118</v>
      </c>
      <c r="D792" s="528" t="inlineStr">
        <is>
          <t>200 G. GARCERAS</t>
        </is>
      </c>
      <c r="E792" s="528" t="n">
        <v>47165</v>
      </c>
      <c r="F792" s="528" t="inlineStr">
        <is>
          <t>WILMER PIÑEROS</t>
        </is>
      </c>
      <c r="G792" s="528" t="n">
        <v>3417</v>
      </c>
      <c r="H792" s="528" t="n">
        <v>3415</v>
      </c>
      <c r="I792" s="528" t="n">
        <v>3</v>
      </c>
      <c r="J792" s="528" t="n">
        <v>2</v>
      </c>
      <c r="K792" s="528" t="n">
        <v>3</v>
      </c>
      <c r="L792" s="395" t="n">
        <v>3417</v>
      </c>
      <c r="M792" s="113" t="n"/>
      <c r="N792" s="113" t="n"/>
      <c r="O792" s="113" t="n"/>
      <c r="P792" s="398" t="n"/>
      <c r="Q792" s="398" t="n"/>
      <c r="R792" s="113" t="n"/>
      <c r="S792" s="113" t="n"/>
      <c r="T792" s="113" t="n"/>
      <c r="U792" s="113" t="n"/>
      <c r="V792" s="113" t="n"/>
    </row>
    <row r="793" ht="15.75" customHeight="1">
      <c r="A793" s="398" t="n">
        <v>16</v>
      </c>
      <c r="B793" s="238" t="n"/>
      <c r="C793" s="527" t="n">
        <v>46118</v>
      </c>
      <c r="D793" s="528" t="inlineStr">
        <is>
          <t>200 G. GARCERAS</t>
        </is>
      </c>
      <c r="E793" s="528" t="n">
        <v>47166</v>
      </c>
      <c r="F793" s="528" t="inlineStr">
        <is>
          <t>DUMAR ANGARITA</t>
        </is>
      </c>
      <c r="G793" s="528" t="n">
        <v>3417</v>
      </c>
      <c r="H793" s="528" t="n">
        <v>3395</v>
      </c>
      <c r="I793" s="528" t="n">
        <v>3</v>
      </c>
      <c r="J793" s="528" t="n">
        <v>1</v>
      </c>
      <c r="K793" s="528" t="n">
        <v>-18</v>
      </c>
      <c r="L793" s="395" t="n">
        <v>3417</v>
      </c>
      <c r="M793" s="113" t="n"/>
      <c r="N793" s="113" t="n"/>
      <c r="O793" s="113" t="n"/>
      <c r="P793" s="398" t="n"/>
      <c r="Q793" s="398" t="n"/>
      <c r="R793" s="113" t="n"/>
      <c r="S793" s="113" t="n"/>
      <c r="T793" s="113" t="n"/>
      <c r="U793" s="113" t="n"/>
      <c r="V793" s="113" t="n"/>
    </row>
    <row r="794" ht="15.75" customHeight="1">
      <c r="A794" s="398" t="n">
        <v>16</v>
      </c>
      <c r="B794" s="238" t="n"/>
      <c r="C794" s="527" t="n">
        <v>46118</v>
      </c>
      <c r="D794" s="528" t="inlineStr">
        <is>
          <t>200 G. GARCERAS</t>
        </is>
      </c>
      <c r="E794" s="528" t="n">
        <v>47167</v>
      </c>
      <c r="F794" s="528" t="inlineStr">
        <is>
          <t xml:space="preserve">MANUEL QUITIAN </t>
        </is>
      </c>
      <c r="G794" s="528" t="n">
        <v>3417</v>
      </c>
      <c r="H794" s="528" t="n">
        <v>3395</v>
      </c>
      <c r="I794" s="528" t="n">
        <v>3</v>
      </c>
      <c r="J794" s="528" t="n">
        <v>2</v>
      </c>
      <c r="K794" s="528" t="n">
        <v>-17</v>
      </c>
      <c r="L794" s="395" t="n">
        <v>3417</v>
      </c>
      <c r="M794" s="113" t="n"/>
      <c r="N794" s="113" t="n"/>
      <c r="O794" s="113" t="n"/>
      <c r="P794" s="398" t="n"/>
      <c r="Q794" s="398" t="n"/>
      <c r="R794" s="113" t="n"/>
      <c r="S794" s="113" t="n"/>
      <c r="T794" s="113" t="n"/>
      <c r="U794" s="113" t="n"/>
      <c r="V794" s="113" t="n"/>
    </row>
    <row r="795" ht="15.75" customHeight="1">
      <c r="A795" s="398" t="n">
        <v>16</v>
      </c>
      <c r="B795" s="238" t="n"/>
      <c r="C795" s="399" t="n">
        <v>46118</v>
      </c>
      <c r="D795" s="162" t="inlineStr">
        <is>
          <t>200 G. GARCERAS</t>
        </is>
      </c>
      <c r="E795" s="162" t="n">
        <v>47168</v>
      </c>
      <c r="F795" s="162" t="inlineStr">
        <is>
          <t>ALEX GOMEZ</t>
        </is>
      </c>
      <c r="G795" s="162" t="n">
        <v>3417</v>
      </c>
      <c r="H795" s="162" t="n">
        <v>3399</v>
      </c>
      <c r="I795" s="162" t="n">
        <v>3</v>
      </c>
      <c r="J795" s="162" t="n">
        <v>1</v>
      </c>
      <c r="K795" s="162" t="n">
        <v>-14</v>
      </c>
      <c r="L795" s="395" t="n">
        <v>3417</v>
      </c>
      <c r="M795" s="113" t="n"/>
      <c r="N795" s="113" t="n"/>
      <c r="O795" s="113" t="n"/>
      <c r="P795" s="398" t="n"/>
      <c r="Q795" s="398" t="n"/>
      <c r="R795" s="113" t="n"/>
      <c r="S795" s="113" t="n"/>
      <c r="T795" s="113" t="n"/>
      <c r="U795" s="113" t="n"/>
      <c r="V795" s="113" t="n"/>
    </row>
    <row r="796" ht="15.75" customHeight="1">
      <c r="A796" s="398" t="n">
        <v>16</v>
      </c>
      <c r="B796" s="238" t="n"/>
      <c r="C796" s="399" t="n">
        <v>46118</v>
      </c>
      <c r="D796" s="162" t="inlineStr">
        <is>
          <t>200 G. GARCERAS</t>
        </is>
      </c>
      <c r="E796" s="162" t="n">
        <v>47169</v>
      </c>
      <c r="F796" s="162" t="inlineStr">
        <is>
          <t>ALBERTO LOPEZ</t>
        </is>
      </c>
      <c r="G796" s="162" t="n">
        <v>3417</v>
      </c>
      <c r="H796" s="162" t="n">
        <v>3398</v>
      </c>
      <c r="I796" s="162" t="n">
        <v>2</v>
      </c>
      <c r="J796" s="162" t="n">
        <v>2</v>
      </c>
      <c r="K796" s="162" t="n">
        <v>-15</v>
      </c>
      <c r="L796" s="395" t="n">
        <v>3417</v>
      </c>
      <c r="M796" s="113" t="n"/>
      <c r="N796" s="113" t="n"/>
      <c r="O796" s="113" t="n"/>
      <c r="P796" s="398" t="n"/>
      <c r="Q796" s="398" t="n"/>
      <c r="R796" s="113" t="n"/>
      <c r="S796" s="113" t="n"/>
      <c r="T796" s="113" t="n"/>
      <c r="U796" s="113" t="n"/>
      <c r="V796" s="113" t="n"/>
    </row>
    <row r="797" ht="15.75" customHeight="1">
      <c r="A797" s="398" t="n">
        <v>16</v>
      </c>
      <c r="B797" s="238" t="n"/>
      <c r="C797" s="399" t="n">
        <v>46118</v>
      </c>
      <c r="D797" s="162" t="inlineStr">
        <is>
          <t>200 G. GARCERAS</t>
        </is>
      </c>
      <c r="E797" s="162" t="n">
        <v>47170</v>
      </c>
      <c r="F797" s="162" t="inlineStr">
        <is>
          <t xml:space="preserve">HENRY ROMERO </t>
        </is>
      </c>
      <c r="G797" s="162" t="n">
        <v>3417</v>
      </c>
      <c r="H797" s="162" t="n">
        <v>3375</v>
      </c>
      <c r="I797" s="162" t="n">
        <v>3</v>
      </c>
      <c r="J797" s="162" t="n">
        <v>1</v>
      </c>
      <c r="K797" s="162" t="n">
        <v>-38</v>
      </c>
      <c r="L797" s="395" t="n">
        <v>3417</v>
      </c>
      <c r="M797" s="113" t="n"/>
      <c r="N797" s="113" t="n"/>
      <c r="O797" s="113" t="n"/>
      <c r="P797" s="398" t="n"/>
      <c r="Q797" s="398" t="n"/>
      <c r="R797" s="113" t="n"/>
      <c r="S797" s="113" t="n"/>
      <c r="T797" s="113" t="n"/>
      <c r="U797" s="113" t="n"/>
      <c r="V797" s="113" t="n"/>
    </row>
    <row r="798" ht="15.75" customHeight="1">
      <c r="A798" s="398" t="n">
        <v>16</v>
      </c>
      <c r="B798" s="238" t="n"/>
      <c r="C798" s="399" t="n">
        <v>46118</v>
      </c>
      <c r="D798" s="162" t="inlineStr">
        <is>
          <t>200 G. GARCERAS</t>
        </is>
      </c>
      <c r="E798" s="162" t="n">
        <v>47174</v>
      </c>
      <c r="F798" s="162" t="inlineStr">
        <is>
          <t>JAIRO CUBILLOS</t>
        </is>
      </c>
      <c r="G798" s="162" t="n">
        <v>3709</v>
      </c>
      <c r="H798" s="162" t="n">
        <v>3770</v>
      </c>
      <c r="I798" s="162" t="n">
        <v>2</v>
      </c>
      <c r="J798" s="162" t="n">
        <v>2</v>
      </c>
      <c r="K798" s="162" t="n">
        <v>65</v>
      </c>
      <c r="L798" s="395" t="n">
        <v>3709</v>
      </c>
      <c r="M798" s="113" t="n"/>
      <c r="N798" s="113" t="n"/>
      <c r="O798" s="113" t="n"/>
      <c r="P798" s="398" t="n"/>
      <c r="Q798" s="398" t="n"/>
      <c r="R798" s="113" t="n"/>
      <c r="S798" s="113" t="n"/>
      <c r="T798" s="113" t="n"/>
      <c r="U798" s="113" t="n"/>
      <c r="V798" s="113" t="n"/>
    </row>
    <row r="799" ht="15.75" customHeight="1">
      <c r="A799" s="398" t="n">
        <v>16</v>
      </c>
      <c r="B799" s="238" t="n"/>
      <c r="C799" s="399" t="n">
        <v>46118</v>
      </c>
      <c r="D799" s="162" t="inlineStr">
        <is>
          <t>221 G. MALAGUEÑA</t>
        </is>
      </c>
      <c r="E799" s="162" t="n">
        <v>47180</v>
      </c>
      <c r="F799" s="162" t="inlineStr">
        <is>
          <t>WILMER PIÑEROS</t>
        </is>
      </c>
      <c r="G799" s="162" t="n">
        <v>3330</v>
      </c>
      <c r="H799" s="162" t="n">
        <v>3318</v>
      </c>
      <c r="I799" s="162" t="n">
        <v>5</v>
      </c>
      <c r="J799" s="162" t="n">
        <v>7</v>
      </c>
      <c r="K799" s="162" t="n">
        <v>0</v>
      </c>
      <c r="L799" s="395" t="n">
        <v>3330</v>
      </c>
      <c r="M799" s="113" t="n"/>
      <c r="N799" s="113" t="n"/>
      <c r="O799" s="113" t="n"/>
      <c r="P799" s="398" t="n"/>
      <c r="Q799" s="398" t="n"/>
      <c r="R799" s="113" t="n"/>
      <c r="S799" s="113" t="n"/>
      <c r="T799" s="113" t="n"/>
      <c r="U799" s="113" t="n"/>
      <c r="V799" s="113" t="n"/>
    </row>
    <row r="800" ht="15.75" customHeight="1">
      <c r="A800" s="398" t="n">
        <v>16</v>
      </c>
      <c r="B800" s="238" t="n"/>
      <c r="C800" s="399" t="n">
        <v>46118</v>
      </c>
      <c r="D800" s="162" t="inlineStr">
        <is>
          <t>221 G. MALAGUEÑA</t>
        </is>
      </c>
      <c r="E800" s="162" t="n">
        <v>47181</v>
      </c>
      <c r="F800" s="162" t="inlineStr">
        <is>
          <t>ALEX GOMEZ</t>
        </is>
      </c>
      <c r="G800" s="162" t="n">
        <v>3330</v>
      </c>
      <c r="H800" s="162" t="n">
        <v>3318</v>
      </c>
      <c r="I800" s="162" t="n">
        <v>4</v>
      </c>
      <c r="J800" s="162" t="n">
        <v>10</v>
      </c>
      <c r="K800" s="162" t="n">
        <v>2</v>
      </c>
      <c r="L800" s="395" t="n">
        <v>3330</v>
      </c>
      <c r="M800" s="113" t="n"/>
      <c r="N800" s="113" t="n"/>
      <c r="O800" s="113" t="n"/>
      <c r="P800" s="398" t="n"/>
      <c r="Q800" s="398" t="n"/>
      <c r="R800" s="113" t="n"/>
      <c r="S800" s="113" t="n"/>
      <c r="T800" s="113" t="n"/>
      <c r="U800" s="113" t="n"/>
      <c r="V800" s="113" t="n"/>
    </row>
    <row r="801" ht="15.75" customHeight="1">
      <c r="A801" s="398" t="n">
        <v>16</v>
      </c>
      <c r="B801" s="238" t="n"/>
      <c r="C801" s="399" t="n">
        <v>46118</v>
      </c>
      <c r="D801" s="162" t="inlineStr">
        <is>
          <t>221 G. MALAGUEÑA</t>
        </is>
      </c>
      <c r="E801" s="162" t="n">
        <v>47182</v>
      </c>
      <c r="F801" s="162" t="inlineStr">
        <is>
          <t xml:space="preserve">HENRY ROMERO </t>
        </is>
      </c>
      <c r="G801" s="162" t="n">
        <v>2980</v>
      </c>
      <c r="H801" s="162" t="n">
        <v>2977</v>
      </c>
      <c r="I801" s="162" t="n">
        <v>2</v>
      </c>
      <c r="J801" s="162" t="n">
        <v>3</v>
      </c>
      <c r="K801" s="162" t="n">
        <v>2</v>
      </c>
      <c r="L801" s="395" t="n">
        <v>2980</v>
      </c>
      <c r="M801" s="113" t="n"/>
      <c r="N801" s="113" t="n"/>
      <c r="O801" s="113" t="n"/>
      <c r="P801" s="398" t="n"/>
      <c r="Q801" s="398" t="n"/>
      <c r="R801" s="113" t="n"/>
      <c r="S801" s="113" t="n"/>
      <c r="T801" s="113" t="n"/>
      <c r="U801" s="113" t="n"/>
      <c r="V801" s="113" t="n"/>
    </row>
    <row r="802" ht="15.75" customHeight="1">
      <c r="A802" s="398" t="n">
        <v>16</v>
      </c>
      <c r="B802" s="238" t="n"/>
      <c r="C802" s="399" t="n">
        <v>46118</v>
      </c>
      <c r="D802" s="162" t="inlineStr">
        <is>
          <t>221 G. MALAGUEÑA</t>
        </is>
      </c>
      <c r="E802" s="162" t="n">
        <v>47183</v>
      </c>
      <c r="F802" s="162" t="inlineStr">
        <is>
          <t>YAIR RIVEROS</t>
        </is>
      </c>
      <c r="G802" s="162" t="n">
        <v>2980</v>
      </c>
      <c r="H802" s="162" t="n">
        <v>2971</v>
      </c>
      <c r="I802" s="162" t="n">
        <v>2</v>
      </c>
      <c r="J802" s="162" t="n">
        <v>4</v>
      </c>
      <c r="K802" s="162" t="n">
        <v>-3</v>
      </c>
      <c r="L802" s="395" t="n">
        <v>2980</v>
      </c>
      <c r="M802" s="113" t="n"/>
      <c r="N802" s="113" t="n"/>
      <c r="O802" s="113" t="n"/>
      <c r="P802" s="398" t="n"/>
      <c r="Q802" s="398" t="n"/>
      <c r="R802" s="113" t="n"/>
      <c r="S802" s="113" t="n"/>
      <c r="T802" s="113" t="n"/>
      <c r="U802" s="113" t="n"/>
      <c r="V802" s="113" t="n"/>
    </row>
    <row r="803" ht="15.75" customHeight="1">
      <c r="A803" s="398" t="n">
        <v>16</v>
      </c>
      <c r="B803" s="238" t="n"/>
      <c r="C803" s="527" t="n">
        <v>46118</v>
      </c>
      <c r="D803" s="528" t="inlineStr">
        <is>
          <t>221 G. MALAGUEÑA</t>
        </is>
      </c>
      <c r="E803" s="528" t="n">
        <v>47184</v>
      </c>
      <c r="F803" s="528" t="inlineStr">
        <is>
          <t>FABIO ALDANA</t>
        </is>
      </c>
      <c r="G803" s="528" t="n">
        <v>2980</v>
      </c>
      <c r="H803" s="528" t="n">
        <v>2974</v>
      </c>
      <c r="I803" s="528" t="n">
        <v>0</v>
      </c>
      <c r="J803" s="528" t="n">
        <v>4</v>
      </c>
      <c r="K803" s="528" t="n">
        <v>-2</v>
      </c>
      <c r="L803" s="395" t="n">
        <v>2980</v>
      </c>
      <c r="M803" s="113" t="n"/>
      <c r="N803" s="113" t="n"/>
      <c r="O803" s="113" t="n"/>
      <c r="P803" s="398" t="n"/>
      <c r="Q803" s="398" t="n"/>
      <c r="R803" s="113" t="n"/>
      <c r="S803" s="113" t="n"/>
      <c r="T803" s="113" t="n"/>
      <c r="U803" s="113" t="n"/>
      <c r="V803" s="113" t="n"/>
    </row>
    <row r="804" ht="15.75" customHeight="1">
      <c r="A804" s="398" t="n">
        <v>16</v>
      </c>
      <c r="B804" s="238" t="n"/>
      <c r="C804" s="527" t="n">
        <v>46118</v>
      </c>
      <c r="D804" s="528" t="inlineStr">
        <is>
          <t>221 G. MALAGUEÑA</t>
        </is>
      </c>
      <c r="E804" s="528" t="n">
        <v>47189</v>
      </c>
      <c r="F804" s="528" t="inlineStr">
        <is>
          <t xml:space="preserve">ROBINSON PULIDO </t>
        </is>
      </c>
      <c r="G804" s="528" t="n">
        <v>3200</v>
      </c>
      <c r="H804" s="528" t="n">
        <v>3193</v>
      </c>
      <c r="I804" s="528" t="n">
        <v>5</v>
      </c>
      <c r="J804" s="528" t="n">
        <v>4</v>
      </c>
      <c r="K804" s="528" t="n">
        <v>2</v>
      </c>
      <c r="L804" s="395" t="n">
        <v>3200</v>
      </c>
      <c r="M804" s="113" t="n"/>
      <c r="N804" s="113" t="n"/>
      <c r="O804" s="113" t="n"/>
      <c r="P804" s="398" t="n"/>
      <c r="Q804" s="398" t="n"/>
      <c r="R804" s="113" t="n"/>
      <c r="S804" s="113" t="n"/>
      <c r="T804" s="113" t="n"/>
      <c r="U804" s="113" t="n"/>
      <c r="V804" s="113" t="n"/>
    </row>
    <row r="805" ht="15.75" customHeight="1">
      <c r="A805" s="398" t="n">
        <v>16</v>
      </c>
      <c r="B805" s="238" t="n"/>
      <c r="C805" s="527" t="n">
        <v>46118</v>
      </c>
      <c r="D805" s="528" t="inlineStr">
        <is>
          <t>221 G. MALAGUEÑA</t>
        </is>
      </c>
      <c r="E805" s="528" t="n">
        <v>47190</v>
      </c>
      <c r="F805" s="528" t="inlineStr">
        <is>
          <t>EDWIN ROJAS</t>
        </is>
      </c>
      <c r="G805" s="528" t="n">
        <v>3240</v>
      </c>
      <c r="H805" s="528" t="n">
        <v>3236</v>
      </c>
      <c r="I805" s="528" t="n">
        <v>2</v>
      </c>
      <c r="J805" s="528" t="n">
        <v>3</v>
      </c>
      <c r="K805" s="528" t="n">
        <v>1</v>
      </c>
      <c r="L805" s="395" t="n">
        <v>3240</v>
      </c>
      <c r="M805" s="113" t="n"/>
      <c r="N805" s="113" t="n"/>
      <c r="O805" s="113" t="n"/>
      <c r="P805" s="398" t="n"/>
      <c r="Q805" s="398" t="n"/>
      <c r="R805" s="113" t="n"/>
      <c r="S805" s="113" t="n"/>
      <c r="T805" s="113" t="n"/>
      <c r="U805" s="113" t="n"/>
      <c r="V805" s="113" t="n"/>
    </row>
    <row r="806" ht="15.75" customHeight="1">
      <c r="A806" s="398" t="n">
        <v>16</v>
      </c>
      <c r="B806" s="238" t="n"/>
      <c r="C806" s="527" t="n">
        <v>46118</v>
      </c>
      <c r="D806" s="528" t="inlineStr">
        <is>
          <t>221 G. MALAGUEÑA</t>
        </is>
      </c>
      <c r="E806" s="528" t="n">
        <v>47193</v>
      </c>
      <c r="F806" s="528" t="inlineStr">
        <is>
          <t>WILMER PIÑEROS</t>
        </is>
      </c>
      <c r="G806" s="528" t="n">
        <v>3240</v>
      </c>
      <c r="H806" s="528" t="n">
        <v>3245</v>
      </c>
      <c r="I806" s="528" t="n">
        <v>3</v>
      </c>
      <c r="J806" s="528" t="n">
        <v>3</v>
      </c>
      <c r="K806" s="528" t="n">
        <v>11</v>
      </c>
      <c r="L806" s="395" t="n">
        <v>3240</v>
      </c>
      <c r="M806" s="113" t="n"/>
      <c r="N806" s="113" t="n"/>
      <c r="O806" s="113" t="n"/>
      <c r="P806" s="398" t="n"/>
      <c r="Q806" s="398" t="n"/>
      <c r="R806" s="113" t="n"/>
      <c r="S806" s="113" t="n"/>
      <c r="T806" s="113" t="n"/>
      <c r="U806" s="113" t="n"/>
      <c r="V806" s="113" t="n"/>
    </row>
    <row r="807" ht="15.75" customHeight="1">
      <c r="A807" s="398" t="n">
        <v>16</v>
      </c>
      <c r="B807" s="238" t="n"/>
      <c r="C807" s="527" t="n">
        <v>46118</v>
      </c>
      <c r="D807" s="528" t="inlineStr">
        <is>
          <t>221 G. MALAGUEÑA</t>
        </is>
      </c>
      <c r="E807" s="528" t="n">
        <v>47194</v>
      </c>
      <c r="F807" s="528" t="inlineStr">
        <is>
          <t>JOSE SOLER</t>
        </is>
      </c>
      <c r="G807" s="528" t="n">
        <v>3000</v>
      </c>
      <c r="H807" s="528" t="n">
        <v>2995</v>
      </c>
      <c r="I807" s="528" t="n">
        <v>2</v>
      </c>
      <c r="J807" s="528" t="n">
        <v>6</v>
      </c>
      <c r="K807" s="528" t="n">
        <v>3</v>
      </c>
      <c r="L807" s="395" t="n">
        <v>3000</v>
      </c>
      <c r="M807" s="113" t="n"/>
      <c r="N807" s="113" t="n"/>
      <c r="O807" s="113" t="n"/>
      <c r="P807" s="398" t="n"/>
      <c r="Q807" s="398" t="n"/>
      <c r="R807" s="113" t="n"/>
      <c r="S807" s="113" t="n"/>
      <c r="T807" s="113" t="n"/>
      <c r="U807" s="113" t="n"/>
      <c r="V807" s="113" t="n"/>
    </row>
    <row r="808" ht="15.75" customHeight="1">
      <c r="A808" s="398" t="n">
        <v>16</v>
      </c>
      <c r="B808" s="238" t="n"/>
      <c r="C808" s="527" t="n">
        <v>46118</v>
      </c>
      <c r="D808" s="528" t="inlineStr">
        <is>
          <t>221 G. MALAGUEÑA</t>
        </is>
      </c>
      <c r="E808" s="528" t="n">
        <v>47195</v>
      </c>
      <c r="F808" s="528" t="inlineStr">
        <is>
          <t xml:space="preserve">ALBERTO HERRERA </t>
        </is>
      </c>
      <c r="G808" s="528" t="n">
        <v>2300</v>
      </c>
      <c r="H808" s="528" t="n">
        <v>2293</v>
      </c>
      <c r="I808" s="528" t="n">
        <v>2</v>
      </c>
      <c r="J808" s="528" t="n">
        <v>3</v>
      </c>
      <c r="K808" s="528" t="n">
        <v>-2</v>
      </c>
      <c r="L808" s="395" t="n">
        <v>2300</v>
      </c>
      <c r="M808" s="113" t="n"/>
      <c r="N808" s="113" t="n"/>
      <c r="O808" s="113" t="n"/>
      <c r="P808" s="398" t="n"/>
      <c r="Q808" s="398" t="n"/>
      <c r="R808" s="113" t="n"/>
      <c r="S808" s="113" t="n"/>
      <c r="T808" s="113" t="n"/>
      <c r="U808" s="113" t="n"/>
      <c r="V808" s="113" t="n"/>
    </row>
    <row r="809" ht="15.75" customHeight="1">
      <c r="A809" s="398" t="n">
        <v>16</v>
      </c>
      <c r="B809" s="238" t="n"/>
      <c r="C809" s="527" t="n">
        <v>46119</v>
      </c>
      <c r="D809" s="528" t="inlineStr">
        <is>
          <t>221 G. MALAGUEÑA</t>
        </is>
      </c>
      <c r="E809" s="528" t="n">
        <v>47196</v>
      </c>
      <c r="F809" s="528" t="inlineStr">
        <is>
          <t>DIEGO NIÑO</t>
        </is>
      </c>
      <c r="G809" s="528" t="n">
        <v>2570</v>
      </c>
      <c r="H809" s="528" t="n">
        <v>2515</v>
      </c>
      <c r="I809" s="528" t="n">
        <v>2</v>
      </c>
      <c r="J809" s="528" t="n">
        <v>55</v>
      </c>
      <c r="K809" s="528" t="n">
        <v>2</v>
      </c>
      <c r="L809" s="395" t="n">
        <v>2560</v>
      </c>
      <c r="M809" s="113" t="n"/>
      <c r="N809" s="113" t="n"/>
      <c r="O809" s="113" t="n"/>
      <c r="P809" s="398" t="n"/>
      <c r="Q809" s="398" t="n"/>
      <c r="R809" s="113" t="n"/>
      <c r="S809" s="113" t="n"/>
      <c r="T809" s="113" t="n"/>
      <c r="U809" s="113" t="n"/>
      <c r="V809" s="113" t="n"/>
    </row>
    <row r="810" ht="15.75" customHeight="1">
      <c r="A810" s="398" t="n">
        <v>16</v>
      </c>
      <c r="B810" s="238" t="n"/>
      <c r="C810" s="399" t="n">
        <v>46119</v>
      </c>
      <c r="D810" s="162" t="inlineStr">
        <is>
          <t>221 G. MALAGUEÑA</t>
        </is>
      </c>
      <c r="E810" s="162" t="n">
        <v>47197</v>
      </c>
      <c r="F810" s="162" t="inlineStr">
        <is>
          <t>JAIRO CUBILLOS</t>
        </is>
      </c>
      <c r="G810" s="162" t="n">
        <v>2570</v>
      </c>
      <c r="H810" s="162" t="n">
        <v>2511</v>
      </c>
      <c r="I810" s="162" t="n">
        <v>2</v>
      </c>
      <c r="J810" s="162" t="n">
        <v>59</v>
      </c>
      <c r="K810" s="162" t="n">
        <v>2</v>
      </c>
      <c r="L810" s="395" t="n">
        <v>2560</v>
      </c>
      <c r="M810" s="113" t="n"/>
      <c r="N810" s="113" t="n"/>
      <c r="O810" s="113" t="n"/>
      <c r="P810" s="398" t="n"/>
      <c r="Q810" s="398" t="n"/>
      <c r="R810" s="113" t="n"/>
      <c r="S810" s="113" t="n"/>
      <c r="T810" s="113" t="n"/>
      <c r="U810" s="113" t="n"/>
      <c r="V810" s="113" t="n"/>
    </row>
    <row r="811" ht="15.75" customHeight="1">
      <c r="A811" s="398" t="n">
        <v>16</v>
      </c>
      <c r="B811" s="238" t="n"/>
      <c r="C811" s="399" t="n">
        <v>46119</v>
      </c>
      <c r="D811" s="162" t="inlineStr">
        <is>
          <t>221 G. MALAGUEÑA</t>
        </is>
      </c>
      <c r="E811" s="162" t="n">
        <v>47198</v>
      </c>
      <c r="F811" s="162" t="inlineStr">
        <is>
          <t xml:space="preserve">MANUEL QUITIAN </t>
        </is>
      </c>
      <c r="G811" s="162" t="n">
        <v>2570</v>
      </c>
      <c r="H811" s="162" t="n">
        <v>2517</v>
      </c>
      <c r="I811" s="162" t="n">
        <v>2</v>
      </c>
      <c r="J811" s="162" t="n">
        <v>53</v>
      </c>
      <c r="K811" s="162" t="n">
        <v>2</v>
      </c>
      <c r="L811" s="395" t="n">
        <v>2560</v>
      </c>
      <c r="M811" s="113" t="n"/>
      <c r="N811" s="113" t="n"/>
      <c r="O811" s="113" t="n"/>
      <c r="P811" s="398" t="n"/>
      <c r="Q811" s="398" t="n"/>
      <c r="R811" s="113" t="n"/>
      <c r="S811" s="113" t="n"/>
      <c r="T811" s="113" t="n"/>
      <c r="U811" s="113" t="n"/>
      <c r="V811" s="113" t="n"/>
    </row>
    <row r="812" ht="15.75" customHeight="1">
      <c r="A812" s="398" t="n">
        <v>16</v>
      </c>
      <c r="B812" s="238" t="n"/>
      <c r="C812" s="399" t="n">
        <v>46119</v>
      </c>
      <c r="D812" s="162" t="inlineStr">
        <is>
          <t>221 G. MALAGUEÑA</t>
        </is>
      </c>
      <c r="E812" s="162" t="n">
        <v>47199</v>
      </c>
      <c r="F812" s="162" t="inlineStr">
        <is>
          <t>EDWIN ROJAS</t>
        </is>
      </c>
      <c r="G812" s="162" t="n">
        <v>3010</v>
      </c>
      <c r="H812" s="162" t="n">
        <v>2985</v>
      </c>
      <c r="I812" s="162" t="n">
        <v>2</v>
      </c>
      <c r="J812" s="162" t="n">
        <v>38</v>
      </c>
      <c r="K812" s="162" t="n">
        <v>15</v>
      </c>
      <c r="L812" s="395" t="n">
        <v>3010</v>
      </c>
      <c r="M812" s="113" t="n"/>
      <c r="N812" s="113" t="n"/>
      <c r="O812" s="113" t="n"/>
      <c r="P812" s="398" t="n"/>
      <c r="Q812" s="398" t="n"/>
      <c r="R812" s="113" t="n"/>
      <c r="S812" s="113" t="n"/>
      <c r="T812" s="113" t="n"/>
      <c r="U812" s="113" t="n"/>
      <c r="V812" s="113" t="n"/>
    </row>
    <row r="813" ht="15.75" customHeight="1">
      <c r="A813" s="398" t="n">
        <v>16</v>
      </c>
      <c r="B813" s="238" t="n"/>
      <c r="C813" s="399" t="n">
        <v>46120</v>
      </c>
      <c r="D813" s="162" t="inlineStr">
        <is>
          <t>221 G. MALAGUEÑA</t>
        </is>
      </c>
      <c r="E813" s="162" t="n">
        <v>47227</v>
      </c>
      <c r="F813" s="162" t="inlineStr">
        <is>
          <t>EDUAN CAVIEDES</t>
        </is>
      </c>
      <c r="G813" s="162" t="n">
        <v>3000</v>
      </c>
      <c r="H813" s="162" t="n">
        <v>2996</v>
      </c>
      <c r="I813" s="162" t="n">
        <v>4</v>
      </c>
      <c r="J813" s="162" t="n">
        <v>6</v>
      </c>
      <c r="K813" s="162" t="n">
        <v>6</v>
      </c>
      <c r="L813" s="395" t="n">
        <v>3000</v>
      </c>
      <c r="M813" s="113" t="n"/>
      <c r="N813" s="113" t="n"/>
      <c r="O813" s="113" t="n"/>
      <c r="P813" s="398" t="n"/>
      <c r="Q813" s="398" t="n"/>
      <c r="R813" s="113" t="n"/>
      <c r="S813" s="113" t="n"/>
      <c r="T813" s="113" t="n"/>
      <c r="U813" s="113" t="n"/>
      <c r="V813" s="113" t="n"/>
    </row>
    <row r="814" ht="15.75" customHeight="1">
      <c r="A814" s="398" t="n">
        <v>16</v>
      </c>
      <c r="B814" s="238" t="n"/>
      <c r="C814" s="399" t="n">
        <v>46120</v>
      </c>
      <c r="D814" s="162" t="inlineStr">
        <is>
          <t>221 G. MALAGUEÑA</t>
        </is>
      </c>
      <c r="E814" s="162" t="n">
        <v>47228</v>
      </c>
      <c r="F814" s="162" t="inlineStr">
        <is>
          <t>EDWIN ROJAS</t>
        </is>
      </c>
      <c r="G814" s="162" t="n">
        <v>3000</v>
      </c>
      <c r="H814" s="162" t="n">
        <v>2996</v>
      </c>
      <c r="I814" s="162" t="n">
        <v>4</v>
      </c>
      <c r="J814" s="162" t="n">
        <v>7</v>
      </c>
      <c r="K814" s="162" t="n">
        <v>7</v>
      </c>
      <c r="L814" s="395" t="n">
        <v>3000</v>
      </c>
      <c r="M814" s="113" t="n"/>
      <c r="N814" s="113" t="n"/>
      <c r="O814" s="113" t="n"/>
      <c r="P814" s="398" t="n"/>
      <c r="Q814" s="398" t="n"/>
      <c r="R814" s="113" t="n"/>
      <c r="S814" s="113" t="n"/>
      <c r="T814" s="113" t="n"/>
      <c r="U814" s="113" t="n"/>
      <c r="V814" s="113" t="n"/>
    </row>
    <row r="815" ht="15.75" customHeight="1">
      <c r="A815" s="398" t="n">
        <v>16</v>
      </c>
      <c r="B815" s="238" t="n"/>
      <c r="C815" s="399" t="n">
        <v>46120</v>
      </c>
      <c r="D815" s="162" t="inlineStr">
        <is>
          <t>221 G. MALAGUEÑA</t>
        </is>
      </c>
      <c r="E815" s="162" t="n">
        <v>47229</v>
      </c>
      <c r="F815" s="162" t="inlineStr">
        <is>
          <t>DUMAR ANGARITA</t>
        </is>
      </c>
      <c r="G815" s="162" t="n">
        <v>3355</v>
      </c>
      <c r="H815" s="162" t="n">
        <v>3349</v>
      </c>
      <c r="I815" s="162" t="n">
        <v>3</v>
      </c>
      <c r="J815" s="162" t="n">
        <v>7</v>
      </c>
      <c r="K815" s="162" t="n">
        <v>4</v>
      </c>
      <c r="L815" s="395" t="n">
        <v>3355</v>
      </c>
      <c r="M815" s="113" t="n"/>
      <c r="N815" s="113" t="n"/>
      <c r="O815" s="113" t="n"/>
      <c r="P815" s="398" t="n"/>
      <c r="Q815" s="398" t="n"/>
      <c r="R815" s="113" t="n"/>
      <c r="S815" s="113" t="n"/>
      <c r="T815" s="113" t="n"/>
      <c r="U815" s="113" t="n"/>
      <c r="V815" s="113" t="n"/>
    </row>
    <row r="816" ht="15.75" customHeight="1">
      <c r="A816" s="398" t="n">
        <v>16</v>
      </c>
      <c r="B816" s="238" t="n"/>
      <c r="C816" s="399" t="n">
        <v>46120</v>
      </c>
      <c r="D816" s="162" t="inlineStr">
        <is>
          <t>221 G. MALAGUEÑA</t>
        </is>
      </c>
      <c r="E816" s="162" t="n">
        <v>47230</v>
      </c>
      <c r="F816" s="162" t="inlineStr">
        <is>
          <t xml:space="preserve">ROBINSON PULIDO </t>
        </is>
      </c>
      <c r="G816" s="162" t="n">
        <v>3355</v>
      </c>
      <c r="H816" s="162" t="n">
        <v>3302</v>
      </c>
      <c r="I816" s="162" t="n">
        <v>2</v>
      </c>
      <c r="J816" s="162" t="n">
        <v>7</v>
      </c>
      <c r="K816" s="162" t="n">
        <v>-44</v>
      </c>
      <c r="L816" s="395" t="n">
        <v>3355</v>
      </c>
      <c r="M816" s="113" t="n"/>
      <c r="N816" s="113" t="n"/>
      <c r="O816" s="113" t="n"/>
      <c r="P816" s="398" t="n"/>
      <c r="Q816" s="398" t="n"/>
      <c r="R816" s="113" t="n"/>
      <c r="S816" s="113" t="n"/>
      <c r="T816" s="113" t="n"/>
      <c r="U816" s="113" t="n"/>
      <c r="V816" s="113" t="n"/>
    </row>
    <row r="817" ht="15.75" customHeight="1">
      <c r="A817" s="398" t="n">
        <v>16</v>
      </c>
      <c r="B817" s="238" t="n"/>
      <c r="C817" s="399" t="n">
        <v>46121</v>
      </c>
      <c r="D817" s="162" t="inlineStr">
        <is>
          <t>221 G. MALAGUEÑA</t>
        </is>
      </c>
      <c r="E817" s="162" t="n">
        <v>47258</v>
      </c>
      <c r="F817" s="162" t="inlineStr">
        <is>
          <t>JOSE SOLER</t>
        </is>
      </c>
      <c r="G817" s="162" t="n">
        <v>2640</v>
      </c>
      <c r="H817" s="162" t="n">
        <v>2636</v>
      </c>
      <c r="I817" s="162" t="n">
        <v>5</v>
      </c>
      <c r="J817" s="162" t="n">
        <v>4</v>
      </c>
      <c r="K817" s="162" t="n">
        <v>5</v>
      </c>
      <c r="L817" s="395" t="n">
        <v>3640</v>
      </c>
      <c r="M817" s="113" t="n"/>
      <c r="N817" s="113" t="n"/>
      <c r="O817" s="113" t="n"/>
      <c r="P817" s="398" t="n"/>
      <c r="Q817" s="398" t="n"/>
      <c r="R817" s="113" t="n"/>
      <c r="S817" s="113" t="n"/>
      <c r="T817" s="113" t="n"/>
      <c r="U817" s="113" t="n"/>
      <c r="V817" s="113" t="n"/>
    </row>
    <row r="818" ht="15.75" customHeight="1">
      <c r="A818" s="398" t="n">
        <v>16</v>
      </c>
      <c r="B818" s="238" t="n"/>
      <c r="C818" s="399" t="n">
        <v>46121</v>
      </c>
      <c r="D818" s="162" t="inlineStr">
        <is>
          <t>221 G. MALAGUEÑA</t>
        </is>
      </c>
      <c r="E818" s="162" t="n">
        <v>47529</v>
      </c>
      <c r="F818" s="162" t="inlineStr">
        <is>
          <t>EDUAN CAVIEDES</t>
        </is>
      </c>
      <c r="G818" s="162" t="n">
        <v>2640</v>
      </c>
      <c r="H818" s="162" t="n">
        <v>2640</v>
      </c>
      <c r="I818" s="162" t="n">
        <v>3</v>
      </c>
      <c r="J818" s="162" t="n">
        <v>3</v>
      </c>
      <c r="K818" s="162" t="n">
        <v>6</v>
      </c>
      <c r="L818" s="395" t="n">
        <v>2640</v>
      </c>
      <c r="M818" s="113" t="n"/>
      <c r="N818" s="113" t="n"/>
      <c r="O818" s="113" t="n"/>
      <c r="P818" s="398" t="n"/>
      <c r="Q818" s="398" t="n"/>
      <c r="R818" s="113" t="n"/>
      <c r="S818" s="113" t="n"/>
      <c r="T818" s="113" t="n"/>
      <c r="U818" s="113" t="n"/>
      <c r="V818" s="113" t="n"/>
    </row>
    <row r="819" ht="15.75" customHeight="1">
      <c r="A819" s="398" t="n">
        <v>16</v>
      </c>
      <c r="B819" s="238" t="n"/>
      <c r="C819" s="399" t="n">
        <v>46121</v>
      </c>
      <c r="D819" s="162" t="inlineStr">
        <is>
          <t>221 G. MALAGUEÑA</t>
        </is>
      </c>
      <c r="E819" s="162" t="n">
        <v>47260</v>
      </c>
      <c r="F819" s="162" t="inlineStr">
        <is>
          <t>ALBERTO LOPEZ</t>
        </is>
      </c>
      <c r="G819" s="162" t="n">
        <v>2580</v>
      </c>
      <c r="H819" s="162" t="n">
        <v>2577</v>
      </c>
      <c r="I819" s="162" t="n">
        <v>4</v>
      </c>
      <c r="J819" s="162" t="n">
        <v>3</v>
      </c>
      <c r="K819" s="162" t="n">
        <v>4</v>
      </c>
      <c r="L819" s="395" t="n">
        <v>2580</v>
      </c>
      <c r="M819" s="113" t="n"/>
      <c r="N819" s="113" t="n"/>
      <c r="O819" s="113" t="n"/>
      <c r="P819" s="398" t="n"/>
      <c r="Q819" s="398" t="n"/>
      <c r="R819" s="113" t="n"/>
      <c r="S819" s="113" t="n"/>
      <c r="T819" s="113" t="n"/>
      <c r="U819" s="113" t="n"/>
      <c r="V819" s="113" t="n"/>
    </row>
    <row r="820" ht="15.75" customHeight="1">
      <c r="A820" s="398" t="n">
        <v>16</v>
      </c>
      <c r="B820" s="238" t="n"/>
      <c r="C820" s="399" t="n">
        <v>46121</v>
      </c>
      <c r="D820" s="162" t="inlineStr">
        <is>
          <t>221 G. MALAGUEÑA</t>
        </is>
      </c>
      <c r="E820" s="162" t="n">
        <v>47261</v>
      </c>
      <c r="F820" s="162" t="inlineStr">
        <is>
          <t>WILMER PIÑEROS</t>
        </is>
      </c>
      <c r="G820" s="162" t="n">
        <v>2980</v>
      </c>
      <c r="H820" s="162" t="n">
        <v>2981</v>
      </c>
      <c r="I820" s="162" t="n">
        <v>4</v>
      </c>
      <c r="J820" s="162" t="n">
        <v>4</v>
      </c>
      <c r="K820" s="162" t="n">
        <v>9</v>
      </c>
      <c r="L820" s="395" t="n">
        <v>2280</v>
      </c>
      <c r="M820" s="113" t="n"/>
      <c r="N820" s="113" t="n"/>
      <c r="O820" s="113" t="n"/>
      <c r="P820" s="398" t="n"/>
      <c r="Q820" s="398" t="n"/>
      <c r="R820" s="113" t="n"/>
      <c r="S820" s="113" t="n"/>
      <c r="T820" s="113" t="n"/>
      <c r="U820" s="113" t="n"/>
      <c r="V820" s="113" t="n"/>
    </row>
    <row r="821" ht="15.75" customHeight="1">
      <c r="A821" s="398" t="n">
        <v>16</v>
      </c>
      <c r="B821" s="238" t="n"/>
      <c r="C821" s="399" t="n">
        <v>46121</v>
      </c>
      <c r="D821" s="146" t="inlineStr">
        <is>
          <t>221 G. MALAGUEÑA</t>
        </is>
      </c>
      <c r="E821" s="146" t="n">
        <v>47262</v>
      </c>
      <c r="F821" s="146" t="inlineStr">
        <is>
          <t xml:space="preserve">SEBASTIAN HIDALGO </t>
        </is>
      </c>
      <c r="G821" s="395" t="n">
        <v>2980</v>
      </c>
      <c r="H821" s="395" t="n">
        <v>2980</v>
      </c>
      <c r="I821" s="395" t="n">
        <v>3</v>
      </c>
      <c r="J821" s="395" t="n">
        <v>7</v>
      </c>
      <c r="K821" s="395" t="n">
        <v>10</v>
      </c>
      <c r="L821" s="395" t="n">
        <v>2980</v>
      </c>
      <c r="M821" s="113" t="n"/>
      <c r="N821" s="113" t="n"/>
      <c r="O821" s="113" t="n"/>
      <c r="P821" s="398" t="n"/>
      <c r="Q821" s="398" t="n"/>
      <c r="R821" s="113" t="n"/>
      <c r="S821" s="113" t="n"/>
      <c r="T821" s="113" t="n"/>
      <c r="U821" s="113" t="n"/>
      <c r="V821" s="113" t="n"/>
    </row>
    <row r="822" ht="15.75" customHeight="1">
      <c r="A822" s="398" t="n">
        <v>16</v>
      </c>
      <c r="B822" s="238" t="n"/>
      <c r="C822" s="527" t="n">
        <v>46121</v>
      </c>
      <c r="D822" s="398" t="inlineStr">
        <is>
          <t>221 G. MALAGUEÑA</t>
        </is>
      </c>
      <c r="E822" s="398" t="n">
        <v>47263</v>
      </c>
      <c r="F822" s="398" t="inlineStr">
        <is>
          <t>EDWIN ROJAS</t>
        </is>
      </c>
      <c r="G822" s="494" t="n">
        <v>2980</v>
      </c>
      <c r="H822" s="494" t="n">
        <v>2984</v>
      </c>
      <c r="I822" s="494" t="n">
        <v>2</v>
      </c>
      <c r="J822" s="494" t="n">
        <v>4</v>
      </c>
      <c r="K822" s="494" t="n">
        <v>10</v>
      </c>
      <c r="L822" s="494" t="n">
        <v>2980</v>
      </c>
      <c r="M822" s="113" t="n"/>
      <c r="N822" s="113" t="n"/>
      <c r="O822" s="113" t="n"/>
      <c r="P822" s="398" t="n"/>
      <c r="Q822" s="398" t="n"/>
      <c r="R822" s="113" t="n"/>
      <c r="S822" s="113" t="n"/>
      <c r="T822" s="113" t="n"/>
      <c r="U822" s="113" t="n"/>
      <c r="V822" s="113" t="n"/>
    </row>
    <row r="823" ht="15.75" customHeight="1">
      <c r="A823" s="398" t="n">
        <v>16</v>
      </c>
      <c r="B823" s="238" t="n"/>
      <c r="C823" s="527" t="n">
        <v>46121</v>
      </c>
      <c r="D823" s="398" t="inlineStr">
        <is>
          <t>221 G. MALAGUEÑA</t>
        </is>
      </c>
      <c r="E823" s="398" t="n">
        <v>47264</v>
      </c>
      <c r="F823" s="398" t="inlineStr">
        <is>
          <t>DUMAR ANGARITA</t>
        </is>
      </c>
      <c r="G823" s="494" t="n">
        <v>3230</v>
      </c>
      <c r="H823" s="494" t="n">
        <v>3232</v>
      </c>
      <c r="I823" s="494" t="n">
        <v>2</v>
      </c>
      <c r="J823" s="494" t="n">
        <v>4</v>
      </c>
      <c r="K823" s="494" t="n">
        <v>8</v>
      </c>
      <c r="L823" s="494" t="n">
        <v>3230</v>
      </c>
      <c r="M823" s="113" t="n"/>
      <c r="N823" s="113" t="n"/>
      <c r="O823" s="113" t="n"/>
      <c r="P823" s="398" t="n"/>
      <c r="Q823" s="398" t="n"/>
      <c r="R823" s="113" t="n"/>
      <c r="S823" s="113" t="n"/>
      <c r="T823" s="113" t="n"/>
      <c r="U823" s="113" t="n"/>
      <c r="V823" s="113" t="n"/>
    </row>
    <row r="824" ht="15.75" customHeight="1">
      <c r="A824" s="398" t="n">
        <v>16</v>
      </c>
      <c r="B824" s="238" t="n"/>
      <c r="C824" s="399" t="n">
        <v>46121</v>
      </c>
      <c r="D824" s="162" t="inlineStr">
        <is>
          <t>221 G. MALAGUEÑA</t>
        </is>
      </c>
      <c r="E824" s="162" t="n">
        <v>47272</v>
      </c>
      <c r="F824" s="162" t="inlineStr">
        <is>
          <t>JOSE SOLER</t>
        </is>
      </c>
      <c r="G824" s="162" t="n">
        <v>3230</v>
      </c>
      <c r="H824" s="162" t="n">
        <v>3218</v>
      </c>
      <c r="I824" s="162" t="n">
        <v>2</v>
      </c>
      <c r="J824" s="162" t="n">
        <v>13</v>
      </c>
      <c r="K824" s="162" t="n">
        <v>3</v>
      </c>
      <c r="L824" s="395" t="n">
        <v>3230</v>
      </c>
      <c r="M824" s="113" t="n"/>
      <c r="N824" s="113" t="n"/>
      <c r="O824" s="113" t="n"/>
      <c r="P824" s="398" t="n"/>
      <c r="Q824" s="398" t="n"/>
      <c r="R824" s="113" t="n"/>
      <c r="S824" s="113" t="n"/>
      <c r="T824" s="113" t="n"/>
      <c r="U824" s="113" t="n"/>
      <c r="V824" s="113" t="n"/>
    </row>
    <row r="825" ht="15.75" customHeight="1">
      <c r="A825" s="398" t="n">
        <v>16</v>
      </c>
      <c r="B825" s="238" t="n"/>
      <c r="C825" s="399" t="n">
        <v>46121</v>
      </c>
      <c r="D825" s="162" t="inlineStr">
        <is>
          <t>221 G. MALAGUEÑA</t>
        </is>
      </c>
      <c r="E825" s="162" t="n">
        <v>47273</v>
      </c>
      <c r="F825" s="162" t="inlineStr">
        <is>
          <t>EDUAN CAVIEDES</t>
        </is>
      </c>
      <c r="G825" s="162" t="n">
        <v>3230</v>
      </c>
      <c r="H825" s="162" t="n">
        <v>3226</v>
      </c>
      <c r="I825" s="162" t="n">
        <v>2</v>
      </c>
      <c r="J825" s="162" t="n">
        <v>7</v>
      </c>
      <c r="K825" s="162" t="n">
        <v>5</v>
      </c>
      <c r="L825" s="395" t="n">
        <v>3230</v>
      </c>
      <c r="M825" s="113" t="n"/>
      <c r="N825" s="113" t="n"/>
      <c r="O825" s="113" t="n"/>
      <c r="P825" s="398" t="n"/>
      <c r="Q825" s="398" t="n"/>
      <c r="R825" s="113" t="n"/>
      <c r="S825" s="113" t="n"/>
      <c r="T825" s="113" t="n"/>
      <c r="U825" s="113" t="n"/>
      <c r="V825" s="113" t="n"/>
    </row>
    <row r="826" ht="15.75" customHeight="1">
      <c r="A826" s="398" t="n">
        <v>16</v>
      </c>
      <c r="B826" s="238" t="n"/>
      <c r="C826" s="399" t="n">
        <v>46121</v>
      </c>
      <c r="D826" s="162" t="inlineStr">
        <is>
          <t>221 G. MALAGUEÑA</t>
        </is>
      </c>
      <c r="E826" s="162" t="n">
        <v>47274</v>
      </c>
      <c r="F826" s="162" t="inlineStr">
        <is>
          <t>WILMER PIÑEROS</t>
        </is>
      </c>
      <c r="G826" s="162" t="n">
        <v>3000</v>
      </c>
      <c r="H826" s="162" t="n">
        <v>2997</v>
      </c>
      <c r="I826" s="162" t="n">
        <v>2</v>
      </c>
      <c r="J826" s="162" t="n">
        <v>7</v>
      </c>
      <c r="K826" s="162" t="n">
        <v>6</v>
      </c>
      <c r="L826" s="395" t="n">
        <v>3000</v>
      </c>
      <c r="M826" s="113" t="n"/>
      <c r="N826" s="113" t="n"/>
      <c r="O826" s="113" t="n"/>
      <c r="P826" s="398" t="n"/>
      <c r="Q826" s="398" t="n"/>
      <c r="R826" s="113" t="n"/>
      <c r="S826" s="113" t="n"/>
      <c r="T826" s="113" t="n"/>
      <c r="U826" s="113" t="n"/>
      <c r="V826" s="113" t="n"/>
    </row>
    <row r="827" ht="15.75" customHeight="1">
      <c r="A827" s="398" t="n">
        <v>16</v>
      </c>
      <c r="B827" s="238" t="n"/>
      <c r="C827" s="399" t="n">
        <v>46121</v>
      </c>
      <c r="D827" s="162" t="inlineStr">
        <is>
          <t>221 G. MALAGUEÑA</t>
        </is>
      </c>
      <c r="E827" s="162" t="n">
        <v>47275</v>
      </c>
      <c r="F827" s="162" t="inlineStr">
        <is>
          <t>EDWIN ROJAS</t>
        </is>
      </c>
      <c r="G827" s="162" t="n">
        <v>1970</v>
      </c>
      <c r="H827" s="162" t="n">
        <v>1971</v>
      </c>
      <c r="I827" s="162" t="n">
        <v>2</v>
      </c>
      <c r="J827" s="162" t="n">
        <v>3</v>
      </c>
      <c r="K827" s="162" t="n">
        <v>6</v>
      </c>
      <c r="L827" s="395" t="n">
        <v>1970</v>
      </c>
      <c r="M827" s="113" t="n"/>
      <c r="N827" s="113" t="n"/>
      <c r="O827" s="113" t="n"/>
      <c r="P827" s="398" t="n"/>
      <c r="Q827" s="398" t="n"/>
      <c r="R827" s="113" t="n"/>
      <c r="S827" s="113" t="n"/>
      <c r="T827" s="113" t="n"/>
      <c r="U827" s="113" t="n"/>
      <c r="V827" s="113" t="n"/>
    </row>
    <row r="828" ht="15.75" customHeight="1">
      <c r="A828" s="398" t="n">
        <v>16</v>
      </c>
      <c r="B828" s="238" t="n"/>
      <c r="C828" s="399" t="n">
        <v>46122</v>
      </c>
      <c r="D828" s="162" t="inlineStr">
        <is>
          <t>221 G. MALAGUEÑA</t>
        </is>
      </c>
      <c r="E828" s="162" t="n">
        <v>47285</v>
      </c>
      <c r="F828" s="162" t="inlineStr">
        <is>
          <t>ALBERTO LOPEZ</t>
        </is>
      </c>
      <c r="G828" s="162" t="n">
        <v>3500</v>
      </c>
      <c r="H828" s="162" t="n">
        <v>3496</v>
      </c>
      <c r="I828" s="162" t="n">
        <v>0</v>
      </c>
      <c r="J828" s="162" t="n">
        <v>4</v>
      </c>
      <c r="K828" s="162" t="n">
        <v>0</v>
      </c>
      <c r="L828" s="395" t="n">
        <v>3500</v>
      </c>
      <c r="M828" s="113" t="n"/>
      <c r="N828" s="113" t="n"/>
      <c r="O828" s="113" t="n"/>
      <c r="P828" s="398" t="n"/>
      <c r="Q828" s="398" t="n"/>
      <c r="R828" s="113" t="n"/>
      <c r="S828" s="113" t="n"/>
      <c r="T828" s="113" t="n"/>
      <c r="U828" s="113" t="n"/>
      <c r="V828" s="113" t="n"/>
    </row>
    <row r="829" ht="15.75" customHeight="1">
      <c r="A829" s="398" t="n">
        <v>16</v>
      </c>
      <c r="B829" s="238" t="n"/>
      <c r="C829" s="399" t="n">
        <v>46122</v>
      </c>
      <c r="D829" s="162" t="inlineStr">
        <is>
          <t>221 G. MALAGUEÑA</t>
        </is>
      </c>
      <c r="E829" s="162" t="n">
        <v>47286</v>
      </c>
      <c r="F829" s="162" t="inlineStr">
        <is>
          <t>JHON ARIAS</t>
        </is>
      </c>
      <c r="G829" s="162" t="n">
        <v>2740</v>
      </c>
      <c r="H829" s="162" t="n">
        <v>2738</v>
      </c>
      <c r="I829" s="162" t="n">
        <v>0</v>
      </c>
      <c r="J829" s="162" t="n">
        <v>2</v>
      </c>
      <c r="K829" s="162" t="n">
        <v>0</v>
      </c>
      <c r="L829" s="395" t="n">
        <v>2740</v>
      </c>
      <c r="M829" s="113" t="n"/>
      <c r="N829" s="113" t="n"/>
      <c r="O829" s="113" t="n"/>
      <c r="P829" s="398" t="n"/>
      <c r="Q829" s="398" t="n"/>
      <c r="R829" s="113" t="n"/>
      <c r="S829" s="113" t="n"/>
      <c r="T829" s="113" t="n"/>
      <c r="U829" s="113" t="n"/>
      <c r="V829" s="113" t="n"/>
    </row>
    <row r="830" ht="15.75" customHeight="1">
      <c r="A830" s="398" t="n">
        <v>16</v>
      </c>
      <c r="B830" s="238" t="n"/>
      <c r="C830" s="399" t="n">
        <v>46122</v>
      </c>
      <c r="D830" s="162" t="inlineStr">
        <is>
          <t>221 G. MALAGUEÑA</t>
        </is>
      </c>
      <c r="E830" s="162" t="n">
        <v>47287</v>
      </c>
      <c r="F830" s="162" t="inlineStr">
        <is>
          <t xml:space="preserve">ROBINSON PULIDO </t>
        </is>
      </c>
      <c r="G830" s="162" t="n">
        <v>2670</v>
      </c>
      <c r="H830" s="162" t="n">
        <v>2668</v>
      </c>
      <c r="I830" s="162" t="n">
        <v>1</v>
      </c>
      <c r="J830" s="162" t="n">
        <v>3</v>
      </c>
      <c r="K830" s="162" t="n">
        <v>2</v>
      </c>
      <c r="L830" s="395" t="n">
        <v>2670</v>
      </c>
      <c r="M830" s="113" t="n"/>
      <c r="N830" s="113" t="n"/>
      <c r="O830" s="113" t="n"/>
      <c r="P830" s="398" t="n"/>
      <c r="Q830" s="398" t="n"/>
      <c r="R830" s="113" t="n"/>
      <c r="S830" s="113" t="n"/>
      <c r="T830" s="113" t="n"/>
      <c r="U830" s="113" t="n"/>
      <c r="V830" s="113" t="n"/>
    </row>
    <row r="831" ht="15.75" customHeight="1">
      <c r="A831" s="398" t="n">
        <v>16</v>
      </c>
      <c r="B831" s="238" t="n"/>
      <c r="C831" s="399" t="n"/>
      <c r="D831" s="162" t="n"/>
      <c r="E831" s="162" t="n"/>
      <c r="F831" s="162" t="n"/>
      <c r="G831" s="530">
        <f>SUBTOTAL(9,G792:G830)</f>
        <v/>
      </c>
      <c r="H831" s="530">
        <f>SUBTOTAL(9,H792:H830)</f>
        <v/>
      </c>
      <c r="I831" s="530">
        <f>SUBTOTAL(9,I792:I830)</f>
        <v/>
      </c>
      <c r="J831" s="530">
        <f>SUBTOTAL(9,J792:J830)</f>
        <v/>
      </c>
      <c r="K831" s="530">
        <f>SUBTOTAL(9,K792:K830)</f>
        <v/>
      </c>
      <c r="L831" s="530">
        <f>SUBTOTAL(9,L792:L830)</f>
        <v/>
      </c>
      <c r="M831" s="530">
        <f>L831-H831</f>
        <v/>
      </c>
      <c r="N831" s="113" t="n"/>
      <c r="O831" s="113" t="n"/>
      <c r="P831" s="398" t="n"/>
      <c r="Q831" s="398" t="n"/>
      <c r="R831" s="113" t="n"/>
      <c r="S831" s="113" t="n"/>
      <c r="T831" s="113" t="n"/>
      <c r="U831" s="113" t="n"/>
      <c r="V831" s="113" t="n"/>
    </row>
    <row r="832" ht="15.75" customHeight="1">
      <c r="A832" s="398" t="n">
        <v>17</v>
      </c>
      <c r="B832" s="238" t="n"/>
      <c r="C832" s="399" t="n">
        <v>46125</v>
      </c>
      <c r="D832" s="162" t="inlineStr">
        <is>
          <t>221 G. MALAGUEÑA</t>
        </is>
      </c>
      <c r="E832" s="162" t="n">
        <v>47334</v>
      </c>
      <c r="F832" s="162" t="inlineStr">
        <is>
          <t>HENRY ROMERO</t>
        </is>
      </c>
      <c r="G832" s="162" t="n">
        <v>3200</v>
      </c>
      <c r="H832" s="162" t="n">
        <v>3194</v>
      </c>
      <c r="I832" s="162" t="n">
        <v>1</v>
      </c>
      <c r="J832" s="162" t="n">
        <v>2</v>
      </c>
      <c r="K832" s="162" t="n">
        <v>-3</v>
      </c>
      <c r="L832" s="395" t="n">
        <v>3200</v>
      </c>
      <c r="M832" s="113" t="n"/>
      <c r="N832" s="113" t="n"/>
      <c r="O832" s="113" t="n"/>
      <c r="P832" s="398" t="n"/>
      <c r="Q832" s="398" t="n"/>
      <c r="R832" s="113" t="n"/>
      <c r="S832" s="113" t="n"/>
      <c r="T832" s="113" t="n"/>
      <c r="U832" s="113" t="n"/>
      <c r="V832" s="113" t="n"/>
    </row>
    <row r="833" ht="15.75" customHeight="1">
      <c r="A833" s="398" t="n">
        <v>17</v>
      </c>
      <c r="B833" s="238" t="n"/>
      <c r="C833" s="399" t="n">
        <v>46125</v>
      </c>
      <c r="D833" s="162" t="inlineStr">
        <is>
          <t>221 G. MALAGUEÑA</t>
        </is>
      </c>
      <c r="E833" s="162" t="n">
        <v>47335</v>
      </c>
      <c r="F833" s="162" t="inlineStr">
        <is>
          <t>JAIRO CUBILLOS</t>
        </is>
      </c>
      <c r="G833" s="162" t="n">
        <v>3200</v>
      </c>
      <c r="H833" s="162" t="n">
        <v>3191</v>
      </c>
      <c r="I833" s="162" t="n">
        <v>2</v>
      </c>
      <c r="J833" s="162" t="n">
        <v>4</v>
      </c>
      <c r="K833" s="162" t="n">
        <v>-3</v>
      </c>
      <c r="L833" s="395" t="n">
        <v>3200</v>
      </c>
      <c r="M833" s="113" t="n"/>
      <c r="N833" s="113" t="n"/>
      <c r="O833" s="113" t="n"/>
      <c r="P833" s="398" t="n"/>
      <c r="Q833" s="398" t="n"/>
      <c r="R833" s="113" t="n"/>
      <c r="S833" s="113" t="n"/>
      <c r="T833" s="113" t="n"/>
      <c r="U833" s="113" t="n"/>
      <c r="V833" s="113" t="n"/>
    </row>
    <row r="834" ht="15.75" customHeight="1">
      <c r="A834" s="398" t="n">
        <v>17</v>
      </c>
      <c r="B834" s="238" t="n"/>
      <c r="C834" s="399" t="n">
        <v>46125</v>
      </c>
      <c r="D834" s="162" t="inlineStr">
        <is>
          <t>221 G. MALAGUEÑA</t>
        </is>
      </c>
      <c r="E834" s="162" t="n">
        <v>47336</v>
      </c>
      <c r="F834" s="162" t="inlineStr">
        <is>
          <t>MANUEL QUITIAN</t>
        </is>
      </c>
      <c r="G834" s="162" t="n">
        <v>3500</v>
      </c>
      <c r="H834" s="162" t="n">
        <v>3495</v>
      </c>
      <c r="I834" s="162" t="n">
        <v>4</v>
      </c>
      <c r="J834" s="162" t="n">
        <v>5</v>
      </c>
      <c r="K834" s="162" t="n">
        <v>4</v>
      </c>
      <c r="L834" s="395" t="n">
        <v>3500</v>
      </c>
      <c r="M834" s="113" t="n"/>
      <c r="N834" s="113" t="n"/>
      <c r="O834" s="113" t="n"/>
      <c r="P834" s="398" t="n"/>
      <c r="Q834" s="398" t="n"/>
      <c r="R834" s="113" t="n"/>
      <c r="S834" s="113" t="n"/>
      <c r="T834" s="113" t="n"/>
      <c r="U834" s="113" t="n"/>
      <c r="V834" s="113" t="n"/>
    </row>
    <row r="835" ht="15.75" customHeight="1">
      <c r="A835" s="398" t="n">
        <v>17</v>
      </c>
      <c r="B835" s="238" t="n"/>
      <c r="C835" s="399" t="n">
        <v>46125</v>
      </c>
      <c r="D835" s="162" t="inlineStr">
        <is>
          <t>221 G. MALAGUEÑA</t>
        </is>
      </c>
      <c r="E835" s="162" t="n">
        <v>47337</v>
      </c>
      <c r="F835" s="162" t="inlineStr">
        <is>
          <t>WILMER PIÑEROS</t>
        </is>
      </c>
      <c r="G835" s="162" t="n">
        <v>3500</v>
      </c>
      <c r="H835" s="162" t="n">
        <v>3493</v>
      </c>
      <c r="I835" s="162" t="n">
        <v>2</v>
      </c>
      <c r="J835" s="162" t="n">
        <v>7</v>
      </c>
      <c r="K835" s="162" t="n">
        <v>2</v>
      </c>
      <c r="L835" s="395" t="n">
        <v>3500</v>
      </c>
      <c r="M835" s="113" t="n"/>
      <c r="N835" s="113" t="n"/>
      <c r="O835" s="113" t="n"/>
      <c r="P835" s="398" t="n"/>
      <c r="Q835" s="398" t="n"/>
      <c r="R835" s="113" t="n"/>
      <c r="S835" s="113" t="n"/>
      <c r="T835" s="113" t="n"/>
      <c r="U835" s="113" t="n"/>
      <c r="V835" s="113" t="n"/>
    </row>
    <row r="836" ht="15.75" customHeight="1">
      <c r="A836" s="398" t="n">
        <v>17</v>
      </c>
      <c r="B836" s="238" t="n"/>
      <c r="C836" s="399" t="n">
        <v>46125</v>
      </c>
      <c r="D836" s="162" t="inlineStr">
        <is>
          <t>221 G. MALAGUEÑA</t>
        </is>
      </c>
      <c r="E836" s="162" t="n">
        <v>47338</v>
      </c>
      <c r="F836" s="162" t="inlineStr">
        <is>
          <t>YAIR RIVEROS</t>
        </is>
      </c>
      <c r="G836" s="162" t="n">
        <v>3450</v>
      </c>
      <c r="H836" s="162" t="n">
        <v>3448</v>
      </c>
      <c r="I836" s="162" t="n">
        <v>0</v>
      </c>
      <c r="J836" s="162" t="n">
        <v>6</v>
      </c>
      <c r="K836" s="162" t="n">
        <v>4</v>
      </c>
      <c r="L836" s="395" t="n">
        <v>3450</v>
      </c>
      <c r="M836" s="113" t="n"/>
      <c r="N836" s="113" t="n"/>
      <c r="O836" s="113" t="n"/>
      <c r="P836" s="398" t="n"/>
      <c r="Q836" s="398" t="n"/>
      <c r="R836" s="113" t="n"/>
      <c r="S836" s="113" t="n"/>
      <c r="T836" s="113" t="n"/>
      <c r="U836" s="113" t="n"/>
      <c r="V836" s="113" t="n"/>
    </row>
    <row r="837" ht="15.75" customHeight="1">
      <c r="A837" s="398" t="n">
        <v>17</v>
      </c>
      <c r="B837" s="238" t="n"/>
      <c r="C837" s="399" t="n">
        <v>46126</v>
      </c>
      <c r="D837" s="162" t="inlineStr">
        <is>
          <t>219 G. SAN JOSE 2</t>
        </is>
      </c>
      <c r="E837" s="162" t="n">
        <v>47358</v>
      </c>
      <c r="F837" s="162" t="inlineStr">
        <is>
          <t>MANUEL QUITIAN</t>
        </is>
      </c>
      <c r="G837" s="162" t="n">
        <v>3553</v>
      </c>
      <c r="H837" s="162" t="n">
        <v>3549</v>
      </c>
      <c r="I837" s="162" t="n">
        <v>3</v>
      </c>
      <c r="J837" s="162" t="n">
        <v>4</v>
      </c>
      <c r="K837" s="162" t="n">
        <v>3</v>
      </c>
      <c r="L837" s="395" t="n">
        <v>3553</v>
      </c>
      <c r="M837" s="113" t="n"/>
      <c r="N837" s="113" t="n"/>
      <c r="O837" s="113" t="n"/>
      <c r="P837" s="398" t="n"/>
      <c r="Q837" s="398" t="n"/>
      <c r="R837" s="113" t="n"/>
      <c r="S837" s="113" t="n"/>
      <c r="T837" s="113" t="n"/>
      <c r="U837" s="113" t="n"/>
      <c r="V837" s="113" t="n"/>
    </row>
    <row r="838" ht="15.75" customHeight="1">
      <c r="A838" s="398" t="n">
        <v>17</v>
      </c>
      <c r="B838" s="238" t="n"/>
      <c r="C838" s="527" t="n">
        <v>46126</v>
      </c>
      <c r="D838" s="398" t="inlineStr">
        <is>
          <t>219 G. SAN JOSE 2</t>
        </is>
      </c>
      <c r="E838" s="398" t="n">
        <v>47359</v>
      </c>
      <c r="F838" s="398" t="inlineStr">
        <is>
          <t>ALBERTO LOPEZ</t>
        </is>
      </c>
      <c r="G838" s="494" t="n">
        <v>3553</v>
      </c>
      <c r="H838" s="494" t="n">
        <v>3547</v>
      </c>
      <c r="I838" s="494" t="n">
        <v>3</v>
      </c>
      <c r="J838" s="494" t="n">
        <v>6</v>
      </c>
      <c r="K838" s="494" t="n">
        <v>3</v>
      </c>
      <c r="L838" s="494" t="n">
        <v>3553</v>
      </c>
      <c r="M838" s="113" t="n"/>
      <c r="N838" s="113" t="n"/>
      <c r="O838" s="113" t="n"/>
      <c r="P838" s="398" t="n"/>
      <c r="Q838" s="398" t="n"/>
      <c r="R838" s="113" t="n"/>
      <c r="S838" s="113" t="n"/>
      <c r="T838" s="113" t="n"/>
      <c r="U838" s="113" t="n"/>
      <c r="V838" s="113" t="n"/>
    </row>
    <row r="839" ht="15.75" customHeight="1">
      <c r="A839" s="398" t="n">
        <v>17</v>
      </c>
      <c r="B839" s="238" t="n"/>
      <c r="C839" s="399" t="n">
        <v>46126</v>
      </c>
      <c r="D839" s="162" t="inlineStr">
        <is>
          <t>219 G. SAN JOSE 2</t>
        </is>
      </c>
      <c r="E839" s="162" t="n">
        <v>47360</v>
      </c>
      <c r="F839" s="162" t="inlineStr">
        <is>
          <t>DUMAR ANGARITA</t>
        </is>
      </c>
      <c r="G839" s="162" t="n">
        <v>3553</v>
      </c>
      <c r="H839" s="162" t="n">
        <v>3533</v>
      </c>
      <c r="I839" s="162" t="n">
        <v>8</v>
      </c>
      <c r="J839" s="162" t="n">
        <v>10</v>
      </c>
      <c r="K839" s="162" t="n">
        <v>-2</v>
      </c>
      <c r="L839" s="395" t="n">
        <v>3553</v>
      </c>
      <c r="M839" s="113" t="n"/>
      <c r="N839" s="113" t="n"/>
      <c r="O839" s="113" t="n"/>
      <c r="P839" s="398" t="n"/>
      <c r="Q839" s="398" t="n"/>
      <c r="R839" s="113" t="n"/>
      <c r="S839" s="113" t="n"/>
      <c r="T839" s="113" t="n"/>
      <c r="U839" s="113" t="n"/>
      <c r="V839" s="113" t="n"/>
    </row>
    <row r="840" ht="15.75" customHeight="1">
      <c r="A840" s="398" t="n">
        <v>17</v>
      </c>
      <c r="B840" s="238" t="n"/>
      <c r="C840" s="399" t="n">
        <v>46126</v>
      </c>
      <c r="D840" s="162" t="inlineStr">
        <is>
          <t>219 G. SAN JOSE 2</t>
        </is>
      </c>
      <c r="E840" s="162" t="n">
        <v>47361</v>
      </c>
      <c r="F840" s="162" t="inlineStr">
        <is>
          <t>DIEGO NIÑO</t>
        </is>
      </c>
      <c r="G840" s="162" t="n">
        <v>3000</v>
      </c>
      <c r="H840" s="162" t="n">
        <v>2997</v>
      </c>
      <c r="I840" s="162" t="n">
        <v>2</v>
      </c>
      <c r="J840" s="162" t="n">
        <v>3</v>
      </c>
      <c r="K840" s="162" t="n">
        <v>2</v>
      </c>
      <c r="L840" s="395" t="n">
        <v>3000</v>
      </c>
      <c r="M840" s="113" t="n"/>
      <c r="N840" s="113" t="n"/>
      <c r="O840" s="113" t="n"/>
      <c r="P840" s="398" t="n"/>
      <c r="Q840" s="398" t="n"/>
      <c r="R840" s="113" t="n"/>
      <c r="S840" s="113" t="n"/>
      <c r="T840" s="113" t="n"/>
      <c r="U840" s="113" t="n"/>
      <c r="V840" s="113" t="n"/>
    </row>
    <row r="841" ht="15.75" customHeight="1">
      <c r="A841" s="398" t="n">
        <v>17</v>
      </c>
      <c r="B841" s="238" t="n"/>
      <c r="C841" s="399" t="n">
        <v>46126</v>
      </c>
      <c r="D841" s="162" t="inlineStr">
        <is>
          <t>219 G. SAN JOSE 2</t>
        </is>
      </c>
      <c r="E841" s="162" t="n">
        <v>47362</v>
      </c>
      <c r="F841" s="162" t="inlineStr">
        <is>
          <t xml:space="preserve">ROBINSON PULIDO </t>
        </is>
      </c>
      <c r="G841" s="162" t="n">
        <v>3000</v>
      </c>
      <c r="H841" s="162" t="n">
        <v>3007</v>
      </c>
      <c r="I841" s="162" t="n">
        <v>2</v>
      </c>
      <c r="J841" s="162" t="n">
        <v>3</v>
      </c>
      <c r="K841" s="162" t="n">
        <v>12</v>
      </c>
      <c r="L841" s="395" t="n">
        <v>3000</v>
      </c>
      <c r="M841" s="113" t="n"/>
      <c r="N841" s="113" t="n"/>
      <c r="O841" s="113" t="n"/>
      <c r="P841" s="398" t="n"/>
      <c r="Q841" s="398" t="n"/>
      <c r="R841" s="113" t="n"/>
      <c r="S841" s="113" t="n"/>
      <c r="T841" s="113" t="n"/>
      <c r="U841" s="113" t="n"/>
      <c r="V841" s="113" t="n"/>
    </row>
    <row r="842" ht="15.75" customHeight="1">
      <c r="A842" s="398" t="n">
        <v>17</v>
      </c>
      <c r="B842" s="238" t="n"/>
      <c r="C842" s="399" t="n">
        <v>46126</v>
      </c>
      <c r="D842" s="162" t="inlineStr">
        <is>
          <t>219 G. SAN JOSE 2</t>
        </is>
      </c>
      <c r="E842" s="162" t="n">
        <v>47363</v>
      </c>
      <c r="F842" s="162" t="inlineStr">
        <is>
          <t xml:space="preserve">SEBASTIAN HIDALGO </t>
        </is>
      </c>
      <c r="G842" s="162" t="n">
        <v>3000</v>
      </c>
      <c r="H842" s="162" t="n">
        <v>2995</v>
      </c>
      <c r="I842" s="162" t="n">
        <v>2</v>
      </c>
      <c r="J842" s="162" t="n">
        <v>5</v>
      </c>
      <c r="K842" s="162" t="n">
        <v>2</v>
      </c>
      <c r="L842" s="395" t="n">
        <v>3000</v>
      </c>
      <c r="M842" s="113" t="n"/>
      <c r="N842" s="113" t="n"/>
      <c r="O842" s="113" t="n"/>
      <c r="P842" s="398" t="n"/>
      <c r="Q842" s="398" t="n"/>
      <c r="R842" s="113" t="n"/>
      <c r="S842" s="113" t="n"/>
      <c r="T842" s="113" t="n"/>
      <c r="U842" s="113" t="n"/>
      <c r="V842" s="113" t="n"/>
    </row>
    <row r="843" ht="15.75" customHeight="1">
      <c r="A843" s="398" t="n">
        <v>17</v>
      </c>
      <c r="B843" s="238" t="n"/>
      <c r="C843" s="399" t="n">
        <v>46126</v>
      </c>
      <c r="D843" s="162" t="inlineStr">
        <is>
          <t>219 G. SAN JOSE 2</t>
        </is>
      </c>
      <c r="E843" s="162" t="n">
        <v>47364</v>
      </c>
      <c r="F843" s="162" t="inlineStr">
        <is>
          <t>HENRY ROMERO</t>
        </is>
      </c>
      <c r="G843" s="162" t="n">
        <v>3000</v>
      </c>
      <c r="H843" s="162" t="n">
        <v>3002</v>
      </c>
      <c r="I843" s="162" t="n">
        <v>2</v>
      </c>
      <c r="J843" s="162" t="n">
        <v>4</v>
      </c>
      <c r="K843" s="162" t="n">
        <v>8</v>
      </c>
      <c r="L843" s="395" t="n">
        <v>3000</v>
      </c>
      <c r="M843" s="113" t="n"/>
      <c r="N843" s="113" t="n"/>
      <c r="O843" s="113" t="n"/>
      <c r="P843" s="398" t="n"/>
      <c r="Q843" s="398" t="n"/>
      <c r="R843" s="113" t="n"/>
      <c r="S843" s="113" t="n"/>
      <c r="T843" s="113" t="n"/>
      <c r="U843" s="113" t="n"/>
      <c r="V843" s="113" t="n"/>
    </row>
    <row r="844" ht="15.75" customHeight="1">
      <c r="A844" s="398" t="n">
        <v>17</v>
      </c>
      <c r="B844" s="238" t="n"/>
      <c r="C844" s="399" t="n">
        <v>46126</v>
      </c>
      <c r="D844" s="162" t="inlineStr">
        <is>
          <t>219 G. SAN JOSE 2</t>
        </is>
      </c>
      <c r="E844" s="162" t="n">
        <v>47365</v>
      </c>
      <c r="F844" s="162" t="inlineStr">
        <is>
          <t>EDWIN ROJAS</t>
        </is>
      </c>
      <c r="G844" s="162" t="n">
        <v>3000</v>
      </c>
      <c r="H844" s="162" t="n">
        <v>3027</v>
      </c>
      <c r="I844" s="162" t="n">
        <v>8</v>
      </c>
      <c r="J844" s="162" t="n">
        <v>3</v>
      </c>
      <c r="K844" s="162" t="n">
        <v>38</v>
      </c>
      <c r="L844" s="395" t="n">
        <v>3000</v>
      </c>
      <c r="M844" s="113" t="n"/>
      <c r="N844" s="113" t="n"/>
      <c r="O844" s="113" t="n"/>
      <c r="P844" s="398" t="n"/>
      <c r="Q844" s="398" t="n"/>
      <c r="R844" s="113" t="n"/>
      <c r="S844" s="113" t="n"/>
      <c r="T844" s="113" t="n"/>
      <c r="U844" s="113" t="n"/>
      <c r="V844" s="113" t="n"/>
    </row>
    <row r="845" ht="15.75" customHeight="1">
      <c r="A845" s="398" t="n">
        <v>17</v>
      </c>
      <c r="B845" s="238" t="n"/>
      <c r="C845" s="399" t="n">
        <v>46126</v>
      </c>
      <c r="D845" s="162" t="inlineStr">
        <is>
          <t>219 G. SAN JOSE 2</t>
        </is>
      </c>
      <c r="E845" s="162" t="n">
        <v>47366</v>
      </c>
      <c r="F845" s="162" t="inlineStr">
        <is>
          <t>YAIR RIVEROS</t>
        </is>
      </c>
      <c r="G845" s="162" t="n">
        <v>3000</v>
      </c>
      <c r="H845" s="162" t="n">
        <v>3008</v>
      </c>
      <c r="I845" s="162" t="n">
        <v>6</v>
      </c>
      <c r="J845" s="162" t="n">
        <v>3</v>
      </c>
      <c r="K845" s="162" t="n">
        <v>17</v>
      </c>
      <c r="L845" s="395" t="n">
        <v>3000</v>
      </c>
      <c r="M845" s="113" t="n"/>
      <c r="N845" s="113" t="n"/>
      <c r="O845" s="113" t="n"/>
      <c r="P845" s="398" t="n"/>
      <c r="Q845" s="398" t="n"/>
      <c r="R845" s="113" t="n"/>
      <c r="S845" s="113" t="n"/>
      <c r="T845" s="113" t="n"/>
      <c r="U845" s="113" t="n"/>
      <c r="V845" s="113" t="n"/>
    </row>
    <row r="846" ht="15.75" customHeight="1">
      <c r="A846" s="398" t="n">
        <v>17</v>
      </c>
      <c r="B846" s="238" t="n"/>
      <c r="C846" s="527" t="n">
        <v>46126</v>
      </c>
      <c r="D846" s="398" t="inlineStr">
        <is>
          <t>219 G. SAN JOSE 2</t>
        </is>
      </c>
      <c r="E846" s="398" t="n">
        <v>47367</v>
      </c>
      <c r="F846" s="398" t="inlineStr">
        <is>
          <t>WILMER PIÑEROS</t>
        </is>
      </c>
      <c r="G846" s="494" t="n">
        <v>3200</v>
      </c>
      <c r="H846" s="494" t="n">
        <v>3201</v>
      </c>
      <c r="I846" s="494" t="n">
        <v>5</v>
      </c>
      <c r="J846" s="494" t="n">
        <v>4</v>
      </c>
      <c r="K846" s="494" t="n">
        <v>10</v>
      </c>
      <c r="L846" s="494" t="n">
        <v>3200</v>
      </c>
      <c r="M846" s="113" t="n"/>
      <c r="N846" s="113" t="n"/>
      <c r="O846" s="113" t="n"/>
      <c r="P846" s="398" t="n"/>
      <c r="Q846" s="398" t="n"/>
      <c r="R846" s="113" t="n"/>
      <c r="S846" s="113" t="n"/>
      <c r="T846" s="113" t="n"/>
      <c r="U846" s="113" t="n"/>
      <c r="V846" s="113" t="n"/>
    </row>
    <row r="847" ht="15.75" customHeight="1">
      <c r="A847" s="398" t="n">
        <v>17</v>
      </c>
      <c r="B847" s="238" t="n"/>
      <c r="C847" s="399" t="n">
        <v>46126</v>
      </c>
      <c r="D847" s="162" t="inlineStr">
        <is>
          <t>219 G. SAN JOSE 2</t>
        </is>
      </c>
      <c r="E847" s="162" t="n">
        <v>47368</v>
      </c>
      <c r="F847" s="162" t="inlineStr">
        <is>
          <t>JOSE SOLER</t>
        </is>
      </c>
      <c r="G847" s="162" t="n">
        <v>3200</v>
      </c>
      <c r="H847" s="162" t="n">
        <v>3168</v>
      </c>
      <c r="I847" s="162" t="n">
        <v>3</v>
      </c>
      <c r="J847" s="162" t="n">
        <v>2</v>
      </c>
      <c r="K847" s="162" t="n">
        <v>-27</v>
      </c>
      <c r="L847" s="395" t="n">
        <v>3200</v>
      </c>
      <c r="M847" s="113" t="n"/>
      <c r="N847" s="113" t="n"/>
      <c r="O847" s="113" t="n"/>
      <c r="P847" s="398" t="n"/>
      <c r="Q847" s="398" t="n"/>
      <c r="R847" s="113" t="n"/>
      <c r="S847" s="113" t="n"/>
      <c r="T847" s="113" t="n"/>
      <c r="U847" s="113" t="n"/>
      <c r="V847" s="113" t="n"/>
    </row>
    <row r="848" ht="15.75" customHeight="1">
      <c r="A848" s="398" t="n">
        <v>17</v>
      </c>
      <c r="B848" s="238" t="n"/>
      <c r="C848" s="399" t="n">
        <v>46127</v>
      </c>
      <c r="D848" s="162" t="inlineStr">
        <is>
          <t>219 G. SAN JOSE 2</t>
        </is>
      </c>
      <c r="E848" s="162" t="n">
        <v>47377</v>
      </c>
      <c r="F848" s="162" t="inlineStr">
        <is>
          <t>DUMAR ANGARITA</t>
        </is>
      </c>
      <c r="G848" s="162" t="n">
        <v>3050</v>
      </c>
      <c r="H848" s="162" t="n">
        <v>3045</v>
      </c>
      <c r="I848" s="162" t="n">
        <v>3</v>
      </c>
      <c r="J848" s="162" t="n">
        <v>2</v>
      </c>
      <c r="K848" s="162" t="n">
        <v>0</v>
      </c>
      <c r="L848" s="395" t="n">
        <v>3050</v>
      </c>
      <c r="M848" s="113" t="n"/>
      <c r="N848" s="113" t="n"/>
      <c r="O848" s="113" t="n"/>
      <c r="P848" s="398" t="n"/>
      <c r="Q848" s="398" t="n"/>
      <c r="R848" s="113" t="n"/>
      <c r="S848" s="113" t="n"/>
      <c r="T848" s="113" t="n"/>
      <c r="U848" s="113" t="n"/>
      <c r="V848" s="113" t="n"/>
    </row>
    <row r="849" ht="15.75" customHeight="1">
      <c r="A849" s="398" t="n">
        <v>17</v>
      </c>
      <c r="B849" s="238" t="n"/>
      <c r="C849" s="399" t="n">
        <v>46127</v>
      </c>
      <c r="D849" s="162" t="inlineStr">
        <is>
          <t>219 G. SAN JOSE 2</t>
        </is>
      </c>
      <c r="E849" s="162" t="n">
        <v>47378</v>
      </c>
      <c r="F849" s="162" t="inlineStr">
        <is>
          <t>JOSE SOLER</t>
        </is>
      </c>
      <c r="G849" s="162" t="n">
        <v>3050</v>
      </c>
      <c r="H849" s="162" t="n">
        <v>3045</v>
      </c>
      <c r="I849" s="162" t="n">
        <v>3</v>
      </c>
      <c r="J849" s="162" t="n">
        <v>3</v>
      </c>
      <c r="K849" s="162" t="n">
        <v>1</v>
      </c>
      <c r="L849" s="395" t="n">
        <v>3050</v>
      </c>
      <c r="M849" s="113" t="n"/>
      <c r="N849" s="113" t="n"/>
      <c r="O849" s="113" t="n"/>
      <c r="P849" s="398" t="n"/>
      <c r="Q849" s="398" t="n"/>
      <c r="R849" s="113" t="n"/>
      <c r="S849" s="113" t="n"/>
      <c r="T849" s="113" t="n"/>
      <c r="U849" s="113" t="n"/>
      <c r="V849" s="113" t="n"/>
    </row>
    <row r="850" ht="15.75" customHeight="1">
      <c r="A850" s="398" t="n">
        <v>17</v>
      </c>
      <c r="B850" s="238" t="n"/>
      <c r="C850" s="399" t="n">
        <v>46127</v>
      </c>
      <c r="D850" s="162" t="inlineStr">
        <is>
          <t>219 G. SAN JOSE 2</t>
        </is>
      </c>
      <c r="E850" s="162" t="n">
        <v>47379</v>
      </c>
      <c r="F850" s="162" t="inlineStr">
        <is>
          <t>FABIO ALDANA</t>
        </is>
      </c>
      <c r="G850" s="162" t="n">
        <v>3050</v>
      </c>
      <c r="H850" s="162" t="n">
        <v>3051</v>
      </c>
      <c r="I850" s="162" t="n">
        <v>1</v>
      </c>
      <c r="J850" s="162" t="n">
        <v>0</v>
      </c>
      <c r="K850" s="162" t="n">
        <v>2</v>
      </c>
      <c r="L850" s="395" t="n">
        <v>3050</v>
      </c>
      <c r="M850" s="113" t="n"/>
      <c r="N850" s="113" t="n"/>
      <c r="O850" s="113" t="n"/>
      <c r="P850" s="398" t="n"/>
      <c r="Q850" s="398" t="n"/>
      <c r="R850" s="113" t="n"/>
      <c r="S850" s="113" t="n"/>
      <c r="T850" s="113" t="n"/>
      <c r="U850" s="113" t="n"/>
      <c r="V850" s="113" t="n"/>
    </row>
    <row r="851" ht="15.75" customHeight="1">
      <c r="A851" s="398" t="n">
        <v>17</v>
      </c>
      <c r="B851" s="238" t="n"/>
      <c r="C851" s="399" t="n">
        <v>46127</v>
      </c>
      <c r="D851" s="162" t="inlineStr">
        <is>
          <t>219 G. SAN JOSE 2</t>
        </is>
      </c>
      <c r="E851" s="162" t="n">
        <v>47380</v>
      </c>
      <c r="F851" s="162" t="inlineStr">
        <is>
          <t>WILMER PIÑEROS</t>
        </is>
      </c>
      <c r="G851" s="162" t="n">
        <v>3050</v>
      </c>
      <c r="H851" s="162" t="n">
        <v>3048</v>
      </c>
      <c r="I851" s="162" t="n">
        <v>1</v>
      </c>
      <c r="J851" s="162" t="n">
        <v>1</v>
      </c>
      <c r="K851" s="162" t="n">
        <v>0</v>
      </c>
      <c r="L851" s="395" t="n">
        <v>3050</v>
      </c>
      <c r="M851" s="113" t="n"/>
      <c r="N851" s="113" t="n"/>
      <c r="O851" s="113" t="n"/>
      <c r="P851" s="398" t="n"/>
      <c r="Q851" s="398" t="n"/>
      <c r="R851" s="113" t="n"/>
      <c r="S851" s="113" t="n"/>
      <c r="T851" s="113" t="n"/>
      <c r="U851" s="113" t="n"/>
      <c r="V851" s="113" t="n"/>
    </row>
    <row r="852" ht="15.75" customHeight="1">
      <c r="A852" s="398" t="n">
        <v>17</v>
      </c>
      <c r="B852" s="238" t="n"/>
      <c r="C852" s="399" t="n">
        <v>46127</v>
      </c>
      <c r="D852" s="162" t="inlineStr">
        <is>
          <t>219 G. SAN JOSE 2</t>
        </is>
      </c>
      <c r="E852" s="162" t="n">
        <v>47381</v>
      </c>
      <c r="F852" s="162" t="inlineStr">
        <is>
          <t xml:space="preserve">ROBINSON PULIDO </t>
        </is>
      </c>
      <c r="G852" s="162" t="n">
        <v>3120</v>
      </c>
      <c r="H852" s="162" t="n">
        <v>3102</v>
      </c>
      <c r="I852" s="162" t="n">
        <v>2</v>
      </c>
      <c r="J852" s="162" t="n">
        <v>2</v>
      </c>
      <c r="K852" s="162" t="n">
        <v>-14</v>
      </c>
      <c r="L852" s="395" t="n">
        <v>3050</v>
      </c>
      <c r="M852" s="113" t="n"/>
      <c r="N852" s="113" t="n"/>
      <c r="O852" s="113" t="n"/>
      <c r="P852" s="398" t="n"/>
      <c r="Q852" s="398" t="n"/>
      <c r="R852" s="113" t="n"/>
      <c r="S852" s="113" t="n"/>
      <c r="T852" s="113" t="n"/>
      <c r="U852" s="113" t="n"/>
      <c r="V852" s="113" t="n"/>
    </row>
    <row r="853" ht="15.75" customHeight="1">
      <c r="A853" s="398" t="n">
        <v>17</v>
      </c>
      <c r="B853" s="238" t="n"/>
      <c r="C853" s="399" t="n">
        <v>46127</v>
      </c>
      <c r="D853" s="162" t="inlineStr">
        <is>
          <t>219 G. SAN JOSE 2</t>
        </is>
      </c>
      <c r="E853" s="162" t="n">
        <v>47382</v>
      </c>
      <c r="F853" s="162" t="inlineStr">
        <is>
          <t>JAIRO CUBILLOS</t>
        </is>
      </c>
      <c r="G853" s="162" t="n">
        <v>3050</v>
      </c>
      <c r="H853" s="162" t="n">
        <v>3046</v>
      </c>
      <c r="I853" s="162" t="n">
        <v>2</v>
      </c>
      <c r="J853" s="162" t="n">
        <v>2</v>
      </c>
      <c r="K853" s="162" t="n">
        <v>0</v>
      </c>
      <c r="L853" s="395" t="n">
        <v>3050</v>
      </c>
      <c r="M853" s="113" t="n"/>
      <c r="N853" s="113" t="n"/>
      <c r="O853" s="113" t="n"/>
      <c r="P853" s="398" t="n"/>
      <c r="Q853" s="398" t="n"/>
      <c r="R853" s="113" t="n"/>
      <c r="S853" s="113" t="n"/>
      <c r="T853" s="113" t="n"/>
      <c r="U853" s="113" t="n"/>
      <c r="V853" s="113" t="n"/>
    </row>
    <row r="854" ht="15.75" customHeight="1">
      <c r="A854" s="398" t="n">
        <v>17</v>
      </c>
      <c r="B854" s="238" t="n"/>
      <c r="C854" s="399" t="n">
        <v>46127</v>
      </c>
      <c r="D854" s="162" t="inlineStr">
        <is>
          <t>219 G. SAN JOSE 2</t>
        </is>
      </c>
      <c r="E854" s="162" t="n">
        <v>47383</v>
      </c>
      <c r="F854" s="162" t="inlineStr">
        <is>
          <t>YAIR RIVEROS</t>
        </is>
      </c>
      <c r="G854" s="162" t="n">
        <v>3050</v>
      </c>
      <c r="H854" s="162" t="n">
        <v>3039</v>
      </c>
      <c r="I854" s="162" t="n">
        <v>3</v>
      </c>
      <c r="J854" s="162" t="n">
        <v>2</v>
      </c>
      <c r="K854" s="162" t="n">
        <v>-6</v>
      </c>
      <c r="L854" s="395" t="n">
        <v>3347</v>
      </c>
      <c r="M854" s="113" t="n"/>
      <c r="N854" s="113" t="n"/>
      <c r="O854" s="113" t="n"/>
      <c r="P854" s="398" t="n"/>
      <c r="Q854" s="398" t="n"/>
      <c r="R854" s="113" t="n"/>
      <c r="S854" s="113" t="n"/>
      <c r="T854" s="113" t="n"/>
      <c r="U854" s="113" t="n"/>
      <c r="V854" s="113" t="n"/>
    </row>
    <row r="855" ht="15.75" customHeight="1">
      <c r="A855" s="398" t="n">
        <v>17</v>
      </c>
      <c r="B855" s="238" t="n"/>
      <c r="C855" s="399" t="n">
        <v>46127</v>
      </c>
      <c r="D855" s="162" t="inlineStr">
        <is>
          <t>219 G. SAN JOSE 2</t>
        </is>
      </c>
      <c r="E855" s="162" t="n">
        <v>47384</v>
      </c>
      <c r="F855" s="162" t="inlineStr">
        <is>
          <t>JHON ARIAS</t>
        </is>
      </c>
      <c r="G855" s="162" t="n">
        <v>3347</v>
      </c>
      <c r="H855" s="162" t="n">
        <v>3344</v>
      </c>
      <c r="I855" s="162" t="n">
        <v>2</v>
      </c>
      <c r="J855" s="162" t="n">
        <v>0</v>
      </c>
      <c r="K855" s="162" t="n">
        <v>-1</v>
      </c>
      <c r="L855" s="395" t="n">
        <v>3347</v>
      </c>
      <c r="M855" s="113" t="n"/>
      <c r="N855" s="113" t="n"/>
      <c r="O855" s="113" t="n"/>
      <c r="P855" s="398" t="n"/>
      <c r="Q855" s="398" t="n"/>
      <c r="R855" s="113" t="n"/>
      <c r="S855" s="113" t="n"/>
      <c r="T855" s="113" t="n"/>
      <c r="U855" s="113" t="n"/>
      <c r="V855" s="113" t="n"/>
    </row>
    <row r="856" ht="15.75" customHeight="1">
      <c r="A856" s="398" t="n">
        <v>17</v>
      </c>
      <c r="B856" s="238" t="n"/>
      <c r="C856" s="399" t="n">
        <v>46127</v>
      </c>
      <c r="D856" s="162" t="inlineStr">
        <is>
          <t>219 G. SAN JOSE 2</t>
        </is>
      </c>
      <c r="E856" s="162" t="n">
        <v>47385</v>
      </c>
      <c r="F856" s="162" t="inlineStr">
        <is>
          <t>EDUAN CAVIEDES</t>
        </is>
      </c>
      <c r="G856" s="162" t="n">
        <v>3347</v>
      </c>
      <c r="H856" s="162" t="n">
        <v>3342</v>
      </c>
      <c r="I856" s="162" t="n">
        <v>3</v>
      </c>
      <c r="J856" s="162" t="n">
        <v>3</v>
      </c>
      <c r="K856" s="162" t="n">
        <v>1</v>
      </c>
      <c r="L856" s="395" t="n">
        <v>3347</v>
      </c>
      <c r="M856" s="113" t="n"/>
      <c r="N856" s="113" t="n"/>
      <c r="O856" s="113" t="n"/>
      <c r="P856" s="398" t="n"/>
      <c r="Q856" s="398" t="n"/>
      <c r="R856" s="113" t="n"/>
      <c r="S856" s="113" t="n"/>
      <c r="T856" s="113" t="n"/>
      <c r="U856" s="113" t="n"/>
      <c r="V856" s="113" t="n"/>
    </row>
    <row r="857" ht="15.75" customHeight="1">
      <c r="A857" s="398" t="n">
        <v>17</v>
      </c>
      <c r="B857" s="238" t="n"/>
      <c r="C857" s="399" t="n">
        <v>46127</v>
      </c>
      <c r="D857" s="162" t="inlineStr">
        <is>
          <t>219 G. SAN JOSE 2</t>
        </is>
      </c>
      <c r="E857" s="162" t="n">
        <v>47386</v>
      </c>
      <c r="F857" s="162" t="inlineStr">
        <is>
          <t>ALBERTO LOPEZ</t>
        </is>
      </c>
      <c r="G857" s="162" t="n">
        <v>3347</v>
      </c>
      <c r="H857" s="162" t="n">
        <v>3337</v>
      </c>
      <c r="I857" s="162" t="n">
        <v>4</v>
      </c>
      <c r="J857" s="162" t="n">
        <v>5</v>
      </c>
      <c r="K857" s="162" t="n">
        <v>-1</v>
      </c>
      <c r="L857" s="395" t="n">
        <v>3130</v>
      </c>
      <c r="M857" s="113" t="n"/>
      <c r="N857" s="113" t="n"/>
      <c r="O857" s="113" t="n"/>
      <c r="P857" s="398" t="n"/>
      <c r="Q857" s="398" t="n"/>
      <c r="R857" s="113" t="n"/>
      <c r="S857" s="113" t="n"/>
      <c r="T857" s="113" t="n"/>
      <c r="U857" s="113" t="n"/>
      <c r="V857" s="113" t="n"/>
    </row>
    <row r="858" ht="15.75" customHeight="1">
      <c r="A858" s="398" t="n">
        <v>17</v>
      </c>
      <c r="B858" s="238" t="n"/>
      <c r="C858" s="399" t="n">
        <v>46127</v>
      </c>
      <c r="D858" s="162" t="inlineStr">
        <is>
          <t>219 G. SAN JOSE 2</t>
        </is>
      </c>
      <c r="E858" s="162" t="n">
        <v>47387</v>
      </c>
      <c r="F858" s="162" t="inlineStr">
        <is>
          <t>ALEX GOMEZ</t>
        </is>
      </c>
      <c r="G858" s="162" t="n">
        <v>3120</v>
      </c>
      <c r="H858" s="162" t="n">
        <v>3108</v>
      </c>
      <c r="I858" s="162" t="n">
        <v>6</v>
      </c>
      <c r="J858" s="162" t="n">
        <v>2</v>
      </c>
      <c r="K858" s="162" t="n">
        <v>-4</v>
      </c>
      <c r="L858" s="395" t="n">
        <v>3130</v>
      </c>
      <c r="M858" s="113" t="n"/>
      <c r="N858" s="113" t="n"/>
      <c r="O858" s="113" t="n"/>
      <c r="P858" s="398" t="n"/>
      <c r="Q858" s="398" t="n"/>
      <c r="R858" s="113" t="n"/>
      <c r="S858" s="113" t="n"/>
      <c r="T858" s="113" t="n"/>
      <c r="U858" s="113" t="n"/>
      <c r="V858" s="113" t="n"/>
    </row>
    <row r="859" ht="15.75" customHeight="1">
      <c r="A859" s="398" t="n">
        <v>17</v>
      </c>
      <c r="B859" s="238" t="n"/>
      <c r="C859" s="399" t="n">
        <v>46127</v>
      </c>
      <c r="D859" s="162" t="inlineStr">
        <is>
          <t>219 G. SAN JOSE 2</t>
        </is>
      </c>
      <c r="E859" s="162" t="n">
        <v>47388</v>
      </c>
      <c r="F859" s="162" t="inlineStr">
        <is>
          <t>EDWIN ROJAS</t>
        </is>
      </c>
      <c r="G859" s="162" t="n">
        <v>3120</v>
      </c>
      <c r="H859" s="162" t="n">
        <v>3107</v>
      </c>
      <c r="I859" s="162" t="n">
        <v>4</v>
      </c>
      <c r="J859" s="162" t="n">
        <v>3</v>
      </c>
      <c r="K859" s="162" t="n">
        <v>-6</v>
      </c>
      <c r="L859" s="395" t="n">
        <v>3130</v>
      </c>
      <c r="M859" s="113" t="n"/>
      <c r="N859" s="113" t="n"/>
      <c r="O859" s="113" t="n"/>
      <c r="P859" s="398" t="n"/>
      <c r="Q859" s="398" t="n"/>
      <c r="R859" s="113" t="n"/>
      <c r="S859" s="113" t="n"/>
      <c r="T859" s="113" t="n"/>
      <c r="U859" s="113" t="n"/>
      <c r="V859" s="113" t="n"/>
    </row>
    <row r="860" ht="15.75" customHeight="1">
      <c r="A860" s="398" t="n">
        <v>17</v>
      </c>
      <c r="B860" s="238" t="n"/>
      <c r="C860" s="399" t="n">
        <v>46127</v>
      </c>
      <c r="D860" s="162" t="inlineStr">
        <is>
          <t>219 G. SAN JOSE 2</t>
        </is>
      </c>
      <c r="E860" s="162" t="n">
        <v>47389</v>
      </c>
      <c r="F860" s="162" t="inlineStr">
        <is>
          <t xml:space="preserve">SEBASTIAN HIDALGO </t>
        </is>
      </c>
      <c r="G860" s="162" t="n">
        <v>3120</v>
      </c>
      <c r="H860" s="162" t="n">
        <v>3106</v>
      </c>
      <c r="I860" s="162" t="n">
        <v>8</v>
      </c>
      <c r="J860" s="162" t="n">
        <v>0</v>
      </c>
      <c r="K860" s="162" t="n">
        <v>-6</v>
      </c>
      <c r="L860" s="395" t="n">
        <v>3130</v>
      </c>
      <c r="M860" s="113" t="n"/>
      <c r="N860" s="113" t="n"/>
      <c r="O860" s="113" t="n"/>
      <c r="P860" s="398" t="n"/>
      <c r="Q860" s="398" t="n"/>
      <c r="R860" s="113" t="n"/>
      <c r="S860" s="113" t="n"/>
      <c r="T860" s="113" t="n"/>
      <c r="U860" s="113" t="n"/>
      <c r="V860" s="113" t="n"/>
    </row>
    <row r="861" ht="15.75" customHeight="1">
      <c r="A861" s="398" t="n">
        <v>17</v>
      </c>
      <c r="B861" s="238" t="n"/>
      <c r="C861" s="399" t="n">
        <v>46128</v>
      </c>
      <c r="D861" s="162" t="inlineStr">
        <is>
          <t>221 G. MALAGUEÑA</t>
        </is>
      </c>
      <c r="E861" s="162" t="n">
        <v>47397</v>
      </c>
      <c r="F861" s="162" t="inlineStr">
        <is>
          <t>DIEGO NIÑO</t>
        </is>
      </c>
      <c r="G861" s="162" t="n">
        <v>3510</v>
      </c>
      <c r="H861" s="162" t="n">
        <v>3489</v>
      </c>
      <c r="I861" s="162" t="n">
        <v>3</v>
      </c>
      <c r="J861" s="162" t="n">
        <v>17</v>
      </c>
      <c r="K861" s="162" t="n">
        <v>-1</v>
      </c>
      <c r="L861" s="395" t="n">
        <v>3510</v>
      </c>
      <c r="M861" s="113" t="n"/>
      <c r="N861" s="113" t="n"/>
      <c r="O861" s="113" t="n"/>
      <c r="P861" s="398" t="n"/>
      <c r="Q861" s="398" t="n"/>
      <c r="R861" s="113" t="n"/>
      <c r="S861" s="113" t="n"/>
      <c r="T861" s="113" t="n"/>
      <c r="U861" s="113" t="n"/>
      <c r="V861" s="113" t="n"/>
    </row>
    <row r="862" ht="15.75" customHeight="1">
      <c r="A862" s="398" t="n">
        <v>17</v>
      </c>
      <c r="B862" s="238" t="n"/>
      <c r="C862" s="399" t="n">
        <v>46128</v>
      </c>
      <c r="D862" s="162" t="inlineStr">
        <is>
          <t>221 G. MALAGUEÑA</t>
        </is>
      </c>
      <c r="E862" s="162" t="n">
        <v>47398</v>
      </c>
      <c r="F862" s="162" t="inlineStr">
        <is>
          <t>JHON ARIAS</t>
        </is>
      </c>
      <c r="G862" s="162" t="n">
        <v>3512</v>
      </c>
      <c r="H862" s="162" t="n">
        <v>3494</v>
      </c>
      <c r="I862" s="162" t="n">
        <v>2</v>
      </c>
      <c r="J862" s="162" t="n">
        <v>14</v>
      </c>
      <c r="K862" s="162" t="n">
        <v>-2</v>
      </c>
      <c r="L862" s="395" t="n">
        <v>3510</v>
      </c>
      <c r="M862" s="113" t="n"/>
      <c r="N862" s="113" t="n"/>
      <c r="O862" s="113" t="n"/>
      <c r="P862" s="398" t="n"/>
      <c r="Q862" s="398" t="n"/>
      <c r="R862" s="113" t="n"/>
      <c r="S862" s="113" t="n"/>
      <c r="T862" s="113" t="n"/>
      <c r="U862" s="113" t="n"/>
      <c r="V862" s="113" t="n"/>
    </row>
    <row r="863" ht="15.75" customHeight="1">
      <c r="A863" s="398" t="n">
        <v>17</v>
      </c>
      <c r="B863" s="238" t="n"/>
      <c r="C863" s="399" t="n">
        <v>46128</v>
      </c>
      <c r="D863" s="162" t="inlineStr">
        <is>
          <t>221 G. MALAGUEÑA</t>
        </is>
      </c>
      <c r="E863" s="162" t="n">
        <v>47399</v>
      </c>
      <c r="F863" s="162" t="inlineStr">
        <is>
          <t>EDUAN CAVIEDES</t>
        </is>
      </c>
      <c r="G863" s="162" t="n">
        <v>3512</v>
      </c>
      <c r="H863" s="162" t="n">
        <v>3491</v>
      </c>
      <c r="I863" s="162" t="n">
        <v>4</v>
      </c>
      <c r="J863" s="162" t="n">
        <v>15</v>
      </c>
      <c r="K863" s="162" t="n">
        <v>-2</v>
      </c>
      <c r="L863" s="395" t="n">
        <v>3510</v>
      </c>
      <c r="M863" s="113" t="n"/>
      <c r="N863" s="113" t="n"/>
      <c r="O863" s="113" t="n"/>
      <c r="P863" s="398" t="n"/>
      <c r="Q863" s="398" t="n"/>
      <c r="R863" s="113" t="n"/>
      <c r="S863" s="113" t="n"/>
      <c r="T863" s="113" t="n"/>
      <c r="U863" s="113" t="n"/>
      <c r="V863" s="113" t="n"/>
    </row>
    <row r="864" ht="15.75" customHeight="1">
      <c r="A864" s="398" t="n">
        <v>17</v>
      </c>
      <c r="B864" s="238" t="n"/>
      <c r="C864" s="399" t="n">
        <v>46128</v>
      </c>
      <c r="D864" s="162" t="inlineStr">
        <is>
          <t>221 G. MALAGUEÑA</t>
        </is>
      </c>
      <c r="E864" s="162" t="n">
        <v>47400</v>
      </c>
      <c r="F864" s="162" t="inlineStr">
        <is>
          <t xml:space="preserve">SEBASTIAN HIDALGO </t>
        </is>
      </c>
      <c r="G864" s="162" t="n">
        <v>3512</v>
      </c>
      <c r="H864" s="162" t="n">
        <v>3499</v>
      </c>
      <c r="I864" s="162" t="n">
        <v>3</v>
      </c>
      <c r="J864" s="162" t="n">
        <v>9</v>
      </c>
      <c r="K864" s="162" t="n">
        <v>-1</v>
      </c>
      <c r="L864" s="395" t="n">
        <v>3510</v>
      </c>
      <c r="M864" s="113" t="n"/>
      <c r="N864" s="113" t="n"/>
      <c r="O864" s="113" t="n"/>
      <c r="P864" s="398" t="n"/>
      <c r="Q864" s="398" t="n"/>
      <c r="R864" s="113" t="n"/>
      <c r="S864" s="113" t="n"/>
      <c r="T864" s="113" t="n"/>
      <c r="U864" s="113" t="n"/>
      <c r="V864" s="113" t="n"/>
    </row>
    <row r="865" ht="15.75" customHeight="1">
      <c r="A865" s="398" t="n">
        <v>17</v>
      </c>
      <c r="B865" s="238" t="n"/>
      <c r="C865" s="399" t="n">
        <v>46128</v>
      </c>
      <c r="D865" s="146" t="inlineStr">
        <is>
          <t>221 G. MALAGUEÑA</t>
        </is>
      </c>
      <c r="E865" s="146" t="n">
        <v>47401</v>
      </c>
      <c r="F865" s="146" t="inlineStr">
        <is>
          <t>MANUEL QUITIAN</t>
        </is>
      </c>
      <c r="G865" s="395" t="n">
        <v>2500</v>
      </c>
      <c r="H865" s="395" t="n">
        <v>2499</v>
      </c>
      <c r="I865" s="395" t="n">
        <v>2</v>
      </c>
      <c r="J865" s="395" t="n">
        <v>3</v>
      </c>
      <c r="K865" s="395" t="n">
        <v>4</v>
      </c>
      <c r="L865" s="395" t="n">
        <v>2500</v>
      </c>
      <c r="M865" s="113" t="n"/>
      <c r="N865" s="113" t="n"/>
      <c r="O865" s="113" t="n"/>
      <c r="P865" s="398" t="n"/>
      <c r="Q865" s="398" t="n"/>
      <c r="R865" s="113" t="n"/>
      <c r="S865" s="113" t="n"/>
      <c r="T865" s="113" t="n"/>
      <c r="U865" s="113" t="n"/>
      <c r="V865" s="113" t="n"/>
    </row>
    <row r="866" ht="15.75" customHeight="1">
      <c r="A866" s="398" t="n">
        <v>17</v>
      </c>
      <c r="B866" s="238" t="n"/>
      <c r="C866" s="527" t="n">
        <v>46128</v>
      </c>
      <c r="D866" s="398" t="inlineStr">
        <is>
          <t>221 G. MALAGUEÑA</t>
        </is>
      </c>
      <c r="E866" s="398" t="n">
        <v>47402</v>
      </c>
      <c r="F866" s="398" t="inlineStr">
        <is>
          <t>ALEX GOMEZ</t>
        </is>
      </c>
      <c r="G866" s="494" t="n">
        <v>2950</v>
      </c>
      <c r="H866" s="494" t="n">
        <v>2948</v>
      </c>
      <c r="I866" s="494" t="n">
        <v>4</v>
      </c>
      <c r="J866" s="494" t="n">
        <v>5</v>
      </c>
      <c r="K866" s="494" t="n">
        <v>7</v>
      </c>
      <c r="L866" s="395" t="n">
        <v>2500</v>
      </c>
      <c r="M866" s="113" t="n"/>
      <c r="N866" s="113" t="n"/>
      <c r="O866" s="113" t="n"/>
      <c r="P866" s="398" t="n"/>
      <c r="Q866" s="398" t="n"/>
      <c r="R866" s="113" t="n"/>
      <c r="S866" s="113" t="n"/>
      <c r="T866" s="113" t="n"/>
      <c r="U866" s="113" t="n"/>
      <c r="V866" s="113" t="n"/>
    </row>
    <row r="867" ht="15.75" customHeight="1">
      <c r="A867" s="398" t="n">
        <v>17</v>
      </c>
      <c r="B867" s="238" t="n"/>
      <c r="C867" s="527" t="n">
        <v>46128</v>
      </c>
      <c r="D867" s="398" t="inlineStr">
        <is>
          <t>221 G. MALAGUEÑA</t>
        </is>
      </c>
      <c r="E867" s="398" t="n">
        <v>47403</v>
      </c>
      <c r="F867" s="398" t="inlineStr">
        <is>
          <t xml:space="preserve">ROBINSON PULIDO </t>
        </is>
      </c>
      <c r="G867" s="494" t="n">
        <v>2500</v>
      </c>
      <c r="H867" s="494" t="n">
        <v>2501</v>
      </c>
      <c r="I867" s="494" t="n">
        <v>3</v>
      </c>
      <c r="J867" s="494" t="n">
        <v>2</v>
      </c>
      <c r="K867" s="494" t="n">
        <v>6</v>
      </c>
      <c r="L867" s="395" t="n">
        <v>2950</v>
      </c>
      <c r="M867" s="113" t="n"/>
      <c r="N867" s="113" t="n"/>
      <c r="O867" s="113" t="n"/>
      <c r="P867" s="398" t="n"/>
      <c r="Q867" s="398" t="n"/>
      <c r="R867" s="113" t="n"/>
      <c r="S867" s="113" t="n"/>
      <c r="T867" s="113" t="n"/>
      <c r="U867" s="113" t="n"/>
      <c r="V867" s="113" t="n"/>
    </row>
    <row r="868" ht="15.75" customHeight="1">
      <c r="A868" s="398" t="n">
        <v>17</v>
      </c>
      <c r="B868" s="238" t="n"/>
      <c r="C868" s="527" t="n">
        <v>46128</v>
      </c>
      <c r="D868" s="398" t="inlineStr">
        <is>
          <t>219 G. SAN JOSE 2</t>
        </is>
      </c>
      <c r="E868" s="398" t="n">
        <v>47411</v>
      </c>
      <c r="F868" s="398" t="inlineStr">
        <is>
          <t>WILMER PIÑEROS</t>
        </is>
      </c>
      <c r="G868" s="494" t="n">
        <v>2780</v>
      </c>
      <c r="H868" s="494" t="n">
        <v>2768</v>
      </c>
      <c r="I868" s="494" t="n">
        <v>4</v>
      </c>
      <c r="J868" s="494" t="n">
        <v>2</v>
      </c>
      <c r="K868" s="494" t="n">
        <v>-6</v>
      </c>
      <c r="L868" s="395" t="n">
        <v>2770</v>
      </c>
      <c r="M868" s="113" t="n"/>
      <c r="N868" s="113" t="n"/>
      <c r="O868" s="395" t="n"/>
      <c r="P868" s="494" t="n"/>
      <c r="Q868" s="398" t="n"/>
      <c r="R868" s="113" t="n"/>
      <c r="S868" s="113" t="n"/>
      <c r="T868" s="113" t="n"/>
      <c r="U868" s="113" t="n"/>
      <c r="V868" s="113" t="n"/>
    </row>
    <row r="869" ht="15.75" customHeight="1">
      <c r="A869" s="398" t="n">
        <v>17</v>
      </c>
      <c r="B869" s="238" t="n"/>
      <c r="C869" s="527" t="n">
        <v>46128</v>
      </c>
      <c r="D869" s="398" t="inlineStr">
        <is>
          <t>219 G. SAN JOSE 2</t>
        </is>
      </c>
      <c r="E869" s="398" t="n">
        <v>47412</v>
      </c>
      <c r="F869" s="398" t="inlineStr">
        <is>
          <t>HENRY ROMERO</t>
        </is>
      </c>
      <c r="G869" s="494" t="n">
        <v>2780</v>
      </c>
      <c r="H869" s="494" t="n">
        <v>2759</v>
      </c>
      <c r="I869" s="494" t="n">
        <v>3</v>
      </c>
      <c r="J869" s="494" t="n">
        <v>1</v>
      </c>
      <c r="K869" s="494" t="n">
        <v>-17</v>
      </c>
      <c r="L869" s="395" t="n">
        <v>2770</v>
      </c>
      <c r="M869" s="113" t="n"/>
      <c r="N869" s="113" t="n"/>
      <c r="O869" s="113" t="n"/>
      <c r="P869" s="398" t="n"/>
      <c r="Q869" s="398" t="n"/>
      <c r="R869" s="113" t="n"/>
      <c r="S869" s="113" t="n"/>
      <c r="T869" s="113" t="n"/>
      <c r="U869" s="113" t="n"/>
      <c r="V869" s="113" t="n"/>
    </row>
    <row r="870" ht="15.75" customHeight="1">
      <c r="A870" s="398" t="n">
        <v>17</v>
      </c>
      <c r="B870" s="238" t="n"/>
      <c r="C870" s="527" t="n">
        <v>46128</v>
      </c>
      <c r="D870" s="398" t="inlineStr">
        <is>
          <t>219 G. SAN JOSE 2</t>
        </is>
      </c>
      <c r="E870" s="398" t="n">
        <v>47413</v>
      </c>
      <c r="F870" s="398" t="inlineStr">
        <is>
          <t>DIEGO NIÑO</t>
        </is>
      </c>
      <c r="G870" s="494" t="n">
        <v>2780</v>
      </c>
      <c r="H870" s="494" t="n">
        <v>2773</v>
      </c>
      <c r="I870" s="494" t="n">
        <v>2</v>
      </c>
      <c r="J870" s="494" t="n">
        <v>2</v>
      </c>
      <c r="K870" s="494" t="n">
        <v>-3</v>
      </c>
      <c r="L870" s="395" t="n">
        <v>2770</v>
      </c>
      <c r="M870" s="113" t="n"/>
      <c r="N870" s="113" t="n"/>
      <c r="O870" s="113" t="n"/>
      <c r="P870" s="398" t="n"/>
      <c r="Q870" s="398" t="n"/>
      <c r="R870" s="113" t="n"/>
      <c r="S870" s="113" t="n"/>
      <c r="T870" s="113" t="n"/>
      <c r="U870" s="113" t="n"/>
      <c r="V870" s="113" t="n"/>
    </row>
    <row r="871" ht="15.75" customHeight="1">
      <c r="A871" s="398" t="n">
        <v>17</v>
      </c>
      <c r="B871" s="238" t="n"/>
      <c r="C871" s="527" t="n">
        <v>46128</v>
      </c>
      <c r="D871" s="398" t="inlineStr">
        <is>
          <t>219 G. SAN JOSE 2</t>
        </is>
      </c>
      <c r="E871" s="398" t="n">
        <v>47414</v>
      </c>
      <c r="F871" s="398" t="inlineStr">
        <is>
          <t>JHON ARIAS</t>
        </is>
      </c>
      <c r="G871" s="494" t="n">
        <v>2780</v>
      </c>
      <c r="H871" s="494" t="n">
        <v>2774</v>
      </c>
      <c r="I871" s="494" t="n">
        <v>2</v>
      </c>
      <c r="J871" s="494" t="n">
        <v>0</v>
      </c>
      <c r="K871" s="494" t="n">
        <v>-4</v>
      </c>
      <c r="L871" s="395" t="n">
        <v>2770</v>
      </c>
      <c r="M871" s="113" t="n"/>
      <c r="N871" s="113" t="n"/>
      <c r="O871" s="113" t="n"/>
      <c r="P871" s="398" t="n"/>
      <c r="Q871" s="398" t="n"/>
      <c r="R871" s="113" t="n"/>
      <c r="S871" s="113" t="n"/>
      <c r="T871" s="113" t="n"/>
      <c r="U871" s="113" t="n"/>
      <c r="V871" s="113" t="n"/>
    </row>
    <row r="872" ht="15.75" customHeight="1">
      <c r="A872" s="398" t="n">
        <v>17</v>
      </c>
      <c r="B872" s="238" t="n"/>
      <c r="C872" s="527" t="n">
        <v>46128</v>
      </c>
      <c r="D872" s="398" t="inlineStr">
        <is>
          <t>219 G. SAN JOSE 2</t>
        </is>
      </c>
      <c r="E872" s="398" t="n">
        <v>47415</v>
      </c>
      <c r="F872" s="398" t="inlineStr">
        <is>
          <t>EDUAN CAVIEDES</t>
        </is>
      </c>
      <c r="G872" s="494" t="n">
        <v>2780</v>
      </c>
      <c r="H872" s="494" t="n">
        <v>2768</v>
      </c>
      <c r="I872" s="494" t="n">
        <v>2</v>
      </c>
      <c r="J872" s="494" t="n">
        <v>2</v>
      </c>
      <c r="K872" s="494" t="n">
        <v>-8</v>
      </c>
      <c r="L872" s="395" t="n">
        <v>2770</v>
      </c>
      <c r="M872" s="113" t="n"/>
      <c r="N872" s="113" t="n"/>
      <c r="O872" s="113" t="n"/>
      <c r="P872" s="398" t="n"/>
      <c r="Q872" s="398" t="n"/>
      <c r="R872" s="113" t="n"/>
      <c r="S872" s="113" t="n"/>
      <c r="T872" s="113" t="n"/>
      <c r="U872" s="113" t="n"/>
      <c r="V872" s="113" t="n"/>
    </row>
    <row r="873" ht="15.75" customHeight="1">
      <c r="A873" s="398" t="n">
        <v>17</v>
      </c>
      <c r="B873" s="238" t="n"/>
      <c r="C873" s="527" t="n">
        <v>46128</v>
      </c>
      <c r="D873" s="398" t="inlineStr">
        <is>
          <t>219 G. SAN JOSE 2</t>
        </is>
      </c>
      <c r="E873" s="398" t="n">
        <v>47416</v>
      </c>
      <c r="F873" s="398" t="inlineStr">
        <is>
          <t>MANUEL QUITIAN</t>
        </is>
      </c>
      <c r="G873" s="494" t="n">
        <v>2150</v>
      </c>
      <c r="H873" s="494" t="n">
        <v>2130</v>
      </c>
      <c r="I873" s="494" t="n">
        <v>1</v>
      </c>
      <c r="J873" s="494" t="n">
        <v>1</v>
      </c>
      <c r="K873" s="494" t="n">
        <v>-18</v>
      </c>
      <c r="L873" s="395" t="n">
        <v>2150</v>
      </c>
      <c r="M873" s="113" t="n"/>
      <c r="N873" s="113" t="n"/>
      <c r="O873" s="113" t="n"/>
      <c r="P873" s="398" t="n"/>
      <c r="Q873" s="398" t="n"/>
      <c r="R873" s="113" t="n"/>
      <c r="S873" s="113" t="n"/>
      <c r="T873" s="113" t="n"/>
      <c r="U873" s="113" t="n"/>
      <c r="V873" s="113" t="n"/>
    </row>
    <row r="874" ht="15.75" customHeight="1">
      <c r="A874" s="398" t="n">
        <v>17</v>
      </c>
      <c r="B874" s="238" t="n"/>
      <c r="C874" s="527" t="n">
        <v>46129</v>
      </c>
      <c r="D874" s="398" t="inlineStr">
        <is>
          <t>221 G. MALAGUEÑA</t>
        </is>
      </c>
      <c r="E874" s="398" t="n">
        <v>47425</v>
      </c>
      <c r="F874" s="398" t="inlineStr">
        <is>
          <t>EDUAN CAVIEDES</t>
        </is>
      </c>
      <c r="G874" s="494" t="n">
        <v>3100</v>
      </c>
      <c r="H874" s="494" t="n">
        <v>3089</v>
      </c>
      <c r="I874" s="494" t="n">
        <v>2</v>
      </c>
      <c r="J874" s="494" t="n">
        <v>6</v>
      </c>
      <c r="K874" s="494" t="n">
        <v>-3</v>
      </c>
      <c r="L874" s="395" t="n">
        <v>2100</v>
      </c>
      <c r="M874" s="113" t="n"/>
      <c r="N874" s="113" t="n"/>
      <c r="O874" s="113" t="n"/>
      <c r="P874" s="398" t="n"/>
      <c r="Q874" s="398" t="n"/>
      <c r="R874" s="113" t="n"/>
      <c r="S874" s="113" t="n"/>
      <c r="T874" s="113" t="n"/>
      <c r="U874" s="113" t="n"/>
      <c r="V874" s="113" t="n"/>
    </row>
    <row r="875" ht="15.75" customHeight="1">
      <c r="A875" s="398" t="n">
        <v>17</v>
      </c>
      <c r="B875" s="238" t="n"/>
      <c r="C875" s="527" t="n">
        <v>46129</v>
      </c>
      <c r="D875" s="398" t="inlineStr">
        <is>
          <t>221 G. MALAGUEÑA</t>
        </is>
      </c>
      <c r="E875" s="398" t="n">
        <v>47426</v>
      </c>
      <c r="F875" s="398" t="inlineStr">
        <is>
          <t>JOSE SOLER</t>
        </is>
      </c>
      <c r="G875" s="494" t="n">
        <v>2740</v>
      </c>
      <c r="H875" s="494" t="n">
        <v>2724</v>
      </c>
      <c r="I875" s="494" t="n">
        <v>2</v>
      </c>
      <c r="J875" s="494" t="n">
        <v>5</v>
      </c>
      <c r="K875" s="494" t="n">
        <v>-9</v>
      </c>
      <c r="L875" s="395" t="n">
        <v>2740</v>
      </c>
      <c r="M875" s="113" t="n"/>
      <c r="N875" s="113" t="n"/>
      <c r="O875" s="113" t="n"/>
      <c r="P875" s="398" t="n"/>
      <c r="Q875" s="398" t="n"/>
      <c r="R875" s="113" t="n"/>
      <c r="S875" s="113" t="n"/>
      <c r="T875" s="113" t="n"/>
      <c r="U875" s="113" t="n"/>
      <c r="V875" s="113" t="n"/>
    </row>
    <row r="876" ht="15.75" customHeight="1">
      <c r="A876" s="398" t="n">
        <v>17</v>
      </c>
      <c r="B876" s="238" t="n"/>
      <c r="C876" s="527" t="n">
        <v>46129</v>
      </c>
      <c r="D876" s="398" t="inlineStr">
        <is>
          <t>219 G. SAN JOSE 2</t>
        </is>
      </c>
      <c r="E876" s="398" t="n">
        <v>47427</v>
      </c>
      <c r="F876" s="398" t="inlineStr">
        <is>
          <t>WILMER PIÑEROS</t>
        </is>
      </c>
      <c r="G876" s="494" t="n">
        <v>2860</v>
      </c>
      <c r="H876" s="494" t="n">
        <v>2852</v>
      </c>
      <c r="I876" s="494" t="n">
        <v>4</v>
      </c>
      <c r="J876" s="494" t="n">
        <v>3</v>
      </c>
      <c r="K876" s="494" t="n">
        <v>-1</v>
      </c>
      <c r="L876" s="395" t="n">
        <v>2860</v>
      </c>
      <c r="M876" s="113" t="n"/>
      <c r="N876" s="113" t="n"/>
      <c r="O876" s="113" t="n"/>
      <c r="P876" s="398" t="n"/>
      <c r="Q876" s="398" t="n"/>
      <c r="R876" s="113" t="n"/>
      <c r="S876" s="113" t="n"/>
      <c r="T876" s="113" t="n"/>
      <c r="U876" s="113" t="n"/>
      <c r="V876" s="113" t="n"/>
    </row>
    <row r="877" ht="15.75" customHeight="1">
      <c r="A877" s="398" t="n">
        <v>17</v>
      </c>
      <c r="B877" s="238" t="n"/>
      <c r="C877" s="527" t="n">
        <v>46129</v>
      </c>
      <c r="D877" s="398" t="inlineStr">
        <is>
          <t>219 G. SAN JOSE 2</t>
        </is>
      </c>
      <c r="E877" s="398" t="n">
        <v>47428</v>
      </c>
      <c r="F877" s="398" t="inlineStr">
        <is>
          <t>ALEX GOMEZ</t>
        </is>
      </c>
      <c r="G877" s="494" t="n">
        <v>2860</v>
      </c>
      <c r="H877" s="494" t="n">
        <v>2853</v>
      </c>
      <c r="I877" s="494" t="n">
        <v>2</v>
      </c>
      <c r="J877" s="494" t="n">
        <v>5</v>
      </c>
      <c r="K877" s="494" t="n">
        <v>0</v>
      </c>
      <c r="L877" s="395" t="n">
        <v>2860</v>
      </c>
      <c r="M877" s="113" t="n"/>
      <c r="N877" s="113" t="n"/>
      <c r="O877" s="113" t="n"/>
      <c r="P877" s="398" t="n"/>
      <c r="Q877" s="398" t="n"/>
      <c r="R877" s="113" t="n"/>
      <c r="S877" s="113" t="n"/>
      <c r="T877" s="113" t="n"/>
      <c r="U877" s="113" t="n"/>
      <c r="V877" s="113" t="n"/>
    </row>
    <row r="878" ht="15.75" customHeight="1">
      <c r="A878" s="398" t="n">
        <v>17</v>
      </c>
      <c r="B878" s="238" t="n"/>
      <c r="C878" s="527" t="n">
        <v>46129</v>
      </c>
      <c r="D878" s="398" t="inlineStr">
        <is>
          <t>219 G. SAN JOSE 2</t>
        </is>
      </c>
      <c r="E878" s="398" t="n">
        <v>47429</v>
      </c>
      <c r="F878" s="398" t="inlineStr">
        <is>
          <t>EDWIN ROJAS</t>
        </is>
      </c>
      <c r="G878" s="494" t="n">
        <v>2860</v>
      </c>
      <c r="H878" s="494" t="n">
        <v>2846</v>
      </c>
      <c r="I878" s="494" t="n">
        <v>3</v>
      </c>
      <c r="J878" s="494" t="n">
        <v>4</v>
      </c>
      <c r="K878" s="494" t="n">
        <v>-7</v>
      </c>
      <c r="L878" s="395" t="n">
        <v>2860</v>
      </c>
      <c r="M878" s="113" t="n"/>
      <c r="N878" s="113" t="n"/>
      <c r="O878" s="113" t="n"/>
      <c r="P878" s="398" t="n"/>
      <c r="Q878" s="398" t="n"/>
      <c r="R878" s="113" t="n"/>
      <c r="S878" s="113" t="n"/>
      <c r="T878" s="113" t="n"/>
      <c r="U878" s="113" t="n"/>
      <c r="V878" s="113" t="n"/>
    </row>
    <row r="879" ht="15.75" customHeight="1">
      <c r="A879" s="398" t="n">
        <v>17</v>
      </c>
      <c r="B879" s="238" t="n"/>
      <c r="C879" s="527" t="n">
        <v>46129</v>
      </c>
      <c r="D879" s="398" t="inlineStr">
        <is>
          <t>219 G. SAN JOSE 2</t>
        </is>
      </c>
      <c r="E879" s="398" t="n">
        <v>47430</v>
      </c>
      <c r="F879" s="398" t="inlineStr">
        <is>
          <t>HENRY ROMERO</t>
        </is>
      </c>
      <c r="G879" s="494" t="n">
        <v>3667</v>
      </c>
      <c r="H879" s="494" t="n">
        <v>3651</v>
      </c>
      <c r="I879" s="494" t="n">
        <v>4</v>
      </c>
      <c r="J879" s="494" t="n">
        <v>4</v>
      </c>
      <c r="K879" s="494" t="n">
        <v>-8</v>
      </c>
      <c r="L879" s="395" t="n">
        <v>3667</v>
      </c>
      <c r="M879" s="113" t="n"/>
      <c r="N879" s="113" t="n"/>
      <c r="O879" s="113" t="n"/>
      <c r="P879" s="398" t="n"/>
      <c r="Q879" s="398" t="n"/>
      <c r="R879" s="113" t="n"/>
      <c r="S879" s="113" t="n"/>
      <c r="T879" s="113" t="n"/>
      <c r="U879" s="113" t="n"/>
      <c r="V879" s="113" t="n"/>
    </row>
    <row r="880" ht="15.75" customHeight="1">
      <c r="A880" s="398" t="n">
        <v>17</v>
      </c>
      <c r="B880" s="238" t="n"/>
      <c r="C880" s="527" t="n">
        <v>46129</v>
      </c>
      <c r="D880" s="398" t="inlineStr">
        <is>
          <t>219 G. SAN JOSE 2</t>
        </is>
      </c>
      <c r="E880" s="398" t="n">
        <v>47431</v>
      </c>
      <c r="F880" s="398" t="inlineStr">
        <is>
          <t>JAIRO CUBILLOS</t>
        </is>
      </c>
      <c r="G880" s="494" t="n">
        <v>3667</v>
      </c>
      <c r="H880" s="494" t="n">
        <v>3655</v>
      </c>
      <c r="I880" s="494" t="n">
        <v>4</v>
      </c>
      <c r="J880" s="494" t="n">
        <v>0</v>
      </c>
      <c r="K880" s="494" t="n">
        <v>-8</v>
      </c>
      <c r="L880" s="395" t="n">
        <v>3667</v>
      </c>
      <c r="M880" s="113" t="n"/>
      <c r="N880" s="113" t="n"/>
      <c r="O880" s="113" t="n"/>
      <c r="P880" s="398" t="n"/>
      <c r="Q880" s="398" t="n"/>
      <c r="R880" s="113" t="n"/>
      <c r="S880" s="113" t="n"/>
      <c r="T880" s="113" t="n"/>
      <c r="U880" s="113" t="n"/>
      <c r="V880" s="113" t="n"/>
    </row>
    <row r="881" ht="15.75" customHeight="1">
      <c r="A881" s="398" t="n">
        <v>17</v>
      </c>
      <c r="B881" s="238" t="n"/>
      <c r="C881" s="399" t="n">
        <v>46129</v>
      </c>
      <c r="D881" s="146" t="inlineStr">
        <is>
          <t>219 G. SAN JOSE 2</t>
        </is>
      </c>
      <c r="E881" s="146" t="n">
        <v>47432</v>
      </c>
      <c r="F881" s="146" t="inlineStr">
        <is>
          <t>ALBERTO LOPEZ</t>
        </is>
      </c>
      <c r="G881" s="395" t="n">
        <v>3667</v>
      </c>
      <c r="H881" s="395" t="n">
        <v>3671</v>
      </c>
      <c r="I881" s="395" t="n">
        <v>1</v>
      </c>
      <c r="J881" s="395" t="n">
        <v>5</v>
      </c>
      <c r="K881" s="395" t="n">
        <v>10</v>
      </c>
      <c r="L881" s="395" t="n">
        <v>3663</v>
      </c>
      <c r="M881" s="113" t="n"/>
      <c r="N881" s="113" t="n"/>
      <c r="O881" s="113" t="n"/>
      <c r="P881" s="398" t="n"/>
      <c r="Q881" s="398" t="n"/>
      <c r="R881" s="113" t="n"/>
      <c r="S881" s="113" t="n"/>
      <c r="T881" s="113" t="n"/>
      <c r="U881" s="113" t="n"/>
      <c r="V881" s="113" t="n"/>
    </row>
    <row r="882" ht="15.75" customHeight="1">
      <c r="A882" s="398" t="n">
        <v>17</v>
      </c>
      <c r="B882" s="238" t="n"/>
      <c r="C882" s="399" t="n">
        <v>46130</v>
      </c>
      <c r="D882" s="146" t="inlineStr">
        <is>
          <t>221 G. MALAGUEÑA</t>
        </is>
      </c>
      <c r="E882" s="146" t="n">
        <v>47433</v>
      </c>
      <c r="F882" s="146" t="inlineStr">
        <is>
          <t>EDUAN CAVIEDES</t>
        </is>
      </c>
      <c r="G882" s="395" t="n">
        <v>2960</v>
      </c>
      <c r="H882" s="395" t="n">
        <v>2935</v>
      </c>
      <c r="I882" s="395" t="n">
        <v>7</v>
      </c>
      <c r="J882" s="395" t="n">
        <v>5</v>
      </c>
      <c r="K882" s="395" t="n">
        <v>-13</v>
      </c>
      <c r="L882" s="395" t="n">
        <v>2960</v>
      </c>
      <c r="M882" s="113" t="n"/>
      <c r="N882" s="113" t="n"/>
      <c r="O882" s="113" t="n"/>
      <c r="P882" s="398" t="n"/>
      <c r="Q882" s="398" t="n"/>
      <c r="R882" s="113" t="n"/>
      <c r="S882" s="113" t="n"/>
      <c r="T882" s="113" t="n"/>
      <c r="U882" s="113" t="n"/>
      <c r="V882" s="113" t="n"/>
    </row>
    <row r="883" ht="15.75" customHeight="1">
      <c r="A883" s="398" t="n">
        <v>17</v>
      </c>
      <c r="B883" s="238" t="n"/>
      <c r="C883" s="399" t="n">
        <v>46130</v>
      </c>
      <c r="D883" s="146" t="inlineStr">
        <is>
          <t>221 G. MALAGUEÑA</t>
        </is>
      </c>
      <c r="E883" s="146" t="n">
        <v>47434</v>
      </c>
      <c r="F883" s="146" t="inlineStr">
        <is>
          <t xml:space="preserve">ROBINSON PULIDO </t>
        </is>
      </c>
      <c r="G883" s="395" t="n">
        <v>2960</v>
      </c>
      <c r="H883" s="395" t="n">
        <v>2935</v>
      </c>
      <c r="I883" s="395" t="n">
        <v>4</v>
      </c>
      <c r="J883" s="395" t="n">
        <v>5</v>
      </c>
      <c r="K883" s="395" t="n">
        <v>-16</v>
      </c>
      <c r="L883" s="395" t="n">
        <v>2960</v>
      </c>
      <c r="M883" s="113" t="n"/>
      <c r="N883" s="113" t="n"/>
      <c r="O883" s="113" t="n"/>
      <c r="P883" s="398" t="n"/>
      <c r="Q883" s="398" t="n"/>
      <c r="R883" s="113" t="n"/>
      <c r="S883" s="113" t="n"/>
      <c r="T883" s="113" t="n"/>
      <c r="U883" s="113" t="n"/>
      <c r="V883" s="113" t="n"/>
    </row>
    <row r="884" ht="15.75" customHeight="1">
      <c r="A884" s="398" t="n">
        <v>17</v>
      </c>
      <c r="B884" s="238" t="n"/>
      <c r="C884" s="399" t="n">
        <v>46130</v>
      </c>
      <c r="D884" s="146" t="inlineStr">
        <is>
          <t>221 G. MALAGUEÑA</t>
        </is>
      </c>
      <c r="E884" s="146" t="n">
        <v>47435</v>
      </c>
      <c r="F884" s="146" t="inlineStr">
        <is>
          <t>JHON ARIAS</t>
        </is>
      </c>
      <c r="G884" s="395" t="n">
        <v>2960</v>
      </c>
      <c r="H884" s="395" t="n">
        <v>2954</v>
      </c>
      <c r="I884" s="395" t="n">
        <v>2</v>
      </c>
      <c r="J884" s="395" t="n">
        <v>4</v>
      </c>
      <c r="K884" s="395" t="n">
        <v>0</v>
      </c>
      <c r="L884" s="395" t="n">
        <v>2960</v>
      </c>
      <c r="M884" s="113" t="n"/>
      <c r="N884" s="113" t="n"/>
      <c r="O884" s="113" t="n"/>
      <c r="P884" s="398" t="n"/>
      <c r="Q884" s="398" t="n"/>
      <c r="R884" s="113" t="n"/>
      <c r="S884" s="113" t="n"/>
      <c r="T884" s="113" t="n"/>
      <c r="U884" s="113" t="n"/>
      <c r="V884" s="113" t="n"/>
    </row>
    <row r="885" ht="15.75" customHeight="1">
      <c r="A885" s="398" t="n">
        <v>17</v>
      </c>
      <c r="B885" s="238" t="n"/>
      <c r="C885" s="399" t="n">
        <v>46130</v>
      </c>
      <c r="D885" s="146" t="inlineStr">
        <is>
          <t>221 G. MALAGUEÑA</t>
        </is>
      </c>
      <c r="E885" s="146" t="n">
        <v>47436</v>
      </c>
      <c r="F885" s="146" t="inlineStr">
        <is>
          <t>DIEGO NIÑO</t>
        </is>
      </c>
      <c r="G885" s="395" t="n">
        <v>2960</v>
      </c>
      <c r="H885" s="395" t="n">
        <v>2951</v>
      </c>
      <c r="I885" s="395" t="n">
        <v>5</v>
      </c>
      <c r="J885" s="395" t="n">
        <v>9</v>
      </c>
      <c r="K885" s="395" t="n">
        <v>5</v>
      </c>
      <c r="L885" s="395" t="n">
        <v>2960</v>
      </c>
      <c r="M885" s="113" t="n"/>
      <c r="N885" s="113" t="n"/>
      <c r="O885" s="113" t="n"/>
      <c r="P885" s="398" t="n"/>
      <c r="Q885" s="398" t="n"/>
      <c r="R885" s="113" t="n"/>
      <c r="S885" s="113" t="n"/>
      <c r="T885" s="113" t="n"/>
      <c r="U885" s="113" t="n"/>
      <c r="V885" s="113" t="n"/>
    </row>
    <row r="886" ht="15.75" customHeight="1">
      <c r="A886" s="398" t="n">
        <v>17</v>
      </c>
      <c r="B886" s="238" t="n"/>
      <c r="C886" s="399" t="n">
        <v>46130</v>
      </c>
      <c r="D886" s="146" t="inlineStr">
        <is>
          <t>221 G. MALAGUEÑA</t>
        </is>
      </c>
      <c r="E886" s="146" t="n">
        <v>47437</v>
      </c>
      <c r="F886" s="146" t="inlineStr">
        <is>
          <t>ALEX GOMEZ</t>
        </is>
      </c>
      <c r="G886" s="395" t="n">
        <v>3040</v>
      </c>
      <c r="H886" s="395" t="n">
        <v>3032</v>
      </c>
      <c r="I886" s="395" t="n">
        <v>2</v>
      </c>
      <c r="J886" s="395" t="n">
        <v>6</v>
      </c>
      <c r="K886" s="395" t="n">
        <v>0</v>
      </c>
      <c r="L886" s="395" t="n">
        <v>3040</v>
      </c>
      <c r="M886" s="113" t="n"/>
      <c r="N886" s="113" t="n"/>
      <c r="O886" s="113" t="n"/>
      <c r="P886" s="398" t="n"/>
      <c r="Q886" s="398" t="n"/>
      <c r="R886" s="113" t="n"/>
      <c r="S886" s="113" t="n"/>
      <c r="T886" s="113" t="n"/>
      <c r="U886" s="113" t="n"/>
      <c r="V886" s="113" t="n"/>
    </row>
    <row r="887" ht="15.75" customHeight="1">
      <c r="A887" s="398" t="n">
        <v>17</v>
      </c>
      <c r="B887" s="238" t="n"/>
      <c r="C887" s="399" t="n">
        <v>46130</v>
      </c>
      <c r="D887" s="146" t="inlineStr">
        <is>
          <t>221 G. MALAGUEÑA</t>
        </is>
      </c>
      <c r="E887" s="146" t="n">
        <v>47438</v>
      </c>
      <c r="F887" s="146" t="inlineStr">
        <is>
          <t>MANUEL QUITIAN</t>
        </is>
      </c>
      <c r="G887" s="395" t="n">
        <v>3040</v>
      </c>
      <c r="H887" s="395" t="n">
        <v>3035</v>
      </c>
      <c r="I887" s="395" t="n">
        <v>2</v>
      </c>
      <c r="J887" s="395" t="n">
        <v>5</v>
      </c>
      <c r="K887" s="395" t="n">
        <v>2</v>
      </c>
      <c r="L887" s="395" t="n">
        <v>3040</v>
      </c>
      <c r="M887" s="113" t="n"/>
      <c r="N887" s="113" t="n"/>
      <c r="O887" s="113" t="n"/>
      <c r="P887" s="398" t="n"/>
      <c r="Q887" s="398" t="n"/>
      <c r="R887" s="113" t="n"/>
      <c r="S887" s="113" t="n"/>
      <c r="T887" s="113" t="n"/>
      <c r="U887" s="113" t="n"/>
      <c r="V887" s="113" t="n"/>
    </row>
    <row r="888" ht="15.75" customHeight="1">
      <c r="A888" s="398" t="n">
        <v>17</v>
      </c>
      <c r="B888" s="238" t="n"/>
      <c r="C888" s="399" t="n">
        <v>46130</v>
      </c>
      <c r="D888" s="146" t="inlineStr">
        <is>
          <t>221 G. MALAGUEÑA</t>
        </is>
      </c>
      <c r="E888" s="146" t="n">
        <v>47439</v>
      </c>
      <c r="F888" s="146" t="inlineStr">
        <is>
          <t>FERNANDO OYUELA</t>
        </is>
      </c>
      <c r="G888" s="395" t="n">
        <v>3040</v>
      </c>
      <c r="H888" s="395" t="n">
        <v>3032</v>
      </c>
      <c r="I888" s="395" t="n">
        <v>2</v>
      </c>
      <c r="J888" s="395" t="n">
        <v>8</v>
      </c>
      <c r="K888" s="395" t="n">
        <v>2</v>
      </c>
      <c r="L888" s="395" t="n">
        <v>3040</v>
      </c>
      <c r="M888" s="113" t="n"/>
      <c r="N888" s="113" t="n"/>
      <c r="O888" s="113" t="n"/>
      <c r="P888" s="398" t="n"/>
      <c r="Q888" s="398" t="n"/>
      <c r="R888" s="113" t="n"/>
      <c r="S888" s="113" t="n"/>
      <c r="T888" s="113" t="n"/>
      <c r="U888" s="113" t="n"/>
      <c r="V888" s="113" t="n"/>
    </row>
    <row r="889" ht="15.75" customHeight="1">
      <c r="A889" s="398" t="n">
        <v>17</v>
      </c>
      <c r="B889" s="238" t="n"/>
      <c r="C889" s="399" t="n">
        <v>46130</v>
      </c>
      <c r="D889" s="146" t="inlineStr">
        <is>
          <t>221 G. MALAGUEÑA</t>
        </is>
      </c>
      <c r="E889" s="146" t="n">
        <v>47440</v>
      </c>
      <c r="F889" s="146" t="inlineStr">
        <is>
          <t xml:space="preserve">SEBASTIAN HIDALGO </t>
        </is>
      </c>
      <c r="G889" s="395" t="n">
        <v>3040</v>
      </c>
      <c r="H889" s="395" t="n">
        <v>3036</v>
      </c>
      <c r="I889" s="395" t="n">
        <v>2</v>
      </c>
      <c r="J889" s="395" t="n">
        <v>4</v>
      </c>
      <c r="K889" s="395" t="n">
        <v>2</v>
      </c>
      <c r="L889" s="395" t="n">
        <v>3040</v>
      </c>
      <c r="M889" s="113" t="n"/>
      <c r="N889" s="113" t="n"/>
      <c r="O889" s="113" t="n"/>
      <c r="P889" s="398" t="n"/>
      <c r="Q889" s="398" t="n"/>
      <c r="R889" s="113" t="n"/>
      <c r="S889" s="113" t="n"/>
      <c r="T889" s="113" t="n"/>
      <c r="U889" s="113" t="n"/>
      <c r="V889" s="113" t="n"/>
    </row>
    <row r="890" ht="15.75" customHeight="1">
      <c r="A890" s="398" t="n">
        <v>17</v>
      </c>
      <c r="B890" s="238" t="n"/>
      <c r="C890" s="399" t="n">
        <v>46130</v>
      </c>
      <c r="D890" s="146" t="inlineStr">
        <is>
          <t>221 G. MALAGUEÑA</t>
        </is>
      </c>
      <c r="E890" s="146" t="n">
        <v>47441</v>
      </c>
      <c r="F890" s="146" t="inlineStr">
        <is>
          <t>ALEXANDER  CHAGUALA</t>
        </is>
      </c>
      <c r="G890" s="395" t="n">
        <v>2620</v>
      </c>
      <c r="H890" s="395" t="n">
        <v>2615</v>
      </c>
      <c r="I890" s="395" t="n">
        <v>0</v>
      </c>
      <c r="J890" s="395" t="n">
        <v>6</v>
      </c>
      <c r="K890" s="395" t="n">
        <v>1</v>
      </c>
      <c r="L890" s="395" t="n">
        <v>2620</v>
      </c>
      <c r="M890" s="113" t="n"/>
      <c r="N890" s="113" t="n"/>
      <c r="O890" s="113" t="n"/>
      <c r="P890" s="398" t="n"/>
      <c r="Q890" s="398" t="n"/>
      <c r="R890" s="113" t="n"/>
      <c r="S890" s="113" t="n"/>
      <c r="T890" s="113" t="n"/>
      <c r="U890" s="113" t="n"/>
      <c r="V890" s="113" t="n"/>
    </row>
    <row r="891" ht="15.75" customHeight="1">
      <c r="A891" s="398" t="n">
        <v>17</v>
      </c>
      <c r="B891" s="238" t="n"/>
      <c r="C891" s="399" t="n"/>
      <c r="D891" s="113" t="n"/>
      <c r="E891" s="113" t="n"/>
      <c r="F891" s="113" t="n"/>
      <c r="G891" s="477">
        <f>SUBTOTAL(9,G832:G890)</f>
        <v/>
      </c>
      <c r="H891" s="477">
        <f>SUBTOTAL(9,H832:H890)</f>
        <v/>
      </c>
      <c r="I891" s="477">
        <f>SUBTOTAL(9,I832:I890)</f>
        <v/>
      </c>
      <c r="J891" s="477">
        <f>SUBTOTAL(9,J832:J890)</f>
        <v/>
      </c>
      <c r="K891" s="477">
        <f>SUBTOTAL(9,K832:K890)</f>
        <v/>
      </c>
      <c r="L891" s="477">
        <f>SUBTOTAL(9,L832:L890)</f>
        <v/>
      </c>
      <c r="M891" s="395" t="n"/>
      <c r="N891" s="113" t="n"/>
      <c r="O891" s="113" t="n"/>
      <c r="P891" s="398" t="n"/>
      <c r="Q891" s="398" t="n"/>
      <c r="R891" s="113" t="n"/>
      <c r="S891" s="113" t="n"/>
      <c r="T891" s="113" t="n"/>
      <c r="U891" s="113" t="n"/>
      <c r="V891" s="113" t="n"/>
    </row>
    <row r="892" ht="15.75" customHeight="1">
      <c r="A892" s="398" t="n">
        <v>18</v>
      </c>
      <c r="B892" s="238" t="n"/>
      <c r="C892" s="399" t="n">
        <v>46132</v>
      </c>
      <c r="D892" s="146" t="inlineStr">
        <is>
          <t>221 G. MALAGUEÑA</t>
        </is>
      </c>
      <c r="E892" s="146" t="n">
        <v>47445</v>
      </c>
      <c r="F892" s="146" t="inlineStr">
        <is>
          <t>EDWIN ROJAS</t>
        </is>
      </c>
      <c r="G892" s="395" t="n">
        <v>2620</v>
      </c>
      <c r="H892" s="395" t="n">
        <v>2636</v>
      </c>
      <c r="I892" s="395" t="n">
        <v>3</v>
      </c>
      <c r="J892" s="395" t="n">
        <v>1</v>
      </c>
      <c r="K892" s="395" t="n">
        <v>20</v>
      </c>
      <c r="L892" s="395" t="n">
        <v>2620</v>
      </c>
      <c r="M892" s="113" t="n"/>
      <c r="N892" s="113" t="n"/>
      <c r="O892" s="113" t="n"/>
      <c r="P892" s="398" t="n"/>
      <c r="Q892" s="398" t="n"/>
      <c r="R892" s="113" t="n"/>
      <c r="S892" s="113" t="n"/>
      <c r="T892" s="113" t="n"/>
      <c r="U892" s="113" t="n"/>
      <c r="V892" s="113" t="n"/>
    </row>
    <row r="893" ht="15.75" customHeight="1">
      <c r="A893" s="398" t="n">
        <v>18</v>
      </c>
      <c r="B893" s="238" t="n"/>
      <c r="C893" s="527" t="n">
        <v>46132</v>
      </c>
      <c r="D893" s="398" t="inlineStr">
        <is>
          <t>221 G. MALAGUEÑA</t>
        </is>
      </c>
      <c r="E893" s="398" t="n">
        <v>47446</v>
      </c>
      <c r="F893" s="398" t="inlineStr">
        <is>
          <t>JOSE SOLER</t>
        </is>
      </c>
      <c r="G893" s="494" t="n">
        <v>2030</v>
      </c>
      <c r="H893" s="494" t="n">
        <v>2007</v>
      </c>
      <c r="I893" s="494" t="n">
        <v>4</v>
      </c>
      <c r="J893" s="494" t="n">
        <v>3</v>
      </c>
      <c r="K893" s="494" t="n">
        <v>-16</v>
      </c>
      <c r="L893" s="395" t="n">
        <v>2030</v>
      </c>
      <c r="M893" s="113" t="n"/>
      <c r="N893" s="113" t="n"/>
      <c r="O893" s="113" t="n"/>
      <c r="P893" s="398" t="n"/>
      <c r="Q893" s="398" t="n"/>
      <c r="R893" s="113" t="n"/>
      <c r="S893" s="113" t="n"/>
      <c r="T893" s="113" t="n"/>
      <c r="U893" s="113" t="n"/>
      <c r="V893" s="113" t="n"/>
    </row>
    <row r="894" ht="15.75" customHeight="1">
      <c r="A894" s="398" t="n">
        <v>18</v>
      </c>
      <c r="B894" s="238" t="n"/>
      <c r="C894" s="527" t="n">
        <v>46132</v>
      </c>
      <c r="D894" s="398" t="inlineStr">
        <is>
          <t>221 G. MALAGUEÑA</t>
        </is>
      </c>
      <c r="E894" s="398" t="n">
        <v>47447</v>
      </c>
      <c r="F894" s="398" t="inlineStr">
        <is>
          <t>FABIO ALDANA</t>
        </is>
      </c>
      <c r="G894" s="494" t="n">
        <v>2030</v>
      </c>
      <c r="H894" s="494" t="n">
        <v>2040</v>
      </c>
      <c r="I894" s="494" t="n">
        <v>3</v>
      </c>
      <c r="J894" s="494" t="n">
        <v>3</v>
      </c>
      <c r="K894" s="494" t="n">
        <v>16</v>
      </c>
      <c r="L894" s="395" t="n">
        <v>2030</v>
      </c>
      <c r="M894" s="113" t="n"/>
      <c r="N894" s="113" t="n"/>
      <c r="O894" s="113" t="n"/>
      <c r="P894" s="398" t="n"/>
      <c r="Q894" s="398" t="n"/>
      <c r="R894" s="113" t="n"/>
      <c r="S894" s="113" t="n"/>
      <c r="T894" s="113" t="n"/>
      <c r="U894" s="113" t="n"/>
      <c r="V894" s="113" t="n"/>
    </row>
    <row r="895" ht="15.75" customHeight="1">
      <c r="A895" s="398" t="n">
        <v>18</v>
      </c>
      <c r="B895" s="238" t="n"/>
      <c r="C895" s="527" t="n">
        <v>46132</v>
      </c>
      <c r="D895" s="398" t="inlineStr">
        <is>
          <t>221 G. MALAGUEÑA</t>
        </is>
      </c>
      <c r="E895" s="398" t="n">
        <v>47448</v>
      </c>
      <c r="F895" s="398" t="inlineStr">
        <is>
          <t>DUMAR ANGARITA</t>
        </is>
      </c>
      <c r="G895" s="494" t="n">
        <v>2620</v>
      </c>
      <c r="H895" s="494" t="n">
        <v>2620</v>
      </c>
      <c r="I895" s="494" t="n">
        <v>1</v>
      </c>
      <c r="J895" s="494" t="n">
        <v>5</v>
      </c>
      <c r="K895" s="494" t="n">
        <v>6</v>
      </c>
      <c r="L895" s="395" t="n">
        <v>2620</v>
      </c>
      <c r="M895" s="113" t="n"/>
      <c r="N895" s="113" t="n"/>
      <c r="O895" s="113" t="n"/>
      <c r="P895" s="398" t="n"/>
      <c r="Q895" s="398" t="n"/>
      <c r="R895" s="113" t="n"/>
      <c r="S895" s="113" t="n"/>
      <c r="T895" s="113" t="n"/>
      <c r="U895" s="113" t="n"/>
      <c r="V895" s="113" t="n"/>
    </row>
    <row r="896" ht="15.75" customHeight="1">
      <c r="A896" s="398" t="n">
        <v>18</v>
      </c>
      <c r="B896" s="238" t="n"/>
      <c r="C896" s="527" t="n">
        <v>46132</v>
      </c>
      <c r="D896" s="398" t="inlineStr">
        <is>
          <t>221 G. MALAGUEÑA</t>
        </is>
      </c>
      <c r="E896" s="398" t="n">
        <v>47449</v>
      </c>
      <c r="F896" s="398" t="inlineStr">
        <is>
          <t>ALBERTO LOPEZ</t>
        </is>
      </c>
      <c r="G896" s="494" t="n">
        <v>2620</v>
      </c>
      <c r="H896" s="494" t="n">
        <v>2626</v>
      </c>
      <c r="I896" s="494" t="n">
        <v>1</v>
      </c>
      <c r="J896" s="494" t="n">
        <v>4</v>
      </c>
      <c r="K896" s="494" t="n">
        <v>11</v>
      </c>
      <c r="L896" s="395" t="n">
        <v>2620</v>
      </c>
      <c r="M896" s="113" t="n"/>
      <c r="N896" s="113" t="n"/>
      <c r="O896" s="113" t="n"/>
      <c r="P896" s="398" t="n"/>
      <c r="Q896" s="398" t="n"/>
      <c r="R896" s="113" t="n"/>
      <c r="S896" s="113" t="n"/>
      <c r="T896" s="113" t="n"/>
      <c r="U896" s="113" t="n"/>
      <c r="V896" s="113" t="n"/>
    </row>
    <row r="897" ht="15.75" customHeight="1">
      <c r="A897" s="398" t="n">
        <v>18</v>
      </c>
      <c r="B897" s="238" t="n"/>
      <c r="C897" s="527" t="n">
        <v>46132</v>
      </c>
      <c r="D897" s="398" t="inlineStr">
        <is>
          <t>221 G. MALAGUEÑA</t>
        </is>
      </c>
      <c r="E897" s="398" t="n">
        <v>47458</v>
      </c>
      <c r="F897" s="398" t="inlineStr">
        <is>
          <t>JAIRO CUBILLOS</t>
        </is>
      </c>
      <c r="G897" s="494" t="n">
        <v>2620</v>
      </c>
      <c r="H897" s="494" t="n">
        <v>2641</v>
      </c>
      <c r="I897" s="494" t="n">
        <v>4</v>
      </c>
      <c r="J897" s="494" t="n">
        <v>3</v>
      </c>
      <c r="K897" s="494" t="n">
        <v>28</v>
      </c>
      <c r="L897" s="395" t="n">
        <v>2620</v>
      </c>
      <c r="M897" s="113" t="n"/>
      <c r="N897" s="113" t="n"/>
      <c r="O897" s="113" t="n"/>
      <c r="P897" s="398" t="n"/>
      <c r="Q897" s="398" t="n"/>
      <c r="R897" s="113" t="n"/>
      <c r="S897" s="113" t="n"/>
      <c r="T897" s="113" t="n"/>
      <c r="U897" s="113" t="n"/>
      <c r="V897" s="113" t="n"/>
    </row>
    <row r="898" ht="15.75" customHeight="1">
      <c r="A898" s="398" t="n">
        <v>18</v>
      </c>
      <c r="B898" s="238" t="n"/>
      <c r="C898" s="527" t="n">
        <v>46132</v>
      </c>
      <c r="D898" s="398" t="inlineStr">
        <is>
          <t>219 G. SAN JOSE 2</t>
        </is>
      </c>
      <c r="E898" s="398" t="n">
        <v>47459</v>
      </c>
      <c r="F898" s="398" t="inlineStr">
        <is>
          <t>WILMER PIÑEROS</t>
        </is>
      </c>
      <c r="G898" s="494" t="n">
        <v>3394</v>
      </c>
      <c r="H898" s="494" t="n">
        <v>3383</v>
      </c>
      <c r="I898" s="494" t="n">
        <v>3</v>
      </c>
      <c r="J898" s="494" t="n">
        <v>8</v>
      </c>
      <c r="K898" s="494" t="n">
        <v>0</v>
      </c>
      <c r="L898" s="395" t="n">
        <v>3394</v>
      </c>
      <c r="M898" s="113" t="n"/>
      <c r="N898" s="113" t="n"/>
      <c r="O898" s="113" t="n"/>
      <c r="P898" s="398" t="n"/>
      <c r="Q898" s="398" t="n"/>
      <c r="R898" s="113" t="n"/>
      <c r="S898" s="113" t="n"/>
      <c r="T898" s="113" t="n"/>
      <c r="U898" s="113" t="n"/>
      <c r="V898" s="113" t="n"/>
    </row>
    <row r="899" ht="15.75" customHeight="1">
      <c r="A899" s="398" t="n">
        <v>18</v>
      </c>
      <c r="B899" s="238" t="n"/>
      <c r="C899" s="527" t="n">
        <v>46132</v>
      </c>
      <c r="D899" s="398" t="inlineStr">
        <is>
          <t>219 G. SAN JOSE 2</t>
        </is>
      </c>
      <c r="E899" s="398" t="n">
        <v>47460</v>
      </c>
      <c r="F899" s="398" t="inlineStr">
        <is>
          <t>FABIO ALDANA</t>
        </is>
      </c>
      <c r="G899" s="494" t="n">
        <v>3391</v>
      </c>
      <c r="H899" s="494" t="n">
        <v>3381</v>
      </c>
      <c r="I899" s="494" t="n">
        <v>2</v>
      </c>
      <c r="J899" s="494" t="n">
        <v>6</v>
      </c>
      <c r="K899" s="494" t="n">
        <v>-2</v>
      </c>
      <c r="L899" s="395" t="n">
        <v>3394</v>
      </c>
      <c r="M899" s="113" t="n"/>
      <c r="N899" s="113" t="n"/>
      <c r="O899" s="113" t="n"/>
      <c r="P899" s="398" t="n"/>
      <c r="Q899" s="398" t="n"/>
      <c r="R899" s="113" t="n"/>
      <c r="S899" s="113" t="n"/>
      <c r="T899" s="113" t="n"/>
      <c r="U899" s="113" t="n"/>
      <c r="V899" s="113" t="n"/>
    </row>
    <row r="900" ht="15.75" customHeight="1">
      <c r="A900" s="398" t="n">
        <v>18</v>
      </c>
      <c r="B900" s="238" t="n"/>
      <c r="C900" s="527" t="n">
        <v>46132</v>
      </c>
      <c r="D900" s="398" t="inlineStr">
        <is>
          <t>219 G. SAN JOSE 2</t>
        </is>
      </c>
      <c r="E900" s="398" t="n">
        <v>47461</v>
      </c>
      <c r="F900" s="398" t="inlineStr">
        <is>
          <t>ALBERTO LOPEZ</t>
        </is>
      </c>
      <c r="G900" s="494" t="n">
        <v>3391</v>
      </c>
      <c r="H900" s="494" t="n">
        <v>3385</v>
      </c>
      <c r="I900" s="494" t="n">
        <v>1</v>
      </c>
      <c r="J900" s="494" t="n">
        <v>5</v>
      </c>
      <c r="K900" s="494" t="n">
        <v>0</v>
      </c>
      <c r="L900" s="395" t="n">
        <v>3394</v>
      </c>
      <c r="M900" s="113" t="n"/>
      <c r="N900" s="113" t="n"/>
      <c r="O900" s="113" t="n"/>
      <c r="P900" s="398" t="n"/>
      <c r="Q900" s="398" t="n"/>
      <c r="R900" s="113" t="n"/>
      <c r="S900" s="113" t="n"/>
      <c r="T900" s="113" t="n"/>
      <c r="U900" s="113" t="n"/>
      <c r="V900" s="113" t="n"/>
    </row>
    <row r="901" ht="15.75" customHeight="1">
      <c r="A901" s="398" t="n">
        <v>18</v>
      </c>
      <c r="B901" s="238" t="n"/>
      <c r="C901" s="527" t="n">
        <v>46132</v>
      </c>
      <c r="D901" s="398" t="inlineStr">
        <is>
          <t>219 G. SAN JOSE 2</t>
        </is>
      </c>
      <c r="E901" s="398" t="n">
        <v>47462</v>
      </c>
      <c r="F901" s="398" t="inlineStr">
        <is>
          <t>FERNANDO OYUELA</t>
        </is>
      </c>
      <c r="G901" s="494" t="n">
        <v>3394</v>
      </c>
      <c r="H901" s="494" t="n">
        <v>3385</v>
      </c>
      <c r="I901" s="494" t="n">
        <v>1</v>
      </c>
      <c r="J901" s="494" t="n">
        <v>5</v>
      </c>
      <c r="K901" s="494" t="n">
        <v>-3</v>
      </c>
      <c r="L901" s="395" t="n">
        <v>3394</v>
      </c>
      <c r="M901" s="113" t="n"/>
      <c r="N901" s="113" t="n"/>
      <c r="O901" s="113" t="n"/>
      <c r="P901" s="398" t="n"/>
      <c r="Q901" s="398" t="n"/>
      <c r="R901" s="113" t="n"/>
      <c r="S901" s="113" t="n"/>
      <c r="T901" s="113" t="n"/>
      <c r="U901" s="113" t="n"/>
      <c r="V901" s="113" t="n"/>
    </row>
    <row r="902" ht="15.75" customHeight="1">
      <c r="A902" s="398" t="n">
        <v>18</v>
      </c>
      <c r="B902" s="238" t="n"/>
      <c r="C902" s="527" t="n">
        <v>46132</v>
      </c>
      <c r="D902" s="398" t="inlineStr">
        <is>
          <t>219 G. SAN JOSE 2</t>
        </is>
      </c>
      <c r="E902" s="398" t="n">
        <v>47463</v>
      </c>
      <c r="F902" s="398" t="inlineStr">
        <is>
          <t>HENRY ROMERO</t>
        </is>
      </c>
      <c r="G902" s="494" t="n">
        <v>3394</v>
      </c>
      <c r="H902" s="494" t="n">
        <v>3383</v>
      </c>
      <c r="I902" s="494" t="n">
        <v>2</v>
      </c>
      <c r="J902" s="494" t="n">
        <v>9</v>
      </c>
      <c r="K902" s="494" t="n">
        <v>0</v>
      </c>
      <c r="L902" s="395" t="n">
        <v>3394</v>
      </c>
      <c r="M902" s="113" t="n"/>
      <c r="N902" s="113" t="n"/>
      <c r="O902" s="113" t="n"/>
      <c r="P902" s="398" t="n"/>
      <c r="Q902" s="398" t="n"/>
      <c r="R902" s="113" t="n"/>
      <c r="S902" s="113" t="n"/>
      <c r="T902" s="113" t="n"/>
      <c r="U902" s="113" t="n"/>
      <c r="V902" s="113" t="n"/>
    </row>
    <row r="903" ht="15.75" customHeight="1">
      <c r="A903" s="398" t="n">
        <v>18</v>
      </c>
      <c r="B903" s="238" t="n"/>
      <c r="C903" s="527" t="n">
        <v>46132</v>
      </c>
      <c r="D903" s="398" t="inlineStr">
        <is>
          <t>219 G. SAN JOSE 2</t>
        </is>
      </c>
      <c r="E903" s="398" t="n">
        <v>47464</v>
      </c>
      <c r="F903" s="398" t="inlineStr">
        <is>
          <t>MANUEL QUITIAN</t>
        </is>
      </c>
      <c r="G903" s="494" t="n">
        <v>3394</v>
      </c>
      <c r="H903" s="494" t="n">
        <v>3377</v>
      </c>
      <c r="I903" s="494" t="n">
        <v>5</v>
      </c>
      <c r="J903" s="494" t="n">
        <v>7</v>
      </c>
      <c r="K903" s="494" t="n">
        <v>-5</v>
      </c>
      <c r="L903" s="395" t="n">
        <v>3394</v>
      </c>
      <c r="M903" s="113" t="n"/>
      <c r="N903" s="113" t="n"/>
      <c r="O903" s="113" t="n"/>
      <c r="P903" s="398" t="n"/>
      <c r="Q903" s="398" t="n"/>
      <c r="R903" s="113" t="n"/>
      <c r="S903" s="113" t="n"/>
      <c r="T903" s="113" t="n"/>
      <c r="U903" s="113" t="n"/>
      <c r="V903" s="113" t="n"/>
    </row>
    <row r="904" ht="15.75" customHeight="1">
      <c r="A904" s="398" t="n">
        <v>18</v>
      </c>
      <c r="B904" s="238" t="n"/>
      <c r="C904" s="399" t="n">
        <v>46132</v>
      </c>
      <c r="D904" s="146" t="inlineStr">
        <is>
          <t>219 G. SAN JOSE 2</t>
        </is>
      </c>
      <c r="E904" s="146" t="n">
        <v>47468</v>
      </c>
      <c r="F904" s="146" t="inlineStr">
        <is>
          <t>DIEGO NIÑO</t>
        </is>
      </c>
      <c r="G904" s="395" t="n">
        <v>3370</v>
      </c>
      <c r="H904" s="395" t="n">
        <v>3360</v>
      </c>
      <c r="I904" s="395" t="n">
        <v>3</v>
      </c>
      <c r="J904" s="395" t="n">
        <v>7</v>
      </c>
      <c r="K904" s="395" t="n">
        <v>0</v>
      </c>
      <c r="L904" s="395" t="n">
        <v>3370</v>
      </c>
      <c r="M904" s="113" t="n"/>
      <c r="N904" s="113" t="n"/>
      <c r="O904" s="113" t="n"/>
      <c r="P904" s="398" t="n"/>
      <c r="Q904" s="398" t="n"/>
      <c r="R904" s="113" t="n"/>
      <c r="S904" s="113" t="n"/>
      <c r="T904" s="113" t="n"/>
      <c r="U904" s="113" t="n"/>
      <c r="V904" s="113" t="n"/>
    </row>
    <row r="905" ht="15.75" customHeight="1">
      <c r="A905" s="398" t="n">
        <v>18</v>
      </c>
      <c r="B905" s="238" t="n"/>
      <c r="C905" s="399" t="n">
        <v>46133</v>
      </c>
      <c r="D905" s="146" t="inlineStr">
        <is>
          <t>221 G. MALAGUEÑA</t>
        </is>
      </c>
      <c r="E905" s="146" t="n">
        <v>47474</v>
      </c>
      <c r="F905" s="146" t="inlineStr">
        <is>
          <t>EDUAN CAVIEDES</t>
        </is>
      </c>
      <c r="G905" s="395" t="n">
        <v>2920</v>
      </c>
      <c r="H905" s="395" t="n">
        <v>2919</v>
      </c>
      <c r="I905" s="395" t="n">
        <v>2</v>
      </c>
      <c r="J905" s="395" t="n">
        <v>3</v>
      </c>
      <c r="K905" s="395" t="n">
        <v>4</v>
      </c>
      <c r="L905" s="395" t="n">
        <v>2920</v>
      </c>
      <c r="M905" s="113" t="n"/>
      <c r="N905" s="113" t="n"/>
      <c r="O905" s="113" t="n"/>
      <c r="P905" s="398" t="n"/>
      <c r="Q905" s="398" t="n"/>
      <c r="R905" s="113" t="n"/>
      <c r="S905" s="113" t="n"/>
      <c r="T905" s="113" t="n"/>
      <c r="U905" s="113" t="n"/>
      <c r="V905" s="113" t="n"/>
    </row>
    <row r="906" ht="15.75" customHeight="1">
      <c r="A906" s="398" t="n">
        <v>18</v>
      </c>
      <c r="B906" s="238" t="n"/>
      <c r="C906" s="399" t="n">
        <v>46133</v>
      </c>
      <c r="D906" s="146" t="inlineStr">
        <is>
          <t>219 G. SAN JOSE 2</t>
        </is>
      </c>
      <c r="E906" s="146" t="n">
        <v>47475</v>
      </c>
      <c r="F906" s="146" t="inlineStr">
        <is>
          <t>JHON ARIAS</t>
        </is>
      </c>
      <c r="G906" s="395" t="n">
        <v>2900</v>
      </c>
      <c r="H906" s="395" t="n">
        <v>2896</v>
      </c>
      <c r="I906" s="395" t="n">
        <v>2</v>
      </c>
      <c r="J906" s="395" t="n">
        <v>2</v>
      </c>
      <c r="K906" s="395" t="n">
        <v>0</v>
      </c>
      <c r="L906" s="395" t="n">
        <v>2900</v>
      </c>
      <c r="M906" s="113" t="n"/>
      <c r="N906" s="113" t="n"/>
      <c r="O906" s="113" t="n"/>
      <c r="P906" s="398" t="n"/>
      <c r="Q906" s="398" t="n"/>
      <c r="R906" s="113" t="n"/>
      <c r="S906" s="113" t="n"/>
      <c r="T906" s="113" t="n"/>
      <c r="U906" s="113" t="n"/>
      <c r="V906" s="113" t="n"/>
    </row>
    <row r="907" ht="15.75" customHeight="1">
      <c r="A907" s="398" t="n">
        <v>18</v>
      </c>
      <c r="B907" s="238" t="n"/>
      <c r="C907" s="399" t="n">
        <v>46133</v>
      </c>
      <c r="D907" s="146" t="inlineStr">
        <is>
          <t>219 G. SAN JOSE 2</t>
        </is>
      </c>
      <c r="E907" s="146" t="n">
        <v>47476</v>
      </c>
      <c r="F907" s="146" t="inlineStr">
        <is>
          <t>EDWIN ROJAS</t>
        </is>
      </c>
      <c r="G907" s="395" t="n">
        <v>2900</v>
      </c>
      <c r="H907" s="395" t="n">
        <v>2894</v>
      </c>
      <c r="I907" s="395" t="n">
        <v>3</v>
      </c>
      <c r="J907" s="395" t="n">
        <v>3</v>
      </c>
      <c r="K907" s="395" t="n">
        <v>0</v>
      </c>
      <c r="L907" s="395" t="n">
        <v>2900</v>
      </c>
      <c r="M907" s="113" t="n"/>
      <c r="N907" s="113" t="n"/>
      <c r="O907" s="113" t="n"/>
      <c r="P907" s="398" t="n"/>
      <c r="Q907" s="398" t="n"/>
      <c r="R907" s="113" t="n"/>
      <c r="S907" s="113" t="n"/>
      <c r="T907" s="113" t="n"/>
      <c r="U907" s="113" t="n"/>
      <c r="V907" s="113" t="n"/>
    </row>
    <row r="908" ht="15.75" customHeight="1">
      <c r="A908" s="398" t="n">
        <v>18</v>
      </c>
      <c r="B908" s="238" t="n"/>
      <c r="C908" s="399" t="n">
        <v>46133</v>
      </c>
      <c r="D908" s="146" t="inlineStr">
        <is>
          <t>219 G. SAN JOSE 2</t>
        </is>
      </c>
      <c r="E908" s="146" t="n">
        <v>47477</v>
      </c>
      <c r="F908" s="146" t="inlineStr">
        <is>
          <t>DUMAR ANGARITA</t>
        </is>
      </c>
      <c r="G908" s="395" t="n">
        <v>3588</v>
      </c>
      <c r="H908" s="395" t="n">
        <v>3578</v>
      </c>
      <c r="I908" s="395" t="n">
        <v>4</v>
      </c>
      <c r="J908" s="395" t="n">
        <v>6</v>
      </c>
      <c r="K908" s="395" t="n">
        <v>0</v>
      </c>
      <c r="L908" s="395" t="n">
        <v>2900</v>
      </c>
      <c r="M908" s="113" t="n"/>
      <c r="N908" s="113" t="n"/>
      <c r="O908" s="113" t="n"/>
      <c r="P908" s="398" t="n"/>
      <c r="Q908" s="398" t="n"/>
      <c r="R908" s="113" t="n"/>
      <c r="S908" s="113" t="n"/>
      <c r="T908" s="113" t="n"/>
      <c r="U908" s="113" t="n"/>
      <c r="V908" s="113" t="n"/>
    </row>
    <row r="909" ht="15.75" customHeight="1">
      <c r="A909" s="398" t="n">
        <v>18</v>
      </c>
      <c r="B909" s="238" t="n"/>
      <c r="C909" s="399" t="n">
        <v>46133</v>
      </c>
      <c r="D909" s="146" t="inlineStr">
        <is>
          <t>219 G. SAN JOSE 2</t>
        </is>
      </c>
      <c r="E909" s="146" t="n">
        <v>47478</v>
      </c>
      <c r="F909" s="146" t="inlineStr">
        <is>
          <t>MANUEL QUITIAN</t>
        </is>
      </c>
      <c r="G909" s="395" t="n">
        <v>3588</v>
      </c>
      <c r="H909" s="395" t="n">
        <v>3586</v>
      </c>
      <c r="I909" s="395" t="n">
        <v>3</v>
      </c>
      <c r="J909" s="395" t="n">
        <v>3</v>
      </c>
      <c r="K909" s="395" t="n">
        <v>4</v>
      </c>
      <c r="L909" s="395" t="n">
        <v>3588</v>
      </c>
      <c r="M909" s="113" t="n"/>
      <c r="N909" s="113" t="n"/>
      <c r="O909" s="113" t="n"/>
      <c r="P909" s="398" t="n"/>
      <c r="Q909" s="398" t="n"/>
      <c r="R909" s="113" t="n"/>
      <c r="S909" s="113" t="n"/>
      <c r="T909" s="113" t="n"/>
      <c r="U909" s="113" t="n"/>
      <c r="V909" s="113" t="n"/>
    </row>
    <row r="910" ht="15.75" customHeight="1">
      <c r="A910" s="398" t="n">
        <v>18</v>
      </c>
      <c r="B910" s="238" t="n"/>
      <c r="C910" s="399" t="n">
        <v>46133</v>
      </c>
      <c r="D910" s="146" t="inlineStr">
        <is>
          <t>219 G. SAN JOSE 2</t>
        </is>
      </c>
      <c r="E910" s="146" t="n">
        <v>47479</v>
      </c>
      <c r="F910" s="146" t="inlineStr">
        <is>
          <t xml:space="preserve">ROBINSON PULIDO </t>
        </is>
      </c>
      <c r="G910" s="395" t="n">
        <v>3588</v>
      </c>
      <c r="H910" s="395" t="n">
        <v>3586</v>
      </c>
      <c r="I910" s="395" t="n">
        <v>3</v>
      </c>
      <c r="J910" s="395" t="n">
        <v>4</v>
      </c>
      <c r="K910" s="395" t="n">
        <v>5</v>
      </c>
      <c r="L910" s="395" t="n">
        <v>3588</v>
      </c>
      <c r="M910" s="113" t="n"/>
      <c r="N910" s="113" t="n"/>
      <c r="O910" s="113" t="n"/>
      <c r="P910" s="398" t="n"/>
      <c r="Q910" s="398" t="n"/>
      <c r="R910" s="113" t="n"/>
      <c r="S910" s="113" t="n"/>
      <c r="T910" s="113" t="n"/>
      <c r="U910" s="113" t="n"/>
      <c r="V910" s="113" t="n"/>
    </row>
    <row r="911" ht="15.75" customHeight="1">
      <c r="A911" s="398" t="n">
        <v>18</v>
      </c>
      <c r="B911" s="238" t="n"/>
      <c r="C911" s="399" t="n">
        <v>46133</v>
      </c>
      <c r="D911" s="146" t="inlineStr">
        <is>
          <t>219 G. SAN JOSE 2</t>
        </is>
      </c>
      <c r="E911" s="146" t="n">
        <v>47480</v>
      </c>
      <c r="F911" s="146" t="inlineStr">
        <is>
          <t>HENRY ROMERO</t>
        </is>
      </c>
      <c r="G911" s="395" t="n">
        <v>2900</v>
      </c>
      <c r="H911" s="395" t="n">
        <v>2894</v>
      </c>
      <c r="I911" s="395" t="n">
        <v>4</v>
      </c>
      <c r="J911" s="395" t="n">
        <v>5</v>
      </c>
      <c r="K911" s="395" t="n">
        <v>3</v>
      </c>
      <c r="L911" s="395" t="n">
        <v>3588</v>
      </c>
      <c r="M911" s="113" t="n"/>
      <c r="N911" s="113" t="n"/>
      <c r="O911" s="113" t="n"/>
      <c r="P911" s="398" t="n"/>
      <c r="Q911" s="398" t="n"/>
      <c r="R911" s="113" t="n"/>
      <c r="S911" s="113" t="n"/>
      <c r="T911" s="113" t="n"/>
      <c r="U911" s="113" t="n"/>
      <c r="V911" s="113" t="n"/>
    </row>
    <row r="912" ht="15.75" customHeight="1">
      <c r="A912" s="398" t="n">
        <v>18</v>
      </c>
      <c r="B912" s="238" t="n"/>
      <c r="C912" s="527" t="n">
        <v>46133</v>
      </c>
      <c r="D912" s="398" t="inlineStr">
        <is>
          <t>219 G. SAN JOSE 2</t>
        </is>
      </c>
      <c r="E912" s="398" t="n">
        <v>47481</v>
      </c>
      <c r="F912" s="398" t="inlineStr">
        <is>
          <t>EDUAN CAVIEDES</t>
        </is>
      </c>
      <c r="G912" s="494" t="n">
        <v>3588</v>
      </c>
      <c r="H912" s="494" t="n">
        <v>3585</v>
      </c>
      <c r="I912" s="494" t="n">
        <v>2</v>
      </c>
      <c r="J912" s="494" t="n">
        <v>4</v>
      </c>
      <c r="K912" s="494" t="n">
        <v>3</v>
      </c>
      <c r="L912" s="395" t="n">
        <v>3588</v>
      </c>
      <c r="M912" s="113" t="n"/>
      <c r="N912" s="113" t="n"/>
      <c r="O912" s="113" t="n"/>
      <c r="P912" s="398" t="n"/>
      <c r="Q912" s="398" t="n"/>
      <c r="R912" s="113" t="n"/>
      <c r="S912" s="113" t="n"/>
      <c r="T912" s="113" t="n"/>
      <c r="U912" s="113" t="n"/>
      <c r="V912" s="113" t="n"/>
    </row>
    <row r="913" ht="15.75" customHeight="1">
      <c r="A913" s="398" t="n">
        <v>18</v>
      </c>
      <c r="B913" s="238" t="n"/>
      <c r="C913" s="527" t="n">
        <v>46133</v>
      </c>
      <c r="D913" s="398" t="inlineStr">
        <is>
          <t>219 G. SAN JOSE 2</t>
        </is>
      </c>
      <c r="E913" s="398" t="n">
        <v>47490</v>
      </c>
      <c r="F913" s="398" t="inlineStr">
        <is>
          <t>HENRY ROMERO</t>
        </is>
      </c>
      <c r="G913" s="494" t="n">
        <v>3588</v>
      </c>
      <c r="H913" s="494" t="n">
        <v>3585</v>
      </c>
      <c r="I913" s="494" t="n">
        <v>4</v>
      </c>
      <c r="J913" s="494" t="n">
        <v>6</v>
      </c>
      <c r="K913" s="494" t="n">
        <v>7</v>
      </c>
      <c r="L913" s="395" t="n">
        <v>3588</v>
      </c>
      <c r="M913" s="113" t="n"/>
      <c r="N913" s="113" t="n"/>
      <c r="O913" s="113" t="n"/>
      <c r="P913" s="398" t="n"/>
      <c r="Q913" s="398" t="n"/>
      <c r="R913" s="113" t="n"/>
      <c r="S913" s="113" t="n"/>
      <c r="T913" s="113" t="n"/>
      <c r="U913" s="113" t="n"/>
      <c r="V913" s="113" t="n"/>
    </row>
    <row r="914" ht="15.75" customHeight="1">
      <c r="A914" s="398" t="n">
        <v>18</v>
      </c>
      <c r="B914" s="238" t="n"/>
      <c r="C914" s="527" t="n">
        <v>46133</v>
      </c>
      <c r="D914" s="398" t="inlineStr">
        <is>
          <t>219 G. SAN JOSE 2</t>
        </is>
      </c>
      <c r="E914" s="398" t="n">
        <v>47491</v>
      </c>
      <c r="F914" s="398" t="inlineStr">
        <is>
          <t>EDWIN ROJAS</t>
        </is>
      </c>
      <c r="G914" s="494" t="n">
        <v>3588</v>
      </c>
      <c r="H914" s="494" t="n">
        <v>3583</v>
      </c>
      <c r="I914" s="494" t="n">
        <v>2</v>
      </c>
      <c r="J914" s="494" t="n">
        <v>6</v>
      </c>
      <c r="K914" s="494" t="n">
        <v>3</v>
      </c>
      <c r="L914" s="395" t="n">
        <v>3588</v>
      </c>
      <c r="M914" s="113" t="n"/>
      <c r="N914" s="113" t="n"/>
      <c r="O914" s="113" t="n"/>
      <c r="P914" s="398" t="n"/>
      <c r="Q914" s="398" t="n"/>
      <c r="R914" s="113" t="n"/>
      <c r="S914" s="113" t="n"/>
      <c r="T914" s="113" t="n"/>
      <c r="U914" s="113" t="n"/>
      <c r="V914" s="113" t="n"/>
    </row>
    <row r="915" ht="15.75" customHeight="1">
      <c r="A915" s="398" t="n">
        <v>18</v>
      </c>
      <c r="B915" s="238" t="n"/>
      <c r="C915" s="527" t="n">
        <v>46133</v>
      </c>
      <c r="D915" s="398" t="inlineStr">
        <is>
          <t>219 G. SAN JOSE 2</t>
        </is>
      </c>
      <c r="E915" s="398" t="n">
        <v>47492</v>
      </c>
      <c r="F915" s="398" t="inlineStr">
        <is>
          <t>DUMAR ANGARITA</t>
        </is>
      </c>
      <c r="G915" s="494" t="n">
        <v>3588</v>
      </c>
      <c r="H915" s="494" t="n">
        <v>3585</v>
      </c>
      <c r="I915" s="494" t="n">
        <v>3</v>
      </c>
      <c r="J915" s="494" t="n">
        <v>7</v>
      </c>
      <c r="K915" s="494" t="n">
        <v>7</v>
      </c>
      <c r="L915" s="395" t="n">
        <v>3588</v>
      </c>
      <c r="M915" s="113" t="n"/>
      <c r="N915" s="113" t="n"/>
      <c r="O915" s="113" t="n"/>
      <c r="P915" s="398" t="n"/>
      <c r="Q915" s="398" t="n"/>
      <c r="R915" s="113" t="n"/>
      <c r="S915" s="113" t="n"/>
      <c r="T915" s="113" t="n"/>
      <c r="U915" s="113" t="n"/>
      <c r="V915" s="113" t="n"/>
    </row>
    <row r="916" ht="15.75" customHeight="1">
      <c r="A916" s="398" t="n">
        <v>18</v>
      </c>
      <c r="B916" s="238" t="n"/>
      <c r="C916" s="527" t="n">
        <v>46133</v>
      </c>
      <c r="D916" s="398" t="inlineStr">
        <is>
          <t>219 G. SAN JOSE 2</t>
        </is>
      </c>
      <c r="E916" s="398" t="n">
        <v>47493</v>
      </c>
      <c r="F916" s="398" t="inlineStr">
        <is>
          <t xml:space="preserve">ROBINSON PULIDO </t>
        </is>
      </c>
      <c r="G916" s="494" t="n">
        <v>3100</v>
      </c>
      <c r="H916" s="494" t="n">
        <v>3078</v>
      </c>
      <c r="I916" s="494" t="n">
        <v>2</v>
      </c>
      <c r="J916" s="494" t="n">
        <v>12</v>
      </c>
      <c r="K916" s="494" t="n">
        <v>-8</v>
      </c>
      <c r="L916" s="395" t="n">
        <v>3100</v>
      </c>
      <c r="M916" s="113" t="n"/>
      <c r="N916" s="113" t="n"/>
      <c r="O916" s="113" t="n"/>
      <c r="P916" s="398" t="n"/>
      <c r="Q916" s="398" t="n"/>
      <c r="R916" s="113" t="n"/>
      <c r="S916" s="113" t="n"/>
      <c r="T916" s="113" t="n"/>
      <c r="U916" s="113" t="n"/>
      <c r="V916" s="113" t="n"/>
    </row>
    <row r="917" ht="15.75" customHeight="1">
      <c r="A917" s="398" t="n">
        <v>18</v>
      </c>
      <c r="B917" s="238" t="n"/>
      <c r="C917" s="527" t="n">
        <v>46133</v>
      </c>
      <c r="D917" s="398" t="inlineStr">
        <is>
          <t>219 G. SAN JOSE 2</t>
        </is>
      </c>
      <c r="E917" s="398" t="n">
        <v>47494</v>
      </c>
      <c r="F917" s="398" t="inlineStr">
        <is>
          <t>EDUAN CAVIEDES</t>
        </is>
      </c>
      <c r="G917" s="494" t="n">
        <v>3100</v>
      </c>
      <c r="H917" s="494" t="n">
        <v>3078</v>
      </c>
      <c r="I917" s="494" t="n">
        <v>2</v>
      </c>
      <c r="J917" s="494" t="n">
        <v>12</v>
      </c>
      <c r="K917" s="494" t="n">
        <v>-8</v>
      </c>
      <c r="L917" s="395" t="n">
        <v>3100</v>
      </c>
      <c r="M917" s="113" t="n"/>
      <c r="N917" s="113" t="n"/>
      <c r="O917" s="113" t="n"/>
      <c r="P917" s="398" t="n"/>
      <c r="Q917" s="398" t="n"/>
      <c r="R917" s="113" t="n"/>
      <c r="S917" s="113" t="n"/>
      <c r="T917" s="113" t="n"/>
      <c r="U917" s="113" t="n"/>
      <c r="V917" s="113" t="n"/>
    </row>
    <row r="918" ht="15.75" customHeight="1">
      <c r="A918" s="398" t="n">
        <v>18</v>
      </c>
      <c r="B918" s="238" t="n"/>
      <c r="C918" s="527" t="n">
        <v>46133</v>
      </c>
      <c r="D918" s="398" t="inlineStr">
        <is>
          <t>219 G. SAN JOSE 2</t>
        </is>
      </c>
      <c r="E918" s="398" t="n">
        <v>47495</v>
      </c>
      <c r="F918" s="398" t="inlineStr">
        <is>
          <t>YAIR RIVEROS</t>
        </is>
      </c>
      <c r="G918" s="494" t="n">
        <v>3600</v>
      </c>
      <c r="H918" s="494" t="n">
        <v>3584</v>
      </c>
      <c r="I918" s="494" t="n">
        <v>3</v>
      </c>
      <c r="J918" s="494" t="n">
        <v>6</v>
      </c>
      <c r="K918" s="494" t="n">
        <v>-7</v>
      </c>
      <c r="L918" s="395" t="n">
        <v>3600</v>
      </c>
      <c r="M918" s="113" t="n"/>
      <c r="N918" s="113" t="n"/>
      <c r="O918" s="113" t="n"/>
      <c r="P918" s="398" t="n"/>
      <c r="Q918" s="398" t="n"/>
      <c r="R918" s="113" t="n"/>
      <c r="S918" s="113" t="n"/>
      <c r="T918" s="113" t="n"/>
      <c r="U918" s="113" t="n"/>
      <c r="V918" s="113" t="n"/>
    </row>
    <row r="919" ht="15.75" customHeight="1">
      <c r="A919" s="398" t="n">
        <v>18</v>
      </c>
      <c r="B919" s="238" t="n"/>
      <c r="C919" s="527" t="n">
        <v>46133</v>
      </c>
      <c r="D919" s="398" t="inlineStr">
        <is>
          <t>219 G. SAN JOSE 2</t>
        </is>
      </c>
      <c r="E919" s="398" t="n">
        <v>47496</v>
      </c>
      <c r="F919" s="398" t="inlineStr">
        <is>
          <t>ALBERTO LOPEZ</t>
        </is>
      </c>
      <c r="G919" s="494" t="n">
        <v>2240</v>
      </c>
      <c r="H919" s="494" t="n">
        <v>2223</v>
      </c>
      <c r="I919" s="494" t="n">
        <v>4</v>
      </c>
      <c r="J919" s="494" t="n">
        <v>6</v>
      </c>
      <c r="K919" s="494" t="n">
        <v>-7</v>
      </c>
      <c r="L919" s="395" t="n">
        <v>2240</v>
      </c>
      <c r="M919" s="113" t="n"/>
      <c r="N919" s="113" t="n"/>
      <c r="O919" s="113" t="n"/>
      <c r="P919" s="398" t="n"/>
      <c r="Q919" s="398" t="n"/>
      <c r="R919" s="113" t="n"/>
      <c r="S919" s="113" t="n"/>
      <c r="T919" s="113" t="n"/>
      <c r="U919" s="113" t="n"/>
      <c r="V919" s="113" t="n"/>
    </row>
    <row r="920" ht="15.75" customHeight="1">
      <c r="A920" s="398" t="n">
        <v>18</v>
      </c>
      <c r="B920" s="238" t="n"/>
      <c r="C920" s="527" t="n">
        <v>46134</v>
      </c>
      <c r="D920" s="398" t="inlineStr">
        <is>
          <t>221 G. MALAGUEÑA</t>
        </is>
      </c>
      <c r="E920" s="398" t="n">
        <v>47526</v>
      </c>
      <c r="F920" s="398" t="inlineStr">
        <is>
          <t>FERNANDO OYUELA</t>
        </is>
      </c>
      <c r="G920" s="494" t="n">
        <v>3500</v>
      </c>
      <c r="H920" s="494" t="n">
        <v>3497</v>
      </c>
      <c r="I920" s="494" t="n">
        <v>4</v>
      </c>
      <c r="J920" s="494" t="n">
        <v>8</v>
      </c>
      <c r="K920" s="494" t="n">
        <v>9</v>
      </c>
      <c r="L920" s="395" t="n">
        <v>3500</v>
      </c>
      <c r="M920" s="113" t="n"/>
      <c r="N920" s="113" t="n"/>
      <c r="O920" s="113" t="n"/>
      <c r="P920" s="398" t="n"/>
      <c r="Q920" s="398" t="n"/>
      <c r="R920" s="113" t="n"/>
      <c r="S920" s="113" t="n"/>
      <c r="T920" s="113" t="n"/>
      <c r="U920" s="113" t="n"/>
      <c r="V920" s="113" t="n"/>
    </row>
    <row r="921" ht="15.75" customHeight="1">
      <c r="A921" s="398" t="n">
        <v>18</v>
      </c>
      <c r="B921" s="238" t="n"/>
      <c r="C921" s="527" t="n">
        <v>46134</v>
      </c>
      <c r="D921" s="398" t="inlineStr">
        <is>
          <t>221 G. MALAGUEÑA</t>
        </is>
      </c>
      <c r="E921" s="398" t="n">
        <v>47527</v>
      </c>
      <c r="F921" s="398" t="inlineStr">
        <is>
          <t>DUMAR ANGARITA</t>
        </is>
      </c>
      <c r="G921" s="494" t="n">
        <v>2610</v>
      </c>
      <c r="H921" s="494" t="n">
        <v>2622</v>
      </c>
      <c r="I921" s="494" t="n">
        <v>2</v>
      </c>
      <c r="J921" s="494" t="n">
        <v>7</v>
      </c>
      <c r="K921" s="494" t="n">
        <v>21</v>
      </c>
      <c r="L921" s="395" t="n">
        <v>2610</v>
      </c>
      <c r="M921" s="113" t="n"/>
      <c r="N921" s="113" t="n"/>
      <c r="O921" s="113" t="n"/>
      <c r="P921" s="398" t="n"/>
      <c r="Q921" s="398" t="n"/>
      <c r="R921" s="113" t="n"/>
      <c r="S921" s="113" t="n"/>
      <c r="T921" s="113" t="n"/>
      <c r="U921" s="113" t="n"/>
      <c r="V921" s="113" t="n"/>
    </row>
    <row r="922" ht="15.75" customHeight="1">
      <c r="A922" s="398" t="n">
        <v>18</v>
      </c>
      <c r="B922" s="238" t="n"/>
      <c r="C922" s="399" t="n">
        <v>46134</v>
      </c>
      <c r="D922" s="146" t="inlineStr">
        <is>
          <t>219 G. SAN JOSE 2</t>
        </is>
      </c>
      <c r="E922" s="146" t="n">
        <v>47528</v>
      </c>
      <c r="F922" s="146" t="inlineStr">
        <is>
          <t>JAIRO CUBILLOS</t>
        </is>
      </c>
      <c r="G922" s="395" t="n">
        <v>3291</v>
      </c>
      <c r="H922" s="395" t="n">
        <v>3296</v>
      </c>
      <c r="I922" s="395" t="n">
        <v>1</v>
      </c>
      <c r="J922" s="395" t="n">
        <v>5</v>
      </c>
      <c r="K922" s="395" t="n">
        <v>11</v>
      </c>
      <c r="L922" s="395" t="n">
        <v>3291</v>
      </c>
      <c r="M922" s="113" t="n"/>
      <c r="N922" s="113" t="n"/>
      <c r="O922" s="113" t="n"/>
      <c r="P922" s="398" t="n"/>
      <c r="Q922" s="398" t="n"/>
      <c r="R922" s="113" t="n"/>
      <c r="S922" s="113" t="n"/>
      <c r="T922" s="113" t="n"/>
      <c r="U922" s="113" t="n"/>
      <c r="V922" s="113" t="n"/>
    </row>
    <row r="923" ht="15.75" customHeight="1">
      <c r="A923" s="398" t="n">
        <v>18</v>
      </c>
      <c r="B923" s="238" t="n"/>
      <c r="C923" s="399" t="n">
        <v>46134</v>
      </c>
      <c r="D923" s="146" t="inlineStr">
        <is>
          <t>219 G. SAN JOSE 2</t>
        </is>
      </c>
      <c r="E923" s="146" t="n">
        <v>47529</v>
      </c>
      <c r="F923" s="146" t="inlineStr">
        <is>
          <t xml:space="preserve">ROBINSON PULIDO </t>
        </is>
      </c>
      <c r="G923" s="395" t="n">
        <v>3291</v>
      </c>
      <c r="H923" s="395" t="n">
        <v>3291</v>
      </c>
      <c r="I923" s="395" t="n">
        <v>0</v>
      </c>
      <c r="J923" s="395" t="n">
        <v>8</v>
      </c>
      <c r="K923" s="395" t="n">
        <v>8</v>
      </c>
      <c r="L923" s="395" t="n">
        <v>3291</v>
      </c>
      <c r="M923" s="113" t="n"/>
      <c r="N923" s="113" t="n"/>
      <c r="O923" s="113" t="n"/>
      <c r="P923" s="398" t="n"/>
      <c r="Q923" s="398" t="n"/>
      <c r="R923" s="113" t="n"/>
      <c r="S923" s="113" t="n"/>
      <c r="T923" s="113" t="n"/>
      <c r="U923" s="113" t="n"/>
      <c r="V923" s="113" t="n"/>
    </row>
    <row r="924" ht="15.75" customHeight="1">
      <c r="A924" s="398" t="n">
        <v>18</v>
      </c>
      <c r="B924" s="238" t="n"/>
      <c r="C924" s="527" t="n">
        <v>46135</v>
      </c>
      <c r="D924" s="398" t="inlineStr">
        <is>
          <t>221 G. MALAGUEÑA</t>
        </is>
      </c>
      <c r="E924" s="398" t="n">
        <v>47544</v>
      </c>
      <c r="F924" s="398" t="inlineStr">
        <is>
          <t>EDWIN ROJAS</t>
        </is>
      </c>
      <c r="G924" s="494" t="n">
        <v>3654</v>
      </c>
      <c r="H924" s="494" t="n">
        <v>3638</v>
      </c>
      <c r="I924" s="494" t="n">
        <v>5</v>
      </c>
      <c r="J924" s="494" t="n">
        <v>13</v>
      </c>
      <c r="K924" s="494" t="n">
        <v>2</v>
      </c>
      <c r="L924" s="395" t="n">
        <v>3654</v>
      </c>
      <c r="M924" s="113" t="n"/>
      <c r="N924" s="113" t="n"/>
      <c r="O924" s="113" t="n"/>
      <c r="P924" s="398" t="n"/>
      <c r="Q924" s="398" t="n"/>
      <c r="R924" s="113" t="n"/>
      <c r="S924" s="113" t="n"/>
      <c r="T924" s="113" t="n"/>
      <c r="U924" s="113" t="n"/>
      <c r="V924" s="113" t="n"/>
    </row>
    <row r="925" ht="15.75" customHeight="1">
      <c r="A925" s="398" t="n">
        <v>18</v>
      </c>
      <c r="B925" s="238" t="n"/>
      <c r="C925" s="527" t="n">
        <v>46135</v>
      </c>
      <c r="D925" s="398" t="inlineStr">
        <is>
          <t>221 G. MALAGUEÑA</t>
        </is>
      </c>
      <c r="E925" s="398" t="n">
        <v>47545</v>
      </c>
      <c r="F925" s="398" t="inlineStr">
        <is>
          <t>JOSE SOLER</t>
        </is>
      </c>
      <c r="G925" s="494" t="n">
        <v>2916</v>
      </c>
      <c r="H925" s="494" t="n">
        <v>2896</v>
      </c>
      <c r="I925" s="494" t="n">
        <v>10</v>
      </c>
      <c r="J925" s="494" t="n">
        <v>10</v>
      </c>
      <c r="K925" s="494" t="n">
        <v>0</v>
      </c>
      <c r="L925" s="395" t="n">
        <v>2916</v>
      </c>
      <c r="M925" s="113" t="n"/>
      <c r="N925" s="113" t="n"/>
      <c r="O925" s="113" t="n"/>
      <c r="P925" s="398" t="n"/>
      <c r="Q925" s="398" t="n"/>
      <c r="R925" s="113" t="n"/>
      <c r="S925" s="113" t="n"/>
      <c r="T925" s="113" t="n"/>
      <c r="U925" s="113" t="n"/>
      <c r="V925" s="113" t="n"/>
    </row>
    <row r="926" ht="15.75" customHeight="1">
      <c r="A926" s="398" t="n">
        <v>18</v>
      </c>
      <c r="B926" s="238" t="n"/>
      <c r="C926" s="399" t="n">
        <v>46135</v>
      </c>
      <c r="D926" s="146" t="inlineStr">
        <is>
          <t>219 G. SAN JOSE 2</t>
        </is>
      </c>
      <c r="E926" s="146" t="n">
        <v>47546</v>
      </c>
      <c r="F926" s="146" t="inlineStr">
        <is>
          <t>WILMER PIÑEROS</t>
        </is>
      </c>
      <c r="G926" s="395" t="n">
        <v>3090</v>
      </c>
      <c r="H926" s="395" t="n">
        <v>3103</v>
      </c>
      <c r="I926" s="395" t="n">
        <v>4</v>
      </c>
      <c r="J926" s="395" t="n">
        <v>8</v>
      </c>
      <c r="K926" s="395" t="n">
        <v>25</v>
      </c>
      <c r="L926" s="395" t="n">
        <v>3090</v>
      </c>
      <c r="M926" s="113" t="n"/>
      <c r="N926" s="113" t="n"/>
      <c r="O926" s="113" t="n"/>
      <c r="P926" s="398" t="n"/>
      <c r="Q926" s="398" t="n"/>
      <c r="R926" s="113" t="n"/>
      <c r="S926" s="113" t="n"/>
      <c r="T926" s="113" t="n"/>
      <c r="U926" s="113" t="n"/>
      <c r="V926" s="113" t="n"/>
    </row>
    <row r="927" ht="15.75" customHeight="1">
      <c r="A927" s="398" t="n">
        <v>18</v>
      </c>
      <c r="B927" s="238" t="n"/>
      <c r="C927" s="399" t="n">
        <v>46135</v>
      </c>
      <c r="D927" s="146" t="inlineStr">
        <is>
          <t>219 G. SAN JOSE 2</t>
        </is>
      </c>
      <c r="E927" s="146" t="n">
        <v>47547</v>
      </c>
      <c r="F927" s="146" t="inlineStr">
        <is>
          <t xml:space="preserve">ROBINSON PULIDO </t>
        </is>
      </c>
      <c r="G927" s="395" t="n">
        <v>3090</v>
      </c>
      <c r="H927" s="395" t="n">
        <v>3080</v>
      </c>
      <c r="I927" s="395" t="n">
        <v>2</v>
      </c>
      <c r="J927" s="395" t="n">
        <v>11</v>
      </c>
      <c r="K927" s="395" t="n">
        <v>3</v>
      </c>
      <c r="L927" s="395" t="n">
        <v>3090</v>
      </c>
      <c r="M927" s="113" t="n"/>
      <c r="N927" s="113" t="n"/>
      <c r="O927" s="113" t="n"/>
      <c r="P927" s="398" t="n"/>
      <c r="Q927" s="398" t="n"/>
      <c r="R927" s="113" t="n"/>
      <c r="S927" s="113" t="n"/>
      <c r="T927" s="113" t="n"/>
      <c r="U927" s="113" t="n"/>
      <c r="V927" s="113" t="n"/>
    </row>
    <row r="928" ht="15.75" customHeight="1">
      <c r="A928" s="398" t="n">
        <v>18</v>
      </c>
      <c r="B928" s="238" t="n"/>
      <c r="C928" s="399" t="n">
        <v>46135</v>
      </c>
      <c r="D928" s="146" t="inlineStr">
        <is>
          <t>219 G. SAN JOSE 2</t>
        </is>
      </c>
      <c r="E928" s="146" t="n">
        <v>47555</v>
      </c>
      <c r="F928" s="146" t="inlineStr">
        <is>
          <t>MANUEL QUITIAN</t>
        </is>
      </c>
      <c r="G928" s="395" t="n">
        <v>3230</v>
      </c>
      <c r="H928" s="395" t="n">
        <v>3238</v>
      </c>
      <c r="I928" s="395" t="n">
        <v>6</v>
      </c>
      <c r="J928" s="395" t="n">
        <v>2</v>
      </c>
      <c r="K928" s="395" t="n">
        <v>16</v>
      </c>
      <c r="L928" s="395" t="n">
        <v>3240</v>
      </c>
      <c r="M928" s="113" t="n"/>
      <c r="N928" s="113" t="n"/>
      <c r="O928" s="113" t="n"/>
      <c r="P928" s="398" t="n"/>
      <c r="Q928" s="398" t="n"/>
      <c r="R928" s="113" t="n"/>
      <c r="S928" s="113" t="n"/>
      <c r="T928" s="113" t="n"/>
      <c r="U928" s="113" t="n"/>
      <c r="V928" s="113" t="n"/>
    </row>
    <row r="929" ht="15.75" customHeight="1">
      <c r="A929" s="398" t="n">
        <v>18</v>
      </c>
      <c r="B929" s="238" t="n"/>
      <c r="C929" s="399" t="n">
        <v>46135</v>
      </c>
      <c r="D929" s="146" t="inlineStr">
        <is>
          <t>219 G. SAN JOSE 2</t>
        </is>
      </c>
      <c r="E929" s="146" t="n">
        <v>47556</v>
      </c>
      <c r="F929" s="146" t="inlineStr">
        <is>
          <t>JOSE SOLER</t>
        </is>
      </c>
      <c r="G929" s="395" t="n">
        <v>3230</v>
      </c>
      <c r="H929" s="395" t="n">
        <v>3228</v>
      </c>
      <c r="I929" s="395" t="n">
        <v>4</v>
      </c>
      <c r="J929" s="395" t="n">
        <v>3</v>
      </c>
      <c r="K929" s="395" t="n">
        <v>5</v>
      </c>
      <c r="L929" s="395" t="n">
        <v>3230</v>
      </c>
      <c r="M929" s="113" t="n"/>
      <c r="N929" s="113" t="n"/>
      <c r="O929" s="113" t="n"/>
      <c r="P929" s="398" t="n"/>
      <c r="Q929" s="398" t="n"/>
      <c r="R929" s="113" t="n"/>
      <c r="S929" s="113" t="n"/>
      <c r="T929" s="113" t="n"/>
      <c r="U929" s="113" t="n"/>
      <c r="V929" s="113" t="n"/>
    </row>
    <row r="930" ht="15.75" customHeight="1">
      <c r="A930" s="398" t="n">
        <v>18</v>
      </c>
      <c r="B930" s="238" t="n"/>
      <c r="C930" s="399" t="n">
        <v>46135</v>
      </c>
      <c r="D930" s="146" t="inlineStr">
        <is>
          <t>219 G. SAN JOSE 2</t>
        </is>
      </c>
      <c r="E930" s="146" t="n">
        <v>47557</v>
      </c>
      <c r="F930" s="146" t="inlineStr">
        <is>
          <t xml:space="preserve">ROBINSON PULIDO </t>
        </is>
      </c>
      <c r="G930" s="395" t="n">
        <v>3240</v>
      </c>
      <c r="H930" s="395" t="n">
        <v>3246</v>
      </c>
      <c r="I930" s="395" t="n">
        <v>2</v>
      </c>
      <c r="J930" s="395" t="n">
        <v>2</v>
      </c>
      <c r="K930" s="395" t="n">
        <v>10</v>
      </c>
      <c r="L930" s="395" t="n">
        <v>3240</v>
      </c>
      <c r="M930" s="113" t="n"/>
      <c r="N930" s="113" t="n"/>
      <c r="O930" s="113" t="n"/>
      <c r="P930" s="398" t="n"/>
      <c r="Q930" s="398" t="n"/>
      <c r="R930" s="113" t="n"/>
      <c r="S930" s="113" t="n"/>
      <c r="T930" s="113" t="n"/>
      <c r="U930" s="113" t="n"/>
      <c r="V930" s="113" t="n"/>
    </row>
    <row r="931" ht="15.75" customHeight="1">
      <c r="A931" s="398" t="n">
        <v>18</v>
      </c>
      <c r="B931" s="238" t="n"/>
      <c r="C931" s="399" t="n">
        <v>46135</v>
      </c>
      <c r="D931" s="146" t="inlineStr">
        <is>
          <t>219 G. SAN JOSE 2</t>
        </is>
      </c>
      <c r="E931" s="146" t="n">
        <v>47558</v>
      </c>
      <c r="F931" s="146" t="inlineStr">
        <is>
          <t>EDUAN CAVIEDES</t>
        </is>
      </c>
      <c r="G931" s="395" t="n">
        <v>3240</v>
      </c>
      <c r="H931" s="395" t="n">
        <v>3244</v>
      </c>
      <c r="I931" s="395" t="n">
        <v>3</v>
      </c>
      <c r="J931" s="395" t="n">
        <v>1</v>
      </c>
      <c r="K931" s="395" t="n">
        <v>8</v>
      </c>
      <c r="L931" s="395" t="n">
        <v>3240</v>
      </c>
      <c r="M931" s="113" t="n"/>
      <c r="N931" s="113" t="n"/>
      <c r="O931" s="113" t="n"/>
      <c r="P931" s="398" t="n"/>
      <c r="Q931" s="398" t="n"/>
      <c r="R931" s="113" t="n"/>
      <c r="S931" s="113" t="n"/>
      <c r="T931" s="113" t="n"/>
      <c r="U931" s="113" t="n"/>
      <c r="V931" s="113" t="n"/>
    </row>
    <row r="932" ht="15.75" customHeight="1">
      <c r="A932" s="398" t="n">
        <v>18</v>
      </c>
      <c r="B932" s="238" t="n"/>
      <c r="C932" s="399" t="n">
        <v>46135</v>
      </c>
      <c r="D932" s="146" t="inlineStr">
        <is>
          <t>219 G. SAN JOSE 2</t>
        </is>
      </c>
      <c r="E932" s="146" t="n">
        <v>47559</v>
      </c>
      <c r="F932" s="146" t="inlineStr">
        <is>
          <t>JHON ARIAS</t>
        </is>
      </c>
      <c r="G932" s="395" t="n">
        <v>3240</v>
      </c>
      <c r="H932" s="395" t="n">
        <v>3236</v>
      </c>
      <c r="I932" s="395" t="n">
        <v>2</v>
      </c>
      <c r="J932" s="395" t="n">
        <v>2</v>
      </c>
      <c r="K932" s="395" t="n">
        <v>0</v>
      </c>
      <c r="L932" s="395" t="n">
        <v>3240</v>
      </c>
      <c r="M932" s="113" t="n"/>
      <c r="N932" s="113" t="n"/>
      <c r="O932" s="113" t="n"/>
      <c r="P932" s="398" t="n"/>
      <c r="Q932" s="398" t="n"/>
      <c r="R932" s="113" t="n"/>
      <c r="S932" s="113" t="n"/>
      <c r="T932" s="113" t="n"/>
      <c r="U932" s="113" t="n"/>
      <c r="V932" s="113" t="n"/>
    </row>
    <row r="933" ht="15.75" customHeight="1">
      <c r="A933" s="398" t="n">
        <v>18</v>
      </c>
      <c r="B933" s="238" t="n"/>
      <c r="C933" s="399" t="n">
        <v>46135</v>
      </c>
      <c r="D933" s="146" t="inlineStr">
        <is>
          <t>219 G. SAN JOSE 2</t>
        </is>
      </c>
      <c r="E933" s="146" t="n">
        <v>47560</v>
      </c>
      <c r="F933" s="146" t="inlineStr">
        <is>
          <t xml:space="preserve">DIEGO NIÑO </t>
        </is>
      </c>
      <c r="G933" s="395" t="n">
        <v>3290</v>
      </c>
      <c r="H933" s="395" t="n">
        <v>3284</v>
      </c>
      <c r="I933" s="395" t="n">
        <v>2</v>
      </c>
      <c r="J933" s="395" t="n">
        <v>2</v>
      </c>
      <c r="K933" s="395" t="n">
        <v>-2</v>
      </c>
      <c r="L933" s="395" t="n">
        <v>3240</v>
      </c>
      <c r="M933" s="113" t="n"/>
      <c r="N933" s="113" t="n"/>
      <c r="O933" s="113" t="n"/>
      <c r="P933" s="398" t="n"/>
      <c r="Q933" s="398" t="n"/>
      <c r="R933" s="113" t="n"/>
      <c r="S933" s="113" t="n"/>
      <c r="T933" s="113" t="n"/>
      <c r="U933" s="113" t="n"/>
      <c r="V933" s="113" t="n"/>
    </row>
    <row r="934" ht="15.75" customHeight="1">
      <c r="A934" s="398" t="n">
        <v>18</v>
      </c>
      <c r="B934" s="238" t="n"/>
      <c r="C934" s="399" t="n">
        <v>46135</v>
      </c>
      <c r="D934" s="146" t="inlineStr">
        <is>
          <t>219 G. SAN JOSE 2</t>
        </is>
      </c>
      <c r="E934" s="146" t="n">
        <v>47561</v>
      </c>
      <c r="F934" s="146" t="inlineStr">
        <is>
          <t>ALBERTO LOPEZ</t>
        </is>
      </c>
      <c r="G934" s="395" t="n">
        <v>2620</v>
      </c>
      <c r="H934" s="395" t="n">
        <v>2617</v>
      </c>
      <c r="I934" s="395" t="n">
        <v>1</v>
      </c>
      <c r="J934" s="395" t="n">
        <v>2</v>
      </c>
      <c r="K934" s="395" t="n">
        <v>0</v>
      </c>
      <c r="L934" s="395" t="n">
        <v>2620</v>
      </c>
      <c r="M934" s="113" t="n"/>
      <c r="N934" s="113" t="n"/>
      <c r="O934" s="113" t="n"/>
      <c r="P934" s="398" t="n"/>
      <c r="Q934" s="398" t="n"/>
      <c r="R934" s="113" t="n"/>
      <c r="S934" s="113" t="n"/>
      <c r="T934" s="113" t="n"/>
      <c r="U934" s="113" t="n"/>
      <c r="V934" s="113" t="n"/>
    </row>
    <row r="935" ht="15.75" customHeight="1">
      <c r="A935" s="398" t="n">
        <v>18</v>
      </c>
      <c r="B935" s="238" t="n"/>
      <c r="C935" s="399" t="n">
        <v>46136</v>
      </c>
      <c r="D935" s="146" t="inlineStr">
        <is>
          <t>221 G. MALAGUEÑA</t>
        </is>
      </c>
      <c r="E935" s="146" t="n">
        <v>47575</v>
      </c>
      <c r="F935" s="146" t="inlineStr">
        <is>
          <t>DUMAR ANGARITA</t>
        </is>
      </c>
      <c r="G935" s="395" t="n">
        <v>2670</v>
      </c>
      <c r="H935" s="395" t="n">
        <v>2683</v>
      </c>
      <c r="I935" s="395" t="n">
        <v>7</v>
      </c>
      <c r="J935" s="395" t="n">
        <v>8</v>
      </c>
      <c r="K935" s="395" t="n">
        <v>28</v>
      </c>
      <c r="L935" s="395" t="n">
        <v>2670</v>
      </c>
      <c r="M935" s="113" t="n"/>
      <c r="N935" s="113" t="n"/>
      <c r="O935" s="113" t="n"/>
      <c r="P935" s="398" t="n"/>
      <c r="Q935" s="398" t="n"/>
      <c r="R935" s="113" t="n"/>
      <c r="S935" s="113" t="n"/>
      <c r="T935" s="113" t="n"/>
      <c r="U935" s="113" t="n"/>
      <c r="V935" s="113" t="n"/>
    </row>
    <row r="936" ht="15.75" customHeight="1">
      <c r="A936" s="398" t="n">
        <v>18</v>
      </c>
      <c r="B936" s="238" t="n"/>
      <c r="C936" s="399" t="n">
        <v>46136</v>
      </c>
      <c r="D936" s="146" t="inlineStr">
        <is>
          <t>221 G. MALAGUEÑA</t>
        </is>
      </c>
      <c r="E936" s="146" t="n">
        <v>47576</v>
      </c>
      <c r="F936" s="146" t="inlineStr">
        <is>
          <t>ALBERTO LOPEZ</t>
        </is>
      </c>
      <c r="G936" s="395" t="n">
        <v>2670</v>
      </c>
      <c r="H936" s="395" t="n">
        <v>2680</v>
      </c>
      <c r="I936" s="395" t="n">
        <v>5</v>
      </c>
      <c r="J936" s="395" t="n">
        <v>7</v>
      </c>
      <c r="K936" s="395" t="n">
        <v>22</v>
      </c>
      <c r="L936" s="395" t="n">
        <v>2670</v>
      </c>
      <c r="M936" s="113" t="n"/>
      <c r="N936" s="113" t="n"/>
      <c r="O936" s="113" t="n"/>
      <c r="P936" s="398" t="n"/>
      <c r="Q936" s="398" t="n"/>
      <c r="R936" s="113" t="n"/>
      <c r="S936" s="113" t="n"/>
      <c r="T936" s="113" t="n"/>
      <c r="U936" s="113" t="n"/>
      <c r="V936" s="113" t="n"/>
    </row>
    <row r="937" ht="15.75" customHeight="1">
      <c r="A937" s="398" t="n">
        <v>18</v>
      </c>
      <c r="B937" s="238" t="n"/>
      <c r="C937" s="399" t="n">
        <v>46136</v>
      </c>
      <c r="D937" s="146" t="inlineStr">
        <is>
          <t>221 G. MALAGUEÑA</t>
        </is>
      </c>
      <c r="E937" s="146" t="n">
        <v>47577</v>
      </c>
      <c r="F937" s="146" t="inlineStr">
        <is>
          <t>HENRY ROMERO</t>
        </is>
      </c>
      <c r="G937" s="395" t="n">
        <v>2670</v>
      </c>
      <c r="H937" s="395" t="n">
        <v>2718</v>
      </c>
      <c r="I937" s="395" t="n">
        <v>7</v>
      </c>
      <c r="J937" s="395" t="n">
        <v>4</v>
      </c>
      <c r="K937" s="395" t="n">
        <v>59</v>
      </c>
      <c r="L937" s="395" t="n">
        <v>2670</v>
      </c>
      <c r="M937" s="113" t="n"/>
      <c r="N937" s="113" t="n"/>
      <c r="O937" s="113" t="n"/>
      <c r="P937" s="398" t="n"/>
      <c r="Q937" s="398" t="n"/>
      <c r="R937" s="113" t="n"/>
      <c r="S937" s="113" t="n"/>
      <c r="T937" s="113" t="n"/>
      <c r="U937" s="113" t="n"/>
      <c r="V937" s="113" t="n"/>
    </row>
    <row r="938" ht="15.75" customHeight="1">
      <c r="A938" s="398" t="n">
        <v>18</v>
      </c>
      <c r="B938" s="238" t="n"/>
      <c r="C938" s="399" t="n">
        <v>46136</v>
      </c>
      <c r="D938" s="146" t="inlineStr">
        <is>
          <t>221 G. MALAGUEÑA</t>
        </is>
      </c>
      <c r="E938" s="146" t="n">
        <v>47578</v>
      </c>
      <c r="F938" s="146" t="inlineStr">
        <is>
          <t>WILMER PIÑEROS</t>
        </is>
      </c>
      <c r="G938" s="395" t="n">
        <v>3220</v>
      </c>
      <c r="H938" s="395" t="n">
        <v>3211</v>
      </c>
      <c r="I938" s="395" t="n">
        <v>3</v>
      </c>
      <c r="J938" s="395" t="n">
        <v>5</v>
      </c>
      <c r="K938" s="395" t="n">
        <v>-1</v>
      </c>
      <c r="L938" s="395" t="n">
        <v>2220</v>
      </c>
      <c r="M938" s="113" t="n"/>
      <c r="N938" s="113" t="n"/>
      <c r="O938" s="113" t="n"/>
      <c r="P938" s="398" t="n"/>
      <c r="Q938" s="398" t="n"/>
      <c r="R938" s="113" t="n"/>
      <c r="S938" s="113" t="n"/>
      <c r="T938" s="113" t="n"/>
      <c r="U938" s="113" t="n"/>
      <c r="V938" s="113" t="n"/>
    </row>
    <row r="939" ht="15.75" customHeight="1">
      <c r="A939" s="398" t="n">
        <v>18</v>
      </c>
      <c r="B939" s="238" t="n"/>
      <c r="C939" s="399" t="n">
        <v>46136</v>
      </c>
      <c r="D939" s="146" t="inlineStr">
        <is>
          <t>221 G. MALAGUEÑA</t>
        </is>
      </c>
      <c r="E939" s="146" t="n">
        <v>47579</v>
      </c>
      <c r="F939" s="146" t="inlineStr">
        <is>
          <t xml:space="preserve">SEBASTIAN HIDALGO </t>
        </is>
      </c>
      <c r="G939" s="395" t="n">
        <v>3220</v>
      </c>
      <c r="H939" s="395" t="n">
        <v>3214</v>
      </c>
      <c r="I939" s="395" t="n">
        <v>6</v>
      </c>
      <c r="J939" s="395" t="n">
        <v>2</v>
      </c>
      <c r="K939" s="395" t="n">
        <v>2</v>
      </c>
      <c r="L939" s="395" t="n">
        <v>3220</v>
      </c>
      <c r="M939" s="113" t="n"/>
      <c r="N939" s="113" t="n"/>
      <c r="O939" s="113" t="n"/>
      <c r="P939" s="398" t="n"/>
      <c r="Q939" s="398" t="n"/>
      <c r="R939" s="113" t="n"/>
      <c r="S939" s="113" t="n"/>
      <c r="T939" s="113" t="n"/>
      <c r="U939" s="113" t="n"/>
      <c r="V939" s="113" t="n"/>
    </row>
    <row r="940" ht="15.75" customHeight="1">
      <c r="A940" s="398" t="n">
        <v>18</v>
      </c>
      <c r="B940" s="238" t="n"/>
      <c r="C940" s="399" t="n">
        <v>46136</v>
      </c>
      <c r="D940" s="146" t="inlineStr">
        <is>
          <t>221 G. MALAGUEÑA</t>
        </is>
      </c>
      <c r="E940" s="146" t="n">
        <v>47580</v>
      </c>
      <c r="F940" s="146" t="inlineStr">
        <is>
          <t>FABIO ALDANA</t>
        </is>
      </c>
      <c r="G940" s="395" t="n">
        <v>3220</v>
      </c>
      <c r="H940" s="395" t="n">
        <v>3222</v>
      </c>
      <c r="I940" s="395" t="n">
        <v>1</v>
      </c>
      <c r="J940" s="395" t="n">
        <v>1</v>
      </c>
      <c r="K940" s="395" t="n">
        <v>4</v>
      </c>
      <c r="L940" s="395" t="n">
        <v>3220</v>
      </c>
      <c r="M940" s="113" t="n"/>
      <c r="N940" s="113" t="n"/>
      <c r="O940" s="113" t="n"/>
      <c r="P940" s="398" t="n"/>
      <c r="Q940" s="398" t="n"/>
      <c r="R940" s="113" t="n"/>
      <c r="S940" s="113" t="n"/>
      <c r="T940" s="113" t="n"/>
      <c r="U940" s="113" t="n"/>
      <c r="V940" s="113" t="n"/>
    </row>
    <row r="941" ht="15.75" customHeight="1">
      <c r="A941" s="398" t="n">
        <v>18</v>
      </c>
      <c r="B941" s="238" t="n"/>
      <c r="C941" s="399" t="n">
        <v>46136</v>
      </c>
      <c r="D941" s="146" t="inlineStr">
        <is>
          <t>221 G. MALAGUEÑA</t>
        </is>
      </c>
      <c r="E941" s="146" t="n">
        <v>47581</v>
      </c>
      <c r="F941" s="146" t="inlineStr">
        <is>
          <t>FERNANDO OYUELA</t>
        </is>
      </c>
      <c r="G941" s="395" t="n">
        <v>3220</v>
      </c>
      <c r="H941" s="395" t="n">
        <v>3225</v>
      </c>
      <c r="I941" s="395" t="n">
        <v>2</v>
      </c>
      <c r="J941" s="395" t="n">
        <v>2</v>
      </c>
      <c r="K941" s="395" t="n">
        <v>9</v>
      </c>
      <c r="L941" s="395" t="n">
        <v>2220</v>
      </c>
      <c r="M941" s="113" t="n"/>
      <c r="N941" s="113" t="n"/>
      <c r="O941" s="113" t="n"/>
      <c r="P941" s="398" t="n"/>
      <c r="Q941" s="398" t="n"/>
      <c r="R941" s="113" t="n"/>
      <c r="S941" s="113" t="n"/>
      <c r="T941" s="113" t="n"/>
      <c r="U941" s="113" t="n"/>
      <c r="V941" s="113" t="n"/>
    </row>
    <row r="942" ht="15.75" customHeight="1">
      <c r="A942" s="398" t="n">
        <v>18</v>
      </c>
      <c r="B942" s="238" t="n"/>
      <c r="C942" s="399" t="n">
        <v>46136</v>
      </c>
      <c r="D942" s="146" t="inlineStr">
        <is>
          <t>221 G. MALAGUEÑA</t>
        </is>
      </c>
      <c r="E942" s="146" t="n">
        <v>47591</v>
      </c>
      <c r="F942" s="146" t="inlineStr">
        <is>
          <t>YAIR RIVEROS</t>
        </is>
      </c>
      <c r="G942" s="395" t="n">
        <v>3220</v>
      </c>
      <c r="H942" s="395" t="n">
        <v>3215</v>
      </c>
      <c r="I942" s="395" t="n">
        <v>2</v>
      </c>
      <c r="J942" s="395" t="n">
        <v>7</v>
      </c>
      <c r="K942" s="395" t="n">
        <v>4</v>
      </c>
      <c r="L942" s="395" t="n">
        <v>3320</v>
      </c>
      <c r="M942" s="113" t="n"/>
      <c r="N942" s="113" t="n"/>
      <c r="O942" s="113" t="n"/>
      <c r="P942" s="398" t="n"/>
      <c r="Q942" s="398" t="n"/>
      <c r="R942" s="113" t="n"/>
      <c r="S942" s="113" t="n"/>
      <c r="T942" s="113" t="n"/>
      <c r="U942" s="113" t="n"/>
      <c r="V942" s="113" t="n"/>
    </row>
    <row r="943" ht="15.75" customHeight="1">
      <c r="A943" s="398" t="n">
        <v>18</v>
      </c>
      <c r="B943" s="238" t="n"/>
      <c r="C943" s="399" t="n">
        <v>46136</v>
      </c>
      <c r="D943" s="146" t="inlineStr">
        <is>
          <t>221 G. MALAGUEÑA</t>
        </is>
      </c>
      <c r="E943" s="146" t="n">
        <v>47592</v>
      </c>
      <c r="F943" s="146" t="inlineStr">
        <is>
          <t>ALBERTO LOPEZ</t>
        </is>
      </c>
      <c r="G943" s="395" t="n">
        <v>3220</v>
      </c>
      <c r="H943" s="395" t="n">
        <v>3217</v>
      </c>
      <c r="I943" s="395" t="n">
        <v>1</v>
      </c>
      <c r="J943" s="395" t="n">
        <v>6</v>
      </c>
      <c r="K943" s="395" t="n">
        <v>4</v>
      </c>
      <c r="L943" s="395" t="n">
        <v>3220</v>
      </c>
      <c r="M943" s="113" t="n"/>
      <c r="N943" s="113" t="n"/>
      <c r="O943" s="113" t="n"/>
      <c r="P943" s="398" t="n"/>
      <c r="Q943" s="398" t="n"/>
      <c r="R943" s="113" t="n"/>
      <c r="S943" s="113" t="n"/>
      <c r="T943" s="113" t="n"/>
      <c r="U943" s="113" t="n"/>
      <c r="V943" s="113" t="n"/>
    </row>
    <row r="944" ht="15.75" customHeight="1">
      <c r="A944" s="398" t="n">
        <v>18</v>
      </c>
      <c r="B944" s="238" t="n"/>
      <c r="C944" s="399" t="n">
        <v>46136</v>
      </c>
      <c r="D944" s="146" t="inlineStr">
        <is>
          <t>221 G. MALAGUEÑA</t>
        </is>
      </c>
      <c r="E944" s="146" t="n">
        <v>47593</v>
      </c>
      <c r="F944" s="146" t="inlineStr">
        <is>
          <t>WILMER PIÑEROS</t>
        </is>
      </c>
      <c r="G944" s="395" t="n">
        <v>3220</v>
      </c>
      <c r="H944" s="395" t="n">
        <v>3213</v>
      </c>
      <c r="I944" s="395" t="n">
        <v>2</v>
      </c>
      <c r="J944" s="395" t="n">
        <v>8</v>
      </c>
      <c r="K944" s="395" t="n">
        <v>3</v>
      </c>
      <c r="L944" s="395" t="n">
        <v>3220</v>
      </c>
      <c r="M944" s="113" t="n"/>
      <c r="N944" s="113" t="n"/>
      <c r="O944" s="113" t="n"/>
      <c r="P944" s="398" t="n"/>
      <c r="Q944" s="398" t="n"/>
      <c r="R944" s="113" t="n"/>
      <c r="S944" s="113" t="n"/>
      <c r="T944" s="113" t="n"/>
      <c r="U944" s="113" t="n"/>
      <c r="V944" s="113" t="n"/>
    </row>
    <row r="945" ht="15.75" customHeight="1">
      <c r="A945" s="398" t="n">
        <v>18</v>
      </c>
      <c r="B945" s="238" t="n"/>
      <c r="C945" s="399" t="n">
        <v>46136</v>
      </c>
      <c r="D945" s="146" t="inlineStr">
        <is>
          <t>221 G. MALAGUEÑA</t>
        </is>
      </c>
      <c r="E945" s="146" t="n">
        <v>47594</v>
      </c>
      <c r="F945" s="146" t="inlineStr">
        <is>
          <t xml:space="preserve">SEBASTIAN HIDALGO </t>
        </is>
      </c>
      <c r="G945" s="395" t="n">
        <v>2800</v>
      </c>
      <c r="H945" s="395" t="n">
        <v>2797</v>
      </c>
      <c r="I945" s="395" t="n">
        <v>1</v>
      </c>
      <c r="J945" s="395" t="n">
        <v>4</v>
      </c>
      <c r="K945" s="395" t="n">
        <v>2</v>
      </c>
      <c r="L945" s="395" t="n">
        <v>2800</v>
      </c>
      <c r="M945" s="113" t="n"/>
      <c r="N945" s="113" t="n"/>
      <c r="O945" s="113" t="n"/>
      <c r="P945" s="398" t="n"/>
      <c r="Q945" s="398" t="n"/>
      <c r="R945" s="113" t="n"/>
      <c r="S945" s="113" t="n"/>
      <c r="T945" s="113" t="n"/>
      <c r="U945" s="113" t="n"/>
      <c r="V945" s="113" t="n"/>
    </row>
    <row r="946" ht="15.75" customHeight="1">
      <c r="A946" s="398" t="n">
        <v>18</v>
      </c>
      <c r="B946" s="238" t="n"/>
      <c r="C946" s="399" t="n">
        <v>46136</v>
      </c>
      <c r="D946" s="146" t="inlineStr">
        <is>
          <t>221 G. MALAGUEÑA</t>
        </is>
      </c>
      <c r="E946" s="146" t="n">
        <v>47595</v>
      </c>
      <c r="F946" s="146" t="inlineStr">
        <is>
          <t>MANUEL QUITIAN</t>
        </is>
      </c>
      <c r="G946" s="395" t="n">
        <v>2800</v>
      </c>
      <c r="H946" s="395" t="n">
        <v>2802</v>
      </c>
      <c r="I946" s="395" t="n">
        <v>2</v>
      </c>
      <c r="J946" s="395" t="n">
        <v>0</v>
      </c>
      <c r="K946" s="395" t="n">
        <v>4</v>
      </c>
      <c r="L946" s="395" t="n">
        <v>2800</v>
      </c>
      <c r="M946" s="113" t="n"/>
      <c r="N946" s="113" t="n"/>
      <c r="O946" s="113" t="n"/>
      <c r="P946" s="398" t="n"/>
      <c r="Q946" s="398" t="n"/>
      <c r="R946" s="113" t="n"/>
      <c r="S946" s="113" t="n"/>
      <c r="T946" s="113" t="n"/>
      <c r="U946" s="113" t="n"/>
      <c r="V946" s="113" t="n"/>
    </row>
    <row r="947" ht="15.75" customHeight="1">
      <c r="A947" s="398" t="n">
        <v>18</v>
      </c>
      <c r="B947" s="238" t="n"/>
      <c r="C947" s="399" t="n">
        <v>46136</v>
      </c>
      <c r="D947" s="146" t="inlineStr">
        <is>
          <t>219 G. SAN JOSE 2</t>
        </is>
      </c>
      <c r="E947" s="146" t="n">
        <v>47604</v>
      </c>
      <c r="F947" s="146" t="inlineStr">
        <is>
          <t>ALEX GOMEZ</t>
        </is>
      </c>
      <c r="G947" s="395" t="n">
        <v>3090</v>
      </c>
      <c r="H947" s="395" t="n">
        <v>3086</v>
      </c>
      <c r="I947" s="395" t="n">
        <v>2</v>
      </c>
      <c r="J947" s="395" t="n">
        <v>4</v>
      </c>
      <c r="K947" s="395" t="n">
        <v>2</v>
      </c>
      <c r="L947" s="395" t="n">
        <v>3090</v>
      </c>
      <c r="M947" s="113" t="n"/>
      <c r="N947" s="113" t="n"/>
      <c r="O947" s="113" t="n"/>
      <c r="P947" s="398" t="n"/>
      <c r="Q947" s="398" t="n"/>
      <c r="R947" s="113" t="n"/>
      <c r="S947" s="113" t="n"/>
      <c r="T947" s="113" t="n"/>
      <c r="U947" s="113" t="n"/>
      <c r="V947" s="113" t="n"/>
    </row>
    <row r="948" ht="15.75" customHeight="1">
      <c r="A948" s="398" t="n">
        <v>18</v>
      </c>
      <c r="B948" s="238" t="n"/>
      <c r="C948" s="399" t="n">
        <v>46136</v>
      </c>
      <c r="D948" s="146" t="inlineStr">
        <is>
          <t>219 G. SAN JOSE 2</t>
        </is>
      </c>
      <c r="E948" s="146" t="n">
        <v>47605</v>
      </c>
      <c r="F948" s="146" t="inlineStr">
        <is>
          <t>FABIO ALDANA</t>
        </is>
      </c>
      <c r="G948" s="395" t="n">
        <v>3090</v>
      </c>
      <c r="H948" s="395" t="n">
        <v>3088</v>
      </c>
      <c r="I948" s="395" t="n">
        <v>2</v>
      </c>
      <c r="J948" s="395" t="n">
        <v>3</v>
      </c>
      <c r="K948" s="395" t="n">
        <v>3</v>
      </c>
      <c r="L948" s="395" t="n">
        <v>3090</v>
      </c>
      <c r="M948" s="113" t="n"/>
      <c r="N948" s="113" t="n"/>
      <c r="O948" s="113" t="n"/>
      <c r="P948" s="398" t="n"/>
      <c r="Q948" s="398" t="n"/>
      <c r="R948" s="113" t="n"/>
      <c r="S948" s="113" t="n"/>
      <c r="T948" s="113" t="n"/>
      <c r="U948" s="113" t="n"/>
      <c r="V948" s="113" t="n"/>
    </row>
    <row r="949" ht="15.75" customHeight="1">
      <c r="A949" s="398" t="n">
        <v>18</v>
      </c>
      <c r="B949" s="238" t="n"/>
      <c r="C949" s="399" t="n">
        <v>46136</v>
      </c>
      <c r="D949" s="146" t="inlineStr">
        <is>
          <t>219 G. SAN JOSE 2</t>
        </is>
      </c>
      <c r="E949" s="146" t="n">
        <v>47606</v>
      </c>
      <c r="F949" s="146" t="inlineStr">
        <is>
          <t>FERNANDO OYUELA</t>
        </is>
      </c>
      <c r="G949" s="395" t="n">
        <v>3090</v>
      </c>
      <c r="H949" s="395" t="n">
        <v>3086</v>
      </c>
      <c r="I949" s="395" t="n">
        <v>1</v>
      </c>
      <c r="J949" s="395" t="n">
        <v>4</v>
      </c>
      <c r="K949" s="395" t="n">
        <v>1</v>
      </c>
      <c r="L949" s="395" t="n">
        <v>3090</v>
      </c>
      <c r="M949" s="113" t="n"/>
      <c r="N949" s="113" t="n"/>
      <c r="O949" s="113" t="n"/>
      <c r="P949" s="398" t="n"/>
      <c r="Q949" s="398" t="n"/>
      <c r="R949" s="113" t="n"/>
      <c r="S949" s="113" t="n"/>
      <c r="T949" s="113" t="n"/>
      <c r="U949" s="113" t="n"/>
      <c r="V949" s="113" t="n"/>
    </row>
    <row r="950" ht="15.75" customHeight="1">
      <c r="A950" s="398" t="n">
        <v>18</v>
      </c>
      <c r="B950" s="238" t="n"/>
      <c r="C950" s="399" t="n">
        <v>46137</v>
      </c>
      <c r="D950" s="146" t="inlineStr">
        <is>
          <t>221 G. MALAGUEÑA</t>
        </is>
      </c>
      <c r="E950" s="146" t="n">
        <v>47612</v>
      </c>
      <c r="F950" s="146" t="inlineStr">
        <is>
          <t>EDUAN CAVIEDES</t>
        </is>
      </c>
      <c r="G950" s="395" t="n">
        <v>3512</v>
      </c>
      <c r="H950" s="395" t="n">
        <v>3489</v>
      </c>
      <c r="I950" s="395" t="n">
        <v>3</v>
      </c>
      <c r="J950" s="395" t="n">
        <v>7</v>
      </c>
      <c r="K950" s="395" t="n">
        <v>-13</v>
      </c>
      <c r="L950" s="395" t="n">
        <v>3512</v>
      </c>
      <c r="M950" s="113" t="n"/>
      <c r="N950" s="113" t="n"/>
      <c r="O950" s="113" t="n"/>
      <c r="P950" s="398" t="n"/>
      <c r="Q950" s="398" t="n"/>
      <c r="R950" s="113" t="n"/>
      <c r="S950" s="113" t="n"/>
      <c r="T950" s="113" t="n"/>
      <c r="U950" s="113" t="n"/>
      <c r="V950" s="113" t="n"/>
    </row>
    <row r="951" ht="15.75" customHeight="1">
      <c r="A951" s="398" t="n">
        <v>18</v>
      </c>
      <c r="B951" s="238" t="n"/>
      <c r="C951" s="399" t="n">
        <v>46137</v>
      </c>
      <c r="D951" s="146" t="inlineStr">
        <is>
          <t>219 G. SAN JOSE 2</t>
        </is>
      </c>
      <c r="E951" s="146" t="n">
        <v>47613</v>
      </c>
      <c r="F951" s="146" t="inlineStr">
        <is>
          <t>HENRY ROMERO</t>
        </is>
      </c>
      <c r="G951" s="395" t="n">
        <v>2110</v>
      </c>
      <c r="H951" s="395" t="n">
        <v>2091</v>
      </c>
      <c r="I951" s="395" t="n">
        <v>3</v>
      </c>
      <c r="J951" s="395" t="n">
        <v>21</v>
      </c>
      <c r="K951" s="395" t="n">
        <v>5</v>
      </c>
      <c r="L951" s="395" t="n">
        <v>2880</v>
      </c>
      <c r="M951" s="113" t="n"/>
      <c r="N951" s="113" t="n"/>
      <c r="O951" s="113" t="n"/>
      <c r="P951" s="398" t="n"/>
      <c r="Q951" s="398" t="n"/>
      <c r="R951" s="113" t="n"/>
      <c r="S951" s="113" t="n"/>
      <c r="T951" s="113" t="n"/>
      <c r="U951" s="113" t="n"/>
      <c r="V951" s="113" t="n"/>
    </row>
    <row r="952" ht="15.75" customHeight="1">
      <c r="A952" s="398" t="n">
        <v>18</v>
      </c>
      <c r="B952" s="238" t="n"/>
      <c r="C952" s="399" t="n">
        <v>46137</v>
      </c>
      <c r="D952" s="146" t="inlineStr">
        <is>
          <t>221 G. MALAGUEÑA</t>
        </is>
      </c>
      <c r="E952" s="146" t="n">
        <v>47619</v>
      </c>
      <c r="F952" s="146" t="inlineStr">
        <is>
          <t>MANUEL QUITIAN</t>
        </is>
      </c>
      <c r="G952" s="395" t="n">
        <v>2880</v>
      </c>
      <c r="H952" s="395" t="n">
        <v>2888</v>
      </c>
      <c r="I952" s="395" t="n">
        <v>2</v>
      </c>
      <c r="J952" s="395" t="n">
        <v>2</v>
      </c>
      <c r="K952" s="395" t="n">
        <v>12</v>
      </c>
      <c r="L952" s="395" t="n">
        <v>2110</v>
      </c>
      <c r="M952" s="113" t="n"/>
      <c r="N952" s="113" t="n"/>
      <c r="O952" s="113" t="n"/>
      <c r="P952" s="398" t="n"/>
      <c r="Q952" s="398" t="n"/>
      <c r="R952" s="113" t="n"/>
      <c r="S952" s="113" t="n"/>
      <c r="T952" s="113" t="n"/>
      <c r="U952" s="113" t="n"/>
      <c r="V952" s="113" t="n"/>
    </row>
    <row r="953" ht="15.75" customHeight="1">
      <c r="A953" s="398" t="n">
        <v>18</v>
      </c>
      <c r="B953" s="238" t="n"/>
      <c r="C953" s="399" t="n">
        <v>46137</v>
      </c>
      <c r="D953" s="146" t="inlineStr">
        <is>
          <t>219 G. SAN JOSE 2</t>
        </is>
      </c>
      <c r="E953" s="146" t="n">
        <v>47620</v>
      </c>
      <c r="F953" s="146" t="inlineStr">
        <is>
          <t>EDWIN ROJAS</t>
        </is>
      </c>
      <c r="G953" s="395" t="n">
        <v>2800</v>
      </c>
      <c r="H953" s="395" t="n">
        <v>2803</v>
      </c>
      <c r="I953" s="395" t="n">
        <v>1</v>
      </c>
      <c r="J953" s="395" t="n">
        <v>2</v>
      </c>
      <c r="K953" s="395" t="n">
        <v>6</v>
      </c>
      <c r="L953" s="395" t="n">
        <v>2800</v>
      </c>
      <c r="M953" s="113" t="n"/>
      <c r="N953" s="113" t="n"/>
      <c r="O953" s="113" t="n"/>
      <c r="P953" s="398" t="n"/>
      <c r="Q953" s="398" t="n"/>
      <c r="R953" s="113" t="n"/>
      <c r="S953" s="113" t="n"/>
      <c r="T953" s="113" t="n"/>
      <c r="U953" s="113" t="n"/>
      <c r="V953" s="113" t="n"/>
    </row>
    <row r="954" ht="15.75" customHeight="1">
      <c r="A954" s="398" t="n">
        <v>18</v>
      </c>
      <c r="B954" s="238" t="n"/>
      <c r="C954" s="399" t="n">
        <v>46137</v>
      </c>
      <c r="D954" s="146" t="inlineStr">
        <is>
          <t>219 G. SAN JOSE 2</t>
        </is>
      </c>
      <c r="E954" s="146" t="n">
        <v>47621</v>
      </c>
      <c r="F954" s="146" t="inlineStr">
        <is>
          <t>YAIR RIVEROS</t>
        </is>
      </c>
      <c r="G954" s="395" t="n">
        <v>2800</v>
      </c>
      <c r="H954" s="395" t="n">
        <v>2820</v>
      </c>
      <c r="I954" s="395" t="n">
        <v>1</v>
      </c>
      <c r="J954" s="395" t="n">
        <v>0</v>
      </c>
      <c r="K954" s="395" t="n">
        <v>21</v>
      </c>
      <c r="L954" s="395" t="n">
        <v>2800</v>
      </c>
      <c r="M954" s="113" t="n"/>
      <c r="N954" s="113" t="n"/>
      <c r="O954" s="113" t="n"/>
      <c r="P954" s="398" t="n"/>
      <c r="Q954" s="398" t="n"/>
      <c r="R954" s="113" t="n"/>
      <c r="S954" s="113" t="n"/>
      <c r="T954" s="113" t="n"/>
      <c r="U954" s="113" t="n"/>
      <c r="V954" s="113" t="n"/>
    </row>
    <row r="955" ht="15.75" customHeight="1">
      <c r="A955" s="398" t="n">
        <v>18</v>
      </c>
      <c r="B955" s="238" t="n"/>
      <c r="C955" s="399" t="n">
        <v>46137</v>
      </c>
      <c r="D955" s="146" t="inlineStr">
        <is>
          <t>219 G. SAN JOSE 2</t>
        </is>
      </c>
      <c r="E955" s="146" t="n">
        <v>47622</v>
      </c>
      <c r="F955" s="146" t="inlineStr">
        <is>
          <t>ALBERTO LOPEZ</t>
        </is>
      </c>
      <c r="G955" s="395" t="n">
        <v>3080</v>
      </c>
      <c r="H955" s="395" t="n">
        <v>3088</v>
      </c>
      <c r="I955" s="395" t="n">
        <v>2</v>
      </c>
      <c r="J955" s="395" t="n">
        <v>1</v>
      </c>
      <c r="K955" s="395" t="n">
        <v>11</v>
      </c>
      <c r="L955" s="395" t="n">
        <v>3080</v>
      </c>
      <c r="M955" s="113" t="n"/>
      <c r="N955" s="395" t="n"/>
      <c r="O955" s="395" t="n"/>
      <c r="P955" s="398" t="n"/>
      <c r="Q955" s="398" t="n"/>
      <c r="R955" s="113" t="n"/>
      <c r="S955" s="113" t="n"/>
      <c r="T955" s="113" t="n"/>
      <c r="U955" s="113" t="n"/>
      <c r="V955" s="113" t="n"/>
    </row>
    <row r="956" ht="15.75" customHeight="1">
      <c r="A956" s="398" t="n">
        <v>18</v>
      </c>
      <c r="B956" s="238" t="n"/>
      <c r="C956" s="399" t="n">
        <v>46137</v>
      </c>
      <c r="D956" s="162" t="inlineStr">
        <is>
          <t>219 G. SAN JOSE 2</t>
        </is>
      </c>
      <c r="E956" s="162" t="n">
        <v>47623</v>
      </c>
      <c r="F956" s="162" t="inlineStr">
        <is>
          <t>JAIRO CUBILLOS</t>
        </is>
      </c>
      <c r="G956" s="162" t="n">
        <v>3080</v>
      </c>
      <c r="H956" s="162" t="n">
        <v>3086</v>
      </c>
      <c r="I956" s="162" t="n">
        <v>1</v>
      </c>
      <c r="J956" s="162" t="n">
        <v>4</v>
      </c>
      <c r="K956" s="162" t="n">
        <v>11</v>
      </c>
      <c r="L956" s="395" t="n">
        <v>3080</v>
      </c>
      <c r="M956" s="113" t="n"/>
      <c r="N956" s="113" t="n"/>
      <c r="O956" s="113" t="n"/>
      <c r="P956" s="398" t="n"/>
      <c r="Q956" s="398" t="n"/>
      <c r="R956" s="113" t="n"/>
      <c r="S956" s="113" t="n"/>
      <c r="T956" s="113" t="n"/>
      <c r="U956" s="113" t="n"/>
      <c r="V956" s="113" t="n"/>
    </row>
    <row r="957" ht="15.75" customHeight="1">
      <c r="A957" s="398" t="n">
        <v>18</v>
      </c>
      <c r="B957" s="238" t="n"/>
      <c r="C957" s="399" t="n">
        <v>46137</v>
      </c>
      <c r="D957" s="162" t="inlineStr">
        <is>
          <t>219 G. SAN JOSE 2</t>
        </is>
      </c>
      <c r="E957" s="162" t="n">
        <v>47624</v>
      </c>
      <c r="F957" s="162" t="inlineStr">
        <is>
          <t>ALEX GOMEZ</t>
        </is>
      </c>
      <c r="G957" s="162" t="n">
        <v>3742</v>
      </c>
      <c r="H957" s="162" t="n">
        <v>3769</v>
      </c>
      <c r="I957" s="162" t="n">
        <v>2</v>
      </c>
      <c r="J957" s="162" t="n">
        <v>4</v>
      </c>
      <c r="K957" s="162" t="n">
        <v>33</v>
      </c>
      <c r="L957" s="395" t="n">
        <v>3744</v>
      </c>
      <c r="M957" s="113" t="n"/>
      <c r="N957" s="113" t="n"/>
      <c r="O957" s="113" t="n"/>
      <c r="P957" s="398" t="n"/>
      <c r="Q957" s="398" t="n"/>
      <c r="R957" s="113" t="n"/>
      <c r="S957" s="113" t="n"/>
      <c r="T957" s="113" t="n"/>
      <c r="U957" s="113" t="n"/>
      <c r="V957" s="113" t="n"/>
    </row>
    <row r="958" ht="15.75" customHeight="1">
      <c r="A958" s="398" t="n">
        <v>18</v>
      </c>
      <c r="B958" s="238" t="n"/>
      <c r="C958" s="399" t="n">
        <v>46137</v>
      </c>
      <c r="D958" s="162" t="inlineStr">
        <is>
          <t>219 G. SAN JOSE 2</t>
        </is>
      </c>
      <c r="E958" s="162" t="n">
        <v>47625</v>
      </c>
      <c r="F958" s="162" t="inlineStr">
        <is>
          <t>JOSE SOLER</t>
        </is>
      </c>
      <c r="G958" s="162" t="n">
        <v>3742</v>
      </c>
      <c r="H958" s="162" t="n">
        <v>3768</v>
      </c>
      <c r="I958" s="162" t="n">
        <v>2</v>
      </c>
      <c r="J958" s="162" t="n">
        <v>2</v>
      </c>
      <c r="K958" s="162" t="n">
        <v>30</v>
      </c>
      <c r="L958" s="395" t="n">
        <v>3744</v>
      </c>
      <c r="M958" s="113" t="n"/>
      <c r="N958" s="113" t="n"/>
      <c r="O958" s="113" t="n"/>
      <c r="P958" s="398" t="n"/>
      <c r="Q958" s="398" t="n"/>
      <c r="R958" s="113" t="n"/>
      <c r="S958" s="113" t="n"/>
      <c r="T958" s="113" t="n"/>
      <c r="U958" s="113" t="n"/>
      <c r="V958" s="113" t="n"/>
    </row>
    <row r="959" ht="15.75" customHeight="1">
      <c r="A959" s="398" t="n">
        <v>18</v>
      </c>
      <c r="B959" s="238" t="n"/>
      <c r="C959" s="399" t="n">
        <v>46137</v>
      </c>
      <c r="D959" s="162" t="inlineStr">
        <is>
          <t>219 G. SAN JOSE 2</t>
        </is>
      </c>
      <c r="E959" s="162" t="n">
        <v>47626</v>
      </c>
      <c r="F959" s="162" t="inlineStr">
        <is>
          <t>EDUAN CAVIEDES</t>
        </is>
      </c>
      <c r="G959" s="162" t="n">
        <v>3742</v>
      </c>
      <c r="H959" s="162" t="n">
        <v>3777</v>
      </c>
      <c r="I959" s="162" t="n">
        <v>1</v>
      </c>
      <c r="J959" s="162" t="n">
        <v>2</v>
      </c>
      <c r="K959" s="162" t="n">
        <v>38</v>
      </c>
      <c r="L959" s="395" t="n">
        <v>3744</v>
      </c>
      <c r="M959" s="113" t="n"/>
      <c r="N959" s="113" t="n"/>
      <c r="O959" s="113" t="n"/>
      <c r="P959" s="398" t="n"/>
      <c r="Q959" s="398" t="n"/>
      <c r="R959" s="113" t="n"/>
      <c r="S959" s="113" t="n"/>
      <c r="T959" s="113" t="n"/>
      <c r="U959" s="113" t="n"/>
      <c r="V959" s="113" t="n"/>
    </row>
    <row r="960" ht="15.75" customHeight="1">
      <c r="A960" s="398" t="n">
        <v>18</v>
      </c>
      <c r="B960" s="238" t="n"/>
      <c r="C960" s="399" t="n">
        <v>46137</v>
      </c>
      <c r="D960" s="162" t="inlineStr">
        <is>
          <t>219 G. SAN JOSE 2</t>
        </is>
      </c>
      <c r="E960" s="162" t="n">
        <v>47627</v>
      </c>
      <c r="F960" s="162" t="inlineStr">
        <is>
          <t>JHON ARIAS</t>
        </is>
      </c>
      <c r="G960" s="162" t="n">
        <v>3742</v>
      </c>
      <c r="H960" s="162" t="n">
        <v>3833</v>
      </c>
      <c r="I960" s="162" t="n">
        <v>0</v>
      </c>
      <c r="J960" s="162" t="n">
        <v>3</v>
      </c>
      <c r="K960" s="162" t="n">
        <v>94</v>
      </c>
      <c r="L960" s="395" t="n">
        <v>3744</v>
      </c>
      <c r="M960" s="113" t="n"/>
      <c r="N960" s="113" t="n"/>
      <c r="O960" s="113" t="n"/>
      <c r="P960" s="398" t="n"/>
      <c r="Q960" s="398" t="n"/>
      <c r="R960" s="113" t="n"/>
      <c r="S960" s="113" t="n"/>
      <c r="T960" s="113" t="n"/>
      <c r="U960" s="113" t="n"/>
      <c r="V960" s="113" t="n"/>
    </row>
    <row r="961" ht="15.75" customHeight="1">
      <c r="A961" s="398" t="n">
        <v>18</v>
      </c>
      <c r="B961" s="238" t="n"/>
      <c r="C961" s="399" t="n"/>
      <c r="D961" s="162" t="n"/>
      <c r="E961" s="162" t="n"/>
      <c r="F961" s="162" t="n"/>
      <c r="G961" s="530">
        <f>SUBTOTAL(9,G892:G960)</f>
        <v/>
      </c>
      <c r="H961" s="530">
        <f>SUBTOTAL(9,H892:H960)</f>
        <v/>
      </c>
      <c r="I961" s="530">
        <f>SUBTOTAL(9,I892:I960)</f>
        <v/>
      </c>
      <c r="J961" s="530">
        <f>SUBTOTAL(9,J892:J960)</f>
        <v/>
      </c>
      <c r="K961" s="530">
        <f>SUBTOTAL(9,K892:K960)</f>
        <v/>
      </c>
      <c r="L961" s="530">
        <f>SUBTOTAL(9,L892:L960)</f>
        <v/>
      </c>
      <c r="M961" s="530">
        <f>L961-G961</f>
        <v/>
      </c>
      <c r="N961" s="162" t="n"/>
      <c r="O961" s="113" t="n"/>
      <c r="P961" s="398" t="n"/>
      <c r="Q961" s="398" t="n"/>
      <c r="R961" s="113" t="n"/>
      <c r="S961" s="113" t="n"/>
      <c r="T961" s="113" t="n"/>
      <c r="U961" s="113" t="n"/>
      <c r="V961" s="113" t="n"/>
    </row>
    <row r="962" ht="15.75" customHeight="1">
      <c r="A962" s="398" t="n">
        <v>19</v>
      </c>
      <c r="B962" s="238" t="n"/>
      <c r="C962" s="399" t="n">
        <v>46139</v>
      </c>
      <c r="D962" s="146" t="inlineStr">
        <is>
          <t>219 G. SAN JOSE 2</t>
        </is>
      </c>
      <c r="E962" s="146" t="n">
        <v>47639</v>
      </c>
      <c r="F962" s="146" t="inlineStr">
        <is>
          <t xml:space="preserve">ROBINSON PULIDO </t>
        </is>
      </c>
      <c r="G962" s="395" t="n">
        <v>3475</v>
      </c>
      <c r="H962" s="395" t="n">
        <v>3465</v>
      </c>
      <c r="I962" s="395" t="n">
        <v>5</v>
      </c>
      <c r="J962" s="395" t="n">
        <v>5</v>
      </c>
      <c r="K962" s="395" t="n">
        <v>0</v>
      </c>
      <c r="L962" s="395" t="n">
        <v>3475</v>
      </c>
      <c r="M962" s="113" t="n"/>
      <c r="N962" s="113" t="n"/>
      <c r="O962" s="113" t="n"/>
      <c r="P962" s="398" t="n"/>
      <c r="Q962" s="398" t="n"/>
      <c r="R962" s="113" t="n"/>
      <c r="S962" s="113" t="n"/>
      <c r="T962" s="113" t="n"/>
      <c r="U962" s="113" t="n"/>
      <c r="V962" s="113" t="n"/>
    </row>
    <row r="963" ht="15.75" customHeight="1">
      <c r="A963" s="398" t="n">
        <v>19</v>
      </c>
      <c r="B963" s="238" t="n"/>
      <c r="C963" s="399" t="n">
        <v>46139</v>
      </c>
      <c r="D963" s="146" t="inlineStr">
        <is>
          <t>219 G. SAN JOSE 2</t>
        </is>
      </c>
      <c r="E963" s="146" t="n">
        <v>47640</v>
      </c>
      <c r="F963" s="146" t="inlineStr">
        <is>
          <t>ALBERTO LOPEZ</t>
        </is>
      </c>
      <c r="G963" s="395" t="n">
        <v>3475</v>
      </c>
      <c r="H963" s="395" t="n">
        <v>3462</v>
      </c>
      <c r="I963" s="395" t="n">
        <v>3</v>
      </c>
      <c r="J963" s="395" t="n">
        <v>6</v>
      </c>
      <c r="K963" s="395" t="n">
        <v>-4</v>
      </c>
      <c r="L963" s="395" t="n">
        <v>3475</v>
      </c>
      <c r="M963" s="113" t="n"/>
      <c r="N963" s="113" t="n"/>
      <c r="O963" s="113" t="n"/>
      <c r="P963" s="398" t="n"/>
      <c r="Q963" s="398" t="n"/>
      <c r="R963" s="113" t="n"/>
      <c r="S963" s="113" t="n"/>
      <c r="T963" s="113" t="n"/>
      <c r="U963" s="113" t="n"/>
      <c r="V963" s="113" t="n"/>
    </row>
    <row r="964" ht="15.75" customHeight="1">
      <c r="A964" s="398" t="n">
        <v>19</v>
      </c>
      <c r="B964" s="238" t="n"/>
      <c r="C964" s="399" t="n">
        <v>46139</v>
      </c>
      <c r="D964" s="146" t="inlineStr">
        <is>
          <t>219 G. SAN JOSE 2</t>
        </is>
      </c>
      <c r="E964" s="146" t="n">
        <v>47441</v>
      </c>
      <c r="F964" s="146" t="inlineStr">
        <is>
          <t>ALEX GOMEZ</t>
        </is>
      </c>
      <c r="G964" s="395" t="n">
        <v>3480</v>
      </c>
      <c r="H964" s="395" t="n">
        <v>3464</v>
      </c>
      <c r="I964" s="395" t="n">
        <v>9</v>
      </c>
      <c r="J964" s="395" t="n">
        <v>6</v>
      </c>
      <c r="K964" s="395" t="n">
        <v>-1</v>
      </c>
      <c r="L964" s="395" t="n">
        <v>3480</v>
      </c>
      <c r="M964" s="113" t="n"/>
      <c r="N964" s="113" t="n"/>
      <c r="O964" s="113" t="n"/>
      <c r="P964" s="398" t="n"/>
      <c r="Q964" s="398" t="n"/>
      <c r="R964" s="113" t="n"/>
      <c r="S964" s="113" t="n"/>
      <c r="T964" s="113" t="n"/>
      <c r="U964" s="113" t="n"/>
      <c r="V964" s="113" t="n"/>
    </row>
    <row r="965" ht="15.75" customHeight="1">
      <c r="A965" s="398" t="n">
        <v>19</v>
      </c>
      <c r="B965" s="238" t="n"/>
      <c r="C965" s="399" t="n">
        <v>46139</v>
      </c>
      <c r="D965" s="146" t="inlineStr">
        <is>
          <t>219 G. SAN JOSE 2</t>
        </is>
      </c>
      <c r="E965" s="146" t="n">
        <v>47649</v>
      </c>
      <c r="F965" s="146" t="inlineStr">
        <is>
          <t>EDWIN ROJAS</t>
        </is>
      </c>
      <c r="G965" s="395" t="n">
        <v>3475</v>
      </c>
      <c r="H965" s="395" t="n">
        <v>3485</v>
      </c>
      <c r="I965" s="395" t="n">
        <v>4</v>
      </c>
      <c r="J965" s="395" t="n">
        <v>9</v>
      </c>
      <c r="K965" s="395" t="n">
        <v>23</v>
      </c>
      <c r="L965" s="395" t="n">
        <v>3475</v>
      </c>
      <c r="M965" s="113" t="n"/>
      <c r="N965" s="113" t="n"/>
      <c r="O965" s="113" t="n"/>
      <c r="P965" s="398" t="n"/>
      <c r="Q965" s="398" t="n"/>
      <c r="R965" s="113" t="n"/>
      <c r="S965" s="113" t="n"/>
      <c r="T965" s="113" t="n"/>
      <c r="U965" s="113" t="n"/>
      <c r="V965" s="113" t="n"/>
    </row>
    <row r="966" ht="15.75" customHeight="1">
      <c r="A966" s="398" t="n">
        <v>19</v>
      </c>
      <c r="B966" s="238" t="n"/>
      <c r="C966" s="399" t="n">
        <v>46139</v>
      </c>
      <c r="D966" s="146" t="inlineStr">
        <is>
          <t>219 G. SAN JOSE 2</t>
        </is>
      </c>
      <c r="E966" s="146" t="n">
        <v>47650</v>
      </c>
      <c r="F966" s="146" t="inlineStr">
        <is>
          <t>YAIR RIVEROS</t>
        </is>
      </c>
      <c r="G966" s="395" t="n">
        <v>3310</v>
      </c>
      <c r="H966" s="395" t="n">
        <v>3319</v>
      </c>
      <c r="I966" s="395" t="n">
        <v>5</v>
      </c>
      <c r="J966" s="395" t="n">
        <v>7</v>
      </c>
      <c r="K966" s="395" t="n">
        <v>21</v>
      </c>
      <c r="L966" s="395" t="n">
        <v>3310</v>
      </c>
      <c r="M966" s="113" t="n"/>
      <c r="N966" s="113" t="n"/>
      <c r="O966" s="113" t="n"/>
      <c r="P966" s="398" t="n"/>
      <c r="Q966" s="398" t="n"/>
      <c r="R966" s="113" t="n"/>
      <c r="S966" s="113" t="n"/>
      <c r="T966" s="113" t="n"/>
      <c r="U966" s="113" t="n"/>
      <c r="V966" s="113" t="n"/>
    </row>
    <row r="967" ht="15.75" customHeight="1">
      <c r="A967" s="398" t="n">
        <v>19</v>
      </c>
      <c r="B967" s="238" t="n"/>
      <c r="C967" s="399" t="n">
        <v>46139</v>
      </c>
      <c r="D967" s="146" t="inlineStr">
        <is>
          <t>219 G. SAN JOSE 2</t>
        </is>
      </c>
      <c r="E967" s="146" t="n">
        <v>47651</v>
      </c>
      <c r="F967" s="146" t="inlineStr">
        <is>
          <t>WILMER PIÑEROS</t>
        </is>
      </c>
      <c r="G967" s="395" t="n">
        <v>3309</v>
      </c>
      <c r="H967" s="395" t="n">
        <v>3318</v>
      </c>
      <c r="I967" s="395" t="n">
        <v>7</v>
      </c>
      <c r="J967" s="395" t="n">
        <v>10</v>
      </c>
      <c r="K967" s="395" t="n">
        <v>26</v>
      </c>
      <c r="L967" s="395" t="n">
        <v>3310</v>
      </c>
      <c r="M967" s="113" t="n"/>
      <c r="N967" s="113" t="n"/>
      <c r="O967" s="113" t="n"/>
      <c r="P967" s="398" t="n"/>
      <c r="Q967" s="398" t="n"/>
      <c r="R967" s="113" t="n"/>
      <c r="S967" s="113" t="n"/>
      <c r="T967" s="113" t="n"/>
      <c r="U967" s="113" t="n"/>
      <c r="V967" s="113" t="n"/>
    </row>
    <row r="968" ht="15.75" customHeight="1">
      <c r="A968" s="398" t="n">
        <v>19</v>
      </c>
      <c r="B968" s="238" t="n"/>
      <c r="C968" s="399" t="n">
        <v>46139</v>
      </c>
      <c r="D968" s="146" t="inlineStr">
        <is>
          <t>219 G. SAN JOSE 2</t>
        </is>
      </c>
      <c r="E968" s="146" t="n">
        <v>47652</v>
      </c>
      <c r="F968" s="146" t="inlineStr">
        <is>
          <t xml:space="preserve">DIEGO NIÑO </t>
        </is>
      </c>
      <c r="G968" s="395" t="n">
        <v>3310</v>
      </c>
      <c r="H968" s="395" t="n">
        <v>3300</v>
      </c>
      <c r="I968" s="395" t="n">
        <v>8</v>
      </c>
      <c r="J968" s="395" t="n">
        <v>7</v>
      </c>
      <c r="K968" s="395" t="n">
        <v>5</v>
      </c>
      <c r="L968" s="395" t="n">
        <v>3310</v>
      </c>
      <c r="M968" s="113" t="n"/>
      <c r="N968" s="113" t="n"/>
      <c r="O968" s="113" t="n"/>
      <c r="P968" s="398" t="n"/>
      <c r="Q968" s="398" t="n"/>
      <c r="R968" s="113" t="n"/>
      <c r="S968" s="113" t="n"/>
      <c r="T968" s="113" t="n"/>
      <c r="U968" s="113" t="n"/>
      <c r="V968" s="113" t="n"/>
    </row>
    <row r="969" ht="15.75" customHeight="1">
      <c r="A969" s="398" t="n">
        <v>19</v>
      </c>
      <c r="B969" s="238" t="n"/>
      <c r="C969" s="399" t="n">
        <v>46139</v>
      </c>
      <c r="D969" s="146" t="inlineStr">
        <is>
          <t>219 G. SAN JOSE 2</t>
        </is>
      </c>
      <c r="E969" s="146" t="n">
        <v>47653</v>
      </c>
      <c r="F969" s="146" t="inlineStr">
        <is>
          <t>ALBERTO HERRERA</t>
        </is>
      </c>
      <c r="G969" s="395" t="n">
        <v>3309</v>
      </c>
      <c r="H969" s="395" t="n">
        <v>3303</v>
      </c>
      <c r="I969" s="395" t="n">
        <v>5</v>
      </c>
      <c r="J969" s="395" t="n">
        <v>4</v>
      </c>
      <c r="K969" s="395" t="n">
        <v>3</v>
      </c>
      <c r="L969" s="395" t="n">
        <v>3310</v>
      </c>
      <c r="M969" s="113" t="n"/>
      <c r="N969" s="113" t="n"/>
      <c r="O969" s="113" t="n"/>
      <c r="P969" s="398" t="n"/>
      <c r="Q969" s="398" t="n"/>
      <c r="R969" s="113" t="n"/>
      <c r="S969" s="113" t="n"/>
      <c r="T969" s="113" t="n"/>
      <c r="U969" s="113" t="n"/>
      <c r="V969" s="113" t="n"/>
    </row>
    <row r="970" ht="15.75" customHeight="1">
      <c r="A970" s="398" t="n">
        <v>19</v>
      </c>
      <c r="B970" s="238" t="n"/>
      <c r="C970" s="399" t="n">
        <v>46139</v>
      </c>
      <c r="D970" s="146" t="inlineStr">
        <is>
          <t>219 G. SAN JOSE 2</t>
        </is>
      </c>
      <c r="E970" s="146" t="n">
        <v>47654</v>
      </c>
      <c r="F970" s="146" t="inlineStr">
        <is>
          <t>JAIRO CUBILLOS</t>
        </is>
      </c>
      <c r="G970" s="395" t="n">
        <v>3309</v>
      </c>
      <c r="H970" s="395" t="n">
        <v>3310</v>
      </c>
      <c r="I970" s="395" t="n">
        <v>14</v>
      </c>
      <c r="J970" s="395" t="n">
        <v>3</v>
      </c>
      <c r="K970" s="395" t="n">
        <v>18</v>
      </c>
      <c r="L970" s="395" t="n">
        <v>3310</v>
      </c>
      <c r="M970" s="113" t="n"/>
      <c r="N970" s="113" t="n"/>
      <c r="O970" s="113" t="n"/>
      <c r="P970" s="398" t="n"/>
      <c r="Q970" s="398" t="n"/>
      <c r="R970" s="113" t="n"/>
      <c r="S970" s="113" t="n"/>
      <c r="T970" s="113" t="n"/>
      <c r="U970" s="113" t="n"/>
      <c r="V970" s="113" t="n"/>
    </row>
    <row r="971" ht="15.75" customHeight="1">
      <c r="A971" s="398" t="n">
        <v>19</v>
      </c>
      <c r="B971" s="238" t="n"/>
      <c r="C971" s="399" t="n">
        <v>46140</v>
      </c>
      <c r="D971" s="146" t="inlineStr">
        <is>
          <t>221 G. MALAGUEÑA</t>
        </is>
      </c>
      <c r="E971" s="146" t="n">
        <v>47667</v>
      </c>
      <c r="F971" s="146" t="inlineStr">
        <is>
          <t>EDWIN ROJAS</t>
        </is>
      </c>
      <c r="G971" s="395" t="n">
        <v>2500</v>
      </c>
      <c r="H971" s="395" t="n">
        <v>2496</v>
      </c>
      <c r="I971" s="395" t="n">
        <v>8</v>
      </c>
      <c r="J971" s="395" t="n">
        <v>14</v>
      </c>
      <c r="K971" s="395" t="n">
        <v>18</v>
      </c>
      <c r="L971" s="395" t="n">
        <v>2500</v>
      </c>
      <c r="M971" s="113" t="n"/>
      <c r="N971" s="113" t="n"/>
      <c r="O971" s="113" t="n"/>
      <c r="P971" s="398" t="n"/>
      <c r="Q971" s="398" t="n"/>
      <c r="R971" s="113" t="n"/>
      <c r="S971" s="113" t="n"/>
      <c r="T971" s="113" t="n"/>
      <c r="U971" s="113" t="n"/>
      <c r="V971" s="113" t="n"/>
    </row>
    <row r="972" ht="15.75" customHeight="1">
      <c r="A972" s="398" t="n">
        <v>19</v>
      </c>
      <c r="B972" s="238" t="n"/>
      <c r="C972" s="399" t="n">
        <v>46140</v>
      </c>
      <c r="D972" s="146" t="inlineStr">
        <is>
          <t>221 G. MALAGUEÑA</t>
        </is>
      </c>
      <c r="E972" s="146" t="n">
        <v>47668</v>
      </c>
      <c r="F972" s="146" t="inlineStr">
        <is>
          <t>MANUEL QUITIAN</t>
        </is>
      </c>
      <c r="G972" s="395" t="n">
        <v>1690</v>
      </c>
      <c r="H972" s="395" t="n">
        <v>1679</v>
      </c>
      <c r="I972" s="395" t="n">
        <v>5</v>
      </c>
      <c r="J972" s="395" t="n">
        <v>16</v>
      </c>
      <c r="K972" s="395" t="n">
        <v>10</v>
      </c>
      <c r="L972" s="395" t="n">
        <v>2690</v>
      </c>
      <c r="M972" s="113" t="n"/>
      <c r="N972" s="113" t="n"/>
      <c r="O972" s="113" t="n"/>
      <c r="P972" s="398" t="n"/>
      <c r="Q972" s="398" t="n"/>
      <c r="R972" s="113" t="n"/>
      <c r="S972" s="113" t="n"/>
      <c r="T972" s="113" t="n"/>
      <c r="U972" s="113" t="n"/>
      <c r="V972" s="113" t="n"/>
    </row>
    <row r="973" ht="15.75" customHeight="1">
      <c r="A973" s="398" t="n">
        <v>19</v>
      </c>
      <c r="B973" s="238" t="n"/>
      <c r="C973" s="399" t="n">
        <v>46140</v>
      </c>
      <c r="D973" s="146" t="inlineStr">
        <is>
          <t>219 G. SAN JOSE 2</t>
        </is>
      </c>
      <c r="E973" s="146" t="n">
        <v>47669</v>
      </c>
      <c r="F973" s="146" t="inlineStr">
        <is>
          <t xml:space="preserve">SEBASTIAN HIDALGO </t>
        </is>
      </c>
      <c r="G973" s="395" t="n">
        <v>3100</v>
      </c>
      <c r="H973" s="395" t="n">
        <v>3101</v>
      </c>
      <c r="I973" s="395" t="n">
        <v>7</v>
      </c>
      <c r="J973" s="395" t="n">
        <v>4</v>
      </c>
      <c r="K973" s="395" t="n">
        <v>12</v>
      </c>
      <c r="L973" s="395" t="n">
        <v>3100</v>
      </c>
      <c r="M973" s="113" t="n"/>
      <c r="N973" s="113" t="n"/>
      <c r="O973" s="113" t="n"/>
      <c r="P973" s="398" t="n"/>
      <c r="Q973" s="398" t="n"/>
      <c r="R973" s="113" t="n"/>
      <c r="S973" s="113" t="n"/>
      <c r="T973" s="113" t="n"/>
      <c r="U973" s="113" t="n"/>
      <c r="V973" s="113" t="n"/>
    </row>
    <row r="974" ht="15.75" customHeight="1">
      <c r="A974" s="398" t="n">
        <v>19</v>
      </c>
      <c r="B974" s="238" t="n"/>
      <c r="C974" s="399" t="n">
        <v>46140</v>
      </c>
      <c r="D974" s="146" t="inlineStr">
        <is>
          <t>219 G. SAN JOSE 2</t>
        </is>
      </c>
      <c r="E974" s="146" t="n">
        <v>47674</v>
      </c>
      <c r="F974" s="146" t="inlineStr">
        <is>
          <t>ALEX GOMEZ</t>
        </is>
      </c>
      <c r="G974" s="395" t="n">
        <v>3100</v>
      </c>
      <c r="H974" s="395" t="n">
        <v>3106</v>
      </c>
      <c r="I974" s="395" t="n">
        <v>2</v>
      </c>
      <c r="J974" s="395" t="n">
        <v>2</v>
      </c>
      <c r="K974" s="395" t="n">
        <v>10</v>
      </c>
      <c r="L974" s="395" t="n">
        <v>3100</v>
      </c>
      <c r="M974" s="113" t="n"/>
      <c r="N974" s="113" t="n"/>
      <c r="O974" s="113" t="n"/>
      <c r="P974" s="398" t="n"/>
      <c r="Q974" s="398" t="n"/>
      <c r="R974" s="113" t="n"/>
      <c r="S974" s="113" t="n"/>
      <c r="T974" s="113" t="n"/>
      <c r="U974" s="113" t="n"/>
      <c r="V974" s="113" t="n"/>
    </row>
    <row r="975" ht="15.75" customHeight="1">
      <c r="A975" s="398" t="n">
        <v>19</v>
      </c>
      <c r="B975" s="238" t="n"/>
      <c r="C975" s="399" t="n">
        <v>46141</v>
      </c>
      <c r="D975" s="146" t="inlineStr">
        <is>
          <t>219 G. SAN JOSE 2</t>
        </is>
      </c>
      <c r="E975" s="146" t="n">
        <v>47691</v>
      </c>
      <c r="F975" s="146" t="inlineStr">
        <is>
          <t>YAIR RIVEROS</t>
        </is>
      </c>
      <c r="G975" s="395" t="n">
        <v>3330</v>
      </c>
      <c r="H975" s="395" t="n">
        <v>3328</v>
      </c>
      <c r="I975" s="395" t="n">
        <v>1</v>
      </c>
      <c r="J975" s="395" t="n">
        <v>7</v>
      </c>
      <c r="K975" s="395" t="n">
        <v>6</v>
      </c>
      <c r="L975" s="395" t="n">
        <v>3330</v>
      </c>
      <c r="M975" s="113" t="n"/>
      <c r="N975" s="113" t="n"/>
      <c r="O975" s="113" t="n"/>
      <c r="P975" s="398" t="n"/>
      <c r="Q975" s="398" t="n"/>
      <c r="R975" s="113" t="n"/>
      <c r="S975" s="113" t="n"/>
      <c r="T975" s="113" t="n"/>
      <c r="U975" s="113" t="n"/>
      <c r="V975" s="113" t="n"/>
    </row>
    <row r="976" ht="15.75" customHeight="1">
      <c r="A976" s="398" t="n">
        <v>19</v>
      </c>
      <c r="B976" s="238" t="n"/>
      <c r="C976" s="399" t="n">
        <v>46141</v>
      </c>
      <c r="D976" s="146" t="inlineStr">
        <is>
          <t>219 G. SAN JOSE 2</t>
        </is>
      </c>
      <c r="E976" s="146" t="n">
        <v>47992</v>
      </c>
      <c r="F976" s="146" t="inlineStr">
        <is>
          <t xml:space="preserve">DIEGO NIÑO </t>
        </is>
      </c>
      <c r="G976" s="395" t="n">
        <v>3330</v>
      </c>
      <c r="H976" s="395" t="n">
        <v>3328</v>
      </c>
      <c r="I976" s="395" t="n">
        <v>0</v>
      </c>
      <c r="J976" s="395" t="n">
        <v>10</v>
      </c>
      <c r="K976" s="395" t="n">
        <v>8</v>
      </c>
      <c r="L976" s="395" t="n">
        <v>3330</v>
      </c>
      <c r="M976" s="113" t="n"/>
      <c r="N976" s="113" t="n"/>
      <c r="O976" s="113" t="n"/>
      <c r="P976" s="398" t="n"/>
      <c r="Q976" s="398" t="n"/>
      <c r="R976" s="113" t="n"/>
      <c r="S976" s="113" t="n"/>
      <c r="T976" s="113" t="n"/>
      <c r="U976" s="113" t="n"/>
      <c r="V976" s="113" t="n"/>
    </row>
    <row r="977" ht="15.75" customHeight="1">
      <c r="A977" s="398" t="n">
        <v>19</v>
      </c>
      <c r="B977" s="238" t="n"/>
      <c r="C977" s="399" t="n">
        <v>46141</v>
      </c>
      <c r="D977" s="146" t="inlineStr">
        <is>
          <t>219 G. SAN JOSE 2</t>
        </is>
      </c>
      <c r="E977" s="146" t="n">
        <v>47993</v>
      </c>
      <c r="F977" s="146" t="inlineStr">
        <is>
          <t>JOSE SOLER</t>
        </is>
      </c>
      <c r="G977" s="395" t="n">
        <v>3333</v>
      </c>
      <c r="H977" s="395" t="n">
        <v>3334</v>
      </c>
      <c r="I977" s="395" t="n">
        <v>1</v>
      </c>
      <c r="J977" s="395" t="n">
        <v>3</v>
      </c>
      <c r="K977" s="395" t="n">
        <v>5</v>
      </c>
      <c r="L977" s="395" t="n">
        <v>3330</v>
      </c>
      <c r="M977" s="113" t="n"/>
      <c r="N977" s="113" t="n"/>
      <c r="O977" s="113" t="n"/>
      <c r="P977" s="398" t="n"/>
      <c r="Q977" s="398" t="n"/>
      <c r="R977" s="113" t="n"/>
      <c r="S977" s="113" t="n"/>
      <c r="T977" s="113" t="n"/>
      <c r="U977" s="113" t="n"/>
      <c r="V977" s="113" t="n"/>
    </row>
    <row r="978" ht="15.75" customHeight="1">
      <c r="A978" s="398" t="n">
        <v>19</v>
      </c>
      <c r="B978" s="238" t="n"/>
      <c r="C978" s="399" t="n">
        <v>46141</v>
      </c>
      <c r="D978" s="146" t="inlineStr">
        <is>
          <t>219 G. SAN JOSE 2</t>
        </is>
      </c>
      <c r="E978" s="146" t="n">
        <v>47694</v>
      </c>
      <c r="F978" s="146" t="inlineStr">
        <is>
          <t>HENRY ROMERO</t>
        </is>
      </c>
      <c r="G978" s="395" t="n">
        <v>3090</v>
      </c>
      <c r="H978" s="395" t="n">
        <v>3066</v>
      </c>
      <c r="I978" s="395" t="n">
        <v>4</v>
      </c>
      <c r="J978" s="395" t="n">
        <v>2</v>
      </c>
      <c r="K978" s="395" t="n">
        <v>-18</v>
      </c>
      <c r="L978" s="395" t="n">
        <v>3080</v>
      </c>
      <c r="M978" s="113" t="n"/>
      <c r="N978" s="113" t="n"/>
      <c r="O978" s="113" t="n"/>
      <c r="P978" s="398" t="n"/>
      <c r="Q978" s="398" t="n"/>
      <c r="R978" s="113" t="n"/>
      <c r="S978" s="113" t="n"/>
      <c r="T978" s="113" t="n"/>
      <c r="U978" s="113" t="n"/>
      <c r="V978" s="113" t="n"/>
    </row>
    <row r="979" ht="15.75" customHeight="1">
      <c r="A979" s="398" t="n">
        <v>19</v>
      </c>
      <c r="B979" s="238" t="n"/>
      <c r="C979" s="399" t="n">
        <v>46141</v>
      </c>
      <c r="D979" s="146" t="inlineStr">
        <is>
          <t>219 G. SAN JOSE 2</t>
        </is>
      </c>
      <c r="E979" s="146" t="n">
        <v>47695</v>
      </c>
      <c r="F979" s="146" t="inlineStr">
        <is>
          <t xml:space="preserve">ROBINSON PULIDO </t>
        </is>
      </c>
      <c r="G979" s="395" t="n">
        <v>3090</v>
      </c>
      <c r="H979" s="395" t="n">
        <v>3078</v>
      </c>
      <c r="I979" s="395" t="n">
        <v>3</v>
      </c>
      <c r="J979" s="395" t="n">
        <v>4</v>
      </c>
      <c r="K979" s="395" t="n">
        <v>-5</v>
      </c>
      <c r="L979" s="395" t="n">
        <v>3080</v>
      </c>
      <c r="M979" s="113" t="n"/>
      <c r="N979" s="113" t="n"/>
      <c r="O979" s="113" t="n"/>
      <c r="P979" s="398" t="n"/>
      <c r="Q979" s="398" t="n"/>
      <c r="R979" s="113" t="n"/>
      <c r="S979" s="113" t="n"/>
      <c r="T979" s="113" t="n"/>
      <c r="U979" s="113" t="n"/>
      <c r="V979" s="113" t="n"/>
    </row>
    <row r="980" ht="15.75" customHeight="1">
      <c r="A980" s="398" t="n">
        <v>19</v>
      </c>
      <c r="B980" s="238" t="n"/>
      <c r="C980" s="399" t="n">
        <v>46142</v>
      </c>
      <c r="D980" s="146" t="inlineStr">
        <is>
          <t>219 G. SAN JOSE 2</t>
        </is>
      </c>
      <c r="E980" s="146" t="n">
        <v>47713</v>
      </c>
      <c r="F980" s="146" t="inlineStr">
        <is>
          <t>DUMAR ANGARITA</t>
        </is>
      </c>
      <c r="G980" s="395" t="n">
        <v>3313</v>
      </c>
      <c r="H980" s="395" t="n">
        <v>3298</v>
      </c>
      <c r="I980" s="395" t="n">
        <v>21</v>
      </c>
      <c r="J980" s="395" t="n">
        <v>23</v>
      </c>
      <c r="K980" s="395" t="n">
        <v>29</v>
      </c>
      <c r="L980" s="395" t="n">
        <v>3313</v>
      </c>
      <c r="M980" s="113" t="n"/>
      <c r="N980" s="113" t="n"/>
      <c r="O980" s="113" t="n"/>
      <c r="P980" s="398" t="n"/>
      <c r="Q980" s="398" t="n"/>
      <c r="R980" s="113" t="n"/>
      <c r="S980" s="113" t="n"/>
      <c r="T980" s="113" t="n"/>
      <c r="U980" s="113" t="n"/>
      <c r="V980" s="113" t="n"/>
    </row>
    <row r="981" ht="15.75" customHeight="1">
      <c r="A981" s="398" t="n">
        <v>19</v>
      </c>
      <c r="B981" s="238" t="n"/>
      <c r="C981" s="399" t="n">
        <v>46142</v>
      </c>
      <c r="D981" s="146" t="inlineStr">
        <is>
          <t>219 G. SAN JOSE 2</t>
        </is>
      </c>
      <c r="E981" s="146" t="n">
        <v>47714</v>
      </c>
      <c r="F981" s="146" t="inlineStr">
        <is>
          <t>EDWIN ROJAS</t>
        </is>
      </c>
      <c r="G981" s="395" t="n">
        <v>2930</v>
      </c>
      <c r="H981" s="395" t="n">
        <v>2936</v>
      </c>
      <c r="I981" s="395" t="n">
        <v>5</v>
      </c>
      <c r="J981" s="395" t="n">
        <v>7</v>
      </c>
      <c r="K981" s="395" t="n">
        <v>18</v>
      </c>
      <c r="L981" s="395" t="n">
        <v>2210</v>
      </c>
      <c r="M981" s="113" t="n"/>
      <c r="N981" s="113" t="n"/>
      <c r="O981" s="113" t="n"/>
      <c r="P981" s="398" t="n"/>
      <c r="Q981" s="398" t="n"/>
      <c r="R981" s="113" t="n"/>
      <c r="S981" s="113" t="n"/>
      <c r="T981" s="113" t="n"/>
      <c r="U981" s="113" t="n"/>
      <c r="V981" s="113" t="n"/>
    </row>
    <row r="982" ht="15.75" customHeight="1">
      <c r="A982" s="398" t="n">
        <v>19</v>
      </c>
      <c r="B982" s="238" t="n"/>
      <c r="C982" s="399" t="n">
        <v>46142</v>
      </c>
      <c r="D982" s="146" t="inlineStr">
        <is>
          <t>219 G. SAN JOSE 2</t>
        </is>
      </c>
      <c r="E982" s="146" t="n">
        <v>47715</v>
      </c>
      <c r="F982" s="146" t="inlineStr">
        <is>
          <t>ALBERTO LOPEZ</t>
        </is>
      </c>
      <c r="G982" s="395" t="n">
        <v>2210</v>
      </c>
      <c r="H982" s="395" t="n">
        <v>2218</v>
      </c>
      <c r="I982" s="395" t="n">
        <v>4</v>
      </c>
      <c r="J982" s="395" t="n">
        <v>7</v>
      </c>
      <c r="K982" s="395" t="n">
        <v>19</v>
      </c>
      <c r="L982" s="395" t="n">
        <v>2930</v>
      </c>
      <c r="M982" s="113" t="n"/>
      <c r="N982" s="113" t="n"/>
      <c r="O982" s="113" t="n"/>
      <c r="P982" s="398" t="n"/>
      <c r="Q982" s="398" t="n"/>
      <c r="R982" s="113" t="n"/>
      <c r="S982" s="113" t="n"/>
      <c r="T982" s="113" t="n"/>
      <c r="U982" s="113" t="n"/>
      <c r="V982" s="113" t="n"/>
    </row>
    <row r="983" ht="15.75" customHeight="1">
      <c r="A983" s="398" t="n">
        <v>19</v>
      </c>
      <c r="B983" s="238" t="n"/>
      <c r="C983" s="399" t="n">
        <v>46142</v>
      </c>
      <c r="D983" s="146" t="inlineStr">
        <is>
          <t>218 G. SAN JOSE 1</t>
        </is>
      </c>
      <c r="E983" s="146" t="n">
        <v>47716</v>
      </c>
      <c r="F983" s="146" t="inlineStr">
        <is>
          <t>ALEX GOMEZ</t>
        </is>
      </c>
      <c r="G983" s="395" t="n">
        <v>2610</v>
      </c>
      <c r="H983" s="395" t="n">
        <v>2616</v>
      </c>
      <c r="I983" s="395" t="n">
        <v>3</v>
      </c>
      <c r="J983" s="395" t="n">
        <v>2</v>
      </c>
      <c r="K983" s="395" t="n">
        <v>11</v>
      </c>
      <c r="L983" s="395" t="n">
        <v>2610</v>
      </c>
      <c r="M983" s="113" t="n"/>
      <c r="N983" s="113" t="n"/>
      <c r="O983" s="113" t="n"/>
      <c r="P983" s="398" t="n"/>
      <c r="Q983" s="398" t="n"/>
      <c r="R983" s="113" t="n"/>
      <c r="S983" s="113" t="n"/>
      <c r="T983" s="113" t="n"/>
      <c r="U983" s="113" t="n"/>
      <c r="V983" s="113" t="n"/>
    </row>
    <row r="984" ht="15.75" customHeight="1">
      <c r="A984" s="398" t="n">
        <v>19</v>
      </c>
      <c r="B984" s="238" t="n"/>
      <c r="C984" s="399" t="n">
        <v>46142</v>
      </c>
      <c r="D984" s="146" t="inlineStr">
        <is>
          <t>218 G. SAN JOSE 1</t>
        </is>
      </c>
      <c r="E984" s="146" t="n">
        <v>47717</v>
      </c>
      <c r="F984" s="146" t="inlineStr">
        <is>
          <t>HENRY ROMERO</t>
        </is>
      </c>
      <c r="G984" s="395" t="n">
        <v>2610</v>
      </c>
      <c r="H984" s="395" t="n">
        <v>2613</v>
      </c>
      <c r="I984" s="395" t="n">
        <v>2</v>
      </c>
      <c r="J984" s="395" t="n">
        <v>4</v>
      </c>
      <c r="K984" s="395" t="n">
        <v>9</v>
      </c>
      <c r="L984" s="395" t="n">
        <v>2610</v>
      </c>
      <c r="M984" s="113" t="n"/>
      <c r="N984" s="113" t="n"/>
      <c r="O984" s="113" t="n"/>
      <c r="P984" s="398" t="n"/>
      <c r="Q984" s="398" t="n"/>
      <c r="R984" s="113" t="n"/>
      <c r="S984" s="113" t="n"/>
      <c r="T984" s="113" t="n"/>
      <c r="U984" s="113" t="n"/>
      <c r="V984" s="113" t="n"/>
    </row>
    <row r="985" ht="15.75" customHeight="1">
      <c r="A985" s="398" t="n">
        <v>19</v>
      </c>
      <c r="B985" s="238" t="n"/>
      <c r="C985" s="399" t="n">
        <v>46142</v>
      </c>
      <c r="D985" s="146" t="inlineStr">
        <is>
          <t>218 G. SAN JOSE 1</t>
        </is>
      </c>
      <c r="E985" s="146" t="n">
        <v>47718</v>
      </c>
      <c r="F985" s="146" t="inlineStr">
        <is>
          <t xml:space="preserve">DIEGO NIÑO </t>
        </is>
      </c>
      <c r="G985" s="395" t="n">
        <v>2610</v>
      </c>
      <c r="H985" s="395" t="n">
        <v>2614</v>
      </c>
      <c r="I985" s="395" t="n">
        <v>3</v>
      </c>
      <c r="J985" s="395" t="n">
        <v>1</v>
      </c>
      <c r="K985" s="395" t="n">
        <v>8</v>
      </c>
      <c r="L985" s="395" t="n">
        <v>2610</v>
      </c>
      <c r="M985" s="113" t="n"/>
      <c r="N985" s="113" t="n"/>
      <c r="O985" s="113" t="n"/>
      <c r="P985" s="398" t="n"/>
      <c r="Q985" s="398" t="n"/>
      <c r="R985" s="113" t="n"/>
      <c r="S985" s="113" t="n"/>
      <c r="T985" s="113" t="n"/>
      <c r="U985" s="113" t="n"/>
      <c r="V985" s="113" t="n"/>
    </row>
    <row r="986" ht="15.75" customHeight="1">
      <c r="A986" s="398" t="n">
        <v>19</v>
      </c>
      <c r="B986" s="238" t="n"/>
      <c r="C986" s="399" t="n"/>
      <c r="D986" s="113" t="n"/>
      <c r="E986" s="113" t="n"/>
      <c r="F986" s="113" t="n"/>
      <c r="G986" s="477">
        <f>SUBTOTAL(9,G962:G985)</f>
        <v/>
      </c>
      <c r="H986" s="477">
        <f>SUBTOTAL(9,H962:H985)</f>
        <v/>
      </c>
      <c r="I986" s="477">
        <f>SUBTOTAL(9,I962:I985)</f>
        <v/>
      </c>
      <c r="J986" s="477">
        <f>SUBTOTAL(9,J962:J985)</f>
        <v/>
      </c>
      <c r="K986" s="477">
        <f>SUBTOTAL(9,K962:K985)</f>
        <v/>
      </c>
      <c r="L986" s="477">
        <f>SUBTOTAL(9,L962:L985)</f>
        <v/>
      </c>
      <c r="M986" s="477">
        <f>L986-G986</f>
        <v/>
      </c>
      <c r="N986" s="113" t="n"/>
      <c r="O986" s="113" t="n"/>
      <c r="P986" s="398" t="n"/>
      <c r="Q986" s="398" t="n"/>
      <c r="R986" s="113" t="n"/>
      <c r="S986" s="113" t="n"/>
      <c r="T986" s="113" t="n"/>
      <c r="U986" s="113" t="n"/>
      <c r="V986" s="113" t="n"/>
    </row>
    <row r="987" ht="15.75" customHeight="1">
      <c r="A987" s="398" t="n">
        <v>20</v>
      </c>
      <c r="B987" s="238" t="n"/>
      <c r="C987" s="399" t="n">
        <v>46144</v>
      </c>
      <c r="D987" s="146" t="inlineStr">
        <is>
          <t>219 G. SAN JOSE 2</t>
        </is>
      </c>
      <c r="E987" s="146" t="n">
        <v>47727</v>
      </c>
      <c r="F987" s="146" t="inlineStr">
        <is>
          <t xml:space="preserve">SEBASTIAN HIDALGO </t>
        </is>
      </c>
      <c r="G987" s="395" t="n">
        <v>3420</v>
      </c>
      <c r="H987" s="395" t="n">
        <v>3495</v>
      </c>
      <c r="I987" s="395" t="n">
        <v>6</v>
      </c>
      <c r="J987" s="395" t="n">
        <v>16</v>
      </c>
      <c r="K987" s="395" t="n">
        <v>97</v>
      </c>
      <c r="L987" s="395" t="n">
        <v>3240</v>
      </c>
      <c r="M987" s="113" t="n"/>
      <c r="N987" s="113" t="n"/>
      <c r="O987" s="113" t="n"/>
      <c r="P987" s="398" t="n"/>
      <c r="Q987" s="398" t="n"/>
      <c r="R987" s="113" t="n"/>
      <c r="S987" s="113" t="n"/>
      <c r="T987" s="113" t="n"/>
      <c r="U987" s="113" t="n"/>
      <c r="V987" s="113" t="n"/>
    </row>
    <row r="988" ht="15.75" customHeight="1">
      <c r="A988" s="398" t="n">
        <v>20</v>
      </c>
      <c r="B988" s="238" t="n"/>
      <c r="C988" s="399" t="n">
        <v>46144</v>
      </c>
      <c r="D988" s="146" t="inlineStr">
        <is>
          <t>218 G. SAN JOSE 1</t>
        </is>
      </c>
      <c r="E988" s="146" t="n">
        <v>47728</v>
      </c>
      <c r="F988" s="146" t="inlineStr">
        <is>
          <t>ROBINSON PULIDO</t>
        </is>
      </c>
      <c r="G988" s="395" t="n">
        <v>3240</v>
      </c>
      <c r="H988" s="395" t="n">
        <v>3236</v>
      </c>
      <c r="I988" s="395" t="n">
        <v>3</v>
      </c>
      <c r="J988" s="395" t="n">
        <v>4</v>
      </c>
      <c r="K988" s="395" t="n">
        <v>3</v>
      </c>
      <c r="L988" s="395" t="n">
        <v>3420</v>
      </c>
      <c r="M988" s="113" t="n"/>
      <c r="N988" s="113" t="n"/>
      <c r="O988" s="113" t="n"/>
      <c r="P988" s="398" t="n"/>
      <c r="Q988" s="398" t="n"/>
      <c r="R988" s="113" t="n"/>
      <c r="S988" s="113" t="n"/>
      <c r="T988" s="113" t="n"/>
      <c r="U988" s="113" t="n"/>
      <c r="V988" s="113" t="n"/>
    </row>
    <row r="989" ht="15.75" customHeight="1">
      <c r="A989" s="398" t="n">
        <v>20</v>
      </c>
      <c r="B989" s="238" t="n"/>
      <c r="C989" s="399" t="n">
        <v>46144</v>
      </c>
      <c r="D989" s="146" t="inlineStr">
        <is>
          <t>218 G. SAN JOSE 1</t>
        </is>
      </c>
      <c r="E989" s="146" t="n">
        <v>47729</v>
      </c>
      <c r="F989" s="146" t="inlineStr">
        <is>
          <t>ALBERTO HERRERA</t>
        </is>
      </c>
      <c r="G989" s="395" t="n">
        <v>3240</v>
      </c>
      <c r="H989" s="395" t="n">
        <v>3233</v>
      </c>
      <c r="I989" s="395" t="n">
        <v>2</v>
      </c>
      <c r="J989" s="395" t="n">
        <v>7</v>
      </c>
      <c r="K989" s="395" t="n">
        <v>2</v>
      </c>
      <c r="L989" s="395" t="n">
        <v>3240</v>
      </c>
      <c r="M989" s="113" t="n"/>
      <c r="N989" s="113" t="n"/>
      <c r="O989" s="113" t="n"/>
      <c r="P989" s="398" t="n"/>
      <c r="Q989" s="398" t="n"/>
      <c r="R989" s="113" t="n"/>
      <c r="S989" s="113" t="n"/>
      <c r="T989" s="113" t="n"/>
      <c r="U989" s="113" t="n"/>
      <c r="V989" s="113" t="n"/>
    </row>
    <row r="990" ht="15.75" customHeight="1">
      <c r="A990" s="398" t="n">
        <v>20</v>
      </c>
      <c r="B990" s="238" t="n"/>
      <c r="C990" s="399" t="n">
        <v>46144</v>
      </c>
      <c r="D990" s="146" t="inlineStr">
        <is>
          <t>218 G. SAN JOSE 1</t>
        </is>
      </c>
      <c r="E990" s="146" t="n">
        <v>47730</v>
      </c>
      <c r="F990" s="146" t="inlineStr">
        <is>
          <t>FERNANDO OYUELA</t>
        </is>
      </c>
      <c r="G990" s="395" t="n">
        <v>3240</v>
      </c>
      <c r="H990" s="395" t="n">
        <v>3228</v>
      </c>
      <c r="I990" s="395" t="n">
        <v>4</v>
      </c>
      <c r="J990" s="395" t="n">
        <v>4</v>
      </c>
      <c r="K990" s="395" t="n">
        <v>-4</v>
      </c>
      <c r="L990" s="395" t="n">
        <v>3240</v>
      </c>
      <c r="M990" s="113" t="n"/>
      <c r="N990" s="113" t="n"/>
      <c r="O990" s="113" t="n"/>
      <c r="P990" s="398" t="n"/>
      <c r="Q990" s="398" t="n"/>
      <c r="R990" s="113" t="n"/>
      <c r="S990" s="113" t="n"/>
      <c r="T990" s="113" t="n"/>
      <c r="U990" s="113" t="n"/>
      <c r="V990" s="113" t="n"/>
    </row>
    <row r="991" ht="15.75" customHeight="1">
      <c r="A991" s="398" t="n">
        <v>20</v>
      </c>
      <c r="B991" s="238" t="n"/>
      <c r="C991" s="399" t="n">
        <v>46144</v>
      </c>
      <c r="D991" s="146" t="inlineStr">
        <is>
          <t>218 G. SAN JOSE 1</t>
        </is>
      </c>
      <c r="E991" s="146" t="n">
        <v>47731</v>
      </c>
      <c r="F991" s="146" t="inlineStr">
        <is>
          <t>FABIO ALDANA</t>
        </is>
      </c>
      <c r="G991" s="395" t="n">
        <v>3240</v>
      </c>
      <c r="H991" s="395" t="n">
        <v>3242</v>
      </c>
      <c r="I991" s="395" t="n">
        <v>3</v>
      </c>
      <c r="J991" s="395" t="n">
        <v>4</v>
      </c>
      <c r="K991" s="395" t="n">
        <v>9</v>
      </c>
      <c r="L991" s="395" t="n">
        <v>3240</v>
      </c>
      <c r="M991" s="113" t="n"/>
      <c r="N991" s="113" t="n"/>
      <c r="O991" s="113" t="n"/>
      <c r="P991" s="398" t="n"/>
      <c r="Q991" s="398" t="n"/>
      <c r="R991" s="113" t="n"/>
      <c r="S991" s="113" t="n"/>
      <c r="T991" s="113" t="n"/>
      <c r="U991" s="113" t="n"/>
      <c r="V991" s="113" t="n"/>
    </row>
    <row r="992" ht="15.75" customHeight="1">
      <c r="A992" s="398" t="n">
        <v>20</v>
      </c>
      <c r="B992" s="238" t="n"/>
      <c r="C992" s="399" t="n">
        <v>46144</v>
      </c>
      <c r="D992" s="146" t="inlineStr">
        <is>
          <t>218 G. SAN JOSE 1</t>
        </is>
      </c>
      <c r="E992" s="146" t="n">
        <v>47732</v>
      </c>
      <c r="F992" s="146" t="inlineStr">
        <is>
          <t>JOSE SOLER</t>
        </is>
      </c>
      <c r="G992" s="395" t="n">
        <v>3240</v>
      </c>
      <c r="H992" s="395" t="n">
        <v>3236</v>
      </c>
      <c r="I992" s="395" t="n">
        <v>2</v>
      </c>
      <c r="J992" s="395" t="n">
        <v>9</v>
      </c>
      <c r="K992" s="395" t="n">
        <v>7</v>
      </c>
      <c r="L992" s="395" t="n">
        <v>3240</v>
      </c>
      <c r="M992" s="113" t="n"/>
      <c r="N992" s="113" t="n"/>
      <c r="O992" s="113" t="n"/>
      <c r="P992" s="398" t="n"/>
      <c r="Q992" s="398" t="n"/>
      <c r="R992" s="113" t="n"/>
      <c r="S992" s="113" t="n"/>
      <c r="T992" s="113" t="n"/>
      <c r="U992" s="113" t="n"/>
      <c r="V992" s="113" t="n"/>
    </row>
    <row r="993" ht="15.75" customHeight="1">
      <c r="A993" s="398" t="n">
        <v>20</v>
      </c>
      <c r="B993" s="238" t="n"/>
      <c r="C993" s="399" t="n">
        <v>46144</v>
      </c>
      <c r="D993" s="146" t="inlineStr">
        <is>
          <t>218 G. SAN JOSE 1</t>
        </is>
      </c>
      <c r="E993" s="146" t="n">
        <v>47733</v>
      </c>
      <c r="F993" s="146" t="inlineStr">
        <is>
          <t>JAIRO CUBILLOS</t>
        </is>
      </c>
      <c r="G993" s="395" t="n">
        <v>3240</v>
      </c>
      <c r="H993" s="395" t="n">
        <v>3235</v>
      </c>
      <c r="I993" s="395" t="n">
        <v>3</v>
      </c>
      <c r="J993" s="395" t="n">
        <v>5</v>
      </c>
      <c r="K993" s="395" t="n">
        <v>3</v>
      </c>
      <c r="L993" s="395" t="n">
        <v>3240</v>
      </c>
      <c r="M993" s="113" t="n"/>
      <c r="N993" s="113" t="n"/>
      <c r="O993" s="113" t="n"/>
      <c r="P993" s="398" t="n"/>
      <c r="Q993" s="398" t="n"/>
      <c r="R993" s="113" t="n"/>
      <c r="S993" s="113" t="n"/>
      <c r="T993" s="113" t="n"/>
      <c r="U993" s="113" t="n"/>
      <c r="V993" s="113" t="n"/>
    </row>
    <row r="994" ht="15.75" customHeight="1">
      <c r="A994" s="398" t="n">
        <v>20</v>
      </c>
      <c r="B994" s="238" t="n"/>
      <c r="C994" s="399" t="n">
        <v>46144</v>
      </c>
      <c r="D994" s="146" t="inlineStr">
        <is>
          <t>218 G. SAN JOSE 1</t>
        </is>
      </c>
      <c r="E994" s="146" t="n">
        <v>47734</v>
      </c>
      <c r="F994" s="146" t="inlineStr">
        <is>
          <t>WILMER PIÑEROS</t>
        </is>
      </c>
      <c r="G994" s="395" t="n">
        <v>3240</v>
      </c>
      <c r="H994" s="395" t="n">
        <v>3240</v>
      </c>
      <c r="I994" s="395" t="n">
        <v>2</v>
      </c>
      <c r="J994" s="395" t="n">
        <v>2</v>
      </c>
      <c r="K994" s="395" t="n">
        <v>4</v>
      </c>
      <c r="L994" s="395" t="n">
        <v>3240</v>
      </c>
      <c r="M994" s="113" t="n"/>
      <c r="N994" s="113" t="n"/>
      <c r="O994" s="113" t="n"/>
      <c r="P994" s="398" t="n"/>
      <c r="Q994" s="398" t="n"/>
      <c r="R994" s="113" t="n"/>
      <c r="S994" s="113" t="n"/>
      <c r="T994" s="113" t="n"/>
      <c r="U994" s="113" t="n"/>
      <c r="V994" s="113" t="n"/>
    </row>
    <row r="995" ht="15.75" customHeight="1">
      <c r="A995" s="398" t="n">
        <v>20</v>
      </c>
      <c r="B995" s="238" t="n"/>
      <c r="C995" s="399" t="n">
        <v>46144</v>
      </c>
      <c r="D995" s="146" t="inlineStr">
        <is>
          <t>218 G. SAN JOSE 1</t>
        </is>
      </c>
      <c r="E995" s="146" t="n">
        <v>47742</v>
      </c>
      <c r="F995" s="146" t="inlineStr">
        <is>
          <t>JAIRO CUBILLOS</t>
        </is>
      </c>
      <c r="G995" s="395" t="n">
        <v>3619</v>
      </c>
      <c r="H995" s="395" t="n">
        <v>3579</v>
      </c>
      <c r="I995" s="395" t="n">
        <v>4</v>
      </c>
      <c r="J995" s="395" t="n">
        <v>11</v>
      </c>
      <c r="K995" s="395" t="n">
        <v>-25</v>
      </c>
      <c r="L995" s="395" t="n">
        <v>3240</v>
      </c>
      <c r="M995" s="113" t="n"/>
      <c r="N995" s="113" t="n"/>
      <c r="O995" s="113" t="n"/>
      <c r="P995" s="398" t="n"/>
      <c r="Q995" s="398" t="n"/>
      <c r="R995" s="113" t="n"/>
      <c r="S995" s="113" t="n"/>
      <c r="T995" s="113" t="n"/>
      <c r="U995" s="113" t="n"/>
      <c r="V995" s="113" t="n"/>
    </row>
    <row r="996" ht="15.75" customHeight="1">
      <c r="A996" s="398" t="n">
        <v>20</v>
      </c>
      <c r="B996" s="238" t="n"/>
      <c r="C996" s="399" t="n">
        <v>46144</v>
      </c>
      <c r="D996" s="146" t="inlineStr">
        <is>
          <t>218 G. SAN JOSE 1</t>
        </is>
      </c>
      <c r="E996" s="146" t="n">
        <v>47743</v>
      </c>
      <c r="F996" s="146" t="inlineStr">
        <is>
          <t>HENRY ROMERO</t>
        </is>
      </c>
      <c r="G996" s="395" t="n">
        <v>3240</v>
      </c>
      <c r="H996" s="395" t="n">
        <v>3237</v>
      </c>
      <c r="I996" s="395" t="n">
        <v>3</v>
      </c>
      <c r="J996" s="395" t="n">
        <v>8</v>
      </c>
      <c r="K996" s="395" t="n">
        <v>8</v>
      </c>
      <c r="L996" s="395" t="n">
        <v>3240</v>
      </c>
      <c r="M996" s="113" t="n"/>
      <c r="N996" s="113" t="n"/>
      <c r="O996" s="113" t="n"/>
      <c r="P996" s="398" t="n"/>
      <c r="Q996" s="398" t="n"/>
      <c r="R996" s="113" t="n"/>
      <c r="S996" s="113" t="n"/>
      <c r="T996" s="113" t="n"/>
      <c r="U996" s="113" t="n"/>
      <c r="V996" s="113" t="n"/>
    </row>
    <row r="997" ht="15.75" customHeight="1">
      <c r="A997" s="398" t="n">
        <v>20</v>
      </c>
      <c r="B997" s="238" t="n"/>
      <c r="C997" s="399" t="n">
        <v>46144</v>
      </c>
      <c r="D997" s="146" t="inlineStr">
        <is>
          <t>218 G. SAN JOSE 1</t>
        </is>
      </c>
      <c r="E997" s="146" t="n">
        <v>47744</v>
      </c>
      <c r="F997" s="146" t="inlineStr">
        <is>
          <t>ALBERTO LOPEZ</t>
        </is>
      </c>
      <c r="G997" s="395" t="n">
        <v>3240</v>
      </c>
      <c r="H997" s="395" t="n">
        <v>3240</v>
      </c>
      <c r="I997" s="395" t="n">
        <v>3</v>
      </c>
      <c r="J997" s="395" t="n">
        <v>5</v>
      </c>
      <c r="K997" s="395" t="n">
        <v>8</v>
      </c>
      <c r="L997" s="395" t="n">
        <v>3240</v>
      </c>
      <c r="M997" s="113" t="n"/>
      <c r="N997" s="113" t="n"/>
      <c r="O997" s="113" t="n"/>
      <c r="P997" s="398" t="n"/>
      <c r="Q997" s="398" t="n"/>
      <c r="R997" s="113" t="n"/>
      <c r="S997" s="113" t="n"/>
      <c r="T997" s="113" t="n"/>
      <c r="U997" s="113" t="n"/>
      <c r="V997" s="113" t="n"/>
    </row>
    <row r="998" ht="15.75" customHeight="1">
      <c r="A998" s="398" t="n">
        <v>20</v>
      </c>
      <c r="B998" s="238" t="n"/>
      <c r="C998" s="399" t="n">
        <v>46144</v>
      </c>
      <c r="D998" s="146" t="inlineStr">
        <is>
          <t>218 G. SAN JOSE 1</t>
        </is>
      </c>
      <c r="E998" s="146" t="n">
        <v>47745</v>
      </c>
      <c r="F998" s="146" t="inlineStr">
        <is>
          <t xml:space="preserve">SEBASTIAN HIDALGO </t>
        </is>
      </c>
      <c r="G998" s="395" t="n">
        <v>3240</v>
      </c>
      <c r="H998" s="395" t="n">
        <v>3226</v>
      </c>
      <c r="I998" s="395" t="n">
        <v>6</v>
      </c>
      <c r="J998" s="395" t="n">
        <v>14</v>
      </c>
      <c r="K998" s="395" t="n">
        <v>6</v>
      </c>
      <c r="L998" s="395" t="n">
        <v>3240</v>
      </c>
      <c r="M998" s="113" t="n"/>
      <c r="N998" s="113" t="n"/>
      <c r="O998" s="113" t="n"/>
      <c r="P998" s="398" t="n"/>
      <c r="Q998" s="398" t="n"/>
      <c r="R998" s="113" t="n"/>
      <c r="S998" s="113" t="n"/>
      <c r="T998" s="113" t="n"/>
      <c r="U998" s="113" t="n"/>
      <c r="V998" s="113" t="n"/>
    </row>
    <row r="999" ht="15.75" customHeight="1">
      <c r="A999" s="398" t="n">
        <v>20</v>
      </c>
      <c r="B999" s="238" t="n"/>
      <c r="C999" s="399" t="n">
        <v>46144</v>
      </c>
      <c r="D999" s="146" t="inlineStr">
        <is>
          <t>218 G. SAN JOSE 1</t>
        </is>
      </c>
      <c r="E999" s="146" t="n">
        <v>47746</v>
      </c>
      <c r="F999" s="146" t="inlineStr">
        <is>
          <t>ROBINSON PULIDO</t>
        </is>
      </c>
      <c r="G999" s="395" t="n">
        <v>3240</v>
      </c>
      <c r="H999" s="395" t="n">
        <v>3241</v>
      </c>
      <c r="I999" s="395" t="n">
        <v>2</v>
      </c>
      <c r="J999" s="395" t="n">
        <v>6</v>
      </c>
      <c r="K999" s="395" t="n">
        <v>9</v>
      </c>
      <c r="L999" s="395" t="n">
        <v>3240</v>
      </c>
      <c r="M999" s="113" t="n"/>
      <c r="N999" s="113" t="n"/>
      <c r="O999" s="113" t="n"/>
      <c r="P999" s="398" t="n"/>
      <c r="Q999" s="398" t="n"/>
      <c r="R999" s="113" t="n"/>
      <c r="S999" s="113" t="n"/>
      <c r="T999" s="113" t="n"/>
      <c r="U999" s="113" t="n"/>
      <c r="V999" s="113" t="n"/>
    </row>
    <row r="1000" ht="15.75" customHeight="1">
      <c r="A1000" s="398" t="n">
        <v>20</v>
      </c>
      <c r="B1000" s="238" t="n"/>
      <c r="C1000" s="399" t="n">
        <v>46144</v>
      </c>
      <c r="D1000" s="146" t="inlineStr">
        <is>
          <t>218 G. SAN JOSE 1</t>
        </is>
      </c>
      <c r="E1000" s="146" t="n">
        <v>47747</v>
      </c>
      <c r="F1000" s="146" t="inlineStr">
        <is>
          <t>ALBERTO HERRERA</t>
        </is>
      </c>
      <c r="G1000" s="395" t="n">
        <v>3240</v>
      </c>
      <c r="H1000" s="395" t="n">
        <v>3236</v>
      </c>
      <c r="I1000" s="395" t="n">
        <v>2</v>
      </c>
      <c r="J1000" s="395" t="n">
        <v>4</v>
      </c>
      <c r="K1000" s="395" t="n">
        <v>2</v>
      </c>
      <c r="L1000" s="395" t="n">
        <v>3240</v>
      </c>
      <c r="M1000" s="113" t="n"/>
      <c r="N1000" s="113" t="n"/>
      <c r="O1000" s="113" t="n"/>
      <c r="P1000" s="398" t="n"/>
      <c r="Q1000" s="398" t="n"/>
      <c r="R1000" s="113" t="n"/>
      <c r="S1000" s="113" t="n"/>
      <c r="T1000" s="113" t="n"/>
      <c r="U1000" s="113" t="n"/>
      <c r="V1000" s="113" t="n"/>
    </row>
    <row r="1001" ht="15.75" customHeight="1">
      <c r="A1001" s="398" t="n">
        <v>20</v>
      </c>
      <c r="B1001" s="238" t="n"/>
      <c r="C1001" s="399" t="n">
        <v>46144</v>
      </c>
      <c r="D1001" s="146" t="inlineStr">
        <is>
          <t>218 G. SAN JOSE 1</t>
        </is>
      </c>
      <c r="E1001" s="146" t="n">
        <v>47748</v>
      </c>
      <c r="F1001" s="146" t="inlineStr">
        <is>
          <t>FERNANDO OYUELA</t>
        </is>
      </c>
      <c r="G1001" s="395" t="n">
        <v>3240</v>
      </c>
      <c r="H1001" s="395" t="n">
        <v>3236</v>
      </c>
      <c r="I1001" s="395" t="n">
        <v>2</v>
      </c>
      <c r="J1001" s="395" t="n">
        <v>4</v>
      </c>
      <c r="K1001" s="395" t="n">
        <v>2</v>
      </c>
      <c r="L1001" s="395" t="n">
        <v>3240</v>
      </c>
      <c r="M1001" s="113" t="n"/>
      <c r="N1001" s="113" t="n"/>
      <c r="O1001" s="113" t="n"/>
      <c r="P1001" s="398" t="n"/>
      <c r="Q1001" s="398" t="n"/>
      <c r="R1001" s="113" t="n"/>
      <c r="S1001" s="113" t="n"/>
      <c r="T1001" s="113" t="n"/>
      <c r="U1001" s="113" t="n"/>
      <c r="V1001" s="113" t="n"/>
    </row>
    <row r="1002" ht="15.75" customHeight="1">
      <c r="A1002" s="398" t="n">
        <v>20</v>
      </c>
      <c r="B1002" s="238" t="n"/>
      <c r="C1002" s="399" t="n">
        <v>46144</v>
      </c>
      <c r="D1002" s="146" t="inlineStr">
        <is>
          <t>218 G. SAN JOSE 1</t>
        </is>
      </c>
      <c r="E1002" s="146" t="n">
        <v>47749</v>
      </c>
      <c r="F1002" s="146" t="inlineStr">
        <is>
          <t>FABIO ALDANA</t>
        </is>
      </c>
      <c r="G1002" s="395" t="n">
        <v>3240</v>
      </c>
      <c r="H1002" s="395" t="n">
        <v>3237</v>
      </c>
      <c r="I1002" s="395" t="n">
        <v>2</v>
      </c>
      <c r="J1002" s="395" t="n">
        <v>3</v>
      </c>
      <c r="K1002" s="395" t="n">
        <v>2</v>
      </c>
      <c r="L1002" s="395" t="n">
        <v>3240</v>
      </c>
      <c r="M1002" s="113" t="n"/>
      <c r="N1002" s="113" t="n"/>
      <c r="O1002" s="113" t="n"/>
      <c r="P1002" s="398" t="n"/>
      <c r="Q1002" s="398" t="n"/>
      <c r="R1002" s="113" t="n"/>
      <c r="S1002" s="113" t="n"/>
      <c r="T1002" s="113" t="n"/>
      <c r="U1002" s="113" t="n"/>
      <c r="V1002" s="113" t="n"/>
    </row>
    <row r="1003" ht="15.75" customHeight="1">
      <c r="A1003" s="398" t="n">
        <v>20</v>
      </c>
      <c r="B1003" s="238" t="n"/>
      <c r="C1003" s="399" t="n">
        <v>46144</v>
      </c>
      <c r="D1003" s="146" t="inlineStr">
        <is>
          <t>218 G. SAN JOSE 1</t>
        </is>
      </c>
      <c r="E1003" s="146" t="n">
        <v>47750</v>
      </c>
      <c r="F1003" s="146" t="inlineStr">
        <is>
          <t>JOSE SOLER</t>
        </is>
      </c>
      <c r="G1003" s="395" t="n">
        <v>3240</v>
      </c>
      <c r="H1003" s="395" t="n">
        <v>3261</v>
      </c>
      <c r="I1003" s="395" t="n">
        <v>2</v>
      </c>
      <c r="J1003" s="395" t="n">
        <v>2</v>
      </c>
      <c r="K1003" s="395" t="n">
        <v>25</v>
      </c>
      <c r="L1003" s="395" t="n">
        <v>3619</v>
      </c>
      <c r="M1003" s="113" t="n"/>
      <c r="N1003" s="113" t="n"/>
      <c r="O1003" s="113" t="n"/>
      <c r="P1003" s="398" t="n"/>
      <c r="Q1003" s="398" t="n"/>
      <c r="R1003" s="113" t="n"/>
      <c r="S1003" s="113" t="n"/>
      <c r="T1003" s="113" t="n"/>
      <c r="U1003" s="113" t="n"/>
      <c r="V1003" s="113" t="n"/>
    </row>
    <row r="1004" ht="15.75" customHeight="1">
      <c r="A1004" s="398" t="n">
        <v>20</v>
      </c>
      <c r="B1004" s="238" t="n"/>
      <c r="C1004" s="399" t="n">
        <v>46144</v>
      </c>
      <c r="D1004" s="146" t="inlineStr">
        <is>
          <t>218 G. SAN JOSE 1</t>
        </is>
      </c>
      <c r="E1004" s="146" t="n">
        <v>47751</v>
      </c>
      <c r="F1004" s="146" t="inlineStr">
        <is>
          <t>WILMER PIÑEROS</t>
        </is>
      </c>
      <c r="G1004" s="395" t="n">
        <v>3240</v>
      </c>
      <c r="H1004" s="395" t="n">
        <v>3217</v>
      </c>
      <c r="I1004" s="395" t="n">
        <v>2</v>
      </c>
      <c r="J1004" s="395" t="n">
        <v>3</v>
      </c>
      <c r="K1004" s="395" t="n">
        <v>-18</v>
      </c>
      <c r="L1004" s="395" t="n">
        <v>3240</v>
      </c>
      <c r="M1004" s="113" t="n"/>
      <c r="N1004" s="113" t="n"/>
      <c r="O1004" s="113" t="n"/>
      <c r="P1004" s="398" t="n"/>
      <c r="Q1004" s="398" t="n"/>
      <c r="R1004" s="113" t="n"/>
      <c r="S1004" s="113" t="n"/>
      <c r="T1004" s="113" t="n"/>
      <c r="U1004" s="113" t="n"/>
      <c r="V1004" s="113" t="n"/>
    </row>
    <row r="1005" ht="15.75" customHeight="1">
      <c r="A1005" s="398" t="n">
        <v>20</v>
      </c>
      <c r="B1005" s="238" t="n"/>
      <c r="C1005" s="399" t="n">
        <v>46144</v>
      </c>
      <c r="D1005" s="146" t="inlineStr">
        <is>
          <t>218 G. SAN JOSE 1</t>
        </is>
      </c>
      <c r="E1005" s="146" t="n">
        <v>47752</v>
      </c>
      <c r="F1005" s="146" t="inlineStr">
        <is>
          <t>ALEZ GOMEZ</t>
        </is>
      </c>
      <c r="G1005" s="395" t="n">
        <v>2860</v>
      </c>
      <c r="H1005" s="395" t="n">
        <v>2851</v>
      </c>
      <c r="I1005" s="395" t="n">
        <v>2</v>
      </c>
      <c r="J1005" s="395" t="n">
        <v>3</v>
      </c>
      <c r="K1005" s="395" t="n">
        <v>-4</v>
      </c>
      <c r="L1005" s="395" t="n">
        <v>2860</v>
      </c>
      <c r="M1005" s="113" t="n"/>
      <c r="N1005" s="113" t="n"/>
      <c r="O1005" s="113" t="n"/>
      <c r="P1005" s="398" t="n"/>
      <c r="Q1005" s="398" t="n"/>
      <c r="R1005" s="113" t="n"/>
      <c r="S1005" s="113" t="n"/>
      <c r="T1005" s="113" t="n"/>
      <c r="U1005" s="113" t="n"/>
      <c r="V1005" s="113" t="n"/>
    </row>
    <row r="1006" ht="15.75" customHeight="1">
      <c r="A1006" s="398" t="n">
        <v>20</v>
      </c>
      <c r="B1006" s="238" t="n"/>
      <c r="C1006" s="164" t="n">
        <v>46146</v>
      </c>
      <c r="D1006" s="165" t="inlineStr">
        <is>
          <t>202 G.HUERTAS</t>
        </is>
      </c>
      <c r="E1006" s="165" t="n">
        <v>47753</v>
      </c>
      <c r="F1006" s="165" t="inlineStr">
        <is>
          <t>ALBERTO LOPEZ</t>
        </is>
      </c>
      <c r="G1006" s="165" t="n">
        <v>2916</v>
      </c>
      <c r="H1006" s="165" t="n">
        <v>2912</v>
      </c>
      <c r="I1006" s="165" t="n">
        <v>1</v>
      </c>
      <c r="J1006" s="165" t="n">
        <v>4</v>
      </c>
      <c r="K1006" s="165" t="n">
        <v>1</v>
      </c>
      <c r="L1006" s="395" t="n">
        <v>2916</v>
      </c>
      <c r="M1006" s="113" t="n"/>
      <c r="N1006" s="113" t="n"/>
      <c r="O1006" s="113" t="n"/>
      <c r="P1006" s="398" t="n"/>
      <c r="Q1006" s="398" t="n"/>
      <c r="R1006" s="113" t="n"/>
      <c r="S1006" s="113" t="n"/>
      <c r="T1006" s="113" t="n"/>
      <c r="U1006" s="113" t="n"/>
      <c r="V1006" s="113" t="n"/>
    </row>
    <row r="1007" ht="15.75" customHeight="1">
      <c r="A1007" s="398" t="n">
        <v>20</v>
      </c>
      <c r="B1007" s="238" t="n"/>
      <c r="C1007" s="164" t="n">
        <v>46146</v>
      </c>
      <c r="D1007" s="165" t="inlineStr">
        <is>
          <t>202 G.HUERTAS</t>
        </is>
      </c>
      <c r="E1007" s="165" t="n">
        <v>47754</v>
      </c>
      <c r="F1007" s="165" t="inlineStr">
        <is>
          <t xml:space="preserve">SEBASTIAN HIDALGO </t>
        </is>
      </c>
      <c r="G1007" s="165" t="n">
        <v>2916</v>
      </c>
      <c r="H1007" s="165" t="n">
        <v>2909</v>
      </c>
      <c r="I1007" s="165" t="n">
        <v>2</v>
      </c>
      <c r="J1007" s="165" t="n">
        <v>7</v>
      </c>
      <c r="K1007" s="165" t="n">
        <v>2</v>
      </c>
      <c r="L1007" s="395" t="n">
        <v>2916</v>
      </c>
      <c r="M1007" s="113" t="n"/>
      <c r="N1007" s="113" t="n"/>
      <c r="O1007" s="113" t="n"/>
      <c r="P1007" s="398" t="n"/>
      <c r="Q1007" s="398" t="n"/>
      <c r="R1007" s="113" t="n"/>
      <c r="S1007" s="113" t="n"/>
      <c r="T1007" s="113" t="n"/>
      <c r="U1007" s="113" t="n"/>
      <c r="V1007" s="113" t="n"/>
    </row>
    <row r="1008" ht="15.75" customHeight="1">
      <c r="A1008" s="398" t="n">
        <v>20</v>
      </c>
      <c r="B1008" s="238" t="n"/>
      <c r="C1008" s="164" t="n">
        <v>46146</v>
      </c>
      <c r="D1008" s="165" t="inlineStr">
        <is>
          <t>202 G.HUERTAS</t>
        </is>
      </c>
      <c r="E1008" s="165" t="n">
        <v>47755</v>
      </c>
      <c r="F1008" s="165" t="inlineStr">
        <is>
          <t>ALBERTO HERRERA</t>
        </is>
      </c>
      <c r="G1008" s="165" t="n">
        <v>2916</v>
      </c>
      <c r="H1008" s="165" t="n">
        <v>2897</v>
      </c>
      <c r="I1008" s="165" t="n">
        <v>2</v>
      </c>
      <c r="J1008" s="165" t="n">
        <v>6</v>
      </c>
      <c r="K1008" s="165" t="n">
        <v>-11</v>
      </c>
      <c r="L1008" s="395" t="n">
        <v>2916</v>
      </c>
      <c r="M1008" s="113" t="n"/>
      <c r="N1008" s="113" t="n"/>
      <c r="O1008" s="113" t="n"/>
      <c r="P1008" s="398" t="n"/>
      <c r="Q1008" s="398" t="n"/>
      <c r="R1008" s="113" t="n"/>
      <c r="S1008" s="113" t="n"/>
      <c r="T1008" s="113" t="n"/>
      <c r="U1008" s="113" t="n"/>
      <c r="V1008" s="113" t="n"/>
    </row>
    <row r="1009" ht="15.75" customHeight="1">
      <c r="A1009" s="398" t="n">
        <v>20</v>
      </c>
      <c r="B1009" s="238" t="n"/>
      <c r="C1009" s="399" t="n">
        <v>46146</v>
      </c>
      <c r="D1009" s="146" t="inlineStr">
        <is>
          <t>219 G. SAN JOSE 2</t>
        </is>
      </c>
      <c r="E1009" s="146" t="n">
        <v>47756</v>
      </c>
      <c r="F1009" s="146" t="inlineStr">
        <is>
          <t>ALEX GOMEZ</t>
        </is>
      </c>
      <c r="G1009" s="395" t="n">
        <v>4635</v>
      </c>
      <c r="H1009" s="395" t="n">
        <v>4622</v>
      </c>
      <c r="I1009" s="395" t="n">
        <v>20</v>
      </c>
      <c r="J1009" s="395" t="n">
        <v>14</v>
      </c>
      <c r="K1009" s="395" t="n">
        <v>21</v>
      </c>
      <c r="L1009" s="395" t="n">
        <v>4635</v>
      </c>
      <c r="M1009" s="113" t="n"/>
      <c r="N1009" s="113" t="n"/>
      <c r="O1009" s="113" t="n"/>
      <c r="P1009" s="398" t="n"/>
      <c r="Q1009" s="398" t="n"/>
      <c r="R1009" s="113" t="n"/>
      <c r="S1009" s="113" t="n"/>
      <c r="T1009" s="113" t="n"/>
      <c r="U1009" s="113" t="n"/>
      <c r="V1009" s="113" t="n"/>
    </row>
    <row r="1010" ht="15.75" customHeight="1">
      <c r="A1010" s="398" t="n">
        <v>20</v>
      </c>
      <c r="B1010" s="238" t="n"/>
      <c r="C1010" s="399" t="n">
        <v>46146</v>
      </c>
      <c r="D1010" s="146" t="inlineStr">
        <is>
          <t>218 G. SAN JOSE 1</t>
        </is>
      </c>
      <c r="E1010" s="146" t="n">
        <v>47757</v>
      </c>
      <c r="F1010" s="146" t="inlineStr">
        <is>
          <t>FERNANDO OYUELA</t>
        </is>
      </c>
      <c r="G1010" s="395" t="n">
        <v>3180</v>
      </c>
      <c r="H1010" s="395" t="n">
        <v>3178</v>
      </c>
      <c r="I1010" s="395" t="n">
        <v>3</v>
      </c>
      <c r="J1010" s="395" t="n">
        <v>2</v>
      </c>
      <c r="K1010" s="395" t="n">
        <v>3</v>
      </c>
      <c r="L1010" s="395" t="n">
        <v>3180</v>
      </c>
      <c r="M1010" s="113" t="n"/>
      <c r="N1010" s="113" t="n"/>
      <c r="O1010" s="113" t="n"/>
      <c r="P1010" s="398" t="n"/>
      <c r="Q1010" s="398" t="n"/>
      <c r="R1010" s="113" t="n"/>
      <c r="S1010" s="113" t="n"/>
      <c r="T1010" s="113" t="n"/>
      <c r="U1010" s="113" t="n"/>
      <c r="V1010" s="113" t="n"/>
    </row>
    <row r="1011" ht="15.75" customHeight="1">
      <c r="A1011" s="398" t="n">
        <v>20</v>
      </c>
      <c r="B1011" s="238" t="n"/>
      <c r="C1011" s="399" t="n">
        <v>46146</v>
      </c>
      <c r="D1011" s="146" t="inlineStr">
        <is>
          <t>218 G. SAN JOSE 1</t>
        </is>
      </c>
      <c r="E1011" s="146" t="n">
        <v>47758</v>
      </c>
      <c r="F1011" s="146" t="inlineStr">
        <is>
          <t>HENRY ROMERO</t>
        </is>
      </c>
      <c r="G1011" s="395" t="n">
        <v>3180</v>
      </c>
      <c r="H1011" s="395" t="n">
        <v>3177</v>
      </c>
      <c r="I1011" s="395" t="n">
        <v>2</v>
      </c>
      <c r="J1011" s="395" t="n">
        <v>3</v>
      </c>
      <c r="K1011" s="395" t="n">
        <v>2</v>
      </c>
      <c r="L1011" s="395" t="n">
        <v>3180</v>
      </c>
      <c r="M1011" s="113" t="n"/>
      <c r="N1011" s="113" t="n"/>
      <c r="O1011" s="113" t="n"/>
      <c r="P1011" s="398" t="n"/>
      <c r="Q1011" s="398" t="n"/>
      <c r="R1011" s="113" t="n"/>
      <c r="S1011" s="113" t="n"/>
      <c r="T1011" s="113" t="n"/>
      <c r="U1011" s="113" t="n"/>
      <c r="V1011" s="113" t="n"/>
    </row>
    <row r="1012" ht="15.75" customHeight="1">
      <c r="A1012" s="398" t="n">
        <v>20</v>
      </c>
      <c r="B1012" s="238" t="n"/>
      <c r="C1012" s="399" t="n">
        <v>46146</v>
      </c>
      <c r="D1012" s="146" t="inlineStr">
        <is>
          <t>218 G. SAN JOSE 1</t>
        </is>
      </c>
      <c r="E1012" s="146" t="n">
        <v>47759</v>
      </c>
      <c r="F1012" s="146" t="inlineStr">
        <is>
          <t>ROBINSON PULIDO</t>
        </is>
      </c>
      <c r="G1012" s="395" t="n">
        <v>3180</v>
      </c>
      <c r="H1012" s="395" t="n">
        <v>3157</v>
      </c>
      <c r="I1012" s="395" t="n">
        <v>2</v>
      </c>
      <c r="J1012" s="395" t="n">
        <v>3</v>
      </c>
      <c r="K1012" s="395" t="n">
        <v>-18</v>
      </c>
      <c r="L1012" s="395" t="n">
        <v>3180</v>
      </c>
      <c r="M1012" s="113" t="n"/>
      <c r="N1012" s="113" t="n"/>
      <c r="O1012" s="113" t="n"/>
      <c r="P1012" s="398" t="n"/>
      <c r="Q1012" s="398" t="n"/>
      <c r="R1012" s="113" t="n"/>
      <c r="S1012" s="113" t="n"/>
      <c r="T1012" s="113" t="n"/>
      <c r="U1012" s="113" t="n"/>
      <c r="V1012" s="113" t="n"/>
    </row>
    <row r="1013" ht="15.75" customHeight="1">
      <c r="A1013" s="398" t="n">
        <v>20</v>
      </c>
      <c r="B1013" s="238" t="n"/>
      <c r="C1013" s="399" t="n">
        <v>46146</v>
      </c>
      <c r="D1013" s="146" t="inlineStr">
        <is>
          <t>218 G. SAN JOSE 1</t>
        </is>
      </c>
      <c r="E1013" s="146" t="n">
        <v>47760</v>
      </c>
      <c r="F1013" s="146" t="inlineStr">
        <is>
          <t xml:space="preserve">MANUEL QUITIAN </t>
        </is>
      </c>
      <c r="G1013" s="395" t="n">
        <v>3180</v>
      </c>
      <c r="H1013" s="395" t="n">
        <v>3204</v>
      </c>
      <c r="I1013" s="395" t="n">
        <v>2</v>
      </c>
      <c r="J1013" s="395" t="n">
        <v>3</v>
      </c>
      <c r="K1013" s="395" t="n">
        <v>29</v>
      </c>
      <c r="L1013" s="395" t="n">
        <v>3180</v>
      </c>
      <c r="M1013" s="113" t="n"/>
      <c r="N1013" s="113" t="n"/>
      <c r="O1013" s="113" t="n"/>
      <c r="P1013" s="398" t="n"/>
      <c r="Q1013" s="398" t="n"/>
      <c r="R1013" s="113" t="n"/>
      <c r="S1013" s="113" t="n"/>
      <c r="T1013" s="113" t="n"/>
      <c r="U1013" s="113" t="n"/>
      <c r="V1013" s="113" t="n"/>
    </row>
    <row r="1014" ht="15.75" customHeight="1">
      <c r="A1014" s="398" t="n">
        <v>20</v>
      </c>
      <c r="B1014" s="238" t="n"/>
      <c r="C1014" s="399" t="n">
        <v>46146</v>
      </c>
      <c r="D1014" s="146" t="inlineStr">
        <is>
          <t>218 G. SAN JOSE 1</t>
        </is>
      </c>
      <c r="E1014" s="146" t="n">
        <v>47769</v>
      </c>
      <c r="F1014" s="146" t="inlineStr">
        <is>
          <t>ALBERTO LOPEZ</t>
        </is>
      </c>
      <c r="G1014" s="395" t="n">
        <v>3180</v>
      </c>
      <c r="H1014" s="395" t="n">
        <v>3176</v>
      </c>
      <c r="I1014" s="395" t="n">
        <v>2</v>
      </c>
      <c r="J1014" s="395" t="n">
        <v>5</v>
      </c>
      <c r="K1014" s="395" t="n">
        <v>3</v>
      </c>
      <c r="L1014" s="395" t="n">
        <v>3180</v>
      </c>
      <c r="M1014" s="113" t="n"/>
      <c r="N1014" s="113" t="n"/>
      <c r="O1014" s="113" t="n"/>
      <c r="P1014" s="398" t="n"/>
      <c r="Q1014" s="398" t="n"/>
      <c r="R1014" s="113" t="n"/>
      <c r="S1014" s="113" t="n"/>
      <c r="T1014" s="113" t="n"/>
      <c r="U1014" s="113" t="n"/>
      <c r="V1014" s="113" t="n"/>
    </row>
    <row r="1015" ht="15.75" customHeight="1">
      <c r="A1015" s="398" t="n">
        <v>20</v>
      </c>
      <c r="B1015" s="238" t="n"/>
      <c r="C1015" s="399" t="n">
        <v>46146</v>
      </c>
      <c r="D1015" s="146" t="inlineStr">
        <is>
          <t>218 G. SAN JOSE 1</t>
        </is>
      </c>
      <c r="E1015" s="146" t="n">
        <v>47770</v>
      </c>
      <c r="F1015" s="146" t="inlineStr">
        <is>
          <t xml:space="preserve">SEBASTIAN HIDALGO </t>
        </is>
      </c>
      <c r="G1015" s="395" t="n">
        <v>3180</v>
      </c>
      <c r="H1015" s="395" t="n">
        <v>3179</v>
      </c>
      <c r="I1015" s="395" t="n">
        <v>3</v>
      </c>
      <c r="J1015" s="395" t="n">
        <v>3</v>
      </c>
      <c r="K1015" s="395" t="n">
        <v>5</v>
      </c>
      <c r="L1015" s="395" t="n">
        <v>3180</v>
      </c>
      <c r="M1015" s="113" t="n"/>
      <c r="N1015" s="113" t="n"/>
      <c r="O1015" s="113" t="n"/>
      <c r="P1015" s="398" t="n"/>
      <c r="Q1015" s="398" t="n"/>
      <c r="R1015" s="113" t="n"/>
      <c r="S1015" s="113" t="n"/>
      <c r="T1015" s="113" t="n"/>
      <c r="U1015" s="113" t="n"/>
      <c r="V1015" s="113" t="n"/>
    </row>
    <row r="1016" ht="15.75" customHeight="1">
      <c r="A1016" s="398" t="n">
        <v>20</v>
      </c>
      <c r="B1016" s="238" t="n"/>
      <c r="C1016" s="399" t="n">
        <v>46146</v>
      </c>
      <c r="D1016" s="146" t="inlineStr">
        <is>
          <t>218 G. SAN JOSE 1</t>
        </is>
      </c>
      <c r="E1016" s="146" t="n">
        <v>47771</v>
      </c>
      <c r="F1016" s="146" t="inlineStr">
        <is>
          <t>ALBERTO HERRERA</t>
        </is>
      </c>
      <c r="G1016" s="395" t="n">
        <v>3180</v>
      </c>
      <c r="H1016" s="395" t="n">
        <v>3181</v>
      </c>
      <c r="I1016" s="395" t="n">
        <v>3</v>
      </c>
      <c r="J1016" s="395" t="n">
        <v>5</v>
      </c>
      <c r="K1016" s="395" t="n">
        <v>9</v>
      </c>
      <c r="L1016" s="395" t="n">
        <v>3180</v>
      </c>
      <c r="M1016" s="113" t="n"/>
      <c r="N1016" s="113" t="n"/>
      <c r="O1016" s="113" t="n"/>
      <c r="P1016" s="398" t="n"/>
      <c r="Q1016" s="398" t="n"/>
      <c r="R1016" s="113" t="n"/>
      <c r="S1016" s="113" t="n"/>
      <c r="T1016" s="113" t="n"/>
      <c r="U1016" s="113" t="n"/>
      <c r="V1016" s="113" t="n"/>
    </row>
    <row r="1017" ht="15.75" customHeight="1">
      <c r="A1017" s="398" t="n">
        <v>20</v>
      </c>
      <c r="B1017" s="238" t="n"/>
      <c r="C1017" s="399" t="n">
        <v>46146</v>
      </c>
      <c r="D1017" s="146" t="inlineStr">
        <is>
          <t>218 G. SAN JOSE 1</t>
        </is>
      </c>
      <c r="E1017" s="146" t="n">
        <v>47772</v>
      </c>
      <c r="F1017" s="146" t="inlineStr">
        <is>
          <t>ALEX GOMEZ</t>
        </is>
      </c>
      <c r="G1017" s="395" t="n">
        <v>3180</v>
      </c>
      <c r="H1017" s="395" t="n">
        <v>3175</v>
      </c>
      <c r="I1017" s="395" t="n">
        <v>3</v>
      </c>
      <c r="J1017" s="395" t="n">
        <v>4</v>
      </c>
      <c r="K1017" s="395" t="n">
        <v>2</v>
      </c>
      <c r="L1017" s="395" t="n">
        <v>3180</v>
      </c>
      <c r="M1017" s="113" t="n"/>
      <c r="N1017" s="113" t="n"/>
      <c r="O1017" s="113" t="n"/>
      <c r="P1017" s="398" t="n"/>
      <c r="Q1017" s="398" t="n"/>
      <c r="R1017" s="113" t="n"/>
      <c r="S1017" s="113" t="n"/>
      <c r="T1017" s="113" t="n"/>
      <c r="U1017" s="113" t="n"/>
      <c r="V1017" s="113" t="n"/>
    </row>
    <row r="1018" ht="15.75" customHeight="1">
      <c r="A1018" s="398" t="n">
        <v>20</v>
      </c>
      <c r="B1018" s="238" t="n"/>
      <c r="C1018" s="399" t="n">
        <v>46146</v>
      </c>
      <c r="D1018" s="146" t="inlineStr">
        <is>
          <t>218 G. SAN JOSE 1</t>
        </is>
      </c>
      <c r="E1018" s="146" t="n">
        <v>47773</v>
      </c>
      <c r="F1018" s="146" t="inlineStr">
        <is>
          <t>FERNANDO OYUELA</t>
        </is>
      </c>
      <c r="G1018" s="395" t="n">
        <v>3180</v>
      </c>
      <c r="H1018" s="395" t="n">
        <v>3165</v>
      </c>
      <c r="I1018" s="395" t="n">
        <v>2</v>
      </c>
      <c r="J1018" s="395" t="n">
        <v>1</v>
      </c>
      <c r="K1018" s="395" t="n">
        <v>-12</v>
      </c>
      <c r="L1018" s="395" t="n">
        <v>3180</v>
      </c>
      <c r="M1018" s="113" t="n"/>
      <c r="N1018" s="113" t="n"/>
      <c r="O1018" s="113" t="n"/>
      <c r="P1018" s="398" t="n"/>
      <c r="Q1018" s="398" t="n"/>
      <c r="R1018" s="113" t="n"/>
      <c r="S1018" s="113" t="n"/>
      <c r="T1018" s="113" t="n"/>
      <c r="U1018" s="113" t="n"/>
      <c r="V1018" s="113" t="n"/>
    </row>
    <row r="1019" ht="15.75" customHeight="1">
      <c r="A1019" s="398" t="n">
        <v>20</v>
      </c>
      <c r="B1019" s="238" t="n"/>
      <c r="C1019" s="399" t="n">
        <v>46146</v>
      </c>
      <c r="D1019" s="146" t="inlineStr">
        <is>
          <t>218 G. SAN JOSE 1</t>
        </is>
      </c>
      <c r="E1019" s="146" t="n">
        <v>47774</v>
      </c>
      <c r="F1019" s="146" t="inlineStr">
        <is>
          <t>HENRY ROMERO</t>
        </is>
      </c>
      <c r="G1019" s="395" t="n">
        <v>3180</v>
      </c>
      <c r="H1019" s="395" t="n">
        <v>3162</v>
      </c>
      <c r="I1019" s="395" t="n">
        <v>2</v>
      </c>
      <c r="J1019" s="395" t="n">
        <v>0</v>
      </c>
      <c r="K1019" s="395" t="n">
        <v>-16</v>
      </c>
      <c r="L1019" s="395" t="n">
        <v>3180</v>
      </c>
      <c r="M1019" s="113" t="n"/>
      <c r="N1019" s="113" t="n"/>
      <c r="O1019" s="113" t="n"/>
      <c r="P1019" s="398" t="n"/>
      <c r="Q1019" s="398" t="n"/>
      <c r="R1019" s="113" t="n"/>
      <c r="S1019" s="113" t="n"/>
      <c r="T1019" s="113" t="n"/>
      <c r="U1019" s="113" t="n"/>
      <c r="V1019" s="113" t="n"/>
    </row>
    <row r="1020" ht="15.75" customHeight="1">
      <c r="A1020" s="398" t="n">
        <v>20</v>
      </c>
      <c r="B1020" s="238" t="n"/>
      <c r="C1020" s="399" t="n">
        <v>46146</v>
      </c>
      <c r="D1020" s="146" t="inlineStr">
        <is>
          <t>218 G. SAN JOSE 1</t>
        </is>
      </c>
      <c r="E1020" s="146" t="n">
        <v>47775</v>
      </c>
      <c r="F1020" s="146" t="inlineStr">
        <is>
          <t>EDUAN CAVIEDES</t>
        </is>
      </c>
      <c r="G1020" s="395" t="n">
        <v>3200</v>
      </c>
      <c r="H1020" s="395" t="n">
        <v>3184</v>
      </c>
      <c r="I1020" s="395" t="n">
        <v>1</v>
      </c>
      <c r="J1020" s="395" t="n">
        <v>3</v>
      </c>
      <c r="K1020" s="395" t="n">
        <v>-12</v>
      </c>
      <c r="L1020" s="395" t="n">
        <v>3200</v>
      </c>
      <c r="M1020" s="113" t="n"/>
      <c r="N1020" s="113" t="n"/>
      <c r="O1020" s="113" t="n"/>
      <c r="P1020" s="398" t="n"/>
      <c r="Q1020" s="398" t="n"/>
      <c r="R1020" s="113" t="n"/>
      <c r="S1020" s="113" t="n"/>
      <c r="T1020" s="113" t="n"/>
      <c r="U1020" s="113" t="n"/>
      <c r="V1020" s="113" t="n"/>
    </row>
    <row r="1021" ht="15.75" customHeight="1">
      <c r="A1021" s="398" t="n">
        <v>20</v>
      </c>
      <c r="B1021" s="238" t="n"/>
      <c r="C1021" s="164" t="n">
        <v>46147</v>
      </c>
      <c r="D1021" s="165" t="inlineStr">
        <is>
          <t>202 G.HUERTAS</t>
        </is>
      </c>
      <c r="E1021" s="165" t="n">
        <v>47783</v>
      </c>
      <c r="F1021" s="165" t="inlineStr">
        <is>
          <t>EDUAN CAVIEDES</t>
        </is>
      </c>
      <c r="G1021" s="165" t="n">
        <v>2800</v>
      </c>
      <c r="H1021" s="165" t="n">
        <v>2797</v>
      </c>
      <c r="I1021" s="165" t="n">
        <v>5</v>
      </c>
      <c r="J1021" s="165" t="n">
        <v>3</v>
      </c>
      <c r="K1021" s="165" t="n">
        <v>5</v>
      </c>
      <c r="L1021" s="395" t="n">
        <v>2800</v>
      </c>
      <c r="M1021" s="113" t="n"/>
      <c r="N1021" s="113" t="n"/>
      <c r="O1021" s="113" t="n"/>
      <c r="P1021" s="398" t="n"/>
      <c r="Q1021" s="398" t="n"/>
      <c r="R1021" s="113" t="n"/>
      <c r="S1021" s="113" t="n"/>
      <c r="T1021" s="113" t="n"/>
      <c r="U1021" s="113" t="n"/>
      <c r="V1021" s="113" t="n"/>
    </row>
    <row r="1022" ht="15.75" customHeight="1">
      <c r="A1022" s="398" t="n">
        <v>20</v>
      </c>
      <c r="B1022" s="238" t="n"/>
      <c r="C1022" s="164" t="n">
        <v>46147</v>
      </c>
      <c r="D1022" s="165" t="inlineStr">
        <is>
          <t>202 G.HUERTAS</t>
        </is>
      </c>
      <c r="E1022" s="165" t="n">
        <v>47784</v>
      </c>
      <c r="F1022" s="165" t="inlineStr">
        <is>
          <t>WILMER PIÑEROS</t>
        </is>
      </c>
      <c r="G1022" s="165" t="n">
        <v>2800</v>
      </c>
      <c r="H1022" s="165" t="n">
        <v>2795</v>
      </c>
      <c r="I1022" s="165" t="n">
        <v>4</v>
      </c>
      <c r="J1022" s="165" t="n">
        <v>3</v>
      </c>
      <c r="K1022" s="165" t="n">
        <v>2</v>
      </c>
      <c r="L1022" s="395" t="n">
        <v>2800</v>
      </c>
      <c r="M1022" s="113" t="n"/>
      <c r="N1022" s="113" t="n"/>
      <c r="O1022" s="113" t="n"/>
      <c r="P1022" s="398" t="n"/>
      <c r="Q1022" s="398" t="n"/>
      <c r="R1022" s="113" t="n"/>
      <c r="S1022" s="113" t="n"/>
      <c r="T1022" s="113" t="n"/>
      <c r="U1022" s="113" t="n"/>
      <c r="V1022" s="113" t="n"/>
    </row>
    <row r="1023" ht="15.75" customHeight="1">
      <c r="A1023" s="398" t="n">
        <v>20</v>
      </c>
      <c r="B1023" s="238" t="n"/>
      <c r="C1023" s="164" t="n">
        <v>46147</v>
      </c>
      <c r="D1023" s="166" t="inlineStr">
        <is>
          <t>202 G.HUERTAS</t>
        </is>
      </c>
      <c r="E1023" s="166" t="n">
        <v>47785</v>
      </c>
      <c r="F1023" s="166" t="inlineStr">
        <is>
          <t xml:space="preserve">MANUEL QUITIAN </t>
        </is>
      </c>
      <c r="G1023" s="166" t="n">
        <v>2800</v>
      </c>
      <c r="H1023" s="166" t="n">
        <v>2777</v>
      </c>
      <c r="I1023" s="166" t="n">
        <v>4</v>
      </c>
      <c r="J1023" s="166" t="n">
        <v>8</v>
      </c>
      <c r="K1023" s="166" t="n">
        <v>-11</v>
      </c>
      <c r="L1023" s="395" t="n">
        <v>2800</v>
      </c>
      <c r="M1023" s="113" t="n"/>
      <c r="N1023" s="113" t="n"/>
      <c r="O1023" s="113" t="n"/>
      <c r="P1023" s="398" t="n"/>
      <c r="Q1023" s="398" t="n"/>
      <c r="R1023" s="113" t="n"/>
      <c r="S1023" s="113" t="n"/>
      <c r="T1023" s="113" t="n"/>
      <c r="U1023" s="113" t="n"/>
      <c r="V1023" s="113" t="n"/>
    </row>
    <row r="1024" ht="15.75" customHeight="1">
      <c r="A1024" s="398" t="n">
        <v>20</v>
      </c>
      <c r="B1024" s="238" t="n"/>
      <c r="C1024" s="164" t="n">
        <v>46147</v>
      </c>
      <c r="D1024" s="166" t="inlineStr">
        <is>
          <t>202 G.HUERTAS</t>
        </is>
      </c>
      <c r="E1024" s="166" t="n">
        <v>47786</v>
      </c>
      <c r="F1024" s="166" t="inlineStr">
        <is>
          <t>YAIR RIVEROS</t>
        </is>
      </c>
      <c r="G1024" s="166" t="n">
        <v>3400</v>
      </c>
      <c r="H1024" s="166" t="n">
        <v>3418</v>
      </c>
      <c r="I1024" s="166" t="n">
        <v>2</v>
      </c>
      <c r="J1024" s="166" t="n">
        <v>6</v>
      </c>
      <c r="K1024" s="166" t="n">
        <v>26</v>
      </c>
      <c r="L1024" s="395" t="n">
        <v>3400</v>
      </c>
      <c r="M1024" s="113" t="n"/>
      <c r="N1024" s="113" t="n"/>
      <c r="O1024" s="113" t="n"/>
      <c r="P1024" s="398" t="n"/>
      <c r="Q1024" s="398" t="n"/>
      <c r="R1024" s="113" t="n"/>
      <c r="S1024" s="113" t="n"/>
      <c r="T1024" s="113" t="n"/>
      <c r="U1024" s="113" t="n"/>
      <c r="V1024" s="113" t="n"/>
    </row>
    <row r="1025" ht="15.75" customHeight="1">
      <c r="A1025" s="398" t="n">
        <v>20</v>
      </c>
      <c r="B1025" s="238" t="n"/>
      <c r="C1025" s="164" t="n">
        <v>46147</v>
      </c>
      <c r="D1025" s="166" t="inlineStr">
        <is>
          <t>202 G.HUERTAS</t>
        </is>
      </c>
      <c r="E1025" s="166" t="n">
        <v>47787</v>
      </c>
      <c r="F1025" s="166" t="inlineStr">
        <is>
          <t>ROBINSON PULIDO</t>
        </is>
      </c>
      <c r="G1025" s="166" t="n">
        <v>3400</v>
      </c>
      <c r="H1025" s="166" t="n">
        <v>3387</v>
      </c>
      <c r="I1025" s="166" t="n">
        <v>3</v>
      </c>
      <c r="J1025" s="166" t="n">
        <v>3</v>
      </c>
      <c r="K1025" s="166" t="n">
        <v>-7</v>
      </c>
      <c r="L1025" s="395" t="n">
        <v>3400</v>
      </c>
      <c r="M1025" s="113" t="n"/>
      <c r="N1025" s="113" t="n"/>
      <c r="O1025" s="113" t="n"/>
      <c r="P1025" s="398" t="n"/>
      <c r="Q1025" s="398" t="n"/>
      <c r="R1025" s="113" t="n"/>
      <c r="S1025" s="113" t="n"/>
      <c r="T1025" s="113" t="n"/>
      <c r="U1025" s="113" t="n"/>
      <c r="V1025" s="113" t="n"/>
    </row>
    <row r="1026" ht="15.75" customHeight="1">
      <c r="A1026" s="398" t="n">
        <v>20</v>
      </c>
      <c r="B1026" s="238" t="n"/>
      <c r="C1026" s="164" t="n">
        <v>46147</v>
      </c>
      <c r="D1026" s="166" t="inlineStr">
        <is>
          <t>202 G.HUERTAS</t>
        </is>
      </c>
      <c r="E1026" s="166" t="n">
        <v>47788</v>
      </c>
      <c r="F1026" s="166" t="inlineStr">
        <is>
          <t>JOSE SOLER</t>
        </is>
      </c>
      <c r="G1026" s="166" t="n">
        <v>3400</v>
      </c>
      <c r="H1026" s="166" t="n">
        <v>3389</v>
      </c>
      <c r="I1026" s="166" t="n">
        <v>2</v>
      </c>
      <c r="J1026" s="166" t="n">
        <v>1</v>
      </c>
      <c r="K1026" s="166" t="n">
        <v>-8</v>
      </c>
      <c r="L1026" s="395" t="n">
        <v>3400</v>
      </c>
      <c r="M1026" s="113" t="n"/>
      <c r="N1026" s="113" t="n"/>
      <c r="O1026" s="113" t="n"/>
      <c r="P1026" s="398" t="n"/>
      <c r="Q1026" s="398" t="n"/>
      <c r="R1026" s="113" t="n"/>
      <c r="S1026" s="113" t="n"/>
      <c r="T1026" s="113" t="n"/>
      <c r="U1026" s="113" t="n"/>
      <c r="V1026" s="113" t="n"/>
    </row>
    <row r="1027" ht="15.75" customHeight="1">
      <c r="A1027" s="398" t="n">
        <v>20</v>
      </c>
      <c r="B1027" s="238" t="n"/>
      <c r="C1027" s="164" t="n">
        <v>46147</v>
      </c>
      <c r="D1027" s="166" t="inlineStr">
        <is>
          <t>202 G.HUERTAS</t>
        </is>
      </c>
      <c r="E1027" s="166" t="n">
        <v>47789</v>
      </c>
      <c r="F1027" s="166" t="inlineStr">
        <is>
          <t>EDWIN ROJAS</t>
        </is>
      </c>
      <c r="G1027" s="166" t="n">
        <v>3487</v>
      </c>
      <c r="H1027" s="166" t="n">
        <v>3441</v>
      </c>
      <c r="I1027" s="166" t="n">
        <v>0</v>
      </c>
      <c r="J1027" s="166" t="n">
        <v>1</v>
      </c>
      <c r="K1027" s="166" t="n">
        <v>-45</v>
      </c>
      <c r="L1027" s="395" t="n">
        <v>3487</v>
      </c>
      <c r="M1027" s="113" t="n"/>
      <c r="N1027" s="113" t="n"/>
      <c r="O1027" s="113" t="n"/>
      <c r="P1027" s="398" t="n"/>
      <c r="Q1027" s="398" t="n"/>
      <c r="R1027" s="113" t="n"/>
      <c r="S1027" s="113" t="n"/>
      <c r="T1027" s="113" t="n"/>
      <c r="U1027" s="113" t="n"/>
      <c r="V1027" s="113" t="n"/>
    </row>
    <row r="1028" ht="15.75" customHeight="1">
      <c r="A1028" s="398" t="n">
        <v>20</v>
      </c>
      <c r="B1028" s="238" t="n"/>
      <c r="C1028" s="399" t="n">
        <v>46147</v>
      </c>
      <c r="D1028" s="146" t="inlineStr">
        <is>
          <t>218 G. SAN JOSE 1</t>
        </is>
      </c>
      <c r="E1028" s="146" t="n">
        <v>47797</v>
      </c>
      <c r="F1028" s="146" t="inlineStr">
        <is>
          <t>DUMAR ANGARITA</t>
        </is>
      </c>
      <c r="G1028" s="395" t="n">
        <v>2990</v>
      </c>
      <c r="H1028" s="395" t="n">
        <v>2988</v>
      </c>
      <c r="I1028" s="395" t="n">
        <v>2</v>
      </c>
      <c r="J1028" s="395" t="n">
        <v>0</v>
      </c>
      <c r="K1028" s="395" t="n">
        <v>0</v>
      </c>
      <c r="L1028" s="395" t="n">
        <v>2990</v>
      </c>
      <c r="M1028" s="113" t="n"/>
      <c r="N1028" s="113" t="n"/>
      <c r="O1028" s="113" t="n"/>
      <c r="P1028" s="398" t="n"/>
      <c r="Q1028" s="398" t="n"/>
      <c r="R1028" s="113" t="n"/>
      <c r="S1028" s="113" t="n"/>
      <c r="T1028" s="113" t="n"/>
      <c r="U1028" s="113" t="n"/>
      <c r="V1028" s="113" t="n"/>
    </row>
    <row r="1029" ht="15.75" customHeight="1">
      <c r="A1029" s="398" t="n">
        <v>20</v>
      </c>
      <c r="B1029" s="238" t="n"/>
      <c r="C1029" s="399" t="n">
        <v>46147</v>
      </c>
      <c r="D1029" s="146" t="inlineStr">
        <is>
          <t>218 G. SAN JOSE 1</t>
        </is>
      </c>
      <c r="E1029" s="146" t="n">
        <v>47798</v>
      </c>
      <c r="F1029" s="146" t="inlineStr">
        <is>
          <t>WILMER PIÑEROS</t>
        </is>
      </c>
      <c r="G1029" s="395" t="n">
        <v>3190</v>
      </c>
      <c r="H1029" s="395" t="n">
        <v>3187</v>
      </c>
      <c r="I1029" s="395" t="n">
        <v>1</v>
      </c>
      <c r="J1029" s="395" t="n">
        <v>2</v>
      </c>
      <c r="K1029" s="395" t="n">
        <v>0</v>
      </c>
      <c r="L1029" s="395" t="n">
        <v>3190</v>
      </c>
      <c r="M1029" s="113" t="n"/>
      <c r="N1029" s="113" t="n"/>
      <c r="O1029" s="113" t="n"/>
      <c r="P1029" s="398" t="n"/>
      <c r="Q1029" s="398" t="n"/>
      <c r="R1029" s="113" t="n"/>
      <c r="S1029" s="113" t="n"/>
      <c r="T1029" s="113" t="n"/>
      <c r="U1029" s="113" t="n"/>
      <c r="V1029" s="113" t="n"/>
    </row>
    <row r="1030" ht="15.75" customHeight="1">
      <c r="A1030" s="398" t="n">
        <v>20</v>
      </c>
      <c r="B1030" s="238" t="n"/>
      <c r="C1030" s="399" t="n">
        <v>46147</v>
      </c>
      <c r="D1030" s="146" t="inlineStr">
        <is>
          <t>218 G. SAN JOSE 1</t>
        </is>
      </c>
      <c r="E1030" s="146" t="n">
        <v>47799</v>
      </c>
      <c r="F1030" s="146" t="inlineStr">
        <is>
          <t xml:space="preserve">MANUEL QUITIAN </t>
        </is>
      </c>
      <c r="G1030" s="395" t="n">
        <v>3190</v>
      </c>
      <c r="H1030" s="395" t="n">
        <v>3185</v>
      </c>
      <c r="I1030" s="395" t="n">
        <v>2</v>
      </c>
      <c r="J1030" s="395" t="n">
        <v>2</v>
      </c>
      <c r="K1030" s="395" t="n">
        <v>-1</v>
      </c>
      <c r="L1030" s="395" t="n">
        <v>3190</v>
      </c>
      <c r="M1030" s="113" t="n"/>
      <c r="N1030" s="113" t="n"/>
      <c r="O1030" s="113" t="n"/>
      <c r="P1030" s="398" t="n"/>
      <c r="Q1030" s="398" t="n"/>
      <c r="R1030" s="113" t="n"/>
      <c r="S1030" s="113" t="n"/>
      <c r="T1030" s="113" t="n"/>
      <c r="U1030" s="113" t="n"/>
      <c r="V1030" s="113" t="n"/>
    </row>
    <row r="1031" ht="15.75" customHeight="1">
      <c r="A1031" s="398" t="n">
        <v>20</v>
      </c>
      <c r="B1031" s="238" t="n"/>
      <c r="C1031" s="399" t="n">
        <v>46147</v>
      </c>
      <c r="D1031" s="146" t="inlineStr">
        <is>
          <t>218 G. SAN JOSE 1</t>
        </is>
      </c>
      <c r="E1031" s="146" t="n">
        <v>47800</v>
      </c>
      <c r="F1031" s="146" t="inlineStr">
        <is>
          <t>EDWIN ROJAS</t>
        </is>
      </c>
      <c r="G1031" s="395" t="n">
        <v>3190</v>
      </c>
      <c r="H1031" s="395" t="n">
        <v>3189</v>
      </c>
      <c r="I1031" s="395" t="n">
        <v>1</v>
      </c>
      <c r="J1031" s="395" t="n">
        <v>0</v>
      </c>
      <c r="K1031" s="395" t="n">
        <v>0</v>
      </c>
      <c r="L1031" s="395" t="n">
        <v>3190</v>
      </c>
      <c r="M1031" s="113" t="n"/>
      <c r="N1031" s="113" t="n"/>
      <c r="O1031" s="113" t="n"/>
      <c r="P1031" s="398" t="n"/>
      <c r="Q1031" s="398" t="n"/>
      <c r="R1031" s="113" t="n"/>
      <c r="S1031" s="113" t="n"/>
      <c r="T1031" s="113" t="n"/>
      <c r="U1031" s="113" t="n"/>
      <c r="V1031" s="113" t="n"/>
    </row>
    <row r="1032" ht="15.75" customHeight="1">
      <c r="A1032" s="398" t="n">
        <v>20</v>
      </c>
      <c r="B1032" s="238" t="n"/>
      <c r="C1032" s="399" t="n">
        <v>46147</v>
      </c>
      <c r="D1032" s="146" t="inlineStr">
        <is>
          <t>218 G. SAN JOSE 1</t>
        </is>
      </c>
      <c r="E1032" s="146" t="n">
        <v>47801</v>
      </c>
      <c r="F1032" s="146" t="inlineStr">
        <is>
          <t>ALEX GOMEZ</t>
        </is>
      </c>
      <c r="G1032" s="395" t="n">
        <v>3190</v>
      </c>
      <c r="H1032" s="395" t="n">
        <v>3176</v>
      </c>
      <c r="I1032" s="395" t="n">
        <v>2</v>
      </c>
      <c r="J1032" s="395" t="n">
        <v>5</v>
      </c>
      <c r="K1032" s="395" t="n">
        <v>-7</v>
      </c>
      <c r="L1032" s="395" t="n">
        <v>3190</v>
      </c>
      <c r="M1032" s="113" t="n"/>
      <c r="N1032" s="113" t="n"/>
      <c r="O1032" s="113" t="n"/>
      <c r="P1032" s="398" t="n"/>
      <c r="Q1032" s="398" t="n"/>
      <c r="R1032" s="113" t="n"/>
      <c r="S1032" s="113" t="n"/>
      <c r="T1032" s="113" t="n"/>
      <c r="U1032" s="113" t="n"/>
      <c r="V1032" s="113" t="n"/>
    </row>
    <row r="1033" ht="15.75" customHeight="1">
      <c r="A1033" s="398" t="n">
        <v>20</v>
      </c>
      <c r="B1033" s="238" t="n"/>
      <c r="C1033" s="399" t="n">
        <v>46147</v>
      </c>
      <c r="D1033" s="146" t="inlineStr">
        <is>
          <t>218 G. SAN JOSE 1</t>
        </is>
      </c>
      <c r="E1033" s="146" t="n">
        <v>47802</v>
      </c>
      <c r="F1033" s="146" t="inlineStr">
        <is>
          <t>HENRY ROMERO</t>
        </is>
      </c>
      <c r="G1033" s="395" t="n">
        <v>3190</v>
      </c>
      <c r="H1033" s="395" t="n">
        <v>3180</v>
      </c>
      <c r="I1033" s="395" t="n">
        <v>1</v>
      </c>
      <c r="J1033" s="395" t="n">
        <v>4</v>
      </c>
      <c r="K1033" s="395" t="n">
        <v>-5</v>
      </c>
      <c r="L1033" s="395" t="n">
        <v>3190</v>
      </c>
      <c r="M1033" s="113" t="n"/>
      <c r="N1033" s="113" t="n"/>
      <c r="O1033" s="113" t="n"/>
      <c r="P1033" s="398" t="n"/>
      <c r="Q1033" s="398" t="n"/>
      <c r="R1033" s="113" t="n"/>
      <c r="S1033" s="113" t="n"/>
      <c r="T1033" s="113" t="n"/>
      <c r="U1033" s="113" t="n"/>
      <c r="V1033" s="113" t="n"/>
    </row>
    <row r="1034" ht="15.75" customHeight="1">
      <c r="A1034" s="398" t="n">
        <v>20</v>
      </c>
      <c r="B1034" s="238" t="n"/>
      <c r="C1034" s="399" t="n">
        <v>46147</v>
      </c>
      <c r="D1034" s="146" t="inlineStr">
        <is>
          <t>218 G. SAN JOSE 1</t>
        </is>
      </c>
      <c r="E1034" s="146" t="n">
        <v>47803</v>
      </c>
      <c r="F1034" s="146" t="inlineStr">
        <is>
          <t>ALBERTO HERRERA</t>
        </is>
      </c>
      <c r="G1034" s="395" t="n">
        <v>3190</v>
      </c>
      <c r="H1034" s="395" t="n">
        <v>3180</v>
      </c>
      <c r="I1034" s="395" t="n">
        <v>0</v>
      </c>
      <c r="J1034" s="395" t="n">
        <v>4</v>
      </c>
      <c r="K1034" s="395" t="n">
        <v>-6</v>
      </c>
      <c r="L1034" s="395" t="n">
        <v>3190</v>
      </c>
      <c r="M1034" s="113" t="n"/>
      <c r="N1034" s="113" t="n"/>
      <c r="O1034" s="113" t="n"/>
      <c r="P1034" s="398" t="n"/>
      <c r="Q1034" s="398" t="n"/>
      <c r="R1034" s="113" t="n"/>
      <c r="S1034" s="113" t="n"/>
      <c r="T1034" s="113" t="n"/>
      <c r="U1034" s="113" t="n"/>
      <c r="V1034" s="113" t="n"/>
    </row>
    <row r="1035" ht="15.75" customHeight="1">
      <c r="A1035" s="398" t="n">
        <v>20</v>
      </c>
      <c r="B1035" s="238" t="n"/>
      <c r="C1035" s="164" t="n">
        <v>46148</v>
      </c>
      <c r="D1035" s="166" t="inlineStr">
        <is>
          <t>202 G.HUERTAS</t>
        </is>
      </c>
      <c r="E1035" s="166" t="n">
        <v>47811</v>
      </c>
      <c r="F1035" s="166" t="inlineStr">
        <is>
          <t>WILMER PIÑEROS</t>
        </is>
      </c>
      <c r="G1035" s="166" t="n">
        <v>2826</v>
      </c>
      <c r="H1035" s="166" t="n">
        <v>2814</v>
      </c>
      <c r="I1035" s="166" t="n">
        <v>6</v>
      </c>
      <c r="J1035" s="166" t="n">
        <v>6</v>
      </c>
      <c r="K1035" s="166" t="n">
        <v>0</v>
      </c>
      <c r="L1035" s="395" t="n">
        <v>2826</v>
      </c>
      <c r="M1035" s="113" t="n"/>
      <c r="N1035" s="113" t="n"/>
      <c r="O1035" s="113" t="n"/>
      <c r="P1035" s="398" t="n"/>
      <c r="Q1035" s="398" t="n"/>
      <c r="R1035" s="113" t="n"/>
      <c r="S1035" s="113" t="n"/>
      <c r="T1035" s="113" t="n"/>
      <c r="U1035" s="113" t="n"/>
      <c r="V1035" s="113" t="n"/>
    </row>
    <row r="1036" ht="15.75" customHeight="1">
      <c r="A1036" s="398" t="n">
        <v>20</v>
      </c>
      <c r="B1036" s="238" t="n"/>
      <c r="C1036" s="164" t="n">
        <v>46148</v>
      </c>
      <c r="D1036" s="166" t="inlineStr">
        <is>
          <t>202 G.HUERTAS</t>
        </is>
      </c>
      <c r="E1036" s="166" t="n">
        <v>47812</v>
      </c>
      <c r="F1036" s="166" t="inlineStr">
        <is>
          <t xml:space="preserve">MANUEL QUITIAN </t>
        </is>
      </c>
      <c r="G1036" s="166" t="n">
        <v>2592</v>
      </c>
      <c r="H1036" s="166" t="n">
        <v>2573</v>
      </c>
      <c r="I1036" s="166" t="n">
        <v>4</v>
      </c>
      <c r="J1036" s="166" t="n">
        <v>14</v>
      </c>
      <c r="K1036" s="166" t="n">
        <v>-1</v>
      </c>
      <c r="L1036" s="395" t="n">
        <v>2826</v>
      </c>
      <c r="M1036" s="113" t="n"/>
      <c r="N1036" s="113" t="n"/>
      <c r="O1036" s="113" t="n"/>
      <c r="P1036" s="398" t="n"/>
      <c r="Q1036" s="398" t="n"/>
      <c r="R1036" s="113" t="n"/>
      <c r="S1036" s="113" t="n"/>
      <c r="T1036" s="113" t="n"/>
      <c r="U1036" s="113" t="n"/>
      <c r="V1036" s="113" t="n"/>
    </row>
    <row r="1037" ht="15.75" customHeight="1">
      <c r="A1037" s="398" t="n">
        <v>20</v>
      </c>
      <c r="B1037" s="238" t="n"/>
      <c r="C1037" s="164" t="n">
        <v>46148</v>
      </c>
      <c r="D1037" s="166" t="inlineStr">
        <is>
          <t>202 G.HUERTAS</t>
        </is>
      </c>
      <c r="E1037" s="166" t="n">
        <v>47813</v>
      </c>
      <c r="F1037" s="146" t="inlineStr">
        <is>
          <t>FABIO ALDANA</t>
        </is>
      </c>
      <c r="G1037" s="146" t="n">
        <v>2826</v>
      </c>
      <c r="H1037" s="146" t="n">
        <v>2806</v>
      </c>
      <c r="I1037" s="146" t="n">
        <v>6</v>
      </c>
      <c r="J1037" s="146" t="n">
        <v>14</v>
      </c>
      <c r="K1037" s="166" t="n">
        <v>0</v>
      </c>
      <c r="L1037" s="395" t="n">
        <v>2826</v>
      </c>
      <c r="M1037" s="113" t="n"/>
      <c r="N1037" s="113" t="n"/>
      <c r="O1037" s="113" t="n"/>
      <c r="P1037" s="398" t="n"/>
      <c r="Q1037" s="398" t="n"/>
      <c r="R1037" s="113" t="n"/>
      <c r="S1037" s="113" t="n"/>
      <c r="T1037" s="113" t="n"/>
      <c r="U1037" s="113" t="n"/>
      <c r="V1037" s="113" t="n"/>
    </row>
    <row r="1038" ht="15.75" customHeight="1">
      <c r="A1038" s="398" t="n">
        <v>20</v>
      </c>
      <c r="B1038" s="238" t="n"/>
      <c r="C1038" s="164" t="n">
        <v>46148</v>
      </c>
      <c r="D1038" s="166" t="inlineStr">
        <is>
          <t>202 G.HUERTAS</t>
        </is>
      </c>
      <c r="E1038" s="166" t="n">
        <v>47814</v>
      </c>
      <c r="F1038" s="166" t="inlineStr">
        <is>
          <t xml:space="preserve">SEBASTIAN HIDALGO </t>
        </is>
      </c>
      <c r="G1038" s="166" t="n">
        <v>2826</v>
      </c>
      <c r="H1038" s="166" t="n">
        <v>2816</v>
      </c>
      <c r="I1038" s="166" t="n">
        <v>4</v>
      </c>
      <c r="J1038" s="166" t="n">
        <v>4</v>
      </c>
      <c r="K1038" s="166" t="n">
        <v>-2</v>
      </c>
      <c r="L1038" s="395" t="n">
        <v>2826</v>
      </c>
      <c r="M1038" s="113" t="n"/>
      <c r="N1038" s="113" t="n"/>
      <c r="O1038" s="113" t="n"/>
      <c r="P1038" s="398" t="n"/>
      <c r="Q1038" s="398" t="n"/>
      <c r="R1038" s="113" t="n"/>
      <c r="S1038" s="113" t="n"/>
      <c r="T1038" s="113" t="n"/>
      <c r="U1038" s="113" t="n"/>
      <c r="V1038" s="113" t="n"/>
    </row>
    <row r="1039" ht="15.75" customHeight="1">
      <c r="A1039" s="398" t="n">
        <v>20</v>
      </c>
      <c r="B1039" s="238" t="n"/>
      <c r="C1039" s="164" t="n">
        <v>46148</v>
      </c>
      <c r="D1039" s="166" t="inlineStr">
        <is>
          <t>202 G.HUERTAS</t>
        </is>
      </c>
      <c r="E1039" s="166" t="n">
        <v>47815</v>
      </c>
      <c r="F1039" s="166" t="inlineStr">
        <is>
          <t>JOSE SOLER</t>
        </is>
      </c>
      <c r="G1039" s="166" t="n">
        <v>2826</v>
      </c>
      <c r="H1039" s="166" t="n">
        <v>2823</v>
      </c>
      <c r="I1039" s="166" t="n">
        <v>4</v>
      </c>
      <c r="J1039" s="166" t="n">
        <v>7</v>
      </c>
      <c r="K1039" s="166" t="n">
        <v>8</v>
      </c>
      <c r="L1039" s="395" t="n">
        <v>3240</v>
      </c>
      <c r="M1039" s="113" t="n"/>
      <c r="N1039" s="113" t="n"/>
      <c r="O1039" s="113" t="n"/>
      <c r="P1039" s="398" t="n"/>
      <c r="Q1039" s="398" t="n"/>
      <c r="R1039" s="113" t="n"/>
      <c r="S1039" s="113" t="n"/>
      <c r="T1039" s="113" t="n"/>
      <c r="U1039" s="113" t="n"/>
      <c r="V1039" s="113" t="n"/>
    </row>
    <row r="1040" ht="15.75" customHeight="1">
      <c r="A1040" s="398" t="n">
        <v>20</v>
      </c>
      <c r="B1040" s="238" t="n"/>
      <c r="C1040" s="164" t="n">
        <v>46148</v>
      </c>
      <c r="D1040" s="166" t="inlineStr">
        <is>
          <t>202 G.HUERTAS</t>
        </is>
      </c>
      <c r="E1040" s="166" t="n">
        <v>47816</v>
      </c>
      <c r="F1040" s="166" t="inlineStr">
        <is>
          <t>ALBERTO LOPEZ</t>
        </is>
      </c>
      <c r="G1040" s="166" t="n">
        <v>2826</v>
      </c>
      <c r="H1040" s="166" t="n">
        <v>2815</v>
      </c>
      <c r="I1040" s="166" t="n">
        <v>6</v>
      </c>
      <c r="J1040" s="166" t="n">
        <v>5</v>
      </c>
      <c r="K1040" s="166" t="n">
        <v>0</v>
      </c>
      <c r="L1040" s="395" t="n">
        <v>2826</v>
      </c>
      <c r="M1040" s="113" t="n"/>
      <c r="N1040" s="113" t="n"/>
      <c r="O1040" s="113" t="n"/>
      <c r="P1040" s="398" t="n"/>
      <c r="Q1040" s="398" t="n"/>
      <c r="R1040" s="113" t="n"/>
      <c r="S1040" s="113" t="n"/>
      <c r="T1040" s="113" t="n"/>
      <c r="U1040" s="113" t="n"/>
      <c r="V1040" s="113" t="n"/>
    </row>
    <row r="1041" ht="15.75" customHeight="1">
      <c r="A1041" s="398" t="n">
        <v>20</v>
      </c>
      <c r="B1041" s="238" t="n"/>
      <c r="C1041" s="164" t="n">
        <v>46148</v>
      </c>
      <c r="D1041" s="166" t="inlineStr">
        <is>
          <t>202 G.HUERTAS</t>
        </is>
      </c>
      <c r="E1041" s="166" t="n">
        <v>47817</v>
      </c>
      <c r="F1041" s="166" t="inlineStr">
        <is>
          <t>HENRY ROMERO</t>
        </is>
      </c>
      <c r="G1041" s="166" t="n">
        <v>3240</v>
      </c>
      <c r="H1041" s="166" t="n">
        <v>3217</v>
      </c>
      <c r="I1041" s="166" t="n">
        <v>5</v>
      </c>
      <c r="J1041" s="166" t="n">
        <v>18</v>
      </c>
      <c r="K1041" s="166" t="n">
        <v>0</v>
      </c>
      <c r="L1041" s="395" t="n">
        <v>3080</v>
      </c>
      <c r="M1041" s="113" t="n"/>
      <c r="N1041" s="113" t="n"/>
      <c r="O1041" s="113" t="n"/>
      <c r="P1041" s="398" t="n"/>
      <c r="Q1041" s="398" t="n"/>
      <c r="R1041" s="113" t="n"/>
      <c r="S1041" s="113" t="n"/>
      <c r="T1041" s="113" t="n"/>
      <c r="U1041" s="113" t="n"/>
      <c r="V1041" s="113" t="n"/>
    </row>
    <row r="1042" ht="15.75" customHeight="1">
      <c r="A1042" s="398" t="n">
        <v>20</v>
      </c>
      <c r="B1042" s="238" t="n"/>
      <c r="C1042" s="164" t="n">
        <v>46148</v>
      </c>
      <c r="D1042" s="166" t="inlineStr">
        <is>
          <t>202 G.HUERTAS</t>
        </is>
      </c>
      <c r="E1042" s="166" t="n">
        <v>47818</v>
      </c>
      <c r="F1042" s="166" t="inlineStr">
        <is>
          <t>EDUAN CAVIEDES</t>
        </is>
      </c>
      <c r="G1042" s="166" t="n">
        <v>3080</v>
      </c>
      <c r="H1042" s="166" t="n">
        <v>3061</v>
      </c>
      <c r="I1042" s="166" t="n">
        <v>8</v>
      </c>
      <c r="J1042" s="166" t="n">
        <v>12</v>
      </c>
      <c r="K1042" s="166" t="n">
        <v>1</v>
      </c>
      <c r="L1042" s="395" t="n">
        <v>3592</v>
      </c>
      <c r="M1042" s="113" t="n"/>
      <c r="N1042" s="113" t="n"/>
      <c r="O1042" s="113" t="n"/>
      <c r="P1042" s="398" t="n"/>
      <c r="Q1042" s="398" t="n"/>
      <c r="R1042" s="113" t="n"/>
      <c r="S1042" s="113" t="n"/>
      <c r="T1042" s="113" t="n"/>
      <c r="U1042" s="113" t="n"/>
      <c r="V1042" s="113" t="n"/>
    </row>
    <row r="1043" ht="15.75" customHeight="1">
      <c r="A1043" s="398" t="n">
        <v>20</v>
      </c>
      <c r="B1043" s="238" t="n"/>
      <c r="C1043" s="164" t="n">
        <v>46148</v>
      </c>
      <c r="D1043" s="166" t="inlineStr">
        <is>
          <t>202 G.HUERTAS</t>
        </is>
      </c>
      <c r="E1043" s="166" t="n">
        <v>47819</v>
      </c>
      <c r="F1043" s="166" t="inlineStr">
        <is>
          <t>EDWIN ROJAS</t>
        </is>
      </c>
      <c r="G1043" s="166" t="n">
        <v>2592</v>
      </c>
      <c r="H1043" s="166" t="n">
        <v>2571</v>
      </c>
      <c r="I1043" s="166" t="n">
        <v>11</v>
      </c>
      <c r="J1043" s="166" t="n">
        <v>13</v>
      </c>
      <c r="K1043" s="166" t="n">
        <v>3</v>
      </c>
      <c r="L1043" s="395" t="n">
        <v>2592</v>
      </c>
      <c r="M1043" s="113" t="n"/>
      <c r="N1043" s="113" t="n"/>
      <c r="O1043" s="113" t="n"/>
      <c r="P1043" s="398" t="n"/>
      <c r="Q1043" s="398" t="n"/>
      <c r="R1043" s="113" t="n"/>
      <c r="S1043" s="113" t="n"/>
      <c r="T1043" s="113" t="n"/>
      <c r="U1043" s="113" t="n"/>
      <c r="V1043" s="113" t="n"/>
    </row>
    <row r="1044" ht="15.75" customHeight="1">
      <c r="A1044" s="398" t="n">
        <v>20</v>
      </c>
      <c r="B1044" s="238" t="n"/>
      <c r="C1044" s="164" t="n">
        <v>46148</v>
      </c>
      <c r="D1044" s="166" t="inlineStr">
        <is>
          <t>202 G.HUERTAS</t>
        </is>
      </c>
      <c r="E1044" s="166" t="n">
        <v>47820</v>
      </c>
      <c r="F1044" s="166" t="inlineStr">
        <is>
          <t>JAIRO CUBILLOS</t>
        </is>
      </c>
      <c r="G1044" s="166" t="n">
        <v>3500</v>
      </c>
      <c r="H1044" s="166" t="n">
        <v>3484</v>
      </c>
      <c r="I1044" s="166" t="n">
        <v>2</v>
      </c>
      <c r="J1044" s="166" t="n">
        <v>16</v>
      </c>
      <c r="K1044" s="166" t="n">
        <v>2</v>
      </c>
      <c r="L1044" s="395" t="n">
        <v>3500</v>
      </c>
      <c r="M1044" s="113" t="n"/>
      <c r="N1044" s="113" t="n"/>
      <c r="O1044" s="113" t="n"/>
      <c r="P1044" s="398" t="n"/>
      <c r="Q1044" s="398" t="n"/>
      <c r="R1044" s="113" t="n"/>
      <c r="S1044" s="113" t="n"/>
      <c r="T1044" s="113" t="n"/>
      <c r="U1044" s="113" t="n"/>
      <c r="V1044" s="113" t="n"/>
    </row>
    <row r="1045" ht="15.75" customHeight="1">
      <c r="A1045" s="398" t="n">
        <v>20</v>
      </c>
      <c r="B1045" s="238" t="n"/>
      <c r="C1045" s="164" t="n">
        <v>46148</v>
      </c>
      <c r="D1045" s="166" t="inlineStr">
        <is>
          <t>202 G.HUERTAS</t>
        </is>
      </c>
      <c r="E1045" s="166" t="n">
        <v>47821</v>
      </c>
      <c r="F1045" s="166" t="inlineStr">
        <is>
          <t>DUMAR ANGARITA</t>
        </is>
      </c>
      <c r="G1045" s="166" t="n">
        <v>2496</v>
      </c>
      <c r="H1045" s="166" t="n">
        <v>2486</v>
      </c>
      <c r="I1045" s="166" t="n">
        <v>1</v>
      </c>
      <c r="J1045" s="166" t="n">
        <v>12</v>
      </c>
      <c r="K1045" s="166" t="n">
        <v>3</v>
      </c>
      <c r="L1045" s="395" t="n">
        <v>3496</v>
      </c>
      <c r="M1045" s="113" t="n"/>
      <c r="N1045" s="113" t="n"/>
      <c r="O1045" s="113" t="n"/>
      <c r="P1045" s="398" t="n"/>
      <c r="Q1045" s="398" t="n"/>
      <c r="R1045" s="113" t="n"/>
      <c r="S1045" s="113" t="n"/>
      <c r="T1045" s="113" t="n"/>
      <c r="U1045" s="113" t="n"/>
      <c r="V1045" s="113" t="n"/>
    </row>
    <row r="1046" ht="15.75" customHeight="1">
      <c r="A1046" s="398" t="n">
        <v>20</v>
      </c>
      <c r="B1046" s="238" t="n"/>
      <c r="C1046" s="164" t="n">
        <v>46148</v>
      </c>
      <c r="D1046" s="165" t="inlineStr">
        <is>
          <t>202 G.HUERTAS</t>
        </is>
      </c>
      <c r="E1046" s="165" t="n">
        <v>47822</v>
      </c>
      <c r="F1046" s="165" t="inlineStr">
        <is>
          <t>YAIR RIVEROS</t>
        </is>
      </c>
      <c r="G1046" s="165" t="n">
        <v>3500</v>
      </c>
      <c r="H1046" s="165" t="n">
        <v>3492</v>
      </c>
      <c r="I1046" s="165" t="n">
        <v>4</v>
      </c>
      <c r="J1046" s="165" t="n">
        <v>3</v>
      </c>
      <c r="K1046" s="165" t="n">
        <v>-1</v>
      </c>
      <c r="L1046" s="395" t="n">
        <v>3500</v>
      </c>
      <c r="M1046" s="113" t="n"/>
      <c r="N1046" s="113" t="n"/>
      <c r="O1046" s="113" t="n"/>
      <c r="P1046" s="398" t="n"/>
      <c r="Q1046" s="398" t="n"/>
      <c r="R1046" s="113" t="n"/>
      <c r="S1046" s="113" t="n"/>
      <c r="T1046" s="113" t="n"/>
      <c r="U1046" s="113" t="n"/>
      <c r="V1046" s="113" t="n"/>
    </row>
    <row r="1047" ht="15.75" customHeight="1">
      <c r="A1047" s="398" t="n">
        <v>20</v>
      </c>
      <c r="B1047" s="238" t="n"/>
      <c r="C1047" s="164" t="n">
        <v>46148</v>
      </c>
      <c r="D1047" s="165" t="inlineStr">
        <is>
          <t>202 G.HUERTAS</t>
        </is>
      </c>
      <c r="E1047" s="165" t="n">
        <v>47823</v>
      </c>
      <c r="F1047" s="165" t="inlineStr">
        <is>
          <t>ALBERTO HERRERA</t>
        </is>
      </c>
      <c r="G1047" s="165" t="n">
        <v>3348</v>
      </c>
      <c r="H1047" s="165" t="n">
        <v>3336</v>
      </c>
      <c r="I1047" s="165" t="n">
        <v>6</v>
      </c>
      <c r="J1047" s="165" t="n">
        <v>7</v>
      </c>
      <c r="K1047" s="165" t="n">
        <v>1</v>
      </c>
      <c r="L1047" s="395" t="n">
        <v>3240</v>
      </c>
      <c r="M1047" s="113" t="n"/>
      <c r="N1047" s="113" t="n"/>
      <c r="O1047" s="113" t="n"/>
      <c r="P1047" s="398" t="n"/>
      <c r="Q1047" s="398" t="n"/>
      <c r="R1047" s="113" t="n"/>
      <c r="S1047" s="113" t="n"/>
      <c r="T1047" s="113" t="n"/>
      <c r="U1047" s="113" t="n"/>
      <c r="V1047" s="113" t="n"/>
    </row>
    <row r="1048" ht="15.75" customHeight="1">
      <c r="A1048" s="398" t="n">
        <v>20</v>
      </c>
      <c r="B1048" s="238" t="n"/>
      <c r="C1048" s="164" t="n">
        <v>46148</v>
      </c>
      <c r="D1048" s="165" t="inlineStr">
        <is>
          <t>202 G.HUERTAS</t>
        </is>
      </c>
      <c r="E1048" s="165" t="n">
        <v>47824</v>
      </c>
      <c r="F1048" s="165" t="inlineStr">
        <is>
          <t>ROBINSON PULIDO</t>
        </is>
      </c>
      <c r="G1048" s="165" t="n">
        <v>2860</v>
      </c>
      <c r="H1048" s="165" t="n">
        <v>2852</v>
      </c>
      <c r="I1048" s="165" t="n">
        <v>3</v>
      </c>
      <c r="J1048" s="165" t="n">
        <v>5</v>
      </c>
      <c r="K1048" s="165" t="n">
        <v>0</v>
      </c>
      <c r="L1048" s="395" t="n">
        <v>2860</v>
      </c>
      <c r="M1048" s="113" t="n"/>
      <c r="N1048" s="113" t="n"/>
      <c r="O1048" s="113" t="n"/>
      <c r="P1048" s="398" t="n"/>
      <c r="Q1048" s="398" t="n"/>
      <c r="R1048" s="113" t="n"/>
      <c r="S1048" s="113" t="n"/>
      <c r="T1048" s="113" t="n"/>
      <c r="U1048" s="113" t="n"/>
      <c r="V1048" s="113" t="n"/>
    </row>
    <row r="1049" ht="15.75" customHeight="1">
      <c r="A1049" s="398" t="n">
        <v>20</v>
      </c>
      <c r="B1049" s="238" t="n"/>
      <c r="C1049" s="399" t="n">
        <v>46149</v>
      </c>
      <c r="D1049" s="146" t="inlineStr">
        <is>
          <t>218 G. SAN JOSE 1</t>
        </is>
      </c>
      <c r="E1049" s="146" t="n">
        <v>47825</v>
      </c>
      <c r="F1049" s="146" t="inlineStr">
        <is>
          <t>ALEX GOMEZ</t>
        </is>
      </c>
      <c r="G1049" s="395" t="n">
        <v>2730</v>
      </c>
      <c r="H1049" s="395" t="n">
        <v>2720</v>
      </c>
      <c r="I1049" s="395" t="n">
        <v>3</v>
      </c>
      <c r="J1049" s="395" t="n">
        <v>5</v>
      </c>
      <c r="K1049" s="395" t="n">
        <v>-2</v>
      </c>
      <c r="L1049" s="395" t="n">
        <v>2730</v>
      </c>
      <c r="M1049" s="113" t="n"/>
      <c r="N1049" s="113" t="n"/>
      <c r="O1049" s="113" t="n"/>
      <c r="P1049" s="398" t="n"/>
      <c r="Q1049" s="398" t="n"/>
      <c r="R1049" s="113" t="n"/>
      <c r="S1049" s="113" t="n"/>
      <c r="T1049" s="113" t="n"/>
      <c r="U1049" s="113" t="n"/>
      <c r="V1049" s="113" t="n"/>
    </row>
    <row r="1050" ht="15.75" customHeight="1">
      <c r="A1050" s="398" t="n">
        <v>20</v>
      </c>
      <c r="B1050" s="238" t="n"/>
      <c r="C1050" s="399" t="n">
        <v>46149</v>
      </c>
      <c r="D1050" s="146" t="inlineStr">
        <is>
          <t>218 G. SAN JOSE 1</t>
        </is>
      </c>
      <c r="E1050" s="146" t="n">
        <v>47826</v>
      </c>
      <c r="F1050" s="146" t="inlineStr">
        <is>
          <t>DIEGO NIÑO</t>
        </is>
      </c>
      <c r="G1050" s="395" t="n">
        <v>3600</v>
      </c>
      <c r="H1050" s="395" t="n">
        <v>3585</v>
      </c>
      <c r="I1050" s="395" t="n">
        <v>5</v>
      </c>
      <c r="J1050" s="395" t="n">
        <v>5</v>
      </c>
      <c r="K1050" s="395" t="n">
        <v>-5</v>
      </c>
      <c r="L1050" s="395" t="n">
        <v>3600</v>
      </c>
      <c r="M1050" s="113" t="n"/>
      <c r="N1050" s="113" t="n"/>
      <c r="O1050" s="113" t="n"/>
      <c r="P1050" s="398" t="n"/>
      <c r="Q1050" s="398" t="n"/>
      <c r="R1050" s="113" t="n"/>
      <c r="S1050" s="113" t="n"/>
      <c r="T1050" s="113" t="n"/>
      <c r="U1050" s="113" t="n"/>
      <c r="V1050" s="113" t="n"/>
    </row>
    <row r="1051" ht="15.75" customHeight="1">
      <c r="A1051" s="398" t="n">
        <v>20</v>
      </c>
      <c r="B1051" s="238" t="n"/>
      <c r="C1051" s="399" t="n">
        <v>46149</v>
      </c>
      <c r="D1051" s="146" t="inlineStr">
        <is>
          <t>218 G. SAN JOSE 1</t>
        </is>
      </c>
      <c r="E1051" s="146" t="n">
        <v>47827</v>
      </c>
      <c r="F1051" s="146" t="inlineStr">
        <is>
          <t>FERNANDO OYUELA</t>
        </is>
      </c>
      <c r="G1051" s="395" t="n">
        <v>3240</v>
      </c>
      <c r="H1051" s="395" t="n">
        <v>3230</v>
      </c>
      <c r="I1051" s="395" t="n">
        <v>4</v>
      </c>
      <c r="J1051" s="395" t="n">
        <v>5</v>
      </c>
      <c r="K1051" s="395" t="n">
        <v>-1</v>
      </c>
      <c r="L1051" s="395" t="n">
        <v>3240</v>
      </c>
      <c r="M1051" s="113" t="n"/>
      <c r="N1051" s="113" t="n"/>
      <c r="O1051" s="113" t="n"/>
      <c r="P1051" s="398" t="n"/>
      <c r="Q1051" s="398" t="n"/>
      <c r="R1051" s="113" t="n"/>
      <c r="S1051" s="113" t="n"/>
      <c r="T1051" s="113" t="n"/>
      <c r="U1051" s="113" t="n"/>
      <c r="V1051" s="113" t="n"/>
    </row>
    <row r="1052" ht="15.75" customHeight="1">
      <c r="A1052" s="398" t="n">
        <v>20</v>
      </c>
      <c r="B1052" s="238" t="n"/>
      <c r="C1052" s="399" t="n">
        <v>46149</v>
      </c>
      <c r="D1052" s="146" t="inlineStr">
        <is>
          <t>218 G. SAN JOSE 1</t>
        </is>
      </c>
      <c r="E1052" s="146" t="n">
        <v>47828</v>
      </c>
      <c r="F1052" s="146" t="inlineStr">
        <is>
          <t>ALBERTO LOPEZ</t>
        </is>
      </c>
      <c r="G1052" s="395" t="n">
        <v>3240</v>
      </c>
      <c r="H1052" s="395" t="n">
        <v>3234</v>
      </c>
      <c r="I1052" s="395" t="n">
        <v>4</v>
      </c>
      <c r="J1052" s="395" t="n">
        <v>5</v>
      </c>
      <c r="K1052" s="395" t="n">
        <v>3</v>
      </c>
      <c r="L1052" s="395" t="n">
        <v>3240</v>
      </c>
      <c r="M1052" s="113" t="n"/>
      <c r="N1052" s="113" t="n"/>
      <c r="O1052" s="113" t="n"/>
      <c r="P1052" s="398" t="n"/>
      <c r="Q1052" s="398" t="n"/>
      <c r="R1052" s="113" t="n"/>
      <c r="S1052" s="113" t="n"/>
      <c r="T1052" s="113" t="n"/>
      <c r="U1052" s="113" t="n"/>
      <c r="V1052" s="113" t="n"/>
    </row>
    <row r="1053" ht="15.75" customHeight="1">
      <c r="A1053" s="398" t="n">
        <v>20</v>
      </c>
      <c r="B1053" s="238" t="n"/>
      <c r="C1053" s="399" t="n">
        <v>46149</v>
      </c>
      <c r="D1053" s="146" t="inlineStr">
        <is>
          <t>218 G. SAN JOSE 1</t>
        </is>
      </c>
      <c r="E1053" s="146" t="n">
        <v>47929</v>
      </c>
      <c r="F1053" s="146" t="inlineStr">
        <is>
          <t>ROBISNON PULIDO</t>
        </is>
      </c>
      <c r="G1053" s="395" t="n">
        <v>3240</v>
      </c>
      <c r="H1053" s="395" t="n">
        <v>3233</v>
      </c>
      <c r="I1053" s="395" t="n">
        <v>3</v>
      </c>
      <c r="J1053" s="395" t="n">
        <v>8</v>
      </c>
      <c r="K1053" s="395" t="n">
        <v>4</v>
      </c>
      <c r="L1053" s="395" t="n">
        <v>3240</v>
      </c>
      <c r="M1053" s="113" t="n"/>
      <c r="N1053" s="113" t="n"/>
      <c r="O1053" s="113" t="n"/>
      <c r="P1053" s="398" t="n"/>
      <c r="Q1053" s="398" t="n"/>
      <c r="R1053" s="113" t="n"/>
      <c r="S1053" s="113" t="n"/>
      <c r="T1053" s="113" t="n"/>
      <c r="U1053" s="113" t="n"/>
      <c r="V1053" s="113" t="n"/>
    </row>
    <row r="1054" ht="15.75" customHeight="1">
      <c r="A1054" s="398" t="n">
        <v>20</v>
      </c>
      <c r="B1054" s="238" t="n"/>
      <c r="C1054" s="399" t="n">
        <v>46149</v>
      </c>
      <c r="D1054" s="146" t="inlineStr">
        <is>
          <t>218 G. SAN JOSE 1</t>
        </is>
      </c>
      <c r="E1054" s="146" t="n">
        <v>47830</v>
      </c>
      <c r="F1054" s="146" t="inlineStr">
        <is>
          <t>HENRY ROMERO</t>
        </is>
      </c>
      <c r="G1054" s="395" t="n">
        <v>3240</v>
      </c>
      <c r="H1054" s="395" t="n">
        <v>3231</v>
      </c>
      <c r="I1054" s="395" t="n">
        <v>4</v>
      </c>
      <c r="J1054" s="395" t="n">
        <v>8</v>
      </c>
      <c r="K1054" s="395" t="n">
        <v>3</v>
      </c>
      <c r="L1054" s="395" t="n">
        <v>3240</v>
      </c>
      <c r="M1054" s="113" t="n"/>
      <c r="N1054" s="113" t="n"/>
      <c r="O1054" s="113" t="n"/>
      <c r="P1054" s="398" t="n"/>
      <c r="Q1054" s="398" t="n"/>
      <c r="R1054" s="113" t="n"/>
      <c r="S1054" s="113" t="n"/>
      <c r="T1054" s="113" t="n"/>
      <c r="U1054" s="113" t="n"/>
      <c r="V1054" s="113" t="n"/>
    </row>
    <row r="1055" ht="15.75" customHeight="1">
      <c r="A1055" s="398" t="n">
        <v>20</v>
      </c>
      <c r="B1055" s="238" t="n"/>
      <c r="C1055" s="399" t="n">
        <v>46149</v>
      </c>
      <c r="D1055" s="146" t="inlineStr">
        <is>
          <t>218 G. SAN JOSE 1</t>
        </is>
      </c>
      <c r="E1055" s="146" t="n">
        <v>47831</v>
      </c>
      <c r="F1055" s="146" t="inlineStr">
        <is>
          <t>DUMAR ANGARITA</t>
        </is>
      </c>
      <c r="G1055" s="395" t="n">
        <v>2464</v>
      </c>
      <c r="H1055" s="395" t="n">
        <v>2464</v>
      </c>
      <c r="I1055" s="395" t="n">
        <v>1</v>
      </c>
      <c r="J1055" s="395" t="n">
        <v>4</v>
      </c>
      <c r="K1055" s="395" t="n">
        <v>5</v>
      </c>
      <c r="L1055" s="395" t="n">
        <v>2464</v>
      </c>
      <c r="M1055" s="113" t="n"/>
      <c r="N1055" s="113" t="n"/>
      <c r="O1055" s="113" t="n"/>
      <c r="P1055" s="398" t="n"/>
      <c r="Q1055" s="398" t="n"/>
      <c r="R1055" s="113" t="n"/>
      <c r="S1055" s="113" t="n"/>
      <c r="T1055" s="113" t="n"/>
      <c r="U1055" s="113" t="n"/>
      <c r="V1055" s="113" t="n"/>
    </row>
    <row r="1056" ht="15.75" customHeight="1">
      <c r="A1056" s="398" t="n">
        <v>20</v>
      </c>
      <c r="B1056" s="238" t="n"/>
      <c r="C1056" s="164" t="n">
        <v>46150</v>
      </c>
      <c r="D1056" s="165" t="inlineStr">
        <is>
          <t>202 G.HUERTAS</t>
        </is>
      </c>
      <c r="E1056" s="165" t="n">
        <v>47839</v>
      </c>
      <c r="F1056" s="165" t="inlineStr">
        <is>
          <t>DUMAR ANGARITA</t>
        </is>
      </c>
      <c r="G1056" s="165" t="n">
        <v>2592</v>
      </c>
      <c r="H1056" s="165" t="n">
        <v>2589</v>
      </c>
      <c r="I1056" s="165" t="n">
        <v>3</v>
      </c>
      <c r="J1056" s="165" t="n">
        <v>3</v>
      </c>
      <c r="K1056" s="165" t="n">
        <v>3</v>
      </c>
      <c r="L1056" s="395" t="n">
        <v>2592</v>
      </c>
      <c r="M1056" s="113" t="n"/>
      <c r="N1056" s="113" t="n"/>
      <c r="O1056" s="113" t="n"/>
      <c r="P1056" s="398" t="n"/>
      <c r="Q1056" s="398" t="n"/>
      <c r="R1056" s="113" t="n"/>
      <c r="S1056" s="113" t="n"/>
      <c r="T1056" s="113" t="n"/>
      <c r="U1056" s="113" t="n"/>
      <c r="V1056" s="113" t="n"/>
    </row>
    <row r="1057" ht="15.75" customHeight="1">
      <c r="A1057" s="398" t="n">
        <v>20</v>
      </c>
      <c r="B1057" s="238" t="n"/>
      <c r="C1057" s="164" t="n">
        <v>46150</v>
      </c>
      <c r="D1057" s="165" t="inlineStr">
        <is>
          <t>202 G.HUERTAS</t>
        </is>
      </c>
      <c r="E1057" s="165" t="n">
        <v>47840</v>
      </c>
      <c r="F1057" s="165" t="inlineStr">
        <is>
          <t>YAIR RIVEROS</t>
        </is>
      </c>
      <c r="G1057" s="165" t="n">
        <v>2880</v>
      </c>
      <c r="H1057" s="165" t="n">
        <v>2875</v>
      </c>
      <c r="I1057" s="165" t="n">
        <v>2</v>
      </c>
      <c r="J1057" s="165" t="n">
        <v>5</v>
      </c>
      <c r="K1057" s="165" t="n">
        <v>2</v>
      </c>
      <c r="L1057" s="395" t="n">
        <v>2880</v>
      </c>
      <c r="M1057" s="113" t="n"/>
      <c r="N1057" s="113" t="n"/>
      <c r="O1057" s="113" t="n"/>
      <c r="P1057" s="398" t="n"/>
      <c r="Q1057" s="398" t="n"/>
      <c r="R1057" s="113" t="n"/>
      <c r="S1057" s="113" t="n"/>
      <c r="T1057" s="113" t="n"/>
      <c r="U1057" s="113" t="n"/>
      <c r="V1057" s="113" t="n"/>
    </row>
    <row r="1058" ht="15.75" customHeight="1">
      <c r="A1058" s="398" t="n">
        <v>20</v>
      </c>
      <c r="B1058" s="238" t="n"/>
      <c r="C1058" s="164" t="n">
        <v>46150</v>
      </c>
      <c r="D1058" s="165" t="inlineStr">
        <is>
          <t>202 G.HUERTAS</t>
        </is>
      </c>
      <c r="E1058" s="165" t="n">
        <v>47841</v>
      </c>
      <c r="F1058" s="165" t="inlineStr">
        <is>
          <t>DIEGO NIÑO</t>
        </is>
      </c>
      <c r="G1058" s="165" t="n">
        <v>2456</v>
      </c>
      <c r="H1058" s="165" t="n">
        <v>2452</v>
      </c>
      <c r="I1058" s="165" t="n">
        <v>2</v>
      </c>
      <c r="J1058" s="165" t="n">
        <v>4</v>
      </c>
      <c r="K1058" s="165" t="n">
        <v>2</v>
      </c>
      <c r="L1058" s="395" t="n">
        <v>2462</v>
      </c>
      <c r="M1058" s="113" t="n"/>
      <c r="N1058" s="113" t="n"/>
      <c r="O1058" s="113" t="n"/>
      <c r="P1058" s="398" t="n"/>
      <c r="Q1058" s="398" t="n"/>
      <c r="R1058" s="113" t="n"/>
      <c r="S1058" s="113" t="n"/>
      <c r="T1058" s="113" t="n"/>
      <c r="U1058" s="113" t="n"/>
      <c r="V1058" s="113" t="n"/>
    </row>
    <row r="1059" ht="15.75" customHeight="1">
      <c r="A1059" s="398" t="n">
        <v>20</v>
      </c>
      <c r="B1059" s="238" t="n"/>
      <c r="C1059" s="164" t="n">
        <v>46150</v>
      </c>
      <c r="D1059" s="165" t="inlineStr">
        <is>
          <t>202 G.HUERTAS</t>
        </is>
      </c>
      <c r="E1059" s="165" t="n">
        <v>47842</v>
      </c>
      <c r="F1059" s="165" t="inlineStr">
        <is>
          <t>EDWIN ROJAS</t>
        </is>
      </c>
      <c r="G1059" s="165" t="n">
        <v>2716</v>
      </c>
      <c r="H1059" s="165" t="n">
        <v>2742</v>
      </c>
      <c r="I1059" s="165" t="n">
        <v>3</v>
      </c>
      <c r="J1059" s="165" t="n">
        <v>1</v>
      </c>
      <c r="K1059" s="165" t="n">
        <v>30</v>
      </c>
      <c r="L1059" s="395" t="n">
        <v>2716</v>
      </c>
      <c r="M1059" s="113" t="n"/>
      <c r="N1059" s="113" t="n"/>
      <c r="O1059" s="113" t="n"/>
      <c r="P1059" s="398" t="n"/>
      <c r="Q1059" s="398" t="n"/>
      <c r="R1059" s="113" t="n"/>
      <c r="S1059" s="113" t="n"/>
      <c r="T1059" s="113" t="n"/>
      <c r="U1059" s="113" t="n"/>
      <c r="V1059" s="113" t="n"/>
    </row>
    <row r="1060" ht="15.75" customHeight="1">
      <c r="A1060" s="398" t="n">
        <v>20</v>
      </c>
      <c r="B1060" s="238" t="n"/>
      <c r="C1060" s="164" t="n">
        <v>46150</v>
      </c>
      <c r="D1060" s="165" t="inlineStr">
        <is>
          <t>202 G.HUERTAS</t>
        </is>
      </c>
      <c r="E1060" s="165" t="n">
        <v>47843</v>
      </c>
      <c r="F1060" s="165" t="inlineStr">
        <is>
          <t>EDUAN CAVIEDES</t>
        </is>
      </c>
      <c r="G1060" s="165" t="n">
        <v>2716</v>
      </c>
      <c r="H1060" s="165" t="n">
        <v>2716</v>
      </c>
      <c r="I1060" s="165" t="n">
        <v>2</v>
      </c>
      <c r="J1060" s="165" t="n">
        <v>0</v>
      </c>
      <c r="K1060" s="165" t="n">
        <v>2</v>
      </c>
      <c r="L1060" s="395" t="n">
        <v>2716</v>
      </c>
      <c r="M1060" s="113" t="n"/>
      <c r="N1060" s="113" t="n"/>
      <c r="O1060" s="113" t="n"/>
      <c r="P1060" s="398" t="n"/>
      <c r="Q1060" s="398" t="n"/>
      <c r="R1060" s="113" t="n"/>
      <c r="S1060" s="113" t="n"/>
      <c r="T1060" s="113" t="n"/>
      <c r="U1060" s="113" t="n"/>
      <c r="V1060" s="113" t="n"/>
    </row>
    <row r="1061" ht="15.75" customHeight="1">
      <c r="A1061" s="398" t="n">
        <v>20</v>
      </c>
      <c r="B1061" s="238" t="n"/>
      <c r="C1061" s="164" t="n">
        <v>46150</v>
      </c>
      <c r="D1061" s="165" t="inlineStr">
        <is>
          <t>202 G.HUERTAS</t>
        </is>
      </c>
      <c r="E1061" s="165" t="n">
        <v>47844</v>
      </c>
      <c r="F1061" s="165" t="inlineStr">
        <is>
          <t>HENRY ROMERO</t>
        </is>
      </c>
      <c r="G1061" s="165" t="n">
        <v>2960</v>
      </c>
      <c r="H1061" s="165" t="n">
        <v>2927</v>
      </c>
      <c r="I1061" s="165" t="n">
        <v>3</v>
      </c>
      <c r="J1061" s="165" t="n">
        <v>2</v>
      </c>
      <c r="K1061" s="165" t="n">
        <v>-28</v>
      </c>
      <c r="L1061" s="395" t="n">
        <v>2960</v>
      </c>
      <c r="M1061" s="113" t="n"/>
      <c r="N1061" s="113" t="n"/>
      <c r="O1061" s="113" t="n"/>
      <c r="P1061" s="398" t="n"/>
      <c r="Q1061" s="398" t="n"/>
      <c r="R1061" s="113" t="n"/>
      <c r="S1061" s="113" t="n"/>
      <c r="T1061" s="113" t="n"/>
      <c r="U1061" s="113" t="n"/>
      <c r="V1061" s="113" t="n"/>
    </row>
    <row r="1062" ht="15.75" customHeight="1">
      <c r="A1062" s="398" t="n">
        <v>20</v>
      </c>
      <c r="B1062" s="238" t="n"/>
      <c r="C1062" s="399" t="n">
        <v>46150</v>
      </c>
      <c r="D1062" s="146" t="inlineStr">
        <is>
          <t>218 G. SAN JOSE 1</t>
        </is>
      </c>
      <c r="E1062" s="146" t="n">
        <v>47845</v>
      </c>
      <c r="F1062" s="146" t="inlineStr">
        <is>
          <t>ALBERTO HERRERA</t>
        </is>
      </c>
      <c r="G1062" s="395" t="n">
        <v>3250</v>
      </c>
      <c r="H1062" s="395" t="n">
        <v>3246</v>
      </c>
      <c r="I1062" s="395" t="n">
        <v>5</v>
      </c>
      <c r="J1062" s="395" t="n">
        <v>4</v>
      </c>
      <c r="K1062" s="395" t="n">
        <v>5</v>
      </c>
      <c r="L1062" s="395" t="n">
        <v>3250</v>
      </c>
      <c r="M1062" s="113" t="n"/>
      <c r="N1062" s="113" t="n"/>
      <c r="O1062" s="113" t="n"/>
      <c r="P1062" s="398" t="n"/>
      <c r="Q1062" s="398" t="n"/>
      <c r="R1062" s="113" t="n"/>
      <c r="S1062" s="113" t="n"/>
      <c r="T1062" s="113" t="n"/>
      <c r="U1062" s="113" t="n"/>
      <c r="V1062" s="113" t="n"/>
    </row>
    <row r="1063" ht="15.75" customHeight="1">
      <c r="A1063" s="398" t="n">
        <v>20</v>
      </c>
      <c r="B1063" s="238" t="n"/>
      <c r="C1063" s="399" t="n">
        <v>46150</v>
      </c>
      <c r="D1063" s="146" t="inlineStr">
        <is>
          <t>218 G. SAN JOSE 1</t>
        </is>
      </c>
      <c r="E1063" s="146" t="n">
        <v>47846</v>
      </c>
      <c r="F1063" s="146" t="inlineStr">
        <is>
          <t>FABIO ALDANA</t>
        </is>
      </c>
      <c r="G1063" s="395" t="n">
        <v>3250</v>
      </c>
      <c r="H1063" s="395" t="n">
        <v>3245</v>
      </c>
      <c r="I1063" s="395" t="n">
        <v>2</v>
      </c>
      <c r="J1063" s="395" t="n">
        <v>4</v>
      </c>
      <c r="K1063" s="395" t="n">
        <v>1</v>
      </c>
      <c r="L1063" s="395" t="n">
        <v>3250</v>
      </c>
      <c r="M1063" s="113" t="n"/>
      <c r="N1063" s="113" t="n"/>
      <c r="O1063" s="113" t="n"/>
      <c r="P1063" s="398" t="n"/>
      <c r="Q1063" s="398" t="n"/>
      <c r="R1063" s="113" t="n"/>
      <c r="S1063" s="113" t="n"/>
      <c r="T1063" s="113" t="n"/>
      <c r="U1063" s="113" t="n"/>
      <c r="V1063" s="113" t="n"/>
    </row>
    <row r="1064" ht="15.75" customHeight="1">
      <c r="A1064" s="398" t="n">
        <v>20</v>
      </c>
      <c r="B1064" s="238" t="n"/>
      <c r="C1064" s="399" t="n">
        <v>46151</v>
      </c>
      <c r="D1064" s="146" t="inlineStr">
        <is>
          <t>218 G. SAN JOSE 1</t>
        </is>
      </c>
      <c r="E1064" s="146" t="n">
        <v>47868</v>
      </c>
      <c r="F1064" s="146" t="inlineStr">
        <is>
          <t xml:space="preserve">SEBASTIAN HIDALGO </t>
        </is>
      </c>
      <c r="G1064" s="395" t="n">
        <v>2600</v>
      </c>
      <c r="H1064" s="395" t="n">
        <v>2592</v>
      </c>
      <c r="I1064" s="395" t="n">
        <v>3</v>
      </c>
      <c r="J1064" s="395" t="n">
        <v>6</v>
      </c>
      <c r="K1064" s="395" t="n">
        <v>1</v>
      </c>
      <c r="L1064" s="395" t="n">
        <v>2600</v>
      </c>
      <c r="M1064" s="113" t="n"/>
      <c r="N1064" s="113" t="n"/>
      <c r="O1064" s="113" t="n"/>
      <c r="P1064" s="398" t="n"/>
      <c r="Q1064" s="398" t="n"/>
      <c r="R1064" s="113" t="n"/>
      <c r="S1064" s="113" t="n"/>
      <c r="T1064" s="113" t="n"/>
      <c r="U1064" s="113" t="n"/>
      <c r="V1064" s="113" t="n"/>
    </row>
    <row r="1065" ht="15.75" customHeight="1">
      <c r="A1065" s="398" t="n">
        <v>20</v>
      </c>
      <c r="B1065" s="238" t="n"/>
      <c r="C1065" s="399" t="n">
        <v>46151</v>
      </c>
      <c r="D1065" s="146" t="inlineStr">
        <is>
          <t>218 G. SAN JOSE 1</t>
        </is>
      </c>
      <c r="E1065" s="146" t="n">
        <v>47869</v>
      </c>
      <c r="F1065" s="146" t="inlineStr">
        <is>
          <t xml:space="preserve">MANUEL QUITIAN </t>
        </is>
      </c>
      <c r="G1065" s="395" t="n">
        <v>2400</v>
      </c>
      <c r="H1065" s="395" t="n">
        <v>2391</v>
      </c>
      <c r="I1065" s="395" t="n">
        <v>4</v>
      </c>
      <c r="J1065" s="395" t="n">
        <v>4</v>
      </c>
      <c r="K1065" s="395" t="n">
        <v>-1</v>
      </c>
      <c r="L1065" s="395" t="n">
        <v>2400</v>
      </c>
      <c r="M1065" s="113" t="n"/>
      <c r="N1065" s="113" t="n"/>
      <c r="O1065" s="113" t="n"/>
      <c r="P1065" s="398" t="n"/>
      <c r="Q1065" s="398" t="n"/>
      <c r="R1065" s="113" t="n"/>
      <c r="S1065" s="113" t="n"/>
      <c r="T1065" s="113" t="n"/>
      <c r="U1065" s="113" t="n"/>
      <c r="V1065" s="113" t="n"/>
    </row>
    <row r="1066" ht="15.75" customHeight="1">
      <c r="A1066" s="398" t="n">
        <v>20</v>
      </c>
      <c r="B1066" s="238" t="n"/>
      <c r="C1066" s="399" t="n">
        <v>46151</v>
      </c>
      <c r="D1066" s="146" t="inlineStr">
        <is>
          <t>218 G. SAN JOSE 1</t>
        </is>
      </c>
      <c r="E1066" s="146" t="n">
        <v>47870</v>
      </c>
      <c r="F1066" s="146" t="inlineStr">
        <is>
          <t>JOSE SOLER</t>
        </is>
      </c>
      <c r="G1066" s="395" t="n">
        <v>3000</v>
      </c>
      <c r="H1066" s="395" t="n">
        <v>2993</v>
      </c>
      <c r="I1066" s="395" t="n">
        <v>6</v>
      </c>
      <c r="J1066" s="395" t="n">
        <v>4</v>
      </c>
      <c r="K1066" s="395" t="n">
        <v>3</v>
      </c>
      <c r="L1066" s="395" t="n">
        <v>3000</v>
      </c>
      <c r="M1066" s="113" t="n"/>
      <c r="N1066" s="113" t="n"/>
      <c r="O1066" s="113" t="n"/>
      <c r="P1066" s="398" t="n"/>
      <c r="Q1066" s="398" t="n"/>
      <c r="R1066" s="113" t="n"/>
      <c r="S1066" s="113" t="n"/>
      <c r="T1066" s="113" t="n"/>
      <c r="U1066" s="113" t="n"/>
      <c r="V1066" s="113" t="n"/>
    </row>
    <row r="1067" ht="15.75" customHeight="1">
      <c r="A1067" s="398" t="n">
        <v>20</v>
      </c>
      <c r="B1067" s="238" t="n"/>
      <c r="C1067" s="399" t="n">
        <v>46151</v>
      </c>
      <c r="D1067" s="146" t="inlineStr">
        <is>
          <t>218 G. SAN JOSE 1</t>
        </is>
      </c>
      <c r="E1067" s="146" t="n">
        <v>47871</v>
      </c>
      <c r="F1067" s="146" t="inlineStr">
        <is>
          <t>ALEX GOMEZ</t>
        </is>
      </c>
      <c r="G1067" s="395" t="n">
        <v>3000</v>
      </c>
      <c r="H1067" s="395" t="n">
        <v>2996</v>
      </c>
      <c r="I1067" s="395" t="n">
        <v>4</v>
      </c>
      <c r="J1067" s="395" t="n">
        <v>3</v>
      </c>
      <c r="K1067" s="395" t="n">
        <v>3</v>
      </c>
      <c r="L1067" s="395" t="n">
        <v>3000</v>
      </c>
      <c r="M1067" s="113" t="n"/>
      <c r="N1067" s="113" t="n"/>
      <c r="O1067" s="113" t="n"/>
      <c r="P1067" s="398" t="n"/>
      <c r="Q1067" s="398" t="n"/>
      <c r="R1067" s="113" t="n"/>
      <c r="S1067" s="113" t="n"/>
      <c r="T1067" s="113" t="n"/>
      <c r="U1067" s="113" t="n"/>
      <c r="V1067" s="113" t="n"/>
    </row>
    <row r="1068" ht="15.75" customHeight="1">
      <c r="A1068" s="398" t="n">
        <v>20</v>
      </c>
      <c r="B1068" s="238" t="n"/>
      <c r="C1068" s="399" t="n">
        <v>46151</v>
      </c>
      <c r="D1068" s="146" t="inlineStr">
        <is>
          <t>218 G. SAN JOSE 1</t>
        </is>
      </c>
      <c r="E1068" s="146" t="n">
        <v>47872</v>
      </c>
      <c r="F1068" s="146" t="inlineStr">
        <is>
          <t>JAIRO CUBILLOS</t>
        </is>
      </c>
      <c r="G1068" s="395" t="n">
        <v>3000</v>
      </c>
      <c r="H1068" s="395" t="n">
        <v>2984</v>
      </c>
      <c r="I1068" s="395" t="n">
        <v>3</v>
      </c>
      <c r="J1068" s="395" t="n">
        <v>3</v>
      </c>
      <c r="K1068" s="395" t="n">
        <v>-10</v>
      </c>
      <c r="L1068" s="395" t="n">
        <v>3000</v>
      </c>
      <c r="M1068" s="113" t="n"/>
      <c r="N1068" s="113" t="n"/>
      <c r="O1068" s="113" t="n"/>
      <c r="P1068" s="398" t="n"/>
      <c r="Q1068" s="398" t="n"/>
      <c r="R1068" s="113" t="n"/>
      <c r="S1068" s="113" t="n"/>
      <c r="T1068" s="113" t="n"/>
      <c r="U1068" s="113" t="n"/>
      <c r="V1068" s="113" t="n"/>
    </row>
    <row r="1069" ht="15.75" customHeight="1">
      <c r="A1069" s="398" t="n">
        <v>20</v>
      </c>
      <c r="B1069" s="238" t="n"/>
      <c r="C1069" s="399" t="n">
        <v>46151</v>
      </c>
      <c r="D1069" s="146" t="inlineStr">
        <is>
          <t>218 G. SAN JOSE 1</t>
        </is>
      </c>
      <c r="E1069" s="146" t="n">
        <v>47873</v>
      </c>
      <c r="F1069" s="146" t="inlineStr">
        <is>
          <t>EDWIN ROJAS</t>
        </is>
      </c>
      <c r="G1069" s="395" t="n">
        <v>3000</v>
      </c>
      <c r="H1069" s="395" t="n">
        <v>2982</v>
      </c>
      <c r="I1069" s="395" t="n">
        <v>2</v>
      </c>
      <c r="J1069" s="395" t="n">
        <v>2</v>
      </c>
      <c r="K1069" s="395" t="n">
        <v>-14</v>
      </c>
      <c r="L1069" s="395" t="n">
        <v>3000</v>
      </c>
      <c r="M1069" s="113" t="n"/>
      <c r="N1069" s="113" t="n"/>
      <c r="O1069" s="113" t="n"/>
      <c r="P1069" s="398" t="n"/>
      <c r="Q1069" s="398" t="n"/>
      <c r="R1069" s="113" t="n"/>
      <c r="S1069" s="113" t="n"/>
      <c r="T1069" s="113" t="n"/>
      <c r="U1069" s="113" t="n"/>
      <c r="V1069" s="113" t="n"/>
    </row>
    <row r="1070" ht="15.75" customHeight="1">
      <c r="A1070" s="398" t="n">
        <v>20</v>
      </c>
      <c r="B1070" s="238" t="n"/>
      <c r="C1070" s="399" t="n">
        <v>46151</v>
      </c>
      <c r="D1070" s="146" t="inlineStr">
        <is>
          <t>218 G. SAN JOSE 1</t>
        </is>
      </c>
      <c r="E1070" s="146" t="n">
        <v>47874</v>
      </c>
      <c r="F1070" s="146" t="inlineStr">
        <is>
          <t>ALBERTO HERRERA</t>
        </is>
      </c>
      <c r="G1070" s="395" t="n">
        <v>2540</v>
      </c>
      <c r="H1070" s="395" t="n">
        <v>2542</v>
      </c>
      <c r="I1070" s="395" t="n">
        <v>1</v>
      </c>
      <c r="J1070" s="395" t="n">
        <v>0</v>
      </c>
      <c r="K1070" s="395" t="n">
        <v>3</v>
      </c>
      <c r="L1070" s="395" t="n">
        <v>3540</v>
      </c>
      <c r="M1070" s="113" t="n"/>
      <c r="N1070" s="113" t="n"/>
      <c r="O1070" s="113" t="n"/>
      <c r="P1070" s="398" t="n"/>
      <c r="Q1070" s="398" t="n"/>
      <c r="R1070" s="113" t="n"/>
      <c r="S1070" s="113" t="n"/>
      <c r="T1070" s="113" t="n"/>
      <c r="U1070" s="113" t="n"/>
      <c r="V1070" s="113" t="n"/>
    </row>
    <row r="1071" ht="15.75" customHeight="1">
      <c r="A1071" s="398" t="n">
        <v>20</v>
      </c>
      <c r="B1071" s="238" t="n"/>
      <c r="C1071" s="399" t="n"/>
      <c r="D1071" s="113" t="n"/>
      <c r="E1071" s="113" t="n"/>
      <c r="F1071" s="113" t="n"/>
      <c r="G1071" s="477">
        <f>SUBTOTAL(9,G987:G1070)</f>
        <v/>
      </c>
      <c r="H1071" s="477">
        <f>SUBTOTAL(9,H987:H1070)</f>
        <v/>
      </c>
      <c r="I1071" s="477">
        <f>SUBTOTAL(9,I987:I1070)</f>
        <v/>
      </c>
      <c r="J1071" s="477">
        <f>SUBTOTAL(9,J987:J1070)</f>
        <v/>
      </c>
      <c r="K1071" s="477">
        <f>SUBTOTAL(9,K987:K1070)</f>
        <v/>
      </c>
      <c r="L1071" s="477">
        <f>SUBTOTAL(9,L987:L1070)</f>
        <v/>
      </c>
      <c r="M1071" s="113" t="n"/>
      <c r="N1071" s="113" t="n"/>
      <c r="O1071" s="113" t="n"/>
      <c r="P1071" s="398" t="n"/>
      <c r="Q1071" s="398" t="n"/>
      <c r="R1071" s="113" t="n"/>
      <c r="S1071" s="113" t="n"/>
      <c r="T1071" s="113" t="n"/>
      <c r="U1071" s="113" t="n"/>
      <c r="V1071" s="113" t="n"/>
    </row>
    <row r="1072" ht="15.75" customHeight="1">
      <c r="A1072" s="398" t="n">
        <v>21</v>
      </c>
      <c r="B1072" s="238" t="n"/>
      <c r="C1072" s="164" t="n">
        <v>46153</v>
      </c>
      <c r="D1072" s="165" t="inlineStr">
        <is>
          <t>202 G. HUERTAS</t>
        </is>
      </c>
      <c r="E1072" s="165" t="n">
        <v>207672</v>
      </c>
      <c r="F1072" s="165" t="inlineStr">
        <is>
          <t>LUIS GERMAN QUITIAN PEÑA</t>
        </is>
      </c>
      <c r="G1072" s="165" t="n">
        <v>2592</v>
      </c>
      <c r="H1072" s="165" t="n">
        <v>2568</v>
      </c>
      <c r="I1072" s="165" t="n">
        <v>7</v>
      </c>
      <c r="J1072" s="165" t="n">
        <v>16</v>
      </c>
      <c r="K1072" s="165" t="n">
        <v>-1</v>
      </c>
      <c r="L1072" s="397" t="n"/>
      <c r="M1072" s="113" t="n"/>
      <c r="N1072" s="113" t="n"/>
      <c r="O1072" s="113" t="n"/>
      <c r="P1072" s="398" t="n"/>
      <c r="Q1072" s="398" t="n"/>
      <c r="R1072" s="113" t="n"/>
      <c r="S1072" s="113" t="n"/>
      <c r="T1072" s="113" t="n"/>
      <c r="U1072" s="113" t="n"/>
      <c r="V1072" s="113" t="n"/>
    </row>
    <row r="1073" ht="15.75" customHeight="1">
      <c r="A1073" s="398" t="n">
        <v>21</v>
      </c>
      <c r="B1073" s="238" t="n"/>
      <c r="C1073" s="399" t="n">
        <v>46153</v>
      </c>
      <c r="D1073" s="162" t="inlineStr">
        <is>
          <t>218 G. SAN JOSE 1</t>
        </is>
      </c>
      <c r="E1073" s="162" t="n">
        <v>47891</v>
      </c>
      <c r="F1073" s="162" t="inlineStr">
        <is>
          <t>DIEGO NIÑO</t>
        </is>
      </c>
      <c r="G1073" s="162" t="n">
        <v>3240</v>
      </c>
      <c r="H1073" s="162" t="n">
        <v>3224</v>
      </c>
      <c r="I1073" s="162" t="n">
        <v>15</v>
      </c>
      <c r="J1073" s="162" t="n">
        <v>6</v>
      </c>
      <c r="K1073" s="162" t="n">
        <v>5</v>
      </c>
      <c r="L1073" s="397" t="n">
        <v>3200</v>
      </c>
      <c r="M1073" s="113" t="n"/>
      <c r="N1073" s="113" t="n"/>
      <c r="O1073" s="113" t="n"/>
      <c r="P1073" s="398" t="n"/>
      <c r="Q1073" s="398" t="n"/>
      <c r="R1073" s="113" t="n"/>
      <c r="S1073" s="113" t="n"/>
      <c r="T1073" s="113" t="n"/>
      <c r="U1073" s="113" t="n"/>
      <c r="V1073" s="113" t="n"/>
    </row>
    <row r="1074" ht="15.75" customHeight="1">
      <c r="A1074" s="398" t="n">
        <v>21</v>
      </c>
      <c r="B1074" s="238" t="n"/>
      <c r="C1074" s="399" t="n">
        <v>46153</v>
      </c>
      <c r="D1074" s="162" t="inlineStr">
        <is>
          <t>218 G. SAN JOSE 1</t>
        </is>
      </c>
      <c r="E1074" s="162" t="n">
        <v>47892</v>
      </c>
      <c r="F1074" s="162" t="inlineStr">
        <is>
          <t>DIEGO VEGA</t>
        </is>
      </c>
      <c r="G1074" s="162" t="n">
        <v>3240</v>
      </c>
      <c r="H1074" s="162" t="n">
        <v>3207</v>
      </c>
      <c r="I1074" s="162" t="n">
        <v>12</v>
      </c>
      <c r="J1074" s="162" t="n">
        <v>8</v>
      </c>
      <c r="K1074" s="162" t="n">
        <v>-13</v>
      </c>
      <c r="L1074" s="397" t="n">
        <v>3240</v>
      </c>
      <c r="M1074" s="113" t="n"/>
      <c r="N1074" s="113" t="n"/>
      <c r="O1074" s="113" t="n"/>
      <c r="P1074" s="398" t="n"/>
      <c r="Q1074" s="398" t="n"/>
      <c r="R1074" s="113" t="n"/>
      <c r="S1074" s="113" t="n"/>
      <c r="T1074" s="113" t="n"/>
      <c r="U1074" s="113" t="n"/>
      <c r="V1074" s="113" t="n"/>
    </row>
    <row r="1075" ht="15.75" customHeight="1">
      <c r="A1075" s="398" t="n">
        <v>21</v>
      </c>
      <c r="B1075" s="238" t="n"/>
      <c r="C1075" s="399" t="n">
        <v>46153</v>
      </c>
      <c r="D1075" s="162" t="inlineStr">
        <is>
          <t>218 G. SAN JOSE 1</t>
        </is>
      </c>
      <c r="E1075" s="162" t="n">
        <v>47893</v>
      </c>
      <c r="F1075" s="162" t="inlineStr">
        <is>
          <t>JAIRO CUBILLOS</t>
        </is>
      </c>
      <c r="G1075" s="162" t="n">
        <v>3240</v>
      </c>
      <c r="H1075" s="162" t="n">
        <v>3214</v>
      </c>
      <c r="I1075" s="162" t="n">
        <v>10</v>
      </c>
      <c r="J1075" s="162" t="n">
        <v>12</v>
      </c>
      <c r="K1075" s="162" t="n">
        <v>-4</v>
      </c>
      <c r="L1075" s="397" t="n">
        <v>3240</v>
      </c>
      <c r="M1075" s="113" t="n"/>
      <c r="N1075" s="113" t="n"/>
      <c r="O1075" s="113" t="n"/>
      <c r="P1075" s="398" t="n"/>
      <c r="Q1075" s="398" t="n"/>
      <c r="R1075" s="113" t="n"/>
      <c r="S1075" s="113" t="n"/>
      <c r="T1075" s="113" t="n"/>
      <c r="U1075" s="113" t="n"/>
      <c r="V1075" s="113" t="n"/>
    </row>
    <row r="1076" ht="15.75" customHeight="1">
      <c r="A1076" s="398" t="n">
        <v>21</v>
      </c>
      <c r="B1076" s="238" t="n"/>
      <c r="C1076" s="399" t="n">
        <v>46153</v>
      </c>
      <c r="D1076" s="162" t="inlineStr">
        <is>
          <t>218 G. SAN JOSE 1</t>
        </is>
      </c>
      <c r="E1076" s="162" t="n">
        <v>47894</v>
      </c>
      <c r="F1076" s="162" t="inlineStr">
        <is>
          <t xml:space="preserve">SEBASTIAN HIDALGO </t>
        </is>
      </c>
      <c r="G1076" s="162" t="n">
        <v>3240</v>
      </c>
      <c r="H1076" s="162" t="n">
        <v>3236</v>
      </c>
      <c r="I1076" s="162" t="n">
        <v>5</v>
      </c>
      <c r="J1076" s="162" t="n">
        <v>3</v>
      </c>
      <c r="K1076" s="162" t="n">
        <v>4</v>
      </c>
      <c r="L1076" s="397" t="n">
        <v>3240</v>
      </c>
      <c r="M1076" s="113" t="n"/>
      <c r="N1076" s="113" t="n"/>
      <c r="O1076" s="113" t="n"/>
      <c r="P1076" s="398" t="n"/>
      <c r="Q1076" s="398" t="n"/>
      <c r="R1076" s="113" t="n"/>
      <c r="S1076" s="113" t="n"/>
      <c r="T1076" s="113" t="n"/>
      <c r="U1076" s="113" t="n"/>
      <c r="V1076" s="113" t="n"/>
    </row>
    <row r="1077" ht="15.75" customHeight="1">
      <c r="A1077" s="398" t="n">
        <v>21</v>
      </c>
      <c r="B1077" s="238" t="n"/>
      <c r="C1077" s="399" t="n">
        <v>46153</v>
      </c>
      <c r="D1077" s="162" t="inlineStr">
        <is>
          <t>218 G. SAN JOSE 1</t>
        </is>
      </c>
      <c r="E1077" s="162" t="n">
        <v>47895</v>
      </c>
      <c r="F1077" s="162" t="inlineStr">
        <is>
          <t>FERNANDO OYUELA</t>
        </is>
      </c>
      <c r="G1077" s="162" t="n">
        <v>3240</v>
      </c>
      <c r="H1077" s="162" t="n">
        <v>3239</v>
      </c>
      <c r="I1077" s="162" t="n">
        <v>4</v>
      </c>
      <c r="J1077" s="162" t="n">
        <v>2</v>
      </c>
      <c r="K1077" s="162" t="n">
        <v>5</v>
      </c>
      <c r="L1077" s="397" t="n">
        <v>3240</v>
      </c>
      <c r="M1077" s="113" t="n"/>
      <c r="N1077" s="113" t="n"/>
      <c r="O1077" s="113" t="n"/>
      <c r="P1077" s="398" t="n"/>
      <c r="Q1077" s="398" t="n"/>
      <c r="R1077" s="113" t="n"/>
      <c r="S1077" s="113" t="n"/>
      <c r="T1077" s="113" t="n"/>
      <c r="U1077" s="113" t="n"/>
      <c r="V1077" s="113" t="n"/>
    </row>
    <row r="1078" ht="15.75" customHeight="1">
      <c r="A1078" s="398" t="n">
        <v>21</v>
      </c>
      <c r="B1078" s="238" t="n"/>
      <c r="C1078" s="399" t="n">
        <v>46153</v>
      </c>
      <c r="D1078" s="162" t="inlineStr">
        <is>
          <t>218 G. SAN JOSE 1</t>
        </is>
      </c>
      <c r="E1078" s="162" t="n">
        <v>47896</v>
      </c>
      <c r="F1078" s="162" t="inlineStr">
        <is>
          <t>EDUAN CAVIEDES</t>
        </is>
      </c>
      <c r="G1078" s="162" t="n">
        <v>3100</v>
      </c>
      <c r="H1078" s="162" t="n">
        <v>3103</v>
      </c>
      <c r="I1078" s="162" t="n">
        <v>3</v>
      </c>
      <c r="J1078" s="162" t="n">
        <v>0</v>
      </c>
      <c r="K1078" s="162" t="n">
        <v>6</v>
      </c>
      <c r="L1078" s="397" t="n">
        <v>3240</v>
      </c>
      <c r="M1078" s="113" t="n"/>
      <c r="N1078" s="113" t="n"/>
      <c r="O1078" s="113" t="n"/>
      <c r="P1078" s="398" t="n"/>
      <c r="Q1078" s="398" t="n"/>
      <c r="R1078" s="113" t="n"/>
      <c r="S1078" s="113" t="n"/>
      <c r="T1078" s="113" t="n"/>
      <c r="U1078" s="113" t="n"/>
      <c r="V1078" s="113" t="n"/>
    </row>
    <row r="1079" ht="15.75" customHeight="1">
      <c r="A1079" s="398" t="n">
        <v>21</v>
      </c>
      <c r="B1079" s="238" t="n"/>
      <c r="C1079" s="399" t="n">
        <v>46153</v>
      </c>
      <c r="D1079" s="162" t="inlineStr">
        <is>
          <t>200 G. GARCERAS</t>
        </is>
      </c>
      <c r="E1079" s="162" t="n">
        <v>47890</v>
      </c>
      <c r="F1079" s="162" t="inlineStr">
        <is>
          <t>ALEX GOMEZ</t>
        </is>
      </c>
      <c r="G1079" s="162" t="n">
        <v>3200</v>
      </c>
      <c r="H1079" s="162" t="n">
        <v>3196</v>
      </c>
      <c r="I1079" s="162" t="n">
        <v>4</v>
      </c>
      <c r="J1079" s="162" t="n">
        <v>2</v>
      </c>
      <c r="K1079" s="162" t="n">
        <v>2</v>
      </c>
      <c r="L1079" s="397" t="n">
        <v>3100</v>
      </c>
      <c r="M1079" s="113" t="n"/>
      <c r="N1079" s="113" t="n"/>
      <c r="O1079" s="113" t="n"/>
      <c r="P1079" s="398" t="n"/>
      <c r="Q1079" s="398" t="n"/>
      <c r="R1079" s="113" t="n"/>
      <c r="S1079" s="113" t="n"/>
      <c r="T1079" s="113" t="n"/>
      <c r="U1079" s="113" t="n"/>
      <c r="V1079" s="113" t="n"/>
    </row>
    <row r="1080" ht="15.75" customHeight="1">
      <c r="A1080" s="398" t="n">
        <v>21</v>
      </c>
      <c r="B1080" s="238" t="n"/>
      <c r="C1080" s="164" t="n">
        <v>46154</v>
      </c>
      <c r="D1080" s="165" t="inlineStr">
        <is>
          <t>202 G. HUERTAS</t>
        </is>
      </c>
      <c r="E1080" s="165" t="n">
        <v>207673</v>
      </c>
      <c r="F1080" s="165" t="inlineStr">
        <is>
          <t>JEISSON ECHEVERRIA</t>
        </is>
      </c>
      <c r="G1080" s="165" t="n">
        <v>2592</v>
      </c>
      <c r="H1080" s="165" t="n">
        <v>2570</v>
      </c>
      <c r="I1080" s="165" t="n">
        <v>3</v>
      </c>
      <c r="J1080" s="165" t="n">
        <v>14</v>
      </c>
      <c r="K1080" s="165" t="n">
        <v>-5</v>
      </c>
      <c r="L1080" s="397" t="n">
        <v>2592</v>
      </c>
      <c r="M1080" s="113" t="n"/>
      <c r="N1080" s="113" t="n"/>
      <c r="O1080" s="113" t="n"/>
      <c r="P1080" s="398" t="n"/>
      <c r="Q1080" s="398" t="n"/>
      <c r="R1080" s="113" t="n"/>
      <c r="S1080" s="113" t="n"/>
      <c r="T1080" s="113" t="n"/>
      <c r="U1080" s="113" t="n"/>
      <c r="V1080" s="113" t="n"/>
    </row>
    <row r="1081" ht="15.75" customHeight="1">
      <c r="A1081" s="398" t="n">
        <v>21</v>
      </c>
      <c r="B1081" s="238" t="n"/>
      <c r="C1081" s="164" t="n">
        <v>46154</v>
      </c>
      <c r="D1081" s="165" t="inlineStr">
        <is>
          <t>202 G. HUERTAS</t>
        </is>
      </c>
      <c r="E1081" s="165" t="n">
        <v>207688</v>
      </c>
      <c r="F1081" s="165" t="inlineStr">
        <is>
          <t>JORGE LUIS OVIEDO BARRIOS</t>
        </is>
      </c>
      <c r="G1081" s="165" t="n">
        <v>1730</v>
      </c>
      <c r="H1081" s="165" t="n">
        <v>1718</v>
      </c>
      <c r="I1081" s="165" t="n">
        <v>1</v>
      </c>
      <c r="J1081" s="165" t="n">
        <v>7</v>
      </c>
      <c r="K1081" s="165" t="n">
        <v>-4</v>
      </c>
      <c r="L1081" s="397" t="n">
        <v>2592</v>
      </c>
      <c r="M1081" s="113" t="n"/>
      <c r="N1081" s="113" t="n"/>
      <c r="O1081" s="113" t="n"/>
      <c r="P1081" s="398" t="n"/>
      <c r="Q1081" s="398" t="n"/>
      <c r="R1081" s="113" t="n"/>
      <c r="S1081" s="113" t="n"/>
      <c r="T1081" s="113" t="n"/>
      <c r="U1081" s="113" t="n"/>
      <c r="V1081" s="113" t="n"/>
    </row>
    <row r="1082" ht="15.75" customHeight="1">
      <c r="A1082" s="398" t="n">
        <v>21</v>
      </c>
      <c r="B1082" s="238" t="n"/>
      <c r="C1082" s="164" t="n">
        <v>46154</v>
      </c>
      <c r="D1082" s="165" t="inlineStr">
        <is>
          <t>202 G. HUERTAS</t>
        </is>
      </c>
      <c r="E1082" s="165" t="n">
        <v>207692</v>
      </c>
      <c r="F1082" s="165" t="inlineStr">
        <is>
          <t>ROBERTO MONROY</t>
        </is>
      </c>
      <c r="G1082" s="165" t="n">
        <v>1730</v>
      </c>
      <c r="H1082" s="165" t="n">
        <v>1724</v>
      </c>
      <c r="I1082" s="165" t="n">
        <v>4</v>
      </c>
      <c r="J1082" s="165" t="n">
        <v>5</v>
      </c>
      <c r="K1082" s="165" t="n">
        <v>3</v>
      </c>
      <c r="L1082" s="397" t="n">
        <v>3200</v>
      </c>
      <c r="M1082" s="113" t="n"/>
      <c r="N1082" s="113" t="n"/>
      <c r="O1082" s="113" t="n"/>
      <c r="P1082" s="398" t="n"/>
      <c r="Q1082" s="398" t="n"/>
      <c r="R1082" s="113" t="n"/>
      <c r="S1082" s="113" t="n"/>
      <c r="T1082" s="113" t="n"/>
      <c r="U1082" s="113" t="n"/>
      <c r="V1082" s="113" t="n"/>
    </row>
    <row r="1083" ht="15.75" customHeight="1">
      <c r="A1083" s="398" t="n">
        <v>21</v>
      </c>
      <c r="B1083" s="238" t="n"/>
      <c r="C1083" s="399" t="n">
        <v>46154</v>
      </c>
      <c r="D1083" s="162" t="inlineStr">
        <is>
          <t>200 G. GARCERAS</t>
        </is>
      </c>
      <c r="E1083" s="162" t="n">
        <v>47914</v>
      </c>
      <c r="F1083" s="162" t="inlineStr">
        <is>
          <t>DUMAR ANGARITA</t>
        </is>
      </c>
      <c r="G1083" s="162" t="n">
        <v>3200</v>
      </c>
      <c r="H1083" s="162" t="n">
        <v>3197</v>
      </c>
      <c r="I1083" s="162" t="n">
        <v>2</v>
      </c>
      <c r="J1083" s="162" t="n">
        <v>1</v>
      </c>
      <c r="K1083" s="162" t="n">
        <v>0</v>
      </c>
      <c r="L1083" s="397" t="n">
        <v>3200</v>
      </c>
      <c r="M1083" s="113" t="n"/>
      <c r="N1083" s="113" t="n"/>
      <c r="O1083" s="113" t="n"/>
      <c r="P1083" s="398" t="n"/>
      <c r="Q1083" s="398" t="n"/>
      <c r="R1083" s="113" t="n"/>
      <c r="S1083" s="113" t="n"/>
      <c r="T1083" s="113" t="n"/>
      <c r="U1083" s="113" t="n"/>
      <c r="V1083" s="113" t="n"/>
    </row>
    <row r="1084" ht="15.75" customHeight="1">
      <c r="A1084" s="398" t="n">
        <v>21</v>
      </c>
      <c r="B1084" s="238" t="n"/>
      <c r="C1084" s="399" t="n">
        <v>46154</v>
      </c>
      <c r="D1084" s="162" t="inlineStr">
        <is>
          <t>200 G. GARCERAS</t>
        </is>
      </c>
      <c r="E1084" s="162" t="n">
        <v>47915</v>
      </c>
      <c r="F1084" s="162" t="inlineStr">
        <is>
          <t>DIEGO NIÑO</t>
        </is>
      </c>
      <c r="G1084" s="162" t="n">
        <v>3200</v>
      </c>
      <c r="H1084" s="162" t="n">
        <v>3197</v>
      </c>
      <c r="I1084" s="162" t="n">
        <v>1</v>
      </c>
      <c r="J1084" s="162" t="n">
        <v>2</v>
      </c>
      <c r="K1084" s="162" t="n">
        <v>0</v>
      </c>
      <c r="L1084" s="397" t="n">
        <v>3200</v>
      </c>
      <c r="M1084" s="113" t="n"/>
      <c r="N1084" s="113" t="n"/>
      <c r="O1084" s="113" t="n"/>
      <c r="P1084" s="398" t="n"/>
      <c r="Q1084" s="398" t="n"/>
      <c r="R1084" s="113" t="n"/>
      <c r="S1084" s="113" t="n"/>
      <c r="T1084" s="113" t="n"/>
      <c r="U1084" s="113" t="n"/>
      <c r="V1084" s="113" t="n"/>
    </row>
    <row r="1085" ht="15.75" customHeight="1">
      <c r="A1085" s="398" t="n">
        <v>21</v>
      </c>
      <c r="B1085" s="238" t="n"/>
      <c r="C1085" s="399" t="n">
        <v>46154</v>
      </c>
      <c r="D1085" s="162" t="inlineStr">
        <is>
          <t>200 G. GARCERAS</t>
        </is>
      </c>
      <c r="E1085" s="162" t="n">
        <v>47916</v>
      </c>
      <c r="F1085" s="162" t="inlineStr">
        <is>
          <t>ALBERTO HERRERA</t>
        </is>
      </c>
      <c r="G1085" s="162" t="n">
        <v>3200</v>
      </c>
      <c r="H1085" s="162" t="n">
        <v>3196</v>
      </c>
      <c r="I1085" s="162" t="n">
        <v>1</v>
      </c>
      <c r="J1085" s="162" t="n">
        <v>2</v>
      </c>
      <c r="K1085" s="162" t="n">
        <v>-1</v>
      </c>
      <c r="L1085" s="397" t="n">
        <v>3200</v>
      </c>
      <c r="M1085" s="113" t="n"/>
      <c r="N1085" s="113" t="n"/>
      <c r="O1085" s="113" t="n"/>
      <c r="P1085" s="398" t="n"/>
      <c r="Q1085" s="398" t="n"/>
      <c r="R1085" s="113" t="n"/>
      <c r="S1085" s="113" t="n"/>
      <c r="T1085" s="113" t="n"/>
      <c r="U1085" s="113" t="n"/>
      <c r="V1085" s="113" t="n"/>
    </row>
    <row r="1086" ht="15.75" customHeight="1">
      <c r="A1086" s="398" t="n">
        <v>21</v>
      </c>
      <c r="B1086" s="238" t="n"/>
      <c r="C1086" s="399" t="n">
        <v>46154</v>
      </c>
      <c r="D1086" s="162" t="inlineStr">
        <is>
          <t>200 G. GARCERAS</t>
        </is>
      </c>
      <c r="E1086" s="162" t="n">
        <v>47917</v>
      </c>
      <c r="F1086" s="162" t="inlineStr">
        <is>
          <t>DIEGO VEGA</t>
        </is>
      </c>
      <c r="G1086" s="162" t="n">
        <v>3200</v>
      </c>
      <c r="H1086" s="162" t="n">
        <v>3198</v>
      </c>
      <c r="I1086" s="162" t="n">
        <v>1</v>
      </c>
      <c r="J1086" s="162" t="n">
        <v>1</v>
      </c>
      <c r="K1086" s="162" t="n">
        <v>0</v>
      </c>
      <c r="L1086" s="397" t="n">
        <v>3200</v>
      </c>
      <c r="M1086" s="113" t="n"/>
      <c r="N1086" s="113" t="n"/>
      <c r="O1086" s="113" t="n"/>
      <c r="P1086" s="398" t="n"/>
      <c r="Q1086" s="398" t="n"/>
      <c r="R1086" s="113" t="n"/>
      <c r="S1086" s="113" t="n"/>
      <c r="T1086" s="113" t="n"/>
      <c r="U1086" s="113" t="n"/>
      <c r="V1086" s="113" t="n"/>
    </row>
    <row r="1087" ht="15.75" customHeight="1">
      <c r="A1087" s="398" t="n">
        <v>21</v>
      </c>
      <c r="B1087" s="238" t="n"/>
      <c r="C1087" s="399" t="n">
        <v>46154</v>
      </c>
      <c r="D1087" s="162" t="inlineStr">
        <is>
          <t>200 G. GARCERAS</t>
        </is>
      </c>
      <c r="E1087" s="162" t="n">
        <v>47918</v>
      </c>
      <c r="F1087" s="162" t="inlineStr">
        <is>
          <t>WILMER PIÑEROS</t>
        </is>
      </c>
      <c r="G1087" s="162" t="n">
        <v>3200</v>
      </c>
      <c r="H1087" s="162" t="n">
        <v>3199</v>
      </c>
      <c r="I1087" s="162" t="n">
        <v>3</v>
      </c>
      <c r="J1087" s="162" t="n">
        <v>0</v>
      </c>
      <c r="K1087" s="162" t="n">
        <v>2</v>
      </c>
      <c r="L1087" s="397" t="n">
        <v>3020</v>
      </c>
      <c r="M1087" s="113" t="n"/>
      <c r="N1087" s="113" t="n"/>
      <c r="O1087" s="113" t="n"/>
      <c r="P1087" s="398" t="n"/>
      <c r="Q1087" s="398" t="n"/>
      <c r="R1087" s="113" t="n"/>
      <c r="S1087" s="113" t="n"/>
      <c r="T1087" s="113" t="n"/>
      <c r="U1087" s="113" t="n"/>
      <c r="V1087" s="113" t="n"/>
    </row>
    <row r="1088" ht="15.75" customHeight="1">
      <c r="A1088" s="398" t="n">
        <v>21</v>
      </c>
      <c r="B1088" s="238" t="n"/>
      <c r="C1088" s="399" t="n">
        <v>46154</v>
      </c>
      <c r="D1088" s="162" t="inlineStr">
        <is>
          <t>200 G. GARCERAS</t>
        </is>
      </c>
      <c r="E1088" s="162" t="n">
        <v>47919</v>
      </c>
      <c r="F1088" s="162" t="inlineStr">
        <is>
          <t>EDWIN ROJAS</t>
        </is>
      </c>
      <c r="G1088" s="162" t="n">
        <v>3020</v>
      </c>
      <c r="H1088" s="162" t="n">
        <v>3038</v>
      </c>
      <c r="I1088" s="162" t="n">
        <v>5</v>
      </c>
      <c r="J1088" s="162" t="n">
        <v>2</v>
      </c>
      <c r="K1088" s="162" t="n">
        <v>25</v>
      </c>
      <c r="L1088" s="397" t="n">
        <v>2670</v>
      </c>
      <c r="M1088" s="113" t="n"/>
      <c r="N1088" s="113" t="n"/>
      <c r="O1088" s="113" t="n"/>
      <c r="P1088" s="398" t="n"/>
      <c r="Q1088" s="398" t="n"/>
      <c r="R1088" s="113" t="n"/>
      <c r="S1088" s="113" t="n"/>
      <c r="T1088" s="113" t="n"/>
      <c r="U1088" s="113" t="n"/>
      <c r="V1088" s="113" t="n"/>
    </row>
    <row r="1089" ht="15.75" customHeight="1">
      <c r="A1089" s="398" t="n">
        <v>21</v>
      </c>
      <c r="B1089" s="238" t="n"/>
      <c r="C1089" s="399" t="n">
        <v>46154</v>
      </c>
      <c r="D1089" s="162" t="inlineStr">
        <is>
          <t>200 G. GARCERAS</t>
        </is>
      </c>
      <c r="E1089" s="162" t="n">
        <v>47920</v>
      </c>
      <c r="F1089" s="162" t="inlineStr">
        <is>
          <t>ROBINSON PULIDO</t>
        </is>
      </c>
      <c r="G1089" s="162" t="n">
        <v>3020</v>
      </c>
      <c r="H1089" s="162" t="n">
        <v>3018</v>
      </c>
      <c r="I1089" s="162" t="n">
        <v>4</v>
      </c>
      <c r="J1089" s="162" t="n">
        <v>2</v>
      </c>
      <c r="K1089" s="162" t="n">
        <v>4</v>
      </c>
      <c r="L1089" s="397" t="n">
        <v>3020</v>
      </c>
      <c r="M1089" s="113" t="n"/>
      <c r="N1089" s="113" t="n"/>
      <c r="O1089" s="113" t="n"/>
      <c r="P1089" s="398" t="n"/>
      <c r="Q1089" s="398" t="n"/>
      <c r="R1089" s="113" t="n"/>
      <c r="S1089" s="113" t="n"/>
      <c r="T1089" s="113" t="n"/>
      <c r="U1089" s="113" t="n"/>
      <c r="V1089" s="113" t="n"/>
    </row>
    <row r="1090" ht="15.75" customHeight="1">
      <c r="A1090" s="398" t="n">
        <v>21</v>
      </c>
      <c r="B1090" s="238" t="n"/>
      <c r="C1090" s="399" t="n">
        <v>46154</v>
      </c>
      <c r="D1090" s="162" t="inlineStr">
        <is>
          <t>200 G. GARCERAS</t>
        </is>
      </c>
      <c r="E1090" s="162" t="n">
        <v>47921</v>
      </c>
      <c r="F1090" s="162" t="inlineStr">
        <is>
          <t>ALBERTO LOPEZ</t>
        </is>
      </c>
      <c r="G1090" s="162" t="n">
        <v>3020</v>
      </c>
      <c r="H1090" s="162" t="n">
        <v>3020</v>
      </c>
      <c r="I1090" s="162" t="n">
        <v>4</v>
      </c>
      <c r="J1090" s="162" t="n">
        <v>1</v>
      </c>
      <c r="K1090" s="162" t="n">
        <v>5</v>
      </c>
      <c r="L1090" s="397" t="n">
        <v>3020</v>
      </c>
      <c r="M1090" s="113" t="n"/>
      <c r="N1090" s="113" t="n"/>
      <c r="O1090" s="113" t="n"/>
      <c r="P1090" s="398" t="n"/>
      <c r="Q1090" s="398" t="n"/>
      <c r="R1090" s="113" t="n"/>
      <c r="S1090" s="113" t="n"/>
      <c r="T1090" s="113" t="n"/>
      <c r="U1090" s="113" t="n"/>
      <c r="V1090" s="113" t="n"/>
    </row>
    <row r="1091" ht="15.75" customHeight="1">
      <c r="A1091" s="398" t="n">
        <v>21</v>
      </c>
      <c r="B1091" s="238" t="n"/>
      <c r="C1091" s="399" t="n">
        <v>46154</v>
      </c>
      <c r="D1091" s="162" t="inlineStr">
        <is>
          <t>200 G. GARCERAS</t>
        </is>
      </c>
      <c r="E1091" s="162" t="n">
        <v>47922</v>
      </c>
      <c r="F1091" s="162" t="inlineStr">
        <is>
          <t>HENRY ROMERO</t>
        </is>
      </c>
      <c r="G1091" s="162" t="n">
        <v>2670</v>
      </c>
      <c r="H1091" s="162" t="n">
        <v>2666</v>
      </c>
      <c r="I1091" s="162" t="n">
        <v>6</v>
      </c>
      <c r="J1091" s="162" t="n">
        <v>0</v>
      </c>
      <c r="K1091" s="162" t="n">
        <v>2</v>
      </c>
      <c r="L1091" s="397" t="n">
        <v>3364</v>
      </c>
      <c r="M1091" s="113" t="n"/>
      <c r="N1091" s="113" t="n"/>
      <c r="O1091" s="113" t="n"/>
      <c r="P1091" s="398" t="n"/>
      <c r="Q1091" s="398" t="n"/>
      <c r="R1091" s="113" t="n"/>
      <c r="S1091" s="113" t="n"/>
      <c r="T1091" s="113" t="n"/>
      <c r="U1091" s="113" t="n"/>
      <c r="V1091" s="113" t="n"/>
    </row>
    <row r="1092" ht="15.75" customHeight="1">
      <c r="A1092" s="398" t="n">
        <v>21</v>
      </c>
      <c r="B1092" s="238" t="n"/>
      <c r="C1092" s="399" t="n">
        <v>46154</v>
      </c>
      <c r="D1092" s="162" t="inlineStr">
        <is>
          <t>218 G. SAN JOSE 1</t>
        </is>
      </c>
      <c r="E1092" s="162" t="n">
        <v>47923</v>
      </c>
      <c r="F1092" s="162" t="inlineStr">
        <is>
          <t>JOSE SOLER</t>
        </is>
      </c>
      <c r="G1092" s="162" t="n">
        <v>3364</v>
      </c>
      <c r="H1092" s="162" t="n">
        <v>3344</v>
      </c>
      <c r="I1092" s="162" t="n">
        <v>1</v>
      </c>
      <c r="J1092" s="162" t="n">
        <v>6</v>
      </c>
      <c r="K1092" s="162" t="n">
        <v>-13</v>
      </c>
      <c r="L1092" s="397" t="n">
        <v>3564</v>
      </c>
      <c r="M1092" s="113" t="n"/>
      <c r="N1092" s="113" t="n"/>
      <c r="O1092" s="113" t="n"/>
      <c r="P1092" s="398" t="n"/>
      <c r="Q1092" s="398" t="n"/>
      <c r="R1092" s="113" t="n"/>
      <c r="S1092" s="113" t="n"/>
      <c r="T1092" s="113" t="n"/>
      <c r="U1092" s="113" t="n"/>
      <c r="V1092" s="113" t="n"/>
    </row>
    <row r="1093" ht="15.75" customHeight="1">
      <c r="A1093" s="398" t="n">
        <v>21</v>
      </c>
      <c r="B1093" s="238" t="n"/>
      <c r="C1093" s="399" t="n">
        <v>46154</v>
      </c>
      <c r="D1093" s="162" t="inlineStr">
        <is>
          <t>218 G. SAN JOSE 1</t>
        </is>
      </c>
      <c r="E1093" s="162" t="n">
        <v>47924</v>
      </c>
      <c r="F1093" s="162" t="inlineStr">
        <is>
          <t>FABIO ALDANA</t>
        </is>
      </c>
      <c r="G1093" s="162" t="n">
        <v>3564</v>
      </c>
      <c r="H1093" s="162" t="n">
        <v>3542</v>
      </c>
      <c r="I1093" s="162" t="n">
        <v>2</v>
      </c>
      <c r="J1093" s="162" t="n">
        <v>3</v>
      </c>
      <c r="K1093" s="162" t="n">
        <v>-17</v>
      </c>
      <c r="L1093" s="397" t="n">
        <v>1730</v>
      </c>
      <c r="M1093" s="113" t="n"/>
      <c r="N1093" s="113" t="n"/>
      <c r="O1093" s="113" t="n"/>
      <c r="P1093" s="398" t="n"/>
      <c r="Q1093" s="398" t="n"/>
      <c r="R1093" s="113" t="n"/>
      <c r="S1093" s="113" t="n"/>
      <c r="T1093" s="113" t="n"/>
      <c r="U1093" s="113" t="n"/>
      <c r="V1093" s="113" t="n"/>
    </row>
    <row r="1094" ht="15.75" customHeight="1">
      <c r="A1094" s="398" t="n">
        <v>21</v>
      </c>
      <c r="B1094" s="238" t="n"/>
      <c r="C1094" s="164" t="n">
        <v>46155</v>
      </c>
      <c r="D1094" s="165" t="inlineStr">
        <is>
          <t>202 G. HUERTAS</t>
        </is>
      </c>
      <c r="E1094" s="165" t="n">
        <v>207709</v>
      </c>
      <c r="F1094" s="165" t="inlineStr">
        <is>
          <t>JHON FREDY ECHEVERRIA</t>
        </is>
      </c>
      <c r="G1094" s="165" t="n">
        <v>2168</v>
      </c>
      <c r="H1094" s="165" t="n">
        <v>2158</v>
      </c>
      <c r="I1094" s="165" t="n">
        <v>1</v>
      </c>
      <c r="J1094" s="165" t="n">
        <v>4</v>
      </c>
      <c r="K1094" s="165" t="n">
        <v>-5</v>
      </c>
      <c r="L1094" s="397" t="n">
        <v>1730</v>
      </c>
      <c r="M1094" s="113" t="n"/>
      <c r="N1094" s="113" t="n"/>
      <c r="O1094" s="113" t="n"/>
      <c r="P1094" s="398" t="n"/>
      <c r="Q1094" s="398" t="n"/>
      <c r="R1094" s="113" t="n"/>
      <c r="S1094" s="113" t="n"/>
      <c r="T1094" s="113" t="n"/>
      <c r="U1094" s="113" t="n"/>
      <c r="V1094" s="113" t="n"/>
    </row>
    <row r="1095" ht="15.75" customHeight="1">
      <c r="A1095" s="398" t="n">
        <v>21</v>
      </c>
      <c r="B1095" s="238" t="n"/>
      <c r="C1095" s="399" t="n">
        <v>46155</v>
      </c>
      <c r="D1095" s="162" t="inlineStr">
        <is>
          <t>218 G. SAN JOSE 1</t>
        </is>
      </c>
      <c r="E1095" s="162" t="n">
        <v>47926</v>
      </c>
      <c r="F1095" s="162" t="inlineStr">
        <is>
          <t>ROBINSON PULIDO</t>
        </is>
      </c>
      <c r="G1095" s="162" t="n">
        <v>2560</v>
      </c>
      <c r="H1095" s="162" t="n">
        <v>2537</v>
      </c>
      <c r="I1095" s="162" t="n">
        <v>4</v>
      </c>
      <c r="J1095" s="162" t="n">
        <v>12</v>
      </c>
      <c r="K1095" s="162" t="n">
        <v>-7</v>
      </c>
      <c r="L1095" s="397" t="n">
        <v>3200</v>
      </c>
      <c r="M1095" s="113" t="n"/>
      <c r="N1095" s="113" t="n"/>
      <c r="O1095" s="113" t="n"/>
      <c r="P1095" s="398" t="n"/>
      <c r="Q1095" s="398" t="n"/>
      <c r="R1095" s="113" t="n"/>
      <c r="S1095" s="113" t="n"/>
      <c r="T1095" s="113" t="n"/>
      <c r="U1095" s="113" t="n"/>
      <c r="V1095" s="113" t="n"/>
    </row>
    <row r="1096" ht="15.75" customHeight="1">
      <c r="A1096" s="398" t="n">
        <v>21</v>
      </c>
      <c r="B1096" s="238" t="n"/>
      <c r="C1096" s="399" t="n">
        <v>46155</v>
      </c>
      <c r="D1096" s="162" t="inlineStr">
        <is>
          <t>218 G. SAN JOSE 1</t>
        </is>
      </c>
      <c r="E1096" s="162" t="n">
        <v>47927</v>
      </c>
      <c r="F1096" s="162" t="inlineStr">
        <is>
          <t>DIEGO VEGA</t>
        </is>
      </c>
      <c r="G1096" s="162" t="n">
        <v>3660</v>
      </c>
      <c r="H1096" s="162" t="n">
        <v>3633</v>
      </c>
      <c r="I1096" s="162" t="n">
        <v>8</v>
      </c>
      <c r="J1096" s="162" t="n">
        <v>3</v>
      </c>
      <c r="K1096" s="162" t="n">
        <v>-16</v>
      </c>
      <c r="L1096" s="397" t="n">
        <v>3200</v>
      </c>
      <c r="M1096" s="113" t="n"/>
      <c r="N1096" s="113" t="n"/>
      <c r="O1096" s="113" t="n"/>
      <c r="P1096" s="398" t="n"/>
      <c r="Q1096" s="398" t="n"/>
      <c r="R1096" s="113" t="n"/>
      <c r="S1096" s="113" t="n"/>
      <c r="T1096" s="113" t="n"/>
      <c r="U1096" s="113" t="n"/>
      <c r="V1096" s="113" t="n"/>
    </row>
    <row r="1097" ht="15.75" customHeight="1">
      <c r="A1097" s="398" t="n">
        <v>21</v>
      </c>
      <c r="B1097" s="238" t="n"/>
      <c r="C1097" s="399" t="n">
        <v>46155</v>
      </c>
      <c r="D1097" s="162" t="inlineStr">
        <is>
          <t>218 G. SAN JOSE 1</t>
        </is>
      </c>
      <c r="E1097" s="162" t="n">
        <v>47928</v>
      </c>
      <c r="F1097" s="162" t="inlineStr">
        <is>
          <t>EDUAN CAVIEDES</t>
        </is>
      </c>
      <c r="G1097" s="162" t="n">
        <v>3264</v>
      </c>
      <c r="H1097" s="162" t="n">
        <v>3258</v>
      </c>
      <c r="I1097" s="162" t="n">
        <v>5</v>
      </c>
      <c r="J1097" s="162" t="n">
        <v>2</v>
      </c>
      <c r="K1097" s="162" t="n">
        <v>1</v>
      </c>
      <c r="L1097" s="397" t="n">
        <v>3200</v>
      </c>
      <c r="M1097" s="113" t="n"/>
      <c r="N1097" s="113" t="n"/>
      <c r="O1097" s="113" t="n"/>
      <c r="P1097" s="398" t="n"/>
      <c r="Q1097" s="398" t="n"/>
      <c r="R1097" s="113" t="n"/>
      <c r="S1097" s="113" t="n"/>
      <c r="T1097" s="113" t="n"/>
      <c r="U1097" s="113" t="n"/>
      <c r="V1097" s="113" t="n"/>
    </row>
    <row r="1098" ht="15.75" customHeight="1">
      <c r="A1098" s="398" t="n">
        <v>21</v>
      </c>
      <c r="B1098" s="238" t="n"/>
      <c r="C1098" s="399" t="n">
        <v>46155</v>
      </c>
      <c r="D1098" s="162" t="inlineStr">
        <is>
          <t>218 G. SAN JOSE 1</t>
        </is>
      </c>
      <c r="E1098" s="162" t="n">
        <v>47929</v>
      </c>
      <c r="F1098" s="162" t="inlineStr">
        <is>
          <t>FERNANDO OYUELA</t>
        </is>
      </c>
      <c r="G1098" s="162" t="n">
        <v>3240</v>
      </c>
      <c r="H1098" s="162" t="n">
        <v>3235</v>
      </c>
      <c r="I1098" s="162" t="n">
        <v>1</v>
      </c>
      <c r="J1098" s="162" t="n">
        <v>4</v>
      </c>
      <c r="K1098" s="162" t="n">
        <v>0</v>
      </c>
      <c r="L1098" s="397" t="n">
        <v>3264</v>
      </c>
      <c r="M1098" s="113" t="n"/>
      <c r="N1098" s="113" t="n"/>
      <c r="O1098" s="113" t="n"/>
      <c r="P1098" s="398" t="n"/>
      <c r="Q1098" s="398" t="n"/>
      <c r="R1098" s="113" t="n"/>
      <c r="S1098" s="113" t="n"/>
      <c r="T1098" s="113" t="n"/>
      <c r="U1098" s="113" t="n"/>
      <c r="V1098" s="113" t="n"/>
    </row>
    <row r="1099" ht="15.75" customHeight="1">
      <c r="A1099" s="398" t="n">
        <v>21</v>
      </c>
      <c r="B1099" s="238" t="n"/>
      <c r="C1099" s="399" t="n">
        <v>46155</v>
      </c>
      <c r="D1099" s="162" t="inlineStr">
        <is>
          <t>218 G. SAN JOSE 1</t>
        </is>
      </c>
      <c r="E1099" s="162" t="n">
        <v>47930</v>
      </c>
      <c r="F1099" s="162" t="inlineStr">
        <is>
          <t>WILMER PIÑEROS</t>
        </is>
      </c>
      <c r="G1099" s="162" t="n">
        <v>3240</v>
      </c>
      <c r="H1099" s="162" t="n">
        <v>3237</v>
      </c>
      <c r="I1099" s="162" t="n">
        <v>2</v>
      </c>
      <c r="J1099" s="162" t="n">
        <v>1</v>
      </c>
      <c r="K1099" s="162" t="n">
        <v>0</v>
      </c>
      <c r="L1099" s="397" t="n">
        <v>3660</v>
      </c>
      <c r="M1099" s="113" t="n"/>
      <c r="N1099" s="113" t="n"/>
      <c r="O1099" s="113" t="n"/>
      <c r="P1099" s="398" t="n"/>
      <c r="Q1099" s="398" t="n"/>
      <c r="R1099" s="113" t="n"/>
      <c r="S1099" s="113" t="n"/>
      <c r="T1099" s="113" t="n"/>
      <c r="U1099" s="113" t="n"/>
      <c r="V1099" s="113" t="n"/>
    </row>
    <row r="1100" ht="15.75" customHeight="1">
      <c r="A1100" s="398" t="n">
        <v>21</v>
      </c>
      <c r="B1100" s="238" t="n"/>
      <c r="C1100" s="399" t="n">
        <v>46155</v>
      </c>
      <c r="D1100" s="162" t="inlineStr">
        <is>
          <t>200 G. GARCERAS</t>
        </is>
      </c>
      <c r="E1100" s="162" t="n">
        <v>47925</v>
      </c>
      <c r="F1100" s="162" t="inlineStr">
        <is>
          <t>ALBERTO LOPEZ</t>
        </is>
      </c>
      <c r="G1100" s="162" t="n">
        <v>3200</v>
      </c>
      <c r="H1100" s="162" t="n">
        <v>3197</v>
      </c>
      <c r="I1100" s="162" t="n">
        <v>3</v>
      </c>
      <c r="J1100" s="162" t="n">
        <v>3</v>
      </c>
      <c r="K1100" s="162" t="n">
        <v>3</v>
      </c>
      <c r="L1100" s="397" t="n">
        <v>2560</v>
      </c>
      <c r="M1100" s="113" t="n"/>
      <c r="N1100" s="113" t="n"/>
      <c r="O1100" s="113" t="n"/>
      <c r="P1100" s="398" t="n"/>
      <c r="Q1100" s="398" t="n"/>
      <c r="R1100" s="113" t="n"/>
      <c r="S1100" s="113" t="n"/>
      <c r="T1100" s="113" t="n"/>
      <c r="U1100" s="113" t="n"/>
      <c r="V1100" s="113" t="n"/>
    </row>
    <row r="1101" ht="15.75" customHeight="1">
      <c r="A1101" s="398" t="n">
        <v>21</v>
      </c>
      <c r="B1101" s="238" t="n"/>
      <c r="C1101" s="164" t="n">
        <v>46156</v>
      </c>
      <c r="D1101" s="166" t="inlineStr">
        <is>
          <t>202 G.HUERTAS</t>
        </is>
      </c>
      <c r="E1101" s="166" t="n">
        <v>73148</v>
      </c>
      <c r="F1101" s="166" t="inlineStr">
        <is>
          <t>DAVID GOMEZ</t>
        </is>
      </c>
      <c r="G1101" s="166" t="n">
        <v>2164</v>
      </c>
      <c r="H1101" s="166" t="n">
        <v>2163</v>
      </c>
      <c r="I1101" s="166" t="n">
        <v>0</v>
      </c>
      <c r="J1101" s="166" t="n">
        <v>0</v>
      </c>
      <c r="K1101" s="166" t="n">
        <v>-1</v>
      </c>
      <c r="L1101" s="397" t="n">
        <v>2168</v>
      </c>
      <c r="M1101" s="113" t="n"/>
      <c r="N1101" s="113" t="n"/>
      <c r="O1101" s="113" t="n"/>
      <c r="P1101" s="398" t="n"/>
      <c r="Q1101" s="398" t="n"/>
      <c r="R1101" s="113" t="n"/>
      <c r="S1101" s="113" t="n"/>
      <c r="T1101" s="113" t="n"/>
      <c r="U1101" s="113" t="n"/>
      <c r="V1101" s="113" t="n"/>
    </row>
    <row r="1102" ht="15.75" customHeight="1">
      <c r="A1102" s="398" t="n">
        <v>21</v>
      </c>
      <c r="B1102" s="238" t="n"/>
      <c r="C1102" s="164" t="n">
        <v>46156</v>
      </c>
      <c r="D1102" s="166" t="inlineStr">
        <is>
          <t>202 G. HUERTAS</t>
        </is>
      </c>
      <c r="E1102" s="166" t="n">
        <v>207734</v>
      </c>
      <c r="F1102" s="166" t="inlineStr">
        <is>
          <t>PEDRO IGNACIO BARRETO CUESTA</t>
        </is>
      </c>
      <c r="G1102" s="166" t="n">
        <v>2309</v>
      </c>
      <c r="H1102" s="166" t="n">
        <v>2306</v>
      </c>
      <c r="I1102" s="166" t="n">
        <v>2</v>
      </c>
      <c r="J1102" s="166" t="n">
        <v>9</v>
      </c>
      <c r="K1102" s="166" t="n">
        <v>8</v>
      </c>
      <c r="L1102" s="397" t="n">
        <v>2164</v>
      </c>
      <c r="M1102" s="113" t="n"/>
      <c r="N1102" s="113" t="n"/>
      <c r="O1102" s="113" t="n"/>
      <c r="P1102" s="398" t="n"/>
      <c r="Q1102" s="398" t="n"/>
      <c r="R1102" s="113" t="n"/>
      <c r="S1102" s="113" t="n"/>
      <c r="T1102" s="113" t="n"/>
      <c r="U1102" s="113" t="n"/>
      <c r="V1102" s="113" t="n"/>
    </row>
    <row r="1103" ht="15.75" customHeight="1">
      <c r="A1103" s="398" t="n">
        <v>21</v>
      </c>
      <c r="B1103" s="238" t="n"/>
      <c r="C1103" s="399" t="n">
        <v>46156</v>
      </c>
      <c r="D1103" s="162" t="inlineStr">
        <is>
          <t>200 G. GARCERAS</t>
        </is>
      </c>
      <c r="E1103" s="162" t="n">
        <v>47941</v>
      </c>
      <c r="F1103" s="162" t="inlineStr">
        <is>
          <t>WILMER PIÑEROS</t>
        </is>
      </c>
      <c r="G1103" s="162" t="n">
        <v>3120</v>
      </c>
      <c r="H1103" s="162" t="n">
        <v>3114</v>
      </c>
      <c r="I1103" s="162" t="n">
        <v>3</v>
      </c>
      <c r="J1103" s="162" t="n">
        <v>2</v>
      </c>
      <c r="K1103" s="162" t="n">
        <v>-1</v>
      </c>
      <c r="L1103" s="397" t="n">
        <v>3120</v>
      </c>
      <c r="M1103" s="113" t="n"/>
      <c r="N1103" s="113" t="n"/>
      <c r="O1103" s="113" t="n"/>
      <c r="P1103" s="398" t="n"/>
      <c r="Q1103" s="398" t="n"/>
      <c r="R1103" s="113" t="n"/>
      <c r="S1103" s="113" t="n"/>
      <c r="T1103" s="113" t="n"/>
      <c r="U1103" s="113" t="n"/>
      <c r="V1103" s="113" t="n"/>
    </row>
    <row r="1104" ht="15.75" customHeight="1">
      <c r="A1104" s="398" t="n">
        <v>21</v>
      </c>
      <c r="B1104" s="238" t="n"/>
      <c r="C1104" s="399" t="n">
        <v>46156</v>
      </c>
      <c r="D1104" s="162" t="inlineStr">
        <is>
          <t>200 G. GARCERAS</t>
        </is>
      </c>
      <c r="E1104" s="162" t="n">
        <v>47942</v>
      </c>
      <c r="F1104" s="162" t="inlineStr">
        <is>
          <t>ALBERTO LOPEZ</t>
        </is>
      </c>
      <c r="G1104" s="162" t="n">
        <v>3120</v>
      </c>
      <c r="H1104" s="162" t="n">
        <v>3118</v>
      </c>
      <c r="I1104" s="162" t="n">
        <v>3</v>
      </c>
      <c r="J1104" s="162" t="n">
        <v>1</v>
      </c>
      <c r="K1104" s="162" t="n">
        <v>2</v>
      </c>
      <c r="L1104" s="397" t="n">
        <v>3120</v>
      </c>
      <c r="M1104" s="113" t="n"/>
      <c r="N1104" s="113" t="n"/>
      <c r="O1104" s="113" t="n"/>
      <c r="P1104" s="398" t="n"/>
      <c r="Q1104" s="398" t="n"/>
      <c r="R1104" s="113" t="n"/>
      <c r="S1104" s="113" t="n"/>
      <c r="T1104" s="113" t="n"/>
      <c r="U1104" s="113" t="n"/>
      <c r="V1104" s="113" t="n"/>
    </row>
    <row r="1105" ht="15.75" customHeight="1">
      <c r="A1105" s="398" t="n">
        <v>21</v>
      </c>
      <c r="B1105" s="238" t="n"/>
      <c r="C1105" s="399" t="n">
        <v>46156</v>
      </c>
      <c r="D1105" s="162" t="inlineStr">
        <is>
          <t>200 G. GARCERAS</t>
        </is>
      </c>
      <c r="E1105" s="162" t="n">
        <v>47943</v>
      </c>
      <c r="F1105" s="162" t="inlineStr">
        <is>
          <t>MANUEL QUITIAN</t>
        </is>
      </c>
      <c r="G1105" s="162" t="n">
        <v>3120</v>
      </c>
      <c r="H1105" s="162" t="n">
        <v>3112</v>
      </c>
      <c r="I1105" s="162" t="n">
        <v>2</v>
      </c>
      <c r="J1105" s="162" t="n">
        <v>3</v>
      </c>
      <c r="K1105" s="162" t="n">
        <v>-3</v>
      </c>
      <c r="L1105" s="397" t="n">
        <v>3140</v>
      </c>
      <c r="M1105" s="113" t="n"/>
      <c r="N1105" s="113" t="n"/>
      <c r="O1105" s="113" t="n"/>
      <c r="P1105" s="398" t="n"/>
      <c r="Q1105" s="398" t="n"/>
      <c r="R1105" s="113" t="n"/>
      <c r="S1105" s="113" t="n"/>
      <c r="T1105" s="113" t="n"/>
      <c r="U1105" s="113" t="n"/>
      <c r="V1105" s="113" t="n"/>
    </row>
    <row r="1106" ht="15.75" customHeight="1">
      <c r="A1106" s="398" t="n">
        <v>21</v>
      </c>
      <c r="B1106" s="238" t="n"/>
      <c r="C1106" s="399" t="n">
        <v>46156</v>
      </c>
      <c r="D1106" s="162" t="inlineStr">
        <is>
          <t>200 G. GARCERAS</t>
        </is>
      </c>
      <c r="E1106" s="162" t="n">
        <v>47944</v>
      </c>
      <c r="F1106" s="162" t="inlineStr">
        <is>
          <t>JOSE SOLER</t>
        </is>
      </c>
      <c r="G1106" s="162" t="n">
        <v>3120</v>
      </c>
      <c r="H1106" s="162" t="n">
        <v>3119</v>
      </c>
      <c r="I1106" s="162" t="n">
        <v>1</v>
      </c>
      <c r="J1106" s="162" t="n">
        <v>1</v>
      </c>
      <c r="K1106" s="162" t="n">
        <v>1</v>
      </c>
      <c r="L1106" s="397" t="n">
        <v>3120</v>
      </c>
      <c r="M1106" s="113" t="n"/>
      <c r="N1106" s="113" t="n"/>
      <c r="O1106" s="113" t="n"/>
      <c r="P1106" s="398" t="n"/>
      <c r="Q1106" s="398" t="n"/>
      <c r="R1106" s="113" t="n"/>
      <c r="S1106" s="113" t="n"/>
      <c r="T1106" s="113" t="n"/>
      <c r="U1106" s="113" t="n"/>
      <c r="V1106" s="113" t="n"/>
    </row>
    <row r="1107" ht="15.75" customHeight="1">
      <c r="A1107" s="398" t="n">
        <v>21</v>
      </c>
      <c r="B1107" s="238" t="n"/>
      <c r="C1107" s="399" t="n">
        <v>46156</v>
      </c>
      <c r="D1107" s="162" t="inlineStr">
        <is>
          <t>200 G. GARCERAS</t>
        </is>
      </c>
      <c r="E1107" s="162" t="n">
        <v>47945</v>
      </c>
      <c r="F1107" s="162" t="inlineStr">
        <is>
          <t>DUMAR ANGARITA</t>
        </is>
      </c>
      <c r="G1107" s="162" t="n">
        <v>3120</v>
      </c>
      <c r="H1107" s="162" t="n">
        <v>3147</v>
      </c>
      <c r="I1107" s="162" t="n">
        <v>2</v>
      </c>
      <c r="J1107" s="162" t="n">
        <v>3</v>
      </c>
      <c r="K1107" s="162" t="n">
        <v>32</v>
      </c>
      <c r="L1107" s="397" t="n">
        <v>3120</v>
      </c>
      <c r="M1107" s="113" t="n"/>
      <c r="N1107" s="113" t="n"/>
      <c r="O1107" s="113" t="n"/>
      <c r="P1107" s="398" t="n"/>
      <c r="Q1107" s="398" t="n"/>
      <c r="R1107" s="113" t="n"/>
      <c r="S1107" s="113" t="n"/>
      <c r="T1107" s="113" t="n"/>
      <c r="U1107" s="113" t="n"/>
      <c r="V1107" s="113" t="n"/>
    </row>
    <row r="1108" ht="15.75" customHeight="1">
      <c r="A1108" s="398" t="n">
        <v>21</v>
      </c>
      <c r="B1108" s="238" t="n"/>
      <c r="C1108" s="399" t="n">
        <v>46156</v>
      </c>
      <c r="D1108" s="162" t="inlineStr">
        <is>
          <t>218 G. SAN JOSE 1</t>
        </is>
      </c>
      <c r="E1108" s="162" t="n">
        <v>47946</v>
      </c>
      <c r="F1108" s="162" t="inlineStr">
        <is>
          <t>DIEGO VEGA</t>
        </is>
      </c>
      <c r="G1108" s="162" t="n">
        <v>3240</v>
      </c>
      <c r="H1108" s="162" t="n">
        <v>3239</v>
      </c>
      <c r="I1108" s="162" t="n">
        <v>2</v>
      </c>
      <c r="J1108" s="162" t="n">
        <v>2</v>
      </c>
      <c r="K1108" s="162" t="n">
        <v>3</v>
      </c>
      <c r="L1108" s="397" t="n">
        <v>3120</v>
      </c>
      <c r="M1108" s="113" t="n"/>
      <c r="N1108" s="113" t="n"/>
      <c r="O1108" s="113" t="n"/>
      <c r="P1108" s="398" t="n"/>
      <c r="Q1108" s="398" t="n"/>
      <c r="R1108" s="113" t="n"/>
      <c r="S1108" s="113" t="n"/>
      <c r="T1108" s="113" t="n"/>
      <c r="U1108" s="113" t="n"/>
      <c r="V1108" s="113" t="n"/>
    </row>
    <row r="1109" ht="15.75" customHeight="1">
      <c r="A1109" s="398" t="n">
        <v>21</v>
      </c>
      <c r="B1109" s="238" t="n"/>
      <c r="C1109" s="399" t="n">
        <v>46156</v>
      </c>
      <c r="D1109" s="162" t="inlineStr">
        <is>
          <t>218 G. SAN JOSE 1</t>
        </is>
      </c>
      <c r="E1109" s="162" t="n">
        <v>47947</v>
      </c>
      <c r="F1109" s="162" t="inlineStr">
        <is>
          <t>DIEGO NIÑO</t>
        </is>
      </c>
      <c r="G1109" s="162" t="n">
        <v>2700</v>
      </c>
      <c r="H1109" s="162" t="n">
        <v>2703</v>
      </c>
      <c r="I1109" s="162" t="n">
        <v>1</v>
      </c>
      <c r="J1109" s="162" t="n">
        <v>1</v>
      </c>
      <c r="K1109" s="162" t="n">
        <v>5</v>
      </c>
      <c r="L1109" s="397" t="n">
        <v>3120</v>
      </c>
      <c r="M1109" s="113" t="n"/>
      <c r="N1109" s="113" t="n"/>
      <c r="O1109" s="113" t="n"/>
      <c r="P1109" s="398" t="n"/>
      <c r="Q1109" s="398" t="n"/>
      <c r="R1109" s="113" t="n"/>
      <c r="S1109" s="113" t="n"/>
      <c r="T1109" s="113" t="n"/>
      <c r="U1109" s="113" t="n"/>
      <c r="V1109" s="113" t="n"/>
    </row>
    <row r="1110" ht="15.75" customHeight="1">
      <c r="A1110" s="398" t="n">
        <v>21</v>
      </c>
      <c r="B1110" s="238" t="n"/>
      <c r="C1110" s="399" t="n">
        <v>46156</v>
      </c>
      <c r="D1110" s="162" t="inlineStr">
        <is>
          <t>218 G. SAN JOSE 1</t>
        </is>
      </c>
      <c r="E1110" s="162" t="n">
        <v>47948</v>
      </c>
      <c r="F1110" s="162" t="inlineStr">
        <is>
          <t>HENRY ROMERO</t>
        </is>
      </c>
      <c r="G1110" s="162" t="n">
        <v>2700</v>
      </c>
      <c r="H1110" s="162" t="n">
        <v>2697</v>
      </c>
      <c r="I1110" s="162" t="n">
        <v>2</v>
      </c>
      <c r="J1110" s="162" t="n">
        <v>3</v>
      </c>
      <c r="K1110" s="162" t="n">
        <v>2</v>
      </c>
      <c r="L1110" s="397" t="n">
        <v>3020</v>
      </c>
      <c r="M1110" s="113" t="n"/>
      <c r="N1110" s="113" t="n"/>
      <c r="O1110" s="113" t="n"/>
      <c r="P1110" s="398" t="n"/>
      <c r="Q1110" s="398" t="n"/>
      <c r="R1110" s="113" t="n"/>
      <c r="S1110" s="113" t="n"/>
      <c r="T1110" s="113" t="n"/>
      <c r="U1110" s="113" t="n"/>
      <c r="V1110" s="113" t="n"/>
    </row>
    <row r="1111" ht="15.75" customHeight="1">
      <c r="A1111" s="398" t="n">
        <v>21</v>
      </c>
      <c r="B1111" s="238" t="n"/>
      <c r="C1111" s="399" t="n">
        <v>46156</v>
      </c>
      <c r="D1111" s="162" t="inlineStr">
        <is>
          <t>218 G. SAN JOSE 1</t>
        </is>
      </c>
      <c r="E1111" s="162" t="n">
        <v>47949</v>
      </c>
      <c r="F1111" s="162" t="inlineStr">
        <is>
          <t>ALEZ GOMEZ</t>
        </is>
      </c>
      <c r="G1111" s="162" t="n">
        <v>3240</v>
      </c>
      <c r="H1111" s="162" t="n">
        <v>3216</v>
      </c>
      <c r="I1111" s="162" t="n">
        <v>0</v>
      </c>
      <c r="J1111" s="162" t="n">
        <v>2</v>
      </c>
      <c r="K1111" s="162" t="n">
        <v>-22</v>
      </c>
      <c r="L1111" s="397" t="n">
        <v>3240</v>
      </c>
      <c r="M1111" s="113" t="n"/>
      <c r="N1111" s="113" t="n"/>
      <c r="O1111" s="113" t="n"/>
      <c r="P1111" s="398" t="n"/>
      <c r="Q1111" s="398" t="n"/>
      <c r="R1111" s="113" t="n"/>
      <c r="S1111" s="113" t="n"/>
      <c r="T1111" s="113" t="n"/>
      <c r="U1111" s="113" t="n"/>
      <c r="V1111" s="113" t="n"/>
    </row>
    <row r="1112" ht="15.75" customHeight="1">
      <c r="A1112" s="398" t="n">
        <v>21</v>
      </c>
      <c r="B1112" s="238" t="n"/>
      <c r="C1112" s="399" t="n">
        <v>46156</v>
      </c>
      <c r="D1112" s="162" t="inlineStr">
        <is>
          <t>218 G. SAN JOSE 1</t>
        </is>
      </c>
      <c r="E1112" s="162" t="n">
        <v>47950</v>
      </c>
      <c r="F1112" s="162" t="inlineStr">
        <is>
          <t>EDWIN ROJAS</t>
        </is>
      </c>
      <c r="G1112" s="162" t="n">
        <v>3417</v>
      </c>
      <c r="H1112" s="162" t="n">
        <v>3384</v>
      </c>
      <c r="I1112" s="162" t="n">
        <v>2</v>
      </c>
      <c r="J1112" s="162" t="n">
        <v>8</v>
      </c>
      <c r="K1112" s="162" t="n">
        <v>-23</v>
      </c>
      <c r="L1112" s="397" t="n">
        <v>2700</v>
      </c>
      <c r="M1112" s="113" t="n"/>
      <c r="N1112" s="113" t="n"/>
      <c r="O1112" s="113" t="n"/>
      <c r="P1112" s="398" t="n"/>
      <c r="Q1112" s="398" t="n"/>
      <c r="R1112" s="113" t="n"/>
      <c r="S1112" s="113" t="n"/>
      <c r="T1112" s="113" t="n"/>
      <c r="U1112" s="113" t="n"/>
      <c r="V1112" s="113" t="n"/>
    </row>
    <row r="1113" ht="15.75" customHeight="1">
      <c r="A1113" s="398" t="n">
        <v>21</v>
      </c>
      <c r="B1113" s="238" t="n"/>
      <c r="C1113" s="399" t="n">
        <v>46156</v>
      </c>
      <c r="D1113" s="162" t="inlineStr">
        <is>
          <t>200 G. GARCERAS</t>
        </is>
      </c>
      <c r="E1113" s="162" t="n">
        <v>47938</v>
      </c>
      <c r="F1113" s="162" t="inlineStr">
        <is>
          <t>FERNANDO OYUELA</t>
        </is>
      </c>
      <c r="G1113" s="162" t="n">
        <v>3140</v>
      </c>
      <c r="H1113" s="162" t="n">
        <v>3130</v>
      </c>
      <c r="I1113" s="162" t="n">
        <v>9</v>
      </c>
      <c r="J1113" s="162" t="n">
        <v>5</v>
      </c>
      <c r="K1113" s="162" t="n">
        <v>4</v>
      </c>
      <c r="L1113" s="397" t="n">
        <v>2700</v>
      </c>
      <c r="M1113" s="113" t="n"/>
      <c r="N1113" s="113" t="n"/>
      <c r="O1113" s="113" t="n"/>
      <c r="P1113" s="398" t="n"/>
      <c r="Q1113" s="398" t="n"/>
      <c r="R1113" s="113" t="n"/>
      <c r="S1113" s="113" t="n"/>
      <c r="T1113" s="113" t="n"/>
      <c r="U1113" s="113" t="n"/>
      <c r="V1113" s="113" t="n"/>
    </row>
    <row r="1114" ht="15.75" customHeight="1">
      <c r="A1114" s="398" t="n">
        <v>21</v>
      </c>
      <c r="B1114" s="238" t="n"/>
      <c r="C1114" s="399" t="n">
        <v>46156</v>
      </c>
      <c r="D1114" s="162" t="inlineStr">
        <is>
          <t>200 G. GARCERAS</t>
        </is>
      </c>
      <c r="E1114" s="162" t="n">
        <v>47939</v>
      </c>
      <c r="F1114" s="162" t="inlineStr">
        <is>
          <t>ROBINSON PULIDO</t>
        </is>
      </c>
      <c r="G1114" s="162" t="n">
        <v>3120</v>
      </c>
      <c r="H1114" s="162" t="n">
        <v>3115</v>
      </c>
      <c r="I1114" s="162" t="n">
        <v>9</v>
      </c>
      <c r="J1114" s="162" t="n">
        <v>6</v>
      </c>
      <c r="K1114" s="162" t="n">
        <v>10</v>
      </c>
      <c r="L1114" s="397" t="n">
        <v>3240</v>
      </c>
      <c r="M1114" s="113" t="n"/>
      <c r="N1114" s="113" t="n"/>
      <c r="O1114" s="113" t="n"/>
      <c r="P1114" s="398" t="n"/>
      <c r="Q1114" s="398" t="n"/>
      <c r="R1114" s="113" t="n"/>
      <c r="S1114" s="113" t="n"/>
      <c r="T1114" s="113" t="n"/>
      <c r="U1114" s="113" t="n"/>
      <c r="V1114" s="113" t="n"/>
    </row>
    <row r="1115" ht="15.75" customHeight="1">
      <c r="A1115" s="398" t="n">
        <v>21</v>
      </c>
      <c r="B1115" s="238" t="n"/>
      <c r="C1115" s="399" t="n">
        <v>46156</v>
      </c>
      <c r="D1115" s="162" t="inlineStr">
        <is>
          <t>200 G. GARCERAS</t>
        </is>
      </c>
      <c r="E1115" s="162" t="n">
        <v>47940</v>
      </c>
      <c r="F1115" s="162" t="inlineStr">
        <is>
          <t>ALBERTO HERRERA</t>
        </is>
      </c>
      <c r="G1115" s="162" t="n">
        <v>3120</v>
      </c>
      <c r="H1115" s="162" t="n">
        <v>3116</v>
      </c>
      <c r="I1115" s="162" t="n">
        <v>9</v>
      </c>
      <c r="J1115" s="162" t="n">
        <v>3</v>
      </c>
      <c r="K1115" s="162" t="n">
        <v>8</v>
      </c>
      <c r="L1115" s="397" t="n">
        <v>3417</v>
      </c>
      <c r="M1115" s="113" t="n"/>
      <c r="N1115" s="113" t="n"/>
      <c r="O1115" s="113" t="n"/>
      <c r="P1115" s="398" t="n"/>
      <c r="Q1115" s="398" t="n"/>
      <c r="R1115" s="113" t="n"/>
      <c r="S1115" s="113" t="n"/>
      <c r="T1115" s="113" t="n"/>
      <c r="U1115" s="113" t="n"/>
      <c r="V1115" s="113" t="n"/>
    </row>
    <row r="1116" ht="15.75" customHeight="1">
      <c r="A1116" s="398" t="n">
        <v>21</v>
      </c>
      <c r="B1116" s="238" t="n"/>
      <c r="C1116" s="164" t="n">
        <v>46157</v>
      </c>
      <c r="D1116" s="166" t="inlineStr">
        <is>
          <t>202 G.HUERTAS</t>
        </is>
      </c>
      <c r="E1116" s="166" t="n">
        <v>116906</v>
      </c>
      <c r="F1116" s="166" t="inlineStr">
        <is>
          <t>LUIS GERMAN QUITIAN PEÑA</t>
        </is>
      </c>
      <c r="G1116" s="166" t="n">
        <v>2124</v>
      </c>
      <c r="H1116" s="166" t="n">
        <v>2139</v>
      </c>
      <c r="I1116" s="166" t="n">
        <v>3</v>
      </c>
      <c r="J1116" s="166" t="n">
        <v>35</v>
      </c>
      <c r="K1116" s="166" t="n">
        <v>53</v>
      </c>
      <c r="L1116" s="397" t="n">
        <v>2124</v>
      </c>
      <c r="M1116" s="113" t="n"/>
      <c r="N1116" s="113" t="n"/>
      <c r="O1116" s="113" t="n"/>
      <c r="P1116" s="398" t="n"/>
      <c r="Q1116" s="398" t="n"/>
      <c r="R1116" s="113" t="n"/>
      <c r="S1116" s="113" t="n"/>
      <c r="T1116" s="113" t="n"/>
      <c r="U1116" s="113" t="n"/>
      <c r="V1116" s="113" t="n"/>
    </row>
    <row r="1117" ht="15.75" customHeight="1">
      <c r="A1117" s="398" t="n">
        <v>21</v>
      </c>
      <c r="B1117" s="238" t="n"/>
      <c r="C1117" s="164" t="n">
        <v>46157</v>
      </c>
      <c r="D1117" s="166" t="inlineStr">
        <is>
          <t>202 G.HUERTAS</t>
        </is>
      </c>
      <c r="E1117" s="166" t="n">
        <v>73162</v>
      </c>
      <c r="F1117" s="166" t="inlineStr">
        <is>
          <t>MARCO LOPEZ</t>
        </is>
      </c>
      <c r="G1117" s="166" t="n">
        <v>3112</v>
      </c>
      <c r="H1117" s="166" t="n">
        <v>2810</v>
      </c>
      <c r="I1117" s="166" t="n">
        <v>292</v>
      </c>
      <c r="J1117" s="166" t="n">
        <v>0</v>
      </c>
      <c r="K1117" s="166" t="n">
        <v>-10</v>
      </c>
      <c r="L1117" s="397" t="n">
        <v>2309</v>
      </c>
      <c r="M1117" s="113" t="n"/>
      <c r="N1117" s="113" t="n"/>
      <c r="O1117" s="113" t="n"/>
      <c r="P1117" s="398" t="n"/>
      <c r="Q1117" s="398" t="n"/>
      <c r="R1117" s="113" t="n"/>
      <c r="S1117" s="113" t="n"/>
      <c r="T1117" s="113" t="n"/>
      <c r="U1117" s="113" t="n"/>
      <c r="V1117" s="113" t="n"/>
    </row>
    <row r="1118" ht="15.75" customHeight="1">
      <c r="A1118" s="398" t="n">
        <v>21</v>
      </c>
      <c r="B1118" s="238" t="n"/>
      <c r="C1118" s="164" t="n">
        <v>46157</v>
      </c>
      <c r="D1118" s="166" t="inlineStr">
        <is>
          <t>202 G.HUERTAS-LA MANIGUA</t>
        </is>
      </c>
      <c r="E1118" s="166" t="n">
        <v>47957</v>
      </c>
      <c r="F1118" s="166" t="inlineStr">
        <is>
          <t>ALBERTO LOPEZ</t>
        </is>
      </c>
      <c r="G1118" s="166" t="n">
        <v>3400</v>
      </c>
      <c r="H1118" s="166" t="n">
        <v>3394</v>
      </c>
      <c r="I1118" s="166" t="n">
        <v>15</v>
      </c>
      <c r="J1118" s="166" t="n">
        <v>6</v>
      </c>
      <c r="K1118" s="166" t="n">
        <v>15</v>
      </c>
      <c r="L1118" s="397" t="n">
        <v>3400</v>
      </c>
      <c r="M1118" s="113" t="n"/>
      <c r="N1118" s="113" t="n"/>
      <c r="O1118" s="113" t="n"/>
      <c r="P1118" s="398" t="n"/>
      <c r="Q1118" s="398" t="n"/>
      <c r="R1118" s="113" t="n"/>
      <c r="S1118" s="113" t="n"/>
      <c r="T1118" s="113" t="n"/>
      <c r="U1118" s="113" t="n"/>
      <c r="V1118" s="113" t="n"/>
    </row>
    <row r="1119" ht="15.75" customHeight="1">
      <c r="A1119" s="398" t="n">
        <v>21</v>
      </c>
      <c r="B1119" s="238" t="n"/>
      <c r="C1119" s="164" t="n">
        <v>46157</v>
      </c>
      <c r="D1119" s="166" t="inlineStr">
        <is>
          <t>202 G.HUERTAS-LA MANIGUA</t>
        </is>
      </c>
      <c r="E1119" s="166" t="n">
        <v>47958</v>
      </c>
      <c r="F1119" s="166" t="inlineStr">
        <is>
          <t>FERNANDO OYUELA</t>
        </is>
      </c>
      <c r="G1119" s="166" t="n">
        <v>3400</v>
      </c>
      <c r="H1119" s="166" t="n">
        <v>3316</v>
      </c>
      <c r="I1119" s="166" t="n">
        <v>8</v>
      </c>
      <c r="J1119" s="166" t="n">
        <v>84</v>
      </c>
      <c r="K1119" s="166" t="n">
        <v>8</v>
      </c>
      <c r="L1119" s="397" t="n">
        <v>3400</v>
      </c>
      <c r="M1119" s="113" t="n"/>
      <c r="N1119" s="113" t="n"/>
      <c r="O1119" s="113" t="n"/>
      <c r="P1119" s="398" t="n"/>
      <c r="Q1119" s="398" t="n"/>
      <c r="R1119" s="113" t="n"/>
      <c r="S1119" s="113" t="n"/>
      <c r="T1119" s="113" t="n"/>
      <c r="U1119" s="113" t="n"/>
      <c r="V1119" s="113" t="n"/>
    </row>
    <row r="1120" ht="15.75" customHeight="1">
      <c r="A1120" s="398" t="n">
        <v>21</v>
      </c>
      <c r="B1120" s="238" t="n"/>
      <c r="C1120" s="164" t="n">
        <v>46157</v>
      </c>
      <c r="D1120" s="166" t="inlineStr">
        <is>
          <t>202 G.HUERTAS-LA MANIGUA</t>
        </is>
      </c>
      <c r="E1120" s="166" t="n">
        <v>47959</v>
      </c>
      <c r="F1120" s="166" t="inlineStr">
        <is>
          <t>FABIO ALDANA</t>
        </is>
      </c>
      <c r="G1120" s="166" t="n">
        <v>3400</v>
      </c>
      <c r="H1120" s="166" t="n">
        <v>3383</v>
      </c>
      <c r="I1120" s="166" t="n">
        <v>8</v>
      </c>
      <c r="J1120" s="166" t="n">
        <v>10</v>
      </c>
      <c r="K1120" s="166" t="n">
        <v>1</v>
      </c>
      <c r="L1120" s="397" t="n">
        <v>3400</v>
      </c>
      <c r="M1120" s="113" t="n"/>
      <c r="N1120" s="113" t="n"/>
      <c r="O1120" s="113" t="n"/>
      <c r="P1120" s="398" t="n"/>
      <c r="Q1120" s="398" t="n"/>
      <c r="R1120" s="113" t="n"/>
      <c r="S1120" s="113" t="n"/>
      <c r="T1120" s="113" t="n"/>
      <c r="U1120" s="113" t="n"/>
      <c r="V1120" s="113" t="n"/>
    </row>
    <row r="1121" ht="15.75" customHeight="1">
      <c r="A1121" s="398" t="n">
        <v>21</v>
      </c>
      <c r="B1121" s="238" t="n"/>
      <c r="C1121" s="164" t="n">
        <v>46157</v>
      </c>
      <c r="D1121" s="166" t="inlineStr">
        <is>
          <t>202 G.HUERTAS-LA MANIGUA</t>
        </is>
      </c>
      <c r="E1121" s="166" t="n">
        <v>47960</v>
      </c>
      <c r="F1121" s="146" t="inlineStr">
        <is>
          <t>JAIRO CUBILLOS</t>
        </is>
      </c>
      <c r="G1121" s="146" t="n">
        <v>3154</v>
      </c>
      <c r="H1121" s="146" t="n">
        <v>3130</v>
      </c>
      <c r="I1121" s="146" t="n">
        <v>8</v>
      </c>
      <c r="J1121" s="146" t="n">
        <v>14</v>
      </c>
      <c r="K1121" s="166" t="n">
        <v>-2</v>
      </c>
      <c r="L1121" s="397" t="n">
        <v>3154</v>
      </c>
      <c r="M1121" s="113" t="n"/>
      <c r="N1121" s="113" t="n"/>
      <c r="O1121" s="113" t="n"/>
      <c r="P1121" s="398" t="n"/>
      <c r="Q1121" s="398" t="n"/>
      <c r="R1121" s="113" t="n"/>
      <c r="S1121" s="113" t="n"/>
      <c r="T1121" s="113" t="n"/>
      <c r="U1121" s="113" t="n"/>
      <c r="V1121" s="113" t="n"/>
    </row>
    <row r="1122" ht="15.75" customHeight="1">
      <c r="A1122" s="398" t="n">
        <v>21</v>
      </c>
      <c r="B1122" s="238" t="n"/>
      <c r="C1122" s="164" t="n">
        <v>46157</v>
      </c>
      <c r="D1122" s="166" t="inlineStr">
        <is>
          <t>202 G.HUERTAS-LA MANIGUA</t>
        </is>
      </c>
      <c r="E1122" s="166" t="n">
        <v>47961</v>
      </c>
      <c r="F1122" s="166" t="inlineStr">
        <is>
          <t>DUMAR ANGARITA</t>
        </is>
      </c>
      <c r="G1122" s="166" t="n">
        <v>3154</v>
      </c>
      <c r="H1122" s="166" t="n">
        <v>3144</v>
      </c>
      <c r="I1122" s="166" t="n">
        <v>3</v>
      </c>
      <c r="J1122" s="166" t="n">
        <v>6</v>
      </c>
      <c r="K1122" s="166" t="n">
        <v>-1</v>
      </c>
      <c r="L1122" s="397" t="n">
        <v>3154</v>
      </c>
      <c r="M1122" s="113" t="n"/>
      <c r="N1122" s="113" t="n"/>
      <c r="O1122" s="113" t="n"/>
      <c r="P1122" s="398" t="n"/>
      <c r="Q1122" s="398" t="n"/>
      <c r="R1122" s="113" t="n"/>
      <c r="S1122" s="113" t="n"/>
      <c r="T1122" s="113" t="n"/>
      <c r="U1122" s="113" t="n"/>
      <c r="V1122" s="113" t="n"/>
    </row>
    <row r="1123" ht="15.75" customHeight="1">
      <c r="A1123" s="398" t="n">
        <v>21</v>
      </c>
      <c r="B1123" s="238" t="n"/>
      <c r="C1123" s="164" t="n">
        <v>46157</v>
      </c>
      <c r="D1123" s="166" t="inlineStr">
        <is>
          <t>202 G.HUERTAS-LA MANIGUA</t>
        </is>
      </c>
      <c r="E1123" s="166" t="n">
        <v>47962</v>
      </c>
      <c r="F1123" s="166" t="inlineStr">
        <is>
          <t>DIEGO VEGA</t>
        </is>
      </c>
      <c r="G1123" s="166" t="n">
        <v>2734</v>
      </c>
      <c r="H1123" s="166" t="n">
        <v>2723</v>
      </c>
      <c r="I1123" s="166" t="n">
        <v>3</v>
      </c>
      <c r="J1123" s="166" t="n">
        <v>6</v>
      </c>
      <c r="K1123" s="166" t="n">
        <v>-2</v>
      </c>
      <c r="L1123" s="397" t="n">
        <v>2734</v>
      </c>
      <c r="M1123" s="113" t="n"/>
      <c r="N1123" s="113" t="n"/>
      <c r="O1123" s="113" t="n"/>
      <c r="P1123" s="398" t="n"/>
      <c r="Q1123" s="398" t="n"/>
      <c r="R1123" s="113" t="n"/>
      <c r="S1123" s="113" t="n"/>
      <c r="T1123" s="113" t="n"/>
      <c r="U1123" s="113" t="n"/>
      <c r="V1123" s="113" t="n"/>
    </row>
    <row r="1124" ht="15.75" customHeight="1">
      <c r="A1124" s="398" t="n">
        <v>21</v>
      </c>
      <c r="B1124" s="238" t="n"/>
      <c r="C1124" s="164" t="n">
        <v>46157</v>
      </c>
      <c r="D1124" s="166" t="inlineStr">
        <is>
          <t>202 G.HUERTAS-LA MANIGUA</t>
        </is>
      </c>
      <c r="E1124" s="166" t="n">
        <v>47963</v>
      </c>
      <c r="F1124" s="166" t="inlineStr">
        <is>
          <t xml:space="preserve">SEBASTIAN HIDALGO </t>
        </is>
      </c>
      <c r="G1124" s="166" t="n">
        <v>2734</v>
      </c>
      <c r="H1124" s="166" t="n">
        <v>2723</v>
      </c>
      <c r="I1124" s="166" t="n">
        <v>2</v>
      </c>
      <c r="J1124" s="166" t="n">
        <v>8</v>
      </c>
      <c r="K1124" s="166" t="n">
        <v>-1</v>
      </c>
      <c r="L1124" s="397" t="n">
        <v>2734</v>
      </c>
      <c r="M1124" s="113" t="n"/>
      <c r="N1124" s="113" t="n"/>
      <c r="O1124" s="113" t="n"/>
      <c r="P1124" s="398" t="n"/>
      <c r="Q1124" s="398" t="n"/>
      <c r="R1124" s="113" t="n"/>
      <c r="S1124" s="113" t="n"/>
      <c r="T1124" s="113" t="n"/>
      <c r="U1124" s="113" t="n"/>
      <c r="V1124" s="113" t="n"/>
    </row>
    <row r="1125" ht="15.75" customHeight="1">
      <c r="A1125" s="398" t="n">
        <v>21</v>
      </c>
      <c r="B1125" s="238" t="n"/>
      <c r="C1125" s="164" t="n">
        <v>46157</v>
      </c>
      <c r="D1125" s="166" t="inlineStr">
        <is>
          <t>202 G. HUERTAS</t>
        </is>
      </c>
      <c r="E1125" s="166" t="n">
        <v>207751</v>
      </c>
      <c r="F1125" s="166" t="inlineStr">
        <is>
          <t>FERNANDO SANDOVAL</t>
        </is>
      </c>
      <c r="G1125" s="166" t="n">
        <v>2268</v>
      </c>
      <c r="H1125" s="166" t="n">
        <v>2274</v>
      </c>
      <c r="I1125" s="166" t="n">
        <v>4</v>
      </c>
      <c r="J1125" s="166" t="n">
        <v>2</v>
      </c>
      <c r="K1125" s="166" t="n">
        <v>12</v>
      </c>
      <c r="L1125" s="397" t="n">
        <v>3100</v>
      </c>
      <c r="M1125" s="113" t="n"/>
      <c r="N1125" s="113" t="n"/>
      <c r="O1125" s="113" t="n"/>
      <c r="P1125" s="398" t="n"/>
      <c r="Q1125" s="398" t="n"/>
      <c r="R1125" s="113" t="n"/>
      <c r="S1125" s="113" t="n"/>
      <c r="T1125" s="113" t="n"/>
      <c r="U1125" s="113" t="n"/>
      <c r="V1125" s="113" t="n"/>
    </row>
    <row r="1126" ht="15.75" customHeight="1">
      <c r="A1126" s="398" t="n">
        <v>21</v>
      </c>
      <c r="B1126" s="238" t="n"/>
      <c r="C1126" s="164" t="n">
        <v>46157</v>
      </c>
      <c r="D1126" s="166" t="inlineStr">
        <is>
          <t>202 G. HUERTAS</t>
        </is>
      </c>
      <c r="E1126" s="166" t="n">
        <v>207752</v>
      </c>
      <c r="F1126" s="166" t="inlineStr">
        <is>
          <t>FABIO FAJARDO AGUILAR</t>
        </is>
      </c>
      <c r="G1126" s="166" t="n">
        <v>2268</v>
      </c>
      <c r="H1126" s="166" t="n">
        <v>2259</v>
      </c>
      <c r="I1126" s="166" t="n">
        <v>2</v>
      </c>
      <c r="J1126" s="166" t="n">
        <v>4</v>
      </c>
      <c r="K1126" s="166" t="n">
        <v>-3</v>
      </c>
      <c r="L1126" s="397" t="n">
        <v>3100</v>
      </c>
      <c r="M1126" s="113" t="n"/>
      <c r="N1126" s="113" t="n"/>
      <c r="O1126" s="113" t="n"/>
      <c r="P1126" s="398" t="n"/>
      <c r="Q1126" s="398" t="n"/>
      <c r="R1126" s="113" t="n"/>
      <c r="S1126" s="113" t="n"/>
      <c r="T1126" s="113" t="n"/>
      <c r="U1126" s="113" t="n"/>
      <c r="V1126" s="113" t="n"/>
    </row>
    <row r="1127" ht="15.75" customHeight="1">
      <c r="A1127" s="398" t="n">
        <v>21</v>
      </c>
      <c r="B1127" s="238" t="n"/>
      <c r="C1127" s="164" t="n">
        <v>46157</v>
      </c>
      <c r="D1127" s="166" t="inlineStr">
        <is>
          <t>202 G. HUERTAS</t>
        </is>
      </c>
      <c r="E1127" s="166" t="n">
        <v>207757</v>
      </c>
      <c r="F1127" s="166" t="inlineStr">
        <is>
          <t>JOSE MARTINEZ</t>
        </is>
      </c>
      <c r="G1127" s="166" t="n">
        <v>2400</v>
      </c>
      <c r="H1127" s="166" t="n">
        <v>2395</v>
      </c>
      <c r="I1127" s="166" t="n">
        <v>1</v>
      </c>
      <c r="J1127" s="166" t="n">
        <v>4</v>
      </c>
      <c r="K1127" s="166" t="n">
        <v>0</v>
      </c>
      <c r="L1127" s="397" t="n">
        <v>3100</v>
      </c>
      <c r="M1127" s="113" t="n"/>
      <c r="N1127" s="113" t="n"/>
      <c r="O1127" s="113" t="n"/>
      <c r="P1127" s="398" t="n"/>
      <c r="Q1127" s="398" t="n"/>
      <c r="R1127" s="113" t="n"/>
      <c r="S1127" s="113" t="n"/>
      <c r="T1127" s="113" t="n"/>
      <c r="U1127" s="113" t="n"/>
      <c r="V1127" s="113" t="n"/>
    </row>
    <row r="1128" ht="15.75" customHeight="1">
      <c r="A1128" s="398" t="n">
        <v>21</v>
      </c>
      <c r="B1128" s="238" t="n"/>
      <c r="C1128" s="164" t="n">
        <v>46157</v>
      </c>
      <c r="D1128" s="166" t="inlineStr">
        <is>
          <t>202 G. HUERTAS</t>
        </is>
      </c>
      <c r="E1128" s="166" t="n">
        <v>207759</v>
      </c>
      <c r="F1128" s="166" t="inlineStr">
        <is>
          <t xml:space="preserve"> LEONARDO LUGO</t>
        </is>
      </c>
      <c r="G1128" s="166" t="n">
        <v>2400</v>
      </c>
      <c r="H1128" s="166" t="n">
        <v>2353</v>
      </c>
      <c r="I1128" s="166" t="n">
        <v>40</v>
      </c>
      <c r="J1128" s="166" t="n">
        <v>7</v>
      </c>
      <c r="K1128" s="166" t="n">
        <v>0</v>
      </c>
      <c r="L1128" s="397" t="n">
        <v>3100</v>
      </c>
      <c r="M1128" s="113" t="n"/>
      <c r="N1128" s="113" t="n"/>
      <c r="O1128" s="113" t="n"/>
      <c r="P1128" s="398" t="n"/>
      <c r="Q1128" s="398" t="n"/>
      <c r="R1128" s="113" t="n"/>
      <c r="S1128" s="113" t="n"/>
      <c r="T1128" s="113" t="n"/>
      <c r="U1128" s="113" t="n"/>
      <c r="V1128" s="113" t="n"/>
    </row>
    <row r="1129" ht="15.75" customHeight="1">
      <c r="A1129" s="398" t="n">
        <v>21</v>
      </c>
      <c r="B1129" s="238" t="n"/>
      <c r="C1129" s="399" t="n">
        <v>46157</v>
      </c>
      <c r="D1129" s="162" t="inlineStr">
        <is>
          <t>200 G. GARCERAS</t>
        </is>
      </c>
      <c r="E1129" s="162" t="n">
        <v>47970</v>
      </c>
      <c r="F1129" s="162" t="inlineStr">
        <is>
          <t>MANUEL QUITIAN</t>
        </is>
      </c>
      <c r="G1129" s="162" t="n">
        <v>3100</v>
      </c>
      <c r="H1129" s="162" t="n">
        <v>3089</v>
      </c>
      <c r="I1129" s="162" t="n">
        <v>2</v>
      </c>
      <c r="J1129" s="162" t="n">
        <v>5</v>
      </c>
      <c r="K1129" s="162" t="n">
        <v>-4</v>
      </c>
      <c r="L1129" s="397" t="n">
        <v>3100</v>
      </c>
      <c r="M1129" s="113" t="n"/>
      <c r="N1129" s="113" t="n"/>
      <c r="O1129" s="113" t="n"/>
      <c r="P1129" s="398" t="n"/>
      <c r="Q1129" s="398" t="n"/>
      <c r="R1129" s="113" t="n"/>
      <c r="S1129" s="113" t="n"/>
      <c r="T1129" s="113" t="n"/>
      <c r="U1129" s="113" t="n"/>
      <c r="V1129" s="113" t="n"/>
    </row>
    <row r="1130" ht="15.75" customHeight="1">
      <c r="A1130" s="398" t="n">
        <v>21</v>
      </c>
      <c r="B1130" s="238" t="n"/>
      <c r="C1130" s="399" t="n">
        <v>46157</v>
      </c>
      <c r="D1130" s="162" t="inlineStr">
        <is>
          <t>200 G. GARCERAS</t>
        </is>
      </c>
      <c r="E1130" s="162" t="n">
        <v>47971</v>
      </c>
      <c r="F1130" s="162" t="inlineStr">
        <is>
          <t>EDWIN ROJAS</t>
        </is>
      </c>
      <c r="G1130" s="162" t="n">
        <v>3100</v>
      </c>
      <c r="H1130" s="162" t="n">
        <v>3095</v>
      </c>
      <c r="I1130" s="162" t="n">
        <v>1</v>
      </c>
      <c r="J1130" s="162" t="n">
        <v>5</v>
      </c>
      <c r="K1130" s="162" t="n">
        <v>1</v>
      </c>
      <c r="L1130" s="397" t="n">
        <v>3260</v>
      </c>
      <c r="M1130" s="113" t="n"/>
      <c r="N1130" s="113" t="n"/>
      <c r="O1130" s="113" t="n"/>
      <c r="P1130" s="398" t="n"/>
      <c r="Q1130" s="398" t="n"/>
      <c r="R1130" s="113" t="n"/>
      <c r="S1130" s="113" t="n"/>
      <c r="T1130" s="113" t="n"/>
      <c r="U1130" s="113" t="n"/>
      <c r="V1130" s="113" t="n"/>
    </row>
    <row r="1131" ht="15.75" customHeight="1">
      <c r="A1131" s="398" t="n">
        <v>21</v>
      </c>
      <c r="B1131" s="238" t="n"/>
      <c r="C1131" s="399" t="n">
        <v>46157</v>
      </c>
      <c r="D1131" s="162" t="inlineStr">
        <is>
          <t>200 G. GARCERAS</t>
        </is>
      </c>
      <c r="E1131" s="162" t="n">
        <v>47972</v>
      </c>
      <c r="F1131" s="162" t="inlineStr">
        <is>
          <t>DIEGO NIÑO</t>
        </is>
      </c>
      <c r="G1131" s="162" t="n">
        <v>3100</v>
      </c>
      <c r="H1131" s="162" t="n">
        <v>3094</v>
      </c>
      <c r="I1131" s="162" t="n">
        <v>0</v>
      </c>
      <c r="J1131" s="162" t="n">
        <v>5</v>
      </c>
      <c r="K1131" s="162" t="n">
        <v>-1</v>
      </c>
      <c r="L1131" s="397" t="n">
        <v>3260</v>
      </c>
      <c r="M1131" s="113" t="n"/>
      <c r="N1131" s="113" t="n"/>
      <c r="O1131" s="113" t="n"/>
      <c r="P1131" s="398" t="n"/>
      <c r="Q1131" s="398" t="n"/>
      <c r="R1131" s="113" t="n"/>
      <c r="S1131" s="113" t="n"/>
      <c r="T1131" s="113" t="n"/>
      <c r="U1131" s="113" t="n"/>
      <c r="V1131" s="113" t="n"/>
    </row>
    <row r="1132" ht="15.75" customHeight="1">
      <c r="A1132" s="398" t="n">
        <v>21</v>
      </c>
      <c r="B1132" s="238" t="n"/>
      <c r="C1132" s="399" t="n">
        <v>46157</v>
      </c>
      <c r="D1132" s="162" t="inlineStr">
        <is>
          <t>200 G. GARCERAS</t>
        </is>
      </c>
      <c r="E1132" s="162" t="n">
        <v>47973</v>
      </c>
      <c r="F1132" s="162" t="inlineStr">
        <is>
          <t>WILMER PIÑEROS</t>
        </is>
      </c>
      <c r="G1132" s="162" t="n">
        <v>3100</v>
      </c>
      <c r="H1132" s="162" t="n">
        <v>3092</v>
      </c>
      <c r="I1132" s="162" t="n">
        <v>2</v>
      </c>
      <c r="J1132" s="162" t="n">
        <v>0</v>
      </c>
      <c r="K1132" s="162" t="n">
        <v>-6</v>
      </c>
      <c r="L1132" s="397" t="n">
        <v>3260</v>
      </c>
      <c r="M1132" s="113" t="n"/>
      <c r="N1132" s="113" t="n"/>
      <c r="O1132" s="113" t="n"/>
      <c r="P1132" s="398" t="n"/>
      <c r="Q1132" s="398" t="n"/>
      <c r="R1132" s="113" t="n"/>
      <c r="S1132" s="113" t="n"/>
      <c r="T1132" s="113" t="n"/>
      <c r="U1132" s="113" t="n"/>
      <c r="V1132" s="113" t="n"/>
    </row>
    <row r="1133" ht="15.75" customHeight="1">
      <c r="A1133" s="398" t="n">
        <v>21</v>
      </c>
      <c r="B1133" s="238" t="n"/>
      <c r="C1133" s="399" t="n">
        <v>46157</v>
      </c>
      <c r="D1133" s="162" t="inlineStr">
        <is>
          <t>200 G. GARCERAS</t>
        </is>
      </c>
      <c r="E1133" s="162" t="n">
        <v>47974</v>
      </c>
      <c r="F1133" s="162" t="inlineStr">
        <is>
          <t>FERNANDO OYUELA</t>
        </is>
      </c>
      <c r="G1133" s="162" t="n">
        <v>3100</v>
      </c>
      <c r="H1133" s="162" t="n">
        <v>3092</v>
      </c>
      <c r="I1133" s="162" t="n">
        <v>4</v>
      </c>
      <c r="J1133" s="162" t="n">
        <v>1</v>
      </c>
      <c r="K1133" s="162" t="n">
        <v>-3</v>
      </c>
      <c r="L1133" s="397" t="n">
        <v>3260</v>
      </c>
      <c r="M1133" s="113" t="n"/>
      <c r="N1133" s="113" t="n"/>
      <c r="O1133" s="113" t="n"/>
      <c r="P1133" s="398" t="n"/>
      <c r="Q1133" s="398" t="n"/>
      <c r="R1133" s="113" t="n"/>
      <c r="S1133" s="113" t="n"/>
      <c r="T1133" s="113" t="n"/>
      <c r="U1133" s="113" t="n"/>
      <c r="V1133" s="113" t="n"/>
    </row>
    <row r="1134" ht="15.75" customHeight="1">
      <c r="A1134" s="398" t="n">
        <v>21</v>
      </c>
      <c r="B1134" s="238" t="n"/>
      <c r="C1134" s="399" t="n">
        <v>46157</v>
      </c>
      <c r="D1134" s="162" t="inlineStr">
        <is>
          <t>200 G. GARCERAS</t>
        </is>
      </c>
      <c r="E1134" s="162" t="n">
        <v>47975</v>
      </c>
      <c r="F1134" s="162" t="inlineStr">
        <is>
          <t>FABIO ALDANA</t>
        </is>
      </c>
      <c r="G1134" s="162" t="n">
        <v>3260</v>
      </c>
      <c r="H1134" s="162" t="n">
        <v>3246</v>
      </c>
      <c r="I1134" s="162" t="n">
        <v>3</v>
      </c>
      <c r="J1134" s="162" t="n">
        <v>2</v>
      </c>
      <c r="K1134" s="162" t="n">
        <v>-9</v>
      </c>
      <c r="L1134" s="397" t="n">
        <v>3223</v>
      </c>
      <c r="M1134" s="113" t="n"/>
      <c r="N1134" s="113" t="n"/>
      <c r="O1134" s="113" t="n"/>
      <c r="P1134" s="398" t="n"/>
      <c r="Q1134" s="398" t="n"/>
      <c r="R1134" s="113" t="n"/>
      <c r="S1134" s="113" t="n"/>
      <c r="T1134" s="113" t="n"/>
      <c r="U1134" s="113" t="n"/>
      <c r="V1134" s="113" t="n"/>
    </row>
    <row r="1135" ht="15.75" customHeight="1">
      <c r="A1135" s="398" t="n">
        <v>21</v>
      </c>
      <c r="B1135" s="238" t="n"/>
      <c r="C1135" s="399" t="n">
        <v>46157</v>
      </c>
      <c r="D1135" s="162" t="inlineStr">
        <is>
          <t>200 G. GARCERAS</t>
        </is>
      </c>
      <c r="E1135" s="162" t="n">
        <v>47976</v>
      </c>
      <c r="F1135" s="162" t="inlineStr">
        <is>
          <t>JAIRO CUBILLOS</t>
        </is>
      </c>
      <c r="G1135" s="162" t="n">
        <v>3260</v>
      </c>
      <c r="H1135" s="162" t="n">
        <v>3241</v>
      </c>
      <c r="I1135" s="162" t="n">
        <v>3</v>
      </c>
      <c r="J1135" s="162" t="n">
        <v>2</v>
      </c>
      <c r="K1135" s="162" t="n">
        <v>-14</v>
      </c>
      <c r="L1135" s="397" t="n">
        <v>2527</v>
      </c>
      <c r="M1135" s="113" t="n"/>
      <c r="N1135" s="113" t="n"/>
      <c r="O1135" s="113" t="n"/>
      <c r="P1135" s="398" t="n"/>
      <c r="Q1135" s="398" t="n"/>
      <c r="R1135" s="113" t="n"/>
      <c r="S1135" s="113" t="n"/>
      <c r="T1135" s="113" t="n"/>
      <c r="U1135" s="113" t="n"/>
      <c r="V1135" s="113" t="n"/>
    </row>
    <row r="1136" ht="15.75" customHeight="1">
      <c r="A1136" s="398" t="n">
        <v>21</v>
      </c>
      <c r="B1136" s="238" t="n"/>
      <c r="C1136" s="399" t="n">
        <v>46157</v>
      </c>
      <c r="D1136" s="162" t="inlineStr">
        <is>
          <t>200 G. GARCERAS</t>
        </is>
      </c>
      <c r="E1136" s="162" t="n">
        <v>47977</v>
      </c>
      <c r="F1136" s="162" t="inlineStr">
        <is>
          <t>DUMAR ANGARITA</t>
        </is>
      </c>
      <c r="G1136" s="162" t="n">
        <v>3220</v>
      </c>
      <c r="H1136" s="162" t="n">
        <v>3255</v>
      </c>
      <c r="I1136" s="162" t="n">
        <v>6</v>
      </c>
      <c r="J1136" s="162" t="n">
        <v>1</v>
      </c>
      <c r="K1136" s="162" t="n">
        <v>42</v>
      </c>
      <c r="L1136" s="397" t="n">
        <v>2268</v>
      </c>
      <c r="M1136" s="113" t="n"/>
      <c r="N1136" s="113" t="n"/>
      <c r="O1136" s="113" t="n"/>
      <c r="P1136" s="398" t="n"/>
      <c r="Q1136" s="398" t="n"/>
      <c r="R1136" s="113" t="n"/>
      <c r="S1136" s="113" t="n"/>
      <c r="T1136" s="113" t="n"/>
      <c r="U1136" s="113" t="n"/>
      <c r="V1136" s="113" t="n"/>
    </row>
    <row r="1137" ht="15.75" customHeight="1">
      <c r="A1137" s="398" t="n">
        <v>21</v>
      </c>
      <c r="B1137" s="238" t="n"/>
      <c r="C1137" s="399" t="n">
        <v>46157</v>
      </c>
      <c r="D1137" s="162" t="inlineStr">
        <is>
          <t>200 G. GARCERAS</t>
        </is>
      </c>
      <c r="E1137" s="162" t="n">
        <v>47978</v>
      </c>
      <c r="F1137" s="162" t="inlineStr">
        <is>
          <t>HENRY ROMERO</t>
        </is>
      </c>
      <c r="G1137" s="162" t="n">
        <v>3260</v>
      </c>
      <c r="H1137" s="162" t="n">
        <v>3249</v>
      </c>
      <c r="I1137" s="162" t="n">
        <v>4</v>
      </c>
      <c r="J1137" s="162" t="n">
        <v>4</v>
      </c>
      <c r="K1137" s="162" t="n">
        <v>-3</v>
      </c>
      <c r="L1137" s="397" t="n">
        <v>2268</v>
      </c>
      <c r="M1137" s="113" t="n"/>
      <c r="N1137" s="113" t="n"/>
      <c r="O1137" s="113" t="n"/>
      <c r="P1137" s="398" t="n"/>
      <c r="Q1137" s="398" t="n"/>
      <c r="R1137" s="113" t="n"/>
      <c r="S1137" s="113" t="n"/>
      <c r="T1137" s="113" t="n"/>
      <c r="U1137" s="113" t="n"/>
      <c r="V1137" s="113" t="n"/>
    </row>
    <row r="1138" ht="15.75" customHeight="1">
      <c r="A1138" s="398" t="n">
        <v>21</v>
      </c>
      <c r="B1138" s="238" t="n"/>
      <c r="C1138" s="399" t="n">
        <v>46157</v>
      </c>
      <c r="D1138" s="162" t="inlineStr">
        <is>
          <t>200 G. GARCERAS</t>
        </is>
      </c>
      <c r="E1138" s="162" t="n">
        <v>47979</v>
      </c>
      <c r="F1138" s="162" t="inlineStr">
        <is>
          <t>ROBINSON PULIDO</t>
        </is>
      </c>
      <c r="G1138" s="162" t="n">
        <v>3223</v>
      </c>
      <c r="H1138" s="162" t="n">
        <v>3216</v>
      </c>
      <c r="I1138" s="162" t="n">
        <v>3</v>
      </c>
      <c r="J1138" s="162" t="n">
        <v>2</v>
      </c>
      <c r="K1138" s="162" t="n">
        <v>-2</v>
      </c>
      <c r="L1138" s="397" t="n">
        <v>2400</v>
      </c>
      <c r="M1138" s="113" t="n"/>
      <c r="N1138" s="113" t="n"/>
      <c r="O1138" s="113" t="n"/>
      <c r="P1138" s="398" t="n"/>
      <c r="Q1138" s="398" t="n"/>
      <c r="R1138" s="113" t="n"/>
      <c r="S1138" s="113" t="n"/>
      <c r="T1138" s="113" t="n"/>
      <c r="U1138" s="113" t="n"/>
      <c r="V1138" s="113" t="n"/>
    </row>
    <row r="1139" ht="15.75" customHeight="1">
      <c r="A1139" s="398" t="n">
        <v>21</v>
      </c>
      <c r="B1139" s="238" t="n"/>
      <c r="C1139" s="399" t="n">
        <v>46157</v>
      </c>
      <c r="D1139" s="162" t="inlineStr">
        <is>
          <t>200 G. GARCERAS</t>
        </is>
      </c>
      <c r="E1139" s="162" t="n">
        <v>47980</v>
      </c>
      <c r="F1139" s="162" t="inlineStr">
        <is>
          <t>JOSE SOLER</t>
        </is>
      </c>
      <c r="G1139" s="162" t="n">
        <v>2577</v>
      </c>
      <c r="H1139" s="162" t="n">
        <v>2573</v>
      </c>
      <c r="I1139" s="162" t="n">
        <v>1</v>
      </c>
      <c r="J1139" s="162" t="n">
        <v>1</v>
      </c>
      <c r="K1139" s="162" t="n">
        <v>-2</v>
      </c>
      <c r="L1139" s="397" t="n">
        <v>2400</v>
      </c>
      <c r="M1139" s="113" t="n"/>
      <c r="N1139" s="113" t="n"/>
      <c r="O1139" s="113" t="n"/>
      <c r="P1139" s="398" t="n"/>
      <c r="Q1139" s="398" t="n"/>
      <c r="R1139" s="113" t="n"/>
      <c r="S1139" s="113" t="n"/>
      <c r="T1139" s="113" t="n"/>
      <c r="U1139" s="113" t="n"/>
      <c r="V1139" s="113" t="n"/>
    </row>
    <row r="1140" ht="15.75" customHeight="1">
      <c r="A1140" s="398" t="n">
        <v>21</v>
      </c>
      <c r="B1140" s="238" t="n"/>
      <c r="C1140" s="164" t="n">
        <v>46158</v>
      </c>
      <c r="D1140" s="166" t="inlineStr">
        <is>
          <t>202 G. HUERTAS</t>
        </is>
      </c>
      <c r="E1140" s="166" t="n">
        <v>207762</v>
      </c>
      <c r="F1140" s="166" t="inlineStr">
        <is>
          <t>LUIS GERMAN QUITIAN PEÑA</t>
        </is>
      </c>
      <c r="G1140" s="166" t="n">
        <v>2268</v>
      </c>
      <c r="H1140" s="166" t="n">
        <v>2270</v>
      </c>
      <c r="I1140" s="166" t="n">
        <v>1</v>
      </c>
      <c r="J1140" s="166" t="n">
        <v>10</v>
      </c>
      <c r="K1140" s="166" t="n">
        <v>13</v>
      </c>
      <c r="L1140" s="397" t="n">
        <v>2268</v>
      </c>
      <c r="M1140" s="113" t="n"/>
      <c r="N1140" s="113" t="n"/>
      <c r="O1140" s="113" t="n"/>
      <c r="P1140" s="398" t="n"/>
      <c r="Q1140" s="398" t="n"/>
      <c r="R1140" s="113" t="n"/>
      <c r="S1140" s="113" t="n"/>
      <c r="T1140" s="113" t="n"/>
      <c r="U1140" s="113" t="n"/>
      <c r="V1140" s="113" t="n"/>
    </row>
    <row r="1141" ht="15.75" customHeight="1">
      <c r="A1141" s="398" t="n">
        <v>21</v>
      </c>
      <c r="B1141" s="238" t="n"/>
      <c r="C1141" s="164" t="n">
        <v>46158</v>
      </c>
      <c r="D1141" s="165" t="inlineStr">
        <is>
          <t>202 G. HUERTAS</t>
        </is>
      </c>
      <c r="E1141" s="165" t="n">
        <v>116933</v>
      </c>
      <c r="F1141" s="165" t="inlineStr">
        <is>
          <t>PEDRO IGNACIO BARRETO CUESTA</t>
        </is>
      </c>
      <c r="G1141" s="165" t="n">
        <v>2268</v>
      </c>
      <c r="H1141" s="165" t="n">
        <v>2260</v>
      </c>
      <c r="I1141" s="165" t="n">
        <v>2</v>
      </c>
      <c r="J1141" s="165" t="n">
        <v>16</v>
      </c>
      <c r="K1141" s="165" t="n">
        <v>10</v>
      </c>
      <c r="L1141" s="397" t="n">
        <v>2282</v>
      </c>
      <c r="M1141" s="113" t="n"/>
      <c r="N1141" s="113" t="n"/>
      <c r="O1141" s="113" t="n"/>
      <c r="P1141" s="398" t="n"/>
      <c r="Q1141" s="398" t="n"/>
      <c r="R1141" s="113" t="n"/>
      <c r="S1141" s="113" t="n"/>
      <c r="T1141" s="113" t="n"/>
      <c r="U1141" s="113" t="n"/>
      <c r="V1141" s="113" t="n"/>
    </row>
    <row r="1142" ht="15.75" customHeight="1">
      <c r="A1142" s="398" t="n">
        <v>21</v>
      </c>
      <c r="B1142" s="238" t="n"/>
      <c r="C1142" s="164" t="n">
        <v>46158</v>
      </c>
      <c r="D1142" s="165" t="inlineStr">
        <is>
          <t>202 G.HUERTAS-LA MANIGUA</t>
        </is>
      </c>
      <c r="E1142" s="165" t="n">
        <v>47989</v>
      </c>
      <c r="F1142" s="165" t="inlineStr">
        <is>
          <t>ALEX GOMEZ</t>
        </is>
      </c>
      <c r="G1142" s="165" t="n">
        <v>2880</v>
      </c>
      <c r="H1142" s="165" t="n">
        <v>2724</v>
      </c>
      <c r="I1142" s="165" t="n">
        <v>8</v>
      </c>
      <c r="J1142" s="165" t="n">
        <v>144</v>
      </c>
      <c r="K1142" s="165" t="n">
        <v>-4</v>
      </c>
      <c r="L1142" s="397" t="n">
        <v>2880</v>
      </c>
      <c r="M1142" s="113" t="n"/>
      <c r="N1142" s="113" t="n"/>
      <c r="O1142" s="113" t="n"/>
      <c r="P1142" s="398" t="n"/>
      <c r="Q1142" s="398" t="n"/>
      <c r="R1142" s="113" t="n"/>
      <c r="S1142" s="113" t="n"/>
      <c r="T1142" s="113" t="n"/>
      <c r="U1142" s="113" t="n"/>
      <c r="V1142" s="113" t="n"/>
    </row>
    <row r="1143" ht="15.75" customHeight="1">
      <c r="A1143" s="398" t="n">
        <v>21</v>
      </c>
      <c r="B1143" s="238" t="n"/>
      <c r="C1143" s="164" t="n">
        <v>46158</v>
      </c>
      <c r="D1143" s="165" t="inlineStr">
        <is>
          <t>202 G.HUERTAS-LA MANIGUA</t>
        </is>
      </c>
      <c r="E1143" s="165" t="n">
        <v>47990</v>
      </c>
      <c r="F1143" s="165" t="inlineStr">
        <is>
          <t>HENRY ROMERO</t>
        </is>
      </c>
      <c r="G1143" s="165" t="n">
        <v>2916</v>
      </c>
      <c r="H1143" s="165" t="n">
        <v>2782</v>
      </c>
      <c r="I1143" s="165" t="n">
        <v>5</v>
      </c>
      <c r="J1143" s="165" t="n">
        <v>126</v>
      </c>
      <c r="K1143" s="165" t="n">
        <v>-3</v>
      </c>
      <c r="L1143" s="397" t="n">
        <v>2880</v>
      </c>
      <c r="M1143" s="113" t="n"/>
      <c r="N1143" s="113" t="n"/>
      <c r="O1143" s="113" t="n"/>
      <c r="P1143" s="398" t="n"/>
      <c r="Q1143" s="398" t="n"/>
      <c r="R1143" s="113" t="n"/>
      <c r="S1143" s="113" t="n"/>
      <c r="T1143" s="113" t="n"/>
      <c r="U1143" s="113" t="n"/>
      <c r="V1143" s="113" t="n"/>
    </row>
    <row r="1144" ht="15.75" customHeight="1">
      <c r="A1144" s="398" t="n">
        <v>21</v>
      </c>
      <c r="B1144" s="238" t="n"/>
      <c r="C1144" s="164" t="n">
        <v>46158</v>
      </c>
      <c r="D1144" s="165" t="inlineStr">
        <is>
          <t>202 G.HUERTAS-LA MANIGUA</t>
        </is>
      </c>
      <c r="E1144" s="165" t="n">
        <v>47991</v>
      </c>
      <c r="F1144" s="165" t="inlineStr">
        <is>
          <t>MANUEL QUITIAN</t>
        </is>
      </c>
      <c r="G1144" s="165" t="n">
        <v>2352</v>
      </c>
      <c r="H1144" s="165" t="n">
        <v>2351</v>
      </c>
      <c r="I1144" s="165" t="n">
        <v>1</v>
      </c>
      <c r="J1144" s="165" t="n">
        <v>33</v>
      </c>
      <c r="K1144" s="165" t="n">
        <v>33</v>
      </c>
      <c r="L1144" s="397" t="n">
        <v>2916</v>
      </c>
      <c r="M1144" s="113" t="n"/>
      <c r="N1144" s="113" t="n"/>
      <c r="O1144" s="113" t="n"/>
      <c r="P1144" s="398" t="n"/>
      <c r="Q1144" s="398" t="n"/>
      <c r="R1144" s="113" t="n"/>
      <c r="S1144" s="113" t="n"/>
      <c r="T1144" s="113" t="n"/>
      <c r="U1144" s="113" t="n"/>
      <c r="V1144" s="113" t="n"/>
    </row>
    <row r="1145" ht="15.75" customHeight="1">
      <c r="A1145" s="398" t="n">
        <v>21</v>
      </c>
      <c r="B1145" s="238" t="n"/>
      <c r="C1145" s="164" t="n">
        <v>46158</v>
      </c>
      <c r="D1145" s="165" t="inlineStr">
        <is>
          <t>202 G.HUERTAS-LA MANIGUA</t>
        </is>
      </c>
      <c r="E1145" s="165" t="n">
        <v>47992</v>
      </c>
      <c r="F1145" s="165" t="inlineStr">
        <is>
          <t>ALBERTO HERRERA</t>
        </is>
      </c>
      <c r="G1145" s="165" t="n">
        <v>2592</v>
      </c>
      <c r="H1145" s="165" t="n">
        <v>2567</v>
      </c>
      <c r="I1145" s="165" t="n">
        <v>0</v>
      </c>
      <c r="J1145" s="165" t="n">
        <v>1</v>
      </c>
      <c r="K1145" s="165" t="n">
        <v>-24</v>
      </c>
      <c r="L1145" s="397" t="n">
        <v>2352</v>
      </c>
      <c r="M1145" s="113" t="n"/>
      <c r="N1145" s="113" t="n"/>
      <c r="O1145" s="113" t="n"/>
      <c r="P1145" s="398" t="n"/>
      <c r="Q1145" s="398" t="n"/>
      <c r="R1145" s="113" t="n"/>
      <c r="S1145" s="113" t="n"/>
      <c r="T1145" s="113" t="n"/>
      <c r="U1145" s="113" t="n"/>
      <c r="V1145" s="113" t="n"/>
    </row>
    <row r="1146" ht="15.75" customHeight="1">
      <c r="A1146" s="398" t="n">
        <v>21</v>
      </c>
      <c r="B1146" s="238" t="n"/>
      <c r="C1146" s="164" t="n">
        <v>46158</v>
      </c>
      <c r="D1146" s="165" t="inlineStr">
        <is>
          <t>202 G.HUERTAS-LA MANIGUA</t>
        </is>
      </c>
      <c r="E1146" s="165" t="n">
        <v>47988</v>
      </c>
      <c r="F1146" s="165" t="inlineStr">
        <is>
          <t>DIEGO NIÑO</t>
        </is>
      </c>
      <c r="G1146" s="165" t="n">
        <v>2880</v>
      </c>
      <c r="H1146" s="165" t="n">
        <v>2724</v>
      </c>
      <c r="I1146" s="165" t="n">
        <v>1</v>
      </c>
      <c r="J1146" s="165" t="n">
        <v>150</v>
      </c>
      <c r="K1146" s="165" t="n">
        <v>-5</v>
      </c>
      <c r="L1146" s="397" t="n">
        <v>2592</v>
      </c>
      <c r="M1146" s="113" t="n"/>
      <c r="N1146" s="113" t="n"/>
      <c r="O1146" s="113" t="n"/>
      <c r="P1146" s="398" t="n"/>
      <c r="Q1146" s="398" t="n"/>
      <c r="R1146" s="113" t="n"/>
      <c r="S1146" s="113" t="n"/>
      <c r="T1146" s="113" t="n"/>
      <c r="U1146" s="113" t="n"/>
      <c r="V1146" s="113" t="n"/>
    </row>
    <row r="1147" ht="15.75" customHeight="1">
      <c r="A1147" s="398" t="n">
        <v>21</v>
      </c>
      <c r="B1147" s="238" t="n"/>
      <c r="C1147" s="399" t="n"/>
      <c r="D1147" s="113" t="n"/>
      <c r="E1147" s="113" t="n"/>
      <c r="F1147" s="113" t="n"/>
      <c r="G1147" s="477">
        <f>SUBTOTAL(9,G1072:G1146)</f>
        <v/>
      </c>
      <c r="H1147" s="477">
        <f>SUBTOTAL(9,H1072:H1146)</f>
        <v/>
      </c>
      <c r="I1147" s="477">
        <f>SUBTOTAL(9,I1072:I1146)</f>
        <v/>
      </c>
      <c r="J1147" s="477">
        <f>SUBTOTAL(9,J1072:J1146)</f>
        <v/>
      </c>
      <c r="K1147" s="477">
        <f>SUBTOTAL(9,K1072:K1146)</f>
        <v/>
      </c>
      <c r="L1147" s="477">
        <f>SUBTOTAL(9,L1073:L1146)</f>
        <v/>
      </c>
      <c r="M1147" s="113" t="n"/>
      <c r="N1147" s="113" t="n"/>
      <c r="O1147" s="113" t="n"/>
      <c r="P1147" s="398" t="n"/>
      <c r="Q1147" s="398" t="n"/>
      <c r="R1147" s="113" t="n"/>
      <c r="S1147" s="113" t="n"/>
      <c r="T1147" s="113" t="n"/>
      <c r="U1147" s="113" t="n"/>
      <c r="V1147" s="113" t="n"/>
    </row>
    <row r="1148" ht="15.75" customHeight="1">
      <c r="A1148" s="398" t="n">
        <v>22</v>
      </c>
      <c r="B1148" s="238" t="n"/>
      <c r="C1148" s="164" t="n">
        <v>46159</v>
      </c>
      <c r="D1148" s="165" t="inlineStr">
        <is>
          <t>202 G.HUERTAS-LA MANIGUA</t>
        </is>
      </c>
      <c r="E1148" s="165" t="n">
        <v>47993</v>
      </c>
      <c r="F1148" s="165" t="inlineStr">
        <is>
          <t>EDWIN CAVIEDES</t>
        </is>
      </c>
      <c r="G1148" s="165" t="n">
        <v>2592</v>
      </c>
      <c r="H1148" s="165" t="n">
        <v>2588</v>
      </c>
      <c r="I1148" s="165" t="n">
        <v>6</v>
      </c>
      <c r="J1148" s="165" t="n">
        <v>0</v>
      </c>
      <c r="K1148" s="165" t="n">
        <v>2</v>
      </c>
      <c r="L1148" s="260" t="n">
        <v>2592</v>
      </c>
      <c r="M1148" s="113" t="n"/>
      <c r="N1148" s="113" t="n"/>
      <c r="O1148" s="113" t="n"/>
      <c r="P1148" s="398" t="n"/>
      <c r="Q1148" s="398" t="n"/>
      <c r="R1148" s="113" t="n"/>
      <c r="S1148" s="113" t="n"/>
      <c r="T1148" s="113" t="n"/>
      <c r="U1148" s="113" t="n"/>
      <c r="V1148" s="113" t="n"/>
    </row>
    <row r="1149" ht="15.75" customHeight="1">
      <c r="A1149" s="398" t="n">
        <v>22</v>
      </c>
      <c r="B1149" s="238" t="n"/>
      <c r="C1149" s="164" t="n">
        <v>46159</v>
      </c>
      <c r="D1149" s="165" t="inlineStr">
        <is>
          <t>202 G.HUERTAS-LA MANIGUA</t>
        </is>
      </c>
      <c r="E1149" s="165" t="n">
        <v>47994</v>
      </c>
      <c r="F1149" s="165" t="inlineStr">
        <is>
          <t>DUMAR ANGARITA</t>
        </is>
      </c>
      <c r="G1149" s="165" t="n">
        <v>2592</v>
      </c>
      <c r="H1149" s="165" t="n">
        <v>2588</v>
      </c>
      <c r="I1149" s="165" t="n">
        <v>4</v>
      </c>
      <c r="J1149" s="165" t="n">
        <v>4</v>
      </c>
      <c r="K1149" s="165" t="n">
        <v>4</v>
      </c>
      <c r="L1149" s="295" t="n">
        <v>2592</v>
      </c>
      <c r="M1149" s="113" t="n"/>
      <c r="N1149" s="113" t="n"/>
      <c r="O1149" s="113" t="n"/>
      <c r="P1149" s="398" t="n"/>
      <c r="Q1149" s="398" t="n"/>
      <c r="R1149" s="113" t="n"/>
      <c r="S1149" s="113" t="n"/>
      <c r="T1149" s="113" t="n"/>
      <c r="U1149" s="113" t="n"/>
      <c r="V1149" s="113" t="n"/>
    </row>
    <row r="1150" ht="15.75" customHeight="1">
      <c r="A1150" s="398" t="n">
        <v>22</v>
      </c>
      <c r="B1150" s="238" t="n"/>
      <c r="C1150" s="164" t="n">
        <v>46159</v>
      </c>
      <c r="D1150" s="165" t="inlineStr">
        <is>
          <t>202 G.HUERTAS-LA MANIGUA</t>
        </is>
      </c>
      <c r="E1150" s="165" t="n">
        <v>47995</v>
      </c>
      <c r="F1150" s="165" t="inlineStr">
        <is>
          <t>WILMER PIÑEROS</t>
        </is>
      </c>
      <c r="G1150" s="165" t="n">
        <v>3180</v>
      </c>
      <c r="H1150" s="165" t="n">
        <v>3157</v>
      </c>
      <c r="I1150" s="165" t="n">
        <v>10</v>
      </c>
      <c r="J1150" s="165" t="n">
        <v>21</v>
      </c>
      <c r="K1150" s="165" t="n">
        <v>8</v>
      </c>
      <c r="L1150" s="295" t="n">
        <v>2576</v>
      </c>
      <c r="M1150" s="113" t="n"/>
      <c r="N1150" s="113" t="n"/>
      <c r="O1150" s="113" t="n"/>
      <c r="P1150" s="398" t="n"/>
      <c r="Q1150" s="398" t="n"/>
      <c r="R1150" s="113" t="n"/>
      <c r="S1150" s="113" t="n"/>
      <c r="T1150" s="113" t="n"/>
      <c r="U1150" s="113" t="n"/>
      <c r="V1150" s="113" t="n"/>
    </row>
    <row r="1151" ht="15.75" customHeight="1">
      <c r="A1151" s="398" t="n">
        <v>22</v>
      </c>
      <c r="B1151" s="238" t="n"/>
      <c r="C1151" s="164" t="n">
        <v>46159</v>
      </c>
      <c r="D1151" s="165" t="inlineStr">
        <is>
          <t>202 G.HUERTAS-LA MANIGUA</t>
        </is>
      </c>
      <c r="E1151" s="165" t="n">
        <v>47996</v>
      </c>
      <c r="F1151" s="165" t="inlineStr">
        <is>
          <t>EDWIN ROJAS</t>
        </is>
      </c>
      <c r="G1151" s="165" t="n">
        <v>3420</v>
      </c>
      <c r="H1151" s="165" t="n">
        <v>3408</v>
      </c>
      <c r="I1151" s="165" t="n">
        <v>5</v>
      </c>
      <c r="J1151" s="165" t="n">
        <v>19</v>
      </c>
      <c r="K1151" s="165" t="n">
        <v>12</v>
      </c>
      <c r="L1151" s="295" t="n">
        <v>3180</v>
      </c>
      <c r="M1151" s="113" t="n"/>
      <c r="N1151" s="113" t="n"/>
      <c r="O1151" s="113" t="n"/>
      <c r="P1151" s="398" t="n"/>
      <c r="Q1151" s="398" t="n"/>
      <c r="R1151" s="113" t="n"/>
      <c r="S1151" s="113" t="n"/>
      <c r="T1151" s="113" t="n"/>
      <c r="U1151" s="113" t="n"/>
      <c r="V1151" s="113" t="n"/>
    </row>
    <row r="1152" ht="15.75" customHeight="1">
      <c r="A1152" s="398" t="n">
        <v>22</v>
      </c>
      <c r="B1152" s="238" t="n"/>
      <c r="C1152" s="164" t="n">
        <v>46159</v>
      </c>
      <c r="D1152" s="165" t="inlineStr">
        <is>
          <t>202 G.HUERTAS-LA MANIGUA</t>
        </is>
      </c>
      <c r="E1152" s="165" t="n">
        <v>47997</v>
      </c>
      <c r="F1152" s="165" t="inlineStr">
        <is>
          <t>DIEGO VEGA</t>
        </is>
      </c>
      <c r="G1152" s="165" t="n">
        <v>3240</v>
      </c>
      <c r="H1152" s="165" t="n">
        <v>3234</v>
      </c>
      <c r="I1152" s="165" t="n">
        <v>2</v>
      </c>
      <c r="J1152" s="165" t="n">
        <v>13</v>
      </c>
      <c r="K1152" s="165" t="n">
        <v>9</v>
      </c>
      <c r="L1152" s="295" t="n">
        <v>3420</v>
      </c>
      <c r="M1152" s="113" t="n"/>
      <c r="N1152" s="113" t="n"/>
      <c r="O1152" s="113" t="n"/>
      <c r="P1152" s="398" t="n"/>
      <c r="Q1152" s="398" t="n"/>
      <c r="R1152" s="113" t="n"/>
      <c r="S1152" s="113" t="n"/>
      <c r="T1152" s="113" t="n"/>
      <c r="U1152" s="113" t="n"/>
      <c r="V1152" s="113" t="n"/>
    </row>
    <row r="1153" ht="15.75" customHeight="1">
      <c r="A1153" s="398" t="n">
        <v>22</v>
      </c>
      <c r="B1153" s="238" t="n"/>
      <c r="C1153" s="164" t="n">
        <v>46159</v>
      </c>
      <c r="D1153" s="166" t="inlineStr">
        <is>
          <t>202 G.HUERTAS-LA MANIGUA</t>
        </is>
      </c>
      <c r="E1153" s="166" t="n">
        <v>47998</v>
      </c>
      <c r="F1153" s="166" t="inlineStr">
        <is>
          <t>ROBINSON PULIDO</t>
        </is>
      </c>
      <c r="G1153" s="166" t="n">
        <v>3240</v>
      </c>
      <c r="H1153" s="166" t="n">
        <v>3227</v>
      </c>
      <c r="I1153" s="166" t="n">
        <v>4</v>
      </c>
      <c r="J1153" s="166" t="n">
        <v>3</v>
      </c>
      <c r="K1153" s="166" t="n">
        <v>-6</v>
      </c>
      <c r="L1153" s="295" t="n">
        <v>3240</v>
      </c>
      <c r="M1153" s="113" t="n"/>
      <c r="N1153" s="113" t="n"/>
      <c r="O1153" s="113" t="n"/>
      <c r="P1153" s="398" t="n"/>
      <c r="Q1153" s="398" t="n"/>
      <c r="R1153" s="113" t="n"/>
      <c r="S1153" s="113" t="n"/>
      <c r="T1153" s="113" t="n"/>
      <c r="U1153" s="113" t="n"/>
      <c r="V1153" s="113" t="n"/>
    </row>
    <row r="1154" ht="15.75" customHeight="1">
      <c r="A1154" s="398" t="n">
        <v>22</v>
      </c>
      <c r="B1154" s="238" t="n"/>
      <c r="C1154" s="164" t="n">
        <v>46159</v>
      </c>
      <c r="D1154" s="166" t="inlineStr">
        <is>
          <t>202 G.HUERTAS-LA MANIGUA</t>
        </is>
      </c>
      <c r="E1154" s="166" t="n">
        <v>47999</v>
      </c>
      <c r="F1154" s="166" t="inlineStr">
        <is>
          <t>FERNANDO OYUELA</t>
        </is>
      </c>
      <c r="G1154" s="166" t="n">
        <v>3240</v>
      </c>
      <c r="H1154" s="166" t="n">
        <v>3226</v>
      </c>
      <c r="I1154" s="166" t="n">
        <v>3</v>
      </c>
      <c r="J1154" s="166" t="n">
        <v>5</v>
      </c>
      <c r="K1154" s="166" t="n">
        <v>-6</v>
      </c>
      <c r="L1154" s="295" t="n">
        <v>3240</v>
      </c>
      <c r="M1154" s="113" t="n"/>
      <c r="N1154" s="113" t="n"/>
      <c r="O1154" s="113" t="n"/>
      <c r="P1154" s="398" t="n"/>
      <c r="Q1154" s="398" t="n"/>
      <c r="R1154" s="113" t="n"/>
      <c r="S1154" s="113" t="n"/>
      <c r="T1154" s="113" t="n"/>
      <c r="U1154" s="113" t="n"/>
      <c r="V1154" s="113" t="n"/>
    </row>
    <row r="1155" ht="15.75" customHeight="1">
      <c r="A1155" s="398" t="n">
        <v>22</v>
      </c>
      <c r="B1155" s="238" t="n"/>
      <c r="C1155" s="164" t="n">
        <v>46159</v>
      </c>
      <c r="D1155" s="166" t="inlineStr">
        <is>
          <t>202 G.HUERTAS-LA MANIGUA</t>
        </is>
      </c>
      <c r="E1155" s="166" t="n">
        <v>48000</v>
      </c>
      <c r="F1155" s="166" t="inlineStr">
        <is>
          <t>JOSE SOLER</t>
        </is>
      </c>
      <c r="G1155" s="166" t="n">
        <v>2576</v>
      </c>
      <c r="H1155" s="166" t="n">
        <v>2556</v>
      </c>
      <c r="I1155" s="166" t="n">
        <v>4</v>
      </c>
      <c r="J1155" s="166" t="n">
        <v>8</v>
      </c>
      <c r="K1155" s="166" t="n">
        <v>-8</v>
      </c>
      <c r="L1155" s="295" t="n">
        <v>3240</v>
      </c>
      <c r="M1155" s="113" t="n"/>
      <c r="N1155" s="113" t="n"/>
      <c r="O1155" s="113" t="n"/>
      <c r="P1155" s="398" t="n"/>
      <c r="Q1155" s="398" t="n"/>
      <c r="R1155" s="113" t="n"/>
      <c r="S1155" s="113" t="n"/>
      <c r="T1155" s="113" t="n"/>
      <c r="U1155" s="113" t="n"/>
      <c r="V1155" s="113" t="n"/>
    </row>
    <row r="1156" ht="15.75" customHeight="1">
      <c r="A1156" s="398" t="n">
        <v>22</v>
      </c>
      <c r="B1156" s="238" t="n"/>
      <c r="C1156" s="399" t="n">
        <v>46159</v>
      </c>
      <c r="D1156" s="146" t="inlineStr">
        <is>
          <t>200 G. GARCERAS</t>
        </is>
      </c>
      <c r="E1156" s="146" t="n">
        <v>48806</v>
      </c>
      <c r="F1156" s="146" t="inlineStr">
        <is>
          <t xml:space="preserve">SEBASTIAN HIDALGO </t>
        </is>
      </c>
      <c r="G1156" s="395" t="n">
        <v>3190</v>
      </c>
      <c r="H1156" s="395" t="n">
        <v>3177</v>
      </c>
      <c r="I1156" s="395" t="n">
        <v>2</v>
      </c>
      <c r="J1156" s="395" t="n">
        <v>6</v>
      </c>
      <c r="K1156" s="395" t="n">
        <v>-5</v>
      </c>
      <c r="L1156" s="295" t="n">
        <v>3190</v>
      </c>
      <c r="M1156" s="113" t="n"/>
      <c r="N1156" s="113" t="n"/>
      <c r="O1156" s="113" t="n"/>
      <c r="P1156" s="398" t="n"/>
      <c r="Q1156" s="398" t="n"/>
      <c r="R1156" s="113" t="n"/>
      <c r="S1156" s="113" t="n"/>
      <c r="T1156" s="113" t="n"/>
      <c r="U1156" s="113" t="n"/>
      <c r="V1156" s="113" t="n"/>
    </row>
    <row r="1157" ht="15.75" customHeight="1">
      <c r="A1157" s="398" t="n">
        <v>22</v>
      </c>
      <c r="B1157" s="238" t="n"/>
      <c r="C1157" s="399" t="n">
        <v>46159</v>
      </c>
      <c r="D1157" s="146" t="inlineStr">
        <is>
          <t>200 G. GARCERAS</t>
        </is>
      </c>
      <c r="E1157" s="146" t="n">
        <v>48007</v>
      </c>
      <c r="F1157" s="146" t="inlineStr">
        <is>
          <t>ALBERTO HERRERA</t>
        </is>
      </c>
      <c r="G1157" s="395" t="n">
        <v>3190</v>
      </c>
      <c r="H1157" s="395" t="n">
        <v>3182</v>
      </c>
      <c r="I1157" s="395" t="n">
        <v>1</v>
      </c>
      <c r="J1157" s="395" t="n">
        <v>5</v>
      </c>
      <c r="K1157" s="395" t="n">
        <v>-2</v>
      </c>
      <c r="L1157" s="295" t="n">
        <v>3190</v>
      </c>
      <c r="M1157" s="113" t="n"/>
      <c r="N1157" s="113" t="n"/>
      <c r="O1157" s="113" t="n"/>
      <c r="P1157" s="398" t="n"/>
      <c r="Q1157" s="398" t="n"/>
      <c r="R1157" s="113" t="n"/>
      <c r="S1157" s="113" t="n"/>
      <c r="T1157" s="113" t="n"/>
      <c r="U1157" s="113" t="n"/>
      <c r="V1157" s="113" t="n"/>
    </row>
    <row r="1158" ht="15.75" customHeight="1">
      <c r="A1158" s="398" t="n">
        <v>22</v>
      </c>
      <c r="B1158" s="238" t="n"/>
      <c r="C1158" s="399" t="n">
        <v>46159</v>
      </c>
      <c r="D1158" s="146" t="inlineStr">
        <is>
          <t>200 G. GARCERAS</t>
        </is>
      </c>
      <c r="E1158" s="146" t="n">
        <v>48008</v>
      </c>
      <c r="F1158" s="146" t="inlineStr">
        <is>
          <t>EDUAN CAVIEDES</t>
        </is>
      </c>
      <c r="G1158" s="395" t="n">
        <v>3190</v>
      </c>
      <c r="H1158" s="395" t="n">
        <v>3182</v>
      </c>
      <c r="I1158" s="395" t="n">
        <v>1</v>
      </c>
      <c r="J1158" s="395" t="n">
        <v>4</v>
      </c>
      <c r="K1158" s="395" t="n">
        <v>-3</v>
      </c>
      <c r="L1158" s="295" t="n">
        <v>3190</v>
      </c>
      <c r="M1158" s="113" t="n"/>
      <c r="N1158" s="113" t="n"/>
      <c r="O1158" s="113" t="n"/>
      <c r="P1158" s="398" t="n"/>
      <c r="Q1158" s="398" t="n"/>
      <c r="R1158" s="113" t="n"/>
      <c r="S1158" s="113" t="n"/>
      <c r="T1158" s="113" t="n"/>
      <c r="U1158" s="113" t="n"/>
      <c r="V1158" s="113" t="n"/>
    </row>
    <row r="1159" ht="15.75" customHeight="1">
      <c r="A1159" s="398" t="n">
        <v>22</v>
      </c>
      <c r="B1159" s="238" t="n"/>
      <c r="C1159" s="399" t="n">
        <v>46159</v>
      </c>
      <c r="D1159" s="146" t="inlineStr">
        <is>
          <t>200 G. GARCERAS</t>
        </is>
      </c>
      <c r="E1159" s="146" t="n">
        <v>48011</v>
      </c>
      <c r="F1159" s="146" t="inlineStr">
        <is>
          <t>DUMAR ANGARITA</t>
        </is>
      </c>
      <c r="G1159" s="395" t="n">
        <v>3190</v>
      </c>
      <c r="H1159" s="395" t="n">
        <v>3199</v>
      </c>
      <c r="I1159" s="395" t="n">
        <v>1</v>
      </c>
      <c r="J1159" s="395" t="n">
        <v>1</v>
      </c>
      <c r="K1159" s="395" t="n">
        <v>11</v>
      </c>
      <c r="L1159" s="295" t="n">
        <v>3190</v>
      </c>
      <c r="M1159" s="113" t="n"/>
      <c r="N1159" s="113" t="n"/>
      <c r="O1159" s="113" t="n"/>
      <c r="P1159" s="398" t="n"/>
      <c r="Q1159" s="398" t="n"/>
      <c r="R1159" s="113" t="n"/>
      <c r="S1159" s="113" t="n"/>
      <c r="T1159" s="113" t="n"/>
      <c r="U1159" s="113" t="n"/>
      <c r="V1159" s="113" t="n"/>
    </row>
    <row r="1160" ht="15.75" customHeight="1">
      <c r="A1160" s="398" t="n">
        <v>22</v>
      </c>
      <c r="B1160" s="238" t="n"/>
      <c r="C1160" s="399" t="n">
        <v>46159</v>
      </c>
      <c r="D1160" s="146" t="inlineStr">
        <is>
          <t>200 G. GARCERAS</t>
        </is>
      </c>
      <c r="E1160" s="146" t="n">
        <v>48012</v>
      </c>
      <c r="F1160" s="146" t="inlineStr">
        <is>
          <t>JOSE SOLER</t>
        </is>
      </c>
      <c r="G1160" s="395" t="n">
        <v>3190</v>
      </c>
      <c r="H1160" s="395" t="n">
        <v>3187</v>
      </c>
      <c r="I1160" s="395" t="n">
        <v>1</v>
      </c>
      <c r="J1160" s="395" t="n">
        <v>3</v>
      </c>
      <c r="K1160" s="395" t="n">
        <v>1</v>
      </c>
      <c r="L1160" s="266" t="n">
        <v>3190</v>
      </c>
      <c r="M1160" s="113" t="n"/>
      <c r="N1160" s="113" t="n"/>
      <c r="O1160" s="113" t="n"/>
      <c r="P1160" s="398" t="n"/>
      <c r="Q1160" s="398" t="n"/>
      <c r="R1160" s="113" t="n"/>
      <c r="S1160" s="113" t="n"/>
      <c r="T1160" s="113" t="n"/>
      <c r="U1160" s="113" t="n"/>
      <c r="V1160" s="113" t="n"/>
    </row>
    <row r="1161" ht="15.75" customHeight="1">
      <c r="A1161" s="398" t="n">
        <v>22</v>
      </c>
      <c r="B1161" s="238" t="n"/>
      <c r="C1161" s="399" t="n">
        <v>46159</v>
      </c>
      <c r="D1161" s="146" t="inlineStr">
        <is>
          <t>200 G. GARCERAS</t>
        </is>
      </c>
      <c r="E1161" s="146" t="n">
        <v>48013</v>
      </c>
      <c r="F1161" s="146" t="inlineStr">
        <is>
          <t>WILMER PIÑEROS</t>
        </is>
      </c>
      <c r="G1161" s="395" t="n">
        <v>3070</v>
      </c>
      <c r="H1161" s="395" t="n">
        <v>3069</v>
      </c>
      <c r="I1161" s="395" t="n">
        <v>1</v>
      </c>
      <c r="J1161" s="395" t="n">
        <v>1</v>
      </c>
      <c r="K1161" s="395" t="n">
        <v>1</v>
      </c>
      <c r="L1161" s="266" t="n">
        <v>3070</v>
      </c>
      <c r="M1161" s="113" t="n"/>
      <c r="N1161" s="113" t="n"/>
      <c r="O1161" s="113" t="n"/>
      <c r="P1161" s="398" t="n"/>
      <c r="Q1161" s="398" t="n"/>
      <c r="R1161" s="113" t="n"/>
      <c r="S1161" s="113" t="n"/>
      <c r="T1161" s="113" t="n"/>
      <c r="U1161" s="113" t="n"/>
      <c r="V1161" s="113" t="n"/>
    </row>
    <row r="1162" ht="15.75" customHeight="1">
      <c r="A1162" s="398" t="n">
        <v>22</v>
      </c>
      <c r="B1162" s="238" t="n"/>
      <c r="C1162" s="399" t="n">
        <v>46159</v>
      </c>
      <c r="D1162" s="146" t="inlineStr">
        <is>
          <t>200 G. GARCERAS</t>
        </is>
      </c>
      <c r="E1162" s="146" t="n">
        <v>47014</v>
      </c>
      <c r="F1162" s="146" t="inlineStr">
        <is>
          <t>EDWIN ROJAS</t>
        </is>
      </c>
      <c r="G1162" s="395" t="n">
        <v>3070</v>
      </c>
      <c r="H1162" s="395" t="n">
        <v>3060</v>
      </c>
      <c r="I1162" s="395" t="n">
        <v>1</v>
      </c>
      <c r="J1162" s="395" t="n">
        <v>1</v>
      </c>
      <c r="K1162" s="395" t="n">
        <v>-8</v>
      </c>
      <c r="L1162" s="266" t="n">
        <v>3070</v>
      </c>
      <c r="M1162" s="113" t="n"/>
      <c r="N1162" s="113" t="n"/>
      <c r="O1162" s="113" t="n"/>
      <c r="P1162" s="398" t="n"/>
      <c r="Q1162" s="398" t="n"/>
      <c r="R1162" s="113" t="n"/>
      <c r="S1162" s="113" t="n"/>
      <c r="T1162" s="113" t="n"/>
      <c r="U1162" s="113" t="n"/>
      <c r="V1162" s="113" t="n"/>
    </row>
    <row r="1163" ht="15.75" customHeight="1">
      <c r="A1163" s="398" t="n">
        <v>22</v>
      </c>
      <c r="B1163" s="238" t="n"/>
      <c r="C1163" s="399" t="n">
        <v>46159</v>
      </c>
      <c r="D1163" s="146" t="inlineStr">
        <is>
          <t>200 G. GARCERAS</t>
        </is>
      </c>
      <c r="E1163" s="146" t="n">
        <v>47015</v>
      </c>
      <c r="F1163" s="146" t="inlineStr">
        <is>
          <t>ROBINSON PULIDO</t>
        </is>
      </c>
      <c r="G1163" s="395" t="n">
        <v>3070</v>
      </c>
      <c r="H1163" s="395" t="n">
        <v>3066</v>
      </c>
      <c r="I1163" s="395" t="n">
        <v>1</v>
      </c>
      <c r="J1163" s="395" t="n">
        <v>1</v>
      </c>
      <c r="K1163" s="395" t="n">
        <v>-2</v>
      </c>
      <c r="L1163" s="284" t="n">
        <v>3070</v>
      </c>
      <c r="M1163" s="113" t="n"/>
      <c r="N1163" s="113" t="n"/>
      <c r="O1163" s="113" t="n"/>
      <c r="P1163" s="398" t="n"/>
      <c r="Q1163" s="398" t="n"/>
      <c r="R1163" s="113" t="n"/>
      <c r="S1163" s="113" t="n"/>
      <c r="T1163" s="113" t="n"/>
      <c r="U1163" s="113" t="n"/>
      <c r="V1163" s="113" t="n"/>
    </row>
    <row r="1164" ht="15.75" customHeight="1">
      <c r="A1164" s="398" t="n">
        <v>22</v>
      </c>
      <c r="B1164" s="238" t="n"/>
      <c r="C1164" s="164" t="n">
        <v>46161</v>
      </c>
      <c r="D1164" s="166" t="inlineStr">
        <is>
          <t>202 G.HUERTAS-LA MANIGUA</t>
        </is>
      </c>
      <c r="E1164" s="166" t="n">
        <v>48026</v>
      </c>
      <c r="F1164" s="166" t="inlineStr">
        <is>
          <t>MANUEL QUITIAN</t>
        </is>
      </c>
      <c r="G1164" s="166" t="n">
        <v>2916</v>
      </c>
      <c r="H1164" s="166" t="n">
        <v>2875</v>
      </c>
      <c r="I1164" s="166" t="n">
        <v>16</v>
      </c>
      <c r="J1164" s="166" t="n">
        <v>20</v>
      </c>
      <c r="K1164" s="166" t="n">
        <v>-5</v>
      </c>
      <c r="L1164" s="260" t="n">
        <v>2916</v>
      </c>
      <c r="M1164" s="113" t="n"/>
      <c r="N1164" s="113" t="n"/>
      <c r="O1164" s="113" t="n"/>
      <c r="P1164" s="398" t="n"/>
      <c r="Q1164" s="398" t="n"/>
      <c r="R1164" s="113" t="n"/>
      <c r="S1164" s="113" t="n"/>
      <c r="T1164" s="113" t="n"/>
      <c r="U1164" s="113" t="n"/>
      <c r="V1164" s="113" t="n"/>
    </row>
    <row r="1165" ht="15.75" customHeight="1">
      <c r="A1165" s="398" t="n">
        <v>22</v>
      </c>
      <c r="B1165" s="238" t="n"/>
      <c r="C1165" s="164" t="n">
        <v>46161</v>
      </c>
      <c r="D1165" s="166" t="inlineStr">
        <is>
          <t>202 G.HUERTAS-LA MANIGUA</t>
        </is>
      </c>
      <c r="E1165" s="166" t="n">
        <v>48027</v>
      </c>
      <c r="F1165" s="166" t="inlineStr">
        <is>
          <t>DIEGO NIÑO</t>
        </is>
      </c>
      <c r="G1165" s="166" t="n">
        <v>1463</v>
      </c>
      <c r="H1165" s="166" t="n">
        <v>1442</v>
      </c>
      <c r="I1165" s="166" t="n">
        <v>8</v>
      </c>
      <c r="J1165" s="166" t="n">
        <v>26</v>
      </c>
      <c r="K1165" s="166" t="n">
        <v>13</v>
      </c>
      <c r="L1165" s="266" t="n">
        <v>2916</v>
      </c>
      <c r="M1165" s="113" t="n"/>
      <c r="N1165" s="113" t="n"/>
      <c r="O1165" s="113" t="n"/>
      <c r="P1165" s="398" t="n"/>
      <c r="Q1165" s="398" t="n"/>
      <c r="R1165" s="113" t="n"/>
      <c r="S1165" s="113" t="n"/>
      <c r="T1165" s="113" t="n"/>
      <c r="U1165" s="113" t="n"/>
      <c r="V1165" s="113" t="n"/>
    </row>
    <row r="1166" ht="15.75" customHeight="1">
      <c r="A1166" s="398" t="n">
        <v>22</v>
      </c>
      <c r="B1166" s="238" t="n"/>
      <c r="C1166" s="164" t="n">
        <v>46161</v>
      </c>
      <c r="D1166" s="166" t="inlineStr">
        <is>
          <t>202 G.HUERTAS-LA MANIGUA</t>
        </is>
      </c>
      <c r="E1166" s="166" t="n">
        <v>48028</v>
      </c>
      <c r="F1166" s="166" t="inlineStr">
        <is>
          <t>ALEX GOMEZ</t>
        </is>
      </c>
      <c r="G1166" s="166" t="n">
        <v>2880</v>
      </c>
      <c r="H1166" s="166" t="n">
        <v>2793</v>
      </c>
      <c r="I1166" s="166" t="n">
        <v>11</v>
      </c>
      <c r="J1166" s="166" t="n">
        <v>72</v>
      </c>
      <c r="K1166" s="166" t="n">
        <v>-4</v>
      </c>
      <c r="L1166" s="266" t="n">
        <v>1463</v>
      </c>
      <c r="M1166" s="113" t="n"/>
      <c r="N1166" s="113" t="n"/>
      <c r="O1166" s="113" t="n"/>
      <c r="P1166" s="398" t="n"/>
      <c r="Q1166" s="398" t="n"/>
      <c r="R1166" s="113" t="n"/>
      <c r="S1166" s="113" t="n"/>
      <c r="T1166" s="113" t="n"/>
      <c r="U1166" s="113" t="n"/>
      <c r="V1166" s="113" t="n"/>
    </row>
    <row r="1167" ht="15.75" customHeight="1">
      <c r="A1167" s="398" t="n">
        <v>22</v>
      </c>
      <c r="B1167" s="238" t="n"/>
      <c r="C1167" s="164" t="n">
        <v>46161</v>
      </c>
      <c r="D1167" s="166" t="inlineStr">
        <is>
          <t>202 G.HUERTAS-LA MANIGUA</t>
        </is>
      </c>
      <c r="E1167" s="166" t="n">
        <v>48029</v>
      </c>
      <c r="F1167" s="146" t="inlineStr">
        <is>
          <t>JAIRO CUBILLOS</t>
        </is>
      </c>
      <c r="G1167" s="146" t="n">
        <v>2916</v>
      </c>
      <c r="H1167" s="146" t="n">
        <v>2886</v>
      </c>
      <c r="I1167" s="146" t="n">
        <v>5</v>
      </c>
      <c r="J1167" s="146" t="n">
        <v>21</v>
      </c>
      <c r="K1167" s="166" t="n">
        <v>-4</v>
      </c>
      <c r="L1167" s="266" t="n">
        <v>2880</v>
      </c>
      <c r="M1167" s="113" t="n"/>
      <c r="N1167" s="113" t="n"/>
      <c r="O1167" s="113" t="n"/>
      <c r="P1167" s="398" t="n"/>
      <c r="Q1167" s="398" t="n"/>
      <c r="R1167" s="113" t="n"/>
      <c r="S1167" s="113" t="n"/>
      <c r="T1167" s="113" t="n"/>
      <c r="U1167" s="113" t="n"/>
      <c r="V1167" s="113" t="n"/>
    </row>
    <row r="1168" ht="15.75" customHeight="1">
      <c r="A1168" s="398" t="n">
        <v>22</v>
      </c>
      <c r="B1168" s="238" t="n"/>
      <c r="C1168" s="164" t="n">
        <v>46161</v>
      </c>
      <c r="D1168" s="166" t="inlineStr">
        <is>
          <t>202 G.HUERTAS-LA MANIGUA</t>
        </is>
      </c>
      <c r="E1168" s="166" t="n">
        <v>48030</v>
      </c>
      <c r="F1168" s="166" t="inlineStr">
        <is>
          <t xml:space="preserve">SEBASTIAN HIDALGO </t>
        </is>
      </c>
      <c r="G1168" s="166" t="n">
        <v>2853</v>
      </c>
      <c r="H1168" s="166" t="n">
        <v>2838</v>
      </c>
      <c r="I1168" s="166" t="n">
        <v>2</v>
      </c>
      <c r="J1168" s="166" t="n">
        <v>10</v>
      </c>
      <c r="K1168" s="166" t="n">
        <v>-3</v>
      </c>
      <c r="L1168" s="266" t="n">
        <v>2916</v>
      </c>
      <c r="M1168" s="113" t="n"/>
      <c r="N1168" s="113" t="n"/>
      <c r="O1168" s="113" t="n"/>
      <c r="P1168" s="398" t="n"/>
      <c r="Q1168" s="398" t="n"/>
      <c r="R1168" s="113" t="n"/>
      <c r="S1168" s="113" t="n"/>
      <c r="T1168" s="113" t="n"/>
      <c r="U1168" s="113" t="n"/>
      <c r="V1168" s="113" t="n"/>
    </row>
    <row r="1169" ht="15.75" customHeight="1">
      <c r="A1169" s="398" t="n">
        <v>22</v>
      </c>
      <c r="B1169" s="238" t="n"/>
      <c r="C1169" s="164" t="n">
        <v>46161</v>
      </c>
      <c r="D1169" s="166" t="inlineStr">
        <is>
          <t>202 G.HUERTAS-LA MANIGUA</t>
        </is>
      </c>
      <c r="E1169" s="166" t="n">
        <v>48031</v>
      </c>
      <c r="F1169" s="166" t="inlineStr">
        <is>
          <t>ALBERTO LOPEZ</t>
        </is>
      </c>
      <c r="G1169" s="166" t="n">
        <v>2916</v>
      </c>
      <c r="H1169" s="166" t="n">
        <v>2892</v>
      </c>
      <c r="I1169" s="166" t="n">
        <v>9</v>
      </c>
      <c r="J1169" s="166" t="n">
        <v>10</v>
      </c>
      <c r="K1169" s="166" t="n">
        <v>-5</v>
      </c>
      <c r="L1169" s="266" t="n">
        <v>2853</v>
      </c>
      <c r="M1169" s="113" t="n"/>
      <c r="N1169" s="113" t="n"/>
      <c r="O1169" s="113" t="n"/>
      <c r="P1169" s="398" t="n"/>
      <c r="Q1169" s="398" t="n"/>
      <c r="R1169" s="113" t="n"/>
      <c r="S1169" s="113" t="n"/>
      <c r="T1169" s="113" t="n"/>
      <c r="U1169" s="113" t="n"/>
      <c r="V1169" s="113" t="n"/>
    </row>
    <row r="1170" ht="15.75" customHeight="1">
      <c r="A1170" s="398" t="n">
        <v>22</v>
      </c>
      <c r="B1170" s="238" t="n"/>
      <c r="C1170" s="164" t="n">
        <v>46161</v>
      </c>
      <c r="D1170" s="166" t="inlineStr">
        <is>
          <t>202 G.HUERTAS-LA MANIGUA</t>
        </is>
      </c>
      <c r="E1170" s="166" t="n">
        <v>48032</v>
      </c>
      <c r="F1170" s="166" t="inlineStr">
        <is>
          <t>HENRY ROMERO</t>
        </is>
      </c>
      <c r="G1170" s="166" t="n">
        <v>2916</v>
      </c>
      <c r="H1170" s="166" t="n">
        <v>2897</v>
      </c>
      <c r="I1170" s="166" t="n">
        <v>5</v>
      </c>
      <c r="J1170" s="166" t="n">
        <v>9</v>
      </c>
      <c r="K1170" s="166" t="n">
        <v>-5</v>
      </c>
      <c r="L1170" s="266" t="n">
        <v>2916</v>
      </c>
      <c r="M1170" s="113" t="n"/>
      <c r="N1170" s="113" t="n"/>
      <c r="O1170" s="113" t="n"/>
      <c r="P1170" s="398" t="n"/>
      <c r="Q1170" s="398" t="n"/>
      <c r="R1170" s="113" t="n"/>
      <c r="S1170" s="113" t="n"/>
      <c r="T1170" s="113" t="n"/>
      <c r="U1170" s="113" t="n"/>
      <c r="V1170" s="113" t="n"/>
    </row>
    <row r="1171" ht="15.75" customHeight="1">
      <c r="A1171" s="398" t="n">
        <v>22</v>
      </c>
      <c r="B1171" s="238" t="n"/>
      <c r="C1171" s="164" t="n">
        <v>46161</v>
      </c>
      <c r="D1171" s="166" t="inlineStr">
        <is>
          <t>202 G.HUERTAS-LA MANIGUA</t>
        </is>
      </c>
      <c r="E1171" s="166" t="n">
        <v>48033</v>
      </c>
      <c r="F1171" s="166" t="inlineStr">
        <is>
          <t>FABIO ALDANA</t>
        </is>
      </c>
      <c r="G1171" s="166" t="n">
        <v>2916</v>
      </c>
      <c r="H1171" s="166" t="n">
        <v>2891</v>
      </c>
      <c r="I1171" s="166" t="n">
        <v>5</v>
      </c>
      <c r="J1171" s="166" t="n">
        <v>15</v>
      </c>
      <c r="K1171" s="166" t="n">
        <v>-5</v>
      </c>
      <c r="L1171" s="266" t="n">
        <v>2916</v>
      </c>
      <c r="M1171" s="113" t="n"/>
      <c r="N1171" s="113" t="n"/>
      <c r="O1171" s="113" t="n"/>
      <c r="P1171" s="398" t="n"/>
      <c r="Q1171" s="398" t="n"/>
      <c r="R1171" s="113" t="n"/>
      <c r="S1171" s="113" t="n"/>
      <c r="T1171" s="113" t="n"/>
      <c r="U1171" s="113" t="n"/>
      <c r="V1171" s="113" t="n"/>
    </row>
    <row r="1172" ht="15.75" customHeight="1">
      <c r="A1172" s="398" t="n">
        <v>22</v>
      </c>
      <c r="B1172" s="238" t="n"/>
      <c r="C1172" s="164" t="n">
        <v>46161</v>
      </c>
      <c r="D1172" s="166" t="inlineStr">
        <is>
          <t>202 G.HUERTAS-LA MANIGUA</t>
        </is>
      </c>
      <c r="E1172" s="166" t="n">
        <v>48042</v>
      </c>
      <c r="F1172" s="166" t="inlineStr">
        <is>
          <t>MANUEL QUITIAN</t>
        </is>
      </c>
      <c r="G1172" s="166" t="n">
        <v>2916</v>
      </c>
      <c r="H1172" s="166" t="n">
        <v>2900</v>
      </c>
      <c r="I1172" s="166" t="n">
        <v>6</v>
      </c>
      <c r="J1172" s="166" t="n">
        <v>8</v>
      </c>
      <c r="K1172" s="166" t="n">
        <v>-2</v>
      </c>
      <c r="L1172" s="266" t="n">
        <v>2916</v>
      </c>
      <c r="M1172" s="113" t="n"/>
      <c r="N1172" s="113" t="n"/>
      <c r="O1172" s="113" t="n"/>
      <c r="P1172" s="398" t="n"/>
      <c r="Q1172" s="398" t="n"/>
      <c r="R1172" s="113" t="n"/>
      <c r="S1172" s="113" t="n"/>
      <c r="T1172" s="113" t="n"/>
      <c r="U1172" s="113" t="n"/>
      <c r="V1172" s="113" t="n"/>
    </row>
    <row r="1173" ht="15.75" customHeight="1">
      <c r="A1173" s="398" t="n">
        <v>22</v>
      </c>
      <c r="B1173" s="238" t="n"/>
      <c r="C1173" s="164" t="n">
        <v>46161</v>
      </c>
      <c r="D1173" s="166" t="inlineStr">
        <is>
          <t>202 G.HUERTAS-LA MANIGUA</t>
        </is>
      </c>
      <c r="E1173" s="166" t="n">
        <v>48043</v>
      </c>
      <c r="F1173" s="166" t="inlineStr">
        <is>
          <t>FABIO ALDANA</t>
        </is>
      </c>
      <c r="G1173" s="166" t="n">
        <v>2256</v>
      </c>
      <c r="H1173" s="166" t="n">
        <v>2235</v>
      </c>
      <c r="I1173" s="166" t="n">
        <v>3</v>
      </c>
      <c r="J1173" s="166" t="n">
        <v>12</v>
      </c>
      <c r="K1173" s="166" t="n">
        <v>-6</v>
      </c>
      <c r="L1173" s="266" t="n">
        <v>2256</v>
      </c>
      <c r="M1173" s="113" t="n"/>
      <c r="N1173" s="113" t="n"/>
      <c r="O1173" s="113" t="n"/>
      <c r="P1173" s="398" t="n"/>
      <c r="Q1173" s="398" t="n"/>
      <c r="R1173" s="113" t="n"/>
      <c r="S1173" s="113" t="n"/>
      <c r="T1173" s="113" t="n"/>
      <c r="U1173" s="113" t="n"/>
      <c r="V1173" s="113" t="n"/>
    </row>
    <row r="1174" ht="15.75" customHeight="1">
      <c r="A1174" s="398" t="n">
        <v>22</v>
      </c>
      <c r="B1174" s="238" t="n"/>
      <c r="C1174" s="164" t="n">
        <v>46161</v>
      </c>
      <c r="D1174" s="166" t="inlineStr">
        <is>
          <t>202 G.HUERTAS-LA MANIGUA</t>
        </is>
      </c>
      <c r="E1174" s="166" t="n">
        <v>48044</v>
      </c>
      <c r="F1174" s="166" t="inlineStr">
        <is>
          <t>DIEGO NIÑO</t>
        </is>
      </c>
      <c r="G1174" s="166" t="n">
        <v>3240</v>
      </c>
      <c r="H1174" s="166" t="n">
        <v>3229</v>
      </c>
      <c r="I1174" s="166" t="n">
        <v>2</v>
      </c>
      <c r="J1174" s="166" t="n">
        <v>6</v>
      </c>
      <c r="K1174" s="166" t="n">
        <v>-3</v>
      </c>
      <c r="L1174" s="266" t="n">
        <v>3240</v>
      </c>
      <c r="M1174" s="113" t="n"/>
      <c r="N1174" s="113" t="n"/>
      <c r="O1174" s="113" t="n"/>
      <c r="P1174" s="398" t="n"/>
      <c r="Q1174" s="398" t="n"/>
      <c r="R1174" s="113" t="n"/>
      <c r="S1174" s="113" t="n"/>
      <c r="T1174" s="113" t="n"/>
      <c r="U1174" s="113" t="n"/>
      <c r="V1174" s="113" t="n"/>
    </row>
    <row r="1175" ht="15.75" customHeight="1">
      <c r="A1175" s="398" t="n">
        <v>22</v>
      </c>
      <c r="B1175" s="238" t="n"/>
      <c r="C1175" s="164" t="n">
        <v>46161</v>
      </c>
      <c r="D1175" s="166" t="inlineStr">
        <is>
          <t>202 G.HUERTAS-LA MANIGUA</t>
        </is>
      </c>
      <c r="E1175" s="166" t="n">
        <v>48045</v>
      </c>
      <c r="F1175" s="166" t="inlineStr">
        <is>
          <t>ALEX GOMEZ</t>
        </is>
      </c>
      <c r="G1175" s="166" t="n">
        <v>3240</v>
      </c>
      <c r="H1175" s="166" t="n">
        <v>3221</v>
      </c>
      <c r="I1175" s="166" t="n">
        <v>2</v>
      </c>
      <c r="J1175" s="166" t="n">
        <v>9</v>
      </c>
      <c r="K1175" s="166" t="n">
        <v>-8</v>
      </c>
      <c r="L1175" s="266" t="n">
        <v>3240</v>
      </c>
      <c r="M1175" s="113" t="n"/>
      <c r="N1175" s="113" t="n"/>
      <c r="O1175" s="113" t="n"/>
      <c r="P1175" s="398" t="n"/>
      <c r="Q1175" s="398" t="n"/>
      <c r="R1175" s="113" t="n"/>
      <c r="S1175" s="113" t="n"/>
      <c r="T1175" s="113" t="n"/>
      <c r="U1175" s="113" t="n"/>
      <c r="V1175" s="113" t="n"/>
    </row>
    <row r="1176" ht="15.75" customHeight="1">
      <c r="A1176" s="398" t="n">
        <v>22</v>
      </c>
      <c r="B1176" s="238" t="n"/>
      <c r="C1176" s="399" t="n">
        <v>46161</v>
      </c>
      <c r="D1176" s="146" t="inlineStr">
        <is>
          <t>200 G. GARCERAS</t>
        </is>
      </c>
      <c r="E1176" s="146" t="n">
        <v>48046</v>
      </c>
      <c r="F1176" s="146" t="inlineStr">
        <is>
          <t xml:space="preserve">SEBASTIAN HIDALGO </t>
        </is>
      </c>
      <c r="G1176" s="395" t="n">
        <v>3060</v>
      </c>
      <c r="H1176" s="395" t="n">
        <v>3054</v>
      </c>
      <c r="I1176" s="395" t="n">
        <v>2</v>
      </c>
      <c r="J1176" s="395" t="n">
        <v>2</v>
      </c>
      <c r="K1176" s="395" t="n">
        <v>-2</v>
      </c>
      <c r="L1176" s="266" t="n">
        <v>3060</v>
      </c>
      <c r="M1176" s="113" t="n"/>
      <c r="N1176" s="113" t="n"/>
      <c r="O1176" s="113" t="n"/>
      <c r="P1176" s="398" t="n"/>
      <c r="Q1176" s="398" t="n"/>
      <c r="R1176" s="113" t="n"/>
      <c r="S1176" s="113" t="n"/>
      <c r="T1176" s="113" t="n"/>
      <c r="U1176" s="113" t="n"/>
      <c r="V1176" s="113" t="n"/>
    </row>
    <row r="1177" ht="15.75" customHeight="1">
      <c r="A1177" s="398" t="n">
        <v>22</v>
      </c>
      <c r="B1177" s="238" t="n"/>
      <c r="C1177" s="399" t="n">
        <v>46161</v>
      </c>
      <c r="D1177" s="146" t="inlineStr">
        <is>
          <t>200 G. GARCERAS</t>
        </is>
      </c>
      <c r="E1177" s="146" t="n">
        <v>48047</v>
      </c>
      <c r="F1177" s="146" t="inlineStr">
        <is>
          <t>HENRY ROMERO</t>
        </is>
      </c>
      <c r="G1177" s="395" t="n">
        <v>2950</v>
      </c>
      <c r="H1177" s="395" t="n">
        <v>2947</v>
      </c>
      <c r="I1177" s="395" t="n">
        <v>2</v>
      </c>
      <c r="J1177" s="395" t="n">
        <v>2</v>
      </c>
      <c r="K1177" s="395" t="n">
        <v>1</v>
      </c>
      <c r="L1177" s="266" t="n">
        <v>2950</v>
      </c>
      <c r="M1177" s="113" t="n"/>
      <c r="N1177" s="113" t="n"/>
      <c r="O1177" s="113" t="n"/>
      <c r="P1177" s="398" t="n"/>
      <c r="Q1177" s="398" t="n"/>
      <c r="R1177" s="113" t="n"/>
      <c r="S1177" s="113" t="n"/>
      <c r="T1177" s="113" t="n"/>
      <c r="U1177" s="113" t="n"/>
      <c r="V1177" s="113" t="n"/>
    </row>
    <row r="1178" ht="15.75" customHeight="1">
      <c r="A1178" s="398" t="n">
        <v>22</v>
      </c>
      <c r="B1178" s="238" t="n"/>
      <c r="C1178" s="399" t="n">
        <v>46161</v>
      </c>
      <c r="D1178" s="146" t="inlineStr">
        <is>
          <t>200 G. GARCERAS</t>
        </is>
      </c>
      <c r="E1178" s="146" t="n">
        <v>47048</v>
      </c>
      <c r="F1178" s="146" t="inlineStr">
        <is>
          <t>FERNANDO OYUELA</t>
        </is>
      </c>
      <c r="G1178" s="395" t="n">
        <v>3200</v>
      </c>
      <c r="H1178" s="395" t="n">
        <v>3200</v>
      </c>
      <c r="I1178" s="395" t="n">
        <v>1</v>
      </c>
      <c r="J1178" s="395" t="n">
        <v>4</v>
      </c>
      <c r="K1178" s="395" t="n">
        <v>5</v>
      </c>
      <c r="L1178" s="284" t="n">
        <v>3200</v>
      </c>
      <c r="M1178" s="113" t="n"/>
      <c r="N1178" s="113" t="n"/>
      <c r="O1178" s="113" t="n"/>
      <c r="P1178" s="398" t="n"/>
      <c r="Q1178" s="398" t="n"/>
      <c r="R1178" s="113" t="n"/>
      <c r="S1178" s="113" t="n"/>
      <c r="T1178" s="113" t="n"/>
      <c r="U1178" s="113" t="n"/>
      <c r="V1178" s="113" t="n"/>
    </row>
    <row r="1179" ht="15.75" customHeight="1">
      <c r="A1179" s="398" t="n">
        <v>22</v>
      </c>
      <c r="B1179" s="238" t="n"/>
      <c r="C1179" s="399" t="n">
        <v>46162</v>
      </c>
      <c r="D1179" s="146" t="inlineStr">
        <is>
          <t>200 G. GARCERAS</t>
        </is>
      </c>
      <c r="E1179" s="146" t="n">
        <v>48062</v>
      </c>
      <c r="F1179" s="146" t="inlineStr">
        <is>
          <t>DUMAR ANGARITA</t>
        </is>
      </c>
      <c r="G1179" s="395" t="n">
        <v>3200</v>
      </c>
      <c r="H1179" s="395" t="n">
        <v>3197</v>
      </c>
      <c r="I1179" s="395" t="n">
        <v>4</v>
      </c>
      <c r="J1179" s="395" t="n">
        <v>2</v>
      </c>
      <c r="K1179" s="395" t="n">
        <v>3</v>
      </c>
      <c r="L1179" s="260" t="n">
        <v>3200</v>
      </c>
      <c r="M1179" s="113" t="n"/>
      <c r="N1179" s="113" t="n"/>
      <c r="O1179" s="113" t="n"/>
      <c r="P1179" s="398" t="n"/>
      <c r="Q1179" s="398" t="n"/>
      <c r="R1179" s="113" t="n"/>
      <c r="S1179" s="113" t="n"/>
      <c r="T1179" s="113" t="n"/>
      <c r="U1179" s="113" t="n"/>
      <c r="V1179" s="113" t="n"/>
    </row>
    <row r="1180" ht="15.75" customHeight="1">
      <c r="A1180" s="398" t="n">
        <v>22</v>
      </c>
      <c r="B1180" s="238" t="n"/>
      <c r="C1180" s="399" t="n">
        <v>46162</v>
      </c>
      <c r="D1180" s="146" t="inlineStr">
        <is>
          <t>200 G. GARCERAS</t>
        </is>
      </c>
      <c r="E1180" s="146" t="n">
        <v>48063</v>
      </c>
      <c r="F1180" s="146" t="inlineStr">
        <is>
          <t>DIEGO NIÑO</t>
        </is>
      </c>
      <c r="G1180" s="395" t="n">
        <v>3200</v>
      </c>
      <c r="H1180" s="395" t="n">
        <v>3197</v>
      </c>
      <c r="I1180" s="395" t="n">
        <v>0</v>
      </c>
      <c r="J1180" s="395" t="n">
        <v>3</v>
      </c>
      <c r="K1180" s="395" t="n">
        <v>0</v>
      </c>
      <c r="L1180" s="266" t="n">
        <v>3200</v>
      </c>
      <c r="M1180" s="113" t="n"/>
      <c r="N1180" s="113" t="n"/>
      <c r="O1180" s="113" t="n"/>
      <c r="P1180" s="398" t="n"/>
      <c r="Q1180" s="398" t="n"/>
      <c r="R1180" s="113" t="n"/>
      <c r="S1180" s="113" t="n"/>
      <c r="T1180" s="113" t="n"/>
      <c r="U1180" s="113" t="n"/>
      <c r="V1180" s="113" t="n"/>
    </row>
    <row r="1181" ht="15.75" customHeight="1">
      <c r="A1181" s="398" t="n">
        <v>22</v>
      </c>
      <c r="B1181" s="238" t="n"/>
      <c r="C1181" s="399" t="n">
        <v>46162</v>
      </c>
      <c r="D1181" s="146" t="inlineStr">
        <is>
          <t>200 G. GARCERAS</t>
        </is>
      </c>
      <c r="E1181" s="146" t="n">
        <v>48064</v>
      </c>
      <c r="F1181" s="146" t="inlineStr">
        <is>
          <t>WILMER PIÑEROS</t>
        </is>
      </c>
      <c r="G1181" s="395" t="n">
        <v>3170</v>
      </c>
      <c r="H1181" s="395" t="n">
        <v>3168</v>
      </c>
      <c r="I1181" s="395" t="n">
        <v>0</v>
      </c>
      <c r="J1181" s="395" t="n">
        <v>2</v>
      </c>
      <c r="K1181" s="395" t="n">
        <v>0</v>
      </c>
      <c r="L1181" s="266" t="n">
        <v>3160</v>
      </c>
      <c r="M1181" s="113" t="n"/>
      <c r="N1181" s="113" t="n"/>
      <c r="O1181" s="113" t="n"/>
      <c r="P1181" s="398" t="n"/>
      <c r="Q1181" s="398" t="n"/>
      <c r="R1181" s="113" t="n"/>
      <c r="S1181" s="113" t="n"/>
      <c r="T1181" s="113" t="n"/>
      <c r="U1181" s="113" t="n"/>
      <c r="V1181" s="113" t="n"/>
    </row>
    <row r="1182" ht="15.75" customHeight="1">
      <c r="A1182" s="398" t="n">
        <v>22</v>
      </c>
      <c r="B1182" s="238" t="n"/>
      <c r="C1182" s="399" t="n">
        <v>46162</v>
      </c>
      <c r="D1182" s="146" t="inlineStr">
        <is>
          <t>200 G. GARCERAS</t>
        </is>
      </c>
      <c r="E1182" s="146" t="n">
        <v>48065</v>
      </c>
      <c r="F1182" s="146" t="inlineStr">
        <is>
          <t>FERNANDO OYUELA</t>
        </is>
      </c>
      <c r="G1182" s="395" t="n">
        <v>3170</v>
      </c>
      <c r="H1182" s="395" t="n">
        <v>3167</v>
      </c>
      <c r="I1182" s="395" t="n">
        <v>2</v>
      </c>
      <c r="J1182" s="395" t="n">
        <v>1</v>
      </c>
      <c r="K1182" s="395" t="n">
        <v>0</v>
      </c>
      <c r="L1182" s="266" t="n">
        <v>3160</v>
      </c>
      <c r="M1182" s="113" t="n"/>
      <c r="N1182" s="113" t="n"/>
      <c r="O1182" s="113" t="n"/>
      <c r="P1182" s="398" t="n"/>
      <c r="Q1182" s="398" t="n"/>
      <c r="R1182" s="113" t="n"/>
      <c r="S1182" s="113" t="n"/>
      <c r="T1182" s="113" t="n"/>
      <c r="U1182" s="113" t="n"/>
      <c r="V1182" s="113" t="n"/>
    </row>
    <row r="1183" ht="15.75" customHeight="1">
      <c r="A1183" s="398" t="n">
        <v>22</v>
      </c>
      <c r="B1183" s="238" t="n"/>
      <c r="C1183" s="399" t="n">
        <v>46162</v>
      </c>
      <c r="D1183" s="146" t="inlineStr">
        <is>
          <t>200 G. GARCERAS</t>
        </is>
      </c>
      <c r="E1183" s="146" t="n">
        <v>48066</v>
      </c>
      <c r="F1183" s="146" t="inlineStr">
        <is>
          <t xml:space="preserve">SEBASTIAN HIDALGO </t>
        </is>
      </c>
      <c r="G1183" s="395" t="n">
        <v>3030</v>
      </c>
      <c r="H1183" s="395" t="n">
        <v>3030</v>
      </c>
      <c r="I1183" s="395" t="n">
        <v>3</v>
      </c>
      <c r="J1183" s="395" t="n">
        <v>1</v>
      </c>
      <c r="K1183" s="395" t="n">
        <v>4</v>
      </c>
      <c r="L1183" s="266" t="n">
        <v>3030</v>
      </c>
      <c r="M1183" s="113" t="n"/>
      <c r="N1183" s="113" t="n"/>
      <c r="O1183" s="113" t="n"/>
      <c r="P1183" s="398" t="n"/>
      <c r="Q1183" s="398" t="n"/>
      <c r="R1183" s="113" t="n"/>
      <c r="S1183" s="113" t="n"/>
      <c r="T1183" s="113" t="n"/>
      <c r="U1183" s="113" t="n"/>
      <c r="V1183" s="113" t="n"/>
    </row>
    <row r="1184" ht="15.75" customHeight="1">
      <c r="A1184" s="398" t="n">
        <v>22</v>
      </c>
      <c r="B1184" s="238" t="n"/>
      <c r="C1184" s="399" t="n">
        <v>46162</v>
      </c>
      <c r="D1184" s="146" t="inlineStr">
        <is>
          <t>200 G. GARCERAS</t>
        </is>
      </c>
      <c r="E1184" s="146" t="n">
        <v>48067</v>
      </c>
      <c r="F1184" s="146" t="inlineStr">
        <is>
          <t>JOSE SOLER</t>
        </is>
      </c>
      <c r="G1184" s="395" t="n">
        <v>3030</v>
      </c>
      <c r="H1184" s="395" t="n">
        <v>3029</v>
      </c>
      <c r="I1184" s="395" t="n">
        <v>2</v>
      </c>
      <c r="J1184" s="395" t="n">
        <v>2</v>
      </c>
      <c r="K1184" s="395" t="n">
        <v>3</v>
      </c>
      <c r="L1184" s="266" t="n">
        <v>3030</v>
      </c>
      <c r="M1184" s="113" t="n"/>
      <c r="N1184" s="113" t="n"/>
      <c r="O1184" s="113" t="n"/>
      <c r="P1184" s="398" t="n"/>
      <c r="Q1184" s="398" t="n"/>
      <c r="R1184" s="113" t="n"/>
      <c r="S1184" s="113" t="n"/>
      <c r="T1184" s="113" t="n"/>
      <c r="U1184" s="113" t="n"/>
      <c r="V1184" s="113" t="n"/>
    </row>
    <row r="1185" ht="15.75" customHeight="1">
      <c r="A1185" s="398" t="n">
        <v>22</v>
      </c>
      <c r="B1185" s="238" t="n"/>
      <c r="C1185" s="399" t="n">
        <v>46162</v>
      </c>
      <c r="D1185" s="146" t="inlineStr">
        <is>
          <t>200 G. GARCERAS</t>
        </is>
      </c>
      <c r="E1185" s="146" t="n">
        <v>48068</v>
      </c>
      <c r="F1185" s="146" t="inlineStr">
        <is>
          <t>EDUAN CAVIEDES</t>
        </is>
      </c>
      <c r="G1185" s="395" t="n">
        <v>3030</v>
      </c>
      <c r="H1185" s="395" t="n">
        <v>3078</v>
      </c>
      <c r="I1185" s="395" t="n">
        <v>2</v>
      </c>
      <c r="J1185" s="395" t="n">
        <v>3</v>
      </c>
      <c r="K1185" s="395" t="n">
        <v>53</v>
      </c>
      <c r="L1185" s="266" t="n">
        <v>3030</v>
      </c>
      <c r="M1185" s="113" t="n"/>
      <c r="N1185" s="113" t="n"/>
      <c r="O1185" s="113" t="n"/>
      <c r="P1185" s="398" t="n"/>
      <c r="Q1185" s="398" t="n"/>
      <c r="R1185" s="113" t="n"/>
      <c r="S1185" s="113" t="n"/>
      <c r="T1185" s="113" t="n"/>
      <c r="U1185" s="113" t="n"/>
      <c r="V1185" s="113" t="n"/>
    </row>
    <row r="1186" ht="15.75" customHeight="1">
      <c r="A1186" s="398" t="n">
        <v>22</v>
      </c>
      <c r="B1186" s="238" t="n"/>
      <c r="C1186" s="399" t="n">
        <v>46162</v>
      </c>
      <c r="D1186" s="146" t="inlineStr">
        <is>
          <t>200 G. GARCERAS</t>
        </is>
      </c>
      <c r="E1186" s="146" t="n">
        <v>48080</v>
      </c>
      <c r="F1186" s="146" t="inlineStr">
        <is>
          <t>FABIO ALDANA</t>
        </is>
      </c>
      <c r="G1186" s="395" t="n">
        <v>3030</v>
      </c>
      <c r="H1186" s="395" t="n">
        <v>3025</v>
      </c>
      <c r="I1186" s="395" t="n">
        <v>5</v>
      </c>
      <c r="J1186" s="395" t="n">
        <v>5</v>
      </c>
      <c r="K1186" s="395" t="n">
        <v>5</v>
      </c>
      <c r="L1186" s="266" t="n">
        <v>3030</v>
      </c>
      <c r="M1186" s="113" t="n"/>
      <c r="N1186" s="113" t="n"/>
      <c r="O1186" s="113" t="n"/>
      <c r="P1186" s="398" t="n"/>
      <c r="Q1186" s="398" t="n"/>
      <c r="R1186" s="113" t="n"/>
      <c r="S1186" s="113" t="n"/>
      <c r="T1186" s="113" t="n"/>
      <c r="U1186" s="113" t="n"/>
      <c r="V1186" s="113" t="n"/>
    </row>
    <row r="1187" ht="15.75" customHeight="1">
      <c r="A1187" s="398" t="n">
        <v>22</v>
      </c>
      <c r="B1187" s="238" t="n"/>
      <c r="C1187" s="399" t="n">
        <v>46162</v>
      </c>
      <c r="D1187" s="146" t="inlineStr">
        <is>
          <t>200 G. GARCERAS</t>
        </is>
      </c>
      <c r="E1187" s="146" t="n">
        <v>48081</v>
      </c>
      <c r="F1187" s="146" t="inlineStr">
        <is>
          <t>DIEGO NIÑO</t>
        </is>
      </c>
      <c r="G1187" s="395" t="n">
        <v>2620</v>
      </c>
      <c r="H1187" s="395" t="n">
        <v>2617</v>
      </c>
      <c r="I1187" s="395" t="n">
        <v>1</v>
      </c>
      <c r="J1187" s="395" t="n">
        <v>3</v>
      </c>
      <c r="K1187" s="395" t="n">
        <v>1</v>
      </c>
      <c r="L1187" s="266" t="n">
        <v>2620</v>
      </c>
      <c r="M1187" s="113" t="n"/>
      <c r="N1187" s="113" t="n"/>
      <c r="O1187" s="113" t="n"/>
      <c r="P1187" s="398" t="n"/>
      <c r="Q1187" s="398" t="n"/>
      <c r="R1187" s="113" t="n"/>
      <c r="S1187" s="113" t="n"/>
      <c r="T1187" s="113" t="n"/>
      <c r="U1187" s="113" t="n"/>
      <c r="V1187" s="113" t="n"/>
    </row>
    <row r="1188" ht="15.75" customHeight="1">
      <c r="A1188" s="398" t="n">
        <v>22</v>
      </c>
      <c r="B1188" s="238" t="n"/>
      <c r="C1188" s="399" t="n">
        <v>46162</v>
      </c>
      <c r="D1188" s="146" t="inlineStr">
        <is>
          <t>200 G. GARCERAS</t>
        </is>
      </c>
      <c r="E1188" s="146" t="n">
        <v>48082</v>
      </c>
      <c r="F1188" s="146" t="inlineStr">
        <is>
          <t>FERNANDO OYUELA</t>
        </is>
      </c>
      <c r="G1188" s="395" t="n">
        <v>2620</v>
      </c>
      <c r="H1188" s="395" t="n">
        <v>2607</v>
      </c>
      <c r="I1188" s="395" t="n">
        <v>1</v>
      </c>
      <c r="J1188" s="395" t="n">
        <v>3</v>
      </c>
      <c r="K1188" s="395" t="n">
        <v>-9</v>
      </c>
      <c r="L1188" s="266" t="n">
        <v>2620</v>
      </c>
      <c r="M1188" s="113" t="n"/>
      <c r="N1188" s="113" t="n"/>
      <c r="O1188" s="113" t="n"/>
      <c r="P1188" s="398" t="n"/>
      <c r="Q1188" s="398" t="n"/>
      <c r="R1188" s="113" t="n"/>
      <c r="S1188" s="113" t="n"/>
      <c r="T1188" s="113" t="n"/>
      <c r="U1188" s="113" t="n"/>
      <c r="V1188" s="113" t="n"/>
    </row>
    <row r="1189" ht="15.75" customHeight="1">
      <c r="A1189" s="398" t="n">
        <v>22</v>
      </c>
      <c r="B1189" s="238" t="n"/>
      <c r="C1189" s="399" t="n">
        <v>46162</v>
      </c>
      <c r="D1189" s="146" t="inlineStr">
        <is>
          <t>200 G. GARCERAS</t>
        </is>
      </c>
      <c r="E1189" s="146" t="n">
        <v>48083</v>
      </c>
      <c r="F1189" s="146" t="inlineStr">
        <is>
          <t>JOSE SOLER</t>
        </is>
      </c>
      <c r="G1189" s="395" t="n">
        <v>2460</v>
      </c>
      <c r="H1189" s="395" t="n">
        <v>2410</v>
      </c>
      <c r="I1189" s="395" t="n">
        <v>1</v>
      </c>
      <c r="J1189" s="395" t="n">
        <v>2</v>
      </c>
      <c r="K1189" s="395" t="n">
        <v>-47</v>
      </c>
      <c r="L1189" s="284" t="n">
        <v>2464</v>
      </c>
      <c r="M1189" s="113" t="n"/>
      <c r="N1189" s="113" t="n"/>
      <c r="O1189" s="113" t="n"/>
      <c r="P1189" s="398" t="n"/>
      <c r="Q1189" s="398" t="n"/>
      <c r="R1189" s="113" t="n"/>
      <c r="S1189" s="113" t="n"/>
      <c r="T1189" s="113" t="n"/>
      <c r="U1189" s="113" t="n"/>
      <c r="V1189" s="113" t="n"/>
    </row>
    <row r="1190" ht="15.75" customHeight="1">
      <c r="A1190" s="398" t="n">
        <v>22</v>
      </c>
      <c r="B1190" s="238" t="n"/>
      <c r="C1190" s="399" t="n">
        <v>46163</v>
      </c>
      <c r="D1190" s="146" t="inlineStr">
        <is>
          <t>200 G. GARCERAS</t>
        </is>
      </c>
      <c r="E1190" s="146" t="n">
        <v>48096</v>
      </c>
      <c r="F1190" s="146" t="inlineStr">
        <is>
          <t>MANUEL QUITIAN</t>
        </is>
      </c>
      <c r="G1190" s="395" t="n">
        <v>3200</v>
      </c>
      <c r="H1190" s="395" t="n">
        <v>3195</v>
      </c>
      <c r="I1190" s="395" t="n">
        <v>2</v>
      </c>
      <c r="J1190" s="395" t="n">
        <v>0</v>
      </c>
      <c r="K1190" s="395" t="n">
        <v>-3</v>
      </c>
      <c r="L1190" s="260" t="n">
        <v>3200</v>
      </c>
      <c r="M1190" s="113" t="n"/>
      <c r="N1190" s="113" t="n"/>
      <c r="O1190" s="113" t="n"/>
      <c r="P1190" s="398" t="n"/>
      <c r="Q1190" s="398" t="n"/>
      <c r="R1190" s="113" t="n"/>
      <c r="S1190" s="113" t="n"/>
      <c r="T1190" s="113" t="n"/>
      <c r="U1190" s="113" t="n"/>
      <c r="V1190" s="113" t="n"/>
    </row>
    <row r="1191" ht="15.75" customHeight="1">
      <c r="A1191" s="398" t="n">
        <v>22</v>
      </c>
      <c r="B1191" s="238" t="n"/>
      <c r="C1191" s="399" t="n">
        <v>46163</v>
      </c>
      <c r="D1191" s="146" t="inlineStr">
        <is>
          <t>200 G. GARCERAS</t>
        </is>
      </c>
      <c r="E1191" s="146" t="n">
        <v>48097</v>
      </c>
      <c r="F1191" s="146" t="inlineStr">
        <is>
          <t>DUMAR ANGARITA</t>
        </is>
      </c>
      <c r="G1191" s="395" t="n">
        <v>3020</v>
      </c>
      <c r="H1191" s="395" t="n">
        <v>3009</v>
      </c>
      <c r="I1191" s="395" t="n">
        <v>5</v>
      </c>
      <c r="J1191" s="395" t="n">
        <v>1</v>
      </c>
      <c r="K1191" s="395" t="n">
        <v>-5</v>
      </c>
      <c r="L1191" s="266" t="n">
        <v>3414</v>
      </c>
      <c r="M1191" s="113" t="n"/>
      <c r="N1191" s="113" t="n"/>
      <c r="O1191" s="113" t="n"/>
      <c r="P1191" s="398" t="n"/>
      <c r="Q1191" s="398" t="n"/>
      <c r="R1191" s="113" t="n"/>
      <c r="S1191" s="113" t="n"/>
      <c r="T1191" s="113" t="n"/>
      <c r="U1191" s="113" t="n"/>
      <c r="V1191" s="113" t="n"/>
    </row>
    <row r="1192" ht="15.75" customHeight="1">
      <c r="A1192" s="398" t="n">
        <v>22</v>
      </c>
      <c r="B1192" s="238" t="n"/>
      <c r="C1192" s="399" t="n">
        <v>46163</v>
      </c>
      <c r="D1192" s="146" t="inlineStr">
        <is>
          <t>200 G. GARCERAS</t>
        </is>
      </c>
      <c r="E1192" s="146" t="n">
        <v>48098</v>
      </c>
      <c r="F1192" s="146" t="inlineStr">
        <is>
          <t>WILMER PIÑEROS</t>
        </is>
      </c>
      <c r="G1192" s="395" t="n">
        <v>3020</v>
      </c>
      <c r="H1192" s="395" t="n">
        <v>3010</v>
      </c>
      <c r="I1192" s="395" t="n">
        <v>1</v>
      </c>
      <c r="J1192" s="395" t="n">
        <v>0</v>
      </c>
      <c r="K1192" s="395" t="n">
        <v>-9</v>
      </c>
      <c r="L1192" s="266" t="n">
        <v>3020</v>
      </c>
      <c r="M1192" s="113" t="n"/>
      <c r="N1192" s="113" t="n"/>
      <c r="O1192" s="113" t="n"/>
      <c r="P1192" s="398" t="n"/>
      <c r="Q1192" s="398" t="n"/>
      <c r="R1192" s="113" t="n"/>
      <c r="S1192" s="113" t="n"/>
      <c r="T1192" s="113" t="n"/>
      <c r="U1192" s="113" t="n"/>
      <c r="V1192" s="113" t="n"/>
    </row>
    <row r="1193" ht="15.75" customHeight="1">
      <c r="A1193" s="398" t="n">
        <v>22</v>
      </c>
      <c r="B1193" s="238" t="n"/>
      <c r="C1193" s="399" t="n">
        <v>46163</v>
      </c>
      <c r="D1193" s="146" t="inlineStr">
        <is>
          <t>200 G. GARCERAS</t>
        </is>
      </c>
      <c r="E1193" s="146" t="n">
        <v>48099</v>
      </c>
      <c r="F1193" s="146" t="inlineStr">
        <is>
          <t>EDUAN CAVIEDES</t>
        </is>
      </c>
      <c r="G1193" s="395" t="n">
        <v>3020</v>
      </c>
      <c r="H1193" s="395" t="n">
        <v>3043</v>
      </c>
      <c r="I1193" s="395" t="n">
        <v>1</v>
      </c>
      <c r="J1193" s="395" t="n">
        <v>2</v>
      </c>
      <c r="K1193" s="395" t="n">
        <v>26</v>
      </c>
      <c r="L1193" s="266" t="n">
        <v>3020</v>
      </c>
      <c r="M1193" s="113" t="n"/>
      <c r="N1193" s="113" t="n"/>
      <c r="O1193" s="113" t="n"/>
      <c r="P1193" s="398" t="n"/>
      <c r="Q1193" s="398" t="n"/>
      <c r="R1193" s="113" t="n"/>
      <c r="S1193" s="113" t="n"/>
      <c r="T1193" s="113" t="n"/>
      <c r="U1193" s="113" t="n"/>
      <c r="V1193" s="113" t="n"/>
    </row>
    <row r="1194" ht="15.75" customHeight="1">
      <c r="A1194" s="398" t="n">
        <v>22</v>
      </c>
      <c r="B1194" s="238" t="n"/>
      <c r="C1194" s="399" t="n">
        <v>46163</v>
      </c>
      <c r="D1194" s="146" t="inlineStr">
        <is>
          <t>200 G. GARCERAS</t>
        </is>
      </c>
      <c r="E1194" s="146" t="n">
        <v>48100</v>
      </c>
      <c r="F1194" s="146" t="inlineStr">
        <is>
          <t>ALEX GOMEZ</t>
        </is>
      </c>
      <c r="G1194" s="395" t="n">
        <v>3020</v>
      </c>
      <c r="H1194" s="395" t="n">
        <v>2999</v>
      </c>
      <c r="I1194" s="395" t="n">
        <v>1</v>
      </c>
      <c r="J1194" s="395" t="n">
        <v>1</v>
      </c>
      <c r="K1194" s="395" t="n">
        <v>-19</v>
      </c>
      <c r="L1194" s="266" t="n">
        <v>3020</v>
      </c>
      <c r="M1194" s="113" t="n"/>
      <c r="N1194" s="113" t="n"/>
      <c r="O1194" s="113" t="n"/>
      <c r="P1194" s="398" t="n"/>
      <c r="Q1194" s="398" t="n"/>
      <c r="R1194" s="113" t="n"/>
      <c r="S1194" s="113" t="n"/>
      <c r="T1194" s="113" t="n"/>
      <c r="U1194" s="113" t="n"/>
      <c r="V1194" s="113" t="n"/>
    </row>
    <row r="1195" ht="15.75" customHeight="1">
      <c r="A1195" s="398" t="n">
        <v>22</v>
      </c>
      <c r="B1195" s="238" t="n"/>
      <c r="C1195" s="399" t="n">
        <v>46163</v>
      </c>
      <c r="D1195" s="146" t="inlineStr">
        <is>
          <t>200 G. GARCERAS</t>
        </is>
      </c>
      <c r="E1195" s="146" t="n">
        <v>48101</v>
      </c>
      <c r="F1195" s="146" t="inlineStr">
        <is>
          <t>DIEGO NIÑO</t>
        </is>
      </c>
      <c r="G1195" s="395" t="n">
        <v>2900</v>
      </c>
      <c r="H1195" s="395" t="n">
        <v>2911</v>
      </c>
      <c r="I1195" s="395" t="n">
        <v>1</v>
      </c>
      <c r="J1195" s="395" t="n">
        <v>1</v>
      </c>
      <c r="K1195" s="395" t="n">
        <v>13</v>
      </c>
      <c r="L1195" s="266" t="n">
        <v>3020</v>
      </c>
      <c r="M1195" s="113" t="n"/>
      <c r="N1195" s="113" t="n"/>
      <c r="O1195" s="113" t="n"/>
      <c r="P1195" s="398" t="n"/>
      <c r="Q1195" s="398" t="n"/>
      <c r="R1195" s="113" t="n"/>
      <c r="S1195" s="113" t="n"/>
      <c r="T1195" s="113" t="n"/>
      <c r="U1195" s="113" t="n"/>
      <c r="V1195" s="113" t="n"/>
    </row>
    <row r="1196" ht="15.75" customHeight="1">
      <c r="A1196" s="398" t="n">
        <v>22</v>
      </c>
      <c r="B1196" s="238" t="n"/>
      <c r="C1196" s="399" t="n">
        <v>46163</v>
      </c>
      <c r="D1196" s="146" t="inlineStr">
        <is>
          <t>200 G. GARCERAS</t>
        </is>
      </c>
      <c r="E1196" s="146" t="n">
        <v>48102</v>
      </c>
      <c r="F1196" s="146" t="inlineStr">
        <is>
          <t>FERNANDO OYUELA</t>
        </is>
      </c>
      <c r="G1196" s="395" t="n">
        <v>3414</v>
      </c>
      <c r="H1196" s="395" t="n">
        <v>3408</v>
      </c>
      <c r="I1196" s="395" t="n">
        <v>4</v>
      </c>
      <c r="J1196" s="395" t="n">
        <v>3</v>
      </c>
      <c r="K1196" s="395" t="n">
        <v>1</v>
      </c>
      <c r="L1196" s="266" t="n">
        <v>2900</v>
      </c>
      <c r="M1196" s="113" t="n"/>
      <c r="N1196" s="113" t="n"/>
      <c r="O1196" s="113" t="n"/>
      <c r="P1196" s="398" t="n"/>
      <c r="Q1196" s="398" t="n"/>
      <c r="R1196" s="113" t="n"/>
      <c r="S1196" s="113" t="n"/>
      <c r="T1196" s="113" t="n"/>
      <c r="U1196" s="113" t="n"/>
      <c r="V1196" s="113" t="n"/>
    </row>
    <row r="1197" ht="15.75" customHeight="1">
      <c r="A1197" s="398" t="n">
        <v>22</v>
      </c>
      <c r="B1197" s="238" t="n"/>
      <c r="C1197" s="399" t="n">
        <v>46163</v>
      </c>
      <c r="D1197" s="146" t="inlineStr">
        <is>
          <t>200 G. GARCERAS</t>
        </is>
      </c>
      <c r="E1197" s="146" t="n">
        <v>48112</v>
      </c>
      <c r="F1197" s="146" t="inlineStr">
        <is>
          <t>FERNANDO OYUELA</t>
        </is>
      </c>
      <c r="G1197" s="395" t="n">
        <v>2850</v>
      </c>
      <c r="H1197" s="395" t="n">
        <v>2854</v>
      </c>
      <c r="I1197" s="395" t="n">
        <v>0</v>
      </c>
      <c r="J1197" s="395" t="n">
        <v>1</v>
      </c>
      <c r="K1197" s="395" t="n">
        <v>5</v>
      </c>
      <c r="L1197" s="266" t="n">
        <v>2850</v>
      </c>
      <c r="M1197" s="113" t="n"/>
      <c r="N1197" s="113" t="n"/>
      <c r="O1197" s="113" t="n"/>
      <c r="P1197" s="398" t="n"/>
      <c r="Q1197" s="398" t="n"/>
      <c r="R1197" s="113" t="n"/>
      <c r="S1197" s="113" t="n"/>
      <c r="T1197" s="113" t="n"/>
      <c r="U1197" s="113" t="n"/>
      <c r="V1197" s="113" t="n"/>
    </row>
    <row r="1198" ht="15.75" customHeight="1">
      <c r="A1198" s="398" t="n">
        <v>22</v>
      </c>
      <c r="B1198" s="238" t="n"/>
      <c r="C1198" s="399" t="n">
        <v>46163</v>
      </c>
      <c r="D1198" s="146" t="inlineStr">
        <is>
          <t>200 G. GARCERAS</t>
        </is>
      </c>
      <c r="E1198" s="146" t="n">
        <v>48113</v>
      </c>
      <c r="F1198" s="146" t="inlineStr">
        <is>
          <t>WILMER PIÑEROS</t>
        </is>
      </c>
      <c r="G1198" s="395" t="n">
        <v>2850</v>
      </c>
      <c r="H1198" s="395" t="n">
        <v>2854</v>
      </c>
      <c r="I1198" s="395" t="n">
        <v>2</v>
      </c>
      <c r="J1198" s="395" t="n">
        <v>0</v>
      </c>
      <c r="K1198" s="395" t="n">
        <v>6</v>
      </c>
      <c r="L1198" s="266" t="n">
        <v>2850</v>
      </c>
      <c r="M1198" s="113" t="n"/>
      <c r="N1198" s="113" t="n"/>
      <c r="O1198" s="113" t="n"/>
      <c r="P1198" s="398" t="n"/>
      <c r="Q1198" s="398" t="n"/>
      <c r="R1198" s="113" t="n"/>
      <c r="S1198" s="113" t="n"/>
      <c r="T1198" s="113" t="n"/>
      <c r="U1198" s="113" t="n"/>
      <c r="V1198" s="113" t="n"/>
    </row>
    <row r="1199" ht="15.75" customHeight="1">
      <c r="A1199" s="398" t="n">
        <v>22</v>
      </c>
      <c r="B1199" s="238" t="n"/>
      <c r="C1199" s="399" t="n">
        <v>46163</v>
      </c>
      <c r="D1199" s="146" t="inlineStr">
        <is>
          <t>200 G. GARCERAS</t>
        </is>
      </c>
      <c r="E1199" s="146" t="n">
        <v>48114</v>
      </c>
      <c r="F1199" s="146" t="inlineStr">
        <is>
          <t>EDUAN CAVIEDES</t>
        </is>
      </c>
      <c r="G1199" s="395" t="n">
        <v>2850</v>
      </c>
      <c r="H1199" s="395" t="n">
        <v>2853</v>
      </c>
      <c r="I1199" s="395" t="n">
        <v>0</v>
      </c>
      <c r="J1199" s="395" t="n">
        <v>0</v>
      </c>
      <c r="K1199" s="395" t="n">
        <v>3</v>
      </c>
      <c r="L1199" s="284" t="n">
        <v>2850</v>
      </c>
      <c r="M1199" s="113" t="n"/>
      <c r="N1199" s="113" t="n"/>
      <c r="O1199" s="113" t="n"/>
      <c r="P1199" s="398" t="n"/>
      <c r="Q1199" s="398" t="n"/>
      <c r="R1199" s="113" t="n"/>
      <c r="S1199" s="113" t="n"/>
      <c r="T1199" s="113" t="n"/>
      <c r="U1199" s="113" t="n"/>
      <c r="V1199" s="113" t="n"/>
    </row>
    <row r="1200" ht="15.75" customHeight="1">
      <c r="A1200" s="398" t="n">
        <v>22</v>
      </c>
      <c r="B1200" s="238" t="n"/>
      <c r="C1200" s="164" t="n">
        <v>46164</v>
      </c>
      <c r="D1200" s="165" t="inlineStr">
        <is>
          <t>202 G.HUERTAS-LA MANIGUA</t>
        </is>
      </c>
      <c r="E1200" s="165" t="n">
        <v>48124</v>
      </c>
      <c r="F1200" s="165" t="inlineStr">
        <is>
          <t xml:space="preserve">SEBASTIAN HIDALGO </t>
        </is>
      </c>
      <c r="G1200" s="165" t="n">
        <v>2800</v>
      </c>
      <c r="H1200" s="165" t="n">
        <v>2774</v>
      </c>
      <c r="I1200" s="165" t="n">
        <v>2</v>
      </c>
      <c r="J1200" s="165" t="n">
        <v>12</v>
      </c>
      <c r="K1200" s="165" t="n">
        <v>-12</v>
      </c>
      <c r="L1200" s="260" t="n">
        <v>2800</v>
      </c>
      <c r="M1200" s="113" t="n"/>
      <c r="N1200" s="113" t="n"/>
      <c r="O1200" s="113" t="n"/>
      <c r="P1200" s="398" t="n"/>
      <c r="Q1200" s="398" t="n"/>
      <c r="R1200" s="113" t="n"/>
      <c r="S1200" s="113" t="n"/>
      <c r="T1200" s="113" t="n"/>
      <c r="U1200" s="113" t="n"/>
      <c r="V1200" s="113" t="n"/>
    </row>
    <row r="1201" ht="15.75" customHeight="1">
      <c r="A1201" s="398" t="n">
        <v>22</v>
      </c>
      <c r="B1201" s="238" t="n"/>
      <c r="C1201" s="399" t="n">
        <v>46164</v>
      </c>
      <c r="D1201" s="146" t="inlineStr">
        <is>
          <t>200 G. GARCERAS</t>
        </is>
      </c>
      <c r="E1201" s="146" t="n">
        <v>48125</v>
      </c>
      <c r="F1201" s="146" t="inlineStr">
        <is>
          <t>HENRY ROMERO</t>
        </is>
      </c>
      <c r="G1201" s="395" t="n">
        <v>3020</v>
      </c>
      <c r="H1201" s="395" t="n">
        <v>3013</v>
      </c>
      <c r="I1201" s="395" t="n">
        <v>4</v>
      </c>
      <c r="J1201" s="395" t="n">
        <v>2</v>
      </c>
      <c r="K1201" s="395" t="n">
        <v>-1</v>
      </c>
      <c r="L1201" s="266" t="n">
        <v>3020</v>
      </c>
      <c r="M1201" s="113" t="n"/>
      <c r="N1201" s="113" t="n"/>
      <c r="O1201" s="113" t="n"/>
      <c r="P1201" s="398" t="n"/>
      <c r="Q1201" s="398" t="n"/>
      <c r="R1201" s="113" t="n"/>
      <c r="S1201" s="113" t="n"/>
      <c r="T1201" s="113" t="n"/>
      <c r="U1201" s="113" t="n"/>
      <c r="V1201" s="113" t="n"/>
    </row>
    <row r="1202" ht="15.75" customHeight="1">
      <c r="A1202" s="398" t="n">
        <v>22</v>
      </c>
      <c r="B1202" s="238" t="n"/>
      <c r="C1202" s="399" t="n">
        <v>46164</v>
      </c>
      <c r="D1202" s="146" t="inlineStr">
        <is>
          <t>200 G. GARCERAS</t>
        </is>
      </c>
      <c r="E1202" s="146" t="n">
        <v>48126</v>
      </c>
      <c r="F1202" s="146" t="inlineStr">
        <is>
          <t>JAIRO CUBILLOS</t>
        </is>
      </c>
      <c r="G1202" s="395" t="n">
        <v>3020</v>
      </c>
      <c r="H1202" s="395" t="n">
        <v>3003</v>
      </c>
      <c r="I1202" s="395" t="n">
        <v>10</v>
      </c>
      <c r="J1202" s="395" t="n">
        <v>4</v>
      </c>
      <c r="K1202" s="395" t="n">
        <v>-3</v>
      </c>
      <c r="L1202" s="266" t="n">
        <v>3020</v>
      </c>
      <c r="M1202" s="113" t="n"/>
      <c r="N1202" s="113" t="n"/>
      <c r="O1202" s="113" t="n"/>
      <c r="P1202" s="398" t="n"/>
      <c r="Q1202" s="398" t="n"/>
      <c r="R1202" s="113" t="n"/>
      <c r="S1202" s="113" t="n"/>
      <c r="T1202" s="113" t="n"/>
      <c r="U1202" s="113" t="n"/>
      <c r="V1202" s="113" t="n"/>
    </row>
    <row r="1203" ht="15.75" customHeight="1">
      <c r="A1203" s="398" t="n">
        <v>22</v>
      </c>
      <c r="B1203" s="238" t="n"/>
      <c r="C1203" s="399" t="n">
        <v>46164</v>
      </c>
      <c r="D1203" s="146" t="inlineStr">
        <is>
          <t>200 G. GARCERAS</t>
        </is>
      </c>
      <c r="E1203" s="146" t="n">
        <v>48127</v>
      </c>
      <c r="F1203" s="146" t="inlineStr">
        <is>
          <t>JOSE SOLER</t>
        </is>
      </c>
      <c r="G1203" s="395" t="n">
        <v>3020</v>
      </c>
      <c r="H1203" s="395" t="n">
        <v>3018</v>
      </c>
      <c r="I1203" s="395" t="n">
        <v>1</v>
      </c>
      <c r="J1203" s="395" t="n">
        <v>2</v>
      </c>
      <c r="K1203" s="395" t="n">
        <v>1</v>
      </c>
      <c r="L1203" s="266" t="n">
        <v>3020</v>
      </c>
      <c r="M1203" s="113" t="n"/>
      <c r="N1203" s="113" t="n"/>
      <c r="O1203" s="113" t="n"/>
      <c r="P1203" s="398" t="n"/>
      <c r="Q1203" s="398" t="n"/>
      <c r="R1203" s="113" t="n"/>
      <c r="S1203" s="113" t="n"/>
      <c r="T1203" s="113" t="n"/>
      <c r="U1203" s="113" t="n"/>
      <c r="V1203" s="113" t="n"/>
    </row>
    <row r="1204" ht="15.75" customHeight="1">
      <c r="A1204" s="398" t="n">
        <v>22</v>
      </c>
      <c r="B1204" s="238" t="n"/>
      <c r="C1204" s="399" t="n">
        <v>46164</v>
      </c>
      <c r="D1204" s="146" t="inlineStr">
        <is>
          <t>200 G. GARCERAS</t>
        </is>
      </c>
      <c r="E1204" s="146" t="n">
        <v>48128</v>
      </c>
      <c r="F1204" s="146" t="inlineStr">
        <is>
          <t>ALBERTO LOPEZ</t>
        </is>
      </c>
      <c r="G1204" s="395" t="n">
        <v>3020</v>
      </c>
      <c r="H1204" s="395" t="n">
        <v>3040</v>
      </c>
      <c r="I1204" s="395" t="n">
        <v>2</v>
      </c>
      <c r="J1204" s="395" t="n">
        <v>2</v>
      </c>
      <c r="K1204" s="395" t="n">
        <v>24</v>
      </c>
      <c r="L1204" s="266" t="n">
        <v>3020</v>
      </c>
      <c r="M1204" s="113" t="n"/>
      <c r="N1204" s="113" t="n"/>
      <c r="O1204" s="113" t="n"/>
      <c r="P1204" s="398" t="n"/>
      <c r="Q1204" s="398" t="n"/>
      <c r="R1204" s="113" t="n"/>
      <c r="S1204" s="113" t="n"/>
      <c r="T1204" s="113" t="n"/>
      <c r="U1204" s="113" t="n"/>
      <c r="V1204" s="113" t="n"/>
    </row>
    <row r="1205" ht="15.75" customHeight="1">
      <c r="A1205" s="398" t="n">
        <v>22</v>
      </c>
      <c r="B1205" s="238" t="n"/>
      <c r="C1205" s="399" t="n">
        <v>46164</v>
      </c>
      <c r="D1205" s="146" t="inlineStr">
        <is>
          <t>200 G. GARCERAS</t>
        </is>
      </c>
      <c r="E1205" s="146" t="n">
        <v>48129</v>
      </c>
      <c r="F1205" s="146" t="inlineStr">
        <is>
          <t>FABIO ALDANA</t>
        </is>
      </c>
      <c r="G1205" s="395" t="n">
        <v>3170</v>
      </c>
      <c r="H1205" s="395" t="n">
        <v>3169</v>
      </c>
      <c r="I1205" s="395" t="n">
        <v>1</v>
      </c>
      <c r="J1205" s="395" t="n">
        <v>2</v>
      </c>
      <c r="K1205" s="395" t="n">
        <v>2</v>
      </c>
      <c r="L1205" s="266" t="n">
        <v>3170</v>
      </c>
      <c r="M1205" s="113" t="n"/>
      <c r="N1205" s="113" t="n"/>
      <c r="O1205" s="113" t="n"/>
      <c r="P1205" s="398" t="n"/>
      <c r="Q1205" s="398" t="n"/>
      <c r="R1205" s="113" t="n"/>
      <c r="S1205" s="113" t="n"/>
      <c r="T1205" s="113" t="n"/>
      <c r="U1205" s="113" t="n"/>
      <c r="V1205" s="113" t="n"/>
    </row>
    <row r="1206" ht="15.75" customHeight="1">
      <c r="A1206" s="398" t="n">
        <v>22</v>
      </c>
      <c r="B1206" s="238" t="n"/>
      <c r="C1206" s="399" t="n">
        <v>46164</v>
      </c>
      <c r="D1206" s="146" t="inlineStr">
        <is>
          <t>200 G. GARCERAS</t>
        </is>
      </c>
      <c r="E1206" s="146" t="n">
        <v>48130</v>
      </c>
      <c r="F1206" s="146" t="inlineStr">
        <is>
          <t>DIEGO VEGA</t>
        </is>
      </c>
      <c r="G1206" s="395" t="n">
        <v>3170</v>
      </c>
      <c r="H1206" s="395" t="n">
        <v>3162</v>
      </c>
      <c r="I1206" s="395" t="n">
        <v>1</v>
      </c>
      <c r="J1206" s="395" t="n">
        <v>0</v>
      </c>
      <c r="K1206" s="395" t="n">
        <v>-7</v>
      </c>
      <c r="L1206" s="266" t="n">
        <v>3170</v>
      </c>
      <c r="M1206" s="113" t="n"/>
      <c r="N1206" s="113" t="n"/>
      <c r="O1206" s="113" t="n"/>
      <c r="P1206" s="398" t="n"/>
      <c r="Q1206" s="398" t="n"/>
      <c r="R1206" s="113" t="n"/>
      <c r="S1206" s="113" t="n"/>
      <c r="T1206" s="113" t="n"/>
      <c r="U1206" s="113" t="n"/>
      <c r="V1206" s="113" t="n"/>
    </row>
    <row r="1207" ht="15.75" customHeight="1">
      <c r="A1207" s="398" t="n">
        <v>22</v>
      </c>
      <c r="B1207" s="238" t="n"/>
      <c r="C1207" s="399" t="n">
        <v>46164</v>
      </c>
      <c r="D1207" s="146" t="inlineStr">
        <is>
          <t>200 G. GARCERAS</t>
        </is>
      </c>
      <c r="E1207" s="146" t="n">
        <v>48139</v>
      </c>
      <c r="F1207" s="146" t="inlineStr">
        <is>
          <t>FERNANDO OYUELA</t>
        </is>
      </c>
      <c r="G1207" s="395" t="n">
        <v>3170</v>
      </c>
      <c r="H1207" s="395" t="n">
        <v>3169</v>
      </c>
      <c r="I1207" s="395" t="n">
        <v>1</v>
      </c>
      <c r="J1207" s="395" t="n">
        <v>0</v>
      </c>
      <c r="K1207" s="395" t="n">
        <v>0</v>
      </c>
      <c r="L1207" s="266" t="n">
        <v>3160</v>
      </c>
      <c r="M1207" s="113" t="n"/>
      <c r="N1207" s="113" t="n"/>
      <c r="O1207" s="113" t="n"/>
      <c r="P1207" s="398" t="n"/>
      <c r="Q1207" s="398" t="n"/>
      <c r="R1207" s="113" t="n"/>
      <c r="S1207" s="113" t="n"/>
      <c r="T1207" s="113" t="n"/>
      <c r="U1207" s="113" t="n"/>
      <c r="V1207" s="113" t="n"/>
    </row>
    <row r="1208" ht="15.75" customHeight="1">
      <c r="A1208" s="398" t="n">
        <v>22</v>
      </c>
      <c r="B1208" s="238" t="n"/>
      <c r="C1208" s="399" t="n">
        <v>46164</v>
      </c>
      <c r="D1208" s="146" t="inlineStr">
        <is>
          <t>200 G. GARCERAS</t>
        </is>
      </c>
      <c r="E1208" s="146" t="n">
        <v>48140</v>
      </c>
      <c r="F1208" s="146" t="inlineStr">
        <is>
          <t>HENRY ROMERO</t>
        </is>
      </c>
      <c r="G1208" s="395" t="n">
        <v>3170</v>
      </c>
      <c r="H1208" s="395" t="n">
        <v>3170</v>
      </c>
      <c r="I1208" s="395" t="n">
        <v>2</v>
      </c>
      <c r="J1208" s="395" t="n">
        <v>1</v>
      </c>
      <c r="K1208" s="395" t="n">
        <v>3</v>
      </c>
      <c r="L1208" s="266" t="n">
        <v>3160</v>
      </c>
      <c r="M1208" s="113" t="n"/>
      <c r="N1208" s="113" t="n"/>
      <c r="O1208" s="113" t="n"/>
      <c r="P1208" s="398" t="n"/>
      <c r="Q1208" s="398" t="n"/>
      <c r="R1208" s="113" t="n"/>
      <c r="S1208" s="113" t="n"/>
      <c r="T1208" s="113" t="n"/>
      <c r="U1208" s="113" t="n"/>
      <c r="V1208" s="113" t="n"/>
    </row>
    <row r="1209" ht="15.75" customHeight="1">
      <c r="A1209" s="398" t="n">
        <v>22</v>
      </c>
      <c r="B1209" s="238" t="n"/>
      <c r="C1209" s="399" t="n">
        <v>46164</v>
      </c>
      <c r="D1209" s="146" t="inlineStr">
        <is>
          <t>200 G. GARCERAS</t>
        </is>
      </c>
      <c r="E1209" s="146" t="n">
        <v>48141</v>
      </c>
      <c r="F1209" s="146" t="inlineStr">
        <is>
          <t>JAIRO CUBILLOS</t>
        </is>
      </c>
      <c r="G1209" s="395" t="n">
        <v>3179</v>
      </c>
      <c r="H1209" s="395" t="n">
        <v>3178</v>
      </c>
      <c r="I1209" s="395" t="n">
        <v>4</v>
      </c>
      <c r="J1209" s="395" t="n">
        <v>1</v>
      </c>
      <c r="K1209" s="395" t="n">
        <v>4</v>
      </c>
      <c r="L1209" s="266" t="n">
        <v>3170</v>
      </c>
      <c r="M1209" s="113" t="n"/>
      <c r="N1209" s="113" t="n"/>
      <c r="O1209" s="113" t="n"/>
      <c r="P1209" s="398" t="n"/>
      <c r="Q1209" s="398" t="n"/>
      <c r="R1209" s="113" t="n"/>
      <c r="S1209" s="113" t="n"/>
      <c r="T1209" s="113" t="n"/>
      <c r="U1209" s="113" t="n"/>
      <c r="V1209" s="113" t="n"/>
    </row>
    <row r="1210" ht="15.75" customHeight="1">
      <c r="A1210" s="398" t="n">
        <v>22</v>
      </c>
      <c r="B1210" s="238" t="n"/>
      <c r="C1210" s="399" t="n">
        <v>46164</v>
      </c>
      <c r="D1210" s="146" t="inlineStr">
        <is>
          <t>200 G. GARCERAS</t>
        </is>
      </c>
      <c r="E1210" s="146" t="n">
        <v>48142</v>
      </c>
      <c r="F1210" s="146" t="inlineStr">
        <is>
          <t>JOSE SOLER</t>
        </is>
      </c>
      <c r="G1210" s="395" t="n">
        <v>2500</v>
      </c>
      <c r="H1210" s="395" t="n">
        <v>2499</v>
      </c>
      <c r="I1210" s="395" t="n">
        <v>2</v>
      </c>
      <c r="J1210" s="395" t="n">
        <v>4</v>
      </c>
      <c r="K1210" s="395" t="n">
        <v>5</v>
      </c>
      <c r="L1210" s="284" t="n">
        <v>2460</v>
      </c>
      <c r="M1210" s="113" t="n"/>
      <c r="N1210" s="113" t="n"/>
      <c r="O1210" s="113" t="n"/>
      <c r="P1210" s="398" t="n"/>
      <c r="Q1210" s="398" t="n"/>
      <c r="R1210" s="113" t="n"/>
      <c r="S1210" s="113" t="n"/>
      <c r="T1210" s="113" t="n"/>
      <c r="U1210" s="113" t="n"/>
      <c r="V1210" s="113" t="n"/>
    </row>
    <row r="1211" ht="15.75" customHeight="1">
      <c r="A1211" s="398" t="n">
        <v>22</v>
      </c>
      <c r="B1211" s="238" t="n"/>
      <c r="C1211" s="399" t="n">
        <v>46165</v>
      </c>
      <c r="D1211" s="146" t="inlineStr">
        <is>
          <t>200 G. GARCERAS</t>
        </is>
      </c>
      <c r="E1211" s="146" t="n">
        <v>48143</v>
      </c>
      <c r="F1211" s="146" t="inlineStr">
        <is>
          <t>JHON ARIAS</t>
        </is>
      </c>
      <c r="G1211" s="395" t="n">
        <v>3355</v>
      </c>
      <c r="H1211" s="395" t="n">
        <v>3366</v>
      </c>
      <c r="I1211" s="395" t="n">
        <v>3</v>
      </c>
      <c r="J1211" s="395" t="n">
        <v>3</v>
      </c>
      <c r="K1211" s="395" t="n">
        <v>17</v>
      </c>
      <c r="L1211" s="260" t="n">
        <v>3355</v>
      </c>
      <c r="M1211" s="113" t="n"/>
      <c r="N1211" s="113" t="n"/>
      <c r="O1211" s="113" t="n"/>
      <c r="P1211" s="398" t="n"/>
      <c r="Q1211" s="398" t="n"/>
      <c r="R1211" s="113" t="n"/>
      <c r="S1211" s="113" t="n"/>
      <c r="T1211" s="113" t="n"/>
      <c r="U1211" s="113" t="n"/>
      <c r="V1211" s="113" t="n"/>
    </row>
    <row r="1212" ht="15.75" customHeight="1">
      <c r="A1212" s="398" t="n">
        <v>22</v>
      </c>
      <c r="B1212" s="238" t="n"/>
      <c r="C1212" s="399" t="n">
        <v>46165</v>
      </c>
      <c r="D1212" s="146" t="inlineStr">
        <is>
          <t>200 G. GARCERAS</t>
        </is>
      </c>
      <c r="E1212" s="146" t="n">
        <v>48144</v>
      </c>
      <c r="F1212" s="146" t="inlineStr">
        <is>
          <t>EDUAN CAVIEDES</t>
        </is>
      </c>
      <c r="G1212" s="395" t="n">
        <v>3355</v>
      </c>
      <c r="H1212" s="395" t="n">
        <v>3345</v>
      </c>
      <c r="I1212" s="395" t="n">
        <v>5</v>
      </c>
      <c r="J1212" s="395" t="n">
        <v>2</v>
      </c>
      <c r="K1212" s="395" t="n">
        <v>-3</v>
      </c>
      <c r="L1212" s="266" t="n">
        <v>3355</v>
      </c>
      <c r="M1212" s="113" t="n"/>
      <c r="N1212" s="113" t="n"/>
      <c r="O1212" s="113" t="n"/>
      <c r="P1212" s="398" t="n"/>
      <c r="Q1212" s="398" t="n"/>
      <c r="R1212" s="113" t="n"/>
      <c r="S1212" s="113" t="n"/>
      <c r="T1212" s="113" t="n"/>
      <c r="U1212" s="113" t="n"/>
      <c r="V1212" s="113" t="n"/>
    </row>
    <row r="1213" ht="15.75" customHeight="1">
      <c r="A1213" s="398" t="n">
        <v>22</v>
      </c>
      <c r="B1213" s="238" t="n"/>
      <c r="C1213" s="399" t="n">
        <v>46165</v>
      </c>
      <c r="D1213" s="146" t="inlineStr">
        <is>
          <t>200 G. GARCERAS</t>
        </is>
      </c>
      <c r="E1213" s="146" t="n">
        <v>48145</v>
      </c>
      <c r="F1213" s="146" t="inlineStr">
        <is>
          <t>ALEX GOMEZ</t>
        </is>
      </c>
      <c r="G1213" s="395" t="n">
        <v>3360</v>
      </c>
      <c r="H1213" s="395" t="n">
        <v>3358</v>
      </c>
      <c r="I1213" s="395" t="n">
        <v>0</v>
      </c>
      <c r="J1213" s="395" t="n">
        <v>1</v>
      </c>
      <c r="K1213" s="395" t="n">
        <v>-1</v>
      </c>
      <c r="L1213" s="266" t="n">
        <v>3355</v>
      </c>
      <c r="M1213" s="113" t="n"/>
      <c r="N1213" s="113" t="n"/>
      <c r="O1213" s="113" t="n"/>
      <c r="P1213" s="398" t="n"/>
      <c r="Q1213" s="398" t="n"/>
      <c r="R1213" s="113" t="n"/>
      <c r="S1213" s="113" t="n"/>
      <c r="T1213" s="113" t="n"/>
      <c r="U1213" s="113" t="n"/>
      <c r="V1213" s="113" t="n"/>
    </row>
    <row r="1214" ht="15.75" customHeight="1">
      <c r="A1214" s="398" t="n">
        <v>22</v>
      </c>
      <c r="B1214" s="238" t="n"/>
      <c r="C1214" s="399" t="n">
        <v>46165</v>
      </c>
      <c r="D1214" s="146" t="inlineStr">
        <is>
          <t>200 G. GARCERAS</t>
        </is>
      </c>
      <c r="E1214" s="146" t="n">
        <v>48146</v>
      </c>
      <c r="F1214" s="146" t="inlineStr">
        <is>
          <t>EDWIN ROJAS</t>
        </is>
      </c>
      <c r="G1214" s="395" t="n">
        <v>2855</v>
      </c>
      <c r="H1214" s="395" t="n">
        <v>2861</v>
      </c>
      <c r="I1214" s="395" t="n">
        <v>6</v>
      </c>
      <c r="J1214" s="395" t="n">
        <v>1</v>
      </c>
      <c r="K1214" s="395" t="n">
        <v>13</v>
      </c>
      <c r="L1214" s="266" t="n">
        <v>2850</v>
      </c>
      <c r="M1214" s="113" t="n"/>
      <c r="N1214" s="113" t="n"/>
      <c r="O1214" s="113" t="n"/>
      <c r="P1214" s="398" t="n"/>
      <c r="Q1214" s="398" t="n"/>
      <c r="R1214" s="113" t="n"/>
      <c r="S1214" s="113" t="n"/>
      <c r="T1214" s="113" t="n"/>
      <c r="U1214" s="113" t="n"/>
      <c r="V1214" s="113" t="n"/>
    </row>
    <row r="1215" ht="15.75" customHeight="1">
      <c r="A1215" s="398" t="n">
        <v>22</v>
      </c>
      <c r="B1215" s="238" t="n"/>
      <c r="C1215" s="399" t="n">
        <v>46165</v>
      </c>
      <c r="D1215" s="146" t="inlineStr">
        <is>
          <t>200 G. GARCERAS</t>
        </is>
      </c>
      <c r="E1215" s="146" t="n">
        <v>48147</v>
      </c>
      <c r="F1215" s="146" t="inlineStr">
        <is>
          <t xml:space="preserve">SEBASTIAN HIDALGO </t>
        </is>
      </c>
      <c r="G1215" s="395" t="n">
        <v>2770</v>
      </c>
      <c r="H1215" s="395" t="n">
        <v>2769</v>
      </c>
      <c r="I1215" s="395" t="n">
        <v>3</v>
      </c>
      <c r="J1215" s="395" t="n">
        <v>1</v>
      </c>
      <c r="K1215" s="395" t="n">
        <v>3</v>
      </c>
      <c r="L1215" s="266" t="n">
        <v>2770</v>
      </c>
      <c r="M1215" s="113" t="n"/>
      <c r="N1215" s="113" t="n"/>
      <c r="O1215" s="113" t="n"/>
      <c r="P1215" s="398" t="n"/>
      <c r="Q1215" s="398" t="n"/>
      <c r="R1215" s="113" t="n"/>
      <c r="S1215" s="113" t="n"/>
      <c r="T1215" s="113" t="n"/>
      <c r="U1215" s="113" t="n"/>
      <c r="V1215" s="113" t="n"/>
    </row>
    <row r="1216" ht="15.75" customHeight="1">
      <c r="A1216" s="398" t="n">
        <v>22</v>
      </c>
      <c r="B1216" s="238" t="n"/>
      <c r="C1216" s="399" t="n">
        <v>46165</v>
      </c>
      <c r="D1216" s="146" t="inlineStr">
        <is>
          <t>200 G. GARCERAS</t>
        </is>
      </c>
      <c r="E1216" s="146" t="n">
        <v>48148</v>
      </c>
      <c r="F1216" s="146" t="inlineStr">
        <is>
          <t>DIEGO NIÑO</t>
        </is>
      </c>
      <c r="G1216" s="395" t="n">
        <v>2770</v>
      </c>
      <c r="H1216" s="395" t="n">
        <v>2774</v>
      </c>
      <c r="I1216" s="395" t="n">
        <v>2</v>
      </c>
      <c r="J1216" s="395" t="n">
        <v>1</v>
      </c>
      <c r="K1216" s="395" t="n">
        <v>7</v>
      </c>
      <c r="L1216" s="266" t="n">
        <v>2770</v>
      </c>
      <c r="M1216" s="113" t="n"/>
      <c r="N1216" s="113" t="n"/>
      <c r="O1216" s="113" t="n"/>
      <c r="P1216" s="398" t="n"/>
      <c r="Q1216" s="398" t="n"/>
      <c r="R1216" s="113" t="n"/>
      <c r="S1216" s="113" t="n"/>
      <c r="T1216" s="113" t="n"/>
      <c r="U1216" s="113" t="n"/>
      <c r="V1216" s="113" t="n"/>
    </row>
    <row r="1217" ht="15.75" customHeight="1">
      <c r="A1217" s="398" t="n">
        <v>22</v>
      </c>
      <c r="B1217" s="238" t="n"/>
      <c r="C1217" s="399" t="n">
        <v>46165</v>
      </c>
      <c r="D1217" s="146" t="inlineStr">
        <is>
          <t>200 G. GARCERAS</t>
        </is>
      </c>
      <c r="E1217" s="146" t="n">
        <v>48149</v>
      </c>
      <c r="F1217" s="146" t="inlineStr">
        <is>
          <t>WILMER PIÑEROS</t>
        </is>
      </c>
      <c r="G1217" s="395" t="n">
        <v>2960</v>
      </c>
      <c r="H1217" s="395" t="n">
        <v>2958</v>
      </c>
      <c r="I1217" s="395" t="n">
        <v>3</v>
      </c>
      <c r="J1217" s="395" t="n">
        <v>5</v>
      </c>
      <c r="K1217" s="395" t="n">
        <v>6</v>
      </c>
      <c r="L1217" s="266" t="n">
        <v>2960</v>
      </c>
      <c r="M1217" s="113" t="n"/>
      <c r="N1217" s="113" t="n"/>
      <c r="O1217" s="113" t="n"/>
      <c r="P1217" s="398" t="n"/>
      <c r="Q1217" s="398" t="n"/>
      <c r="R1217" s="113" t="n"/>
      <c r="S1217" s="113" t="n"/>
      <c r="T1217" s="113" t="n"/>
      <c r="U1217" s="113" t="n"/>
      <c r="V1217" s="113" t="n"/>
    </row>
    <row r="1218" ht="15.75" customHeight="1">
      <c r="A1218" s="398" t="n">
        <v>22</v>
      </c>
      <c r="B1218" s="238" t="n"/>
      <c r="C1218" s="399" t="n">
        <v>46165</v>
      </c>
      <c r="D1218" s="146" t="inlineStr">
        <is>
          <t>200 G. GARCERAS</t>
        </is>
      </c>
      <c r="E1218" s="146" t="n">
        <v>48157</v>
      </c>
      <c r="F1218" s="146" t="inlineStr">
        <is>
          <t>MANUEL QUITIAN</t>
        </is>
      </c>
      <c r="G1218" s="395" t="n">
        <v>3000</v>
      </c>
      <c r="H1218" s="395" t="n">
        <v>2978</v>
      </c>
      <c r="I1218" s="395" t="n">
        <v>2</v>
      </c>
      <c r="J1218" s="395" t="n">
        <v>5</v>
      </c>
      <c r="K1218" s="395" t="n">
        <v>-15</v>
      </c>
      <c r="L1218" s="266" t="n">
        <v>3000</v>
      </c>
      <c r="M1218" s="113" t="n"/>
      <c r="N1218" s="113" t="n"/>
      <c r="O1218" s="113" t="n"/>
      <c r="P1218" s="398" t="n"/>
      <c r="Q1218" s="398" t="n"/>
      <c r="R1218" s="113" t="n"/>
      <c r="S1218" s="113" t="n"/>
      <c r="T1218" s="113" t="n"/>
      <c r="U1218" s="113" t="n"/>
      <c r="V1218" s="113" t="n"/>
    </row>
    <row r="1219" ht="15.75" customHeight="1">
      <c r="A1219" s="398" t="n">
        <v>22</v>
      </c>
      <c r="B1219" s="238" t="n"/>
      <c r="C1219" s="399" t="n">
        <v>46165</v>
      </c>
      <c r="D1219" s="146" t="inlineStr">
        <is>
          <t>200 G. GARCERAS</t>
        </is>
      </c>
      <c r="E1219" s="146" t="n">
        <v>48158</v>
      </c>
      <c r="F1219" s="146" t="inlineStr">
        <is>
          <t>JHON ARIAS</t>
        </is>
      </c>
      <c r="G1219" s="395" t="n">
        <v>3000</v>
      </c>
      <c r="H1219" s="395" t="n">
        <v>3018</v>
      </c>
      <c r="I1219" s="395" t="n">
        <v>2</v>
      </c>
      <c r="J1219" s="395" t="n">
        <v>2</v>
      </c>
      <c r="K1219" s="395" t="n">
        <v>22</v>
      </c>
      <c r="L1219" s="266" t="n">
        <v>3000</v>
      </c>
      <c r="M1219" s="113" t="n"/>
      <c r="N1219" s="113" t="n"/>
      <c r="O1219" s="113" t="n"/>
      <c r="P1219" s="398" t="n"/>
      <c r="Q1219" s="398" t="n"/>
      <c r="R1219" s="113" t="n"/>
      <c r="S1219" s="113" t="n"/>
      <c r="T1219" s="113" t="n"/>
      <c r="U1219" s="113" t="n"/>
      <c r="V1219" s="113" t="n"/>
    </row>
    <row r="1220" ht="15.75" customHeight="1">
      <c r="A1220" s="398" t="n">
        <v>22</v>
      </c>
      <c r="B1220" s="238" t="n"/>
      <c r="C1220" s="399" t="n">
        <v>46165</v>
      </c>
      <c r="D1220" s="146" t="inlineStr">
        <is>
          <t>200 G. GARCERAS</t>
        </is>
      </c>
      <c r="E1220" s="146" t="n">
        <v>48159</v>
      </c>
      <c r="F1220" s="146" t="inlineStr">
        <is>
          <t>EDUAN CAVIEDES</t>
        </is>
      </c>
      <c r="G1220" s="395" t="n">
        <v>3000</v>
      </c>
      <c r="H1220" s="395" t="n">
        <v>2974</v>
      </c>
      <c r="I1220" s="395" t="n">
        <v>2</v>
      </c>
      <c r="J1220" s="395" t="n">
        <v>6</v>
      </c>
      <c r="K1220" s="395" t="n">
        <v>-18</v>
      </c>
      <c r="L1220" s="266" t="n">
        <v>3000</v>
      </c>
      <c r="M1220" s="113" t="n"/>
      <c r="N1220" s="113" t="n"/>
      <c r="O1220" s="113" t="n"/>
      <c r="P1220" s="398" t="n"/>
      <c r="Q1220" s="398" t="n"/>
      <c r="R1220" s="113" t="n"/>
      <c r="S1220" s="113" t="n"/>
      <c r="T1220" s="113" t="n"/>
      <c r="U1220" s="113" t="n"/>
      <c r="V1220" s="113" t="n"/>
    </row>
    <row r="1221" ht="15.75" customHeight="1">
      <c r="A1221" s="398" t="n">
        <v>22</v>
      </c>
      <c r="B1221" s="238" t="n"/>
      <c r="C1221" s="399" t="n">
        <v>46165</v>
      </c>
      <c r="D1221" s="146" t="inlineStr">
        <is>
          <t>200 G. GARCERAS</t>
        </is>
      </c>
      <c r="E1221" s="146" t="n">
        <v>48160</v>
      </c>
      <c r="F1221" s="146" t="inlineStr">
        <is>
          <t>ALEX GOMEZ</t>
        </is>
      </c>
      <c r="G1221" s="395" t="n">
        <v>2500</v>
      </c>
      <c r="H1221" s="395" t="n">
        <v>2525</v>
      </c>
      <c r="I1221" s="395" t="n">
        <v>1</v>
      </c>
      <c r="J1221" s="395" t="n">
        <v>2</v>
      </c>
      <c r="K1221" s="395" t="n">
        <v>28</v>
      </c>
      <c r="L1221" s="266" t="n">
        <v>2500</v>
      </c>
      <c r="M1221" s="113" t="n"/>
      <c r="N1221" s="113" t="n"/>
      <c r="O1221" s="113" t="n"/>
      <c r="P1221" s="398" t="n"/>
      <c r="Q1221" s="398" t="n"/>
      <c r="R1221" s="113" t="n"/>
      <c r="S1221" s="113" t="n"/>
      <c r="T1221" s="113" t="n"/>
      <c r="U1221" s="113" t="n"/>
      <c r="V1221" s="113" t="n"/>
    </row>
    <row r="1222" ht="15.75" customHeight="1">
      <c r="A1222" s="398" t="n">
        <v>22</v>
      </c>
      <c r="B1222" s="238" t="n"/>
      <c r="C1222" s="399" t="n">
        <v>46165</v>
      </c>
      <c r="D1222" s="146" t="inlineStr">
        <is>
          <t>221 G. MALAGUEÑA</t>
        </is>
      </c>
      <c r="E1222" s="146" t="n">
        <v>48161</v>
      </c>
      <c r="F1222" s="146" t="inlineStr">
        <is>
          <t>EDWIN ROJAS</t>
        </is>
      </c>
      <c r="G1222" s="395" t="n">
        <v>3600</v>
      </c>
      <c r="H1222" s="395" t="n">
        <v>3602</v>
      </c>
      <c r="I1222" s="395" t="n">
        <v>1</v>
      </c>
      <c r="J1222" s="395" t="n">
        <v>2</v>
      </c>
      <c r="K1222" s="395" t="n">
        <v>5</v>
      </c>
      <c r="L1222" s="266" t="n">
        <v>3600</v>
      </c>
      <c r="M1222" s="113" t="n"/>
      <c r="N1222" s="113" t="n"/>
      <c r="O1222" s="113" t="n"/>
      <c r="P1222" s="398" t="n"/>
      <c r="Q1222" s="398" t="n"/>
      <c r="R1222" s="113" t="n"/>
      <c r="S1222" s="113" t="n"/>
      <c r="T1222" s="113" t="n"/>
      <c r="U1222" s="113" t="n"/>
      <c r="V1222" s="113" t="n"/>
    </row>
    <row r="1223" ht="15.75" customHeight="1">
      <c r="A1223" s="398" t="n">
        <v>22</v>
      </c>
      <c r="B1223" s="238" t="n"/>
      <c r="C1223" s="399" t="n">
        <v>46165</v>
      </c>
      <c r="D1223" s="146" t="inlineStr">
        <is>
          <t>221 G. MALAGUEÑA</t>
        </is>
      </c>
      <c r="E1223" s="146" t="n">
        <v>48162</v>
      </c>
      <c r="F1223" s="146" t="inlineStr">
        <is>
          <t xml:space="preserve">SEBASTIAN HIDALGO </t>
        </is>
      </c>
      <c r="G1223" s="395" t="n">
        <v>3600</v>
      </c>
      <c r="H1223" s="395" t="n">
        <v>3593</v>
      </c>
      <c r="I1223" s="395" t="n">
        <v>1</v>
      </c>
      <c r="J1223" s="395" t="n">
        <v>3</v>
      </c>
      <c r="K1223" s="395" t="n">
        <v>-3</v>
      </c>
      <c r="L1223" s="284" t="n">
        <v>3600</v>
      </c>
      <c r="M1223" s="113" t="n"/>
      <c r="N1223" s="113" t="n"/>
      <c r="O1223" s="113" t="n"/>
      <c r="P1223" s="398" t="n"/>
      <c r="Q1223" s="398" t="n"/>
      <c r="R1223" s="113" t="n"/>
      <c r="S1223" s="113" t="n"/>
      <c r="T1223" s="113" t="n"/>
      <c r="U1223" s="113" t="n"/>
      <c r="V1223" s="113" t="n"/>
    </row>
    <row r="1224" ht="15.75" customHeight="1">
      <c r="A1224" s="398" t="n">
        <v>22</v>
      </c>
      <c r="B1224" s="238" t="n"/>
      <c r="C1224" s="399" t="n"/>
      <c r="D1224" s="113" t="n"/>
      <c r="E1224" s="113" t="n"/>
      <c r="F1224" s="113" t="n"/>
      <c r="G1224" s="477">
        <f>SUBTOTAL(9,G1148:G1223)</f>
        <v/>
      </c>
      <c r="H1224" s="477">
        <f>SUBTOTAL(9,H1148:H1223)</f>
        <v/>
      </c>
      <c r="I1224" s="477">
        <f>SUBTOTAL(9,I1148:I1223)</f>
        <v/>
      </c>
      <c r="J1224" s="477">
        <f>SUBTOTAL(9,J1148:J1223)</f>
        <v/>
      </c>
      <c r="K1224" s="477">
        <f>SUBTOTAL(9,K1148:K1223)</f>
        <v/>
      </c>
      <c r="L1224" s="477">
        <f>SUBTOTAL(9,L1148:L1223)</f>
        <v/>
      </c>
      <c r="M1224" s="395">
        <f>L1224-H1224</f>
        <v/>
      </c>
      <c r="N1224" s="395" t="n"/>
      <c r="O1224" s="113" t="n"/>
      <c r="P1224" s="398" t="n"/>
      <c r="Q1224" s="398" t="n"/>
      <c r="R1224" s="113" t="n"/>
      <c r="S1224" s="113" t="n"/>
      <c r="T1224" s="113" t="n"/>
      <c r="U1224" s="113" t="n"/>
      <c r="V1224" s="113" t="n"/>
    </row>
    <row r="1225" ht="15.75" customHeight="1">
      <c r="A1225" s="398" t="n">
        <v>23</v>
      </c>
      <c r="B1225" s="238" t="n"/>
      <c r="C1225" s="164" t="n">
        <v>46167</v>
      </c>
      <c r="D1225" s="165" t="inlineStr">
        <is>
          <t>221 G. MALAGUEÑA</t>
        </is>
      </c>
      <c r="E1225" s="165" t="n">
        <v>48172</v>
      </c>
      <c r="F1225" s="165" t="inlineStr">
        <is>
          <t>WILMER PIÑEROS</t>
        </is>
      </c>
      <c r="G1225" s="165" t="n">
        <v>2720</v>
      </c>
      <c r="H1225" s="165" t="n">
        <v>2717</v>
      </c>
      <c r="I1225" s="165" t="n">
        <v>3</v>
      </c>
      <c r="J1225" s="165" t="n">
        <v>3</v>
      </c>
      <c r="K1225" s="165" t="n">
        <v>3</v>
      </c>
      <c r="L1225" s="260" t="n">
        <v>2720</v>
      </c>
      <c r="M1225" s="113" t="n"/>
      <c r="N1225" s="113" t="n"/>
      <c r="O1225" s="113" t="n"/>
      <c r="P1225" s="398" t="n"/>
      <c r="Q1225" s="398" t="n"/>
      <c r="R1225" s="113" t="n"/>
      <c r="S1225" s="113" t="n"/>
      <c r="T1225" s="113" t="n"/>
      <c r="U1225" s="113" t="n"/>
      <c r="V1225" s="113" t="n"/>
    </row>
    <row r="1226" ht="15.75" customHeight="1">
      <c r="A1226" s="398" t="n">
        <v>23</v>
      </c>
      <c r="B1226" s="238" t="n"/>
      <c r="C1226" s="164" t="n">
        <v>46167</v>
      </c>
      <c r="D1226" s="165" t="inlineStr">
        <is>
          <t>221 G. MALAGUEÑA</t>
        </is>
      </c>
      <c r="E1226" s="165" t="n">
        <v>48173</v>
      </c>
      <c r="F1226" s="165" t="inlineStr">
        <is>
          <t xml:space="preserve">ROBINSON PULIDO </t>
        </is>
      </c>
      <c r="G1226" s="165" t="n">
        <v>2720</v>
      </c>
      <c r="H1226" s="165" t="n">
        <v>2715</v>
      </c>
      <c r="I1226" s="165" t="n">
        <v>4</v>
      </c>
      <c r="J1226" s="165" t="n">
        <v>5</v>
      </c>
      <c r="K1226" s="165" t="n">
        <v>4</v>
      </c>
      <c r="L1226" s="266" t="n">
        <v>2720</v>
      </c>
      <c r="M1226" s="113" t="n"/>
      <c r="N1226" s="113" t="n"/>
      <c r="O1226" s="113" t="n"/>
      <c r="P1226" s="398" t="n"/>
      <c r="Q1226" s="398" t="n"/>
      <c r="R1226" s="113" t="n"/>
      <c r="S1226" s="113" t="n"/>
      <c r="T1226" s="113" t="n"/>
      <c r="U1226" s="113" t="n"/>
      <c r="V1226" s="113" t="n"/>
    </row>
    <row r="1227" ht="15.75" customHeight="1">
      <c r="A1227" s="398" t="n">
        <v>23</v>
      </c>
      <c r="B1227" s="238" t="n"/>
      <c r="C1227" s="164" t="n">
        <v>46167</v>
      </c>
      <c r="D1227" s="165" t="inlineStr">
        <is>
          <t>221 G. MALAGUEÑA</t>
        </is>
      </c>
      <c r="E1227" s="165" t="n">
        <v>48174</v>
      </c>
      <c r="F1227" s="165" t="inlineStr">
        <is>
          <t>ALBERTO LOPEZ</t>
        </is>
      </c>
      <c r="G1227" s="165" t="n">
        <v>2720</v>
      </c>
      <c r="H1227" s="165" t="n">
        <v>2720</v>
      </c>
      <c r="I1227" s="165" t="n">
        <v>4</v>
      </c>
      <c r="J1227" s="165" t="n">
        <v>2</v>
      </c>
      <c r="K1227" s="165" t="n">
        <v>6</v>
      </c>
      <c r="L1227" s="266" t="n">
        <v>2720</v>
      </c>
      <c r="M1227" s="113" t="n"/>
      <c r="N1227" s="113" t="n"/>
      <c r="O1227" s="113" t="n"/>
      <c r="P1227" s="398" t="n"/>
      <c r="Q1227" s="398" t="n"/>
      <c r="R1227" s="113" t="n"/>
      <c r="S1227" s="113" t="n"/>
      <c r="T1227" s="113" t="n"/>
      <c r="U1227" s="113" t="n"/>
      <c r="V1227" s="113" t="n"/>
    </row>
    <row r="1228" ht="15.75" customHeight="1">
      <c r="A1228" s="398" t="n">
        <v>23</v>
      </c>
      <c r="B1228" s="238" t="n"/>
      <c r="C1228" s="164" t="n">
        <v>46167</v>
      </c>
      <c r="D1228" s="165" t="inlineStr">
        <is>
          <t>221 G. MALAGUEÑA</t>
        </is>
      </c>
      <c r="E1228" s="165" t="n">
        <v>48175</v>
      </c>
      <c r="F1228" s="165" t="inlineStr">
        <is>
          <t>JHON ARIAS</t>
        </is>
      </c>
      <c r="G1228" s="165" t="n">
        <v>3160</v>
      </c>
      <c r="H1228" s="165" t="n">
        <v>3176</v>
      </c>
      <c r="I1228" s="165" t="n">
        <v>2</v>
      </c>
      <c r="J1228" s="165" t="n">
        <v>4</v>
      </c>
      <c r="K1228" s="165" t="n">
        <v>22</v>
      </c>
      <c r="L1228" s="266" t="n">
        <v>3160</v>
      </c>
      <c r="M1228" s="113" t="n"/>
      <c r="N1228" s="113" t="n"/>
      <c r="O1228" s="113" t="n"/>
      <c r="P1228" s="398" t="n"/>
      <c r="Q1228" s="398" t="n"/>
      <c r="R1228" s="113" t="n"/>
      <c r="S1228" s="113" t="n"/>
      <c r="T1228" s="113" t="n"/>
      <c r="U1228" s="113" t="n"/>
      <c r="V1228" s="113" t="n"/>
    </row>
    <row r="1229" ht="15.75" customHeight="1">
      <c r="A1229" s="398" t="n">
        <v>23</v>
      </c>
      <c r="B1229" s="238" t="n"/>
      <c r="C1229" s="164" t="n">
        <v>46167</v>
      </c>
      <c r="D1229" s="165" t="inlineStr">
        <is>
          <t>221 G. MALAGUEÑA</t>
        </is>
      </c>
      <c r="E1229" s="165" t="n">
        <v>48176</v>
      </c>
      <c r="F1229" s="165" t="inlineStr">
        <is>
          <t>JOSE SOLER</t>
        </is>
      </c>
      <c r="G1229" s="165" t="n">
        <v>3160</v>
      </c>
      <c r="H1229" s="165" t="n">
        <v>3171</v>
      </c>
      <c r="I1229" s="165" t="n">
        <v>1</v>
      </c>
      <c r="J1229" s="165" t="n">
        <v>4</v>
      </c>
      <c r="K1229" s="165" t="n">
        <v>16</v>
      </c>
      <c r="L1229" s="266" t="n">
        <v>3160</v>
      </c>
      <c r="M1229" s="113" t="n"/>
      <c r="N1229" s="113" t="n"/>
      <c r="O1229" s="113" t="n"/>
      <c r="P1229" s="398" t="n"/>
      <c r="Q1229" s="398" t="n"/>
      <c r="R1229" s="113" t="n"/>
      <c r="S1229" s="113" t="n"/>
      <c r="T1229" s="113" t="n"/>
      <c r="U1229" s="113" t="n"/>
      <c r="V1229" s="113" t="n"/>
    </row>
    <row r="1230" ht="15.75" customHeight="1">
      <c r="A1230" s="398" t="n">
        <v>23</v>
      </c>
      <c r="B1230" s="238" t="n"/>
      <c r="C1230" s="164" t="n">
        <v>46167</v>
      </c>
      <c r="D1230" s="166" t="inlineStr">
        <is>
          <t>221 G. MALAGUEÑA</t>
        </is>
      </c>
      <c r="E1230" s="166" t="n">
        <v>48177</v>
      </c>
      <c r="F1230" s="166" t="inlineStr">
        <is>
          <t>MANUEL QUITIAN</t>
        </is>
      </c>
      <c r="G1230" s="166" t="n">
        <v>3240</v>
      </c>
      <c r="H1230" s="166" t="n">
        <v>3242</v>
      </c>
      <c r="I1230" s="166" t="n">
        <v>2</v>
      </c>
      <c r="J1230" s="166" t="n">
        <v>7</v>
      </c>
      <c r="K1230" s="166" t="n">
        <v>11</v>
      </c>
      <c r="L1230" s="266" t="n">
        <v>3240</v>
      </c>
      <c r="M1230" s="113" t="n"/>
      <c r="N1230" s="113" t="n"/>
      <c r="O1230" s="113" t="n"/>
      <c r="P1230" s="398" t="n"/>
      <c r="Q1230" s="398" t="n"/>
      <c r="R1230" s="113" t="n"/>
      <c r="S1230" s="113" t="n"/>
      <c r="T1230" s="113" t="n"/>
      <c r="U1230" s="113" t="n"/>
      <c r="V1230" s="113" t="n"/>
    </row>
    <row r="1231" ht="15.75" customHeight="1">
      <c r="A1231" s="398" t="n">
        <v>23</v>
      </c>
      <c r="B1231" s="238" t="n"/>
      <c r="C1231" s="164" t="n">
        <v>46167</v>
      </c>
      <c r="D1231" s="166" t="inlineStr">
        <is>
          <t>221 G. MALAGUEÑA</t>
        </is>
      </c>
      <c r="E1231" s="166" t="n">
        <v>48178</v>
      </c>
      <c r="F1231" s="166" t="inlineStr">
        <is>
          <t>ALEX GOMEZ</t>
        </is>
      </c>
      <c r="G1231" s="166" t="n">
        <v>2580</v>
      </c>
      <c r="H1231" s="166" t="n">
        <v>2592</v>
      </c>
      <c r="I1231" s="166" t="n">
        <v>2</v>
      </c>
      <c r="J1231" s="166" t="n">
        <v>0</v>
      </c>
      <c r="K1231" s="166" t="n">
        <v>14</v>
      </c>
      <c r="L1231" s="266" t="n">
        <v>2580</v>
      </c>
      <c r="M1231" s="113" t="n"/>
      <c r="N1231" s="113" t="n"/>
      <c r="O1231" s="113" t="n"/>
      <c r="P1231" s="398" t="n"/>
      <c r="Q1231" s="398" t="n"/>
      <c r="R1231" s="113" t="n"/>
      <c r="S1231" s="113" t="n"/>
      <c r="T1231" s="113" t="n"/>
      <c r="U1231" s="113" t="n"/>
      <c r="V1231" s="113" t="n"/>
    </row>
    <row r="1232" ht="15.75" customHeight="1">
      <c r="A1232" s="398" t="n">
        <v>23</v>
      </c>
      <c r="B1232" s="238" t="n"/>
      <c r="C1232" s="164" t="n">
        <v>46167</v>
      </c>
      <c r="D1232" s="166" t="inlineStr">
        <is>
          <t>200 G. GARCERAS</t>
        </is>
      </c>
      <c r="E1232" s="166" t="n">
        <v>48187</v>
      </c>
      <c r="F1232" s="166" t="inlineStr">
        <is>
          <t>HENRY ROMERO</t>
        </is>
      </c>
      <c r="G1232" s="166" t="n">
        <v>3150</v>
      </c>
      <c r="H1232" s="166" t="n">
        <v>3170</v>
      </c>
      <c r="I1232" s="166" t="n">
        <v>1</v>
      </c>
      <c r="J1232" s="166" t="n">
        <v>5</v>
      </c>
      <c r="K1232" s="166" t="n">
        <v>26</v>
      </c>
      <c r="L1232" s="266" t="n">
        <v>3150</v>
      </c>
      <c r="M1232" s="113" t="n"/>
      <c r="N1232" s="113" t="n"/>
      <c r="O1232" s="113" t="n"/>
      <c r="P1232" s="398" t="n"/>
      <c r="Q1232" s="398" t="n"/>
      <c r="R1232" s="113" t="n"/>
      <c r="S1232" s="113" t="n"/>
      <c r="T1232" s="113" t="n"/>
      <c r="U1232" s="113" t="n"/>
      <c r="V1232" s="113" t="n"/>
    </row>
    <row r="1233" ht="15.75" customHeight="1">
      <c r="A1233" s="398" t="n">
        <v>23</v>
      </c>
      <c r="B1233" s="238" t="n"/>
      <c r="C1233" s="164" t="n">
        <v>46167</v>
      </c>
      <c r="D1233" s="166" t="inlineStr">
        <is>
          <t>200 G. GARCERAS</t>
        </is>
      </c>
      <c r="E1233" s="166" t="n">
        <v>48188</v>
      </c>
      <c r="F1233" s="166" t="inlineStr">
        <is>
          <t>FABIO ALDANA</t>
        </is>
      </c>
      <c r="G1233" s="166" t="n">
        <v>3090</v>
      </c>
      <c r="H1233" s="166" t="n">
        <v>3125</v>
      </c>
      <c r="I1233" s="166" t="n">
        <v>1</v>
      </c>
      <c r="J1233" s="166" t="n">
        <v>2</v>
      </c>
      <c r="K1233" s="166" t="n">
        <v>38</v>
      </c>
      <c r="L1233" s="266" t="n">
        <v>3090</v>
      </c>
      <c r="M1233" s="113" t="n"/>
      <c r="N1233" s="113" t="n"/>
      <c r="O1233" s="113" t="n"/>
      <c r="P1233" s="398" t="n"/>
      <c r="Q1233" s="398" t="n"/>
      <c r="R1233" s="113" t="n"/>
      <c r="S1233" s="113" t="n"/>
      <c r="T1233" s="113" t="n"/>
      <c r="U1233" s="113" t="n"/>
      <c r="V1233" s="113" t="n"/>
    </row>
    <row r="1234" ht="15.75" customHeight="1">
      <c r="A1234" s="398" t="n">
        <v>23</v>
      </c>
      <c r="B1234" s="238" t="n"/>
      <c r="C1234" s="164" t="n">
        <v>46167</v>
      </c>
      <c r="D1234" s="166" t="inlineStr">
        <is>
          <t>200 G. GARCERAS</t>
        </is>
      </c>
      <c r="E1234" s="166" t="n">
        <v>48189</v>
      </c>
      <c r="F1234" s="166" t="inlineStr">
        <is>
          <t xml:space="preserve">ROBINSON PULIDO </t>
        </is>
      </c>
      <c r="G1234" s="166" t="n">
        <v>3090</v>
      </c>
      <c r="H1234" s="166" t="n">
        <v>3110</v>
      </c>
      <c r="I1234" s="166" t="n">
        <v>3</v>
      </c>
      <c r="J1234" s="166" t="n">
        <v>1</v>
      </c>
      <c r="K1234" s="166" t="n">
        <v>24</v>
      </c>
      <c r="L1234" s="266" t="n">
        <v>3090</v>
      </c>
      <c r="M1234" s="113" t="n"/>
      <c r="N1234" s="113" t="n"/>
      <c r="O1234" s="113" t="n"/>
      <c r="P1234" s="398" t="n"/>
      <c r="Q1234" s="398" t="n"/>
      <c r="R1234" s="113" t="n"/>
      <c r="S1234" s="113" t="n"/>
      <c r="T1234" s="113" t="n"/>
      <c r="U1234" s="113" t="n"/>
      <c r="V1234" s="113" t="n"/>
    </row>
    <row r="1235" ht="15.75" customHeight="1">
      <c r="A1235" s="398" t="n">
        <v>23</v>
      </c>
      <c r="B1235" s="238" t="n"/>
      <c r="C1235" s="164" t="n">
        <v>46167</v>
      </c>
      <c r="D1235" s="166" t="inlineStr">
        <is>
          <t>200 G. GARCERAS</t>
        </is>
      </c>
      <c r="E1235" s="166" t="n">
        <v>48190</v>
      </c>
      <c r="F1235" s="166" t="inlineStr">
        <is>
          <t>ALBERTO LOPEZ</t>
        </is>
      </c>
      <c r="G1235" s="166" t="n">
        <v>3090</v>
      </c>
      <c r="H1235" s="166" t="n">
        <v>3100</v>
      </c>
      <c r="I1235" s="166" t="n">
        <v>2</v>
      </c>
      <c r="J1235" s="166" t="n">
        <v>1</v>
      </c>
      <c r="K1235" s="166" t="n">
        <v>13</v>
      </c>
      <c r="L1235" s="266" t="n">
        <v>3090</v>
      </c>
      <c r="M1235" s="113" t="n"/>
      <c r="N1235" s="113" t="n"/>
      <c r="O1235" s="113" t="n"/>
      <c r="P1235" s="398" t="n"/>
      <c r="Q1235" s="398" t="n"/>
      <c r="R1235" s="113" t="n"/>
      <c r="S1235" s="113" t="n"/>
      <c r="T1235" s="113" t="n"/>
      <c r="U1235" s="113" t="n"/>
      <c r="V1235" s="113" t="n"/>
    </row>
    <row r="1236" ht="15.75" customHeight="1">
      <c r="A1236" s="398" t="n">
        <v>23</v>
      </c>
      <c r="B1236" s="238" t="n"/>
      <c r="C1236" s="164" t="n">
        <v>46167</v>
      </c>
      <c r="D1236" s="166" t="inlineStr">
        <is>
          <t>200 G. GARCERAS</t>
        </is>
      </c>
      <c r="E1236" s="166" t="n">
        <v>48191</v>
      </c>
      <c r="F1236" s="146" t="inlineStr">
        <is>
          <t>JHON ARIAS</t>
        </is>
      </c>
      <c r="G1236" s="146" t="n">
        <v>3090</v>
      </c>
      <c r="H1236" s="146" t="n">
        <v>3091</v>
      </c>
      <c r="I1236" s="146" t="n">
        <v>2</v>
      </c>
      <c r="J1236" s="146" t="n">
        <v>3</v>
      </c>
      <c r="K1236" s="166" t="n">
        <v>6</v>
      </c>
      <c r="L1236" s="266" t="n">
        <v>3090</v>
      </c>
      <c r="M1236" s="113" t="n"/>
      <c r="N1236" s="113" t="n"/>
      <c r="O1236" s="113" t="n"/>
      <c r="P1236" s="398" t="n"/>
      <c r="Q1236" s="398" t="n"/>
      <c r="R1236" s="113" t="n"/>
      <c r="S1236" s="113" t="n"/>
      <c r="T1236" s="113" t="n"/>
      <c r="U1236" s="113" t="n"/>
      <c r="V1236" s="113" t="n"/>
    </row>
    <row r="1237" ht="15.75" customHeight="1">
      <c r="A1237" s="398" t="n">
        <v>23</v>
      </c>
      <c r="B1237" s="238" t="n"/>
      <c r="C1237" s="164" t="n">
        <v>46167</v>
      </c>
      <c r="D1237" s="166" t="inlineStr">
        <is>
          <t>200 G. GARCERAS</t>
        </is>
      </c>
      <c r="E1237" s="166" t="n">
        <v>48192</v>
      </c>
      <c r="F1237" s="166" t="inlineStr">
        <is>
          <t>JOSE SOLER</t>
        </is>
      </c>
      <c r="G1237" s="166" t="n">
        <v>2790</v>
      </c>
      <c r="H1237" s="166" t="n">
        <v>2792</v>
      </c>
      <c r="I1237" s="166" t="n">
        <v>3</v>
      </c>
      <c r="J1237" s="166" t="n">
        <v>2</v>
      </c>
      <c r="K1237" s="166" t="n">
        <v>7</v>
      </c>
      <c r="L1237" s="284" t="n">
        <v>2790</v>
      </c>
      <c r="M1237" s="113" t="n"/>
      <c r="N1237" s="113" t="n"/>
      <c r="O1237" s="113" t="n"/>
      <c r="P1237" s="398" t="n"/>
      <c r="Q1237" s="398" t="n"/>
      <c r="R1237" s="113" t="n"/>
      <c r="S1237" s="113" t="n"/>
      <c r="T1237" s="113" t="n"/>
      <c r="U1237" s="113" t="n"/>
      <c r="V1237" s="113" t="n"/>
    </row>
    <row r="1238" ht="15.75" customHeight="1">
      <c r="A1238" s="398" t="n">
        <v>23</v>
      </c>
      <c r="B1238" s="238" t="n"/>
      <c r="C1238" s="164" t="n">
        <v>46168</v>
      </c>
      <c r="D1238" s="166" t="inlineStr">
        <is>
          <t>221 G. MALAGUEÑA</t>
        </is>
      </c>
      <c r="E1238" s="166" t="n">
        <v>48202</v>
      </c>
      <c r="F1238" s="166" t="inlineStr">
        <is>
          <t>DUMAR ANGARITA</t>
        </is>
      </c>
      <c r="G1238" s="166" t="n">
        <v>2770</v>
      </c>
      <c r="H1238" s="166" t="n">
        <v>2859</v>
      </c>
      <c r="I1238" s="166" t="n">
        <v>3</v>
      </c>
      <c r="J1238" s="166" t="n">
        <v>0</v>
      </c>
      <c r="K1238" s="166" t="n">
        <v>92</v>
      </c>
      <c r="L1238" s="260" t="n">
        <v>2770</v>
      </c>
      <c r="M1238" s="113" t="n"/>
      <c r="N1238" s="113" t="n"/>
      <c r="O1238" s="113" t="n"/>
      <c r="P1238" s="398" t="n"/>
      <c r="Q1238" s="398" t="n"/>
      <c r="R1238" s="113" t="n"/>
      <c r="S1238" s="113" t="n"/>
      <c r="T1238" s="113" t="n"/>
      <c r="U1238" s="113" t="n"/>
      <c r="V1238" s="113" t="n"/>
    </row>
    <row r="1239" ht="15.75" customHeight="1">
      <c r="A1239" s="398" t="n">
        <v>23</v>
      </c>
      <c r="B1239" s="238" t="n"/>
      <c r="C1239" s="164" t="n">
        <v>46168</v>
      </c>
      <c r="D1239" s="166" t="inlineStr">
        <is>
          <t>221 G. MALAGUEÑA</t>
        </is>
      </c>
      <c r="E1239" s="166" t="n">
        <v>48203</v>
      </c>
      <c r="F1239" s="166" t="inlineStr">
        <is>
          <t>ALEX GOMEZ</t>
        </is>
      </c>
      <c r="G1239" s="166" t="n">
        <v>2770</v>
      </c>
      <c r="H1239" s="166" t="n">
        <v>2777</v>
      </c>
      <c r="I1239" s="166" t="n">
        <v>4</v>
      </c>
      <c r="J1239" s="166" t="n">
        <v>1</v>
      </c>
      <c r="K1239" s="166" t="n">
        <v>12</v>
      </c>
      <c r="L1239" s="266" t="n">
        <v>2770</v>
      </c>
      <c r="M1239" s="113" t="n"/>
      <c r="N1239" s="113" t="n"/>
      <c r="O1239" s="113" t="n"/>
      <c r="P1239" s="398" t="n"/>
      <c r="Q1239" s="398" t="n"/>
      <c r="R1239" s="113" t="n"/>
      <c r="S1239" s="113" t="n"/>
      <c r="T1239" s="113" t="n"/>
      <c r="U1239" s="113" t="n"/>
      <c r="V1239" s="113" t="n"/>
    </row>
    <row r="1240" ht="15.75" customHeight="1">
      <c r="A1240" s="398" t="n">
        <v>23</v>
      </c>
      <c r="B1240" s="238" t="n"/>
      <c r="C1240" s="164" t="n">
        <v>46168</v>
      </c>
      <c r="D1240" s="166" t="inlineStr">
        <is>
          <t>221 G. MALAGUEÑA</t>
        </is>
      </c>
      <c r="E1240" s="166" t="n">
        <v>48204</v>
      </c>
      <c r="F1240" s="166" t="inlineStr">
        <is>
          <t>EDWIN ROJAS</t>
        </is>
      </c>
      <c r="G1240" s="166" t="n">
        <v>2770</v>
      </c>
      <c r="H1240" s="166" t="n">
        <v>2774</v>
      </c>
      <c r="I1240" s="166" t="n">
        <v>3</v>
      </c>
      <c r="J1240" s="166" t="n">
        <v>1</v>
      </c>
      <c r="K1240" s="166" t="n">
        <v>8</v>
      </c>
      <c r="L1240" s="266" t="n">
        <v>2770</v>
      </c>
      <c r="M1240" s="113" t="n"/>
      <c r="N1240" s="113" t="n"/>
      <c r="O1240" s="113" t="n"/>
      <c r="P1240" s="398" t="n"/>
      <c r="Q1240" s="398" t="n"/>
      <c r="R1240" s="113" t="n"/>
      <c r="S1240" s="113" t="n"/>
      <c r="T1240" s="113" t="n"/>
      <c r="U1240" s="113" t="n"/>
      <c r="V1240" s="113" t="n"/>
    </row>
    <row r="1241" ht="15.75" customHeight="1">
      <c r="A1241" s="398" t="n">
        <v>23</v>
      </c>
      <c r="B1241" s="238" t="n"/>
      <c r="C1241" s="164" t="n">
        <v>46168</v>
      </c>
      <c r="D1241" s="166" t="inlineStr">
        <is>
          <t>200 G. GARCERAS</t>
        </is>
      </c>
      <c r="E1241" s="166" t="n">
        <v>48205</v>
      </c>
      <c r="F1241" s="166" t="inlineStr">
        <is>
          <t>EDUAN CAVIEDES</t>
        </is>
      </c>
      <c r="G1241" s="166" t="n">
        <v>2920</v>
      </c>
      <c r="H1241" s="166" t="n">
        <v>2922</v>
      </c>
      <c r="I1241" s="166" t="n">
        <v>3</v>
      </c>
      <c r="J1241" s="166" t="n">
        <v>5</v>
      </c>
      <c r="K1241" s="166" t="n">
        <v>10</v>
      </c>
      <c r="L1241" s="266" t="n">
        <v>2920</v>
      </c>
      <c r="M1241" s="113" t="n"/>
      <c r="N1241" s="113" t="n"/>
      <c r="O1241" s="113" t="n"/>
      <c r="P1241" s="398" t="n"/>
      <c r="Q1241" s="398" t="n"/>
      <c r="R1241" s="113" t="n"/>
      <c r="S1241" s="113" t="n"/>
      <c r="T1241" s="113" t="n"/>
      <c r="U1241" s="113" t="n"/>
      <c r="V1241" s="113" t="n"/>
    </row>
    <row r="1242" ht="15.75" customHeight="1">
      <c r="A1242" s="398" t="n">
        <v>23</v>
      </c>
      <c r="B1242" s="238" t="n"/>
      <c r="C1242" s="164" t="n">
        <v>46168</v>
      </c>
      <c r="D1242" s="166" t="inlineStr">
        <is>
          <t>200 G. GARCERAS</t>
        </is>
      </c>
      <c r="E1242" s="166" t="n">
        <v>48206</v>
      </c>
      <c r="F1242" s="166" t="inlineStr">
        <is>
          <t>ALBERTO HERRERA</t>
        </is>
      </c>
      <c r="G1242" s="166" t="n">
        <v>3000</v>
      </c>
      <c r="H1242" s="166" t="n">
        <v>2993</v>
      </c>
      <c r="I1242" s="166" t="n">
        <v>7</v>
      </c>
      <c r="J1242" s="166" t="n">
        <v>5</v>
      </c>
      <c r="K1242" s="166" t="n">
        <v>5</v>
      </c>
      <c r="L1242" s="266" t="n">
        <v>3000</v>
      </c>
      <c r="M1242" s="113" t="n"/>
      <c r="N1242" s="113" t="n"/>
      <c r="O1242" s="113" t="n"/>
      <c r="P1242" s="398" t="n"/>
      <c r="Q1242" s="398" t="n"/>
      <c r="R1242" s="113" t="n"/>
      <c r="S1242" s="113" t="n"/>
      <c r="T1242" s="113" t="n"/>
      <c r="U1242" s="113" t="n"/>
      <c r="V1242" s="113" t="n"/>
    </row>
    <row r="1243" ht="15.75" customHeight="1">
      <c r="A1243" s="398" t="n">
        <v>23</v>
      </c>
      <c r="B1243" s="238" t="n"/>
      <c r="C1243" s="164" t="n">
        <v>46168</v>
      </c>
      <c r="D1243" s="166" t="inlineStr">
        <is>
          <t>200 G. GARCERAS</t>
        </is>
      </c>
      <c r="E1243" s="166" t="n">
        <v>48207</v>
      </c>
      <c r="F1243" s="166" t="inlineStr">
        <is>
          <t>FERNANDO OYUELA</t>
        </is>
      </c>
      <c r="G1243" s="166" t="n">
        <v>3000</v>
      </c>
      <c r="H1243" s="166" t="n">
        <v>2998</v>
      </c>
      <c r="I1243" s="166" t="n">
        <v>5</v>
      </c>
      <c r="J1243" s="166" t="n">
        <v>3</v>
      </c>
      <c r="K1243" s="166" t="n">
        <v>6</v>
      </c>
      <c r="L1243" s="266" t="n">
        <v>3000</v>
      </c>
      <c r="M1243" s="113" t="n"/>
      <c r="N1243" s="113" t="n"/>
      <c r="O1243" s="113" t="n"/>
      <c r="P1243" s="398" t="n"/>
      <c r="Q1243" s="398" t="n"/>
      <c r="R1243" s="113" t="n"/>
      <c r="S1243" s="113" t="n"/>
      <c r="T1243" s="113" t="n"/>
      <c r="U1243" s="113" t="n"/>
      <c r="V1243" s="113" t="n"/>
    </row>
    <row r="1244" ht="15.75" customHeight="1">
      <c r="A1244" s="398" t="n">
        <v>23</v>
      </c>
      <c r="B1244" s="238" t="n"/>
      <c r="C1244" s="164" t="n">
        <v>46168</v>
      </c>
      <c r="D1244" s="166" t="inlineStr">
        <is>
          <t>200 G. GARCERAS</t>
        </is>
      </c>
      <c r="E1244" s="166" t="n">
        <v>48208</v>
      </c>
      <c r="F1244" s="166" t="inlineStr">
        <is>
          <t>JAIRO CUBILLOS</t>
        </is>
      </c>
      <c r="G1244" s="166" t="n">
        <v>3000</v>
      </c>
      <c r="H1244" s="166" t="n">
        <v>3000</v>
      </c>
      <c r="I1244" s="166" t="n">
        <v>4</v>
      </c>
      <c r="J1244" s="166" t="n">
        <v>3</v>
      </c>
      <c r="K1244" s="166" t="n">
        <v>7</v>
      </c>
      <c r="L1244" s="266" t="n">
        <v>3000</v>
      </c>
      <c r="M1244" s="113" t="n"/>
      <c r="N1244" s="113" t="n"/>
      <c r="O1244" s="113" t="n"/>
      <c r="P1244" s="398" t="n"/>
      <c r="Q1244" s="398" t="n"/>
      <c r="R1244" s="113" t="n"/>
      <c r="S1244" s="113" t="n"/>
      <c r="T1244" s="113" t="n"/>
      <c r="U1244" s="113" t="n"/>
      <c r="V1244" s="113" t="n"/>
    </row>
    <row r="1245" ht="15.75" customHeight="1">
      <c r="A1245" s="398" t="n">
        <v>23</v>
      </c>
      <c r="B1245" s="238" t="n"/>
      <c r="C1245" s="164" t="n">
        <v>46168</v>
      </c>
      <c r="D1245" s="165" t="inlineStr">
        <is>
          <t>200 G. GARCERAS</t>
        </is>
      </c>
      <c r="E1245" s="165" t="n">
        <v>48209</v>
      </c>
      <c r="F1245" s="165" t="inlineStr">
        <is>
          <t>JOSE SOLER</t>
        </is>
      </c>
      <c r="G1245" s="165" t="n">
        <v>2360</v>
      </c>
      <c r="H1245" s="165" t="n">
        <v>2295</v>
      </c>
      <c r="I1245" s="165" t="n">
        <v>3</v>
      </c>
      <c r="J1245" s="165" t="n">
        <v>1</v>
      </c>
      <c r="K1245" s="165" t="n">
        <v>-61</v>
      </c>
      <c r="L1245" s="284" t="n">
        <v>2360</v>
      </c>
      <c r="M1245" s="113" t="n"/>
      <c r="N1245" s="113" t="n"/>
      <c r="O1245" s="113" t="n"/>
      <c r="P1245" s="398" t="n"/>
      <c r="Q1245" s="398" t="n"/>
      <c r="R1245" s="113" t="n"/>
      <c r="S1245" s="113" t="n"/>
      <c r="T1245" s="113" t="n"/>
      <c r="U1245" s="113" t="n"/>
      <c r="V1245" s="113" t="n"/>
    </row>
    <row r="1246" ht="15.75" customHeight="1">
      <c r="A1246" s="398" t="n">
        <v>23</v>
      </c>
      <c r="B1246" s="238" t="n"/>
      <c r="C1246" s="164" t="n">
        <v>46169</v>
      </c>
      <c r="D1246" s="165" t="inlineStr">
        <is>
          <t>200 G. GARCERAS</t>
        </is>
      </c>
      <c r="E1246" s="165" t="n">
        <v>48233</v>
      </c>
      <c r="F1246" s="165" t="inlineStr">
        <is>
          <t>EDWIN ROJAS</t>
        </is>
      </c>
      <c r="G1246" s="165" t="n">
        <v>3120</v>
      </c>
      <c r="H1246" s="165" t="n">
        <v>3101</v>
      </c>
      <c r="I1246" s="165" t="n">
        <v>6</v>
      </c>
      <c r="J1246" s="165" t="n">
        <v>9</v>
      </c>
      <c r="K1246" s="165" t="n">
        <v>-4</v>
      </c>
      <c r="L1246" s="260" t="n">
        <v>3120</v>
      </c>
      <c r="M1246" s="113" t="n"/>
      <c r="N1246" s="113" t="n"/>
      <c r="O1246" s="113" t="n"/>
      <c r="P1246" s="398" t="n"/>
      <c r="Q1246" s="398" t="n"/>
      <c r="R1246" s="113" t="n"/>
      <c r="S1246" s="113" t="n"/>
      <c r="T1246" s="113" t="n"/>
      <c r="U1246" s="113" t="n"/>
      <c r="V1246" s="113" t="n"/>
    </row>
    <row r="1247" ht="15.75" customHeight="1">
      <c r="A1247" s="398" t="n">
        <v>23</v>
      </c>
      <c r="B1247" s="238" t="n"/>
      <c r="C1247" s="164" t="n">
        <v>46169</v>
      </c>
      <c r="D1247" s="165" t="inlineStr">
        <is>
          <t>200 G. GARCERAS</t>
        </is>
      </c>
      <c r="E1247" s="165" t="n">
        <v>48234</v>
      </c>
      <c r="F1247" s="165" t="inlineStr">
        <is>
          <t>JOSE SOLER</t>
        </is>
      </c>
      <c r="G1247" s="165" t="n">
        <v>3120</v>
      </c>
      <c r="H1247" s="165" t="n">
        <v>3116</v>
      </c>
      <c r="I1247" s="165" t="n">
        <v>5</v>
      </c>
      <c r="J1247" s="165" t="n">
        <v>2</v>
      </c>
      <c r="K1247" s="165" t="n">
        <v>3</v>
      </c>
      <c r="L1247" s="266" t="n">
        <v>3120</v>
      </c>
      <c r="M1247" s="113" t="n"/>
      <c r="N1247" s="113" t="n"/>
      <c r="O1247" s="113" t="n"/>
      <c r="P1247" s="398" t="n"/>
      <c r="Q1247" s="398" t="n"/>
      <c r="R1247" s="113" t="n"/>
      <c r="S1247" s="113" t="n"/>
      <c r="T1247" s="113" t="n"/>
      <c r="U1247" s="113" t="n"/>
      <c r="V1247" s="113" t="n"/>
    </row>
    <row r="1248" ht="15.75" customHeight="1">
      <c r="A1248" s="398" t="n">
        <v>23</v>
      </c>
      <c r="B1248" s="238" t="n"/>
      <c r="C1248" s="164" t="n">
        <v>46169</v>
      </c>
      <c r="D1248" s="165" t="inlineStr">
        <is>
          <t>200 G. GARCERAS</t>
        </is>
      </c>
      <c r="E1248" s="165" t="n">
        <v>48235</v>
      </c>
      <c r="F1248" s="165" t="inlineStr">
        <is>
          <t>WILMER PIÑEROS</t>
        </is>
      </c>
      <c r="G1248" s="165" t="n">
        <v>3120</v>
      </c>
      <c r="H1248" s="165" t="n">
        <v>3111</v>
      </c>
      <c r="I1248" s="165" t="n">
        <v>6</v>
      </c>
      <c r="J1248" s="165" t="n">
        <v>6</v>
      </c>
      <c r="K1248" s="165" t="n">
        <v>3</v>
      </c>
      <c r="L1248" s="266" t="n">
        <v>3120</v>
      </c>
      <c r="M1248" s="113" t="n"/>
      <c r="N1248" s="113" t="n"/>
      <c r="O1248" s="113" t="n"/>
      <c r="P1248" s="398" t="n"/>
      <c r="Q1248" s="398" t="n"/>
      <c r="R1248" s="113" t="n"/>
      <c r="S1248" s="113" t="n"/>
      <c r="T1248" s="113" t="n"/>
      <c r="U1248" s="113" t="n"/>
      <c r="V1248" s="113" t="n"/>
    </row>
    <row r="1249" ht="15.75" customHeight="1">
      <c r="A1249" s="398" t="n">
        <v>23</v>
      </c>
      <c r="B1249" s="238" t="n"/>
      <c r="C1249" s="164" t="n">
        <v>46169</v>
      </c>
      <c r="D1249" s="165" t="inlineStr">
        <is>
          <t>200 G. GARCERAS</t>
        </is>
      </c>
      <c r="E1249" s="165" t="n">
        <v>48236</v>
      </c>
      <c r="F1249" s="165" t="inlineStr">
        <is>
          <t>ALBNERTO LOPEZ</t>
        </is>
      </c>
      <c r="G1249" s="165" t="n">
        <v>2840</v>
      </c>
      <c r="H1249" s="165" t="n">
        <v>2833</v>
      </c>
      <c r="I1249" s="165" t="n">
        <v>5</v>
      </c>
      <c r="J1249" s="165" t="n">
        <v>6</v>
      </c>
      <c r="K1249" s="165" t="n">
        <v>4</v>
      </c>
      <c r="L1249" s="266" t="n">
        <v>3840</v>
      </c>
      <c r="M1249" s="113" t="n"/>
      <c r="N1249" s="113" t="n"/>
      <c r="O1249" s="113" t="n"/>
      <c r="P1249" s="398" t="n"/>
      <c r="Q1249" s="398" t="n"/>
      <c r="R1249" s="113" t="n"/>
      <c r="S1249" s="113" t="n"/>
      <c r="T1249" s="113" t="n"/>
      <c r="U1249" s="113" t="n"/>
      <c r="V1249" s="113" t="n"/>
    </row>
    <row r="1250" ht="15.75" customHeight="1">
      <c r="A1250" s="398" t="n">
        <v>23</v>
      </c>
      <c r="B1250" s="238" t="n"/>
      <c r="C1250" s="164" t="n">
        <v>46169</v>
      </c>
      <c r="D1250" s="165" t="inlineStr">
        <is>
          <t>200 G. GARCERAS</t>
        </is>
      </c>
      <c r="E1250" s="165" t="n">
        <v>48237</v>
      </c>
      <c r="F1250" s="165" t="inlineStr">
        <is>
          <t xml:space="preserve">ROBINSON PULIDO </t>
        </is>
      </c>
      <c r="G1250" s="165" t="n">
        <v>2530</v>
      </c>
      <c r="H1250" s="165" t="n">
        <v>2545</v>
      </c>
      <c r="I1250" s="165" t="n">
        <v>6</v>
      </c>
      <c r="J1250" s="165" t="n">
        <v>8</v>
      </c>
      <c r="K1250" s="165" t="n">
        <v>29</v>
      </c>
      <c r="L1250" s="266" t="n">
        <v>2530</v>
      </c>
      <c r="M1250" s="113" t="n"/>
      <c r="N1250" s="113" t="n"/>
      <c r="O1250" s="113" t="n"/>
      <c r="P1250" s="398" t="n"/>
      <c r="Q1250" s="398" t="n"/>
      <c r="R1250" s="113" t="n"/>
      <c r="S1250" s="113" t="n"/>
      <c r="T1250" s="113" t="n"/>
      <c r="U1250" s="113" t="n"/>
      <c r="V1250" s="113" t="n"/>
    </row>
    <row r="1251" ht="15.75" customHeight="1">
      <c r="A1251" s="398" t="n">
        <v>23</v>
      </c>
      <c r="B1251" s="238" t="n"/>
      <c r="C1251" s="164" t="n">
        <v>46169</v>
      </c>
      <c r="D1251" s="165" t="inlineStr">
        <is>
          <t>221 G. MALAGUEÑA</t>
        </is>
      </c>
      <c r="E1251" s="165" t="n">
        <v>48238</v>
      </c>
      <c r="F1251" s="165" t="inlineStr">
        <is>
          <t>DIEGO NIÑO</t>
        </is>
      </c>
      <c r="G1251" s="165" t="n">
        <v>3150</v>
      </c>
      <c r="H1251" s="165" t="n">
        <v>3156</v>
      </c>
      <c r="I1251" s="165" t="n">
        <v>1</v>
      </c>
      <c r="J1251" s="165" t="n">
        <v>2</v>
      </c>
      <c r="K1251" s="165" t="n">
        <v>9</v>
      </c>
      <c r="L1251" s="266" t="n">
        <v>3150</v>
      </c>
      <c r="M1251" s="113" t="n"/>
      <c r="N1251" s="113" t="n"/>
      <c r="O1251" s="113" t="n"/>
      <c r="P1251" s="398" t="n"/>
      <c r="Q1251" s="398" t="n"/>
      <c r="R1251" s="113" t="n"/>
      <c r="S1251" s="113" t="n"/>
      <c r="T1251" s="113" t="n"/>
      <c r="U1251" s="113" t="n"/>
      <c r="V1251" s="113" t="n"/>
    </row>
    <row r="1252" ht="15.75" customHeight="1">
      <c r="A1252" s="398" t="n">
        <v>23</v>
      </c>
      <c r="B1252" s="238" t="n"/>
      <c r="C1252" s="164" t="n">
        <v>46169</v>
      </c>
      <c r="D1252" s="165" t="inlineStr">
        <is>
          <t>221 G. MALAGUEÑA</t>
        </is>
      </c>
      <c r="E1252" s="165" t="n">
        <v>48239</v>
      </c>
      <c r="F1252" s="165" t="inlineStr">
        <is>
          <t>HENRY ROMERO</t>
        </is>
      </c>
      <c r="G1252" s="165" t="n">
        <v>3150</v>
      </c>
      <c r="H1252" s="165" t="n">
        <v>3153</v>
      </c>
      <c r="I1252" s="165" t="n">
        <v>1</v>
      </c>
      <c r="J1252" s="165" t="n">
        <v>2</v>
      </c>
      <c r="K1252" s="165" t="n">
        <v>6</v>
      </c>
      <c r="L1252" s="266" t="n">
        <v>3150</v>
      </c>
      <c r="M1252" s="113" t="n"/>
      <c r="N1252" s="113" t="n"/>
      <c r="O1252" s="113" t="n"/>
      <c r="P1252" s="398" t="n"/>
      <c r="Q1252" s="398" t="n"/>
      <c r="R1252" s="113" t="n"/>
      <c r="S1252" s="113" t="n"/>
      <c r="T1252" s="113" t="n"/>
      <c r="U1252" s="113" t="n"/>
      <c r="V1252" s="113" t="n"/>
    </row>
    <row r="1253" ht="15.75" customHeight="1">
      <c r="A1253" s="398" t="n">
        <v>23</v>
      </c>
      <c r="B1253" s="238" t="n"/>
      <c r="C1253" s="164" t="n">
        <v>46169</v>
      </c>
      <c r="D1253" s="165" t="inlineStr">
        <is>
          <t>221 G. MALAGUEÑA</t>
        </is>
      </c>
      <c r="E1253" s="165" t="n">
        <v>48240</v>
      </c>
      <c r="F1253" s="165" t="inlineStr">
        <is>
          <t>ALBERTO HERRERA</t>
        </is>
      </c>
      <c r="G1253" s="165" t="n">
        <v>3150</v>
      </c>
      <c r="H1253" s="165" t="n">
        <v>3156</v>
      </c>
      <c r="I1253" s="165" t="n">
        <v>1</v>
      </c>
      <c r="J1253" s="165" t="n">
        <v>2</v>
      </c>
      <c r="K1253" s="165" t="n">
        <v>9</v>
      </c>
      <c r="L1253" s="284" t="n">
        <v>3150</v>
      </c>
      <c r="M1253" s="113" t="n"/>
      <c r="N1253" s="113" t="n"/>
      <c r="O1253" s="113" t="n"/>
      <c r="P1253" s="398" t="n"/>
      <c r="Q1253" s="398" t="n"/>
      <c r="R1253" s="113" t="n"/>
      <c r="S1253" s="113" t="n"/>
      <c r="T1253" s="113" t="n"/>
      <c r="U1253" s="113" t="n"/>
      <c r="V1253" s="113" t="n"/>
    </row>
    <row r="1254" ht="15.75" customHeight="1">
      <c r="A1254" s="398" t="n">
        <v>23</v>
      </c>
      <c r="B1254" s="238" t="n"/>
      <c r="C1254" s="164" t="n">
        <v>46170</v>
      </c>
      <c r="D1254" s="165" t="inlineStr">
        <is>
          <t>221 G. MALAGUEÑA</t>
        </is>
      </c>
      <c r="E1254" s="165" t="n">
        <v>48264</v>
      </c>
      <c r="F1254" s="165" t="inlineStr">
        <is>
          <t>FABIO FAJARDO AGUILAR</t>
        </is>
      </c>
      <c r="G1254" s="165" t="n">
        <v>3326</v>
      </c>
      <c r="H1254" s="165" t="n">
        <v>3329</v>
      </c>
      <c r="I1254" s="165" t="n">
        <v>4</v>
      </c>
      <c r="J1254" s="165" t="n">
        <v>2</v>
      </c>
      <c r="K1254" s="165" t="n">
        <v>9</v>
      </c>
      <c r="L1254" s="260" t="n">
        <v>3326</v>
      </c>
      <c r="M1254" s="113" t="n"/>
      <c r="N1254" s="113" t="n"/>
      <c r="O1254" s="113" t="n"/>
      <c r="P1254" s="398" t="n"/>
      <c r="Q1254" s="398" t="n"/>
      <c r="R1254" s="113" t="n"/>
      <c r="S1254" s="113" t="n"/>
      <c r="T1254" s="113" t="n"/>
      <c r="U1254" s="113" t="n"/>
      <c r="V1254" s="113" t="n"/>
    </row>
    <row r="1255" ht="15.75" customHeight="1">
      <c r="A1255" s="398" t="n">
        <v>23</v>
      </c>
      <c r="B1255" s="238" t="n"/>
      <c r="C1255" s="164" t="n">
        <v>46170</v>
      </c>
      <c r="D1255" s="165" t="inlineStr">
        <is>
          <t>221 G. MALAGUEÑA</t>
        </is>
      </c>
      <c r="E1255" s="165" t="n">
        <v>48265</v>
      </c>
      <c r="F1255" s="165" t="inlineStr">
        <is>
          <t>ALBERTO HERRERA</t>
        </is>
      </c>
      <c r="G1255" s="165" t="n">
        <v>3326</v>
      </c>
      <c r="H1255" s="165" t="n">
        <v>3321</v>
      </c>
      <c r="I1255" s="165" t="n">
        <v>3</v>
      </c>
      <c r="J1255" s="165" t="n">
        <v>5</v>
      </c>
      <c r="K1255" s="165" t="n">
        <v>3</v>
      </c>
      <c r="L1255" s="266" t="n">
        <v>3326</v>
      </c>
      <c r="M1255" s="113" t="n"/>
      <c r="N1255" s="113" t="n"/>
      <c r="O1255" s="113" t="n"/>
      <c r="P1255" s="398" t="n"/>
      <c r="Q1255" s="398" t="n"/>
      <c r="R1255" s="113" t="n"/>
      <c r="S1255" s="113" t="n"/>
      <c r="T1255" s="113" t="n"/>
      <c r="U1255" s="113" t="n"/>
      <c r="V1255" s="113" t="n"/>
    </row>
    <row r="1256" ht="15.75" customHeight="1">
      <c r="A1256" s="398" t="n">
        <v>23</v>
      </c>
      <c r="B1256" s="238" t="n"/>
      <c r="C1256" s="164" t="n">
        <v>46170</v>
      </c>
      <c r="D1256" s="165" t="inlineStr">
        <is>
          <t>221 G. MALAGUEÑA</t>
        </is>
      </c>
      <c r="E1256" s="165" t="n">
        <v>48266</v>
      </c>
      <c r="F1256" s="165" t="inlineStr">
        <is>
          <t>JHON ARIAS</t>
        </is>
      </c>
      <c r="G1256" s="165" t="n">
        <v>3326</v>
      </c>
      <c r="H1256" s="165" t="n">
        <v>3334</v>
      </c>
      <c r="I1256" s="165" t="n">
        <v>3</v>
      </c>
      <c r="J1256" s="165" t="n">
        <v>6</v>
      </c>
      <c r="K1256" s="165" t="n">
        <v>17</v>
      </c>
      <c r="L1256" s="266" t="n">
        <v>3326</v>
      </c>
      <c r="M1256" s="113" t="n"/>
      <c r="N1256" s="113" t="n"/>
      <c r="O1256" s="113" t="n"/>
      <c r="P1256" s="398" t="n"/>
      <c r="Q1256" s="398" t="n"/>
      <c r="R1256" s="113" t="n"/>
      <c r="S1256" s="113" t="n"/>
      <c r="T1256" s="113" t="n"/>
      <c r="U1256" s="113" t="n"/>
      <c r="V1256" s="113" t="n"/>
    </row>
    <row r="1257" ht="15.75" customHeight="1">
      <c r="A1257" s="398" t="n">
        <v>23</v>
      </c>
      <c r="B1257" s="238" t="n"/>
      <c r="C1257" s="164" t="n">
        <v>46170</v>
      </c>
      <c r="D1257" s="165" t="inlineStr">
        <is>
          <t>221 G. MALAGUEÑA</t>
        </is>
      </c>
      <c r="E1257" s="165" t="n">
        <v>48267</v>
      </c>
      <c r="F1257" s="165" t="inlineStr">
        <is>
          <t>DUMAR ANGARITA</t>
        </is>
      </c>
      <c r="G1257" s="165" t="n">
        <v>3326</v>
      </c>
      <c r="H1257" s="165" t="n">
        <v>3331</v>
      </c>
      <c r="I1257" s="165" t="n">
        <v>2</v>
      </c>
      <c r="J1257" s="165" t="n">
        <v>6</v>
      </c>
      <c r="K1257" s="165" t="n">
        <v>13</v>
      </c>
      <c r="L1257" s="266" t="n">
        <v>3326</v>
      </c>
      <c r="M1257" s="113" t="n"/>
      <c r="N1257" s="113" t="n"/>
      <c r="O1257" s="113" t="n"/>
      <c r="P1257" s="398" t="n"/>
      <c r="Q1257" s="398" t="n"/>
      <c r="R1257" s="113" t="n"/>
      <c r="S1257" s="113" t="n"/>
      <c r="T1257" s="113" t="n"/>
      <c r="U1257" s="113" t="n"/>
      <c r="V1257" s="113" t="n"/>
    </row>
    <row r="1258" ht="15.75" customHeight="1">
      <c r="A1258" s="398" t="n">
        <v>23</v>
      </c>
      <c r="B1258" s="238" t="n"/>
      <c r="C1258" s="164" t="n">
        <v>46170</v>
      </c>
      <c r="D1258" s="165" t="inlineStr">
        <is>
          <t>221 G. MALAGUEÑA</t>
        </is>
      </c>
      <c r="E1258" s="165" t="n">
        <v>48268</v>
      </c>
      <c r="F1258" s="165" t="inlineStr">
        <is>
          <t>ALEX GOMEZ</t>
        </is>
      </c>
      <c r="G1258" s="165" t="n">
        <v>3100</v>
      </c>
      <c r="H1258" s="165" t="n">
        <v>3095</v>
      </c>
      <c r="I1258" s="165" t="n">
        <v>4</v>
      </c>
      <c r="J1258" s="165" t="n">
        <v>1</v>
      </c>
      <c r="K1258" s="165" t="n">
        <v>0</v>
      </c>
      <c r="L1258" s="266" t="n">
        <v>3100</v>
      </c>
      <c r="M1258" s="113" t="n"/>
      <c r="N1258" s="113" t="n"/>
      <c r="O1258" s="113" t="n"/>
      <c r="P1258" s="398" t="n"/>
      <c r="Q1258" s="398" t="n"/>
      <c r="R1258" s="113" t="n"/>
      <c r="S1258" s="113" t="n"/>
      <c r="T1258" s="113" t="n"/>
      <c r="U1258" s="113" t="n"/>
      <c r="V1258" s="113" t="n"/>
    </row>
    <row r="1259" ht="15.75" customHeight="1">
      <c r="A1259" s="398" t="n">
        <v>23</v>
      </c>
      <c r="B1259" s="238" t="n"/>
      <c r="C1259" s="164" t="n">
        <v>46170</v>
      </c>
      <c r="D1259" s="165" t="inlineStr">
        <is>
          <t>221 G. MALAGUEÑA</t>
        </is>
      </c>
      <c r="E1259" s="165" t="n">
        <v>48269</v>
      </c>
      <c r="F1259" s="165" t="inlineStr">
        <is>
          <t>HENRY ROMERO</t>
        </is>
      </c>
      <c r="G1259" s="165" t="n">
        <v>2600</v>
      </c>
      <c r="H1259" s="165" t="n">
        <v>2594</v>
      </c>
      <c r="I1259" s="165" t="n">
        <v>5</v>
      </c>
      <c r="J1259" s="165" t="n">
        <v>1</v>
      </c>
      <c r="K1259" s="165" t="n">
        <v>0</v>
      </c>
      <c r="L1259" s="266" t="n">
        <v>2600</v>
      </c>
      <c r="M1259" s="113" t="n"/>
      <c r="N1259" s="113" t="n"/>
      <c r="O1259" s="113" t="n"/>
      <c r="P1259" s="398" t="n"/>
      <c r="Q1259" s="398" t="n"/>
      <c r="R1259" s="113" t="n"/>
      <c r="S1259" s="113" t="n"/>
      <c r="T1259" s="113" t="n"/>
      <c r="U1259" s="113" t="n"/>
      <c r="V1259" s="113" t="n"/>
    </row>
    <row r="1260" ht="15.75" customHeight="1">
      <c r="A1260" s="398" t="n">
        <v>23</v>
      </c>
      <c r="B1260" s="238" t="n"/>
      <c r="C1260" s="164" t="n">
        <v>46170</v>
      </c>
      <c r="D1260" s="165" t="inlineStr">
        <is>
          <t>221 G. MALAGUEÑA</t>
        </is>
      </c>
      <c r="E1260" s="165" t="n">
        <v>48270</v>
      </c>
      <c r="F1260" s="165" t="inlineStr">
        <is>
          <t>EDUAN CAVIEDES</t>
        </is>
      </c>
      <c r="G1260" s="165" t="n">
        <v>2600</v>
      </c>
      <c r="H1260" s="165" t="n">
        <v>2596</v>
      </c>
      <c r="I1260" s="165" t="n">
        <v>4</v>
      </c>
      <c r="J1260" s="165" t="n">
        <v>1</v>
      </c>
      <c r="K1260" s="165" t="n">
        <v>1</v>
      </c>
      <c r="L1260" s="266" t="n">
        <v>2600</v>
      </c>
      <c r="M1260" s="113" t="n"/>
      <c r="N1260" s="113" t="n"/>
      <c r="O1260" s="113" t="n"/>
      <c r="P1260" s="398" t="n"/>
      <c r="Q1260" s="398" t="n"/>
      <c r="R1260" s="113" t="n"/>
      <c r="S1260" s="113" t="n"/>
      <c r="T1260" s="113" t="n"/>
      <c r="U1260" s="113" t="n"/>
      <c r="V1260" s="113" t="n"/>
    </row>
    <row r="1261" ht="15.75" customHeight="1">
      <c r="A1261" s="398" t="n">
        <v>23</v>
      </c>
      <c r="B1261" s="238" t="n"/>
      <c r="C1261" s="164" t="n">
        <v>46170</v>
      </c>
      <c r="D1261" s="165" t="inlineStr">
        <is>
          <t>221 G. MALAGUEÑA</t>
        </is>
      </c>
      <c r="E1261" s="165" t="n">
        <v>48271</v>
      </c>
      <c r="F1261" s="165" t="inlineStr">
        <is>
          <t xml:space="preserve">MANUEL QUITIAN </t>
        </is>
      </c>
      <c r="G1261" s="165" t="n">
        <v>2510</v>
      </c>
      <c r="H1261" s="165" t="n">
        <v>2507</v>
      </c>
      <c r="I1261" s="165" t="n">
        <v>4</v>
      </c>
      <c r="J1261" s="165" t="n">
        <v>2</v>
      </c>
      <c r="K1261" s="165" t="n">
        <v>3</v>
      </c>
      <c r="L1261" s="284" t="n">
        <v>3510</v>
      </c>
      <c r="M1261" s="113" t="n"/>
      <c r="N1261" s="113" t="n"/>
      <c r="O1261" s="113" t="n"/>
      <c r="P1261" s="398" t="n"/>
      <c r="Q1261" s="398" t="n"/>
      <c r="R1261" s="113" t="n"/>
      <c r="S1261" s="113" t="n"/>
      <c r="T1261" s="113" t="n"/>
      <c r="U1261" s="113" t="n"/>
      <c r="V1261" s="113" t="n"/>
    </row>
    <row r="1262" ht="15.75" customHeight="1">
      <c r="A1262" s="398" t="n">
        <v>23</v>
      </c>
      <c r="B1262" s="238" t="n"/>
      <c r="C1262" s="164" t="n">
        <v>46171</v>
      </c>
      <c r="D1262" s="165" t="inlineStr">
        <is>
          <t>221 G. MALAGUEÑA</t>
        </is>
      </c>
      <c r="E1262" s="165" t="n">
        <v>48296</v>
      </c>
      <c r="F1262" s="165" t="inlineStr">
        <is>
          <t>ALEX GOMEZ</t>
        </is>
      </c>
      <c r="G1262" s="165" t="n">
        <v>3000</v>
      </c>
      <c r="H1262" s="165" t="n">
        <v>3003</v>
      </c>
      <c r="I1262" s="165" t="n">
        <v>4</v>
      </c>
      <c r="J1262" s="165" t="n">
        <v>6</v>
      </c>
      <c r="K1262" s="165" t="n">
        <v>13</v>
      </c>
      <c r="L1262" s="260" t="n">
        <v>3000</v>
      </c>
      <c r="M1262" s="113" t="n"/>
      <c r="N1262" s="113" t="n"/>
      <c r="O1262" s="113" t="n"/>
      <c r="P1262" s="398" t="n"/>
      <c r="Q1262" s="398" t="n"/>
      <c r="R1262" s="113" t="n"/>
      <c r="S1262" s="113" t="n"/>
      <c r="T1262" s="113" t="n"/>
      <c r="U1262" s="113" t="n"/>
      <c r="V1262" s="113" t="n"/>
    </row>
    <row r="1263" ht="15.75" customHeight="1">
      <c r="A1263" s="398" t="n">
        <v>23</v>
      </c>
      <c r="B1263" s="238" t="n"/>
      <c r="C1263" s="164" t="n">
        <v>46171</v>
      </c>
      <c r="D1263" s="165" t="inlineStr">
        <is>
          <t>221 G. MALAGUEÑA</t>
        </is>
      </c>
      <c r="E1263" s="165" t="n">
        <v>48297</v>
      </c>
      <c r="F1263" s="165" t="inlineStr">
        <is>
          <t>JHON ARIAS</t>
        </is>
      </c>
      <c r="G1263" s="165" t="n">
        <v>3000</v>
      </c>
      <c r="H1263" s="165" t="n">
        <v>3001</v>
      </c>
      <c r="I1263" s="165" t="n">
        <v>2</v>
      </c>
      <c r="J1263" s="165" t="n">
        <v>9</v>
      </c>
      <c r="K1263" s="165" t="n">
        <v>12</v>
      </c>
      <c r="L1263" s="266" t="n">
        <v>3000</v>
      </c>
      <c r="M1263" s="113" t="n"/>
      <c r="N1263" s="113" t="n"/>
      <c r="O1263" s="113" t="n"/>
      <c r="P1263" s="398" t="n"/>
      <c r="Q1263" s="398" t="n"/>
      <c r="R1263" s="113" t="n"/>
      <c r="S1263" s="113" t="n"/>
      <c r="T1263" s="113" t="n"/>
      <c r="U1263" s="113" t="n"/>
      <c r="V1263" s="113" t="n"/>
    </row>
    <row r="1264" ht="15.75" customHeight="1">
      <c r="A1264" s="398" t="n">
        <v>23</v>
      </c>
      <c r="B1264" s="238" t="n"/>
      <c r="C1264" s="164" t="n">
        <v>46171</v>
      </c>
      <c r="D1264" s="166" t="inlineStr">
        <is>
          <t>221 G. MALAGUEÑA</t>
        </is>
      </c>
      <c r="E1264" s="166" t="n">
        <v>48298</v>
      </c>
      <c r="F1264" s="166" t="inlineStr">
        <is>
          <t>DUMAR ANGARITA</t>
        </is>
      </c>
      <c r="G1264" s="166" t="n">
        <v>3000</v>
      </c>
      <c r="H1264" s="166" t="n">
        <v>3002</v>
      </c>
      <c r="I1264" s="166" t="n">
        <v>2</v>
      </c>
      <c r="J1264" s="166" t="n">
        <v>6</v>
      </c>
      <c r="K1264" s="166" t="n">
        <v>10</v>
      </c>
      <c r="L1264" s="266" t="n">
        <v>3000</v>
      </c>
      <c r="M1264" s="113" t="n"/>
      <c r="N1264" s="113" t="n"/>
      <c r="O1264" s="113" t="n"/>
      <c r="P1264" s="398" t="n"/>
      <c r="Q1264" s="398" t="n"/>
      <c r="R1264" s="113" t="n"/>
      <c r="S1264" s="113" t="n"/>
      <c r="T1264" s="113" t="n"/>
      <c r="U1264" s="113" t="n"/>
      <c r="V1264" s="113" t="n"/>
    </row>
    <row r="1265" ht="15.75" customHeight="1">
      <c r="A1265" s="398" t="n">
        <v>23</v>
      </c>
      <c r="B1265" s="238" t="n"/>
      <c r="C1265" s="399" t="n"/>
      <c r="D1265" s="113" t="n"/>
      <c r="E1265" s="113" t="n"/>
      <c r="F1265" s="113" t="n"/>
      <c r="G1265" s="395" t="n"/>
      <c r="H1265" s="490">
        <f>SUBTOTAL(9,H1225:H1264)</f>
        <v/>
      </c>
      <c r="I1265" s="490">
        <f>SUBTOTAL(9,I1225:I1264)</f>
        <v/>
      </c>
      <c r="J1265" s="490">
        <f>SUBTOTAL(9,J1225:J1264)</f>
        <v/>
      </c>
      <c r="K1265" s="490">
        <f>SUBTOTAL(9,K1225:K1264)</f>
        <v/>
      </c>
      <c r="L1265" s="490">
        <f>SUBTOTAL(9,L1225:L1264)</f>
        <v/>
      </c>
      <c r="M1265" s="395">
        <f>+L1265-H1265</f>
        <v/>
      </c>
      <c r="N1265" s="395" t="n"/>
      <c r="O1265" s="113" t="n"/>
      <c r="P1265" s="398" t="n"/>
      <c r="Q1265" s="398" t="n"/>
      <c r="R1265" s="113" t="n"/>
      <c r="S1265" s="113" t="n"/>
      <c r="T1265" s="113" t="n"/>
      <c r="U1265" s="113" t="n"/>
      <c r="V1265" s="113" t="n"/>
    </row>
    <row r="1266" ht="15.75" customHeight="1">
      <c r="A1266" s="398" t="n"/>
      <c r="B1266" s="238" t="n"/>
      <c r="C1266" s="399" t="n"/>
      <c r="D1266" s="113" t="n"/>
      <c r="E1266" s="113" t="n"/>
      <c r="F1266" s="113" t="n"/>
      <c r="G1266" s="395" t="n"/>
      <c r="H1266" s="395" t="n"/>
      <c r="I1266" s="395" t="n"/>
      <c r="J1266" s="395" t="n"/>
      <c r="K1266" s="395" t="n"/>
      <c r="L1266" s="395" t="n"/>
      <c r="M1266" s="113" t="n"/>
      <c r="N1266" s="113" t="n"/>
      <c r="O1266" s="113" t="n"/>
      <c r="P1266" s="398" t="n"/>
      <c r="Q1266" s="398" t="n"/>
      <c r="R1266" s="113" t="n"/>
      <c r="S1266" s="113" t="n"/>
      <c r="T1266" s="113" t="n"/>
      <c r="U1266" s="113" t="n"/>
      <c r="V1266" s="113" t="n"/>
    </row>
    <row r="1267" ht="15.75" customHeight="1">
      <c r="A1267" s="398" t="n"/>
      <c r="B1267" s="238" t="n"/>
      <c r="C1267" s="399" t="n"/>
      <c r="D1267" s="113" t="n"/>
      <c r="E1267" s="113" t="n"/>
      <c r="F1267" s="113" t="n"/>
      <c r="G1267" s="395" t="n"/>
      <c r="H1267" s="395" t="n"/>
      <c r="I1267" s="395" t="n"/>
      <c r="J1267" s="395" t="n"/>
      <c r="K1267" s="395" t="n"/>
      <c r="L1267" s="395" t="n"/>
      <c r="M1267" s="113" t="n"/>
      <c r="N1267" s="113" t="n"/>
      <c r="O1267" s="113" t="n"/>
      <c r="P1267" s="398" t="n"/>
      <c r="Q1267" s="398" t="n"/>
      <c r="R1267" s="113" t="n"/>
      <c r="S1267" s="113" t="n"/>
      <c r="T1267" s="113" t="n"/>
      <c r="U1267" s="113" t="n"/>
      <c r="V1267" s="113" t="n"/>
    </row>
    <row r="1268" ht="15.75" customHeight="1">
      <c r="A1268" s="398" t="n"/>
      <c r="B1268" s="238" t="n"/>
      <c r="C1268" s="399" t="n"/>
      <c r="D1268" s="113" t="n"/>
      <c r="E1268" s="113" t="n"/>
      <c r="F1268" s="113" t="n"/>
      <c r="G1268" s="395" t="n"/>
      <c r="H1268" s="395" t="n"/>
      <c r="I1268" s="395" t="n"/>
      <c r="J1268" s="395" t="n"/>
      <c r="K1268" s="395" t="n"/>
      <c r="L1268" s="395" t="n"/>
      <c r="M1268" s="113" t="n"/>
      <c r="N1268" s="113" t="n"/>
      <c r="O1268" s="113" t="n"/>
      <c r="P1268" s="398" t="n"/>
      <c r="Q1268" s="398" t="n"/>
      <c r="R1268" s="113" t="n"/>
      <c r="S1268" s="113" t="n"/>
      <c r="T1268" s="113" t="n"/>
      <c r="U1268" s="113" t="n"/>
      <c r="V1268" s="113" t="n"/>
    </row>
    <row r="1269" ht="15.75" customHeight="1">
      <c r="A1269" s="398" t="n"/>
      <c r="B1269" s="238" t="n"/>
      <c r="C1269" s="399" t="n"/>
      <c r="D1269" s="113" t="n"/>
      <c r="E1269" s="113" t="n"/>
      <c r="F1269" s="113" t="n"/>
      <c r="G1269" s="395" t="n"/>
      <c r="H1269" s="395" t="n"/>
      <c r="I1269" s="395" t="n"/>
      <c r="J1269" s="395" t="n"/>
      <c r="K1269" s="395" t="n"/>
      <c r="L1269" s="395" t="n"/>
      <c r="M1269" s="113" t="n"/>
      <c r="N1269" s="113" t="n"/>
      <c r="O1269" s="113" t="n"/>
      <c r="P1269" s="398" t="n"/>
      <c r="Q1269" s="398" t="n"/>
      <c r="R1269" s="113" t="n"/>
      <c r="S1269" s="113" t="n"/>
      <c r="T1269" s="113" t="n"/>
      <c r="U1269" s="113" t="n"/>
      <c r="V1269" s="113" t="n"/>
    </row>
    <row r="1270" ht="15.75" customHeight="1">
      <c r="A1270" s="398" t="n"/>
      <c r="B1270" s="238" t="n"/>
      <c r="C1270" s="399" t="n"/>
      <c r="D1270" s="113" t="n"/>
      <c r="E1270" s="113" t="n"/>
      <c r="F1270" s="113" t="n"/>
      <c r="G1270" s="395" t="n"/>
      <c r="H1270" s="395" t="n"/>
      <c r="I1270" s="395" t="n"/>
      <c r="J1270" s="395" t="n"/>
      <c r="K1270" s="395" t="n"/>
      <c r="L1270" s="395" t="n"/>
      <c r="M1270" s="113" t="n"/>
      <c r="N1270" s="113" t="n"/>
      <c r="O1270" s="113" t="n"/>
      <c r="P1270" s="398" t="n"/>
      <c r="Q1270" s="398" t="n"/>
      <c r="R1270" s="113" t="n"/>
      <c r="S1270" s="113" t="n"/>
      <c r="T1270" s="113" t="n"/>
      <c r="U1270" s="113" t="n"/>
      <c r="V1270" s="113" t="n"/>
    </row>
    <row r="1271" ht="15.75" customHeight="1">
      <c r="A1271" s="398" t="n"/>
      <c r="B1271" s="238" t="n"/>
      <c r="C1271" s="399" t="n"/>
      <c r="D1271" s="113" t="n"/>
      <c r="E1271" s="113" t="n"/>
      <c r="F1271" s="113" t="n"/>
      <c r="G1271" s="395" t="n"/>
      <c r="H1271" s="395" t="n"/>
      <c r="I1271" s="395" t="n"/>
      <c r="J1271" s="395" t="n"/>
      <c r="K1271" s="395" t="n"/>
      <c r="L1271" s="395" t="n"/>
      <c r="M1271" s="113" t="n"/>
      <c r="N1271" s="113" t="n"/>
      <c r="O1271" s="113" t="n"/>
      <c r="P1271" s="398" t="n"/>
      <c r="Q1271" s="398" t="n"/>
      <c r="R1271" s="113" t="n"/>
      <c r="S1271" s="113" t="n"/>
      <c r="T1271" s="113" t="n"/>
      <c r="U1271" s="113" t="n"/>
      <c r="V1271" s="113" t="n"/>
    </row>
    <row r="1272" ht="15.75" customHeight="1">
      <c r="A1272" s="398" t="n"/>
      <c r="B1272" s="238" t="n"/>
      <c r="C1272" s="399" t="n"/>
      <c r="D1272" s="113" t="n"/>
      <c r="E1272" s="113" t="n"/>
      <c r="F1272" s="113" t="n"/>
      <c r="G1272" s="395" t="n"/>
      <c r="H1272" s="395" t="n"/>
      <c r="I1272" s="395" t="n"/>
      <c r="J1272" s="395" t="n"/>
      <c r="K1272" s="395" t="n"/>
      <c r="L1272" s="395" t="n"/>
      <c r="M1272" s="113" t="n"/>
      <c r="N1272" s="113" t="n"/>
      <c r="O1272" s="113" t="n"/>
      <c r="P1272" s="398" t="n"/>
      <c r="Q1272" s="398" t="n"/>
      <c r="R1272" s="113" t="n"/>
      <c r="S1272" s="113" t="n"/>
      <c r="T1272" s="113" t="n"/>
      <c r="U1272" s="113" t="n"/>
      <c r="V1272" s="113" t="n"/>
    </row>
    <row r="1273" ht="15.75" customHeight="1">
      <c r="A1273" s="398" t="n"/>
      <c r="B1273" s="238" t="n"/>
      <c r="C1273" s="399" t="n"/>
      <c r="D1273" s="113" t="n"/>
      <c r="E1273" s="113" t="n"/>
      <c r="F1273" s="113" t="n"/>
      <c r="G1273" s="395" t="n"/>
      <c r="H1273" s="395" t="n"/>
      <c r="I1273" s="395" t="n"/>
      <c r="J1273" s="395" t="n"/>
      <c r="K1273" s="395" t="n"/>
      <c r="L1273" s="395" t="n"/>
      <c r="M1273" s="113" t="n"/>
      <c r="N1273" s="113" t="n"/>
      <c r="O1273" s="113" t="n"/>
      <c r="P1273" s="398" t="n"/>
      <c r="Q1273" s="398" t="n"/>
      <c r="R1273" s="113" t="n"/>
      <c r="S1273" s="113" t="n"/>
      <c r="T1273" s="113" t="n"/>
      <c r="U1273" s="113" t="n"/>
      <c r="V1273" s="113" t="n"/>
    </row>
    <row r="1274" ht="15.75" customHeight="1">
      <c r="A1274" s="398" t="n"/>
      <c r="B1274" s="238" t="n"/>
      <c r="C1274" s="399" t="n"/>
      <c r="D1274" s="113" t="n"/>
      <c r="E1274" s="113" t="n"/>
      <c r="F1274" s="113" t="n"/>
      <c r="G1274" s="395" t="n"/>
      <c r="H1274" s="395" t="n"/>
      <c r="I1274" s="395" t="n"/>
      <c r="J1274" s="395" t="n"/>
      <c r="K1274" s="395" t="n"/>
      <c r="L1274" s="395" t="n"/>
      <c r="M1274" s="113" t="n"/>
      <c r="N1274" s="113" t="n"/>
      <c r="O1274" s="113" t="n"/>
      <c r="P1274" s="398" t="n"/>
      <c r="Q1274" s="398" t="n"/>
      <c r="R1274" s="113" t="n"/>
      <c r="S1274" s="113" t="n"/>
      <c r="T1274" s="113" t="n"/>
      <c r="U1274" s="113" t="n"/>
      <c r="V1274" s="113" t="n"/>
    </row>
    <row r="1275" ht="15.75" customHeight="1">
      <c r="A1275" s="398" t="n"/>
      <c r="B1275" s="238" t="n"/>
      <c r="C1275" s="399" t="n"/>
      <c r="D1275" s="113" t="n"/>
      <c r="E1275" s="113" t="n"/>
      <c r="F1275" s="113" t="n"/>
      <c r="G1275" s="395" t="n"/>
      <c r="H1275" s="395" t="n"/>
      <c r="I1275" s="395" t="n"/>
      <c r="J1275" s="395" t="n"/>
      <c r="K1275" s="395" t="n"/>
      <c r="L1275" s="395" t="n"/>
      <c r="M1275" s="113" t="n"/>
      <c r="N1275" s="113" t="n"/>
      <c r="O1275" s="113" t="n"/>
      <c r="P1275" s="398" t="n"/>
      <c r="Q1275" s="398" t="n"/>
      <c r="R1275" s="113" t="n"/>
      <c r="S1275" s="113" t="n"/>
      <c r="T1275" s="113" t="n"/>
      <c r="U1275" s="113" t="n"/>
      <c r="V1275" s="113" t="n"/>
    </row>
    <row r="1276" ht="15.75" customHeight="1">
      <c r="A1276" s="398" t="n"/>
      <c r="B1276" s="238" t="n"/>
      <c r="C1276" s="399" t="n"/>
      <c r="D1276" s="113" t="n"/>
      <c r="E1276" s="113" t="n"/>
      <c r="F1276" s="113" t="n"/>
      <c r="G1276" s="395" t="n"/>
      <c r="H1276" s="395" t="n"/>
      <c r="I1276" s="395" t="n"/>
      <c r="J1276" s="395" t="n"/>
      <c r="K1276" s="395" t="n"/>
      <c r="L1276" s="395" t="n"/>
      <c r="M1276" s="113" t="n"/>
      <c r="N1276" s="113" t="n"/>
      <c r="O1276" s="113" t="n"/>
      <c r="P1276" s="398" t="n"/>
      <c r="Q1276" s="398" t="n"/>
      <c r="R1276" s="113" t="n"/>
      <c r="S1276" s="113" t="n"/>
      <c r="T1276" s="113" t="n"/>
      <c r="U1276" s="113" t="n"/>
      <c r="V1276" s="113" t="n"/>
    </row>
    <row r="1277" ht="15.75" customHeight="1">
      <c r="A1277" s="398" t="n"/>
      <c r="B1277" s="238" t="n"/>
      <c r="C1277" s="399" t="n"/>
      <c r="D1277" s="113" t="n"/>
      <c r="E1277" s="113" t="n"/>
      <c r="F1277" s="113" t="n"/>
      <c r="G1277" s="395" t="n"/>
      <c r="H1277" s="395" t="n"/>
      <c r="I1277" s="395" t="n"/>
      <c r="J1277" s="395" t="n"/>
      <c r="K1277" s="395" t="n"/>
      <c r="L1277" s="395" t="n"/>
      <c r="M1277" s="113" t="n"/>
      <c r="N1277" s="113" t="n"/>
      <c r="O1277" s="113" t="n"/>
      <c r="P1277" s="398" t="n"/>
      <c r="Q1277" s="398" t="n"/>
      <c r="R1277" s="113" t="n"/>
      <c r="S1277" s="113" t="n"/>
      <c r="T1277" s="113" t="n"/>
      <c r="U1277" s="113" t="n"/>
      <c r="V1277" s="113" t="n"/>
    </row>
    <row r="1278" ht="15.75" customHeight="1">
      <c r="A1278" s="398" t="n"/>
      <c r="B1278" s="238" t="n"/>
      <c r="C1278" s="399" t="n"/>
      <c r="D1278" s="113" t="n"/>
      <c r="E1278" s="113" t="n"/>
      <c r="F1278" s="113" t="n"/>
      <c r="G1278" s="395" t="n"/>
      <c r="H1278" s="395" t="n"/>
      <c r="I1278" s="395" t="n"/>
      <c r="J1278" s="395" t="n"/>
      <c r="K1278" s="395" t="n"/>
      <c r="L1278" s="395" t="n"/>
      <c r="M1278" s="113" t="n"/>
      <c r="N1278" s="113" t="n"/>
      <c r="O1278" s="113" t="n"/>
      <c r="P1278" s="398" t="n"/>
      <c r="Q1278" s="398" t="n"/>
      <c r="R1278" s="113" t="n"/>
      <c r="S1278" s="113" t="n"/>
      <c r="T1278" s="113" t="n"/>
      <c r="U1278" s="113" t="n"/>
      <c r="V1278" s="113" t="n"/>
    </row>
    <row r="1279" ht="15.75" customHeight="1">
      <c r="A1279" s="398" t="n"/>
      <c r="B1279" s="238" t="n"/>
      <c r="C1279" s="399" t="n"/>
      <c r="D1279" s="113" t="n"/>
      <c r="E1279" s="113" t="n"/>
      <c r="F1279" s="113" t="n"/>
      <c r="G1279" s="395" t="n"/>
      <c r="H1279" s="395" t="n"/>
      <c r="I1279" s="395" t="n"/>
      <c r="J1279" s="395" t="n"/>
      <c r="K1279" s="395" t="n"/>
      <c r="L1279" s="395" t="n"/>
      <c r="M1279" s="113" t="n"/>
      <c r="N1279" s="113" t="n"/>
      <c r="O1279" s="113" t="n"/>
      <c r="P1279" s="398" t="n"/>
      <c r="Q1279" s="398" t="n"/>
      <c r="R1279" s="113" t="n"/>
      <c r="S1279" s="113" t="n"/>
      <c r="T1279" s="113" t="n"/>
      <c r="U1279" s="113" t="n"/>
      <c r="V1279" s="113" t="n"/>
    </row>
    <row r="1280" ht="15.75" customHeight="1">
      <c r="A1280" s="398" t="n"/>
      <c r="B1280" s="238" t="n"/>
      <c r="C1280" s="399" t="n"/>
      <c r="D1280" s="113" t="n"/>
      <c r="E1280" s="113" t="n"/>
      <c r="F1280" s="113" t="n"/>
      <c r="G1280" s="395" t="n"/>
      <c r="H1280" s="395" t="n"/>
      <c r="I1280" s="395" t="n"/>
      <c r="J1280" s="395" t="n"/>
      <c r="K1280" s="395" t="n"/>
      <c r="L1280" s="395" t="n"/>
      <c r="M1280" s="113" t="n"/>
      <c r="N1280" s="113" t="n"/>
      <c r="O1280" s="113" t="n"/>
      <c r="P1280" s="398" t="n"/>
      <c r="Q1280" s="398" t="n"/>
      <c r="R1280" s="113" t="n"/>
      <c r="S1280" s="113" t="n"/>
      <c r="T1280" s="113" t="n"/>
      <c r="U1280" s="113" t="n"/>
      <c r="V1280" s="113" t="n"/>
    </row>
    <row r="1281" ht="15.75" customHeight="1">
      <c r="A1281" s="398" t="n"/>
      <c r="B1281" s="238" t="n"/>
      <c r="C1281" s="399" t="n"/>
      <c r="D1281" s="113" t="n"/>
      <c r="E1281" s="113" t="n"/>
      <c r="F1281" s="113" t="n"/>
      <c r="G1281" s="395" t="n"/>
      <c r="H1281" s="395" t="n"/>
      <c r="I1281" s="395" t="n"/>
      <c r="J1281" s="395" t="n"/>
      <c r="K1281" s="395" t="n"/>
      <c r="L1281" s="395" t="n"/>
      <c r="M1281" s="113" t="n"/>
      <c r="N1281" s="113" t="n"/>
      <c r="O1281" s="113" t="n"/>
      <c r="P1281" s="398" t="n"/>
      <c r="Q1281" s="398" t="n"/>
      <c r="R1281" s="113" t="n"/>
      <c r="S1281" s="113" t="n"/>
      <c r="T1281" s="113" t="n"/>
      <c r="U1281" s="113" t="n"/>
      <c r="V1281" s="113" t="n"/>
    </row>
    <row r="1282" ht="15.75" customHeight="1">
      <c r="A1282" s="398" t="n"/>
      <c r="B1282" s="238" t="n"/>
      <c r="C1282" s="399" t="n"/>
      <c r="D1282" s="113" t="n"/>
      <c r="E1282" s="113" t="n"/>
      <c r="F1282" s="113" t="n"/>
      <c r="G1282" s="395" t="n"/>
      <c r="H1282" s="395" t="n"/>
      <c r="I1282" s="395" t="n"/>
      <c r="J1282" s="395" t="n"/>
      <c r="K1282" s="395" t="n"/>
      <c r="L1282" s="395" t="n"/>
      <c r="M1282" s="113" t="n"/>
      <c r="N1282" s="113" t="n"/>
      <c r="O1282" s="113" t="n"/>
      <c r="P1282" s="398" t="n"/>
      <c r="Q1282" s="398" t="n"/>
      <c r="R1282" s="113" t="n"/>
      <c r="S1282" s="113" t="n"/>
      <c r="T1282" s="113" t="n"/>
      <c r="U1282" s="113" t="n"/>
      <c r="V1282" s="113" t="n"/>
    </row>
    <row r="1283" ht="15.75" customHeight="1">
      <c r="A1283" s="398" t="n"/>
      <c r="B1283" s="238" t="n"/>
      <c r="C1283" s="399" t="n"/>
      <c r="D1283" s="113" t="n"/>
      <c r="E1283" s="113" t="n"/>
      <c r="F1283" s="113" t="n"/>
      <c r="G1283" s="395" t="n"/>
      <c r="H1283" s="395" t="n"/>
      <c r="I1283" s="395" t="n"/>
      <c r="J1283" s="395" t="n"/>
      <c r="K1283" s="395" t="n"/>
      <c r="L1283" s="395" t="n"/>
      <c r="M1283" s="113" t="n"/>
      <c r="N1283" s="113" t="n"/>
      <c r="O1283" s="113" t="n"/>
      <c r="P1283" s="398" t="n"/>
      <c r="Q1283" s="398" t="n"/>
      <c r="R1283" s="113" t="n"/>
      <c r="S1283" s="113" t="n"/>
      <c r="T1283" s="113" t="n"/>
      <c r="U1283" s="113" t="n"/>
      <c r="V1283" s="113" t="n"/>
    </row>
    <row r="1284" ht="15.75" customHeight="1">
      <c r="A1284" s="398" t="n"/>
      <c r="B1284" s="238" t="n"/>
      <c r="C1284" s="399" t="n"/>
      <c r="D1284" s="113" t="n"/>
      <c r="E1284" s="113" t="n"/>
      <c r="F1284" s="113" t="n"/>
      <c r="G1284" s="395" t="n"/>
      <c r="H1284" s="395" t="n"/>
      <c r="I1284" s="395" t="n"/>
      <c r="J1284" s="395" t="n"/>
      <c r="K1284" s="395" t="n"/>
      <c r="L1284" s="395" t="n"/>
      <c r="M1284" s="113" t="n"/>
      <c r="N1284" s="113" t="n"/>
      <c r="O1284" s="113" t="n"/>
      <c r="P1284" s="398" t="n"/>
      <c r="Q1284" s="398" t="n"/>
      <c r="R1284" s="113" t="n"/>
      <c r="S1284" s="113" t="n"/>
      <c r="T1284" s="113" t="n"/>
      <c r="U1284" s="113" t="n"/>
      <c r="V1284" s="113" t="n"/>
    </row>
    <row r="1285" ht="15.75" customHeight="1">
      <c r="A1285" s="398" t="n"/>
      <c r="B1285" s="238" t="n"/>
      <c r="C1285" s="399" t="n"/>
      <c r="D1285" s="113" t="n"/>
      <c r="E1285" s="113" t="n"/>
      <c r="F1285" s="113" t="n"/>
      <c r="G1285" s="395" t="n"/>
      <c r="H1285" s="395" t="n"/>
      <c r="I1285" s="395" t="n"/>
      <c r="J1285" s="395" t="n"/>
      <c r="K1285" s="395" t="n"/>
      <c r="L1285" s="395" t="n"/>
      <c r="M1285" s="113" t="n"/>
      <c r="N1285" s="113" t="n"/>
      <c r="O1285" s="113" t="n"/>
      <c r="P1285" s="398" t="n"/>
      <c r="Q1285" s="398" t="n"/>
      <c r="R1285" s="113" t="n"/>
      <c r="S1285" s="113" t="n"/>
      <c r="T1285" s="113" t="n"/>
      <c r="U1285" s="113" t="n"/>
      <c r="V1285" s="113" t="n"/>
    </row>
    <row r="1286" ht="15.75" customHeight="1">
      <c r="A1286" s="398" t="n"/>
      <c r="B1286" s="238" t="n"/>
      <c r="C1286" s="399" t="n"/>
      <c r="D1286" s="113" t="n"/>
      <c r="E1286" s="113" t="n"/>
      <c r="F1286" s="113" t="n"/>
      <c r="G1286" s="395" t="n"/>
      <c r="H1286" s="395" t="n"/>
      <c r="I1286" s="395" t="n"/>
      <c r="J1286" s="395" t="n"/>
      <c r="K1286" s="395" t="n"/>
      <c r="L1286" s="395" t="n"/>
      <c r="M1286" s="113" t="n"/>
      <c r="N1286" s="113" t="n"/>
      <c r="O1286" s="113" t="n"/>
      <c r="P1286" s="398" t="n"/>
      <c r="Q1286" s="398" t="n"/>
      <c r="R1286" s="113" t="n"/>
      <c r="S1286" s="113" t="n"/>
      <c r="T1286" s="113" t="n"/>
      <c r="U1286" s="113" t="n"/>
      <c r="V1286" s="113" t="n"/>
    </row>
    <row r="1287" ht="15.75" customHeight="1">
      <c r="A1287" s="398" t="n"/>
      <c r="B1287" s="238" t="n"/>
      <c r="C1287" s="399" t="n"/>
      <c r="D1287" s="113" t="n"/>
      <c r="E1287" s="113" t="n"/>
      <c r="F1287" s="113" t="n"/>
      <c r="G1287" s="395" t="n"/>
      <c r="H1287" s="395" t="n"/>
      <c r="I1287" s="395" t="n"/>
      <c r="J1287" s="395" t="n"/>
      <c r="K1287" s="395" t="n"/>
      <c r="L1287" s="395" t="n"/>
      <c r="M1287" s="113" t="n"/>
      <c r="N1287" s="113" t="n"/>
      <c r="O1287" s="113" t="n"/>
      <c r="P1287" s="398" t="n"/>
      <c r="Q1287" s="398" t="n"/>
      <c r="R1287" s="113" t="n"/>
      <c r="S1287" s="113" t="n"/>
      <c r="T1287" s="113" t="n"/>
      <c r="U1287" s="113" t="n"/>
      <c r="V1287" s="113" t="n"/>
    </row>
    <row r="1288" ht="15.75" customHeight="1">
      <c r="A1288" s="398" t="n"/>
      <c r="B1288" s="238" t="n"/>
      <c r="C1288" s="399" t="n"/>
      <c r="D1288" s="113" t="n"/>
      <c r="E1288" s="113" t="n"/>
      <c r="F1288" s="113" t="n"/>
      <c r="G1288" s="395" t="n"/>
      <c r="H1288" s="395" t="n"/>
      <c r="I1288" s="395" t="n"/>
      <c r="J1288" s="395" t="n"/>
      <c r="K1288" s="395" t="n"/>
      <c r="L1288" s="395" t="n"/>
      <c r="M1288" s="113" t="n"/>
      <c r="N1288" s="113" t="n"/>
      <c r="O1288" s="113" t="n"/>
      <c r="P1288" s="398" t="n"/>
      <c r="Q1288" s="398" t="n"/>
      <c r="R1288" s="113" t="n"/>
      <c r="S1288" s="113" t="n"/>
      <c r="T1288" s="113" t="n"/>
      <c r="U1288" s="113" t="n"/>
      <c r="V1288" s="113" t="n"/>
    </row>
    <row r="1289" ht="15.75" customHeight="1">
      <c r="A1289" s="398" t="n"/>
      <c r="B1289" s="238" t="n"/>
      <c r="C1289" s="399" t="n"/>
      <c r="D1289" s="113" t="n"/>
      <c r="E1289" s="113" t="n"/>
      <c r="F1289" s="113" t="n"/>
      <c r="G1289" s="395" t="n"/>
      <c r="H1289" s="395" t="n"/>
      <c r="I1289" s="395" t="n"/>
      <c r="J1289" s="395" t="n"/>
      <c r="K1289" s="395" t="n"/>
      <c r="L1289" s="395" t="n"/>
      <c r="M1289" s="113" t="n"/>
      <c r="N1289" s="113" t="n"/>
      <c r="O1289" s="113" t="n"/>
      <c r="P1289" s="398" t="n"/>
      <c r="Q1289" s="398" t="n"/>
      <c r="R1289" s="113" t="n"/>
      <c r="S1289" s="113" t="n"/>
      <c r="T1289" s="113" t="n"/>
      <c r="U1289" s="113" t="n"/>
      <c r="V1289" s="113" t="n"/>
    </row>
    <row r="1290" ht="15.75" customHeight="1">
      <c r="A1290" s="398" t="n"/>
      <c r="B1290" s="238" t="n"/>
      <c r="C1290" s="399" t="n"/>
      <c r="D1290" s="113" t="n"/>
      <c r="E1290" s="113" t="n"/>
      <c r="F1290" s="113" t="n"/>
      <c r="G1290" s="395" t="n"/>
      <c r="H1290" s="395" t="n"/>
      <c r="I1290" s="395" t="n"/>
      <c r="J1290" s="395" t="n"/>
      <c r="K1290" s="395" t="n"/>
      <c r="L1290" s="395" t="n"/>
      <c r="M1290" s="113" t="n"/>
      <c r="N1290" s="113" t="n"/>
      <c r="O1290" s="113" t="n"/>
      <c r="P1290" s="398" t="n"/>
      <c r="Q1290" s="398" t="n"/>
      <c r="R1290" s="113" t="n"/>
      <c r="S1290" s="113" t="n"/>
      <c r="T1290" s="113" t="n"/>
      <c r="U1290" s="113" t="n"/>
      <c r="V1290" s="113" t="n"/>
    </row>
    <row r="1291" ht="15.75" customHeight="1">
      <c r="A1291" s="398" t="n"/>
      <c r="B1291" s="238" t="n"/>
      <c r="C1291" s="399" t="n"/>
      <c r="D1291" s="113" t="n"/>
      <c r="E1291" s="113" t="n"/>
      <c r="F1291" s="113" t="n"/>
      <c r="G1291" s="395" t="n"/>
      <c r="H1291" s="395" t="n"/>
      <c r="I1291" s="395" t="n"/>
      <c r="J1291" s="395" t="n"/>
      <c r="K1291" s="395" t="n"/>
      <c r="L1291" s="395" t="n"/>
      <c r="M1291" s="113" t="n"/>
      <c r="N1291" s="113" t="n"/>
      <c r="O1291" s="113" t="n"/>
      <c r="P1291" s="398" t="n"/>
      <c r="Q1291" s="398" t="n"/>
      <c r="R1291" s="113" t="n"/>
      <c r="S1291" s="113" t="n"/>
      <c r="T1291" s="113" t="n"/>
      <c r="U1291" s="113" t="n"/>
      <c r="V1291" s="113" t="n"/>
    </row>
    <row r="1292" ht="15.75" customHeight="1">
      <c r="A1292" s="398" t="n"/>
      <c r="B1292" s="238" t="n"/>
      <c r="C1292" s="399" t="n"/>
      <c r="D1292" s="113" t="n"/>
      <c r="E1292" s="113" t="n"/>
      <c r="F1292" s="113" t="n"/>
      <c r="G1292" s="395" t="n"/>
      <c r="H1292" s="395" t="n"/>
      <c r="I1292" s="395" t="n"/>
      <c r="J1292" s="395" t="n"/>
      <c r="K1292" s="395" t="n"/>
      <c r="L1292" s="395" t="n"/>
      <c r="M1292" s="113" t="n"/>
      <c r="N1292" s="113" t="n"/>
      <c r="O1292" s="113" t="n"/>
      <c r="P1292" s="398" t="n"/>
      <c r="Q1292" s="398" t="n"/>
      <c r="R1292" s="113" t="n"/>
      <c r="S1292" s="113" t="n"/>
      <c r="T1292" s="113" t="n"/>
      <c r="U1292" s="113" t="n"/>
      <c r="V1292" s="113" t="n"/>
    </row>
    <row r="1293" ht="15.75" customHeight="1">
      <c r="A1293" s="398" t="n"/>
      <c r="B1293" s="238" t="n"/>
      <c r="C1293" s="399" t="n"/>
      <c r="D1293" s="113" t="n"/>
      <c r="E1293" s="113" t="n"/>
      <c r="F1293" s="113" t="n"/>
      <c r="G1293" s="395" t="n"/>
      <c r="H1293" s="395" t="n"/>
      <c r="I1293" s="395" t="n"/>
      <c r="J1293" s="395" t="n"/>
      <c r="K1293" s="395" t="n"/>
      <c r="L1293" s="395" t="n"/>
      <c r="M1293" s="113" t="n"/>
      <c r="N1293" s="113" t="n"/>
      <c r="O1293" s="113" t="n"/>
      <c r="P1293" s="398" t="n"/>
      <c r="Q1293" s="398" t="n"/>
      <c r="R1293" s="113" t="n"/>
      <c r="S1293" s="113" t="n"/>
      <c r="T1293" s="113" t="n"/>
      <c r="U1293" s="113" t="n"/>
      <c r="V1293" s="113" t="n"/>
    </row>
    <row r="1294" ht="15.75" customHeight="1">
      <c r="A1294" s="398" t="n"/>
      <c r="B1294" s="238" t="n"/>
      <c r="C1294" s="399" t="n"/>
      <c r="D1294" s="113" t="n"/>
      <c r="E1294" s="113" t="n"/>
      <c r="F1294" s="113" t="n"/>
      <c r="G1294" s="395" t="n"/>
      <c r="H1294" s="395" t="n"/>
      <c r="I1294" s="395" t="n"/>
      <c r="J1294" s="395" t="n"/>
      <c r="K1294" s="395" t="n"/>
      <c r="L1294" s="395" t="n"/>
      <c r="M1294" s="113" t="n"/>
      <c r="N1294" s="113" t="n"/>
      <c r="O1294" s="113" t="n"/>
      <c r="P1294" s="398" t="n"/>
      <c r="Q1294" s="398" t="n"/>
      <c r="R1294" s="113" t="n"/>
      <c r="S1294" s="113" t="n"/>
      <c r="T1294" s="113" t="n"/>
      <c r="U1294" s="113" t="n"/>
      <c r="V1294" s="113" t="n"/>
    </row>
    <row r="1295" ht="15.75" customHeight="1">
      <c r="A1295" s="398" t="n"/>
      <c r="B1295" s="238" t="n"/>
      <c r="C1295" s="399" t="n"/>
      <c r="D1295" s="113" t="n"/>
      <c r="E1295" s="113" t="n"/>
      <c r="F1295" s="113" t="n"/>
      <c r="G1295" s="395" t="n"/>
      <c r="H1295" s="395" t="n"/>
      <c r="I1295" s="395" t="n"/>
      <c r="J1295" s="395" t="n"/>
      <c r="K1295" s="395" t="n"/>
      <c r="L1295" s="395" t="n"/>
      <c r="M1295" s="113" t="n"/>
      <c r="N1295" s="113" t="n"/>
      <c r="O1295" s="113" t="n"/>
      <c r="P1295" s="398" t="n"/>
      <c r="Q1295" s="398" t="n"/>
      <c r="R1295" s="113" t="n"/>
      <c r="S1295" s="113" t="n"/>
      <c r="T1295" s="113" t="n"/>
      <c r="U1295" s="113" t="n"/>
      <c r="V1295" s="113" t="n"/>
    </row>
    <row r="1296" ht="15.75" customHeight="1">
      <c r="A1296" s="398" t="n"/>
      <c r="B1296" s="238" t="n"/>
      <c r="C1296" s="399" t="n"/>
      <c r="D1296" s="162" t="n"/>
      <c r="E1296" s="162" t="n"/>
      <c r="F1296" s="162" t="n"/>
      <c r="G1296" s="162" t="n"/>
      <c r="H1296" s="162" t="n"/>
      <c r="I1296" s="162" t="n"/>
      <c r="J1296" s="162" t="n"/>
      <c r="K1296" s="162" t="n"/>
      <c r="L1296" s="395" t="n"/>
      <c r="M1296" s="113" t="n"/>
      <c r="N1296" s="113" t="n"/>
      <c r="O1296" s="113" t="n"/>
      <c r="P1296" s="398" t="n"/>
      <c r="Q1296" s="398" t="n"/>
      <c r="R1296" s="113" t="n"/>
      <c r="S1296" s="113" t="n"/>
      <c r="T1296" s="113" t="n"/>
      <c r="U1296" s="113" t="n"/>
      <c r="V1296" s="113" t="n"/>
    </row>
    <row r="1297" ht="15.75" customHeight="1">
      <c r="A1297" s="398" t="n"/>
      <c r="B1297" s="238" t="n"/>
      <c r="C1297" s="399" t="n"/>
      <c r="D1297" s="162" t="n"/>
      <c r="E1297" s="162" t="n"/>
      <c r="F1297" s="162" t="n"/>
      <c r="G1297" s="162" t="n"/>
      <c r="H1297" s="162" t="n"/>
      <c r="I1297" s="162" t="n"/>
      <c r="J1297" s="162" t="n"/>
      <c r="K1297" s="162" t="n"/>
      <c r="L1297" s="395" t="n"/>
      <c r="M1297" s="113" t="n"/>
      <c r="N1297" s="113" t="n"/>
      <c r="O1297" s="113" t="n"/>
      <c r="P1297" s="398" t="n"/>
      <c r="Q1297" s="398" t="n"/>
      <c r="R1297" s="113" t="n"/>
      <c r="S1297" s="113" t="n"/>
      <c r="T1297" s="113" t="n"/>
      <c r="U1297" s="113" t="n"/>
      <c r="V1297" s="113" t="n"/>
    </row>
    <row r="1298" ht="15.75" customHeight="1">
      <c r="A1298" s="398" t="n"/>
      <c r="B1298" s="238" t="n"/>
      <c r="C1298" s="399" t="n"/>
      <c r="D1298" s="162" t="n"/>
      <c r="E1298" s="162" t="n"/>
      <c r="F1298" s="162" t="n"/>
      <c r="G1298" s="162" t="n"/>
      <c r="H1298" s="162" t="n"/>
      <c r="I1298" s="162" t="n"/>
      <c r="J1298" s="162" t="n"/>
      <c r="K1298" s="162" t="n"/>
      <c r="L1298" s="395" t="n"/>
      <c r="M1298" s="113" t="n"/>
      <c r="N1298" s="113" t="n"/>
      <c r="O1298" s="113" t="n"/>
      <c r="P1298" s="398" t="n"/>
      <c r="Q1298" s="398" t="n"/>
      <c r="R1298" s="113" t="n"/>
      <c r="S1298" s="113" t="n"/>
      <c r="T1298" s="113" t="n"/>
      <c r="U1298" s="113" t="n"/>
      <c r="V1298" s="113" t="n"/>
    </row>
    <row r="1299" ht="15.75" customHeight="1">
      <c r="A1299" s="398" t="n"/>
      <c r="B1299" s="238" t="n"/>
      <c r="C1299" s="399" t="n"/>
      <c r="D1299" s="162" t="n"/>
      <c r="E1299" s="162" t="n"/>
      <c r="F1299" s="162" t="n"/>
      <c r="G1299" s="162" t="n"/>
      <c r="H1299" s="162" t="n"/>
      <c r="I1299" s="162" t="n"/>
      <c r="J1299" s="162" t="n"/>
      <c r="K1299" s="162" t="n"/>
      <c r="L1299" s="395" t="n"/>
      <c r="M1299" s="113" t="n"/>
      <c r="N1299" s="113" t="n"/>
      <c r="O1299" s="113" t="n"/>
      <c r="P1299" s="398" t="n"/>
      <c r="Q1299" s="398" t="n"/>
      <c r="R1299" s="113" t="n"/>
      <c r="S1299" s="113" t="n"/>
      <c r="T1299" s="113" t="n"/>
      <c r="U1299" s="113" t="n"/>
      <c r="V1299" s="113" t="n"/>
    </row>
    <row r="1300" ht="15.75" customHeight="1">
      <c r="A1300" s="398" t="n"/>
      <c r="B1300" s="238" t="n"/>
      <c r="C1300" s="399" t="n"/>
      <c r="D1300" s="113" t="n"/>
      <c r="E1300" s="113" t="n"/>
      <c r="F1300" s="113" t="n"/>
      <c r="G1300" s="395" t="n"/>
      <c r="H1300" s="395" t="n"/>
      <c r="I1300" s="395" t="n"/>
      <c r="J1300" s="395" t="n"/>
      <c r="K1300" s="395" t="n"/>
      <c r="L1300" s="395" t="n"/>
      <c r="M1300" s="113" t="n"/>
      <c r="N1300" s="113" t="n"/>
      <c r="O1300" s="113" t="n"/>
      <c r="P1300" s="398" t="n"/>
      <c r="Q1300" s="398" t="n"/>
      <c r="R1300" s="113" t="n"/>
      <c r="S1300" s="113" t="n"/>
      <c r="T1300" s="113" t="n"/>
      <c r="U1300" s="113" t="n"/>
      <c r="V1300" s="113" t="n"/>
    </row>
    <row r="1301" ht="15.75" customHeight="1">
      <c r="A1301" s="398" t="n"/>
      <c r="B1301" s="238" t="n"/>
      <c r="C1301" s="399" t="n"/>
      <c r="D1301" s="113" t="n"/>
      <c r="E1301" s="113" t="n"/>
      <c r="F1301" s="113" t="n"/>
      <c r="G1301" s="395" t="n"/>
      <c r="H1301" s="395" t="n"/>
      <c r="I1301" s="395" t="n"/>
      <c r="J1301" s="395" t="n"/>
      <c r="K1301" s="395" t="n"/>
      <c r="L1301" s="395" t="n"/>
      <c r="M1301" s="113" t="n"/>
      <c r="N1301" s="113" t="n"/>
      <c r="O1301" s="113" t="n"/>
      <c r="P1301" s="398" t="n"/>
      <c r="Q1301" s="398" t="n"/>
      <c r="R1301" s="113" t="n"/>
      <c r="S1301" s="113" t="n"/>
      <c r="T1301" s="113" t="n"/>
      <c r="U1301" s="113" t="n"/>
      <c r="V1301" s="113" t="n"/>
    </row>
    <row r="1302" ht="15.75" customHeight="1">
      <c r="A1302" s="398" t="n"/>
      <c r="B1302" s="238" t="n"/>
      <c r="C1302" s="399" t="n"/>
      <c r="D1302" s="113" t="n"/>
      <c r="E1302" s="113" t="n"/>
      <c r="F1302" s="113" t="n"/>
      <c r="G1302" s="395" t="n"/>
      <c r="H1302" s="395" t="n"/>
      <c r="I1302" s="395" t="n"/>
      <c r="J1302" s="395" t="n"/>
      <c r="K1302" s="395" t="n"/>
      <c r="L1302" s="395" t="n"/>
      <c r="M1302" s="113" t="n"/>
      <c r="N1302" s="113" t="n"/>
      <c r="O1302" s="113" t="n"/>
      <c r="P1302" s="398" t="n"/>
      <c r="Q1302" s="398" t="n"/>
      <c r="R1302" s="113" t="n"/>
      <c r="S1302" s="113" t="n"/>
      <c r="T1302" s="113" t="n"/>
      <c r="U1302" s="113" t="n"/>
      <c r="V1302" s="113" t="n"/>
    </row>
    <row r="1303" ht="15.75" customHeight="1">
      <c r="A1303" s="398" t="n"/>
      <c r="B1303" s="238" t="n"/>
      <c r="C1303" s="399" t="n"/>
      <c r="D1303" s="162" t="n"/>
      <c r="E1303" s="162" t="n"/>
      <c r="F1303" s="162" t="n"/>
      <c r="G1303" s="162" t="n"/>
      <c r="H1303" s="162" t="n"/>
      <c r="I1303" s="162" t="n"/>
      <c r="J1303" s="162" t="n"/>
      <c r="K1303" s="162" t="n"/>
      <c r="L1303" s="395" t="n"/>
      <c r="M1303" s="113" t="n"/>
      <c r="N1303" s="113" t="n"/>
      <c r="O1303" s="113" t="n"/>
      <c r="P1303" s="398" t="n"/>
      <c r="Q1303" s="398" t="n"/>
      <c r="R1303" s="113" t="n"/>
      <c r="S1303" s="113" t="n"/>
      <c r="T1303" s="113" t="n"/>
      <c r="U1303" s="113" t="n"/>
      <c r="V1303" s="113" t="n"/>
    </row>
    <row r="1304" ht="15.75" customHeight="1">
      <c r="A1304" s="398" t="n"/>
      <c r="B1304" s="238" t="n"/>
      <c r="C1304" s="399" t="n"/>
      <c r="D1304" s="162" t="n"/>
      <c r="E1304" s="162" t="n"/>
      <c r="F1304" s="162" t="n"/>
      <c r="G1304" s="162" t="n"/>
      <c r="H1304" s="162" t="n"/>
      <c r="I1304" s="162" t="n"/>
      <c r="J1304" s="162" t="n"/>
      <c r="K1304" s="162" t="n"/>
      <c r="L1304" s="395" t="n"/>
      <c r="M1304" s="113" t="n"/>
      <c r="N1304" s="113" t="n"/>
      <c r="O1304" s="113" t="n"/>
      <c r="P1304" s="398" t="n"/>
      <c r="Q1304" s="398" t="n"/>
      <c r="R1304" s="113" t="n"/>
      <c r="S1304" s="113" t="n"/>
      <c r="T1304" s="113" t="n"/>
      <c r="U1304" s="113" t="n"/>
      <c r="V1304" s="113" t="n"/>
    </row>
    <row r="1305" ht="15.75" customHeight="1">
      <c r="A1305" s="398" t="n"/>
      <c r="B1305" s="238" t="n"/>
      <c r="C1305" s="399" t="n"/>
      <c r="D1305" s="162" t="n"/>
      <c r="E1305" s="162" t="n"/>
      <c r="F1305" s="162" t="n"/>
      <c r="G1305" s="162" t="n"/>
      <c r="H1305" s="162" t="n"/>
      <c r="I1305" s="162" t="n"/>
      <c r="J1305" s="162" t="n"/>
      <c r="K1305" s="162" t="n"/>
      <c r="L1305" s="395" t="n"/>
      <c r="M1305" s="113" t="n"/>
      <c r="N1305" s="113" t="n"/>
      <c r="O1305" s="113" t="n"/>
      <c r="P1305" s="398" t="n"/>
      <c r="Q1305" s="398" t="n"/>
      <c r="R1305" s="113" t="n"/>
      <c r="S1305" s="113" t="n"/>
      <c r="T1305" s="113" t="n"/>
      <c r="U1305" s="113" t="n"/>
      <c r="V1305" s="113" t="n"/>
    </row>
    <row r="1306" ht="15.75" customHeight="1">
      <c r="A1306" s="398" t="n"/>
      <c r="B1306" s="238" t="n"/>
      <c r="C1306" s="399" t="n"/>
      <c r="D1306" s="162" t="n"/>
      <c r="E1306" s="162" t="n"/>
      <c r="F1306" s="162" t="n"/>
      <c r="G1306" s="162" t="n"/>
      <c r="H1306" s="162" t="n"/>
      <c r="I1306" s="162" t="n"/>
      <c r="J1306" s="162" t="n"/>
      <c r="K1306" s="162" t="n"/>
      <c r="L1306" s="395" t="n"/>
      <c r="M1306" s="113" t="n"/>
      <c r="N1306" s="113" t="n"/>
      <c r="O1306" s="113" t="n"/>
      <c r="P1306" s="398" t="n"/>
      <c r="Q1306" s="398" t="n"/>
      <c r="R1306" s="113" t="n"/>
      <c r="S1306" s="113" t="n"/>
      <c r="T1306" s="113" t="n"/>
      <c r="U1306" s="113" t="n"/>
      <c r="V1306" s="113" t="n"/>
    </row>
    <row r="1307" ht="15.75" customHeight="1">
      <c r="A1307" s="398" t="n"/>
      <c r="B1307" s="238" t="n"/>
      <c r="C1307" s="399" t="n"/>
      <c r="D1307" s="162" t="n"/>
      <c r="E1307" s="162" t="n"/>
      <c r="F1307" s="162" t="n"/>
      <c r="G1307" s="162" t="n"/>
      <c r="H1307" s="162" t="n"/>
      <c r="I1307" s="162" t="n"/>
      <c r="J1307" s="162" t="n"/>
      <c r="K1307" s="162" t="n"/>
      <c r="L1307" s="395" t="n"/>
      <c r="M1307" s="113" t="n"/>
      <c r="N1307" s="113" t="n"/>
      <c r="O1307" s="113" t="n"/>
      <c r="P1307" s="398" t="n"/>
      <c r="Q1307" s="398" t="n"/>
      <c r="R1307" s="113" t="n"/>
      <c r="S1307" s="113" t="n"/>
      <c r="T1307" s="113" t="n"/>
      <c r="U1307" s="113" t="n"/>
      <c r="V1307" s="113" t="n"/>
    </row>
    <row r="1308" ht="15.75" customHeight="1">
      <c r="A1308" s="398" t="n"/>
      <c r="B1308" s="238" t="n"/>
      <c r="C1308" s="399" t="n"/>
      <c r="D1308" s="162" t="n"/>
      <c r="E1308" s="162" t="n"/>
      <c r="F1308" s="162" t="n"/>
      <c r="G1308" s="162" t="n"/>
      <c r="H1308" s="162" t="n"/>
      <c r="I1308" s="162" t="n"/>
      <c r="J1308" s="162" t="n"/>
      <c r="K1308" s="162" t="n"/>
      <c r="L1308" s="395" t="n"/>
      <c r="M1308" s="113" t="n"/>
      <c r="N1308" s="113" t="n"/>
      <c r="O1308" s="113" t="n"/>
      <c r="P1308" s="398" t="n"/>
      <c r="Q1308" s="398" t="n"/>
      <c r="R1308" s="113" t="n"/>
      <c r="S1308" s="113" t="n"/>
      <c r="T1308" s="113" t="n"/>
      <c r="U1308" s="113" t="n"/>
      <c r="V1308" s="113" t="n"/>
    </row>
    <row r="1309" ht="15.75" customHeight="1">
      <c r="A1309" s="398" t="n"/>
      <c r="B1309" s="238" t="n"/>
      <c r="C1309" s="399" t="n"/>
      <c r="D1309" s="162" t="n"/>
      <c r="E1309" s="162" t="n"/>
      <c r="F1309" s="162" t="n"/>
      <c r="G1309" s="162" t="n"/>
      <c r="H1309" s="162" t="n"/>
      <c r="I1309" s="162" t="n"/>
      <c r="J1309" s="162" t="n"/>
      <c r="K1309" s="162" t="n"/>
      <c r="L1309" s="395" t="n"/>
      <c r="M1309" s="113" t="n"/>
      <c r="N1309" s="113" t="n"/>
      <c r="O1309" s="113" t="n"/>
      <c r="P1309" s="398" t="n"/>
      <c r="Q1309" s="398" t="n"/>
      <c r="R1309" s="113" t="n"/>
      <c r="S1309" s="113" t="n"/>
      <c r="T1309" s="113" t="n"/>
      <c r="U1309" s="113" t="n"/>
      <c r="V1309" s="113" t="n"/>
    </row>
    <row r="1310" ht="15.75" customHeight="1">
      <c r="A1310" s="398" t="n"/>
      <c r="B1310" s="238" t="n"/>
      <c r="C1310" s="399" t="n"/>
      <c r="D1310" s="113" t="n"/>
      <c r="E1310" s="113" t="n"/>
      <c r="F1310" s="113" t="n"/>
      <c r="G1310" s="395" t="n"/>
      <c r="H1310" s="395" t="n"/>
      <c r="I1310" s="395" t="n"/>
      <c r="J1310" s="395" t="n"/>
      <c r="K1310" s="395" t="n"/>
      <c r="L1310" s="395" t="n"/>
      <c r="M1310" s="113" t="n"/>
      <c r="N1310" s="113" t="n"/>
      <c r="O1310" s="113" t="n"/>
      <c r="P1310" s="398" t="n"/>
      <c r="Q1310" s="398" t="n"/>
      <c r="R1310" s="113" t="n"/>
      <c r="S1310" s="113" t="n"/>
      <c r="T1310" s="113" t="n"/>
      <c r="U1310" s="113" t="n"/>
      <c r="V1310" s="113" t="n"/>
    </row>
    <row r="1311" ht="15.75" customHeight="1">
      <c r="A1311" s="398" t="n"/>
      <c r="B1311" s="238" t="n"/>
      <c r="C1311" s="399" t="n"/>
      <c r="D1311" s="113" t="n"/>
      <c r="E1311" s="113" t="n"/>
      <c r="F1311" s="113" t="n"/>
      <c r="G1311" s="395" t="n"/>
      <c r="H1311" s="395" t="n"/>
      <c r="I1311" s="395" t="n"/>
      <c r="J1311" s="395" t="n"/>
      <c r="K1311" s="395" t="n"/>
      <c r="L1311" s="395" t="n"/>
      <c r="M1311" s="113" t="n"/>
      <c r="N1311" s="113" t="n"/>
      <c r="O1311" s="113" t="n"/>
      <c r="P1311" s="398" t="n"/>
      <c r="Q1311" s="398" t="n"/>
      <c r="R1311" s="113" t="n"/>
      <c r="S1311" s="113" t="n"/>
      <c r="T1311" s="113" t="n"/>
      <c r="U1311" s="113" t="n"/>
      <c r="V1311" s="113" t="n"/>
    </row>
    <row r="1312" ht="15.75" customHeight="1">
      <c r="A1312" s="398" t="n"/>
      <c r="B1312" s="238" t="n"/>
      <c r="C1312" s="399" t="n"/>
      <c r="D1312" s="113" t="n"/>
      <c r="E1312" s="113" t="n"/>
      <c r="F1312" s="113" t="n"/>
      <c r="G1312" s="395" t="n"/>
      <c r="H1312" s="395" t="n"/>
      <c r="I1312" s="395" t="n"/>
      <c r="J1312" s="395" t="n"/>
      <c r="K1312" s="395" t="n"/>
      <c r="L1312" s="395" t="n"/>
      <c r="M1312" s="113" t="n"/>
      <c r="N1312" s="113" t="n"/>
      <c r="O1312" s="113" t="n"/>
      <c r="P1312" s="398" t="n"/>
      <c r="Q1312" s="398" t="n"/>
      <c r="R1312" s="113" t="n"/>
      <c r="S1312" s="113" t="n"/>
      <c r="T1312" s="113" t="n"/>
      <c r="U1312" s="113" t="n"/>
      <c r="V1312" s="113" t="n"/>
    </row>
    <row r="1313" ht="15.75" customHeight="1">
      <c r="A1313" s="398" t="n"/>
      <c r="B1313" s="238" t="n"/>
      <c r="C1313" s="399" t="n"/>
      <c r="D1313" s="113" t="n"/>
      <c r="E1313" s="113" t="n"/>
      <c r="F1313" s="113" t="n"/>
      <c r="G1313" s="395" t="n"/>
      <c r="H1313" s="395" t="n"/>
      <c r="I1313" s="395" t="n"/>
      <c r="J1313" s="395" t="n"/>
      <c r="K1313" s="395" t="n"/>
      <c r="L1313" s="395" t="n"/>
      <c r="M1313" s="113" t="n"/>
      <c r="N1313" s="113" t="n"/>
      <c r="O1313" s="113" t="n"/>
      <c r="P1313" s="398" t="n"/>
      <c r="Q1313" s="398" t="n"/>
      <c r="R1313" s="113" t="n"/>
      <c r="S1313" s="113" t="n"/>
      <c r="T1313" s="113" t="n"/>
      <c r="U1313" s="113" t="n"/>
      <c r="V1313" s="113" t="n"/>
    </row>
    <row r="1314" ht="15.75" customHeight="1">
      <c r="A1314" s="398" t="n"/>
      <c r="B1314" s="238" t="n"/>
      <c r="C1314" s="399" t="n"/>
      <c r="D1314" s="113" t="n"/>
      <c r="E1314" s="113" t="n"/>
      <c r="F1314" s="113" t="n"/>
      <c r="G1314" s="395" t="n"/>
      <c r="H1314" s="395" t="n"/>
      <c r="I1314" s="395" t="n"/>
      <c r="J1314" s="395" t="n"/>
      <c r="K1314" s="395" t="n"/>
      <c r="L1314" s="395" t="n"/>
      <c r="M1314" s="113" t="n"/>
      <c r="N1314" s="113" t="n"/>
      <c r="O1314" s="113" t="n"/>
      <c r="P1314" s="398" t="n"/>
      <c r="Q1314" s="398" t="n"/>
      <c r="R1314" s="113" t="n"/>
      <c r="S1314" s="113" t="n"/>
      <c r="T1314" s="113" t="n"/>
      <c r="U1314" s="113" t="n"/>
      <c r="V1314" s="113" t="n"/>
    </row>
    <row r="1315" ht="15.75" customHeight="1">
      <c r="A1315" s="398" t="n"/>
      <c r="B1315" s="238" t="n"/>
      <c r="C1315" s="399" t="n"/>
      <c r="D1315" s="113" t="n"/>
      <c r="E1315" s="113" t="n"/>
      <c r="F1315" s="113" t="n"/>
      <c r="G1315" s="395" t="n"/>
      <c r="H1315" s="395" t="n"/>
      <c r="I1315" s="395" t="n"/>
      <c r="J1315" s="395" t="n"/>
      <c r="K1315" s="395" t="n"/>
      <c r="L1315" s="395" t="n"/>
      <c r="M1315" s="113" t="n"/>
      <c r="N1315" s="113" t="n"/>
      <c r="O1315" s="113" t="n"/>
      <c r="P1315" s="398" t="n"/>
      <c r="Q1315" s="398" t="n"/>
      <c r="R1315" s="113" t="n"/>
      <c r="S1315" s="113" t="n"/>
      <c r="T1315" s="113" t="n"/>
      <c r="U1315" s="113" t="n"/>
      <c r="V1315" s="113" t="n"/>
    </row>
    <row r="1316" ht="15.75" customHeight="1">
      <c r="A1316" s="398" t="n"/>
      <c r="B1316" s="238" t="n"/>
      <c r="C1316" s="399" t="n"/>
      <c r="D1316" s="113" t="n"/>
      <c r="E1316" s="113" t="n"/>
      <c r="F1316" s="113" t="n"/>
      <c r="G1316" s="395" t="n"/>
      <c r="H1316" s="395" t="n"/>
      <c r="I1316" s="395" t="n"/>
      <c r="J1316" s="395" t="n"/>
      <c r="K1316" s="395" t="n"/>
      <c r="L1316" s="395" t="n"/>
      <c r="M1316" s="113" t="n"/>
      <c r="N1316" s="113" t="n"/>
      <c r="O1316" s="113" t="n"/>
      <c r="P1316" s="398" t="n"/>
      <c r="Q1316" s="398" t="n"/>
      <c r="R1316" s="113" t="n"/>
      <c r="S1316" s="113" t="n"/>
      <c r="T1316" s="113" t="n"/>
      <c r="U1316" s="113" t="n"/>
      <c r="V1316" s="113" t="n"/>
    </row>
    <row r="1317" ht="15.75" customHeight="1">
      <c r="A1317" s="398" t="n"/>
      <c r="B1317" s="238" t="n"/>
      <c r="C1317" s="399" t="n"/>
      <c r="D1317" s="162" t="n"/>
      <c r="E1317" s="162" t="n"/>
      <c r="F1317" s="162" t="n"/>
      <c r="G1317" s="162" t="n"/>
      <c r="H1317" s="162" t="n"/>
      <c r="I1317" s="162" t="n"/>
      <c r="J1317" s="162" t="n"/>
      <c r="K1317" s="162" t="n"/>
      <c r="L1317" s="395" t="n"/>
      <c r="M1317" s="113" t="n"/>
      <c r="N1317" s="113" t="n"/>
      <c r="O1317" s="113" t="n"/>
      <c r="P1317" s="398" t="n"/>
      <c r="Q1317" s="398" t="n"/>
      <c r="R1317" s="113" t="n"/>
      <c r="S1317" s="113" t="n"/>
      <c r="T1317" s="113" t="n"/>
      <c r="U1317" s="113" t="n"/>
      <c r="V1317" s="113" t="n"/>
    </row>
    <row r="1318" ht="15.75" customHeight="1">
      <c r="A1318" s="398" t="n"/>
      <c r="B1318" s="238" t="n"/>
      <c r="C1318" s="399" t="n"/>
      <c r="D1318" s="162" t="n"/>
      <c r="E1318" s="162" t="n"/>
      <c r="F1318" s="162" t="n"/>
      <c r="G1318" s="162" t="n"/>
      <c r="H1318" s="162" t="n"/>
      <c r="I1318" s="162" t="n"/>
      <c r="J1318" s="162" t="n"/>
      <c r="K1318" s="162" t="n"/>
      <c r="L1318" s="395" t="n"/>
      <c r="M1318" s="113" t="n"/>
      <c r="N1318" s="113" t="n"/>
      <c r="O1318" s="113" t="n"/>
      <c r="P1318" s="398" t="n"/>
      <c r="Q1318" s="398" t="n"/>
      <c r="R1318" s="113" t="n"/>
      <c r="S1318" s="113" t="n"/>
      <c r="T1318" s="113" t="n"/>
      <c r="U1318" s="113" t="n"/>
      <c r="V1318" s="113" t="n"/>
    </row>
    <row r="1319" ht="15.75" customHeight="1">
      <c r="A1319" s="398" t="n"/>
      <c r="B1319" s="238" t="n"/>
      <c r="C1319" s="399" t="n"/>
      <c r="D1319" s="162" t="n"/>
      <c r="E1319" s="162" t="n"/>
      <c r="F1319" s="162" t="n"/>
      <c r="G1319" s="162" t="n"/>
      <c r="H1319" s="162" t="n"/>
      <c r="I1319" s="162" t="n"/>
      <c r="J1319" s="162" t="n"/>
      <c r="K1319" s="162" t="n"/>
      <c r="L1319" s="395" t="n"/>
      <c r="M1319" s="113" t="n"/>
      <c r="N1319" s="113" t="n"/>
      <c r="O1319" s="113" t="n"/>
      <c r="P1319" s="398" t="n"/>
      <c r="Q1319" s="398" t="n"/>
      <c r="R1319" s="113" t="n"/>
      <c r="S1319" s="113" t="n"/>
      <c r="T1319" s="113" t="n"/>
      <c r="U1319" s="113" t="n"/>
      <c r="V1319" s="113" t="n"/>
    </row>
    <row r="1320" ht="15.75" customHeight="1">
      <c r="A1320" s="398" t="n"/>
      <c r="B1320" s="238" t="n"/>
      <c r="C1320" s="399" t="n"/>
      <c r="D1320" s="162" t="n"/>
      <c r="E1320" s="162" t="n"/>
      <c r="F1320" s="162" t="n"/>
      <c r="G1320" s="162" t="n"/>
      <c r="H1320" s="162" t="n"/>
      <c r="I1320" s="162" t="n"/>
      <c r="J1320" s="162" t="n"/>
      <c r="K1320" s="162" t="n"/>
      <c r="L1320" s="395" t="n"/>
      <c r="M1320" s="113" t="n"/>
      <c r="N1320" s="113" t="n"/>
      <c r="O1320" s="113" t="n"/>
      <c r="P1320" s="398" t="n"/>
      <c r="Q1320" s="398" t="n"/>
      <c r="R1320" s="113" t="n"/>
      <c r="S1320" s="113" t="n"/>
      <c r="T1320" s="113" t="n"/>
      <c r="U1320" s="113" t="n"/>
      <c r="V1320" s="113" t="n"/>
    </row>
    <row r="1321" ht="15.75" customHeight="1">
      <c r="A1321" s="398" t="n"/>
      <c r="B1321" s="238" t="n"/>
      <c r="C1321" s="399" t="n"/>
      <c r="D1321" s="162" t="n"/>
      <c r="E1321" s="162" t="n"/>
      <c r="F1321" s="162" t="n"/>
      <c r="G1321" s="162" t="n"/>
      <c r="H1321" s="162" t="n"/>
      <c r="I1321" s="162" t="n"/>
      <c r="J1321" s="162" t="n"/>
      <c r="K1321" s="162" t="n"/>
      <c r="L1321" s="395" t="n"/>
      <c r="M1321" s="113" t="n"/>
      <c r="N1321" s="113" t="n"/>
      <c r="O1321" s="113" t="n"/>
      <c r="P1321" s="398" t="n"/>
      <c r="Q1321" s="398" t="n"/>
      <c r="R1321" s="113" t="n"/>
      <c r="S1321" s="113" t="n"/>
      <c r="T1321" s="113" t="n"/>
      <c r="U1321" s="113" t="n"/>
      <c r="V1321" s="113" t="n"/>
    </row>
    <row r="1322" ht="15.75" customHeight="1">
      <c r="A1322" s="398" t="n"/>
      <c r="B1322" s="238" t="n"/>
      <c r="C1322" s="399" t="n"/>
      <c r="D1322" s="162" t="n"/>
      <c r="E1322" s="162" t="n"/>
      <c r="F1322" s="162" t="n"/>
      <c r="G1322" s="162" t="n"/>
      <c r="H1322" s="162" t="n"/>
      <c r="I1322" s="162" t="n"/>
      <c r="J1322" s="162" t="n"/>
      <c r="K1322" s="162" t="n"/>
      <c r="L1322" s="395" t="n"/>
      <c r="M1322" s="113" t="n"/>
      <c r="N1322" s="113" t="n"/>
      <c r="O1322" s="113" t="n"/>
      <c r="P1322" s="398" t="n"/>
      <c r="Q1322" s="398" t="n"/>
      <c r="R1322" s="113" t="n"/>
      <c r="S1322" s="113" t="n"/>
      <c r="T1322" s="113" t="n"/>
      <c r="U1322" s="113" t="n"/>
      <c r="V1322" s="113" t="n"/>
    </row>
    <row r="1323" ht="15.75" customHeight="1">
      <c r="A1323" s="398" t="n"/>
      <c r="B1323" s="238" t="n"/>
      <c r="C1323" s="399" t="n"/>
      <c r="D1323" s="162" t="n"/>
      <c r="E1323" s="162" t="n"/>
      <c r="F1323" s="162" t="n"/>
      <c r="G1323" s="162" t="n"/>
      <c r="H1323" s="162" t="n"/>
      <c r="I1323" s="162" t="n"/>
      <c r="J1323" s="162" t="n"/>
      <c r="K1323" s="162" t="n"/>
      <c r="L1323" s="395" t="n"/>
      <c r="M1323" s="113" t="n"/>
      <c r="N1323" s="113" t="n"/>
      <c r="O1323" s="113" t="n"/>
      <c r="P1323" s="398" t="n"/>
      <c r="Q1323" s="398" t="n"/>
      <c r="R1323" s="113" t="n"/>
      <c r="S1323" s="113" t="n"/>
      <c r="T1323" s="113" t="n"/>
      <c r="U1323" s="113" t="n"/>
      <c r="V1323" s="113" t="n"/>
    </row>
    <row r="1324" ht="15.75" customHeight="1">
      <c r="A1324" s="398" t="n"/>
      <c r="B1324" s="238" t="n"/>
      <c r="C1324" s="399" t="n"/>
      <c r="D1324" s="162" t="n"/>
      <c r="E1324" s="162" t="n"/>
      <c r="F1324" s="162" t="n"/>
      <c r="G1324" s="162" t="n"/>
      <c r="H1324" s="162" t="n"/>
      <c r="I1324" s="162" t="n"/>
      <c r="J1324" s="162" t="n"/>
      <c r="K1324" s="162" t="n"/>
      <c r="L1324" s="395" t="n"/>
      <c r="M1324" s="113" t="n"/>
      <c r="N1324" s="113" t="n"/>
      <c r="O1324" s="113" t="n"/>
      <c r="P1324" s="398" t="n"/>
      <c r="Q1324" s="398" t="n"/>
      <c r="R1324" s="113" t="n"/>
      <c r="S1324" s="113" t="n"/>
      <c r="T1324" s="113" t="n"/>
      <c r="U1324" s="113" t="n"/>
      <c r="V1324" s="113" t="n"/>
    </row>
    <row r="1325" ht="15.75" customHeight="1">
      <c r="A1325" s="398" t="n"/>
      <c r="B1325" s="238" t="n"/>
      <c r="C1325" s="399" t="n"/>
      <c r="D1325" s="162" t="n"/>
      <c r="E1325" s="162" t="n"/>
      <c r="F1325" s="162" t="n"/>
      <c r="G1325" s="162" t="n"/>
      <c r="H1325" s="162" t="n"/>
      <c r="I1325" s="162" t="n"/>
      <c r="J1325" s="162" t="n"/>
      <c r="K1325" s="162" t="n"/>
      <c r="L1325" s="395" t="n"/>
      <c r="M1325" s="113" t="n"/>
      <c r="N1325" s="113" t="n"/>
      <c r="O1325" s="113" t="n"/>
      <c r="P1325" s="398" t="n"/>
      <c r="Q1325" s="398" t="n"/>
      <c r="R1325" s="113" t="n"/>
      <c r="S1325" s="113" t="n"/>
      <c r="T1325" s="113" t="n"/>
      <c r="U1325" s="113" t="n"/>
      <c r="V1325" s="113" t="n"/>
    </row>
    <row r="1326" ht="15.75" customHeight="1">
      <c r="A1326" s="398" t="n"/>
      <c r="B1326" s="238" t="n"/>
      <c r="C1326" s="399" t="n"/>
      <c r="D1326" s="113" t="n"/>
      <c r="E1326" s="113" t="n"/>
      <c r="F1326" s="113" t="n"/>
      <c r="G1326" s="395" t="n"/>
      <c r="H1326" s="395" t="n"/>
      <c r="I1326" s="395" t="n"/>
      <c r="J1326" s="395" t="n"/>
      <c r="K1326" s="395" t="n"/>
      <c r="L1326" s="395" t="n"/>
      <c r="M1326" s="113" t="n"/>
      <c r="N1326" s="113" t="n"/>
      <c r="O1326" s="113" t="n"/>
      <c r="P1326" s="398" t="n"/>
      <c r="Q1326" s="398" t="n"/>
      <c r="R1326" s="113" t="n"/>
      <c r="S1326" s="113" t="n"/>
      <c r="T1326" s="113" t="n"/>
      <c r="U1326" s="113" t="n"/>
      <c r="V1326" s="113" t="n"/>
    </row>
    <row r="1327" ht="15.75" customHeight="1">
      <c r="A1327" s="398" t="n"/>
      <c r="B1327" s="238" t="n"/>
      <c r="C1327" s="399" t="n"/>
      <c r="D1327" s="113" t="n"/>
      <c r="E1327" s="113" t="n"/>
      <c r="F1327" s="113" t="n"/>
      <c r="G1327" s="395" t="n"/>
      <c r="H1327" s="395" t="n"/>
      <c r="I1327" s="395" t="n"/>
      <c r="J1327" s="395" t="n"/>
      <c r="K1327" s="395" t="n"/>
      <c r="L1327" s="395" t="n"/>
      <c r="M1327" s="113" t="n"/>
      <c r="N1327" s="113" t="n"/>
      <c r="O1327" s="113" t="n"/>
      <c r="P1327" s="398" t="n"/>
      <c r="Q1327" s="398" t="n"/>
      <c r="R1327" s="113" t="n"/>
      <c r="S1327" s="113" t="n"/>
      <c r="T1327" s="113" t="n"/>
      <c r="U1327" s="113" t="n"/>
      <c r="V1327" s="113" t="n"/>
    </row>
    <row r="1328" ht="15.75" customHeight="1">
      <c r="A1328" s="398" t="n"/>
      <c r="B1328" s="238" t="n"/>
      <c r="C1328" s="399" t="n"/>
      <c r="D1328" s="113" t="n"/>
      <c r="E1328" s="113" t="n"/>
      <c r="F1328" s="113" t="n"/>
      <c r="G1328" s="395" t="n"/>
      <c r="H1328" s="395" t="n"/>
      <c r="I1328" s="395" t="n"/>
      <c r="J1328" s="395" t="n"/>
      <c r="K1328" s="395" t="n"/>
      <c r="L1328" s="395" t="n"/>
      <c r="M1328" s="113" t="n"/>
      <c r="N1328" s="113" t="n"/>
      <c r="O1328" s="113" t="n"/>
      <c r="P1328" s="398" t="n"/>
      <c r="Q1328" s="398" t="n"/>
      <c r="R1328" s="113" t="n"/>
      <c r="S1328" s="113" t="n"/>
      <c r="T1328" s="113" t="n"/>
      <c r="U1328" s="113" t="n"/>
      <c r="V1328" s="113" t="n"/>
    </row>
    <row r="1329" ht="15.75" customHeight="1">
      <c r="A1329" s="398" t="n"/>
      <c r="B1329" s="238" t="n"/>
      <c r="C1329" s="399" t="n"/>
      <c r="D1329" s="113" t="n"/>
      <c r="E1329" s="113" t="n"/>
      <c r="F1329" s="113" t="n"/>
      <c r="G1329" s="395" t="n"/>
      <c r="H1329" s="395" t="n"/>
      <c r="I1329" s="395" t="n"/>
      <c r="J1329" s="395" t="n"/>
      <c r="K1329" s="395" t="n"/>
      <c r="L1329" s="395" t="n"/>
      <c r="M1329" s="113" t="n"/>
      <c r="N1329" s="113" t="n"/>
      <c r="O1329" s="113" t="n"/>
      <c r="P1329" s="398" t="n"/>
      <c r="Q1329" s="398" t="n"/>
      <c r="R1329" s="113" t="n"/>
      <c r="S1329" s="113" t="n"/>
      <c r="T1329" s="113" t="n"/>
      <c r="U1329" s="113" t="n"/>
      <c r="V1329" s="113" t="n"/>
    </row>
    <row r="1330" ht="15.75" customHeight="1">
      <c r="A1330" s="398" t="n"/>
      <c r="B1330" s="238" t="n"/>
      <c r="C1330" s="399" t="n"/>
      <c r="D1330" s="113" t="n"/>
      <c r="E1330" s="113" t="n"/>
      <c r="F1330" s="113" t="n"/>
      <c r="G1330" s="395" t="n"/>
      <c r="H1330" s="395" t="n"/>
      <c r="I1330" s="395" t="n"/>
      <c r="J1330" s="395" t="n"/>
      <c r="K1330" s="395" t="n"/>
      <c r="L1330" s="395" t="n"/>
      <c r="M1330" s="113" t="n"/>
      <c r="N1330" s="113" t="n"/>
      <c r="O1330" s="113" t="n"/>
      <c r="P1330" s="398" t="n"/>
      <c r="Q1330" s="398" t="n"/>
      <c r="R1330" s="113" t="n"/>
      <c r="S1330" s="113" t="n"/>
      <c r="T1330" s="113" t="n"/>
      <c r="U1330" s="113" t="n"/>
      <c r="V1330" s="113" t="n"/>
    </row>
    <row r="1331" ht="15.75" customHeight="1">
      <c r="A1331" s="398" t="n"/>
      <c r="B1331" s="238" t="n"/>
      <c r="C1331" s="399" t="n"/>
      <c r="D1331" s="113" t="n"/>
      <c r="E1331" s="113" t="n"/>
      <c r="F1331" s="113" t="n"/>
      <c r="G1331" s="395" t="n"/>
      <c r="H1331" s="395" t="n"/>
      <c r="I1331" s="395" t="n"/>
      <c r="J1331" s="395" t="n"/>
      <c r="K1331" s="395" t="n"/>
      <c r="L1331" s="395" t="n"/>
      <c r="M1331" s="113" t="n"/>
      <c r="N1331" s="113" t="n"/>
      <c r="O1331" s="113" t="n"/>
      <c r="P1331" s="398" t="n"/>
      <c r="Q1331" s="398" t="n"/>
      <c r="R1331" s="113" t="n"/>
      <c r="S1331" s="113" t="n"/>
      <c r="T1331" s="113" t="n"/>
      <c r="U1331" s="113" t="n"/>
      <c r="V1331" s="113" t="n"/>
    </row>
    <row r="1332" ht="15.75" customHeight="1">
      <c r="A1332" s="398" t="n"/>
      <c r="B1332" s="238" t="n"/>
      <c r="C1332" s="399" t="n"/>
      <c r="D1332" s="162" t="n"/>
      <c r="E1332" s="162" t="n"/>
      <c r="F1332" s="162" t="n"/>
      <c r="G1332" s="162" t="n"/>
      <c r="H1332" s="162" t="n"/>
      <c r="I1332" s="162" t="n"/>
      <c r="J1332" s="162" t="n"/>
      <c r="K1332" s="162" t="n"/>
      <c r="L1332" s="395" t="n"/>
      <c r="M1332" s="113" t="n"/>
      <c r="N1332" s="113" t="n"/>
      <c r="O1332" s="113" t="n"/>
      <c r="P1332" s="398" t="n"/>
      <c r="Q1332" s="398" t="n"/>
      <c r="R1332" s="113" t="n"/>
      <c r="S1332" s="113" t="n"/>
      <c r="T1332" s="113" t="n"/>
      <c r="U1332" s="113" t="n"/>
      <c r="V1332" s="113" t="n"/>
    </row>
    <row r="1333" ht="15.75" customHeight="1">
      <c r="A1333" s="398" t="n"/>
      <c r="B1333" s="238" t="n"/>
      <c r="C1333" s="399" t="n"/>
      <c r="D1333" s="162" t="n"/>
      <c r="E1333" s="162" t="n"/>
      <c r="F1333" s="162" t="n"/>
      <c r="G1333" s="162" t="n"/>
      <c r="H1333" s="162" t="n"/>
      <c r="I1333" s="162" t="n"/>
      <c r="J1333" s="162" t="n"/>
      <c r="K1333" s="162" t="n"/>
      <c r="L1333" s="395" t="n"/>
      <c r="M1333" s="113" t="n"/>
      <c r="N1333" s="113" t="n"/>
      <c r="O1333" s="113" t="n"/>
      <c r="P1333" s="398" t="n"/>
      <c r="Q1333" s="398" t="n"/>
      <c r="R1333" s="113" t="n"/>
      <c r="S1333" s="113" t="n"/>
      <c r="T1333" s="113" t="n"/>
      <c r="U1333" s="113" t="n"/>
      <c r="V1333" s="113" t="n"/>
    </row>
    <row r="1334" ht="15.75" customHeight="1">
      <c r="A1334" s="398" t="n"/>
      <c r="B1334" s="238" t="n"/>
      <c r="C1334" s="399" t="n"/>
      <c r="D1334" s="162" t="n"/>
      <c r="E1334" s="162" t="n"/>
      <c r="F1334" s="162" t="n"/>
      <c r="G1334" s="162" t="n"/>
      <c r="H1334" s="162" t="n"/>
      <c r="I1334" s="162" t="n"/>
      <c r="J1334" s="162" t="n"/>
      <c r="K1334" s="162" t="n"/>
      <c r="L1334" s="395" t="n"/>
      <c r="M1334" s="113" t="n"/>
      <c r="N1334" s="113" t="n"/>
      <c r="O1334" s="113" t="n"/>
      <c r="P1334" s="398" t="n"/>
      <c r="Q1334" s="398" t="n"/>
      <c r="R1334" s="113" t="n"/>
      <c r="S1334" s="113" t="n"/>
      <c r="T1334" s="113" t="n"/>
      <c r="U1334" s="113" t="n"/>
      <c r="V1334" s="113" t="n"/>
    </row>
    <row r="1335" ht="15.75" customHeight="1">
      <c r="A1335" s="398" t="n"/>
      <c r="B1335" s="238" t="n"/>
      <c r="C1335" s="399" t="n"/>
      <c r="D1335" s="162" t="n"/>
      <c r="E1335" s="162" t="n"/>
      <c r="F1335" s="162" t="n"/>
      <c r="G1335" s="162" t="n"/>
      <c r="H1335" s="162" t="n"/>
      <c r="I1335" s="162" t="n"/>
      <c r="J1335" s="162" t="n"/>
      <c r="K1335" s="162" t="n"/>
      <c r="L1335" s="395" t="n"/>
      <c r="M1335" s="113" t="n"/>
      <c r="N1335" s="113" t="n"/>
      <c r="O1335" s="113" t="n"/>
      <c r="P1335" s="398" t="n"/>
      <c r="Q1335" s="398" t="n"/>
      <c r="R1335" s="113" t="n"/>
      <c r="S1335" s="113" t="n"/>
      <c r="T1335" s="113" t="n"/>
      <c r="U1335" s="113" t="n"/>
      <c r="V1335" s="113" t="n"/>
    </row>
    <row r="1336" ht="15.75" customHeight="1">
      <c r="A1336" s="398" t="n"/>
      <c r="B1336" s="238" t="n"/>
      <c r="C1336" s="399" t="n"/>
      <c r="D1336" s="162" t="n"/>
      <c r="E1336" s="162" t="n"/>
      <c r="F1336" s="162" t="n"/>
      <c r="G1336" s="162" t="n"/>
      <c r="H1336" s="162" t="n"/>
      <c r="I1336" s="162" t="n"/>
      <c r="J1336" s="162" t="n"/>
      <c r="K1336" s="162" t="n"/>
      <c r="L1336" s="395" t="n"/>
      <c r="M1336" s="113" t="n"/>
      <c r="N1336" s="113" t="n"/>
      <c r="O1336" s="113" t="n"/>
      <c r="P1336" s="398" t="n"/>
      <c r="Q1336" s="398" t="n"/>
      <c r="R1336" s="113" t="n"/>
      <c r="S1336" s="113" t="n"/>
      <c r="T1336" s="113" t="n"/>
      <c r="U1336" s="113" t="n"/>
      <c r="V1336" s="113" t="n"/>
    </row>
    <row r="1337" ht="15.75" customHeight="1">
      <c r="A1337" s="398" t="n"/>
      <c r="B1337" s="238" t="n"/>
      <c r="C1337" s="399" t="n"/>
      <c r="D1337" s="162" t="n"/>
      <c r="E1337" s="162" t="n"/>
      <c r="F1337" s="162" t="n"/>
      <c r="G1337" s="162" t="n"/>
      <c r="H1337" s="162" t="n"/>
      <c r="I1337" s="162" t="n"/>
      <c r="J1337" s="162" t="n"/>
      <c r="K1337" s="162" t="n"/>
      <c r="L1337" s="395" t="n"/>
      <c r="M1337" s="113" t="n"/>
      <c r="N1337" s="113" t="n"/>
      <c r="O1337" s="113" t="n"/>
      <c r="P1337" s="398" t="n"/>
      <c r="Q1337" s="398" t="n"/>
      <c r="R1337" s="113" t="n"/>
      <c r="S1337" s="113" t="n"/>
      <c r="T1337" s="113" t="n"/>
      <c r="U1337" s="113" t="n"/>
      <c r="V1337" s="113" t="n"/>
    </row>
    <row r="1338" ht="15.75" customHeight="1">
      <c r="A1338" s="398" t="n"/>
      <c r="B1338" s="238" t="n"/>
      <c r="C1338" s="399" t="n"/>
      <c r="D1338" s="113" t="n"/>
      <c r="E1338" s="113" t="n"/>
      <c r="F1338" s="113" t="n"/>
      <c r="G1338" s="395" t="n"/>
      <c r="H1338" s="395" t="n"/>
      <c r="I1338" s="395" t="n"/>
      <c r="J1338" s="395" t="n"/>
      <c r="K1338" s="395" t="n"/>
      <c r="L1338" s="395" t="n"/>
      <c r="M1338" s="113" t="n"/>
      <c r="N1338" s="113" t="n"/>
      <c r="O1338" s="113" t="n"/>
      <c r="P1338" s="398" t="n"/>
      <c r="Q1338" s="398" t="n"/>
      <c r="R1338" s="113" t="n"/>
      <c r="S1338" s="113" t="n"/>
      <c r="T1338" s="113" t="n"/>
      <c r="U1338" s="113" t="n"/>
      <c r="V1338" s="113" t="n"/>
    </row>
    <row r="1339" ht="15.75" customHeight="1">
      <c r="A1339" s="398" t="n"/>
      <c r="B1339" s="238" t="n"/>
      <c r="C1339" s="399" t="n"/>
      <c r="D1339" s="113" t="n"/>
      <c r="E1339" s="113" t="n"/>
      <c r="F1339" s="113" t="n"/>
      <c r="G1339" s="395" t="n"/>
      <c r="H1339" s="395" t="n"/>
      <c r="I1339" s="395" t="n"/>
      <c r="J1339" s="395" t="n"/>
      <c r="K1339" s="395" t="n"/>
      <c r="L1339" s="395" t="n"/>
      <c r="M1339" s="113" t="n"/>
      <c r="N1339" s="113" t="n"/>
      <c r="O1339" s="113" t="n"/>
      <c r="P1339" s="398" t="n"/>
      <c r="Q1339" s="398" t="n"/>
      <c r="R1339" s="113" t="n"/>
      <c r="S1339" s="113" t="n"/>
      <c r="T1339" s="113" t="n"/>
      <c r="U1339" s="113" t="n"/>
      <c r="V1339" s="113" t="n"/>
    </row>
    <row r="1340" ht="15.75" customHeight="1">
      <c r="A1340" s="398" t="n"/>
      <c r="B1340" s="238" t="n"/>
      <c r="C1340" s="399" t="n"/>
      <c r="D1340" s="113" t="n"/>
      <c r="E1340" s="113" t="n"/>
      <c r="F1340" s="113" t="n"/>
      <c r="G1340" s="395" t="n"/>
      <c r="H1340" s="395" t="n"/>
      <c r="I1340" s="395" t="n"/>
      <c r="J1340" s="395" t="n"/>
      <c r="K1340" s="395" t="n"/>
      <c r="L1340" s="395" t="n"/>
      <c r="M1340" s="113" t="n"/>
      <c r="N1340" s="113" t="n"/>
      <c r="O1340" s="113" t="n"/>
      <c r="P1340" s="398" t="n"/>
      <c r="Q1340" s="398" t="n"/>
      <c r="R1340" s="113" t="n"/>
      <c r="S1340" s="113" t="n"/>
      <c r="T1340" s="113" t="n"/>
      <c r="U1340" s="113" t="n"/>
      <c r="V1340" s="113" t="n"/>
    </row>
    <row r="1341" ht="15.75" customHeight="1">
      <c r="A1341" s="398" t="n"/>
      <c r="B1341" s="238" t="n"/>
      <c r="C1341" s="399" t="n"/>
      <c r="D1341" s="113" t="n"/>
      <c r="E1341" s="113" t="n"/>
      <c r="F1341" s="113" t="n"/>
      <c r="G1341" s="395" t="n"/>
      <c r="H1341" s="395" t="n"/>
      <c r="I1341" s="395" t="n"/>
      <c r="J1341" s="395" t="n"/>
      <c r="K1341" s="395" t="n"/>
      <c r="L1341" s="395" t="n"/>
      <c r="M1341" s="113" t="n"/>
      <c r="N1341" s="113" t="n"/>
      <c r="O1341" s="113" t="n"/>
      <c r="P1341" s="398" t="n"/>
      <c r="Q1341" s="398" t="n"/>
      <c r="R1341" s="113" t="n"/>
      <c r="S1341" s="113" t="n"/>
      <c r="T1341" s="113" t="n"/>
      <c r="U1341" s="113" t="n"/>
      <c r="V1341" s="113" t="n"/>
    </row>
    <row r="1342" ht="15.75" customHeight="1">
      <c r="A1342" s="398" t="n"/>
      <c r="B1342" s="238" t="n"/>
      <c r="C1342" s="399" t="n"/>
      <c r="D1342" s="113" t="n"/>
      <c r="E1342" s="113" t="n"/>
      <c r="F1342" s="113" t="n"/>
      <c r="G1342" s="395" t="n"/>
      <c r="H1342" s="395" t="n"/>
      <c r="I1342" s="395" t="n"/>
      <c r="J1342" s="395" t="n"/>
      <c r="K1342" s="395" t="n"/>
      <c r="L1342" s="395" t="n"/>
      <c r="M1342" s="113" t="n"/>
      <c r="N1342" s="113" t="n"/>
      <c r="O1342" s="113" t="n"/>
      <c r="P1342" s="398" t="n"/>
      <c r="Q1342" s="398" t="n"/>
      <c r="R1342" s="113" t="n"/>
      <c r="S1342" s="113" t="n"/>
      <c r="T1342" s="113" t="n"/>
      <c r="U1342" s="113" t="n"/>
      <c r="V1342" s="113" t="n"/>
    </row>
    <row r="1343" ht="15.75" customHeight="1">
      <c r="A1343" s="398" t="n"/>
      <c r="B1343" s="238" t="n"/>
      <c r="C1343" s="399" t="n"/>
      <c r="D1343" s="113" t="n"/>
      <c r="E1343" s="113" t="n"/>
      <c r="F1343" s="113" t="n"/>
      <c r="G1343" s="395" t="n"/>
      <c r="H1343" s="395" t="n"/>
      <c r="I1343" s="395" t="n"/>
      <c r="J1343" s="395" t="n"/>
      <c r="K1343" s="395" t="n"/>
      <c r="L1343" s="395" t="n"/>
      <c r="M1343" s="113" t="n"/>
      <c r="N1343" s="113" t="n"/>
      <c r="O1343" s="113" t="n"/>
      <c r="P1343" s="398" t="n"/>
      <c r="Q1343" s="398" t="n"/>
      <c r="R1343" s="113" t="n"/>
      <c r="S1343" s="113" t="n"/>
      <c r="T1343" s="113" t="n"/>
      <c r="U1343" s="113" t="n"/>
      <c r="V1343" s="113" t="n"/>
    </row>
    <row r="1344" ht="15.75" customHeight="1">
      <c r="A1344" s="398" t="n"/>
      <c r="B1344" s="238" t="n"/>
      <c r="C1344" s="399" t="n"/>
      <c r="D1344" s="113" t="n"/>
      <c r="E1344" s="113" t="n"/>
      <c r="F1344" s="113" t="n"/>
      <c r="G1344" s="395" t="n"/>
      <c r="H1344" s="395" t="n"/>
      <c r="I1344" s="395" t="n"/>
      <c r="J1344" s="395" t="n"/>
      <c r="K1344" s="395" t="n"/>
      <c r="L1344" s="395" t="n"/>
      <c r="M1344" s="113" t="n"/>
      <c r="N1344" s="113" t="n"/>
      <c r="O1344" s="113" t="n"/>
      <c r="P1344" s="398" t="n"/>
      <c r="Q1344" s="398" t="n"/>
      <c r="R1344" s="113" t="n"/>
      <c r="S1344" s="113" t="n"/>
      <c r="T1344" s="113" t="n"/>
      <c r="U1344" s="113" t="n"/>
      <c r="V1344" s="113" t="n"/>
    </row>
    <row r="1345" ht="15.75" customHeight="1">
      <c r="A1345" s="398" t="n"/>
      <c r="B1345" s="238" t="n"/>
      <c r="C1345" s="399" t="n"/>
      <c r="D1345" s="113" t="n"/>
      <c r="E1345" s="113" t="n"/>
      <c r="F1345" s="113" t="n"/>
      <c r="G1345" s="395" t="n"/>
      <c r="H1345" s="395" t="n"/>
      <c r="I1345" s="395" t="n"/>
      <c r="J1345" s="395" t="n"/>
      <c r="K1345" s="395" t="n"/>
      <c r="L1345" s="395" t="n"/>
      <c r="M1345" s="113" t="n"/>
      <c r="N1345" s="113" t="n"/>
      <c r="O1345" s="113" t="n"/>
      <c r="P1345" s="398" t="n"/>
      <c r="Q1345" s="398" t="n"/>
      <c r="R1345" s="113" t="n"/>
      <c r="S1345" s="113" t="n"/>
      <c r="T1345" s="113" t="n"/>
      <c r="U1345" s="113" t="n"/>
      <c r="V1345" s="113" t="n"/>
    </row>
    <row r="1346" ht="15.75" customHeight="1">
      <c r="A1346" s="398" t="n"/>
      <c r="B1346" s="238" t="n"/>
      <c r="C1346" s="399" t="n"/>
      <c r="D1346" s="113" t="n"/>
      <c r="E1346" s="113" t="n"/>
      <c r="F1346" s="113" t="n"/>
      <c r="G1346" s="395" t="n"/>
      <c r="H1346" s="395" t="n"/>
      <c r="I1346" s="395" t="n"/>
      <c r="J1346" s="395" t="n"/>
      <c r="K1346" s="395" t="n"/>
      <c r="L1346" s="395" t="n"/>
      <c r="M1346" s="113" t="n"/>
      <c r="N1346" s="113" t="n"/>
      <c r="O1346" s="113" t="n"/>
      <c r="P1346" s="398" t="n"/>
      <c r="Q1346" s="398" t="n"/>
      <c r="R1346" s="113" t="n"/>
      <c r="S1346" s="113" t="n"/>
      <c r="T1346" s="113" t="n"/>
      <c r="U1346" s="113" t="n"/>
      <c r="V1346" s="113" t="n"/>
    </row>
    <row r="1347" ht="15.75" customHeight="1">
      <c r="A1347" s="398" t="n"/>
      <c r="B1347" s="238" t="n"/>
      <c r="C1347" s="399" t="n"/>
      <c r="D1347" s="113" t="n"/>
      <c r="E1347" s="113" t="n"/>
      <c r="F1347" s="113" t="n"/>
      <c r="G1347" s="395" t="n"/>
      <c r="H1347" s="395" t="n"/>
      <c r="I1347" s="395" t="n"/>
      <c r="J1347" s="395" t="n"/>
      <c r="K1347" s="395" t="n"/>
      <c r="L1347" s="395" t="n"/>
      <c r="M1347" s="113" t="n"/>
      <c r="N1347" s="113" t="n"/>
      <c r="O1347" s="113" t="n"/>
      <c r="P1347" s="398" t="n"/>
      <c r="Q1347" s="398" t="n"/>
      <c r="R1347" s="113" t="n"/>
      <c r="S1347" s="113" t="n"/>
      <c r="T1347" s="113" t="n"/>
      <c r="U1347" s="113" t="n"/>
      <c r="V1347" s="113" t="n"/>
    </row>
    <row r="1348" ht="15.75" customHeight="1">
      <c r="A1348" s="398" t="n"/>
      <c r="B1348" s="238" t="n"/>
      <c r="C1348" s="399" t="n"/>
      <c r="D1348" s="162" t="n"/>
      <c r="E1348" s="162" t="n"/>
      <c r="F1348" s="162" t="n"/>
      <c r="G1348" s="162" t="n"/>
      <c r="H1348" s="162" t="n"/>
      <c r="I1348" s="162" t="n"/>
      <c r="J1348" s="162" t="n"/>
      <c r="K1348" s="162" t="n"/>
      <c r="L1348" s="395" t="n"/>
      <c r="M1348" s="113" t="n"/>
      <c r="N1348" s="113" t="n"/>
      <c r="O1348" s="113" t="n"/>
      <c r="P1348" s="398" t="n"/>
      <c r="Q1348" s="398" t="n"/>
      <c r="R1348" s="113" t="n"/>
      <c r="S1348" s="113" t="n"/>
      <c r="T1348" s="113" t="n"/>
      <c r="U1348" s="113" t="n"/>
      <c r="V1348" s="113" t="n"/>
    </row>
    <row r="1349" ht="15.75" customHeight="1">
      <c r="A1349" s="398" t="n"/>
      <c r="B1349" s="238" t="n"/>
      <c r="C1349" s="399" t="n"/>
      <c r="D1349" s="162" t="n"/>
      <c r="E1349" s="162" t="n"/>
      <c r="F1349" s="162" t="n"/>
      <c r="G1349" s="162" t="n"/>
      <c r="H1349" s="162" t="n"/>
      <c r="I1349" s="162" t="n"/>
      <c r="J1349" s="162" t="n"/>
      <c r="K1349" s="162" t="n"/>
      <c r="L1349" s="395" t="n"/>
      <c r="M1349" s="113" t="n"/>
      <c r="N1349" s="113" t="n"/>
      <c r="O1349" s="113" t="n"/>
      <c r="P1349" s="398" t="n"/>
      <c r="Q1349" s="398" t="n"/>
      <c r="R1349" s="113" t="n"/>
      <c r="S1349" s="113" t="n"/>
      <c r="T1349" s="113" t="n"/>
      <c r="U1349" s="113" t="n"/>
      <c r="V1349" s="113" t="n"/>
    </row>
    <row r="1350" ht="15.75" customHeight="1">
      <c r="A1350" s="398" t="n"/>
      <c r="B1350" s="238" t="n"/>
      <c r="C1350" s="399" t="n"/>
      <c r="D1350" s="162" t="n"/>
      <c r="E1350" s="162" t="n"/>
      <c r="F1350" s="162" t="n"/>
      <c r="G1350" s="162" t="n"/>
      <c r="H1350" s="162" t="n"/>
      <c r="I1350" s="162" t="n"/>
      <c r="J1350" s="162" t="n"/>
      <c r="K1350" s="162" t="n"/>
      <c r="L1350" s="395" t="n"/>
      <c r="M1350" s="113" t="n"/>
      <c r="N1350" s="113" t="n"/>
      <c r="O1350" s="113" t="n"/>
      <c r="P1350" s="398" t="n"/>
      <c r="Q1350" s="398" t="n"/>
      <c r="R1350" s="113" t="n"/>
      <c r="S1350" s="113" t="n"/>
      <c r="T1350" s="113" t="n"/>
      <c r="U1350" s="113" t="n"/>
      <c r="V1350" s="113" t="n"/>
    </row>
    <row r="1351" ht="15.75" customHeight="1">
      <c r="A1351" s="398" t="n"/>
      <c r="B1351" s="238" t="n"/>
      <c r="C1351" s="399" t="n"/>
      <c r="D1351" s="162" t="n"/>
      <c r="E1351" s="162" t="n"/>
      <c r="F1351" s="162" t="n"/>
      <c r="G1351" s="162" t="n"/>
      <c r="H1351" s="162" t="n"/>
      <c r="I1351" s="162" t="n"/>
      <c r="J1351" s="162" t="n"/>
      <c r="K1351" s="162" t="n"/>
      <c r="L1351" s="395" t="n"/>
      <c r="M1351" s="113" t="n"/>
      <c r="N1351" s="113" t="n"/>
      <c r="O1351" s="113" t="n"/>
      <c r="P1351" s="398" t="n"/>
      <c r="Q1351" s="398" t="n"/>
      <c r="R1351" s="113" t="n"/>
      <c r="S1351" s="113" t="n"/>
      <c r="T1351" s="113" t="n"/>
      <c r="U1351" s="113" t="n"/>
      <c r="V1351" s="113" t="n"/>
    </row>
    <row r="1352" ht="15.75" customHeight="1">
      <c r="A1352" s="398" t="n"/>
      <c r="B1352" s="238" t="n"/>
      <c r="C1352" s="399" t="n"/>
      <c r="D1352" s="162" t="n"/>
      <c r="E1352" s="162" t="n"/>
      <c r="F1352" s="162" t="n"/>
      <c r="G1352" s="162" t="n"/>
      <c r="H1352" s="162" t="n"/>
      <c r="I1352" s="162" t="n"/>
      <c r="J1352" s="162" t="n"/>
      <c r="K1352" s="162" t="n"/>
      <c r="L1352" s="395" t="n"/>
      <c r="M1352" s="113" t="n"/>
      <c r="N1352" s="113" t="n"/>
      <c r="O1352" s="113" t="n"/>
      <c r="P1352" s="398" t="n"/>
      <c r="Q1352" s="398" t="n"/>
      <c r="R1352" s="113" t="n"/>
      <c r="S1352" s="113" t="n"/>
      <c r="T1352" s="113" t="n"/>
      <c r="U1352" s="113" t="n"/>
      <c r="V1352" s="113" t="n"/>
    </row>
    <row r="1353" ht="15.75" customHeight="1">
      <c r="A1353" s="398" t="n"/>
      <c r="B1353" s="238" t="n"/>
      <c r="C1353" s="399" t="n"/>
      <c r="D1353" s="162" t="n"/>
      <c r="E1353" s="162" t="n"/>
      <c r="F1353" s="162" t="n"/>
      <c r="G1353" s="162" t="n"/>
      <c r="H1353" s="162" t="n"/>
      <c r="I1353" s="162" t="n"/>
      <c r="J1353" s="162" t="n"/>
      <c r="K1353" s="162" t="n"/>
      <c r="L1353" s="395" t="n"/>
      <c r="M1353" s="113" t="n"/>
      <c r="N1353" s="113" t="n"/>
      <c r="O1353" s="113" t="n"/>
      <c r="P1353" s="398" t="n"/>
      <c r="Q1353" s="398" t="n"/>
      <c r="R1353" s="113" t="n"/>
      <c r="S1353" s="113" t="n"/>
      <c r="T1353" s="113" t="n"/>
      <c r="U1353" s="113" t="n"/>
      <c r="V1353" s="113" t="n"/>
    </row>
    <row r="1354" ht="15.75" customHeight="1">
      <c r="A1354" s="398" t="n"/>
      <c r="B1354" s="238" t="n"/>
      <c r="C1354" s="399" t="n"/>
      <c r="D1354" s="162" t="n"/>
      <c r="E1354" s="162" t="n"/>
      <c r="F1354" s="162" t="n"/>
      <c r="G1354" s="162" t="n"/>
      <c r="H1354" s="162" t="n"/>
      <c r="I1354" s="162" t="n"/>
      <c r="J1354" s="162" t="n"/>
      <c r="K1354" s="162" t="n"/>
      <c r="L1354" s="395" t="n"/>
      <c r="M1354" s="113" t="n"/>
      <c r="N1354" s="113" t="n"/>
      <c r="O1354" s="113" t="n"/>
      <c r="P1354" s="398" t="n"/>
      <c r="Q1354" s="398" t="n"/>
      <c r="R1354" s="113" t="n"/>
      <c r="S1354" s="113" t="n"/>
      <c r="T1354" s="113" t="n"/>
      <c r="U1354" s="113" t="n"/>
      <c r="V1354" s="113" t="n"/>
    </row>
    <row r="1355" ht="15.75" customHeight="1">
      <c r="A1355" s="398" t="n"/>
      <c r="B1355" s="238" t="n"/>
      <c r="C1355" s="399" t="n"/>
      <c r="D1355" s="162" t="n"/>
      <c r="E1355" s="162" t="n"/>
      <c r="F1355" s="162" t="n"/>
      <c r="G1355" s="162" t="n"/>
      <c r="H1355" s="162" t="n"/>
      <c r="I1355" s="162" t="n"/>
      <c r="J1355" s="162" t="n"/>
      <c r="K1355" s="162" t="n"/>
      <c r="L1355" s="395" t="n"/>
      <c r="M1355" s="113" t="n"/>
      <c r="N1355" s="113" t="n"/>
      <c r="O1355" s="113" t="n"/>
      <c r="P1355" s="398" t="n"/>
      <c r="Q1355" s="398" t="n"/>
      <c r="R1355" s="113" t="n"/>
      <c r="S1355" s="113" t="n"/>
      <c r="T1355" s="113" t="n"/>
      <c r="U1355" s="113" t="n"/>
      <c r="V1355" s="113" t="n"/>
    </row>
    <row r="1356" ht="15.75" customHeight="1">
      <c r="A1356" s="398" t="n"/>
      <c r="B1356" s="238" t="n"/>
      <c r="C1356" s="399" t="n"/>
      <c r="D1356" s="162" t="n"/>
      <c r="E1356" s="162" t="n"/>
      <c r="F1356" s="162" t="n"/>
      <c r="G1356" s="162" t="n"/>
      <c r="H1356" s="162" t="n"/>
      <c r="I1356" s="162" t="n"/>
      <c r="J1356" s="162" t="n"/>
      <c r="K1356" s="162" t="n"/>
      <c r="L1356" s="395" t="n"/>
      <c r="M1356" s="113" t="n"/>
      <c r="N1356" s="113" t="n"/>
      <c r="O1356" s="113" t="n"/>
      <c r="P1356" s="398" t="n"/>
      <c r="Q1356" s="398" t="n"/>
      <c r="R1356" s="113" t="n"/>
      <c r="S1356" s="113" t="n"/>
      <c r="T1356" s="113" t="n"/>
      <c r="U1356" s="113" t="n"/>
      <c r="V1356" s="113" t="n"/>
    </row>
    <row r="1357" ht="15.75" customHeight="1">
      <c r="A1357" s="398" t="n"/>
      <c r="B1357" s="238" t="n"/>
      <c r="C1357" s="399" t="n"/>
      <c r="D1357" s="162" t="n"/>
      <c r="E1357" s="162" t="n"/>
      <c r="F1357" s="162" t="n"/>
      <c r="G1357" s="162" t="n"/>
      <c r="H1357" s="162" t="n"/>
      <c r="I1357" s="162" t="n"/>
      <c r="J1357" s="162" t="n"/>
      <c r="K1357" s="162" t="n"/>
      <c r="L1357" s="395" t="n"/>
      <c r="M1357" s="113" t="n"/>
      <c r="N1357" s="113" t="n"/>
      <c r="O1357" s="113" t="n"/>
      <c r="P1357" s="398" t="n"/>
      <c r="Q1357" s="398" t="n"/>
      <c r="R1357" s="113" t="n"/>
      <c r="S1357" s="113" t="n"/>
      <c r="T1357" s="113" t="n"/>
      <c r="U1357" s="113" t="n"/>
      <c r="V1357" s="113" t="n"/>
    </row>
    <row r="1358" ht="15.75" customHeight="1">
      <c r="A1358" s="398" t="n"/>
      <c r="B1358" s="238" t="n"/>
      <c r="C1358" s="399" t="n"/>
      <c r="D1358" s="113" t="n"/>
      <c r="E1358" s="113" t="n"/>
      <c r="F1358" s="113" t="n"/>
      <c r="G1358" s="395" t="n"/>
      <c r="H1358" s="395" t="n"/>
      <c r="I1358" s="395" t="n"/>
      <c r="J1358" s="395" t="n"/>
      <c r="K1358" s="395" t="n"/>
      <c r="L1358" s="395" t="n"/>
      <c r="M1358" s="113" t="n"/>
      <c r="N1358" s="113" t="n"/>
      <c r="O1358" s="113" t="n"/>
      <c r="P1358" s="398" t="n"/>
      <c r="Q1358" s="398" t="n"/>
      <c r="R1358" s="113" t="n"/>
      <c r="S1358" s="113" t="n"/>
      <c r="T1358" s="113" t="n"/>
      <c r="U1358" s="113" t="n"/>
      <c r="V1358" s="113" t="n"/>
    </row>
    <row r="1359" ht="15.75" customHeight="1">
      <c r="A1359" s="398" t="n"/>
      <c r="B1359" s="238" t="n"/>
      <c r="C1359" s="399" t="n"/>
      <c r="D1359" s="113" t="n"/>
      <c r="E1359" s="113" t="n"/>
      <c r="F1359" s="113" t="n"/>
      <c r="G1359" s="395" t="n"/>
      <c r="H1359" s="395" t="n"/>
      <c r="I1359" s="395" t="n"/>
      <c r="J1359" s="395" t="n"/>
      <c r="K1359" s="395" t="n"/>
      <c r="L1359" s="395" t="n"/>
      <c r="M1359" s="113" t="n"/>
      <c r="N1359" s="113" t="n"/>
      <c r="O1359" s="113" t="n"/>
      <c r="P1359" s="398" t="n"/>
      <c r="Q1359" s="398" t="n"/>
      <c r="R1359" s="113" t="n"/>
      <c r="S1359" s="113" t="n"/>
      <c r="T1359" s="113" t="n"/>
      <c r="U1359" s="113" t="n"/>
      <c r="V1359" s="113" t="n"/>
    </row>
    <row r="1360" ht="15.75" customHeight="1">
      <c r="A1360" s="398" t="n"/>
      <c r="B1360" s="238" t="n"/>
      <c r="C1360" s="399" t="n"/>
      <c r="D1360" s="113" t="n"/>
      <c r="E1360" s="113" t="n"/>
      <c r="F1360" s="113" t="n"/>
      <c r="G1360" s="395" t="n"/>
      <c r="H1360" s="395" t="n"/>
      <c r="I1360" s="395" t="n"/>
      <c r="J1360" s="395" t="n"/>
      <c r="K1360" s="395" t="n"/>
      <c r="L1360" s="395" t="n"/>
      <c r="M1360" s="113" t="n"/>
      <c r="N1360" s="113" t="n"/>
      <c r="O1360" s="113" t="n"/>
      <c r="P1360" s="398" t="n"/>
      <c r="Q1360" s="398" t="n"/>
      <c r="R1360" s="113" t="n"/>
      <c r="S1360" s="113" t="n"/>
      <c r="T1360" s="113" t="n"/>
      <c r="U1360" s="113" t="n"/>
      <c r="V1360" s="113" t="n"/>
    </row>
    <row r="1361" ht="15.75" customHeight="1">
      <c r="A1361" s="398" t="n"/>
      <c r="B1361" s="238" t="n"/>
      <c r="C1361" s="399" t="n"/>
      <c r="D1361" s="113" t="n"/>
      <c r="E1361" s="113" t="n"/>
      <c r="F1361" s="113" t="n"/>
      <c r="G1361" s="395" t="n"/>
      <c r="H1361" s="395" t="n"/>
      <c r="I1361" s="395" t="n"/>
      <c r="J1361" s="395" t="n"/>
      <c r="K1361" s="395" t="n"/>
      <c r="L1361" s="395" t="n"/>
      <c r="M1361" s="113" t="n"/>
      <c r="N1361" s="113" t="n"/>
      <c r="O1361" s="113" t="n"/>
      <c r="P1361" s="398" t="n"/>
      <c r="Q1361" s="398" t="n"/>
      <c r="R1361" s="113" t="n"/>
      <c r="S1361" s="113" t="n"/>
      <c r="T1361" s="113" t="n"/>
      <c r="U1361" s="113" t="n"/>
      <c r="V1361" s="113" t="n"/>
    </row>
    <row r="1362" ht="15.75" customHeight="1">
      <c r="A1362" s="398" t="n"/>
      <c r="B1362" s="238" t="n"/>
      <c r="C1362" s="399" t="n"/>
      <c r="D1362" s="113" t="n"/>
      <c r="E1362" s="113" t="n"/>
      <c r="F1362" s="113" t="n"/>
      <c r="G1362" s="395" t="n"/>
      <c r="H1362" s="395" t="n"/>
      <c r="I1362" s="395" t="n"/>
      <c r="J1362" s="395" t="n"/>
      <c r="K1362" s="395" t="n"/>
      <c r="L1362" s="395" t="n"/>
      <c r="M1362" s="113" t="n"/>
      <c r="N1362" s="113" t="n"/>
      <c r="O1362" s="113" t="n"/>
      <c r="P1362" s="398" t="n"/>
      <c r="Q1362" s="398" t="n"/>
      <c r="R1362" s="113" t="n"/>
      <c r="S1362" s="113" t="n"/>
      <c r="T1362" s="113" t="n"/>
      <c r="U1362" s="113" t="n"/>
      <c r="V1362" s="113" t="n"/>
    </row>
    <row r="1363" ht="15.75" customHeight="1">
      <c r="A1363" s="398" t="n"/>
      <c r="B1363" s="238" t="n"/>
      <c r="C1363" s="399" t="n"/>
      <c r="D1363" s="162" t="n"/>
      <c r="E1363" s="162" t="n"/>
      <c r="F1363" s="162" t="n"/>
      <c r="G1363" s="162" t="n"/>
      <c r="H1363" s="162" t="n"/>
      <c r="I1363" s="162" t="n"/>
      <c r="J1363" s="162" t="n"/>
      <c r="K1363" s="162" t="n"/>
      <c r="L1363" s="395" t="n"/>
      <c r="M1363" s="113" t="n"/>
      <c r="N1363" s="113" t="n"/>
      <c r="O1363" s="113" t="n"/>
      <c r="P1363" s="398" t="n"/>
      <c r="Q1363" s="398" t="n"/>
      <c r="R1363" s="113" t="n"/>
      <c r="S1363" s="113" t="n"/>
      <c r="T1363" s="113" t="n"/>
      <c r="U1363" s="113" t="n"/>
      <c r="V1363" s="113" t="n"/>
    </row>
    <row r="1364" ht="15.75" customHeight="1">
      <c r="A1364" s="398" t="n"/>
      <c r="B1364" s="238" t="n"/>
      <c r="C1364" s="399" t="n"/>
      <c r="D1364" s="162" t="n"/>
      <c r="E1364" s="162" t="n"/>
      <c r="F1364" s="162" t="n"/>
      <c r="G1364" s="162" t="n"/>
      <c r="H1364" s="162" t="n"/>
      <c r="I1364" s="162" t="n"/>
      <c r="J1364" s="162" t="n"/>
      <c r="K1364" s="162" t="n"/>
      <c r="L1364" s="395" t="n"/>
      <c r="M1364" s="113" t="n"/>
      <c r="N1364" s="113" t="n"/>
      <c r="O1364" s="113" t="n"/>
      <c r="P1364" s="398" t="n"/>
      <c r="Q1364" s="398" t="n"/>
      <c r="R1364" s="113" t="n"/>
      <c r="S1364" s="113" t="n"/>
      <c r="T1364" s="113" t="n"/>
      <c r="U1364" s="113" t="n"/>
      <c r="V1364" s="113" t="n"/>
    </row>
    <row r="1365" ht="15.75" customHeight="1">
      <c r="A1365" s="398" t="n"/>
      <c r="B1365" s="238" t="n"/>
      <c r="C1365" s="399" t="n"/>
      <c r="D1365" s="162" t="n"/>
      <c r="E1365" s="162" t="n"/>
      <c r="F1365" s="162" t="n"/>
      <c r="G1365" s="162" t="n"/>
      <c r="H1365" s="162" t="n"/>
      <c r="I1365" s="162" t="n"/>
      <c r="J1365" s="162" t="n"/>
      <c r="K1365" s="162" t="n"/>
      <c r="L1365" s="395" t="n"/>
      <c r="M1365" s="113" t="n"/>
      <c r="N1365" s="113" t="n"/>
      <c r="O1365" s="113" t="n"/>
      <c r="P1365" s="398" t="n"/>
      <c r="Q1365" s="398" t="n"/>
      <c r="R1365" s="113" t="n"/>
      <c r="S1365" s="113" t="n"/>
      <c r="T1365" s="113" t="n"/>
      <c r="U1365" s="113" t="n"/>
      <c r="V1365" s="113" t="n"/>
    </row>
    <row r="1366" ht="15.75" customHeight="1">
      <c r="A1366" s="398" t="n"/>
      <c r="B1366" s="238" t="n"/>
      <c r="C1366" s="399" t="n"/>
      <c r="D1366" s="162" t="n"/>
      <c r="E1366" s="162" t="n"/>
      <c r="F1366" s="162" t="n"/>
      <c r="G1366" s="162" t="n"/>
      <c r="H1366" s="162" t="n"/>
      <c r="I1366" s="162" t="n"/>
      <c r="J1366" s="162" t="n"/>
      <c r="K1366" s="162" t="n"/>
      <c r="L1366" s="395" t="n"/>
      <c r="M1366" s="113" t="n"/>
      <c r="N1366" s="113" t="n"/>
      <c r="O1366" s="113" t="n"/>
      <c r="P1366" s="398" t="n"/>
      <c r="Q1366" s="398" t="n"/>
      <c r="R1366" s="113" t="n"/>
      <c r="S1366" s="113" t="n"/>
      <c r="T1366" s="113" t="n"/>
      <c r="U1366" s="113" t="n"/>
      <c r="V1366" s="113" t="n"/>
    </row>
    <row r="1367" ht="15.75" customHeight="1">
      <c r="A1367" s="398" t="n"/>
      <c r="B1367" s="238" t="n"/>
      <c r="C1367" s="399" t="n"/>
      <c r="D1367" s="162" t="n"/>
      <c r="E1367" s="162" t="n"/>
      <c r="F1367" s="162" t="n"/>
      <c r="G1367" s="162" t="n"/>
      <c r="H1367" s="162" t="n"/>
      <c r="I1367" s="162" t="n"/>
      <c r="J1367" s="162" t="n"/>
      <c r="K1367" s="162" t="n"/>
      <c r="L1367" s="395" t="n"/>
      <c r="M1367" s="113" t="n"/>
      <c r="N1367" s="113" t="n"/>
      <c r="O1367" s="113" t="n"/>
      <c r="P1367" s="398" t="n"/>
      <c r="Q1367" s="398" t="n"/>
      <c r="R1367" s="113" t="n"/>
      <c r="S1367" s="113" t="n"/>
      <c r="T1367" s="113" t="n"/>
      <c r="U1367" s="113" t="n"/>
      <c r="V1367" s="113" t="n"/>
    </row>
    <row r="1368" ht="15.75" customHeight="1">
      <c r="A1368" s="398" t="n"/>
      <c r="B1368" s="238" t="n"/>
      <c r="C1368" s="399" t="n"/>
      <c r="D1368" s="113" t="n"/>
      <c r="E1368" s="113" t="n"/>
      <c r="F1368" s="113" t="n"/>
      <c r="G1368" s="395" t="n"/>
      <c r="H1368" s="395" t="n"/>
      <c r="I1368" s="395" t="n"/>
      <c r="J1368" s="395" t="n"/>
      <c r="K1368" s="395" t="n"/>
      <c r="L1368" s="395" t="n"/>
      <c r="M1368" s="113" t="n"/>
      <c r="N1368" s="113" t="n"/>
      <c r="O1368" s="113" t="n"/>
      <c r="P1368" s="398" t="n"/>
      <c r="Q1368" s="398" t="n"/>
      <c r="R1368" s="113" t="n"/>
      <c r="S1368" s="113" t="n"/>
      <c r="T1368" s="113" t="n"/>
      <c r="U1368" s="113" t="n"/>
      <c r="V1368" s="113" t="n"/>
    </row>
    <row r="1369" ht="15.75" customHeight="1">
      <c r="A1369" s="398" t="n"/>
      <c r="B1369" s="238" t="n"/>
      <c r="C1369" s="399" t="n"/>
      <c r="D1369" s="113" t="n"/>
      <c r="E1369" s="113" t="n"/>
      <c r="F1369" s="113" t="n"/>
      <c r="G1369" s="395" t="n"/>
      <c r="H1369" s="395" t="n"/>
      <c r="I1369" s="395" t="n"/>
      <c r="J1369" s="395" t="n"/>
      <c r="K1369" s="395" t="n"/>
      <c r="L1369" s="395" t="n"/>
      <c r="M1369" s="113" t="n"/>
      <c r="N1369" s="113" t="n"/>
      <c r="O1369" s="113" t="n"/>
      <c r="P1369" s="398" t="n"/>
      <c r="Q1369" s="398" t="n"/>
      <c r="R1369" s="113" t="n"/>
      <c r="S1369" s="113" t="n"/>
      <c r="T1369" s="113" t="n"/>
      <c r="U1369" s="113" t="n"/>
      <c r="V1369" s="113" t="n"/>
    </row>
    <row r="1370" ht="15.75" customHeight="1">
      <c r="A1370" s="398" t="n"/>
      <c r="B1370" s="238" t="n"/>
      <c r="C1370" s="399" t="n"/>
      <c r="D1370" s="113" t="n"/>
      <c r="E1370" s="113" t="n"/>
      <c r="F1370" s="113" t="n"/>
      <c r="G1370" s="395" t="n"/>
      <c r="H1370" s="395" t="n"/>
      <c r="I1370" s="395" t="n"/>
      <c r="J1370" s="395" t="n"/>
      <c r="K1370" s="395" t="n"/>
      <c r="L1370" s="395" t="n"/>
      <c r="M1370" s="113" t="n"/>
      <c r="N1370" s="113" t="n"/>
      <c r="O1370" s="113" t="n"/>
      <c r="P1370" s="398" t="n"/>
      <c r="Q1370" s="398" t="n"/>
      <c r="R1370" s="113" t="n"/>
      <c r="S1370" s="113" t="n"/>
      <c r="T1370" s="113" t="n"/>
      <c r="U1370" s="113" t="n"/>
      <c r="V1370" s="113" t="n"/>
    </row>
    <row r="1371" ht="15.75" customHeight="1">
      <c r="A1371" s="398" t="n"/>
      <c r="B1371" s="238" t="n"/>
      <c r="C1371" s="399" t="n"/>
      <c r="D1371" s="113" t="n"/>
      <c r="E1371" s="113" t="n"/>
      <c r="F1371" s="113" t="n"/>
      <c r="G1371" s="395" t="n"/>
      <c r="H1371" s="395" t="n"/>
      <c r="I1371" s="395" t="n"/>
      <c r="J1371" s="395" t="n"/>
      <c r="K1371" s="395" t="n"/>
      <c r="L1371" s="395" t="n"/>
      <c r="M1371" s="113" t="n"/>
      <c r="N1371" s="113" t="n"/>
      <c r="O1371" s="113" t="n"/>
      <c r="P1371" s="398" t="n"/>
      <c r="Q1371" s="398" t="n"/>
      <c r="R1371" s="113" t="n"/>
      <c r="S1371" s="113" t="n"/>
      <c r="T1371" s="113" t="n"/>
      <c r="U1371" s="113" t="n"/>
      <c r="V1371" s="113" t="n"/>
    </row>
    <row r="1372" ht="15.75" customHeight="1">
      <c r="A1372" s="398" t="n"/>
      <c r="B1372" s="238" t="n"/>
      <c r="C1372" s="399" t="n"/>
      <c r="D1372" s="113" t="n"/>
      <c r="E1372" s="113" t="n"/>
      <c r="F1372" s="113" t="n"/>
      <c r="G1372" s="395" t="n"/>
      <c r="H1372" s="395" t="n"/>
      <c r="I1372" s="395" t="n"/>
      <c r="J1372" s="395" t="n"/>
      <c r="K1372" s="395" t="n"/>
      <c r="L1372" s="395" t="n"/>
      <c r="M1372" s="113" t="n"/>
      <c r="N1372" s="113" t="n"/>
      <c r="O1372" s="113" t="n"/>
      <c r="P1372" s="398" t="n"/>
      <c r="Q1372" s="398" t="n"/>
      <c r="R1372" s="113" t="n"/>
      <c r="S1372" s="113" t="n"/>
      <c r="T1372" s="113" t="n"/>
      <c r="U1372" s="113" t="n"/>
      <c r="V1372" s="113" t="n"/>
    </row>
    <row r="1373" ht="15.75" customHeight="1">
      <c r="A1373" s="398" t="n"/>
      <c r="B1373" s="238" t="n"/>
      <c r="C1373" s="399" t="n"/>
      <c r="D1373" s="113" t="n"/>
      <c r="E1373" s="113" t="n"/>
      <c r="F1373" s="113" t="n"/>
      <c r="G1373" s="395" t="n"/>
      <c r="H1373" s="395" t="n"/>
      <c r="I1373" s="395" t="n"/>
      <c r="J1373" s="395" t="n"/>
      <c r="K1373" s="395" t="n"/>
      <c r="L1373" s="395" t="n"/>
      <c r="M1373" s="113" t="n"/>
      <c r="N1373" s="113" t="n"/>
      <c r="O1373" s="113" t="n"/>
      <c r="P1373" s="398" t="n"/>
      <c r="Q1373" s="398" t="n"/>
      <c r="R1373" s="113" t="n"/>
      <c r="S1373" s="113" t="n"/>
      <c r="T1373" s="113" t="n"/>
      <c r="U1373" s="113" t="n"/>
      <c r="V1373" s="113" t="n"/>
    </row>
    <row r="1374" ht="15.75" customHeight="1">
      <c r="A1374" s="398" t="n"/>
      <c r="B1374" s="238" t="n"/>
      <c r="C1374" s="399" t="n"/>
      <c r="D1374" s="113" t="n"/>
      <c r="E1374" s="113" t="n"/>
      <c r="F1374" s="113" t="n"/>
      <c r="G1374" s="395" t="n"/>
      <c r="H1374" s="395" t="n"/>
      <c r="I1374" s="395" t="n"/>
      <c r="J1374" s="395" t="n"/>
      <c r="K1374" s="395" t="n"/>
      <c r="L1374" s="395" t="n"/>
      <c r="M1374" s="113" t="n"/>
      <c r="N1374" s="113" t="n"/>
      <c r="O1374" s="113" t="n"/>
      <c r="P1374" s="398" t="n"/>
      <c r="Q1374" s="398" t="n"/>
      <c r="R1374" s="113" t="n"/>
      <c r="S1374" s="113" t="n"/>
      <c r="T1374" s="113" t="n"/>
      <c r="U1374" s="113" t="n"/>
      <c r="V1374" s="113" t="n"/>
    </row>
    <row r="1375" ht="15.75" customHeight="1">
      <c r="A1375" s="398" t="n"/>
      <c r="B1375" s="238" t="n"/>
      <c r="C1375" s="399" t="n"/>
      <c r="D1375" s="113" t="n"/>
      <c r="E1375" s="113" t="n"/>
      <c r="F1375" s="113" t="n"/>
      <c r="G1375" s="395" t="n"/>
      <c r="H1375" s="395" t="n"/>
      <c r="I1375" s="395" t="n"/>
      <c r="J1375" s="395" t="n"/>
      <c r="K1375" s="395" t="n"/>
      <c r="L1375" s="395" t="n"/>
      <c r="M1375" s="113" t="n"/>
      <c r="N1375" s="113" t="n"/>
      <c r="O1375" s="113" t="n"/>
      <c r="P1375" s="398" t="n"/>
      <c r="Q1375" s="398" t="n"/>
      <c r="R1375" s="113" t="n"/>
      <c r="S1375" s="113" t="n"/>
      <c r="T1375" s="113" t="n"/>
      <c r="U1375" s="113" t="n"/>
      <c r="V1375" s="113" t="n"/>
    </row>
    <row r="1376" ht="15.75" customHeight="1">
      <c r="A1376" s="398" t="n"/>
      <c r="B1376" s="238" t="n"/>
      <c r="C1376" s="399" t="n"/>
      <c r="D1376" s="113" t="n"/>
      <c r="E1376" s="113" t="n"/>
      <c r="F1376" s="113" t="n"/>
      <c r="G1376" s="395" t="n"/>
      <c r="H1376" s="395" t="n"/>
      <c r="I1376" s="395" t="n"/>
      <c r="J1376" s="395" t="n"/>
      <c r="K1376" s="395" t="n"/>
      <c r="L1376" s="395" t="n"/>
      <c r="M1376" s="113" t="n"/>
      <c r="N1376" s="113" t="n"/>
      <c r="O1376" s="113" t="n"/>
      <c r="P1376" s="398" t="n"/>
      <c r="Q1376" s="398" t="n"/>
      <c r="R1376" s="113" t="n"/>
      <c r="S1376" s="113" t="n"/>
      <c r="T1376" s="113" t="n"/>
      <c r="U1376" s="113" t="n"/>
      <c r="V1376" s="113" t="n"/>
    </row>
    <row r="1377" ht="15.75" customHeight="1">
      <c r="A1377" s="398" t="n"/>
      <c r="B1377" s="238" t="n"/>
      <c r="C1377" s="399" t="n"/>
      <c r="D1377" s="113" t="n"/>
      <c r="E1377" s="113" t="n"/>
      <c r="F1377" s="113" t="n"/>
      <c r="G1377" s="395" t="n"/>
      <c r="H1377" s="395" t="n"/>
      <c r="I1377" s="395" t="n"/>
      <c r="J1377" s="395" t="n"/>
      <c r="K1377" s="395" t="n"/>
      <c r="L1377" s="395" t="n"/>
      <c r="M1377" s="113" t="n"/>
      <c r="N1377" s="113" t="n"/>
      <c r="O1377" s="113" t="n"/>
      <c r="P1377" s="398" t="n"/>
      <c r="Q1377" s="398" t="n"/>
      <c r="R1377" s="113" t="n"/>
      <c r="S1377" s="113" t="n"/>
      <c r="T1377" s="113" t="n"/>
      <c r="U1377" s="113" t="n"/>
      <c r="V1377" s="113" t="n"/>
    </row>
    <row r="1378" ht="15.75" customHeight="1">
      <c r="A1378" s="398" t="n"/>
      <c r="B1378" s="238" t="n"/>
      <c r="C1378" s="399" t="n"/>
      <c r="D1378" s="113" t="n"/>
      <c r="E1378" s="113" t="n"/>
      <c r="F1378" s="113" t="n"/>
      <c r="G1378" s="395" t="n"/>
      <c r="H1378" s="395" t="n"/>
      <c r="I1378" s="395" t="n"/>
      <c r="J1378" s="395" t="n"/>
      <c r="K1378" s="395" t="n"/>
      <c r="L1378" s="395" t="n"/>
      <c r="M1378" s="113" t="n"/>
      <c r="N1378" s="113" t="n"/>
      <c r="O1378" s="113" t="n"/>
      <c r="P1378" s="398" t="n"/>
      <c r="Q1378" s="398" t="n"/>
      <c r="R1378" s="113" t="n"/>
      <c r="S1378" s="113" t="n"/>
      <c r="T1378" s="113" t="n"/>
      <c r="U1378" s="113" t="n"/>
      <c r="V1378" s="113" t="n"/>
    </row>
    <row r="1379" ht="15.75" customHeight="1">
      <c r="A1379" s="398" t="n"/>
      <c r="B1379" s="238" t="n"/>
      <c r="C1379" s="399" t="n"/>
      <c r="D1379" s="113" t="n"/>
      <c r="E1379" s="113" t="n"/>
      <c r="F1379" s="113" t="n"/>
      <c r="G1379" s="395" t="n"/>
      <c r="H1379" s="395" t="n"/>
      <c r="I1379" s="395" t="n"/>
      <c r="J1379" s="395" t="n"/>
      <c r="K1379" s="395" t="n"/>
      <c r="L1379" s="395" t="n"/>
      <c r="M1379" s="113" t="n"/>
      <c r="N1379" s="113" t="n"/>
      <c r="O1379" s="113" t="n"/>
      <c r="P1379" s="398" t="n"/>
      <c r="Q1379" s="398" t="n"/>
      <c r="R1379" s="113" t="n"/>
      <c r="S1379" s="113" t="n"/>
      <c r="T1379" s="113" t="n"/>
      <c r="U1379" s="113" t="n"/>
      <c r="V1379" s="113" t="n"/>
    </row>
    <row r="1380" ht="15.75" customHeight="1">
      <c r="A1380" s="398" t="n"/>
      <c r="B1380" s="238" t="n"/>
      <c r="C1380" s="399" t="n"/>
      <c r="D1380" s="113" t="n"/>
      <c r="E1380" s="113" t="n"/>
      <c r="F1380" s="113" t="n"/>
      <c r="G1380" s="395" t="n"/>
      <c r="H1380" s="395" t="n"/>
      <c r="I1380" s="395" t="n"/>
      <c r="J1380" s="395" t="n"/>
      <c r="K1380" s="395" t="n"/>
      <c r="L1380" s="395" t="n"/>
      <c r="M1380" s="113" t="n"/>
      <c r="N1380" s="113" t="n"/>
      <c r="O1380" s="113" t="n"/>
      <c r="P1380" s="398" t="n"/>
      <c r="Q1380" s="398" t="n"/>
      <c r="R1380" s="113" t="n"/>
      <c r="S1380" s="113" t="n"/>
      <c r="T1380" s="113" t="n"/>
      <c r="U1380" s="113" t="n"/>
      <c r="V1380" s="113" t="n"/>
    </row>
    <row r="1381" ht="15.75" customHeight="1">
      <c r="A1381" s="398" t="n"/>
      <c r="B1381" s="238" t="n"/>
      <c r="C1381" s="399" t="n"/>
      <c r="D1381" s="113" t="n"/>
      <c r="E1381" s="113" t="n"/>
      <c r="F1381" s="113" t="n"/>
      <c r="G1381" s="395" t="n"/>
      <c r="H1381" s="395" t="n"/>
      <c r="I1381" s="395" t="n"/>
      <c r="J1381" s="395" t="n"/>
      <c r="K1381" s="395" t="n"/>
      <c r="L1381" s="395" t="n"/>
      <c r="M1381" s="113" t="n"/>
      <c r="N1381" s="113" t="n"/>
      <c r="O1381" s="113" t="n"/>
      <c r="P1381" s="398" t="n"/>
      <c r="Q1381" s="398" t="n"/>
      <c r="R1381" s="113" t="n"/>
      <c r="S1381" s="113" t="n"/>
      <c r="T1381" s="113" t="n"/>
      <c r="U1381" s="113" t="n"/>
      <c r="V1381" s="113" t="n"/>
    </row>
    <row r="1382" ht="15.75" customHeight="1">
      <c r="A1382" s="398" t="n"/>
      <c r="B1382" s="238" t="n"/>
      <c r="C1382" s="399" t="n"/>
      <c r="D1382" s="113" t="n"/>
      <c r="E1382" s="113" t="n"/>
      <c r="F1382" s="113" t="n"/>
      <c r="G1382" s="395" t="n"/>
      <c r="H1382" s="395" t="n"/>
      <c r="I1382" s="395" t="n"/>
      <c r="J1382" s="395" t="n"/>
      <c r="K1382" s="395" t="n"/>
      <c r="L1382" s="395" t="n"/>
      <c r="M1382" s="113" t="n"/>
      <c r="N1382" s="113" t="n"/>
      <c r="O1382" s="113" t="n"/>
      <c r="P1382" s="398" t="n"/>
      <c r="Q1382" s="398" t="n"/>
      <c r="R1382" s="113" t="n"/>
      <c r="S1382" s="113" t="n"/>
      <c r="T1382" s="113" t="n"/>
      <c r="U1382" s="113" t="n"/>
      <c r="V1382" s="113" t="n"/>
    </row>
    <row r="1383" ht="15.75" customHeight="1">
      <c r="A1383" s="398" t="n"/>
      <c r="B1383" s="238" t="n"/>
      <c r="C1383" s="399" t="n"/>
      <c r="D1383" s="113" t="n"/>
      <c r="E1383" s="113" t="n"/>
      <c r="F1383" s="113" t="n"/>
      <c r="G1383" s="395" t="n"/>
      <c r="H1383" s="395" t="n"/>
      <c r="I1383" s="395" t="n"/>
      <c r="J1383" s="395" t="n"/>
      <c r="K1383" s="395" t="n"/>
      <c r="L1383" s="395" t="n"/>
      <c r="M1383" s="113" t="n"/>
      <c r="N1383" s="113" t="n"/>
      <c r="O1383" s="113" t="n"/>
      <c r="P1383" s="398" t="n"/>
      <c r="Q1383" s="398" t="n"/>
      <c r="R1383" s="113" t="n"/>
      <c r="S1383" s="113" t="n"/>
      <c r="T1383" s="113" t="n"/>
      <c r="U1383" s="113" t="n"/>
      <c r="V1383" s="113" t="n"/>
    </row>
    <row r="1384" ht="15.75" customHeight="1">
      <c r="A1384" s="398" t="n"/>
      <c r="B1384" s="238" t="n"/>
      <c r="C1384" s="399" t="n"/>
      <c r="D1384" s="113" t="n"/>
      <c r="E1384" s="113" t="n"/>
      <c r="F1384" s="113" t="n"/>
      <c r="G1384" s="395" t="n"/>
      <c r="H1384" s="395" t="n"/>
      <c r="I1384" s="395" t="n"/>
      <c r="J1384" s="395" t="n"/>
      <c r="K1384" s="395" t="n"/>
      <c r="L1384" s="395" t="n"/>
      <c r="M1384" s="113" t="n"/>
      <c r="N1384" s="113" t="n"/>
      <c r="O1384" s="113" t="n"/>
      <c r="P1384" s="398" t="n"/>
      <c r="Q1384" s="398" t="n"/>
      <c r="R1384" s="113" t="n"/>
      <c r="S1384" s="113" t="n"/>
      <c r="T1384" s="113" t="n"/>
      <c r="U1384" s="113" t="n"/>
      <c r="V1384" s="113" t="n"/>
    </row>
    <row r="1385" ht="15.75" customHeight="1">
      <c r="A1385" s="398" t="n"/>
      <c r="B1385" s="238" t="n"/>
      <c r="C1385" s="399" t="n"/>
      <c r="D1385" s="113" t="n"/>
      <c r="E1385" s="113" t="n"/>
      <c r="F1385" s="113" t="n"/>
      <c r="G1385" s="395" t="n"/>
      <c r="H1385" s="395" t="n"/>
      <c r="I1385" s="395" t="n"/>
      <c r="J1385" s="395" t="n"/>
      <c r="K1385" s="395" t="n"/>
      <c r="L1385" s="395" t="n"/>
      <c r="M1385" s="113" t="n"/>
      <c r="N1385" s="113" t="n"/>
      <c r="O1385" s="113" t="n"/>
      <c r="P1385" s="398" t="n"/>
      <c r="Q1385" s="398" t="n"/>
      <c r="R1385" s="113" t="n"/>
      <c r="S1385" s="113" t="n"/>
      <c r="T1385" s="113" t="n"/>
      <c r="U1385" s="113" t="n"/>
      <c r="V1385" s="113" t="n"/>
    </row>
    <row r="1386" ht="15.75" customHeight="1">
      <c r="A1386" s="398" t="n"/>
      <c r="B1386" s="238" t="n"/>
      <c r="C1386" s="399" t="n"/>
      <c r="D1386" s="113" t="n"/>
      <c r="E1386" s="113" t="n"/>
      <c r="F1386" s="113" t="n"/>
      <c r="G1386" s="395" t="n"/>
      <c r="H1386" s="395" t="n"/>
      <c r="I1386" s="395" t="n"/>
      <c r="J1386" s="395" t="n"/>
      <c r="K1386" s="395" t="n"/>
      <c r="L1386" s="395" t="n"/>
      <c r="M1386" s="113" t="n"/>
      <c r="N1386" s="113" t="n"/>
      <c r="O1386" s="113" t="n"/>
      <c r="P1386" s="398" t="n"/>
      <c r="Q1386" s="398" t="n"/>
      <c r="R1386" s="113" t="n"/>
      <c r="S1386" s="113" t="n"/>
      <c r="T1386" s="113" t="n"/>
      <c r="U1386" s="113" t="n"/>
      <c r="V1386" s="113" t="n"/>
    </row>
    <row r="1387" ht="15.75" customHeight="1">
      <c r="A1387" s="398" t="n"/>
      <c r="B1387" s="238" t="n"/>
      <c r="C1387" s="399" t="n"/>
      <c r="D1387" s="113" t="n"/>
      <c r="E1387" s="113" t="n"/>
      <c r="F1387" s="113" t="n"/>
      <c r="G1387" s="395" t="n"/>
      <c r="H1387" s="395" t="n"/>
      <c r="I1387" s="395" t="n"/>
      <c r="J1387" s="395" t="n"/>
      <c r="K1387" s="395" t="n"/>
      <c r="L1387" s="395" t="n"/>
      <c r="M1387" s="113" t="n"/>
      <c r="N1387" s="113" t="n"/>
      <c r="O1387" s="113" t="n"/>
      <c r="P1387" s="398" t="n"/>
      <c r="Q1387" s="398" t="n"/>
      <c r="R1387" s="113" t="n"/>
      <c r="S1387" s="113" t="n"/>
      <c r="T1387" s="113" t="n"/>
      <c r="U1387" s="113" t="n"/>
      <c r="V1387" s="113" t="n"/>
    </row>
    <row r="1388" ht="15.75" customHeight="1">
      <c r="A1388" s="398" t="n"/>
      <c r="B1388" s="238" t="n"/>
      <c r="C1388" s="399" t="n"/>
      <c r="D1388" s="113" t="n"/>
      <c r="E1388" s="113" t="n"/>
      <c r="F1388" s="113" t="n"/>
      <c r="G1388" s="395" t="n"/>
      <c r="H1388" s="395" t="n"/>
      <c r="I1388" s="395" t="n"/>
      <c r="J1388" s="395" t="n"/>
      <c r="K1388" s="395" t="n"/>
      <c r="L1388" s="395" t="n"/>
      <c r="M1388" s="113" t="n"/>
      <c r="N1388" s="113" t="n"/>
      <c r="O1388" s="113" t="n"/>
      <c r="P1388" s="398" t="n"/>
      <c r="Q1388" s="398" t="n"/>
      <c r="R1388" s="113" t="n"/>
      <c r="S1388" s="113" t="n"/>
      <c r="T1388" s="113" t="n"/>
      <c r="U1388" s="113" t="n"/>
      <c r="V1388" s="113" t="n"/>
    </row>
    <row r="1389" ht="15.75" customHeight="1">
      <c r="A1389" s="398" t="n"/>
      <c r="B1389" s="238" t="n"/>
      <c r="C1389" s="399" t="n"/>
      <c r="D1389" s="113" t="n"/>
      <c r="E1389" s="113" t="n"/>
      <c r="F1389" s="113" t="n"/>
      <c r="G1389" s="395" t="n"/>
      <c r="H1389" s="395" t="n"/>
      <c r="I1389" s="395" t="n"/>
      <c r="J1389" s="395" t="n"/>
      <c r="K1389" s="395" t="n"/>
      <c r="L1389" s="395" t="n"/>
      <c r="M1389" s="113" t="n"/>
      <c r="N1389" s="113" t="n"/>
      <c r="O1389" s="113" t="n"/>
      <c r="P1389" s="398" t="n"/>
      <c r="Q1389" s="398" t="n"/>
      <c r="R1389" s="113" t="n"/>
      <c r="S1389" s="113" t="n"/>
      <c r="T1389" s="113" t="n"/>
      <c r="U1389" s="113" t="n"/>
      <c r="V1389" s="113" t="n"/>
    </row>
    <row r="1390" ht="15.75" customHeight="1">
      <c r="A1390" s="398" t="n"/>
      <c r="B1390" s="238" t="n"/>
      <c r="C1390" s="399" t="n"/>
      <c r="D1390" s="113" t="n"/>
      <c r="E1390" s="113" t="n"/>
      <c r="F1390" s="113" t="n"/>
      <c r="G1390" s="395" t="n"/>
      <c r="H1390" s="395" t="n"/>
      <c r="I1390" s="395" t="n"/>
      <c r="J1390" s="395" t="n"/>
      <c r="K1390" s="395" t="n"/>
      <c r="L1390" s="395" t="n"/>
      <c r="M1390" s="113" t="n"/>
      <c r="N1390" s="113" t="n"/>
      <c r="O1390" s="113" t="n"/>
      <c r="P1390" s="398" t="n"/>
      <c r="Q1390" s="398" t="n"/>
      <c r="R1390" s="113" t="n"/>
      <c r="S1390" s="113" t="n"/>
      <c r="T1390" s="113" t="n"/>
      <c r="U1390" s="113" t="n"/>
      <c r="V1390" s="113" t="n"/>
    </row>
    <row r="1391" ht="15.75" customHeight="1">
      <c r="A1391" s="398" t="n"/>
      <c r="B1391" s="238" t="n"/>
      <c r="C1391" s="399" t="n"/>
      <c r="D1391" s="162" t="n"/>
      <c r="E1391" s="162" t="n"/>
      <c r="F1391" s="162" t="n"/>
      <c r="G1391" s="162" t="n"/>
      <c r="H1391" s="162" t="n"/>
      <c r="I1391" s="162" t="n"/>
      <c r="J1391" s="162" t="n"/>
      <c r="K1391" s="162" t="n"/>
      <c r="L1391" s="395" t="n"/>
      <c r="M1391" s="113" t="n"/>
      <c r="N1391" s="113" t="n"/>
      <c r="O1391" s="113" t="n"/>
      <c r="P1391" s="398" t="n"/>
      <c r="Q1391" s="398" t="n"/>
      <c r="R1391" s="113" t="n"/>
      <c r="S1391" s="113" t="n"/>
      <c r="T1391" s="113" t="n"/>
      <c r="U1391" s="113" t="n"/>
      <c r="V1391" s="113" t="n"/>
    </row>
    <row r="1392" ht="15.75" customHeight="1">
      <c r="A1392" s="398" t="n"/>
      <c r="B1392" s="238" t="n"/>
      <c r="C1392" s="399" t="n"/>
      <c r="D1392" s="162" t="n"/>
      <c r="E1392" s="162" t="n"/>
      <c r="F1392" s="162" t="n"/>
      <c r="G1392" s="162" t="n"/>
      <c r="H1392" s="162" t="n"/>
      <c r="I1392" s="162" t="n"/>
      <c r="J1392" s="162" t="n"/>
      <c r="K1392" s="162" t="n"/>
      <c r="L1392" s="395" t="n"/>
      <c r="M1392" s="113" t="n"/>
      <c r="N1392" s="113" t="n"/>
      <c r="O1392" s="113" t="n"/>
      <c r="P1392" s="398" t="n"/>
      <c r="Q1392" s="398" t="n"/>
      <c r="R1392" s="113" t="n"/>
      <c r="S1392" s="113" t="n"/>
      <c r="T1392" s="113" t="n"/>
      <c r="U1392" s="113" t="n"/>
      <c r="V1392" s="113" t="n"/>
    </row>
    <row r="1393" ht="15.75" customHeight="1">
      <c r="A1393" s="398" t="n"/>
      <c r="B1393" s="238" t="n"/>
      <c r="C1393" s="399" t="n"/>
      <c r="D1393" s="113" t="n"/>
      <c r="E1393" s="113" t="n"/>
      <c r="F1393" s="113" t="n"/>
      <c r="G1393" s="395" t="n"/>
      <c r="H1393" s="395" t="n"/>
      <c r="I1393" s="395" t="n"/>
      <c r="J1393" s="395" t="n"/>
      <c r="K1393" s="395" t="n"/>
      <c r="L1393" s="395" t="n"/>
      <c r="M1393" s="113" t="n"/>
      <c r="N1393" s="113" t="n"/>
      <c r="O1393" s="113" t="n"/>
      <c r="P1393" s="398" t="n"/>
      <c r="Q1393" s="398" t="n"/>
      <c r="R1393" s="113" t="n"/>
      <c r="S1393" s="113" t="n"/>
      <c r="T1393" s="113" t="n"/>
      <c r="U1393" s="113" t="n"/>
      <c r="V1393" s="113" t="n"/>
    </row>
    <row r="1394" ht="15.75" customHeight="1">
      <c r="A1394" s="398" t="n"/>
      <c r="B1394" s="238" t="n"/>
      <c r="C1394" s="399" t="n"/>
      <c r="D1394" s="113" t="n"/>
      <c r="E1394" s="113" t="n"/>
      <c r="F1394" s="113" t="n"/>
      <c r="G1394" s="395" t="n"/>
      <c r="H1394" s="395" t="n"/>
      <c r="I1394" s="395" t="n"/>
      <c r="J1394" s="395" t="n"/>
      <c r="K1394" s="395" t="n"/>
      <c r="L1394" s="395" t="n"/>
      <c r="M1394" s="113" t="n"/>
      <c r="N1394" s="113" t="n"/>
      <c r="O1394" s="113" t="n"/>
      <c r="P1394" s="398" t="n"/>
      <c r="Q1394" s="398" t="n"/>
      <c r="R1394" s="113" t="n"/>
      <c r="S1394" s="113" t="n"/>
      <c r="T1394" s="113" t="n"/>
      <c r="U1394" s="113" t="n"/>
      <c r="V1394" s="113" t="n"/>
    </row>
    <row r="1395" ht="15.75" customHeight="1">
      <c r="A1395" s="398" t="n"/>
      <c r="B1395" s="238" t="n"/>
      <c r="C1395" s="399" t="n"/>
      <c r="D1395" s="113" t="n"/>
      <c r="E1395" s="113" t="n"/>
      <c r="F1395" s="113" t="n"/>
      <c r="G1395" s="395" t="n"/>
      <c r="H1395" s="395" t="n"/>
      <c r="I1395" s="395" t="n"/>
      <c r="J1395" s="395" t="n"/>
      <c r="K1395" s="395" t="n"/>
      <c r="L1395" s="395" t="n"/>
      <c r="M1395" s="113" t="n"/>
      <c r="N1395" s="113" t="n"/>
      <c r="O1395" s="113" t="n"/>
      <c r="P1395" s="398" t="n"/>
      <c r="Q1395" s="398" t="n"/>
      <c r="R1395" s="113" t="n"/>
      <c r="S1395" s="113" t="n"/>
      <c r="T1395" s="113" t="n"/>
      <c r="U1395" s="113" t="n"/>
      <c r="V1395" s="113" t="n"/>
    </row>
    <row r="1396" ht="15.75" customHeight="1">
      <c r="A1396" s="398" t="n"/>
      <c r="B1396" s="238" t="n"/>
      <c r="C1396" s="399" t="n"/>
      <c r="D1396" s="113" t="n"/>
      <c r="E1396" s="113" t="n"/>
      <c r="F1396" s="113" t="n"/>
      <c r="G1396" s="395" t="n"/>
      <c r="H1396" s="395" t="n"/>
      <c r="I1396" s="395" t="n"/>
      <c r="J1396" s="395" t="n"/>
      <c r="K1396" s="395" t="n"/>
      <c r="L1396" s="395" t="n"/>
      <c r="M1396" s="113" t="n"/>
      <c r="N1396" s="113" t="n"/>
      <c r="O1396" s="113" t="n"/>
      <c r="P1396" s="398" t="n"/>
      <c r="Q1396" s="398" t="n"/>
      <c r="R1396" s="113" t="n"/>
      <c r="S1396" s="113" t="n"/>
      <c r="T1396" s="113" t="n"/>
      <c r="U1396" s="113" t="n"/>
      <c r="V1396" s="113" t="n"/>
    </row>
    <row r="1397" ht="15.75" customHeight="1">
      <c r="A1397" s="398" t="n"/>
      <c r="B1397" s="238" t="n"/>
      <c r="C1397" s="399" t="n"/>
      <c r="D1397" s="113" t="n"/>
      <c r="E1397" s="113" t="n"/>
      <c r="F1397" s="113" t="n"/>
      <c r="G1397" s="395" t="n"/>
      <c r="H1397" s="395" t="n"/>
      <c r="I1397" s="395" t="n"/>
      <c r="J1397" s="395" t="n"/>
      <c r="K1397" s="395" t="n"/>
      <c r="L1397" s="395" t="n"/>
      <c r="M1397" s="113" t="n"/>
      <c r="N1397" s="113" t="n"/>
      <c r="O1397" s="113" t="n"/>
      <c r="P1397" s="398" t="n"/>
      <c r="Q1397" s="398" t="n"/>
      <c r="R1397" s="113" t="n"/>
      <c r="S1397" s="113" t="n"/>
      <c r="T1397" s="113" t="n"/>
      <c r="U1397" s="113" t="n"/>
      <c r="V1397" s="113" t="n"/>
    </row>
    <row r="1398" ht="15.75" customHeight="1">
      <c r="A1398" s="398" t="n"/>
      <c r="B1398" s="238" t="n"/>
      <c r="C1398" s="399" t="n"/>
      <c r="D1398" s="113" t="n"/>
      <c r="E1398" s="113" t="n"/>
      <c r="F1398" s="113" t="n"/>
      <c r="G1398" s="395" t="n"/>
      <c r="H1398" s="395" t="n"/>
      <c r="I1398" s="395" t="n"/>
      <c r="J1398" s="395" t="n"/>
      <c r="K1398" s="395" t="n"/>
      <c r="L1398" s="395" t="n"/>
      <c r="M1398" s="113" t="n"/>
      <c r="N1398" s="113" t="n"/>
      <c r="O1398" s="113" t="n"/>
      <c r="P1398" s="398" t="n"/>
      <c r="Q1398" s="398" t="n"/>
      <c r="R1398" s="113" t="n"/>
      <c r="S1398" s="113" t="n"/>
      <c r="T1398" s="113" t="n"/>
      <c r="U1398" s="113" t="n"/>
      <c r="V1398" s="113" t="n"/>
    </row>
    <row r="1399" ht="15.75" customHeight="1">
      <c r="A1399" s="398" t="n"/>
      <c r="B1399" s="238" t="n"/>
      <c r="C1399" s="399" t="n"/>
      <c r="D1399" s="113" t="n"/>
      <c r="E1399" s="113" t="n"/>
      <c r="F1399" s="113" t="n"/>
      <c r="G1399" s="395" t="n"/>
      <c r="H1399" s="395" t="n"/>
      <c r="I1399" s="395" t="n"/>
      <c r="J1399" s="395" t="n"/>
      <c r="K1399" s="395" t="n"/>
      <c r="L1399" s="395" t="n"/>
      <c r="M1399" s="113" t="n"/>
      <c r="N1399" s="113" t="n"/>
      <c r="O1399" s="113" t="n"/>
      <c r="P1399" s="398" t="n"/>
      <c r="Q1399" s="398" t="n"/>
      <c r="R1399" s="113" t="n"/>
      <c r="S1399" s="113" t="n"/>
      <c r="T1399" s="113" t="n"/>
      <c r="U1399" s="113" t="n"/>
      <c r="V1399" s="113" t="n"/>
    </row>
    <row r="1400" ht="15.75" customHeight="1">
      <c r="A1400" s="398" t="n"/>
      <c r="B1400" s="238" t="n"/>
      <c r="C1400" s="399" t="n"/>
      <c r="D1400" s="113" t="n"/>
      <c r="E1400" s="113" t="n"/>
      <c r="F1400" s="113" t="n"/>
      <c r="G1400" s="395" t="n"/>
      <c r="H1400" s="395" t="n"/>
      <c r="I1400" s="395" t="n"/>
      <c r="J1400" s="395" t="n"/>
      <c r="K1400" s="395" t="n"/>
      <c r="L1400" s="395" t="n"/>
      <c r="M1400" s="113" t="n"/>
      <c r="N1400" s="113" t="n"/>
      <c r="O1400" s="113" t="n"/>
      <c r="P1400" s="398" t="n"/>
      <c r="Q1400" s="398" t="n"/>
      <c r="R1400" s="113" t="n"/>
      <c r="S1400" s="113" t="n"/>
      <c r="T1400" s="113" t="n"/>
      <c r="U1400" s="113" t="n"/>
      <c r="V1400" s="113" t="n"/>
    </row>
    <row r="1401" ht="15.75" customHeight="1">
      <c r="A1401" s="398" t="n"/>
      <c r="B1401" s="238" t="n"/>
      <c r="C1401" s="399" t="n"/>
      <c r="D1401" s="113" t="n"/>
      <c r="E1401" s="113" t="n"/>
      <c r="F1401" s="113" t="n"/>
      <c r="G1401" s="395" t="n"/>
      <c r="H1401" s="395" t="n"/>
      <c r="I1401" s="395" t="n"/>
      <c r="J1401" s="395" t="n"/>
      <c r="K1401" s="395" t="n"/>
      <c r="L1401" s="395" t="n"/>
      <c r="M1401" s="113" t="n"/>
      <c r="N1401" s="113" t="n"/>
      <c r="O1401" s="113" t="n"/>
      <c r="P1401" s="398" t="n"/>
      <c r="Q1401" s="398" t="n"/>
      <c r="R1401" s="113" t="n"/>
      <c r="S1401" s="113" t="n"/>
      <c r="T1401" s="113" t="n"/>
      <c r="U1401" s="113" t="n"/>
      <c r="V1401" s="113" t="n"/>
    </row>
    <row r="1402" ht="15.75" customHeight="1">
      <c r="A1402" s="398" t="n"/>
      <c r="B1402" s="238" t="n"/>
      <c r="C1402" s="399" t="n"/>
      <c r="D1402" s="113" t="n"/>
      <c r="E1402" s="113" t="n"/>
      <c r="F1402" s="113" t="n"/>
      <c r="G1402" s="395" t="n"/>
      <c r="H1402" s="395" t="n"/>
      <c r="I1402" s="395" t="n"/>
      <c r="J1402" s="395" t="n"/>
      <c r="K1402" s="395" t="n"/>
      <c r="L1402" s="395" t="n"/>
      <c r="M1402" s="113" t="n"/>
      <c r="N1402" s="113" t="n"/>
      <c r="O1402" s="113" t="n"/>
      <c r="P1402" s="398" t="n"/>
      <c r="Q1402" s="398" t="n"/>
      <c r="R1402" s="113" t="n"/>
      <c r="S1402" s="113" t="n"/>
      <c r="T1402" s="113" t="n"/>
      <c r="U1402" s="113" t="n"/>
      <c r="V1402" s="113" t="n"/>
    </row>
    <row r="1403" ht="15.75" customHeight="1">
      <c r="A1403" s="398" t="n"/>
      <c r="B1403" s="238" t="n"/>
      <c r="C1403" s="399" t="n"/>
      <c r="D1403" s="113" t="n"/>
      <c r="E1403" s="113" t="n"/>
      <c r="F1403" s="113" t="n"/>
      <c r="G1403" s="395" t="n"/>
      <c r="H1403" s="395" t="n"/>
      <c r="I1403" s="395" t="n"/>
      <c r="J1403" s="395" t="n"/>
      <c r="K1403" s="395" t="n"/>
      <c r="L1403" s="395" t="n"/>
      <c r="M1403" s="113" t="n"/>
      <c r="N1403" s="113" t="n"/>
      <c r="O1403" s="113" t="n"/>
      <c r="P1403" s="398" t="n"/>
      <c r="Q1403" s="398" t="n"/>
      <c r="R1403" s="113" t="n"/>
      <c r="S1403" s="113" t="n"/>
      <c r="T1403" s="113" t="n"/>
      <c r="U1403" s="113" t="n"/>
      <c r="V1403" s="113" t="n"/>
    </row>
    <row r="1404" ht="15.75" customHeight="1">
      <c r="A1404" s="398" t="n"/>
      <c r="B1404" s="238" t="n"/>
      <c r="C1404" s="399" t="n"/>
      <c r="D1404" s="113" t="n"/>
      <c r="E1404" s="113" t="n"/>
      <c r="F1404" s="113" t="n"/>
      <c r="G1404" s="395" t="n"/>
      <c r="H1404" s="395" t="n"/>
      <c r="I1404" s="395" t="n"/>
      <c r="J1404" s="395" t="n"/>
      <c r="K1404" s="395" t="n"/>
      <c r="L1404" s="395" t="n"/>
      <c r="M1404" s="113" t="n"/>
      <c r="N1404" s="113" t="n"/>
      <c r="O1404" s="113" t="n"/>
      <c r="P1404" s="398" t="n"/>
      <c r="Q1404" s="398" t="n"/>
      <c r="R1404" s="113" t="n"/>
      <c r="S1404" s="113" t="n"/>
      <c r="T1404" s="113" t="n"/>
      <c r="U1404" s="113" t="n"/>
      <c r="V1404" s="113" t="n"/>
    </row>
    <row r="1405" ht="15.75" customHeight="1">
      <c r="A1405" s="398" t="n"/>
      <c r="B1405" s="238" t="n"/>
      <c r="C1405" s="399" t="n"/>
      <c r="D1405" s="113" t="n"/>
      <c r="E1405" s="113" t="n"/>
      <c r="F1405" s="113" t="n"/>
      <c r="G1405" s="395" t="n"/>
      <c r="H1405" s="395" t="n"/>
      <c r="I1405" s="395" t="n"/>
      <c r="J1405" s="395" t="n"/>
      <c r="K1405" s="395" t="n"/>
      <c r="L1405" s="395" t="n"/>
      <c r="M1405" s="113" t="n"/>
      <c r="N1405" s="113" t="n"/>
      <c r="O1405" s="113" t="n"/>
      <c r="P1405" s="398" t="n"/>
      <c r="Q1405" s="398" t="n"/>
      <c r="R1405" s="113" t="n"/>
      <c r="S1405" s="113" t="n"/>
      <c r="T1405" s="113" t="n"/>
      <c r="U1405" s="113" t="n"/>
      <c r="V1405" s="113" t="n"/>
    </row>
    <row r="1406" ht="15.75" customHeight="1">
      <c r="A1406" s="398" t="n"/>
      <c r="B1406" s="238" t="n"/>
      <c r="C1406" s="399" t="n"/>
      <c r="D1406" s="113" t="n"/>
      <c r="E1406" s="113" t="n"/>
      <c r="F1406" s="113" t="n"/>
      <c r="G1406" s="395" t="n"/>
      <c r="H1406" s="395" t="n"/>
      <c r="I1406" s="395" t="n"/>
      <c r="J1406" s="395" t="n"/>
      <c r="K1406" s="395" t="n"/>
      <c r="L1406" s="395" t="n"/>
      <c r="M1406" s="113" t="n"/>
      <c r="N1406" s="113" t="n"/>
      <c r="O1406" s="113" t="n"/>
      <c r="P1406" s="398" t="n"/>
      <c r="Q1406" s="398" t="n"/>
      <c r="R1406" s="113" t="n"/>
      <c r="S1406" s="113" t="n"/>
      <c r="T1406" s="113" t="n"/>
      <c r="U1406" s="113" t="n"/>
      <c r="V1406" s="113" t="n"/>
    </row>
    <row r="1407" ht="15.75" customHeight="1">
      <c r="A1407" s="398" t="n"/>
      <c r="B1407" s="238" t="n"/>
      <c r="C1407" s="399" t="n"/>
      <c r="D1407" s="113" t="n"/>
      <c r="E1407" s="113" t="n"/>
      <c r="F1407" s="113" t="n"/>
      <c r="G1407" s="395" t="n"/>
      <c r="H1407" s="395" t="n"/>
      <c r="I1407" s="395" t="n"/>
      <c r="J1407" s="395" t="n"/>
      <c r="K1407" s="395" t="n"/>
      <c r="L1407" s="395" t="n"/>
      <c r="M1407" s="113" t="n"/>
      <c r="N1407" s="113" t="n"/>
      <c r="O1407" s="113" t="n"/>
      <c r="P1407" s="398" t="n"/>
      <c r="Q1407" s="398" t="n"/>
      <c r="R1407" s="113" t="n"/>
      <c r="S1407" s="113" t="n"/>
      <c r="T1407" s="113" t="n"/>
      <c r="U1407" s="113" t="n"/>
      <c r="V1407" s="113" t="n"/>
    </row>
    <row r="1408" ht="15.75" customHeight="1">
      <c r="A1408" s="398" t="n"/>
      <c r="B1408" s="238" t="n"/>
      <c r="C1408" s="399" t="n"/>
      <c r="D1408" s="113" t="n"/>
      <c r="E1408" s="113" t="n"/>
      <c r="F1408" s="113" t="n"/>
      <c r="G1408" s="395" t="n"/>
      <c r="H1408" s="395" t="n"/>
      <c r="I1408" s="395" t="n"/>
      <c r="J1408" s="395" t="n"/>
      <c r="K1408" s="395" t="n"/>
      <c r="L1408" s="395" t="n"/>
      <c r="M1408" s="113" t="n"/>
      <c r="N1408" s="113" t="n"/>
      <c r="O1408" s="113" t="n"/>
      <c r="P1408" s="398" t="n"/>
      <c r="Q1408" s="398" t="n"/>
      <c r="R1408" s="113" t="n"/>
      <c r="S1408" s="113" t="n"/>
      <c r="T1408" s="113" t="n"/>
      <c r="U1408" s="113" t="n"/>
      <c r="V1408" s="113" t="n"/>
    </row>
    <row r="1409" ht="15.75" customHeight="1">
      <c r="A1409" s="398" t="n"/>
      <c r="B1409" s="238" t="n"/>
      <c r="C1409" s="399" t="n"/>
      <c r="D1409" s="113" t="n"/>
      <c r="E1409" s="113" t="n"/>
      <c r="F1409" s="113" t="n"/>
      <c r="G1409" s="395" t="n"/>
      <c r="H1409" s="395" t="n"/>
      <c r="I1409" s="395" t="n"/>
      <c r="J1409" s="395" t="n"/>
      <c r="K1409" s="395" t="n"/>
      <c r="L1409" s="395" t="n"/>
      <c r="M1409" s="113" t="n"/>
      <c r="N1409" s="113" t="n"/>
      <c r="O1409" s="113" t="n"/>
      <c r="P1409" s="398" t="n"/>
      <c r="Q1409" s="398" t="n"/>
      <c r="R1409" s="113" t="n"/>
      <c r="S1409" s="113" t="n"/>
      <c r="T1409" s="113" t="n"/>
      <c r="U1409" s="113" t="n"/>
      <c r="V1409" s="113" t="n"/>
    </row>
    <row r="1410" ht="15.75" customHeight="1">
      <c r="A1410" s="398" t="n"/>
      <c r="B1410" s="238" t="n"/>
      <c r="C1410" s="399" t="n"/>
      <c r="D1410" s="113" t="n"/>
      <c r="E1410" s="113" t="n"/>
      <c r="F1410" s="113" t="n"/>
      <c r="G1410" s="395" t="n"/>
      <c r="H1410" s="395" t="n"/>
      <c r="I1410" s="395" t="n"/>
      <c r="J1410" s="395" t="n"/>
      <c r="K1410" s="395" t="n"/>
      <c r="L1410" s="395" t="n"/>
      <c r="M1410" s="113" t="n"/>
      <c r="N1410" s="113" t="n"/>
      <c r="O1410" s="113" t="n"/>
      <c r="P1410" s="398" t="n"/>
      <c r="Q1410" s="398" t="n"/>
      <c r="R1410" s="113" t="n"/>
      <c r="S1410" s="113" t="n"/>
      <c r="T1410" s="113" t="n"/>
      <c r="U1410" s="113" t="n"/>
      <c r="V1410" s="113" t="n"/>
    </row>
    <row r="1411" ht="15.75" customHeight="1">
      <c r="A1411" s="398" t="n"/>
      <c r="B1411" s="238" t="n"/>
      <c r="C1411" s="399" t="n"/>
      <c r="D1411" s="113" t="n"/>
      <c r="E1411" s="113" t="n"/>
      <c r="F1411" s="113" t="n"/>
      <c r="G1411" s="395" t="n"/>
      <c r="H1411" s="395" t="n"/>
      <c r="I1411" s="395" t="n"/>
      <c r="J1411" s="395" t="n"/>
      <c r="K1411" s="395" t="n"/>
      <c r="L1411" s="395" t="n"/>
      <c r="M1411" s="113" t="n"/>
      <c r="N1411" s="113" t="n"/>
      <c r="O1411" s="113" t="n"/>
      <c r="P1411" s="398" t="n"/>
      <c r="Q1411" s="398" t="n"/>
      <c r="R1411" s="113" t="n"/>
      <c r="S1411" s="113" t="n"/>
      <c r="T1411" s="113" t="n"/>
      <c r="U1411" s="113" t="n"/>
      <c r="V1411" s="113" t="n"/>
    </row>
    <row r="1412" ht="15.75" customHeight="1">
      <c r="A1412" s="398" t="n"/>
      <c r="B1412" s="238" t="n"/>
      <c r="C1412" s="399" t="n"/>
      <c r="D1412" s="113" t="n"/>
      <c r="E1412" s="113" t="n"/>
      <c r="F1412" s="113" t="n"/>
      <c r="G1412" s="395" t="n"/>
      <c r="H1412" s="395" t="n"/>
      <c r="I1412" s="395" t="n"/>
      <c r="J1412" s="395" t="n"/>
      <c r="K1412" s="395" t="n"/>
      <c r="L1412" s="395" t="n"/>
      <c r="M1412" s="113" t="n"/>
      <c r="N1412" s="113" t="n"/>
      <c r="O1412" s="113" t="n"/>
      <c r="P1412" s="398" t="n"/>
      <c r="Q1412" s="398" t="n"/>
      <c r="R1412" s="113" t="n"/>
      <c r="S1412" s="113" t="n"/>
      <c r="T1412" s="113" t="n"/>
      <c r="U1412" s="113" t="n"/>
      <c r="V1412" s="113" t="n"/>
    </row>
    <row r="1413" ht="15.75" customHeight="1">
      <c r="A1413" s="398" t="n"/>
      <c r="B1413" s="238" t="n"/>
      <c r="C1413" s="399" t="n"/>
      <c r="D1413" s="113" t="n"/>
      <c r="E1413" s="113" t="n"/>
      <c r="F1413" s="113" t="n"/>
      <c r="G1413" s="395" t="n"/>
      <c r="H1413" s="395" t="n"/>
      <c r="I1413" s="395" t="n"/>
      <c r="J1413" s="395" t="n"/>
      <c r="K1413" s="395" t="n"/>
      <c r="L1413" s="395" t="n"/>
      <c r="M1413" s="113" t="n"/>
      <c r="N1413" s="113" t="n"/>
      <c r="O1413" s="113" t="n"/>
      <c r="P1413" s="398" t="n"/>
      <c r="Q1413" s="398" t="n"/>
      <c r="R1413" s="113" t="n"/>
      <c r="S1413" s="113" t="n"/>
      <c r="T1413" s="113" t="n"/>
      <c r="U1413" s="113" t="n"/>
      <c r="V1413" s="113" t="n"/>
    </row>
    <row r="1414" ht="15.75" customHeight="1">
      <c r="A1414" s="398" t="n"/>
      <c r="B1414" s="238" t="n"/>
      <c r="C1414" s="399" t="n"/>
      <c r="D1414" s="113" t="n"/>
      <c r="E1414" s="113" t="n"/>
      <c r="F1414" s="113" t="n"/>
      <c r="G1414" s="395" t="n"/>
      <c r="H1414" s="395" t="n"/>
      <c r="I1414" s="395" t="n"/>
      <c r="J1414" s="395" t="n"/>
      <c r="K1414" s="395" t="n"/>
      <c r="L1414" s="395" t="n"/>
      <c r="M1414" s="113" t="n"/>
      <c r="N1414" s="113" t="n"/>
      <c r="O1414" s="113" t="n"/>
      <c r="P1414" s="398" t="n"/>
      <c r="Q1414" s="398" t="n"/>
      <c r="R1414" s="113" t="n"/>
      <c r="S1414" s="113" t="n"/>
      <c r="T1414" s="113" t="n"/>
      <c r="U1414" s="113" t="n"/>
      <c r="V1414" s="113" t="n"/>
    </row>
    <row r="1415" ht="15.75" customHeight="1">
      <c r="A1415" s="398" t="n"/>
      <c r="B1415" s="238" t="n"/>
      <c r="C1415" s="399" t="n"/>
      <c r="D1415" s="113" t="n"/>
      <c r="E1415" s="113" t="n"/>
      <c r="F1415" s="113" t="n"/>
      <c r="G1415" s="395" t="n"/>
      <c r="H1415" s="395" t="n"/>
      <c r="I1415" s="395" t="n"/>
      <c r="J1415" s="395" t="n"/>
      <c r="K1415" s="395" t="n"/>
      <c r="L1415" s="395" t="n"/>
      <c r="M1415" s="113" t="n"/>
      <c r="N1415" s="113" t="n"/>
      <c r="O1415" s="113" t="n"/>
      <c r="P1415" s="398" t="n"/>
      <c r="Q1415" s="398" t="n"/>
      <c r="R1415" s="113" t="n"/>
      <c r="S1415" s="113" t="n"/>
      <c r="T1415" s="113" t="n"/>
      <c r="U1415" s="113" t="n"/>
      <c r="V1415" s="113" t="n"/>
    </row>
    <row r="1416" ht="15.75" customHeight="1">
      <c r="A1416" s="398" t="n"/>
      <c r="B1416" s="238" t="n"/>
      <c r="C1416" s="399" t="n"/>
      <c r="D1416" s="113" t="n"/>
      <c r="E1416" s="113" t="n"/>
      <c r="F1416" s="113" t="n"/>
      <c r="G1416" s="395" t="n"/>
      <c r="H1416" s="395" t="n"/>
      <c r="I1416" s="395" t="n"/>
      <c r="J1416" s="395" t="n"/>
      <c r="K1416" s="395" t="n"/>
      <c r="L1416" s="395" t="n"/>
      <c r="M1416" s="113" t="n"/>
      <c r="N1416" s="113" t="n"/>
      <c r="O1416" s="113" t="n"/>
      <c r="P1416" s="398" t="n"/>
      <c r="Q1416" s="398" t="n"/>
      <c r="R1416" s="113" t="n"/>
      <c r="S1416" s="113" t="n"/>
      <c r="T1416" s="113" t="n"/>
      <c r="U1416" s="113" t="n"/>
      <c r="V1416" s="113" t="n"/>
    </row>
    <row r="1417" ht="15.75" customHeight="1">
      <c r="A1417" s="398" t="n"/>
      <c r="B1417" s="238" t="n"/>
      <c r="C1417" s="399" t="n"/>
      <c r="D1417" s="113" t="n"/>
      <c r="E1417" s="113" t="n"/>
      <c r="F1417" s="113" t="n"/>
      <c r="G1417" s="395" t="n"/>
      <c r="H1417" s="395" t="n"/>
      <c r="I1417" s="395" t="n"/>
      <c r="J1417" s="395" t="n"/>
      <c r="K1417" s="395" t="n"/>
      <c r="L1417" s="395" t="n"/>
      <c r="M1417" s="113" t="n"/>
      <c r="N1417" s="113" t="n"/>
      <c r="O1417" s="113" t="n"/>
      <c r="P1417" s="398" t="n"/>
      <c r="Q1417" s="398" t="n"/>
      <c r="R1417" s="113" t="n"/>
      <c r="S1417" s="113" t="n"/>
      <c r="T1417" s="113" t="n"/>
      <c r="U1417" s="113" t="n"/>
      <c r="V1417" s="113" t="n"/>
    </row>
    <row r="1418" ht="15.75" customHeight="1">
      <c r="A1418" s="398" t="n"/>
      <c r="B1418" s="238" t="n"/>
      <c r="C1418" s="399" t="n"/>
      <c r="D1418" s="113" t="n"/>
      <c r="E1418" s="113" t="n"/>
      <c r="F1418" s="113" t="n"/>
      <c r="G1418" s="395" t="n"/>
      <c r="H1418" s="395" t="n"/>
      <c r="I1418" s="395" t="n"/>
      <c r="J1418" s="395" t="n"/>
      <c r="K1418" s="395" t="n"/>
      <c r="L1418" s="395" t="n"/>
      <c r="M1418" s="113" t="n"/>
      <c r="N1418" s="113" t="n"/>
      <c r="O1418" s="113" t="n"/>
      <c r="P1418" s="398" t="n"/>
      <c r="Q1418" s="398" t="n"/>
      <c r="R1418" s="113" t="n"/>
      <c r="S1418" s="113" t="n"/>
      <c r="T1418" s="113" t="n"/>
      <c r="U1418" s="113" t="n"/>
      <c r="V1418" s="113" t="n"/>
    </row>
    <row r="1419" ht="15.75" customHeight="1">
      <c r="A1419" s="398" t="n"/>
      <c r="B1419" s="238" t="n"/>
      <c r="C1419" s="399" t="n"/>
      <c r="D1419" s="113" t="n"/>
      <c r="E1419" s="113" t="n"/>
      <c r="F1419" s="113" t="n"/>
      <c r="G1419" s="395" t="n"/>
      <c r="H1419" s="395" t="n"/>
      <c r="I1419" s="395" t="n"/>
      <c r="J1419" s="395" t="n"/>
      <c r="K1419" s="395" t="n"/>
      <c r="L1419" s="395" t="n"/>
      <c r="M1419" s="113" t="n"/>
      <c r="N1419" s="113" t="n"/>
      <c r="O1419" s="113" t="n"/>
      <c r="P1419" s="398" t="n"/>
      <c r="Q1419" s="398" t="n"/>
      <c r="R1419" s="113" t="n"/>
      <c r="S1419" s="113" t="n"/>
      <c r="T1419" s="113" t="n"/>
      <c r="U1419" s="113" t="n"/>
      <c r="V1419" s="113" t="n"/>
    </row>
    <row r="1420" ht="15.75" customHeight="1">
      <c r="A1420" s="398" t="n"/>
      <c r="B1420" s="238" t="n"/>
      <c r="C1420" s="399" t="n"/>
      <c r="D1420" s="113" t="n"/>
      <c r="E1420" s="113" t="n"/>
      <c r="F1420" s="113" t="n"/>
      <c r="G1420" s="395" t="n"/>
      <c r="H1420" s="395" t="n"/>
      <c r="I1420" s="395" t="n"/>
      <c r="J1420" s="395" t="n"/>
      <c r="K1420" s="395" t="n"/>
      <c r="L1420" s="395" t="n"/>
      <c r="M1420" s="113" t="n"/>
      <c r="N1420" s="113" t="n"/>
      <c r="O1420" s="113" t="n"/>
      <c r="P1420" s="398" t="n"/>
      <c r="Q1420" s="398" t="n"/>
      <c r="R1420" s="113" t="n"/>
      <c r="S1420" s="113" t="n"/>
      <c r="T1420" s="113" t="n"/>
      <c r="U1420" s="113" t="n"/>
      <c r="V1420" s="113" t="n"/>
    </row>
    <row r="1421" ht="15.75" customHeight="1">
      <c r="A1421" s="398" t="n"/>
      <c r="B1421" s="238" t="n"/>
      <c r="C1421" s="399" t="n"/>
      <c r="D1421" s="113" t="n"/>
      <c r="E1421" s="113" t="n"/>
      <c r="F1421" s="113" t="n"/>
      <c r="G1421" s="395" t="n"/>
      <c r="H1421" s="395" t="n"/>
      <c r="I1421" s="395" t="n"/>
      <c r="J1421" s="395" t="n"/>
      <c r="K1421" s="395" t="n"/>
      <c r="L1421" s="395" t="n"/>
      <c r="M1421" s="113" t="n"/>
      <c r="N1421" s="113" t="n"/>
      <c r="O1421" s="113" t="n"/>
      <c r="P1421" s="398" t="n"/>
      <c r="Q1421" s="398" t="n"/>
      <c r="R1421" s="113" t="n"/>
      <c r="S1421" s="113" t="n"/>
      <c r="T1421" s="113" t="n"/>
      <c r="U1421" s="113" t="n"/>
      <c r="V1421" s="113" t="n"/>
    </row>
    <row r="1422" ht="15.75" customHeight="1">
      <c r="A1422" s="398" t="n"/>
      <c r="B1422" s="238" t="n"/>
      <c r="C1422" s="399" t="n"/>
      <c r="D1422" s="113" t="n"/>
      <c r="E1422" s="113" t="n"/>
      <c r="F1422" s="113" t="n"/>
      <c r="G1422" s="395" t="n"/>
      <c r="H1422" s="395" t="n"/>
      <c r="I1422" s="395" t="n"/>
      <c r="J1422" s="395" t="n"/>
      <c r="K1422" s="395" t="n"/>
      <c r="L1422" s="395" t="n"/>
      <c r="M1422" s="113" t="n"/>
      <c r="N1422" s="113" t="n"/>
      <c r="O1422" s="113" t="n"/>
      <c r="P1422" s="398" t="n"/>
      <c r="Q1422" s="398" t="n"/>
      <c r="R1422" s="113" t="n"/>
      <c r="S1422" s="113" t="n"/>
      <c r="T1422" s="113" t="n"/>
      <c r="U1422" s="113" t="n"/>
      <c r="V1422" s="113" t="n"/>
    </row>
    <row r="1423" ht="15.75" customHeight="1">
      <c r="A1423" s="398" t="n"/>
      <c r="B1423" s="238" t="n"/>
      <c r="C1423" s="399" t="n"/>
      <c r="D1423" s="113" t="n"/>
      <c r="E1423" s="113" t="n"/>
      <c r="F1423" s="113" t="n"/>
      <c r="G1423" s="395" t="n"/>
      <c r="H1423" s="395" t="n"/>
      <c r="I1423" s="395" t="n"/>
      <c r="J1423" s="395" t="n"/>
      <c r="K1423" s="395" t="n"/>
      <c r="L1423" s="395" t="n"/>
      <c r="M1423" s="113" t="n"/>
      <c r="N1423" s="113" t="n"/>
      <c r="O1423" s="113" t="n"/>
      <c r="P1423" s="398" t="n"/>
      <c r="Q1423" s="398" t="n"/>
      <c r="R1423" s="113" t="n"/>
      <c r="S1423" s="113" t="n"/>
      <c r="T1423" s="113" t="n"/>
      <c r="U1423" s="113" t="n"/>
      <c r="V1423" s="113" t="n"/>
    </row>
    <row r="1424" ht="15.75" customHeight="1">
      <c r="A1424" s="398" t="n"/>
      <c r="B1424" s="238" t="n"/>
      <c r="C1424" s="399" t="n"/>
      <c r="D1424" s="113" t="n"/>
      <c r="E1424" s="113" t="n"/>
      <c r="F1424" s="113" t="n"/>
      <c r="G1424" s="395" t="n"/>
      <c r="H1424" s="395" t="n"/>
      <c r="I1424" s="395" t="n"/>
      <c r="J1424" s="395" t="n"/>
      <c r="K1424" s="395" t="n"/>
      <c r="L1424" s="395" t="n"/>
      <c r="M1424" s="113" t="n"/>
      <c r="N1424" s="113" t="n"/>
      <c r="O1424" s="113" t="n"/>
      <c r="P1424" s="398" t="n"/>
      <c r="Q1424" s="398" t="n"/>
      <c r="R1424" s="113" t="n"/>
      <c r="S1424" s="113" t="n"/>
      <c r="T1424" s="113" t="n"/>
      <c r="U1424" s="113" t="n"/>
      <c r="V1424" s="113" t="n"/>
    </row>
    <row r="1425" ht="15.75" customHeight="1">
      <c r="A1425" s="398" t="n"/>
      <c r="B1425" s="238" t="n"/>
      <c r="C1425" s="399" t="n"/>
      <c r="D1425" s="113" t="n"/>
      <c r="E1425" s="113" t="n"/>
      <c r="F1425" s="113" t="n"/>
      <c r="G1425" s="395" t="n"/>
      <c r="H1425" s="395" t="n"/>
      <c r="I1425" s="395" t="n"/>
      <c r="J1425" s="395" t="n"/>
      <c r="K1425" s="395" t="n"/>
      <c r="L1425" s="395" t="n"/>
      <c r="M1425" s="113" t="n"/>
      <c r="N1425" s="113" t="n"/>
      <c r="O1425" s="113" t="n"/>
      <c r="P1425" s="398" t="n"/>
      <c r="Q1425" s="398" t="n"/>
      <c r="R1425" s="113" t="n"/>
      <c r="S1425" s="113" t="n"/>
      <c r="T1425" s="113" t="n"/>
      <c r="U1425" s="113" t="n"/>
      <c r="V1425" s="113" t="n"/>
    </row>
    <row r="1426" ht="15.75" customHeight="1">
      <c r="A1426" s="398" t="n"/>
      <c r="B1426" s="238" t="n"/>
      <c r="C1426" s="399" t="n"/>
      <c r="D1426" s="113" t="n"/>
      <c r="E1426" s="113" t="n"/>
      <c r="F1426" s="113" t="n"/>
      <c r="G1426" s="395" t="n"/>
      <c r="H1426" s="395" t="n"/>
      <c r="I1426" s="395" t="n"/>
      <c r="J1426" s="395" t="n"/>
      <c r="K1426" s="395" t="n"/>
      <c r="L1426" s="395" t="n"/>
      <c r="M1426" s="113" t="n"/>
      <c r="N1426" s="113" t="n"/>
      <c r="O1426" s="113" t="n"/>
      <c r="P1426" s="398" t="n"/>
      <c r="Q1426" s="398" t="n"/>
      <c r="R1426" s="113" t="n"/>
      <c r="S1426" s="113" t="n"/>
      <c r="T1426" s="113" t="n"/>
      <c r="U1426" s="113" t="n"/>
      <c r="V1426" s="113" t="n"/>
    </row>
    <row r="1427" ht="15.75" customHeight="1">
      <c r="A1427" s="398" t="n"/>
      <c r="B1427" s="238" t="n"/>
      <c r="C1427" s="399" t="n"/>
      <c r="D1427" s="113" t="n"/>
      <c r="E1427" s="113" t="n"/>
      <c r="F1427" s="113" t="n"/>
      <c r="G1427" s="395" t="n"/>
      <c r="H1427" s="395" t="n"/>
      <c r="I1427" s="395" t="n"/>
      <c r="J1427" s="395" t="n"/>
      <c r="K1427" s="395" t="n"/>
      <c r="L1427" s="395" t="n"/>
      <c r="M1427" s="113" t="n"/>
      <c r="N1427" s="113" t="n"/>
      <c r="O1427" s="113" t="n"/>
      <c r="P1427" s="398" t="n"/>
      <c r="Q1427" s="398" t="n"/>
      <c r="R1427" s="113" t="n"/>
      <c r="S1427" s="113" t="n"/>
      <c r="T1427" s="113" t="n"/>
      <c r="U1427" s="113" t="n"/>
      <c r="V1427" s="113" t="n"/>
    </row>
    <row r="1428" ht="15.75" customHeight="1">
      <c r="A1428" s="398" t="n"/>
      <c r="B1428" s="238" t="n"/>
      <c r="C1428" s="399" t="n"/>
      <c r="D1428" s="113" t="n"/>
      <c r="E1428" s="113" t="n"/>
      <c r="F1428" s="113" t="n"/>
      <c r="G1428" s="395" t="n"/>
      <c r="H1428" s="395" t="n"/>
      <c r="I1428" s="395" t="n"/>
      <c r="J1428" s="395" t="n"/>
      <c r="K1428" s="395" t="n"/>
      <c r="L1428" s="395" t="n"/>
      <c r="M1428" s="113" t="n"/>
      <c r="N1428" s="113" t="n"/>
      <c r="O1428" s="113" t="n"/>
      <c r="P1428" s="398" t="n"/>
      <c r="Q1428" s="398" t="n"/>
      <c r="R1428" s="113" t="n"/>
      <c r="S1428" s="113" t="n"/>
      <c r="T1428" s="113" t="n"/>
      <c r="U1428" s="113" t="n"/>
      <c r="V1428" s="113" t="n"/>
    </row>
    <row r="1429" ht="15.75" customHeight="1">
      <c r="A1429" s="398" t="n"/>
      <c r="B1429" s="238" t="n"/>
      <c r="C1429" s="399" t="n"/>
      <c r="D1429" s="113" t="n"/>
      <c r="E1429" s="113" t="n"/>
      <c r="F1429" s="113" t="n"/>
      <c r="G1429" s="395" t="n"/>
      <c r="H1429" s="395" t="n"/>
      <c r="I1429" s="395" t="n"/>
      <c r="J1429" s="395" t="n"/>
      <c r="K1429" s="395" t="n"/>
      <c r="L1429" s="395" t="n"/>
      <c r="M1429" s="113" t="n"/>
      <c r="N1429" s="113" t="n"/>
      <c r="O1429" s="113" t="n"/>
      <c r="P1429" s="398" t="n"/>
      <c r="Q1429" s="398" t="n"/>
      <c r="R1429" s="113" t="n"/>
      <c r="S1429" s="113" t="n"/>
      <c r="T1429" s="113" t="n"/>
      <c r="U1429" s="113" t="n"/>
      <c r="V1429" s="113" t="n"/>
    </row>
    <row r="1430" ht="15.75" customHeight="1">
      <c r="A1430" s="398" t="n"/>
      <c r="B1430" s="238" t="n"/>
      <c r="C1430" s="399" t="n"/>
      <c r="D1430" s="113" t="n"/>
      <c r="E1430" s="113" t="n"/>
      <c r="F1430" s="113" t="n"/>
      <c r="G1430" s="395" t="n"/>
      <c r="H1430" s="395" t="n"/>
      <c r="I1430" s="395" t="n"/>
      <c r="J1430" s="395" t="n"/>
      <c r="K1430" s="395" t="n"/>
      <c r="L1430" s="395" t="n"/>
      <c r="M1430" s="113" t="n"/>
      <c r="N1430" s="113" t="n"/>
      <c r="O1430" s="113" t="n"/>
      <c r="P1430" s="398" t="n"/>
      <c r="Q1430" s="398" t="n"/>
      <c r="R1430" s="113" t="n"/>
      <c r="S1430" s="113" t="n"/>
      <c r="T1430" s="113" t="n"/>
      <c r="U1430" s="113" t="n"/>
      <c r="V1430" s="113" t="n"/>
    </row>
    <row r="1431" ht="15.75" customHeight="1">
      <c r="A1431" s="398" t="n"/>
      <c r="B1431" s="238" t="n"/>
      <c r="C1431" s="399" t="n"/>
      <c r="D1431" s="162" t="n"/>
      <c r="E1431" s="162" t="n"/>
      <c r="F1431" s="162" t="n"/>
      <c r="G1431" s="162" t="n"/>
      <c r="H1431" s="162" t="n"/>
      <c r="I1431" s="162" t="n"/>
      <c r="J1431" s="162" t="n"/>
      <c r="K1431" s="162" t="n"/>
      <c r="L1431" s="395" t="n"/>
      <c r="M1431" s="113" t="n"/>
      <c r="N1431" s="113" t="n"/>
      <c r="O1431" s="113" t="n"/>
      <c r="P1431" s="398" t="n"/>
      <c r="Q1431" s="398" t="n"/>
      <c r="R1431" s="113" t="n"/>
      <c r="S1431" s="113" t="n"/>
      <c r="T1431" s="113" t="n"/>
      <c r="U1431" s="113" t="n"/>
      <c r="V1431" s="113" t="n"/>
    </row>
    <row r="1432" ht="15.75" customHeight="1">
      <c r="A1432" s="398" t="n"/>
      <c r="B1432" s="238" t="n"/>
      <c r="C1432" s="399" t="n"/>
      <c r="D1432" s="162" t="n"/>
      <c r="E1432" s="162" t="n"/>
      <c r="F1432" s="162" t="n"/>
      <c r="G1432" s="162" t="n"/>
      <c r="H1432" s="162" t="n"/>
      <c r="I1432" s="162" t="n"/>
      <c r="J1432" s="162" t="n"/>
      <c r="K1432" s="162" t="n"/>
      <c r="L1432" s="395" t="n"/>
      <c r="M1432" s="113" t="n"/>
      <c r="N1432" s="113" t="n"/>
      <c r="O1432" s="113" t="n"/>
      <c r="P1432" s="398" t="n"/>
      <c r="Q1432" s="398" t="n"/>
      <c r="R1432" s="113" t="n"/>
      <c r="S1432" s="113" t="n"/>
      <c r="T1432" s="113" t="n"/>
      <c r="U1432" s="113" t="n"/>
      <c r="V1432" s="113" t="n"/>
    </row>
    <row r="1433" ht="15.75" customHeight="1">
      <c r="A1433" s="398" t="n"/>
      <c r="B1433" s="238" t="n"/>
      <c r="C1433" s="399" t="n"/>
      <c r="D1433" s="162" t="n"/>
      <c r="E1433" s="162" t="n"/>
      <c r="F1433" s="162" t="n"/>
      <c r="G1433" s="162" t="n"/>
      <c r="H1433" s="162" t="n"/>
      <c r="I1433" s="162" t="n"/>
      <c r="J1433" s="162" t="n"/>
      <c r="K1433" s="162" t="n"/>
      <c r="L1433" s="395" t="n"/>
      <c r="M1433" s="113" t="n"/>
      <c r="N1433" s="113" t="n"/>
      <c r="O1433" s="113" t="n"/>
      <c r="P1433" s="398" t="n"/>
      <c r="Q1433" s="398" t="n"/>
      <c r="R1433" s="113" t="n"/>
      <c r="S1433" s="113" t="n"/>
      <c r="T1433" s="113" t="n"/>
      <c r="U1433" s="113" t="n"/>
      <c r="V1433" s="113" t="n"/>
    </row>
    <row r="1434" ht="15.75" customHeight="1">
      <c r="A1434" s="398" t="n"/>
      <c r="B1434" s="238" t="n"/>
      <c r="C1434" s="399" t="n"/>
      <c r="D1434" s="162" t="n"/>
      <c r="E1434" s="162" t="n"/>
      <c r="F1434" s="162" t="n"/>
      <c r="G1434" s="162" t="n"/>
      <c r="H1434" s="162" t="n"/>
      <c r="I1434" s="162" t="n"/>
      <c r="J1434" s="162" t="n"/>
      <c r="K1434" s="162" t="n"/>
      <c r="L1434" s="395" t="n"/>
      <c r="M1434" s="113" t="n"/>
      <c r="N1434" s="113" t="n"/>
      <c r="O1434" s="113" t="n"/>
      <c r="P1434" s="398" t="n"/>
      <c r="Q1434" s="398" t="n"/>
      <c r="R1434" s="113" t="n"/>
      <c r="S1434" s="113" t="n"/>
      <c r="T1434" s="113" t="n"/>
      <c r="U1434" s="113" t="n"/>
      <c r="V1434" s="113" t="n"/>
    </row>
    <row r="1435" ht="15.75" customHeight="1">
      <c r="A1435" s="398" t="n"/>
      <c r="B1435" s="238" t="n"/>
      <c r="C1435" s="399" t="n"/>
      <c r="D1435" s="162" t="n"/>
      <c r="E1435" s="162" t="n"/>
      <c r="F1435" s="162" t="n"/>
      <c r="G1435" s="162" t="n"/>
      <c r="H1435" s="162" t="n"/>
      <c r="I1435" s="162" t="n"/>
      <c r="J1435" s="162" t="n"/>
      <c r="K1435" s="162" t="n"/>
      <c r="L1435" s="395" t="n"/>
      <c r="M1435" s="113" t="n"/>
      <c r="N1435" s="113" t="n"/>
      <c r="O1435" s="113" t="n"/>
      <c r="P1435" s="398" t="n"/>
      <c r="Q1435" s="398" t="n"/>
      <c r="R1435" s="113" t="n"/>
      <c r="S1435" s="113" t="n"/>
      <c r="T1435" s="113" t="n"/>
      <c r="U1435" s="113" t="n"/>
      <c r="V1435" s="113" t="n"/>
    </row>
    <row r="1436" ht="15.75" customHeight="1">
      <c r="A1436" s="398" t="n"/>
      <c r="B1436" s="238" t="n"/>
      <c r="C1436" s="399" t="n"/>
      <c r="D1436" s="113" t="n"/>
      <c r="E1436" s="113" t="n"/>
      <c r="F1436" s="113" t="n"/>
      <c r="G1436" s="395" t="n"/>
      <c r="H1436" s="395" t="n"/>
      <c r="I1436" s="395" t="n"/>
      <c r="J1436" s="395" t="n"/>
      <c r="K1436" s="395" t="n"/>
      <c r="L1436" s="395" t="n"/>
      <c r="M1436" s="113" t="n"/>
      <c r="N1436" s="113" t="n"/>
      <c r="O1436" s="113" t="n"/>
      <c r="P1436" s="398" t="n"/>
      <c r="Q1436" s="398" t="n"/>
      <c r="R1436" s="113" t="n"/>
      <c r="S1436" s="113" t="n"/>
      <c r="T1436" s="113" t="n"/>
      <c r="U1436" s="113" t="n"/>
      <c r="V1436" s="113" t="n"/>
    </row>
    <row r="1437" ht="15.75" customHeight="1">
      <c r="A1437" s="398" t="n"/>
      <c r="B1437" s="238" t="n"/>
      <c r="C1437" s="399" t="n"/>
      <c r="D1437" s="162" t="n"/>
      <c r="E1437" s="162" t="n"/>
      <c r="F1437" s="162" t="n"/>
      <c r="G1437" s="162" t="n"/>
      <c r="H1437" s="162" t="n"/>
      <c r="I1437" s="162" t="n"/>
      <c r="J1437" s="162" t="n"/>
      <c r="K1437" s="162" t="n"/>
      <c r="L1437" s="395" t="n"/>
      <c r="M1437" s="113" t="n"/>
      <c r="N1437" s="113" t="n"/>
      <c r="O1437" s="113" t="n"/>
      <c r="P1437" s="398" t="n"/>
      <c r="Q1437" s="398" t="n"/>
      <c r="R1437" s="113" t="n"/>
      <c r="S1437" s="113" t="n"/>
      <c r="T1437" s="113" t="n"/>
      <c r="U1437" s="113" t="n"/>
      <c r="V1437" s="113" t="n"/>
    </row>
    <row r="1438" ht="15.75" customHeight="1">
      <c r="A1438" s="398" t="n"/>
      <c r="B1438" s="238" t="n"/>
      <c r="C1438" s="399" t="n"/>
      <c r="D1438" s="162" t="n"/>
      <c r="E1438" s="162" t="n"/>
      <c r="F1438" s="162" t="n"/>
      <c r="G1438" s="162" t="n"/>
      <c r="H1438" s="162" t="n"/>
      <c r="I1438" s="162" t="n"/>
      <c r="J1438" s="162" t="n"/>
      <c r="K1438" s="162" t="n"/>
      <c r="L1438" s="395" t="n"/>
      <c r="M1438" s="113" t="n"/>
      <c r="N1438" s="113" t="n"/>
      <c r="O1438" s="113" t="n"/>
      <c r="P1438" s="398" t="n"/>
      <c r="Q1438" s="398" t="n"/>
      <c r="R1438" s="113" t="n"/>
      <c r="S1438" s="113" t="n"/>
      <c r="T1438" s="113" t="n"/>
      <c r="U1438" s="113" t="n"/>
      <c r="V1438" s="113" t="n"/>
    </row>
    <row r="1439" ht="15.75" customHeight="1">
      <c r="A1439" s="398" t="n"/>
      <c r="B1439" s="238" t="n"/>
      <c r="C1439" s="399" t="n"/>
      <c r="D1439" s="162" t="n"/>
      <c r="E1439" s="162" t="n"/>
      <c r="F1439" s="162" t="n"/>
      <c r="G1439" s="162" t="n"/>
      <c r="H1439" s="162" t="n"/>
      <c r="I1439" s="162" t="n"/>
      <c r="J1439" s="162" t="n"/>
      <c r="K1439" s="162" t="n"/>
      <c r="L1439" s="395" t="n"/>
      <c r="M1439" s="113" t="n"/>
      <c r="N1439" s="113" t="n"/>
      <c r="O1439" s="113" t="n"/>
      <c r="P1439" s="398" t="n"/>
      <c r="Q1439" s="398" t="n"/>
      <c r="R1439" s="113" t="n"/>
      <c r="S1439" s="113" t="n"/>
      <c r="T1439" s="113" t="n"/>
      <c r="U1439" s="113" t="n"/>
      <c r="V1439" s="113" t="n"/>
    </row>
    <row r="1440" ht="15.75" customHeight="1">
      <c r="A1440" s="398" t="n"/>
      <c r="B1440" s="238" t="n"/>
      <c r="C1440" s="399" t="n"/>
      <c r="D1440" s="162" t="n"/>
      <c r="E1440" s="162" t="n"/>
      <c r="F1440" s="162" t="n"/>
      <c r="G1440" s="162" t="n"/>
      <c r="H1440" s="162" t="n"/>
      <c r="I1440" s="162" t="n"/>
      <c r="J1440" s="162" t="n"/>
      <c r="K1440" s="162" t="n"/>
      <c r="L1440" s="395" t="n"/>
      <c r="M1440" s="113" t="n"/>
      <c r="N1440" s="113" t="n"/>
      <c r="O1440" s="113" t="n"/>
      <c r="P1440" s="398" t="n"/>
      <c r="Q1440" s="398" t="n"/>
      <c r="R1440" s="113" t="n"/>
      <c r="S1440" s="113" t="n"/>
      <c r="T1440" s="113" t="n"/>
      <c r="U1440" s="113" t="n"/>
      <c r="V1440" s="113" t="n"/>
    </row>
    <row r="1441" ht="15.75" customHeight="1">
      <c r="A1441" s="398" t="n"/>
      <c r="B1441" s="238" t="n"/>
      <c r="C1441" s="399" t="n"/>
      <c r="D1441" s="162" t="n"/>
      <c r="E1441" s="162" t="n"/>
      <c r="F1441" s="162" t="n"/>
      <c r="G1441" s="162" t="n"/>
      <c r="H1441" s="162" t="n"/>
      <c r="I1441" s="162" t="n"/>
      <c r="J1441" s="162" t="n"/>
      <c r="K1441" s="162" t="n"/>
      <c r="L1441" s="395" t="n"/>
      <c r="M1441" s="113" t="n"/>
      <c r="N1441" s="113" t="n"/>
      <c r="O1441" s="113" t="n"/>
      <c r="P1441" s="398" t="n"/>
      <c r="Q1441" s="398" t="n"/>
      <c r="R1441" s="113" t="n"/>
      <c r="S1441" s="113" t="n"/>
      <c r="T1441" s="113" t="n"/>
      <c r="U1441" s="113" t="n"/>
      <c r="V1441" s="113" t="n"/>
    </row>
    <row r="1442" ht="15.75" customHeight="1">
      <c r="A1442" s="398" t="n"/>
      <c r="B1442" s="238" t="n"/>
      <c r="C1442" s="399" t="n"/>
      <c r="D1442" s="162" t="n"/>
      <c r="E1442" s="162" t="n"/>
      <c r="F1442" s="162" t="n"/>
      <c r="G1442" s="162" t="n"/>
      <c r="H1442" s="162" t="n"/>
      <c r="I1442" s="162" t="n"/>
      <c r="J1442" s="162" t="n"/>
      <c r="K1442" s="162" t="n"/>
      <c r="L1442" s="395" t="n"/>
      <c r="M1442" s="113" t="n"/>
      <c r="N1442" s="113" t="n"/>
      <c r="O1442" s="113" t="n"/>
      <c r="P1442" s="398" t="n"/>
      <c r="Q1442" s="398" t="n"/>
      <c r="R1442" s="113" t="n"/>
      <c r="S1442" s="113" t="n"/>
      <c r="T1442" s="113" t="n"/>
      <c r="U1442" s="113" t="n"/>
      <c r="V1442" s="113" t="n"/>
    </row>
    <row r="1443" ht="15.75" customHeight="1">
      <c r="A1443" s="398" t="n"/>
      <c r="B1443" s="238" t="n"/>
      <c r="C1443" s="399" t="n"/>
      <c r="D1443" s="113" t="n"/>
      <c r="E1443" s="113" t="n"/>
      <c r="F1443" s="113" t="n"/>
      <c r="G1443" s="395" t="n"/>
      <c r="H1443" s="395" t="n"/>
      <c r="I1443" s="395" t="n"/>
      <c r="J1443" s="395" t="n"/>
      <c r="K1443" s="395" t="n"/>
      <c r="L1443" s="395" t="n"/>
      <c r="M1443" s="113" t="n"/>
      <c r="N1443" s="113" t="n"/>
      <c r="O1443" s="113" t="n"/>
      <c r="P1443" s="398" t="n"/>
      <c r="Q1443" s="398" t="n"/>
      <c r="R1443" s="113" t="n"/>
      <c r="S1443" s="113" t="n"/>
      <c r="T1443" s="113" t="n"/>
      <c r="U1443" s="113" t="n"/>
      <c r="V1443" s="113" t="n"/>
    </row>
    <row r="1444" ht="15.75" customHeight="1">
      <c r="A1444" s="398" t="n"/>
      <c r="B1444" s="238" t="n"/>
      <c r="C1444" s="399" t="n"/>
      <c r="D1444" s="113" t="n"/>
      <c r="E1444" s="113" t="n"/>
      <c r="F1444" s="113" t="n"/>
      <c r="G1444" s="395" t="n"/>
      <c r="H1444" s="395" t="n"/>
      <c r="I1444" s="395" t="n"/>
      <c r="J1444" s="395" t="n"/>
      <c r="K1444" s="395" t="n"/>
      <c r="L1444" s="395" t="n"/>
      <c r="M1444" s="113" t="n"/>
      <c r="N1444" s="113" t="n"/>
      <c r="O1444" s="113" t="n"/>
      <c r="P1444" s="398" t="n"/>
      <c r="Q1444" s="398" t="n"/>
      <c r="R1444" s="113" t="n"/>
      <c r="S1444" s="113" t="n"/>
      <c r="T1444" s="113" t="n"/>
      <c r="U1444" s="113" t="n"/>
      <c r="V1444" s="113" t="n"/>
    </row>
    <row r="1445" ht="15.75" customHeight="1">
      <c r="A1445" s="398" t="n"/>
      <c r="B1445" s="238" t="n"/>
      <c r="C1445" s="399" t="n"/>
      <c r="D1445" s="162" t="n"/>
      <c r="E1445" s="162" t="n"/>
      <c r="F1445" s="162" t="n"/>
      <c r="G1445" s="162" t="n"/>
      <c r="H1445" s="162" t="n"/>
      <c r="I1445" s="162" t="n"/>
      <c r="J1445" s="162" t="n"/>
      <c r="K1445" s="162" t="n"/>
      <c r="L1445" s="395" t="n"/>
      <c r="M1445" s="113" t="n"/>
      <c r="N1445" s="113" t="n"/>
      <c r="O1445" s="113" t="n"/>
      <c r="P1445" s="398" t="n"/>
      <c r="Q1445" s="398" t="n"/>
      <c r="R1445" s="113" t="n"/>
      <c r="S1445" s="113" t="n"/>
      <c r="T1445" s="113" t="n"/>
      <c r="U1445" s="113" t="n"/>
      <c r="V1445" s="113" t="n"/>
    </row>
    <row r="1446" ht="15.75" customHeight="1">
      <c r="A1446" s="398" t="n"/>
      <c r="B1446" s="238" t="n"/>
      <c r="C1446" s="399" t="n"/>
      <c r="D1446" s="162" t="n"/>
      <c r="E1446" s="162" t="n"/>
      <c r="F1446" s="162" t="n"/>
      <c r="G1446" s="162" t="n"/>
      <c r="H1446" s="162" t="n"/>
      <c r="I1446" s="162" t="n"/>
      <c r="J1446" s="162" t="n"/>
      <c r="K1446" s="162" t="n"/>
      <c r="L1446" s="395" t="n"/>
      <c r="M1446" s="113" t="n"/>
      <c r="N1446" s="113" t="n"/>
      <c r="O1446" s="113" t="n"/>
      <c r="P1446" s="398" t="n"/>
      <c r="Q1446" s="398" t="n"/>
      <c r="R1446" s="113" t="n"/>
      <c r="S1446" s="113" t="n"/>
      <c r="T1446" s="113" t="n"/>
      <c r="U1446" s="113" t="n"/>
      <c r="V1446" s="113" t="n"/>
    </row>
    <row r="1447" ht="15.75" customHeight="1">
      <c r="A1447" s="398" t="n"/>
      <c r="B1447" s="238" t="n"/>
      <c r="C1447" s="399" t="n"/>
      <c r="D1447" s="162" t="n"/>
      <c r="E1447" s="162" t="n"/>
      <c r="F1447" s="162" t="n"/>
      <c r="G1447" s="162" t="n"/>
      <c r="H1447" s="162" t="n"/>
      <c r="I1447" s="162" t="n"/>
      <c r="J1447" s="162" t="n"/>
      <c r="K1447" s="162" t="n"/>
      <c r="L1447" s="395" t="n"/>
      <c r="M1447" s="113" t="n"/>
      <c r="N1447" s="113" t="n"/>
      <c r="O1447" s="113" t="n"/>
      <c r="P1447" s="398" t="n"/>
      <c r="Q1447" s="398" t="n"/>
      <c r="R1447" s="113" t="n"/>
      <c r="S1447" s="113" t="n"/>
      <c r="T1447" s="113" t="n"/>
      <c r="U1447" s="113" t="n"/>
      <c r="V1447" s="113" t="n"/>
    </row>
    <row r="1448" ht="15.75" customHeight="1">
      <c r="A1448" s="398" t="n"/>
      <c r="B1448" s="238" t="n"/>
      <c r="C1448" s="399" t="n"/>
      <c r="D1448" s="162" t="n"/>
      <c r="E1448" s="162" t="n"/>
      <c r="F1448" s="162" t="n"/>
      <c r="G1448" s="162" t="n"/>
      <c r="H1448" s="162" t="n"/>
      <c r="I1448" s="162" t="n"/>
      <c r="J1448" s="162" t="n"/>
      <c r="K1448" s="162" t="n"/>
      <c r="L1448" s="395" t="n"/>
      <c r="M1448" s="113" t="n"/>
      <c r="N1448" s="113" t="n"/>
      <c r="O1448" s="113" t="n"/>
      <c r="P1448" s="398" t="n"/>
      <c r="Q1448" s="398" t="n"/>
      <c r="R1448" s="113" t="n"/>
      <c r="S1448" s="113" t="n"/>
      <c r="T1448" s="113" t="n"/>
      <c r="U1448" s="113" t="n"/>
      <c r="V1448" s="113" t="n"/>
    </row>
    <row r="1449" ht="15.75" customHeight="1">
      <c r="A1449" s="398" t="n"/>
      <c r="B1449" s="238" t="n"/>
      <c r="C1449" s="399" t="n"/>
      <c r="D1449" s="162" t="n"/>
      <c r="E1449" s="162" t="n"/>
      <c r="F1449" s="162" t="n"/>
      <c r="G1449" s="162" t="n"/>
      <c r="H1449" s="162" t="n"/>
      <c r="I1449" s="162" t="n"/>
      <c r="J1449" s="162" t="n"/>
      <c r="K1449" s="162" t="n"/>
      <c r="L1449" s="395" t="n"/>
      <c r="M1449" s="113" t="n"/>
      <c r="N1449" s="113" t="n"/>
      <c r="O1449" s="113" t="n"/>
      <c r="P1449" s="398" t="n"/>
      <c r="Q1449" s="398" t="n"/>
      <c r="R1449" s="113" t="n"/>
      <c r="S1449" s="113" t="n"/>
      <c r="T1449" s="113" t="n"/>
      <c r="U1449" s="113" t="n"/>
      <c r="V1449" s="113" t="n"/>
    </row>
    <row r="1450" ht="15.75" customHeight="1">
      <c r="A1450" s="398" t="n"/>
      <c r="B1450" s="238" t="n"/>
      <c r="C1450" s="399" t="n"/>
      <c r="D1450" s="162" t="n"/>
      <c r="E1450" s="162" t="n"/>
      <c r="F1450" s="162" t="n"/>
      <c r="G1450" s="162" t="n"/>
      <c r="H1450" s="162" t="n"/>
      <c r="I1450" s="162" t="n"/>
      <c r="J1450" s="162" t="n"/>
      <c r="K1450" s="162" t="n"/>
      <c r="L1450" s="395" t="n"/>
      <c r="M1450" s="113" t="n"/>
      <c r="N1450" s="113" t="n"/>
      <c r="O1450" s="113" t="n"/>
      <c r="P1450" s="398" t="n"/>
      <c r="Q1450" s="398" t="n"/>
      <c r="R1450" s="113" t="n"/>
      <c r="S1450" s="113" t="n"/>
      <c r="T1450" s="113" t="n"/>
      <c r="U1450" s="113" t="n"/>
      <c r="V1450" s="113" t="n"/>
    </row>
    <row r="1451" ht="15.75" customHeight="1">
      <c r="A1451" s="398" t="n"/>
      <c r="B1451" s="238" t="n"/>
      <c r="C1451" s="399" t="n"/>
      <c r="D1451" s="162" t="n"/>
      <c r="E1451" s="162" t="n"/>
      <c r="F1451" s="162" t="n"/>
      <c r="G1451" s="162" t="n"/>
      <c r="H1451" s="162" t="n"/>
      <c r="I1451" s="162" t="n"/>
      <c r="J1451" s="162" t="n"/>
      <c r="K1451" s="162" t="n"/>
      <c r="L1451" s="395" t="n"/>
      <c r="M1451" s="113" t="n"/>
      <c r="N1451" s="113" t="n"/>
      <c r="O1451" s="113" t="n"/>
      <c r="P1451" s="398" t="n"/>
      <c r="Q1451" s="398" t="n"/>
      <c r="R1451" s="113" t="n"/>
      <c r="S1451" s="113" t="n"/>
      <c r="T1451" s="113" t="n"/>
      <c r="U1451" s="113" t="n"/>
      <c r="V1451" s="113" t="n"/>
    </row>
    <row r="1452" ht="15.75" customHeight="1">
      <c r="A1452" s="398" t="n"/>
      <c r="B1452" s="238" t="n"/>
      <c r="C1452" s="399" t="n"/>
      <c r="D1452" s="162" t="n"/>
      <c r="E1452" s="162" t="n"/>
      <c r="F1452" s="162" t="n"/>
      <c r="G1452" s="162" t="n"/>
      <c r="H1452" s="162" t="n"/>
      <c r="I1452" s="162" t="n"/>
      <c r="J1452" s="162" t="n"/>
      <c r="K1452" s="162" t="n"/>
      <c r="L1452" s="395" t="n"/>
      <c r="M1452" s="113" t="n"/>
      <c r="N1452" s="113" t="n"/>
      <c r="O1452" s="113" t="n"/>
      <c r="P1452" s="398" t="n"/>
      <c r="Q1452" s="398" t="n"/>
      <c r="R1452" s="113" t="n"/>
      <c r="S1452" s="113" t="n"/>
      <c r="T1452" s="113" t="n"/>
      <c r="U1452" s="113" t="n"/>
      <c r="V1452" s="113" t="n"/>
    </row>
    <row r="1453" ht="15.75" customHeight="1">
      <c r="A1453" s="113" t="n"/>
      <c r="B1453" s="238" t="n"/>
      <c r="C1453" s="399" t="n"/>
      <c r="D1453" s="162" t="n"/>
      <c r="E1453" s="162" t="n"/>
      <c r="F1453" s="162" t="n"/>
      <c r="G1453" s="162" t="n"/>
      <c r="H1453" s="162" t="n"/>
      <c r="I1453" s="162" t="n"/>
      <c r="J1453" s="162" t="n"/>
      <c r="K1453" s="162" t="n"/>
      <c r="L1453" s="395" t="n"/>
      <c r="M1453" s="113" t="n"/>
      <c r="N1453" s="113" t="n"/>
      <c r="O1453" s="113" t="n"/>
      <c r="P1453" s="398" t="n"/>
      <c r="Q1453" s="398" t="n"/>
      <c r="R1453" s="113" t="n"/>
      <c r="S1453" s="113" t="n"/>
      <c r="T1453" s="113" t="n"/>
      <c r="U1453" s="113" t="n"/>
      <c r="V1453" s="113" t="n"/>
    </row>
    <row r="1454" ht="15.75" customHeight="1">
      <c r="A1454" s="113" t="n"/>
      <c r="B1454" s="238" t="n"/>
      <c r="C1454" s="399" t="n"/>
      <c r="D1454" s="162" t="n"/>
      <c r="E1454" s="162" t="n"/>
      <c r="F1454" s="162" t="n"/>
      <c r="G1454" s="162" t="n"/>
      <c r="H1454" s="162" t="n"/>
      <c r="I1454" s="162" t="n"/>
      <c r="J1454" s="162" t="n"/>
      <c r="K1454" s="162" t="n"/>
      <c r="L1454" s="395" t="n"/>
      <c r="M1454" s="113" t="n"/>
      <c r="N1454" s="113" t="n"/>
      <c r="O1454" s="113" t="n"/>
      <c r="P1454" s="398" t="n"/>
      <c r="Q1454" s="398" t="n"/>
      <c r="R1454" s="113" t="n"/>
      <c r="S1454" s="113" t="n"/>
      <c r="T1454" s="113" t="n"/>
      <c r="U1454" s="113" t="n"/>
      <c r="V1454" s="113" t="n"/>
    </row>
    <row r="1455" ht="15.75" customHeight="1">
      <c r="A1455" s="113" t="n"/>
      <c r="B1455" s="238" t="n"/>
      <c r="C1455" s="399" t="n"/>
      <c r="D1455" s="113" t="n"/>
      <c r="E1455" s="113" t="n"/>
      <c r="F1455" s="113" t="n"/>
      <c r="G1455" s="395" t="n"/>
      <c r="H1455" s="395" t="n"/>
      <c r="I1455" s="395" t="n"/>
      <c r="J1455" s="395" t="n"/>
      <c r="K1455" s="395" t="n"/>
      <c r="L1455" s="395" t="n"/>
      <c r="M1455" s="113" t="n"/>
      <c r="N1455" s="113" t="n"/>
      <c r="O1455" s="113" t="n"/>
      <c r="P1455" s="398" t="n"/>
      <c r="Q1455" s="398" t="n"/>
      <c r="R1455" s="113" t="n"/>
      <c r="S1455" s="113" t="n"/>
      <c r="T1455" s="113" t="n"/>
      <c r="U1455" s="113" t="n"/>
      <c r="V1455" s="113" t="n"/>
    </row>
    <row r="1456" ht="15.75" customHeight="1">
      <c r="A1456" s="113" t="n"/>
      <c r="B1456" s="238" t="n"/>
      <c r="C1456" s="399" t="n"/>
      <c r="D1456" s="113" t="n"/>
      <c r="E1456" s="113" t="n"/>
      <c r="F1456" s="113" t="n"/>
      <c r="G1456" s="395" t="n"/>
      <c r="H1456" s="395" t="n"/>
      <c r="I1456" s="395" t="n"/>
      <c r="J1456" s="395" t="n"/>
      <c r="K1456" s="395" t="n"/>
      <c r="L1456" s="395" t="n"/>
      <c r="M1456" s="113" t="n"/>
      <c r="N1456" s="113" t="n"/>
      <c r="O1456" s="113" t="n"/>
      <c r="P1456" s="398" t="n"/>
      <c r="Q1456" s="398" t="n"/>
      <c r="R1456" s="113" t="n"/>
      <c r="S1456" s="113" t="n"/>
      <c r="T1456" s="113" t="n"/>
      <c r="U1456" s="113" t="n"/>
      <c r="V1456" s="113" t="n"/>
    </row>
    <row r="1457" ht="15.75" customHeight="1">
      <c r="A1457" s="113" t="n"/>
      <c r="B1457" s="238" t="n"/>
      <c r="C1457" s="399" t="n"/>
      <c r="D1457" s="113" t="n"/>
      <c r="E1457" s="113" t="n"/>
      <c r="F1457" s="113" t="n"/>
      <c r="G1457" s="395" t="n"/>
      <c r="H1457" s="395" t="n"/>
      <c r="I1457" s="395" t="n"/>
      <c r="J1457" s="395" t="n"/>
      <c r="K1457" s="395" t="n"/>
      <c r="L1457" s="395" t="n"/>
      <c r="M1457" s="113" t="n"/>
      <c r="N1457" s="113" t="n"/>
      <c r="O1457" s="113" t="n"/>
      <c r="P1457" s="398" t="n"/>
      <c r="Q1457" s="398" t="n"/>
      <c r="R1457" s="113" t="n"/>
      <c r="S1457" s="113" t="n"/>
      <c r="T1457" s="113" t="n"/>
      <c r="U1457" s="113" t="n"/>
      <c r="V1457" s="113" t="n"/>
    </row>
    <row r="1458" ht="15.75" customHeight="1">
      <c r="A1458" s="113" t="n"/>
      <c r="B1458" s="238" t="n"/>
      <c r="C1458" s="399" t="n"/>
      <c r="D1458" s="113" t="n"/>
      <c r="E1458" s="113" t="n"/>
      <c r="F1458" s="113" t="n"/>
      <c r="G1458" s="395" t="n"/>
      <c r="H1458" s="395" t="n"/>
      <c r="I1458" s="395" t="n"/>
      <c r="J1458" s="395" t="n"/>
      <c r="K1458" s="395" t="n"/>
      <c r="L1458" s="395" t="n"/>
      <c r="M1458" s="113" t="n"/>
      <c r="N1458" s="113" t="n"/>
      <c r="O1458" s="113" t="n"/>
      <c r="P1458" s="398" t="n"/>
      <c r="Q1458" s="398" t="n"/>
      <c r="R1458" s="113" t="n"/>
      <c r="S1458" s="113" t="n"/>
      <c r="T1458" s="113" t="n"/>
      <c r="U1458" s="113" t="n"/>
      <c r="V1458" s="113" t="n"/>
    </row>
    <row r="1459" ht="15.75" customHeight="1">
      <c r="A1459" s="113" t="n"/>
      <c r="B1459" s="238" t="n"/>
      <c r="C1459" s="399" t="n"/>
      <c r="D1459" s="113" t="n"/>
      <c r="E1459" s="113" t="n"/>
      <c r="F1459" s="113" t="n"/>
      <c r="G1459" s="395" t="n"/>
      <c r="H1459" s="395" t="n"/>
      <c r="I1459" s="395" t="n"/>
      <c r="J1459" s="395" t="n"/>
      <c r="K1459" s="395" t="n"/>
      <c r="L1459" s="395" t="n"/>
      <c r="M1459" s="113" t="n"/>
      <c r="N1459" s="113" t="n"/>
      <c r="O1459" s="113" t="n"/>
      <c r="P1459" s="398" t="n"/>
      <c r="Q1459" s="398" t="n"/>
      <c r="R1459" s="113" t="n"/>
      <c r="S1459" s="113" t="n"/>
      <c r="T1459" s="113" t="n"/>
      <c r="U1459" s="113" t="n"/>
      <c r="V1459" s="113" t="n"/>
    </row>
    <row r="1460" ht="15.75" customHeight="1">
      <c r="A1460" s="113" t="n"/>
      <c r="B1460" s="238" t="n"/>
      <c r="C1460" s="399" t="n"/>
      <c r="D1460" s="113" t="n"/>
      <c r="E1460" s="113" t="n"/>
      <c r="F1460" s="113" t="n"/>
      <c r="G1460" s="395" t="n"/>
      <c r="H1460" s="395" t="n"/>
      <c r="I1460" s="395" t="n"/>
      <c r="J1460" s="395" t="n"/>
      <c r="K1460" s="395" t="n"/>
      <c r="L1460" s="395" t="n"/>
      <c r="M1460" s="113" t="n"/>
      <c r="N1460" s="113" t="n"/>
      <c r="O1460" s="113" t="n"/>
      <c r="P1460" s="398" t="n"/>
      <c r="Q1460" s="398" t="n"/>
      <c r="R1460" s="113" t="n"/>
      <c r="S1460" s="113" t="n"/>
      <c r="T1460" s="113" t="n"/>
      <c r="U1460" s="113" t="n"/>
      <c r="V1460" s="113" t="n"/>
    </row>
    <row r="1461" ht="15.75" customHeight="1">
      <c r="A1461" s="113" t="n"/>
      <c r="B1461" s="238" t="n"/>
      <c r="C1461" s="399" t="n"/>
      <c r="D1461" s="113" t="n"/>
      <c r="E1461" s="113" t="n"/>
      <c r="F1461" s="113" t="n"/>
      <c r="G1461" s="395" t="n"/>
      <c r="H1461" s="395" t="n"/>
      <c r="I1461" s="395" t="n"/>
      <c r="J1461" s="395" t="n"/>
      <c r="K1461" s="395" t="n"/>
      <c r="L1461" s="395" t="n"/>
      <c r="M1461" s="113" t="n"/>
      <c r="N1461" s="113" t="n"/>
      <c r="O1461" s="113" t="n"/>
      <c r="P1461" s="398" t="n"/>
      <c r="Q1461" s="398" t="n"/>
      <c r="R1461" s="113" t="n"/>
      <c r="S1461" s="113" t="n"/>
      <c r="T1461" s="113" t="n"/>
      <c r="U1461" s="113" t="n"/>
      <c r="V1461" s="113" t="n"/>
    </row>
    <row r="1462" ht="15.75" customHeight="1">
      <c r="A1462" s="113" t="n"/>
      <c r="B1462" s="238" t="n"/>
      <c r="C1462" s="399" t="n"/>
      <c r="D1462" s="162" t="n"/>
      <c r="E1462" s="162" t="n"/>
      <c r="F1462" s="162" t="n"/>
      <c r="G1462" s="162" t="n"/>
      <c r="H1462" s="162" t="n"/>
      <c r="I1462" s="162" t="n"/>
      <c r="J1462" s="162" t="n"/>
      <c r="K1462" s="162" t="n"/>
      <c r="L1462" s="395" t="n"/>
      <c r="M1462" s="113" t="n"/>
      <c r="N1462" s="113" t="n"/>
      <c r="O1462" s="113" t="n"/>
      <c r="P1462" s="398" t="n"/>
      <c r="Q1462" s="398" t="n"/>
      <c r="R1462" s="113" t="n"/>
      <c r="S1462" s="113" t="n"/>
      <c r="T1462" s="113" t="n"/>
      <c r="U1462" s="113" t="n"/>
      <c r="V1462" s="113" t="n"/>
    </row>
    <row r="1463" ht="15.75" customHeight="1">
      <c r="A1463" s="113" t="n"/>
      <c r="B1463" s="238" t="n"/>
      <c r="C1463" s="399" t="n"/>
      <c r="D1463" s="162" t="n"/>
      <c r="E1463" s="162" t="n"/>
      <c r="F1463" s="162" t="n"/>
      <c r="G1463" s="162" t="n"/>
      <c r="H1463" s="162" t="n"/>
      <c r="I1463" s="162" t="n"/>
      <c r="J1463" s="162" t="n"/>
      <c r="K1463" s="162" t="n"/>
      <c r="L1463" s="395" t="n"/>
      <c r="M1463" s="113" t="n"/>
      <c r="N1463" s="113" t="n"/>
      <c r="O1463" s="113" t="n"/>
      <c r="P1463" s="398" t="n"/>
      <c r="Q1463" s="398" t="n"/>
      <c r="R1463" s="113" t="n"/>
      <c r="S1463" s="113" t="n"/>
      <c r="T1463" s="113" t="n"/>
      <c r="U1463" s="113" t="n"/>
      <c r="V1463" s="113" t="n"/>
    </row>
    <row r="1464" ht="15.75" customHeight="1">
      <c r="A1464" s="113" t="n"/>
      <c r="B1464" s="238" t="n"/>
      <c r="C1464" s="399" t="n"/>
      <c r="D1464" s="162" t="n"/>
      <c r="E1464" s="162" t="n"/>
      <c r="F1464" s="162" t="n"/>
      <c r="G1464" s="162" t="n"/>
      <c r="H1464" s="162" t="n"/>
      <c r="I1464" s="162" t="n"/>
      <c r="J1464" s="162" t="n"/>
      <c r="K1464" s="162" t="n"/>
      <c r="L1464" s="395" t="n"/>
      <c r="M1464" s="113" t="n"/>
      <c r="N1464" s="113" t="n"/>
      <c r="O1464" s="113" t="n"/>
      <c r="P1464" s="398" t="n"/>
      <c r="Q1464" s="398" t="n"/>
      <c r="R1464" s="113" t="n"/>
      <c r="S1464" s="113" t="n"/>
      <c r="T1464" s="113" t="n"/>
      <c r="U1464" s="113" t="n"/>
      <c r="V1464" s="113" t="n"/>
    </row>
    <row r="1465" ht="15.75" customHeight="1">
      <c r="A1465" s="113" t="n"/>
      <c r="B1465" s="238" t="n"/>
      <c r="C1465" s="399" t="n"/>
      <c r="D1465" s="162" t="n"/>
      <c r="E1465" s="162" t="n"/>
      <c r="F1465" s="162" t="n"/>
      <c r="G1465" s="162" t="n"/>
      <c r="H1465" s="162" t="n"/>
      <c r="I1465" s="162" t="n"/>
      <c r="J1465" s="162" t="n"/>
      <c r="K1465" s="162" t="n"/>
      <c r="L1465" s="395" t="n"/>
      <c r="M1465" s="113" t="n"/>
      <c r="N1465" s="113" t="n"/>
      <c r="O1465" s="113" t="n"/>
      <c r="P1465" s="398" t="n"/>
      <c r="Q1465" s="398" t="n"/>
      <c r="R1465" s="113" t="n"/>
      <c r="S1465" s="113" t="n"/>
      <c r="T1465" s="113" t="n"/>
      <c r="U1465" s="113" t="n"/>
      <c r="V1465" s="113" t="n"/>
    </row>
  </sheetData>
  <pageMargins left="0.7" right="0.7" top="0.75" bottom="0.75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7.57" customWidth="1" min="1" max="1"/>
    <col width="30.86" customWidth="1" min="2" max="2"/>
    <col width="12.14" customWidth="1" min="4" max="4"/>
    <col width="11.43" customWidth="1" min="5" max="5"/>
    <col width="13.71" customWidth="1" min="7" max="7"/>
    <col width="11.43" customWidth="1" min="8" max="8"/>
  </cols>
  <sheetData>
    <row r="1" ht="18.75" customHeight="1">
      <c r="A1" s="113" t="n"/>
      <c r="B1" s="535" t="n">
        <v>45802</v>
      </c>
      <c r="C1" s="535" t="n"/>
      <c r="D1" s="535" t="inlineStr">
        <is>
          <t>HUERTAS</t>
        </is>
      </c>
      <c r="E1" s="23" t="n">
        <v>2400</v>
      </c>
      <c r="F1" s="536" t="n"/>
      <c r="G1" s="113" t="n"/>
    </row>
    <row r="2" ht="18.75" customHeight="1">
      <c r="A2" s="113" t="n"/>
      <c r="B2" s="535" t="n"/>
      <c r="C2" s="535" t="n"/>
      <c r="D2" s="535" t="n"/>
      <c r="E2" s="23" t="n">
        <v>2360</v>
      </c>
      <c r="F2" s="536" t="n"/>
      <c r="G2" s="113" t="n"/>
    </row>
    <row r="3" ht="18.75" customHeight="1">
      <c r="A3" s="113" t="n"/>
      <c r="B3" s="535" t="n"/>
      <c r="C3" s="535" t="n"/>
      <c r="D3" s="535" t="n"/>
      <c r="E3" s="23" t="n">
        <v>2644</v>
      </c>
      <c r="F3" s="536" t="n"/>
      <c r="G3" s="113" t="n"/>
    </row>
    <row r="4" ht="18.75" customHeight="1">
      <c r="A4" s="113" t="n"/>
      <c r="B4" s="535" t="n">
        <v>45804</v>
      </c>
      <c r="C4" s="535" t="n"/>
      <c r="D4" s="535" t="inlineStr">
        <is>
          <t>GARCERAS</t>
        </is>
      </c>
      <c r="E4" s="23" t="n">
        <v>3517</v>
      </c>
      <c r="F4" s="536" t="n"/>
      <c r="G4" s="113" t="n"/>
    </row>
    <row r="5" ht="18.75" customHeight="1">
      <c r="A5" s="113" t="n"/>
      <c r="B5" s="535" t="n"/>
      <c r="C5" s="535" t="n"/>
      <c r="D5" s="535" t="n"/>
      <c r="E5" s="23" t="n">
        <v>3517</v>
      </c>
      <c r="F5" s="536" t="n"/>
      <c r="G5" s="113" t="n"/>
    </row>
    <row r="6" ht="18.75" customHeight="1">
      <c r="A6" s="113" t="n"/>
      <c r="B6" s="535" t="n"/>
      <c r="C6" s="535" t="n"/>
      <c r="D6" s="535" t="n"/>
      <c r="E6" s="23" t="n">
        <v>3517</v>
      </c>
      <c r="F6" s="536" t="n"/>
      <c r="G6" s="113" t="n"/>
    </row>
    <row r="7" ht="18.75" customHeight="1">
      <c r="A7" s="113" t="n"/>
      <c r="B7" s="535" t="n"/>
      <c r="C7" s="535" t="n"/>
      <c r="D7" s="535" t="n"/>
      <c r="E7" s="23" t="n">
        <v>3517</v>
      </c>
      <c r="F7" s="536" t="n"/>
      <c r="G7" s="113" t="n"/>
    </row>
    <row r="8" ht="18.75" customHeight="1">
      <c r="A8" s="113" t="n"/>
      <c r="B8" s="535" t="n">
        <v>45805</v>
      </c>
      <c r="C8" s="535" t="n"/>
      <c r="D8" s="535" t="inlineStr">
        <is>
          <t>GARCERAS</t>
        </is>
      </c>
      <c r="E8" s="23" t="n">
        <v>3138</v>
      </c>
      <c r="F8" s="536" t="n"/>
      <c r="G8" s="113" t="n"/>
    </row>
    <row r="9" ht="18.75" customHeight="1">
      <c r="A9" s="113" t="n"/>
      <c r="B9" s="535" t="n"/>
      <c r="C9" s="535" t="n"/>
      <c r="D9" s="535" t="n"/>
      <c r="E9" s="23" t="n">
        <v>3138</v>
      </c>
      <c r="F9" s="536" t="n"/>
      <c r="G9" s="113" t="n"/>
    </row>
    <row r="10" ht="18.75" customHeight="1">
      <c r="A10" s="113" t="n"/>
      <c r="B10" s="535" t="n"/>
      <c r="C10" s="535" t="n"/>
      <c r="D10" s="535" t="n"/>
      <c r="E10" s="23" t="n">
        <v>3243</v>
      </c>
      <c r="F10" s="536" t="n"/>
      <c r="G10" s="113" t="n"/>
    </row>
    <row r="11" ht="18.75" customHeight="1">
      <c r="A11" s="113" t="n"/>
      <c r="B11" s="535" t="n"/>
      <c r="C11" s="535" t="n"/>
      <c r="D11" s="535" t="n"/>
      <c r="E11" s="23" t="n">
        <v>3132</v>
      </c>
      <c r="F11" s="536" t="n"/>
      <c r="G11" s="113" t="n"/>
    </row>
    <row r="12" ht="18.75" customHeight="1">
      <c r="A12" s="537" t="n"/>
      <c r="B12" s="538" t="n">
        <v>45806</v>
      </c>
      <c r="C12" s="538" t="n"/>
      <c r="D12" s="538" t="inlineStr">
        <is>
          <t>HUERTAS</t>
        </is>
      </c>
      <c r="E12" s="22" t="n">
        <v>1620</v>
      </c>
      <c r="F12" s="536" t="n">
        <v>11</v>
      </c>
      <c r="G12" s="537" t="n"/>
    </row>
    <row r="13" ht="18.75" customHeight="1">
      <c r="A13" s="537" t="n"/>
      <c r="B13" s="538" t="n"/>
      <c r="C13" s="538" t="n"/>
      <c r="D13" s="538" t="n"/>
      <c r="E13" s="22" t="n">
        <v>1610</v>
      </c>
      <c r="F13" s="536" t="n">
        <v>11</v>
      </c>
      <c r="G13" s="537" t="n"/>
    </row>
    <row r="14" ht="18.75" customHeight="1">
      <c r="A14" s="537" t="n"/>
      <c r="B14" s="538" t="n"/>
      <c r="C14" s="538" t="n"/>
      <c r="D14" s="538" t="n"/>
      <c r="E14" s="22" t="n">
        <v>1455</v>
      </c>
      <c r="F14" s="536" t="n">
        <v>11</v>
      </c>
      <c r="G14" s="537" t="n"/>
    </row>
    <row r="15" ht="18.75" customHeight="1">
      <c r="A15" s="537" t="n"/>
      <c r="B15" s="538" t="n"/>
      <c r="C15" s="538" t="n"/>
      <c r="D15" s="538" t="inlineStr">
        <is>
          <t>GARCERAS</t>
        </is>
      </c>
      <c r="E15" s="22" t="n">
        <v>3193</v>
      </c>
      <c r="F15" s="536" t="n">
        <v>9</v>
      </c>
      <c r="G15" s="537" t="n"/>
    </row>
    <row r="16" ht="18.75" customHeight="1">
      <c r="A16" s="537" t="n"/>
      <c r="B16" s="538" t="n"/>
      <c r="C16" s="538" t="n"/>
      <c r="D16" s="538" t="n"/>
      <c r="E16" s="22" t="n">
        <v>3193</v>
      </c>
      <c r="F16" s="536" t="n">
        <v>9</v>
      </c>
      <c r="G16" s="537" t="n"/>
    </row>
    <row r="17" ht="18.75" customHeight="1">
      <c r="A17" s="537" t="n"/>
      <c r="B17" s="538" t="n"/>
      <c r="C17" s="538" t="n"/>
      <c r="D17" s="538" t="inlineStr">
        <is>
          <t>MALAGUEÑA</t>
        </is>
      </c>
      <c r="E17" s="22" t="n">
        <v>3595</v>
      </c>
      <c r="F17" s="536" t="n">
        <v>9</v>
      </c>
      <c r="G17" s="537" t="n"/>
    </row>
    <row r="18" ht="18.75" customHeight="1">
      <c r="A18" s="537" t="n"/>
      <c r="B18" s="538" t="n"/>
      <c r="C18" s="538" t="n"/>
      <c r="D18" s="538" t="n"/>
      <c r="E18" s="22" t="n">
        <v>3595</v>
      </c>
      <c r="F18" s="536" t="n">
        <v>9</v>
      </c>
      <c r="G18" s="537" t="n"/>
    </row>
    <row r="19" ht="18.75" customHeight="1">
      <c r="A19" s="537" t="n"/>
      <c r="B19" s="538" t="n">
        <v>45807</v>
      </c>
      <c r="C19" s="538" t="inlineStr">
        <is>
          <t>AGUIRRE</t>
        </is>
      </c>
      <c r="D19" s="538" t="inlineStr">
        <is>
          <t>GARCERAS</t>
        </is>
      </c>
      <c r="E19" s="22" t="n">
        <v>2644</v>
      </c>
      <c r="F19" s="536" t="n"/>
      <c r="G19" s="537" t="n"/>
    </row>
    <row r="20" ht="18.75" customHeight="1">
      <c r="A20" s="537" t="n"/>
      <c r="B20" s="538" t="n"/>
      <c r="C20" s="538" t="inlineStr">
        <is>
          <t>HERRERA</t>
        </is>
      </c>
      <c r="D20" s="538" t="n"/>
      <c r="E20" s="22" t="n">
        <v>2644</v>
      </c>
      <c r="F20" s="536" t="n"/>
      <c r="G20" s="537" t="n"/>
    </row>
    <row r="21" ht="18.75" customHeight="1">
      <c r="A21" s="537" t="n"/>
      <c r="B21" s="538" t="n"/>
      <c r="C21" s="538" t="inlineStr">
        <is>
          <t>ALDANA</t>
        </is>
      </c>
      <c r="D21" s="538" t="n"/>
      <c r="E21" s="22" t="n">
        <v>2280</v>
      </c>
      <c r="F21" s="536" t="n"/>
      <c r="G21" s="537" t="n"/>
    </row>
    <row r="22" ht="18.75" customHeight="1">
      <c r="A22" s="537" t="n"/>
      <c r="B22" s="538" t="n"/>
      <c r="C22" s="538" t="inlineStr">
        <is>
          <t>ROJAS</t>
        </is>
      </c>
      <c r="D22" s="538" t="n"/>
      <c r="E22" s="22" t="n">
        <v>3195</v>
      </c>
      <c r="F22" s="536" t="n"/>
      <c r="G22" s="537" t="n"/>
    </row>
    <row r="23" ht="18.75" customHeight="1">
      <c r="A23" s="537" t="n"/>
      <c r="B23" s="538" t="n"/>
      <c r="C23" s="538" t="inlineStr">
        <is>
          <t>CAVIDES</t>
        </is>
      </c>
      <c r="D23" s="538" t="n"/>
      <c r="E23" s="22" t="n">
        <v>3195</v>
      </c>
      <c r="F23" s="536" t="n"/>
      <c r="G23" s="539" t="n">
        <v>0.2625</v>
      </c>
    </row>
    <row r="24" ht="18.75" customHeight="1">
      <c r="A24" s="537" t="n"/>
      <c r="B24" s="538" t="n"/>
      <c r="C24" s="538" t="inlineStr">
        <is>
          <t>PIÑERES</t>
        </is>
      </c>
      <c r="D24" s="538" t="n"/>
      <c r="E24" s="22" t="n">
        <v>3487</v>
      </c>
      <c r="F24" s="536" t="n"/>
      <c r="G24" s="537" t="n"/>
    </row>
    <row r="25" ht="18.75" customHeight="1">
      <c r="A25" s="537" t="n"/>
      <c r="B25" s="538" t="n"/>
      <c r="C25" s="538" t="inlineStr">
        <is>
          <t>CUVILLOS</t>
        </is>
      </c>
      <c r="D25" s="538" t="n"/>
      <c r="E25" s="22" t="n">
        <v>3564</v>
      </c>
      <c r="F25" s="536" t="n"/>
      <c r="G25" s="537" t="n"/>
    </row>
    <row r="26" ht="18.75" customHeight="1">
      <c r="A26" s="537" t="n"/>
      <c r="B26" s="538" t="n"/>
      <c r="C26" s="538" t="n"/>
      <c r="D26" s="538" t="n"/>
      <c r="E26" s="22" t="n"/>
      <c r="F26" s="536" t="n"/>
      <c r="G26" s="537" t="n"/>
    </row>
    <row r="27" ht="18.75" customHeight="1">
      <c r="A27" s="537" t="n"/>
      <c r="B27" s="538" t="n"/>
      <c r="C27" s="538" t="n"/>
      <c r="D27" s="538" t="n"/>
      <c r="E27" s="22" t="n"/>
      <c r="F27" s="536" t="n"/>
      <c r="G27" s="537" t="n"/>
    </row>
    <row r="28" ht="18.75" customHeight="1">
      <c r="A28" s="537" t="n"/>
      <c r="B28" s="538" t="n"/>
      <c r="C28" s="538" t="n"/>
      <c r="D28" s="538" t="n"/>
      <c r="E28" s="22" t="n"/>
      <c r="F28" s="536" t="n"/>
      <c r="G28" s="537" t="n"/>
    </row>
    <row r="29" ht="18.75" customHeight="1">
      <c r="A29" s="537" t="n"/>
      <c r="B29" s="538" t="n"/>
      <c r="C29" s="538" t="n"/>
      <c r="D29" s="538" t="n"/>
      <c r="E29" s="22" t="n"/>
      <c r="F29" s="536" t="n"/>
      <c r="G29" s="537" t="n"/>
    </row>
    <row r="30" ht="18.75" customHeight="1">
      <c r="A30" s="537" t="n"/>
      <c r="B30" s="538" t="n"/>
      <c r="C30" s="538" t="n"/>
      <c r="D30" s="538" t="n"/>
      <c r="E30" s="22" t="n"/>
      <c r="F30" s="536" t="n"/>
      <c r="G30" s="537" t="n"/>
    </row>
    <row r="31" ht="18.75" customHeight="1">
      <c r="A31" s="537" t="n"/>
      <c r="B31" s="538" t="n"/>
      <c r="C31" s="538" t="n"/>
      <c r="D31" s="538" t="n"/>
      <c r="E31" s="22" t="n"/>
      <c r="F31" s="536" t="n"/>
      <c r="G31" s="537" t="n"/>
    </row>
    <row r="32" ht="18.75" customHeight="1">
      <c r="A32" s="537" t="n"/>
      <c r="B32" s="538" t="n"/>
      <c r="C32" s="538" t="n"/>
      <c r="D32" s="538" t="n"/>
      <c r="E32" s="22" t="n"/>
      <c r="F32" s="536" t="n"/>
      <c r="G32" s="537" t="n"/>
    </row>
    <row r="33" ht="18.75" customHeight="1">
      <c r="A33" s="537" t="n"/>
      <c r="B33" s="538" t="n"/>
      <c r="C33" s="538" t="n"/>
      <c r="D33" s="538" t="n"/>
      <c r="E33" s="22" t="n"/>
      <c r="F33" s="536" t="n"/>
      <c r="G33" s="537" t="n"/>
    </row>
    <row r="34" ht="18.75" customHeight="1">
      <c r="A34" s="537" t="n"/>
      <c r="B34" s="538" t="n"/>
      <c r="C34" s="538" t="n"/>
      <c r="D34" s="538" t="n"/>
      <c r="E34" s="22" t="n"/>
      <c r="F34" s="536" t="n"/>
      <c r="G34" s="537" t="n"/>
    </row>
    <row r="35" ht="18.75" customHeight="1">
      <c r="A35" s="537" t="n"/>
      <c r="B35" s="538" t="n"/>
      <c r="C35" s="538" t="n"/>
      <c r="D35" s="538" t="n"/>
      <c r="E35" s="22" t="n"/>
      <c r="F35" s="536" t="n"/>
      <c r="G35" s="537" t="n"/>
    </row>
    <row r="36" ht="18.75" customHeight="1">
      <c r="A36" s="537" t="n"/>
      <c r="B36" s="538" t="n"/>
      <c r="C36" s="538" t="n"/>
      <c r="D36" s="538" t="n"/>
      <c r="E36" s="22" t="n"/>
      <c r="F36" s="536" t="n"/>
      <c r="G36" s="537" t="n"/>
    </row>
    <row r="37" ht="18.75" customHeight="1">
      <c r="A37" s="537" t="n"/>
      <c r="B37" s="538" t="n"/>
      <c r="C37" s="538" t="n"/>
      <c r="D37" s="538" t="n"/>
      <c r="E37" s="22" t="n"/>
      <c r="F37" s="536" t="n"/>
      <c r="G37" s="537" t="n"/>
    </row>
    <row r="38" ht="18.75" customHeight="1">
      <c r="A38" s="537" t="n"/>
      <c r="B38" s="538" t="n"/>
      <c r="C38" s="538" t="n"/>
      <c r="D38" s="538" t="n"/>
      <c r="E38" s="22" t="n"/>
      <c r="F38" s="536" t="n"/>
      <c r="G38" s="537" t="n"/>
    </row>
    <row r="39" ht="18.75" customHeight="1">
      <c r="A39" s="537" t="n"/>
      <c r="B39" s="538" t="n"/>
      <c r="C39" s="538" t="n"/>
      <c r="D39" s="538" t="n"/>
      <c r="E39" s="22" t="n"/>
      <c r="F39" s="536" t="n"/>
      <c r="G39" s="537" t="n"/>
    </row>
    <row r="40" ht="18.75" customHeight="1">
      <c r="A40" s="537" t="n"/>
      <c r="B40" s="538" t="n"/>
      <c r="C40" s="538" t="n"/>
      <c r="D40" s="538" t="n"/>
      <c r="E40" s="22" t="n"/>
      <c r="F40" s="536" t="n"/>
      <c r="G40" s="537" t="n"/>
    </row>
    <row r="41" ht="18.75" customHeight="1">
      <c r="A41" s="537" t="n"/>
      <c r="B41" s="538" t="n"/>
      <c r="C41" s="538" t="n"/>
      <c r="D41" s="538" t="n"/>
      <c r="E41" s="22" t="n"/>
      <c r="F41" s="536" t="n"/>
      <c r="G41" s="537" t="n"/>
    </row>
    <row r="42" ht="18.75" customHeight="1">
      <c r="A42" s="537" t="n"/>
      <c r="B42" s="538" t="n"/>
      <c r="C42" s="538" t="n"/>
      <c r="D42" s="538" t="n"/>
      <c r="E42" s="22" t="n"/>
      <c r="F42" s="536" t="n"/>
      <c r="G42" s="537" t="n"/>
    </row>
    <row r="43" ht="18.75" customHeight="1">
      <c r="A43" s="537" t="n"/>
      <c r="B43" s="538" t="n"/>
      <c r="C43" s="538" t="n"/>
      <c r="D43" s="538" t="n"/>
      <c r="E43" s="22" t="n"/>
      <c r="F43" s="536" t="n"/>
      <c r="G43" s="537" t="n"/>
    </row>
    <row r="44" ht="18.75" customHeight="1">
      <c r="A44" s="537" t="n"/>
      <c r="B44" s="538" t="n"/>
      <c r="C44" s="538" t="n"/>
      <c r="D44" s="538" t="n"/>
      <c r="E44" s="22" t="n"/>
      <c r="F44" s="536" t="n"/>
      <c r="G44" s="537" t="n"/>
    </row>
    <row r="45" ht="18.75" customHeight="1">
      <c r="A45" s="537" t="n"/>
      <c r="B45" s="538" t="n"/>
      <c r="C45" s="538" t="n"/>
      <c r="D45" s="538" t="n"/>
      <c r="E45" s="22" t="n"/>
      <c r="F45" s="536" t="n"/>
      <c r="G45" s="537" t="n"/>
    </row>
    <row r="46" ht="18.75" customHeight="1">
      <c r="A46" s="537" t="n"/>
      <c r="B46" s="538" t="n"/>
      <c r="C46" s="538" t="n"/>
      <c r="D46" s="538" t="n"/>
      <c r="E46" s="22" t="n"/>
      <c r="F46" s="536" t="n"/>
      <c r="G46" s="537" t="n"/>
    </row>
    <row r="47" ht="18.75" customHeight="1">
      <c r="A47" s="537" t="n"/>
      <c r="B47" s="538" t="n"/>
      <c r="C47" s="538" t="n"/>
      <c r="D47" s="538" t="n"/>
      <c r="E47" s="22" t="n"/>
      <c r="F47" s="536" t="n"/>
      <c r="G47" s="537" t="n"/>
    </row>
    <row r="48" ht="18.75" customHeight="1">
      <c r="A48" s="537" t="n"/>
      <c r="B48" s="538" t="n"/>
      <c r="C48" s="538" t="n"/>
      <c r="D48" s="538" t="n"/>
      <c r="E48" s="22" t="n"/>
      <c r="F48" s="536" t="n"/>
      <c r="G48" s="537" t="n"/>
    </row>
    <row r="49" ht="18.75" customHeight="1">
      <c r="A49" s="537" t="n"/>
      <c r="B49" s="538" t="n"/>
      <c r="C49" s="538" t="n"/>
      <c r="D49" s="538" t="n"/>
      <c r="E49" s="22" t="n"/>
      <c r="F49" s="536" t="n"/>
      <c r="G49" s="537" t="n"/>
    </row>
    <row r="50" ht="18.75" customHeight="1">
      <c r="A50" s="537" t="n"/>
      <c r="B50" s="538" t="n"/>
      <c r="C50" s="538" t="n"/>
      <c r="D50" s="538" t="n"/>
      <c r="E50" s="22" t="n"/>
      <c r="F50" s="536" t="n"/>
      <c r="G50" s="537" t="n"/>
    </row>
    <row r="51" ht="18.75" customHeight="1">
      <c r="A51" s="537" t="n"/>
      <c r="B51" s="538" t="n"/>
      <c r="C51" s="538" t="n"/>
      <c r="D51" s="538" t="n"/>
      <c r="E51" s="22" t="n"/>
      <c r="F51" s="536" t="n"/>
      <c r="G51" s="537" t="n"/>
    </row>
    <row r="52" ht="18.75" customHeight="1">
      <c r="A52" s="537" t="n"/>
      <c r="B52" s="538" t="n"/>
      <c r="C52" s="538" t="n"/>
      <c r="D52" s="538" t="n"/>
      <c r="E52" s="22" t="n"/>
      <c r="F52" s="536" t="n"/>
      <c r="G52" s="537" t="n"/>
    </row>
    <row r="53" ht="18.75" customHeight="1">
      <c r="A53" s="537" t="n"/>
      <c r="B53" s="538" t="n"/>
      <c r="C53" s="538" t="n"/>
      <c r="D53" s="538" t="n"/>
      <c r="E53" s="22" t="n"/>
      <c r="F53" s="536" t="n"/>
      <c r="G53" s="537" t="n"/>
    </row>
    <row r="54" ht="18.75" customHeight="1">
      <c r="A54" s="537" t="n"/>
      <c r="B54" s="538" t="n"/>
      <c r="C54" s="538" t="n"/>
      <c r="D54" s="538" t="n"/>
      <c r="E54" s="22" t="n"/>
      <c r="F54" s="536" t="n"/>
      <c r="G54" s="537" t="n"/>
    </row>
    <row r="55" ht="18.75" customHeight="1">
      <c r="A55" s="537" t="n"/>
      <c r="B55" s="538" t="n"/>
      <c r="C55" s="538" t="n"/>
      <c r="D55" s="538" t="n"/>
      <c r="E55" s="22" t="n"/>
      <c r="F55" s="536" t="n"/>
      <c r="G55" s="537" t="n"/>
    </row>
    <row r="56" ht="18.75" customHeight="1">
      <c r="A56" s="537" t="n"/>
      <c r="B56" s="538" t="n"/>
      <c r="C56" s="538" t="n"/>
      <c r="D56" s="538" t="n"/>
      <c r="E56" s="22" t="n"/>
      <c r="F56" s="536" t="n"/>
      <c r="G56" s="537" t="n"/>
    </row>
    <row r="57" ht="18.75" customHeight="1">
      <c r="A57" s="537" t="n"/>
      <c r="B57" s="538" t="n"/>
      <c r="C57" s="538" t="n"/>
      <c r="D57" s="538" t="n"/>
      <c r="E57" s="22" t="n"/>
      <c r="F57" s="536" t="n"/>
      <c r="G57" s="537" t="n"/>
    </row>
    <row r="58" ht="18.75" customHeight="1">
      <c r="A58" s="537" t="n"/>
      <c r="B58" s="538" t="n"/>
      <c r="C58" s="538" t="n"/>
      <c r="D58" s="538" t="n"/>
      <c r="E58" s="22" t="n"/>
      <c r="F58" s="536" t="n"/>
      <c r="G58" s="537" t="n"/>
    </row>
    <row r="59" ht="18.75" customHeight="1">
      <c r="A59" s="537" t="n"/>
      <c r="B59" s="538" t="n"/>
      <c r="C59" s="538" t="n"/>
      <c r="D59" s="538" t="n"/>
      <c r="E59" s="22" t="n"/>
      <c r="F59" s="536" t="n"/>
      <c r="G59" s="537" t="n"/>
    </row>
    <row r="60" ht="18.75" customHeight="1">
      <c r="A60" s="537" t="n"/>
      <c r="B60" s="538" t="n"/>
      <c r="C60" s="538" t="n"/>
      <c r="D60" s="538" t="n"/>
      <c r="E60" s="22" t="n"/>
      <c r="F60" s="536" t="n"/>
      <c r="G60" s="537" t="n"/>
    </row>
    <row r="61" ht="18.75" customHeight="1">
      <c r="A61" s="537" t="n"/>
      <c r="B61" s="538" t="n"/>
      <c r="C61" s="538" t="n"/>
      <c r="D61" s="538" t="n"/>
      <c r="E61" s="22" t="n"/>
      <c r="F61" s="536" t="n"/>
      <c r="G61" s="537" t="n"/>
    </row>
    <row r="62" ht="18.75" customHeight="1">
      <c r="A62" s="537" t="n"/>
      <c r="B62" s="538" t="n"/>
      <c r="C62" s="538" t="n"/>
      <c r="D62" s="538" t="n"/>
      <c r="E62" s="22" t="n"/>
      <c r="F62" s="536" t="n"/>
      <c r="G62" s="537" t="n"/>
    </row>
    <row r="63" ht="18.75" customHeight="1">
      <c r="A63" s="537" t="n"/>
      <c r="B63" s="538" t="n"/>
      <c r="C63" s="538" t="n"/>
      <c r="D63" s="538" t="n"/>
      <c r="E63" s="22" t="n"/>
      <c r="F63" s="536" t="n"/>
      <c r="G63" s="537" t="n"/>
    </row>
    <row r="64" ht="18.75" customHeight="1">
      <c r="A64" s="537" t="n"/>
      <c r="B64" s="538" t="n"/>
      <c r="C64" s="538" t="n"/>
      <c r="D64" s="538" t="n"/>
      <c r="E64" s="22" t="n"/>
      <c r="F64" s="536" t="n"/>
      <c r="G64" s="537" t="n"/>
    </row>
    <row r="65" ht="18.75" customHeight="1">
      <c r="A65" s="537" t="n"/>
      <c r="B65" s="538" t="n"/>
      <c r="C65" s="538" t="n"/>
      <c r="D65" s="538" t="n"/>
      <c r="E65" s="22" t="n"/>
      <c r="F65" s="536" t="n"/>
      <c r="G65" s="537" t="n"/>
    </row>
    <row r="66" ht="18.75" customHeight="1">
      <c r="A66" s="537" t="n"/>
      <c r="B66" s="538" t="n"/>
      <c r="C66" s="538" t="n"/>
      <c r="D66" s="538" t="n"/>
      <c r="E66" s="22" t="n"/>
      <c r="F66" s="536" t="n"/>
      <c r="G66" s="537" t="n"/>
    </row>
    <row r="67" ht="18.75" customHeight="1">
      <c r="A67" s="113" t="n"/>
      <c r="B67" s="535" t="n"/>
      <c r="C67" s="535" t="n"/>
      <c r="D67" s="535" t="n"/>
      <c r="E67" s="23" t="n"/>
      <c r="F67" s="536" t="n"/>
      <c r="G67" s="113" t="n"/>
    </row>
    <row r="68" ht="18.75" customHeight="1">
      <c r="A68" s="113" t="n"/>
      <c r="B68" s="535" t="n"/>
      <c r="C68" s="535" t="n"/>
      <c r="D68" s="535" t="n"/>
      <c r="E68" s="23" t="n"/>
      <c r="F68" s="536" t="n"/>
      <c r="G68" s="113" t="n"/>
    </row>
    <row r="69" ht="18.75" customHeight="1">
      <c r="A69" s="113" t="n"/>
      <c r="B69" s="535" t="n"/>
      <c r="C69" s="535" t="n"/>
      <c r="D69" s="535" t="n"/>
      <c r="E69" s="23" t="n"/>
      <c r="F69" s="536" t="n"/>
      <c r="G69" s="113" t="n"/>
    </row>
    <row r="70" ht="18.75" customHeight="1">
      <c r="A70" s="113" t="n"/>
      <c r="B70" s="535" t="n"/>
      <c r="C70" s="535" t="n"/>
      <c r="D70" s="535" t="n"/>
      <c r="E70" s="23" t="n"/>
      <c r="F70" s="536" t="n"/>
      <c r="G70" s="113" t="n"/>
    </row>
    <row r="71" ht="18.75" customHeight="1">
      <c r="A71" s="113" t="n"/>
      <c r="B71" s="535" t="n"/>
      <c r="C71" s="535" t="n"/>
      <c r="D71" s="535" t="n"/>
      <c r="E71" s="23" t="n"/>
      <c r="F71" s="536" t="n"/>
      <c r="G71" s="113" t="n"/>
    </row>
    <row r="72" ht="18.75" customHeight="1">
      <c r="A72" s="113" t="n"/>
      <c r="B72" s="535" t="n"/>
      <c r="C72" s="535" t="n"/>
      <c r="D72" s="535" t="n"/>
      <c r="E72" s="23" t="n"/>
      <c r="F72" s="536" t="n"/>
      <c r="G72" s="113" t="n"/>
    </row>
    <row r="73" ht="18.75" customHeight="1">
      <c r="A73" s="113" t="n"/>
      <c r="B73" s="535" t="n"/>
      <c r="C73" s="535" t="n"/>
      <c r="D73" s="535" t="n"/>
      <c r="E73" s="23" t="n"/>
      <c r="F73" s="536" t="n"/>
      <c r="G73" s="113" t="n"/>
    </row>
    <row r="74" ht="18.75" customHeight="1">
      <c r="A74" s="113" t="n"/>
      <c r="B74" s="535" t="n"/>
      <c r="C74" s="535" t="n"/>
      <c r="D74" s="535" t="n"/>
      <c r="E74" s="23" t="n"/>
      <c r="F74" s="536" t="n"/>
      <c r="G74" s="113" t="n"/>
    </row>
    <row r="75" ht="18.75" customHeight="1">
      <c r="A75" s="113" t="n"/>
      <c r="B75" s="535" t="n"/>
      <c r="C75" s="535" t="n"/>
      <c r="D75" s="535" t="n"/>
      <c r="E75" s="23" t="n"/>
      <c r="F75" s="536" t="n"/>
      <c r="G75" s="113" t="n"/>
    </row>
    <row r="76" ht="18.75" customHeight="1">
      <c r="A76" s="113" t="n"/>
      <c r="B76" s="535" t="n"/>
      <c r="C76" s="535" t="n"/>
      <c r="D76" s="535" t="n"/>
      <c r="E76" s="23" t="n"/>
      <c r="F76" s="536" t="n"/>
      <c r="G76" s="113" t="n"/>
    </row>
    <row r="77" ht="18.75" customHeight="1">
      <c r="A77" s="113" t="n"/>
      <c r="B77" s="535" t="n"/>
      <c r="C77" s="535" t="n"/>
      <c r="D77" s="535" t="n"/>
      <c r="E77" s="23" t="n"/>
      <c r="F77" s="536" t="n"/>
      <c r="G77" s="113" t="n"/>
    </row>
    <row r="78" ht="18.75" customHeight="1">
      <c r="A78" s="113" t="n"/>
      <c r="B78" s="535" t="n"/>
      <c r="C78" s="535" t="n"/>
      <c r="D78" s="535" t="n"/>
      <c r="E78" s="23" t="n"/>
      <c r="F78" s="536" t="n"/>
      <c r="G78" s="113" t="n"/>
    </row>
    <row r="79" ht="18.75" customHeight="1">
      <c r="A79" s="113" t="n"/>
      <c r="B79" s="535" t="n"/>
      <c r="C79" s="535" t="n"/>
      <c r="D79" s="535" t="n"/>
      <c r="E79" s="23" t="n"/>
      <c r="F79" s="536" t="n"/>
      <c r="G79" s="113" t="n"/>
    </row>
    <row r="80" ht="18.75" customHeight="1">
      <c r="A80" s="113" t="n"/>
      <c r="B80" s="535" t="n"/>
      <c r="C80" s="535" t="n"/>
      <c r="D80" s="535" t="n"/>
      <c r="E80" s="23" t="n"/>
      <c r="F80" s="536" t="n"/>
      <c r="G80" s="113" t="n"/>
    </row>
    <row r="81" ht="18.75" customHeight="1">
      <c r="A81" s="113" t="n"/>
      <c r="B81" s="535" t="n"/>
      <c r="C81" s="535" t="n"/>
      <c r="D81" s="535" t="n"/>
      <c r="E81" s="23" t="n"/>
      <c r="F81" s="536" t="n"/>
      <c r="G81" s="113" t="n"/>
    </row>
    <row r="82" ht="18.75" customHeight="1">
      <c r="A82" s="113" t="n"/>
      <c r="B82" s="535" t="n"/>
      <c r="C82" s="535" t="n"/>
      <c r="D82" s="535" t="n"/>
      <c r="E82" s="23" t="n"/>
      <c r="F82" s="536" t="n"/>
      <c r="G82" s="113" t="n"/>
    </row>
    <row r="83" ht="18.75" customHeight="1">
      <c r="A83" s="113" t="n"/>
      <c r="B83" s="540" t="n"/>
      <c r="C83" s="540" t="n"/>
      <c r="D83" s="540" t="n"/>
      <c r="E83" s="113" t="n"/>
      <c r="F83" s="537" t="n"/>
      <c r="G83" s="113" t="n"/>
    </row>
    <row r="84" ht="18.75" customHeight="1">
      <c r="A84" s="113" t="n"/>
      <c r="B84" s="540" t="n"/>
      <c r="C84" s="540" t="n"/>
      <c r="D84" s="540" t="n"/>
      <c r="E84" s="113" t="n"/>
      <c r="F84" s="537" t="n"/>
      <c r="G84" s="113" t="n"/>
    </row>
    <row r="85" ht="18.75" customHeight="1">
      <c r="A85" s="113" t="n"/>
      <c r="B85" s="540" t="n"/>
      <c r="C85" s="540" t="n"/>
      <c r="D85" s="540" t="n"/>
      <c r="E85" s="113" t="n"/>
      <c r="F85" s="537" t="n"/>
      <c r="G85" s="113" t="n"/>
    </row>
    <row r="86" ht="18.75" customHeight="1">
      <c r="A86" s="113" t="n"/>
      <c r="B86" s="540" t="n"/>
      <c r="C86" s="540" t="n"/>
      <c r="D86" s="540" t="n"/>
      <c r="E86" s="113" t="n"/>
      <c r="F86" s="537" t="n"/>
      <c r="G86" s="113" t="n"/>
    </row>
    <row r="87" ht="18.75" customHeight="1">
      <c r="A87" s="113" t="n"/>
      <c r="B87" s="540" t="n"/>
      <c r="C87" s="540" t="n"/>
      <c r="D87" s="540" t="n"/>
      <c r="E87" s="113" t="n"/>
      <c r="F87" s="537" t="n"/>
      <c r="G87" s="113" t="n"/>
    </row>
    <row r="88" ht="18.75" customHeight="1">
      <c r="A88" s="113" t="n"/>
      <c r="B88" s="540" t="n"/>
      <c r="C88" s="540" t="n"/>
      <c r="D88" s="540" t="n"/>
      <c r="E88" s="113" t="n"/>
      <c r="F88" s="537" t="n"/>
      <c r="G88" s="113" t="n"/>
    </row>
    <row r="89" ht="18.75" customHeight="1">
      <c r="A89" s="113" t="n"/>
      <c r="B89" s="540" t="n"/>
      <c r="C89" s="540" t="n"/>
      <c r="D89" s="540" t="n"/>
      <c r="E89" s="113" t="n"/>
      <c r="F89" s="537" t="n"/>
      <c r="G89" s="113" t="n"/>
    </row>
    <row r="90" ht="18.75" customHeight="1">
      <c r="A90" s="113" t="n"/>
      <c r="B90" s="540" t="n"/>
      <c r="C90" s="540" t="n"/>
      <c r="D90" s="540" t="n"/>
      <c r="E90" s="113" t="n"/>
      <c r="F90" s="537" t="n"/>
      <c r="G90" s="113" t="n"/>
    </row>
    <row r="91" ht="18.75" customHeight="1">
      <c r="A91" s="113" t="n"/>
      <c r="B91" s="540" t="n"/>
      <c r="C91" s="540" t="n"/>
      <c r="D91" s="540" t="n"/>
      <c r="E91" s="113" t="n"/>
      <c r="F91" s="537" t="n"/>
      <c r="G91" s="113" t="n"/>
    </row>
    <row r="92" ht="18.75" customHeight="1">
      <c r="A92" s="113" t="n"/>
      <c r="B92" s="540" t="n"/>
      <c r="C92" s="540" t="n"/>
      <c r="D92" s="540" t="n"/>
      <c r="E92" s="113" t="n"/>
      <c r="F92" s="537" t="n"/>
      <c r="G92" s="113" t="n"/>
    </row>
    <row r="93" ht="18.75" customHeight="1">
      <c r="A93" s="113" t="n"/>
      <c r="B93" s="540" t="n"/>
      <c r="C93" s="540" t="n"/>
      <c r="D93" s="540" t="n"/>
      <c r="E93" s="113" t="n"/>
      <c r="F93" s="537" t="n"/>
      <c r="G93" s="113" t="n"/>
    </row>
    <row r="94" ht="18.75" customHeight="1">
      <c r="A94" s="113" t="n"/>
      <c r="B94" s="540" t="n"/>
      <c r="C94" s="540" t="n"/>
      <c r="D94" s="540" t="n"/>
      <c r="E94" s="113" t="n"/>
      <c r="F94" s="537" t="n"/>
      <c r="G94" s="113" t="n"/>
    </row>
    <row r="95" ht="18.75" customHeight="1">
      <c r="A95" s="113" t="n"/>
      <c r="B95" s="540" t="n"/>
      <c r="C95" s="540" t="n"/>
      <c r="D95" s="540" t="n"/>
      <c r="E95" s="113" t="n"/>
      <c r="F95" s="537" t="n"/>
      <c r="G95" s="113" t="n"/>
    </row>
    <row r="96" ht="18.75" customHeight="1">
      <c r="A96" s="113" t="n"/>
      <c r="B96" s="540" t="n"/>
      <c r="C96" s="540" t="n"/>
      <c r="D96" s="540" t="n"/>
      <c r="E96" s="113" t="n"/>
      <c r="F96" s="537" t="n"/>
      <c r="G96" s="113" t="n"/>
    </row>
    <row r="97" ht="18.75" customHeight="1">
      <c r="A97" s="113" t="n"/>
      <c r="B97" s="540" t="n"/>
      <c r="C97" s="540" t="n"/>
      <c r="D97" s="540" t="n"/>
      <c r="E97" s="113" t="n"/>
      <c r="F97" s="537" t="n"/>
      <c r="G97" s="113" t="n"/>
    </row>
    <row r="98" ht="18.75" customHeight="1">
      <c r="A98" s="113" t="n"/>
      <c r="B98" s="540" t="n"/>
      <c r="C98" s="540" t="n"/>
      <c r="D98" s="540" t="n"/>
      <c r="E98" s="113" t="n"/>
      <c r="F98" s="537" t="n"/>
      <c r="G98" s="113" t="n"/>
    </row>
    <row r="99" ht="18.75" customHeight="1">
      <c r="A99" s="113" t="n"/>
      <c r="B99" s="540" t="n"/>
      <c r="C99" s="540" t="n"/>
      <c r="D99" s="540" t="n"/>
      <c r="E99" s="113" t="n"/>
      <c r="F99" s="537" t="n"/>
      <c r="G99" s="113" t="n"/>
    </row>
    <row r="100" ht="18.75" customHeight="1">
      <c r="A100" s="113" t="n"/>
      <c r="B100" s="540" t="n"/>
      <c r="C100" s="540" t="n"/>
      <c r="D100" s="540" t="n"/>
      <c r="E100" s="113" t="n"/>
      <c r="F100" s="537" t="n"/>
      <c r="G100" s="113" t="n"/>
    </row>
    <row r="101" ht="18.75" customHeight="1">
      <c r="A101" s="113" t="n"/>
      <c r="B101" s="540" t="n"/>
      <c r="C101" s="540" t="n"/>
      <c r="D101" s="540" t="n"/>
      <c r="E101" s="113" t="n"/>
      <c r="F101" s="537" t="n"/>
      <c r="G101" s="113" t="n"/>
    </row>
    <row r="102" ht="18.75" customHeight="1">
      <c r="A102" s="113" t="n"/>
      <c r="B102" s="540" t="n"/>
      <c r="C102" s="540" t="n"/>
      <c r="D102" s="540" t="n"/>
      <c r="E102" s="113" t="n"/>
      <c r="F102" s="537" t="n"/>
      <c r="G102" s="113" t="n"/>
    </row>
    <row r="103" ht="18.75" customHeight="1">
      <c r="A103" s="113" t="n"/>
      <c r="B103" s="540" t="n"/>
      <c r="C103" s="540" t="n"/>
      <c r="D103" s="540" t="n"/>
      <c r="E103" s="113" t="n"/>
      <c r="F103" s="537" t="n"/>
      <c r="G103" s="113" t="n"/>
    </row>
    <row r="104" ht="18.75" customHeight="1">
      <c r="A104" s="113" t="n"/>
      <c r="B104" s="540" t="n"/>
      <c r="C104" s="540" t="n"/>
      <c r="D104" s="540" t="n"/>
      <c r="E104" s="113" t="n"/>
      <c r="F104" s="537" t="n"/>
      <c r="G104" s="113" t="n"/>
    </row>
    <row r="105" ht="18.75" customHeight="1">
      <c r="A105" s="113" t="n"/>
      <c r="B105" s="540" t="n"/>
      <c r="C105" s="540" t="n"/>
      <c r="D105" s="540" t="n"/>
      <c r="E105" s="113" t="n"/>
      <c r="F105" s="537" t="n"/>
      <c r="G105" s="113" t="n"/>
    </row>
    <row r="106" ht="18.75" customHeight="1">
      <c r="A106" s="113" t="n"/>
      <c r="B106" s="540" t="n"/>
      <c r="C106" s="540" t="n"/>
      <c r="D106" s="540" t="n"/>
      <c r="E106" s="113" t="n"/>
      <c r="F106" s="537" t="n"/>
      <c r="G106" s="113" t="n"/>
    </row>
    <row r="107" ht="18.75" customHeight="1">
      <c r="A107" s="113" t="n"/>
      <c r="B107" s="540" t="n"/>
      <c r="C107" s="540" t="n"/>
      <c r="D107" s="540" t="n"/>
      <c r="E107" s="113" t="n"/>
      <c r="F107" s="537" t="n"/>
      <c r="G107" s="113" t="n"/>
    </row>
    <row r="108" ht="18.75" customHeight="1">
      <c r="A108" s="113" t="n"/>
      <c r="B108" s="540" t="n"/>
      <c r="C108" s="540" t="n"/>
      <c r="D108" s="540" t="n"/>
      <c r="E108" s="113" t="n"/>
      <c r="F108" s="537" t="n"/>
      <c r="G108" s="113" t="n"/>
    </row>
    <row r="109" ht="18.75" customHeight="1">
      <c r="A109" s="113" t="n"/>
      <c r="B109" s="540" t="n"/>
      <c r="C109" s="540" t="n"/>
      <c r="D109" s="540" t="n"/>
      <c r="E109" s="113" t="n"/>
      <c r="F109" s="537" t="n"/>
      <c r="G109" s="113" t="n"/>
    </row>
    <row r="110" ht="18.75" customHeight="1">
      <c r="A110" s="113" t="n"/>
      <c r="B110" s="540" t="n"/>
      <c r="C110" s="540" t="n"/>
      <c r="D110" s="540" t="n"/>
      <c r="E110" s="113" t="n"/>
      <c r="F110" s="537" t="n"/>
      <c r="G110" s="113" t="n"/>
    </row>
    <row r="111" ht="18.75" customHeight="1">
      <c r="A111" s="113" t="n"/>
      <c r="B111" s="540" t="n"/>
      <c r="C111" s="540" t="n"/>
      <c r="D111" s="540" t="n"/>
      <c r="E111" s="113" t="n"/>
      <c r="F111" s="537" t="n"/>
      <c r="G111" s="113" t="n"/>
    </row>
    <row r="112" ht="18.75" customHeight="1">
      <c r="A112" s="113" t="n"/>
      <c r="B112" s="540" t="n"/>
      <c r="C112" s="540" t="n"/>
      <c r="D112" s="540" t="n"/>
      <c r="E112" s="113" t="n"/>
      <c r="F112" s="537" t="n"/>
      <c r="G112" s="113" t="n"/>
    </row>
    <row r="113" ht="18.75" customHeight="1">
      <c r="A113" s="113" t="n"/>
      <c r="B113" s="540" t="n"/>
      <c r="C113" s="540" t="n"/>
      <c r="D113" s="540" t="n"/>
      <c r="E113" s="113" t="n"/>
      <c r="F113" s="537" t="n"/>
      <c r="G113" s="113" t="n"/>
    </row>
    <row r="114" ht="18.75" customHeight="1">
      <c r="A114" s="113" t="n"/>
      <c r="B114" s="540" t="n"/>
      <c r="C114" s="540" t="n"/>
      <c r="D114" s="540" t="n"/>
      <c r="E114" s="113" t="n"/>
      <c r="F114" s="537" t="n"/>
      <c r="G114" s="113" t="n"/>
    </row>
    <row r="115" ht="18.75" customHeight="1">
      <c r="A115" s="113" t="n"/>
      <c r="B115" s="540" t="n"/>
      <c r="C115" s="540" t="n"/>
      <c r="D115" s="540" t="n"/>
      <c r="E115" s="113" t="n"/>
      <c r="F115" s="537" t="n"/>
      <c r="G115" s="113" t="n"/>
    </row>
    <row r="116" ht="18.75" customHeight="1">
      <c r="A116" s="113" t="n"/>
      <c r="B116" s="540" t="n"/>
      <c r="C116" s="540" t="n"/>
      <c r="D116" s="540" t="n"/>
      <c r="E116" s="113" t="n"/>
      <c r="F116" s="537" t="n"/>
      <c r="G116" s="113" t="n"/>
    </row>
    <row r="117" ht="18.75" customHeight="1">
      <c r="A117" s="113" t="n"/>
      <c r="B117" s="540" t="n"/>
      <c r="C117" s="540" t="n"/>
      <c r="D117" s="540" t="n"/>
      <c r="E117" s="113" t="n"/>
      <c r="F117" s="537" t="n"/>
      <c r="G117" s="113" t="n"/>
    </row>
    <row r="118" ht="18.75" customHeight="1">
      <c r="A118" s="113" t="n"/>
      <c r="B118" s="540" t="n"/>
      <c r="C118" s="540" t="n"/>
      <c r="D118" s="540" t="n"/>
      <c r="E118" s="113" t="n"/>
      <c r="F118" s="537" t="n"/>
      <c r="G118" s="113" t="n"/>
    </row>
    <row r="119" ht="18.75" customHeight="1">
      <c r="A119" s="113" t="n"/>
      <c r="B119" s="540" t="n"/>
      <c r="C119" s="540" t="n"/>
      <c r="D119" s="540" t="n"/>
      <c r="E119" s="113" t="n"/>
      <c r="F119" s="537" t="n"/>
      <c r="G119" s="113" t="n"/>
    </row>
    <row r="120" ht="18.75" customHeight="1">
      <c r="A120" s="113" t="n"/>
      <c r="B120" s="540" t="n"/>
      <c r="C120" s="540" t="n"/>
      <c r="D120" s="540" t="n"/>
      <c r="E120" s="113" t="n"/>
      <c r="F120" s="537" t="n"/>
      <c r="G120" s="113" t="n"/>
    </row>
    <row r="121" ht="18.75" customHeight="1">
      <c r="A121" s="113" t="n"/>
      <c r="B121" s="540" t="n"/>
      <c r="C121" s="540" t="n"/>
      <c r="D121" s="540" t="n"/>
      <c r="E121" s="113" t="n"/>
      <c r="F121" s="537" t="n"/>
      <c r="G121" s="113" t="n"/>
    </row>
    <row r="122" ht="18.75" customHeight="1">
      <c r="A122" s="113" t="n"/>
      <c r="B122" s="540" t="n"/>
      <c r="C122" s="540" t="n"/>
      <c r="D122" s="540" t="n"/>
      <c r="E122" s="113" t="n"/>
      <c r="F122" s="537" t="n"/>
      <c r="G122" s="113" t="n"/>
    </row>
    <row r="123" ht="18.75" customHeight="1">
      <c r="A123" s="113" t="n"/>
      <c r="B123" s="540" t="n"/>
      <c r="C123" s="540" t="n"/>
      <c r="D123" s="540" t="n"/>
      <c r="E123" s="113" t="n"/>
      <c r="F123" s="537" t="n"/>
      <c r="G123" s="113" t="n"/>
    </row>
    <row r="124" ht="18.75" customHeight="1">
      <c r="A124" s="113" t="n"/>
      <c r="B124" s="540" t="n"/>
      <c r="C124" s="540" t="n"/>
      <c r="D124" s="540" t="n"/>
      <c r="E124" s="113" t="n"/>
      <c r="F124" s="537" t="n"/>
      <c r="G124" s="113" t="n"/>
    </row>
    <row r="125" ht="18.75" customHeight="1">
      <c r="A125" s="113" t="n"/>
      <c r="B125" s="540" t="n"/>
      <c r="C125" s="540" t="n"/>
      <c r="D125" s="540" t="n"/>
      <c r="E125" s="113" t="n"/>
      <c r="F125" s="537" t="n"/>
      <c r="G125" s="113" t="n"/>
    </row>
    <row r="126" ht="18.75" customHeight="1">
      <c r="A126" s="113" t="n"/>
      <c r="B126" s="540" t="n"/>
      <c r="C126" s="540" t="n"/>
      <c r="D126" s="540" t="n"/>
      <c r="E126" s="113" t="n"/>
      <c r="F126" s="537" t="n"/>
      <c r="G126" s="113" t="n"/>
    </row>
    <row r="127" ht="18.75" customHeight="1">
      <c r="A127" s="113" t="n"/>
      <c r="B127" s="540" t="n"/>
      <c r="C127" s="540" t="n"/>
      <c r="D127" s="540" t="n"/>
      <c r="E127" s="113" t="n"/>
      <c r="F127" s="537" t="n"/>
      <c r="G127" s="113" t="n"/>
    </row>
    <row r="128" ht="18.75" customHeight="1">
      <c r="A128" s="113" t="n"/>
      <c r="B128" s="540" t="n"/>
      <c r="C128" s="540" t="n"/>
      <c r="D128" s="540" t="n"/>
      <c r="E128" s="113" t="n"/>
      <c r="F128" s="537" t="n"/>
      <c r="G128" s="113" t="n"/>
    </row>
    <row r="129" ht="18.75" customHeight="1">
      <c r="A129" s="113" t="n"/>
      <c r="B129" s="540" t="n"/>
      <c r="C129" s="540" t="n"/>
      <c r="D129" s="540" t="n"/>
      <c r="E129" s="113" t="n"/>
      <c r="F129" s="537" t="n"/>
      <c r="G129" s="113" t="n"/>
    </row>
    <row r="130" ht="18.75" customHeight="1">
      <c r="A130" s="113" t="n"/>
      <c r="B130" s="540" t="n"/>
      <c r="C130" s="540" t="n"/>
      <c r="D130" s="540" t="n"/>
      <c r="E130" s="113" t="n"/>
      <c r="F130" s="537" t="n"/>
      <c r="G130" s="113" t="n"/>
    </row>
    <row r="131" ht="18.75" customHeight="1">
      <c r="A131" s="113" t="n"/>
      <c r="B131" s="540" t="n"/>
      <c r="C131" s="540" t="n"/>
      <c r="D131" s="540" t="n"/>
      <c r="E131" s="113" t="n"/>
      <c r="F131" s="537" t="n"/>
      <c r="G131" s="113" t="n"/>
    </row>
    <row r="132" ht="18.75" customHeight="1">
      <c r="A132" s="113" t="n"/>
      <c r="B132" s="540" t="n"/>
      <c r="C132" s="540" t="n"/>
      <c r="D132" s="540" t="n"/>
      <c r="E132" s="113" t="n"/>
      <c r="F132" s="537" t="n"/>
      <c r="G132" s="113" t="n"/>
    </row>
    <row r="133" ht="18.75" customHeight="1">
      <c r="A133" s="113" t="n"/>
      <c r="B133" s="540" t="n"/>
      <c r="C133" s="540" t="n"/>
      <c r="D133" s="540" t="n"/>
      <c r="E133" s="113" t="n"/>
      <c r="F133" s="537" t="n"/>
      <c r="G133" s="113" t="n"/>
    </row>
    <row r="134" ht="18.75" customHeight="1">
      <c r="A134" s="113" t="n"/>
      <c r="B134" s="540" t="n"/>
      <c r="C134" s="540" t="n"/>
      <c r="D134" s="540" t="n"/>
      <c r="E134" s="113" t="n"/>
      <c r="F134" s="537" t="n"/>
      <c r="G134" s="113" t="n"/>
    </row>
    <row r="135" ht="18.75" customHeight="1">
      <c r="A135" s="113" t="n"/>
      <c r="B135" s="540" t="n"/>
      <c r="C135" s="540" t="n"/>
      <c r="D135" s="540" t="n"/>
      <c r="E135" s="113" t="n"/>
      <c r="F135" s="537" t="n"/>
      <c r="G135" s="113" t="n"/>
    </row>
    <row r="136" ht="18.75" customHeight="1">
      <c r="A136" s="113" t="n"/>
      <c r="B136" s="540" t="n"/>
      <c r="C136" s="540" t="n"/>
      <c r="D136" s="540" t="n"/>
      <c r="E136" s="113" t="n"/>
      <c r="F136" s="537" t="n"/>
      <c r="G136" s="113" t="n"/>
    </row>
    <row r="137" ht="18.75" customHeight="1">
      <c r="A137" s="113" t="n"/>
      <c r="B137" s="540" t="n"/>
      <c r="C137" s="540" t="n"/>
      <c r="D137" s="540" t="n"/>
      <c r="E137" s="113" t="n"/>
      <c r="F137" s="537" t="n"/>
      <c r="G137" s="113" t="n"/>
    </row>
    <row r="138" ht="18.75" customHeight="1">
      <c r="A138" s="113" t="n"/>
      <c r="B138" s="540" t="n"/>
      <c r="C138" s="540" t="n"/>
      <c r="D138" s="540" t="n"/>
      <c r="E138" s="113" t="n"/>
      <c r="F138" s="537" t="n"/>
      <c r="G138" s="113" t="n"/>
    </row>
    <row r="139" ht="18.75" customHeight="1">
      <c r="A139" s="113" t="n"/>
      <c r="B139" s="540" t="n"/>
      <c r="C139" s="540" t="n"/>
      <c r="D139" s="540" t="n"/>
      <c r="E139" s="113" t="n"/>
      <c r="F139" s="537" t="n"/>
      <c r="G139" s="113" t="n"/>
    </row>
    <row r="140" ht="18.75" customHeight="1">
      <c r="A140" s="113" t="n"/>
      <c r="B140" s="540" t="n"/>
      <c r="C140" s="540" t="n"/>
      <c r="D140" s="540" t="n"/>
      <c r="E140" s="113" t="n"/>
      <c r="F140" s="537" t="n"/>
      <c r="G140" s="113" t="n"/>
    </row>
    <row r="141" ht="18.75" customHeight="1">
      <c r="A141" s="113" t="n"/>
      <c r="B141" s="540" t="n"/>
      <c r="C141" s="540" t="n"/>
      <c r="D141" s="540" t="n"/>
      <c r="E141" s="113" t="n"/>
      <c r="F141" s="537" t="n"/>
      <c r="G141" s="113" t="n"/>
    </row>
    <row r="142" ht="18.75" customHeight="1">
      <c r="A142" s="113" t="n"/>
      <c r="B142" s="540" t="n"/>
      <c r="C142" s="540" t="n"/>
      <c r="D142" s="540" t="n"/>
      <c r="E142" s="113" t="n"/>
      <c r="F142" s="537" t="n"/>
      <c r="G142" s="113" t="n"/>
    </row>
    <row r="143" ht="18.75" customHeight="1">
      <c r="A143" s="113" t="n"/>
      <c r="B143" s="540" t="n"/>
      <c r="C143" s="540" t="n"/>
      <c r="D143" s="540" t="n"/>
      <c r="E143" s="113" t="n"/>
      <c r="F143" s="537" t="n"/>
      <c r="G143" s="113" t="n"/>
    </row>
    <row r="144" ht="18.75" customHeight="1">
      <c r="A144" s="113" t="n"/>
      <c r="B144" s="540" t="n"/>
      <c r="C144" s="540" t="n"/>
      <c r="D144" s="540" t="n"/>
      <c r="E144" s="113" t="n"/>
      <c r="F144" s="537" t="n"/>
      <c r="G144" s="113" t="n"/>
    </row>
    <row r="145" ht="18.75" customHeight="1">
      <c r="A145" s="113" t="n"/>
      <c r="B145" s="540" t="n"/>
      <c r="C145" s="540" t="n"/>
      <c r="D145" s="540" t="n"/>
      <c r="E145" s="113" t="n"/>
      <c r="F145" s="537" t="n"/>
      <c r="G145" s="113" t="n"/>
    </row>
    <row r="146" ht="18.75" customHeight="1">
      <c r="A146" s="113" t="n"/>
      <c r="B146" s="540" t="n"/>
      <c r="C146" s="540" t="n"/>
      <c r="D146" s="540" t="n"/>
      <c r="E146" s="113" t="n"/>
      <c r="F146" s="537" t="n"/>
      <c r="G146" s="113" t="n"/>
    </row>
    <row r="147" ht="18.75" customHeight="1">
      <c r="A147" s="113" t="n"/>
      <c r="B147" s="540" t="n"/>
      <c r="C147" s="540" t="n"/>
      <c r="D147" s="540" t="n"/>
      <c r="E147" s="113" t="n"/>
      <c r="F147" s="537" t="n"/>
      <c r="G147" s="113" t="n"/>
    </row>
    <row r="148" ht="18.75" customHeight="1">
      <c r="A148" s="113" t="n"/>
      <c r="B148" s="540" t="n"/>
      <c r="C148" s="540" t="n"/>
      <c r="D148" s="540" t="n"/>
      <c r="E148" s="113" t="n"/>
      <c r="F148" s="537" t="n"/>
      <c r="G148" s="113" t="n"/>
    </row>
    <row r="149" ht="18.75" customHeight="1">
      <c r="A149" s="113" t="n"/>
      <c r="B149" s="540" t="n"/>
      <c r="C149" s="540" t="n"/>
      <c r="D149" s="540" t="n"/>
      <c r="E149" s="113" t="n"/>
      <c r="F149" s="537" t="n"/>
      <c r="G149" s="113" t="n"/>
    </row>
    <row r="150" ht="18.75" customHeight="1">
      <c r="A150" s="113" t="n"/>
      <c r="B150" s="540" t="n"/>
      <c r="C150" s="540" t="n"/>
      <c r="D150" s="540" t="n"/>
      <c r="E150" s="113" t="n"/>
      <c r="F150" s="537" t="n"/>
      <c r="G150" s="113" t="n"/>
    </row>
    <row r="151" ht="18.75" customHeight="1">
      <c r="A151" s="113" t="n"/>
      <c r="B151" s="540" t="n"/>
      <c r="C151" s="540" t="n"/>
      <c r="D151" s="540" t="n"/>
      <c r="E151" s="113" t="n"/>
      <c r="F151" s="537" t="n"/>
      <c r="G151" s="113" t="n"/>
    </row>
    <row r="152" ht="18.75" customHeight="1">
      <c r="A152" s="113" t="n"/>
      <c r="B152" s="540" t="n"/>
      <c r="C152" s="540" t="n"/>
      <c r="D152" s="540" t="n"/>
      <c r="E152" s="113" t="n"/>
      <c r="F152" s="537" t="n"/>
      <c r="G152" s="113" t="n"/>
    </row>
    <row r="153" ht="18.75" customHeight="1">
      <c r="A153" s="113" t="n"/>
      <c r="B153" s="540" t="n"/>
      <c r="C153" s="540" t="n"/>
      <c r="D153" s="540" t="n"/>
      <c r="E153" s="113" t="n"/>
      <c r="F153" s="537" t="n"/>
      <c r="G153" s="113" t="n"/>
    </row>
    <row r="154" ht="18.75" customHeight="1">
      <c r="A154" s="113" t="n"/>
      <c r="B154" s="540" t="n"/>
      <c r="C154" s="540" t="n"/>
      <c r="D154" s="540" t="n"/>
      <c r="E154" s="113" t="n"/>
      <c r="F154" s="537" t="n"/>
      <c r="G154" s="113" t="n"/>
    </row>
    <row r="155" ht="18.75" customHeight="1">
      <c r="A155" s="113" t="n"/>
      <c r="B155" s="540" t="n"/>
      <c r="C155" s="540" t="n"/>
      <c r="D155" s="540" t="n"/>
      <c r="E155" s="113" t="n"/>
      <c r="F155" s="537" t="n"/>
      <c r="G155" s="113" t="n"/>
    </row>
    <row r="156" ht="18.75" customHeight="1">
      <c r="A156" s="113" t="n"/>
      <c r="B156" s="540" t="n"/>
      <c r="C156" s="540" t="n"/>
      <c r="D156" s="540" t="n"/>
      <c r="E156" s="113" t="n"/>
      <c r="F156" s="537" t="n"/>
      <c r="G156" s="113" t="n"/>
    </row>
    <row r="157" ht="18.75" customHeight="1">
      <c r="A157" s="113" t="n"/>
      <c r="B157" s="540" t="n"/>
      <c r="C157" s="540" t="n"/>
      <c r="D157" s="540" t="n"/>
      <c r="E157" s="113" t="n"/>
      <c r="F157" s="537" t="n"/>
      <c r="G157" s="113" t="n"/>
    </row>
    <row r="158" ht="18.75" customHeight="1">
      <c r="A158" s="113" t="n"/>
      <c r="B158" s="540" t="n"/>
      <c r="C158" s="540" t="n"/>
      <c r="D158" s="540" t="n"/>
      <c r="E158" s="113" t="n"/>
      <c r="F158" s="537" t="n"/>
      <c r="G158" s="113" t="n"/>
    </row>
    <row r="159" ht="18.75" customHeight="1">
      <c r="A159" s="113" t="n"/>
      <c r="B159" s="540" t="n"/>
      <c r="C159" s="540" t="n"/>
      <c r="D159" s="540" t="n"/>
      <c r="E159" s="113" t="n"/>
      <c r="F159" s="537" t="n"/>
      <c r="G159" s="113" t="n"/>
    </row>
    <row r="160" ht="18.75" customHeight="1">
      <c r="A160" s="113" t="n"/>
      <c r="B160" s="540" t="n"/>
      <c r="C160" s="540" t="n"/>
      <c r="D160" s="540" t="n"/>
      <c r="E160" s="113" t="n"/>
      <c r="F160" s="537" t="n"/>
      <c r="G160" s="113" t="n"/>
    </row>
    <row r="161" ht="18.75" customHeight="1">
      <c r="A161" s="113" t="n"/>
      <c r="B161" s="540" t="n"/>
      <c r="C161" s="540" t="n"/>
      <c r="D161" s="540" t="n"/>
      <c r="E161" s="113" t="n"/>
      <c r="F161" s="537" t="n"/>
      <c r="G161" s="113" t="n"/>
    </row>
    <row r="162" ht="18.75" customHeight="1">
      <c r="A162" s="113" t="n"/>
      <c r="B162" s="540" t="n"/>
      <c r="C162" s="540" t="n"/>
      <c r="D162" s="540" t="n"/>
      <c r="E162" s="113" t="n"/>
      <c r="F162" s="537" t="n"/>
      <c r="G162" s="113" t="n"/>
    </row>
    <row r="163" ht="18.75" customHeight="1">
      <c r="A163" s="113" t="n"/>
      <c r="B163" s="540" t="n"/>
      <c r="C163" s="540" t="n"/>
      <c r="D163" s="540" t="n"/>
      <c r="E163" s="113" t="n"/>
      <c r="F163" s="537" t="n"/>
      <c r="G163" s="113" t="n"/>
    </row>
    <row r="164" ht="18.75" customHeight="1">
      <c r="A164" s="113" t="n"/>
      <c r="B164" s="540" t="n"/>
      <c r="C164" s="540" t="n"/>
      <c r="D164" s="540" t="n"/>
      <c r="E164" s="113" t="n"/>
      <c r="F164" s="537" t="n"/>
      <c r="G164" s="113" t="n"/>
    </row>
    <row r="165" ht="18.75" customHeight="1">
      <c r="A165" s="113" t="n"/>
      <c r="B165" s="540" t="n"/>
      <c r="C165" s="540" t="n"/>
      <c r="D165" s="540" t="n"/>
      <c r="E165" s="113" t="n"/>
      <c r="F165" s="537" t="n"/>
      <c r="G165" s="113" t="n"/>
    </row>
    <row r="166" ht="18.75" customHeight="1">
      <c r="A166" s="113" t="n"/>
      <c r="B166" s="540" t="n"/>
      <c r="C166" s="540" t="n"/>
      <c r="D166" s="540" t="n"/>
      <c r="E166" s="113" t="n"/>
      <c r="F166" s="537" t="n"/>
      <c r="G166" s="113" t="n"/>
    </row>
    <row r="167" ht="18.75" customHeight="1">
      <c r="A167" s="113" t="n"/>
      <c r="B167" s="540" t="n"/>
      <c r="C167" s="540" t="n"/>
      <c r="D167" s="540" t="n"/>
      <c r="E167" s="113" t="n"/>
      <c r="F167" s="537" t="n"/>
      <c r="G167" s="113" t="n"/>
    </row>
    <row r="168" ht="18.75" customHeight="1">
      <c r="A168" s="113" t="n"/>
      <c r="B168" s="540" t="n"/>
      <c r="C168" s="540" t="n"/>
      <c r="D168" s="540" t="n"/>
      <c r="E168" s="113" t="n"/>
      <c r="F168" s="537" t="n"/>
      <c r="G168" s="113" t="n"/>
    </row>
    <row r="169" ht="18.75" customHeight="1">
      <c r="A169" s="113" t="n"/>
      <c r="B169" s="540" t="n"/>
      <c r="C169" s="540" t="n"/>
      <c r="D169" s="540" t="n"/>
      <c r="E169" s="113" t="n"/>
      <c r="F169" s="537" t="n"/>
      <c r="G169" s="113" t="n"/>
    </row>
    <row r="170" ht="18.75" customHeight="1">
      <c r="A170" s="113" t="n"/>
      <c r="B170" s="540" t="n"/>
      <c r="C170" s="540" t="n"/>
      <c r="D170" s="540" t="n"/>
      <c r="E170" s="113" t="n"/>
      <c r="F170" s="537" t="n"/>
      <c r="G170" s="113" t="n"/>
    </row>
    <row r="171" ht="18.75" customHeight="1">
      <c r="A171" s="113" t="n"/>
      <c r="B171" s="540" t="n"/>
      <c r="C171" s="540" t="n"/>
      <c r="D171" s="540" t="n"/>
      <c r="E171" s="113" t="n"/>
      <c r="F171" s="537" t="n"/>
      <c r="G171" s="113" t="n"/>
    </row>
    <row r="172" ht="18.75" customHeight="1">
      <c r="A172" s="113" t="n"/>
      <c r="B172" s="540" t="n"/>
      <c r="C172" s="540" t="n"/>
      <c r="D172" s="540" t="n"/>
      <c r="E172" s="113" t="n"/>
      <c r="F172" s="537" t="n"/>
      <c r="G172" s="113" t="n"/>
    </row>
    <row r="173" ht="18.75" customHeight="1">
      <c r="A173" s="113" t="n"/>
      <c r="B173" s="540" t="n"/>
      <c r="C173" s="540" t="n"/>
      <c r="D173" s="540" t="n"/>
      <c r="E173" s="113" t="n"/>
      <c r="F173" s="537" t="n"/>
      <c r="G173" s="113" t="n"/>
    </row>
    <row r="174" ht="18.75" customHeight="1">
      <c r="A174" s="113" t="n"/>
      <c r="B174" s="540" t="n"/>
      <c r="C174" s="540" t="n"/>
      <c r="D174" s="540" t="n"/>
      <c r="E174" s="113" t="n"/>
      <c r="F174" s="537" t="n"/>
      <c r="G174" s="113" t="n"/>
    </row>
    <row r="175" ht="18.75" customHeight="1">
      <c r="A175" s="113" t="n"/>
      <c r="B175" s="540" t="n"/>
      <c r="C175" s="540" t="n"/>
      <c r="D175" s="540" t="n"/>
      <c r="E175" s="113" t="n"/>
      <c r="F175" s="537" t="n"/>
      <c r="G175" s="113" t="n"/>
    </row>
    <row r="176" ht="18.75" customHeight="1">
      <c r="A176" s="113" t="n"/>
      <c r="B176" s="540" t="n"/>
      <c r="C176" s="540" t="n"/>
      <c r="D176" s="540" t="n"/>
      <c r="E176" s="113" t="n"/>
      <c r="F176" s="537" t="n"/>
      <c r="G176" s="113" t="n"/>
    </row>
    <row r="177" ht="18.75" customHeight="1">
      <c r="A177" s="113" t="n"/>
      <c r="B177" s="540" t="n"/>
      <c r="C177" s="540" t="n"/>
      <c r="D177" s="540" t="n"/>
      <c r="E177" s="113" t="n"/>
      <c r="F177" s="537" t="n"/>
      <c r="G177" s="113" t="n"/>
    </row>
    <row r="178" ht="18.75" customHeight="1">
      <c r="A178" s="113" t="n"/>
      <c r="B178" s="540" t="n"/>
      <c r="C178" s="540" t="n"/>
      <c r="D178" s="540" t="n"/>
      <c r="E178" s="113" t="n"/>
      <c r="F178" s="537" t="n"/>
      <c r="G178" s="113" t="n"/>
    </row>
    <row r="179" ht="18.75" customHeight="1">
      <c r="A179" s="113" t="n"/>
      <c r="B179" s="540" t="n"/>
      <c r="C179" s="540" t="n"/>
      <c r="D179" s="540" t="n"/>
      <c r="E179" s="113" t="n"/>
      <c r="F179" s="537" t="n"/>
      <c r="G179" s="113" t="n"/>
    </row>
    <row r="180" ht="18.75" customHeight="1">
      <c r="A180" s="113" t="n"/>
      <c r="B180" s="540" t="n"/>
      <c r="C180" s="540" t="n"/>
      <c r="D180" s="540" t="n"/>
      <c r="E180" s="113" t="n"/>
      <c r="F180" s="537" t="n"/>
      <c r="G180" s="113" t="n"/>
    </row>
    <row r="181" ht="18.75" customHeight="1">
      <c r="A181" s="113" t="n"/>
      <c r="B181" s="540" t="n"/>
      <c r="C181" s="540" t="n"/>
      <c r="D181" s="540" t="n"/>
      <c r="E181" s="113" t="n"/>
      <c r="F181" s="537" t="n"/>
      <c r="G181" s="113" t="n"/>
    </row>
    <row r="182" ht="18.75" customHeight="1">
      <c r="A182" s="113" t="n"/>
      <c r="B182" s="540" t="n"/>
      <c r="C182" s="540" t="n"/>
      <c r="D182" s="540" t="n"/>
      <c r="E182" s="113" t="n"/>
      <c r="F182" s="537" t="n"/>
      <c r="G182" s="113" t="n"/>
    </row>
    <row r="183" ht="18.75" customHeight="1">
      <c r="A183" s="113" t="n"/>
      <c r="B183" s="540" t="n"/>
      <c r="C183" s="540" t="n"/>
      <c r="D183" s="540" t="n"/>
      <c r="E183" s="113" t="n"/>
      <c r="F183" s="537" t="n"/>
      <c r="G183" s="113" t="n"/>
    </row>
    <row r="184" ht="18.75" customHeight="1">
      <c r="A184" s="113" t="n"/>
      <c r="B184" s="540" t="n"/>
      <c r="C184" s="540" t="n"/>
      <c r="D184" s="540" t="n"/>
      <c r="E184" s="113" t="n"/>
      <c r="F184" s="537" t="n"/>
      <c r="G184" s="113" t="n"/>
    </row>
    <row r="185" ht="18.75" customHeight="1">
      <c r="A185" s="113" t="n"/>
      <c r="B185" s="540" t="n"/>
      <c r="C185" s="540" t="n"/>
      <c r="D185" s="540" t="n"/>
      <c r="E185" s="113" t="n"/>
      <c r="F185" s="537" t="n"/>
      <c r="G185" s="113" t="n"/>
    </row>
    <row r="186" ht="18.75" customHeight="1">
      <c r="A186" s="113" t="n"/>
      <c r="B186" s="540" t="n"/>
      <c r="C186" s="540" t="n"/>
      <c r="D186" s="540" t="n"/>
      <c r="E186" s="113" t="n"/>
      <c r="F186" s="537" t="n"/>
      <c r="G186" s="113" t="n"/>
    </row>
    <row r="187" ht="18.75" customHeight="1">
      <c r="A187" s="113" t="n"/>
      <c r="B187" s="540" t="n"/>
      <c r="C187" s="540" t="n"/>
      <c r="D187" s="540" t="n"/>
      <c r="E187" s="113" t="n"/>
      <c r="F187" s="537" t="n"/>
      <c r="G187" s="113" t="n"/>
    </row>
    <row r="188" ht="18.75" customHeight="1">
      <c r="A188" s="113" t="n"/>
      <c r="B188" s="540" t="n"/>
      <c r="C188" s="540" t="n"/>
      <c r="D188" s="540" t="n"/>
      <c r="E188" s="113" t="n"/>
      <c r="F188" s="537" t="n"/>
      <c r="G188" s="113" t="n"/>
    </row>
    <row r="189" ht="18.75" customHeight="1">
      <c r="A189" s="113" t="n"/>
      <c r="B189" s="540" t="n"/>
      <c r="C189" s="540" t="n"/>
      <c r="D189" s="540" t="n"/>
      <c r="E189" s="113" t="n"/>
      <c r="F189" s="537" t="n"/>
      <c r="G189" s="113" t="n"/>
    </row>
    <row r="190" ht="18.75" customHeight="1">
      <c r="A190" s="113" t="n"/>
      <c r="B190" s="540" t="n"/>
      <c r="C190" s="540" t="n"/>
      <c r="D190" s="540" t="n"/>
      <c r="E190" s="113" t="n"/>
      <c r="F190" s="537" t="n"/>
      <c r="G190" s="113" t="n"/>
    </row>
    <row r="191" ht="18.75" customHeight="1">
      <c r="A191" s="113" t="n"/>
      <c r="B191" s="540" t="n"/>
      <c r="C191" s="540" t="n"/>
      <c r="D191" s="540" t="n"/>
      <c r="E191" s="113" t="n"/>
      <c r="F191" s="537" t="n"/>
      <c r="G191" s="113" t="n"/>
    </row>
    <row r="192" ht="18.75" customHeight="1">
      <c r="A192" s="113" t="n"/>
      <c r="B192" s="540" t="n"/>
      <c r="C192" s="540" t="n"/>
      <c r="D192" s="540" t="n"/>
      <c r="E192" s="113" t="n"/>
      <c r="F192" s="537" t="n"/>
      <c r="G192" s="113" t="n"/>
    </row>
    <row r="193" ht="18.75" customHeight="1">
      <c r="A193" s="113" t="n"/>
      <c r="B193" s="540" t="n"/>
      <c r="C193" s="540" t="n"/>
      <c r="D193" s="540" t="n"/>
      <c r="E193" s="113" t="n"/>
      <c r="F193" s="537" t="n"/>
      <c r="G193" s="113" t="n"/>
    </row>
    <row r="194" ht="18.75" customHeight="1">
      <c r="A194" s="113" t="n"/>
      <c r="B194" s="540" t="n"/>
      <c r="C194" s="540" t="n"/>
      <c r="D194" s="540" t="n"/>
      <c r="E194" s="113" t="n"/>
      <c r="F194" s="537" t="n"/>
      <c r="G194" s="113" t="n"/>
    </row>
    <row r="195" ht="18.75" customHeight="1">
      <c r="A195" s="113" t="n"/>
      <c r="B195" s="540" t="n"/>
      <c r="C195" s="540" t="n"/>
      <c r="D195" s="540" t="n"/>
      <c r="E195" s="113" t="n"/>
      <c r="F195" s="537" t="n"/>
      <c r="G195" s="113" t="n"/>
    </row>
    <row r="196" ht="18.75" customHeight="1">
      <c r="A196" s="113" t="n"/>
      <c r="B196" s="540" t="n"/>
      <c r="C196" s="540" t="n"/>
      <c r="D196" s="540" t="n"/>
      <c r="E196" s="113" t="n"/>
      <c r="F196" s="537" t="n"/>
      <c r="G196" s="113" t="n"/>
    </row>
    <row r="197" ht="18.75" customHeight="1">
      <c r="A197" s="113" t="n"/>
      <c r="B197" s="540" t="n"/>
      <c r="C197" s="540" t="n"/>
      <c r="D197" s="540" t="n"/>
      <c r="E197" s="113" t="n"/>
      <c r="F197" s="537" t="n"/>
      <c r="G197" s="113" t="n"/>
    </row>
    <row r="198" ht="18.75" customHeight="1">
      <c r="A198" s="113" t="n"/>
      <c r="B198" s="540" t="n"/>
      <c r="C198" s="540" t="n"/>
      <c r="D198" s="540" t="n"/>
      <c r="E198" s="113" t="n"/>
      <c r="F198" s="537" t="n"/>
      <c r="G198" s="113" t="n"/>
    </row>
    <row r="199" ht="18.75" customHeight="1">
      <c r="A199" s="113" t="n"/>
      <c r="B199" s="540" t="n"/>
      <c r="C199" s="540" t="n"/>
      <c r="D199" s="540" t="n"/>
      <c r="E199" s="113" t="n"/>
      <c r="F199" s="537" t="n"/>
      <c r="G199" s="113" t="n"/>
    </row>
    <row r="200" ht="18.75" customHeight="1">
      <c r="A200" s="113" t="n"/>
      <c r="B200" s="540" t="n"/>
      <c r="C200" s="540" t="n"/>
      <c r="D200" s="540" t="n"/>
      <c r="E200" s="113" t="n"/>
      <c r="F200" s="537" t="n"/>
      <c r="G200" s="113" t="n"/>
    </row>
    <row r="201" ht="18.75" customHeight="1">
      <c r="A201" s="113" t="n"/>
      <c r="B201" s="540" t="n"/>
      <c r="C201" s="540" t="n"/>
      <c r="D201" s="540" t="n"/>
      <c r="E201" s="113" t="n"/>
      <c r="F201" s="537" t="n"/>
      <c r="G201" s="113" t="n"/>
    </row>
    <row r="202" ht="18.75" customHeight="1">
      <c r="A202" s="113" t="n"/>
      <c r="B202" s="540" t="n"/>
      <c r="C202" s="540" t="n"/>
      <c r="D202" s="540" t="n"/>
      <c r="E202" s="113" t="n"/>
      <c r="F202" s="537" t="n"/>
      <c r="G202" s="113" t="n"/>
    </row>
    <row r="203" ht="18.75" customHeight="1">
      <c r="A203" s="113" t="n"/>
      <c r="B203" s="540" t="n"/>
      <c r="C203" s="540" t="n"/>
      <c r="D203" s="540" t="n"/>
      <c r="E203" s="113" t="n"/>
      <c r="F203" s="537" t="n"/>
      <c r="G203" s="113" t="n"/>
    </row>
    <row r="204" ht="18.75" customHeight="1">
      <c r="A204" s="113" t="n"/>
      <c r="B204" s="540" t="n"/>
      <c r="C204" s="540" t="n"/>
      <c r="D204" s="540" t="n"/>
      <c r="E204" s="113" t="n"/>
      <c r="F204" s="537" t="n"/>
      <c r="G204" s="113" t="n"/>
    </row>
    <row r="205" ht="18.75" customHeight="1">
      <c r="A205" s="113" t="n"/>
      <c r="B205" s="540" t="n"/>
      <c r="C205" s="540" t="n"/>
      <c r="D205" s="540" t="n"/>
      <c r="E205" s="113" t="n"/>
      <c r="F205" s="537" t="n"/>
      <c r="G205" s="113" t="n"/>
    </row>
    <row r="206" ht="18.75" customHeight="1">
      <c r="A206" s="113" t="n"/>
      <c r="B206" s="540" t="n"/>
      <c r="C206" s="540" t="n"/>
      <c r="D206" s="540" t="n"/>
      <c r="E206" s="113" t="n"/>
      <c r="F206" s="537" t="n"/>
      <c r="G206" s="113" t="n"/>
    </row>
    <row r="207" ht="18.75" customHeight="1">
      <c r="A207" s="113" t="n"/>
      <c r="B207" s="540" t="n"/>
      <c r="C207" s="540" t="n"/>
      <c r="D207" s="540" t="n"/>
      <c r="E207" s="113" t="n"/>
      <c r="F207" s="537" t="n"/>
      <c r="G207" s="113" t="n"/>
    </row>
    <row r="208" ht="18.75" customHeight="1">
      <c r="A208" s="113" t="n"/>
      <c r="B208" s="540" t="n"/>
      <c r="C208" s="540" t="n"/>
      <c r="D208" s="540" t="n"/>
      <c r="E208" s="113" t="n"/>
      <c r="F208" s="537" t="n"/>
      <c r="G208" s="113" t="n"/>
    </row>
    <row r="209" ht="18.75" customHeight="1">
      <c r="A209" s="113" t="n"/>
      <c r="B209" s="540" t="n"/>
      <c r="C209" s="540" t="n"/>
      <c r="D209" s="540" t="n"/>
      <c r="E209" s="113" t="n"/>
      <c r="F209" s="537" t="n"/>
      <c r="G209" s="113" t="n"/>
    </row>
    <row r="210" ht="18.75" customHeight="1">
      <c r="A210" s="113" t="n"/>
      <c r="B210" s="540" t="n"/>
      <c r="C210" s="540" t="n"/>
      <c r="D210" s="540" t="n"/>
      <c r="E210" s="113" t="n"/>
      <c r="F210" s="537" t="n"/>
      <c r="G210" s="113" t="n"/>
    </row>
    <row r="211" ht="18.75" customHeight="1">
      <c r="A211" s="113" t="n"/>
      <c r="B211" s="540" t="n"/>
      <c r="C211" s="540" t="n"/>
      <c r="D211" s="540" t="n"/>
      <c r="E211" s="113" t="n"/>
      <c r="F211" s="537" t="n"/>
      <c r="G211" s="113" t="n"/>
    </row>
    <row r="212" ht="18.75" customHeight="1">
      <c r="A212" s="113" t="n"/>
      <c r="B212" s="540" t="n"/>
      <c r="C212" s="540" t="n"/>
      <c r="D212" s="540" t="n"/>
      <c r="E212" s="113" t="n"/>
      <c r="F212" s="537" t="n"/>
      <c r="G212" s="113" t="n"/>
    </row>
    <row r="213" ht="18.75" customHeight="1">
      <c r="A213" s="113" t="n"/>
      <c r="B213" s="540" t="n"/>
      <c r="C213" s="540" t="n"/>
      <c r="D213" s="540" t="n"/>
      <c r="E213" s="113" t="n"/>
      <c r="F213" s="537" t="n"/>
      <c r="G213" s="113" t="n"/>
    </row>
    <row r="214" ht="18.75" customHeight="1">
      <c r="A214" s="113" t="n"/>
      <c r="B214" s="540" t="n"/>
      <c r="C214" s="540" t="n"/>
      <c r="D214" s="540" t="n"/>
      <c r="E214" s="113" t="n"/>
      <c r="F214" s="537" t="n"/>
      <c r="G214" s="113" t="n"/>
    </row>
    <row r="215" ht="18.75" customHeight="1">
      <c r="A215" s="113" t="n"/>
      <c r="B215" s="540" t="n"/>
      <c r="C215" s="540" t="n"/>
      <c r="D215" s="540" t="n"/>
      <c r="E215" s="113" t="n"/>
      <c r="F215" s="537" t="n"/>
      <c r="G215" s="113" t="n"/>
    </row>
    <row r="216" ht="18.75" customHeight="1">
      <c r="A216" s="113" t="n"/>
      <c r="B216" s="540" t="n"/>
      <c r="C216" s="540" t="n"/>
      <c r="D216" s="540" t="n"/>
      <c r="E216" s="113" t="n"/>
      <c r="F216" s="537" t="n"/>
      <c r="G216" s="113" t="n"/>
    </row>
    <row r="217" ht="18.75" customHeight="1">
      <c r="A217" s="113" t="n"/>
      <c r="B217" s="540" t="n"/>
      <c r="C217" s="540" t="n"/>
      <c r="D217" s="540" t="n"/>
      <c r="E217" s="113" t="n"/>
      <c r="F217" s="537" t="n"/>
      <c r="G217" s="113" t="n"/>
    </row>
    <row r="218" ht="18.75" customHeight="1">
      <c r="A218" s="113" t="n"/>
      <c r="B218" s="540" t="n"/>
      <c r="C218" s="540" t="n"/>
      <c r="D218" s="540" t="n"/>
      <c r="E218" s="113" t="n"/>
      <c r="F218" s="537" t="n"/>
      <c r="G218" s="113" t="n"/>
    </row>
    <row r="219" ht="18.75" customHeight="1">
      <c r="A219" s="113" t="n"/>
      <c r="B219" s="540" t="n"/>
      <c r="C219" s="540" t="n"/>
      <c r="D219" s="540" t="n"/>
      <c r="E219" s="113" t="n"/>
      <c r="F219" s="537" t="n"/>
      <c r="G219" s="113" t="n"/>
    </row>
    <row r="220" ht="18.75" customHeight="1">
      <c r="A220" s="113" t="n"/>
      <c r="B220" s="540" t="n"/>
      <c r="C220" s="540" t="n"/>
      <c r="D220" s="540" t="n"/>
      <c r="E220" s="113" t="n"/>
      <c r="F220" s="537" t="n"/>
      <c r="G220" s="113" t="n"/>
    </row>
    <row r="221" ht="18.75" customHeight="1">
      <c r="A221" s="113" t="n"/>
      <c r="B221" s="540" t="n"/>
      <c r="C221" s="540" t="n"/>
      <c r="D221" s="540" t="n"/>
      <c r="E221" s="113" t="n"/>
      <c r="F221" s="537" t="n"/>
      <c r="G221" s="113" t="n"/>
    </row>
    <row r="222" ht="18.75" customHeight="1">
      <c r="A222" s="113" t="n"/>
      <c r="B222" s="540" t="n"/>
      <c r="C222" s="540" t="n"/>
      <c r="D222" s="540" t="n"/>
      <c r="E222" s="113" t="n"/>
      <c r="F222" s="537" t="n"/>
      <c r="G222" s="113" t="n"/>
    </row>
    <row r="223" ht="18.75" customHeight="1">
      <c r="A223" s="113" t="n"/>
      <c r="B223" s="540" t="n"/>
      <c r="C223" s="540" t="n"/>
      <c r="D223" s="540" t="n"/>
      <c r="E223" s="113" t="n"/>
      <c r="F223" s="537" t="n"/>
      <c r="G223" s="113" t="n"/>
    </row>
    <row r="224" ht="18.75" customHeight="1">
      <c r="A224" s="113" t="n"/>
      <c r="B224" s="540" t="n"/>
      <c r="C224" s="540" t="n"/>
      <c r="D224" s="540" t="n"/>
      <c r="E224" s="113" t="n"/>
      <c r="F224" s="537" t="n"/>
      <c r="G224" s="113" t="n"/>
    </row>
    <row r="225" ht="18.75" customHeight="1">
      <c r="A225" s="113" t="n"/>
      <c r="B225" s="540" t="n"/>
      <c r="C225" s="540" t="n"/>
      <c r="D225" s="540" t="n"/>
      <c r="E225" s="113" t="n"/>
      <c r="F225" s="537" t="n"/>
      <c r="G225" s="113" t="n"/>
    </row>
    <row r="226" ht="18.75" customHeight="1">
      <c r="A226" s="113" t="n"/>
      <c r="B226" s="540" t="n"/>
      <c r="C226" s="540" t="n"/>
      <c r="D226" s="540" t="n"/>
      <c r="E226" s="113" t="n"/>
      <c r="F226" s="537" t="n"/>
      <c r="G226" s="113" t="n"/>
    </row>
    <row r="227" ht="18.75" customHeight="1">
      <c r="A227" s="113" t="n"/>
      <c r="B227" s="540" t="n"/>
      <c r="C227" s="540" t="n"/>
      <c r="D227" s="540" t="n"/>
      <c r="E227" s="113" t="n"/>
      <c r="F227" s="537" t="n"/>
      <c r="G227" s="113" t="n"/>
    </row>
    <row r="228" ht="18.75" customHeight="1">
      <c r="A228" s="113" t="n"/>
      <c r="B228" s="540" t="n"/>
      <c r="C228" s="540" t="n"/>
      <c r="D228" s="540" t="n"/>
      <c r="E228" s="113" t="n"/>
      <c r="F228" s="537" t="n"/>
      <c r="G228" s="113" t="n"/>
    </row>
    <row r="229" ht="18.75" customHeight="1">
      <c r="A229" s="113" t="n"/>
      <c r="B229" s="540" t="n"/>
      <c r="C229" s="540" t="n"/>
      <c r="D229" s="540" t="n"/>
      <c r="E229" s="113" t="n"/>
      <c r="F229" s="537" t="n"/>
      <c r="G229" s="113" t="n"/>
    </row>
    <row r="230" ht="18.75" customHeight="1">
      <c r="A230" s="113" t="n"/>
      <c r="B230" s="540" t="n"/>
      <c r="C230" s="540" t="n"/>
      <c r="D230" s="540" t="n"/>
      <c r="E230" s="113" t="n"/>
      <c r="F230" s="537" t="n"/>
      <c r="G230" s="113" t="n"/>
    </row>
    <row r="231" ht="18.75" customHeight="1">
      <c r="A231" s="113" t="n"/>
      <c r="B231" s="540" t="n"/>
      <c r="C231" s="540" t="n"/>
      <c r="D231" s="540" t="n"/>
      <c r="E231" s="113" t="n"/>
      <c r="F231" s="537" t="n"/>
      <c r="G231" s="113" t="n"/>
    </row>
    <row r="232" ht="18.75" customHeight="1">
      <c r="A232" s="113" t="n"/>
      <c r="B232" s="540" t="n"/>
      <c r="C232" s="540" t="n"/>
      <c r="D232" s="540" t="n"/>
      <c r="E232" s="113" t="n"/>
      <c r="F232" s="537" t="n"/>
      <c r="G232" s="113" t="n"/>
    </row>
    <row r="233" ht="18.75" customHeight="1">
      <c r="A233" s="113" t="n"/>
      <c r="B233" s="540" t="n"/>
      <c r="C233" s="540" t="n"/>
      <c r="D233" s="540" t="n"/>
      <c r="E233" s="113" t="n"/>
      <c r="F233" s="537" t="n"/>
      <c r="G233" s="113" t="n"/>
    </row>
    <row r="234" ht="18.75" customHeight="1">
      <c r="A234" s="113" t="n"/>
      <c r="B234" s="540" t="n"/>
      <c r="C234" s="540" t="n"/>
      <c r="D234" s="540" t="n"/>
      <c r="E234" s="113" t="n"/>
      <c r="F234" s="537" t="n"/>
      <c r="G234" s="113" t="n"/>
    </row>
    <row r="235" ht="18.75" customHeight="1">
      <c r="A235" s="113" t="n"/>
      <c r="B235" s="540" t="n"/>
      <c r="C235" s="540" t="n"/>
      <c r="D235" s="540" t="n"/>
      <c r="E235" s="113" t="n"/>
      <c r="F235" s="537" t="n"/>
      <c r="G235" s="113" t="n"/>
    </row>
    <row r="236" ht="18.75" customHeight="1">
      <c r="A236" s="113" t="n"/>
      <c r="B236" s="540" t="n"/>
      <c r="C236" s="540" t="n"/>
      <c r="D236" s="540" t="n"/>
      <c r="E236" s="113" t="n"/>
      <c r="F236" s="537" t="n"/>
      <c r="G236" s="113" t="n"/>
    </row>
    <row r="237" ht="18.75" customHeight="1">
      <c r="A237" s="113" t="n"/>
      <c r="B237" s="540" t="n"/>
      <c r="C237" s="540" t="n"/>
      <c r="D237" s="540" t="n"/>
      <c r="E237" s="113" t="n"/>
      <c r="F237" s="537" t="n"/>
      <c r="G237" s="113" t="n"/>
    </row>
    <row r="238" ht="18.75" customHeight="1">
      <c r="A238" s="113" t="n"/>
      <c r="B238" s="540" t="n"/>
      <c r="C238" s="540" t="n"/>
      <c r="D238" s="540" t="n"/>
      <c r="E238" s="113" t="n"/>
      <c r="F238" s="537" t="n"/>
      <c r="G238" s="113" t="n"/>
    </row>
    <row r="239" ht="18.75" customHeight="1">
      <c r="A239" s="113" t="n"/>
      <c r="B239" s="540" t="n"/>
      <c r="C239" s="540" t="n"/>
      <c r="D239" s="540" t="n"/>
      <c r="E239" s="113" t="n"/>
      <c r="F239" s="537" t="n"/>
      <c r="G239" s="113" t="n"/>
    </row>
    <row r="240" ht="18.75" customHeight="1">
      <c r="A240" s="113" t="n"/>
      <c r="B240" s="540" t="n"/>
      <c r="C240" s="540" t="n"/>
      <c r="D240" s="540" t="n"/>
      <c r="E240" s="113" t="n"/>
      <c r="F240" s="537" t="n"/>
      <c r="G240" s="113" t="n"/>
    </row>
    <row r="241" ht="18.75" customHeight="1">
      <c r="A241" s="113" t="n"/>
      <c r="B241" s="540" t="n"/>
      <c r="C241" s="540" t="n"/>
      <c r="D241" s="540" t="n"/>
      <c r="E241" s="113" t="n"/>
      <c r="F241" s="537" t="n"/>
      <c r="G241" s="113" t="n"/>
    </row>
    <row r="242" ht="18.75" customHeight="1">
      <c r="A242" s="113" t="n"/>
      <c r="B242" s="540" t="n"/>
      <c r="C242" s="540" t="n"/>
      <c r="D242" s="540" t="n"/>
      <c r="E242" s="113" t="n"/>
      <c r="F242" s="537" t="n"/>
      <c r="G242" s="113" t="n"/>
    </row>
    <row r="243" ht="18.75" customHeight="1">
      <c r="A243" s="113" t="n"/>
      <c r="B243" s="540" t="n"/>
      <c r="C243" s="540" t="n"/>
      <c r="D243" s="540" t="n"/>
      <c r="E243" s="113" t="n"/>
      <c r="F243" s="537" t="n"/>
      <c r="G243" s="113" t="n"/>
    </row>
    <row r="244" ht="18.75" customHeight="1">
      <c r="A244" s="113" t="n"/>
      <c r="B244" s="540" t="n"/>
      <c r="C244" s="540" t="n"/>
      <c r="D244" s="540" t="n"/>
      <c r="E244" s="113" t="n"/>
      <c r="F244" s="537" t="n"/>
      <c r="G244" s="113" t="n"/>
    </row>
    <row r="245" ht="18.75" customHeight="1">
      <c r="A245" s="113" t="n"/>
      <c r="B245" s="540" t="n"/>
      <c r="C245" s="540" t="n"/>
      <c r="D245" s="540" t="n"/>
      <c r="E245" s="113" t="n"/>
      <c r="F245" s="537" t="n"/>
      <c r="G245" s="113" t="n"/>
    </row>
    <row r="246" ht="18.75" customHeight="1">
      <c r="A246" s="113" t="n"/>
      <c r="B246" s="540" t="n"/>
      <c r="C246" s="540" t="n"/>
      <c r="D246" s="540" t="n"/>
      <c r="E246" s="113" t="n"/>
      <c r="F246" s="537" t="n"/>
      <c r="G246" s="113" t="n"/>
    </row>
    <row r="247" ht="18.75" customHeight="1">
      <c r="A247" s="113" t="n"/>
      <c r="B247" s="540" t="n"/>
      <c r="C247" s="540" t="n"/>
      <c r="D247" s="540" t="n"/>
      <c r="E247" s="113" t="n"/>
      <c r="F247" s="537" t="n"/>
      <c r="G247" s="113" t="n"/>
    </row>
    <row r="248" ht="18.75" customHeight="1">
      <c r="A248" s="113" t="n"/>
      <c r="B248" s="540" t="n"/>
      <c r="C248" s="540" t="n"/>
      <c r="D248" s="540" t="n"/>
      <c r="E248" s="113" t="n"/>
      <c r="F248" s="537" t="n"/>
      <c r="G248" s="113" t="n"/>
    </row>
    <row r="249" ht="18.75" customHeight="1">
      <c r="A249" s="113" t="n"/>
      <c r="B249" s="540" t="n"/>
      <c r="C249" s="540" t="n"/>
      <c r="D249" s="540" t="n"/>
      <c r="E249" s="113" t="n"/>
      <c r="F249" s="537" t="n"/>
      <c r="G249" s="113" t="n"/>
    </row>
    <row r="250" ht="18.75" customHeight="1">
      <c r="A250" s="113" t="n"/>
      <c r="B250" s="540" t="n"/>
      <c r="C250" s="540" t="n"/>
      <c r="D250" s="540" t="n"/>
      <c r="E250" s="113" t="n"/>
      <c r="F250" s="537" t="n"/>
      <c r="G250" s="113" t="n"/>
    </row>
    <row r="251" ht="18.75" customHeight="1">
      <c r="A251" s="113" t="n"/>
      <c r="B251" s="540" t="n"/>
      <c r="C251" s="540" t="n"/>
      <c r="D251" s="540" t="n"/>
      <c r="E251" s="113" t="n"/>
      <c r="F251" s="537" t="n"/>
      <c r="G251" s="113" t="n"/>
    </row>
    <row r="252" ht="18.75" customHeight="1">
      <c r="A252" s="113" t="n"/>
      <c r="B252" s="540" t="n"/>
      <c r="C252" s="540" t="n"/>
      <c r="D252" s="540" t="n"/>
      <c r="E252" s="113" t="n"/>
      <c r="F252" s="537" t="n"/>
      <c r="G252" s="113" t="n"/>
    </row>
    <row r="253" ht="18.75" customHeight="1">
      <c r="A253" s="113" t="n"/>
      <c r="B253" s="540" t="n"/>
      <c r="C253" s="540" t="n"/>
      <c r="D253" s="540" t="n"/>
      <c r="E253" s="113" t="n"/>
      <c r="F253" s="537" t="n"/>
      <c r="G253" s="113" t="n"/>
    </row>
    <row r="254" ht="18.75" customHeight="1">
      <c r="A254" s="113" t="n"/>
      <c r="B254" s="540" t="n"/>
      <c r="C254" s="540" t="n"/>
      <c r="D254" s="540" t="n"/>
      <c r="E254" s="113" t="n"/>
      <c r="F254" s="537" t="n"/>
      <c r="G254" s="113" t="n"/>
    </row>
    <row r="255" ht="18.75" customHeight="1">
      <c r="A255" s="113" t="n"/>
      <c r="B255" s="540" t="n"/>
      <c r="C255" s="540" t="n"/>
      <c r="D255" s="540" t="n"/>
      <c r="E255" s="113" t="n"/>
      <c r="F255" s="537" t="n"/>
      <c r="G255" s="113" t="n"/>
    </row>
    <row r="256" ht="18.75" customHeight="1">
      <c r="A256" s="113" t="n"/>
      <c r="B256" s="540" t="n"/>
      <c r="C256" s="540" t="n"/>
      <c r="D256" s="540" t="n"/>
      <c r="E256" s="113" t="n"/>
      <c r="F256" s="537" t="n"/>
      <c r="G256" s="113" t="n"/>
    </row>
    <row r="257" ht="18.75" customHeight="1">
      <c r="A257" s="113" t="n"/>
      <c r="B257" s="540" t="n"/>
      <c r="C257" s="540" t="n"/>
      <c r="D257" s="540" t="n"/>
      <c r="E257" s="113" t="n"/>
      <c r="F257" s="537" t="n"/>
      <c r="G257" s="113" t="n"/>
    </row>
    <row r="258" ht="18.75" customHeight="1">
      <c r="A258" s="113" t="n"/>
      <c r="B258" s="540" t="n"/>
      <c r="C258" s="540" t="n"/>
      <c r="D258" s="540" t="n"/>
      <c r="E258" s="113" t="n"/>
      <c r="F258" s="537" t="n"/>
      <c r="G258" s="113" t="n"/>
    </row>
    <row r="259" ht="18.75" customHeight="1">
      <c r="A259" s="113" t="n"/>
      <c r="B259" s="540" t="n"/>
      <c r="C259" s="540" t="n"/>
      <c r="D259" s="540" t="n"/>
      <c r="E259" s="113" t="n"/>
      <c r="F259" s="537" t="n"/>
      <c r="G259" s="113" t="n"/>
    </row>
    <row r="260" ht="18.75" customHeight="1">
      <c r="A260" s="113" t="n"/>
      <c r="B260" s="540" t="n"/>
      <c r="C260" s="540" t="n"/>
      <c r="D260" s="540" t="n"/>
      <c r="E260" s="113" t="n"/>
      <c r="F260" s="537" t="n"/>
      <c r="G260" s="113" t="n"/>
    </row>
    <row r="261" ht="18.75" customHeight="1">
      <c r="A261" s="113" t="n"/>
      <c r="B261" s="540" t="n"/>
      <c r="C261" s="540" t="n"/>
      <c r="D261" s="540" t="n"/>
      <c r="E261" s="113" t="n"/>
      <c r="F261" s="537" t="n"/>
      <c r="G261" s="113" t="n"/>
    </row>
    <row r="262" ht="18.75" customHeight="1">
      <c r="A262" s="113" t="n"/>
      <c r="B262" s="540" t="n"/>
      <c r="C262" s="540" t="n"/>
      <c r="D262" s="540" t="n"/>
      <c r="E262" s="113" t="n"/>
      <c r="F262" s="537" t="n"/>
      <c r="G262" s="113" t="n"/>
    </row>
    <row r="263" ht="18.75" customHeight="1">
      <c r="A263" s="113" t="n"/>
      <c r="B263" s="540" t="n"/>
      <c r="C263" s="540" t="n"/>
      <c r="D263" s="540" t="n"/>
      <c r="E263" s="113" t="n"/>
      <c r="F263" s="537" t="n"/>
      <c r="G263" s="113" t="n"/>
    </row>
    <row r="264" ht="18.75" customHeight="1">
      <c r="A264" s="113" t="n"/>
      <c r="B264" s="540" t="n"/>
      <c r="C264" s="540" t="n"/>
      <c r="D264" s="540" t="n"/>
      <c r="E264" s="113" t="n"/>
      <c r="F264" s="537" t="n"/>
      <c r="G264" s="113" t="n"/>
    </row>
    <row r="265" ht="18.75" customHeight="1">
      <c r="A265" s="113" t="n"/>
      <c r="B265" s="540" t="n"/>
      <c r="C265" s="540" t="n"/>
      <c r="D265" s="540" t="n"/>
      <c r="E265" s="113" t="n"/>
      <c r="F265" s="537" t="n"/>
      <c r="G265" s="113" t="n"/>
    </row>
    <row r="266" ht="18.75" customHeight="1">
      <c r="A266" s="113" t="n"/>
      <c r="B266" s="540" t="n"/>
      <c r="C266" s="540" t="n"/>
      <c r="D266" s="540" t="n"/>
      <c r="E266" s="113" t="n"/>
      <c r="F266" s="537" t="n"/>
      <c r="G266" s="113" t="n"/>
    </row>
    <row r="267" ht="18.75" customHeight="1">
      <c r="A267" s="113" t="n"/>
      <c r="B267" s="540" t="n"/>
      <c r="C267" s="540" t="n"/>
      <c r="D267" s="540" t="n"/>
      <c r="E267" s="113" t="n"/>
      <c r="F267" s="537" t="n"/>
      <c r="G267" s="113" t="n"/>
    </row>
    <row r="268" ht="18.75" customHeight="1">
      <c r="A268" s="113" t="n"/>
      <c r="B268" s="540" t="n"/>
      <c r="C268" s="540" t="n"/>
      <c r="D268" s="540" t="n"/>
      <c r="E268" s="113" t="n"/>
      <c r="F268" s="537" t="n"/>
      <c r="G268" s="113" t="n"/>
    </row>
    <row r="269" ht="18.75" customHeight="1">
      <c r="A269" s="113" t="n"/>
      <c r="B269" s="540" t="n"/>
      <c r="C269" s="540" t="n"/>
      <c r="D269" s="540" t="n"/>
      <c r="E269" s="113" t="n"/>
      <c r="F269" s="537" t="n"/>
      <c r="G269" s="113" t="n"/>
    </row>
    <row r="270" ht="18.75" customHeight="1">
      <c r="A270" s="113" t="n"/>
      <c r="B270" s="540" t="n"/>
      <c r="C270" s="540" t="n"/>
      <c r="D270" s="540" t="n"/>
      <c r="E270" s="113" t="n"/>
      <c r="F270" s="537" t="n"/>
      <c r="G270" s="113" t="n"/>
    </row>
    <row r="271" ht="18.75" customHeight="1">
      <c r="A271" s="113" t="n"/>
      <c r="B271" s="540" t="n"/>
      <c r="C271" s="540" t="n"/>
      <c r="D271" s="540" t="n"/>
      <c r="E271" s="113" t="n"/>
      <c r="F271" s="537" t="n"/>
      <c r="G271" s="113" t="n"/>
    </row>
    <row r="272" ht="18.75" customHeight="1">
      <c r="A272" s="113" t="n"/>
      <c r="B272" s="540" t="n"/>
      <c r="C272" s="540" t="n"/>
      <c r="D272" s="540" t="n"/>
      <c r="E272" s="113" t="n"/>
      <c r="F272" s="537" t="n"/>
      <c r="G272" s="113" t="n"/>
    </row>
    <row r="273" ht="18.75" customHeight="1">
      <c r="A273" s="113" t="n"/>
      <c r="B273" s="540" t="n"/>
      <c r="C273" s="540" t="n"/>
      <c r="D273" s="540" t="n"/>
      <c r="E273" s="113" t="n"/>
      <c r="F273" s="537" t="n"/>
      <c r="G273" s="113" t="n"/>
    </row>
    <row r="274" ht="18.75" customHeight="1">
      <c r="A274" s="113" t="n"/>
      <c r="B274" s="540" t="n"/>
      <c r="C274" s="540" t="n"/>
      <c r="D274" s="540" t="n"/>
      <c r="E274" s="113" t="n"/>
      <c r="F274" s="537" t="n"/>
      <c r="G274" s="113" t="n"/>
    </row>
    <row r="275" ht="18.75" customHeight="1">
      <c r="A275" s="113" t="n"/>
      <c r="B275" s="540" t="n"/>
      <c r="C275" s="540" t="n"/>
      <c r="D275" s="540" t="n"/>
      <c r="E275" s="113" t="n"/>
      <c r="F275" s="537" t="n"/>
      <c r="G275" s="113" t="n"/>
    </row>
    <row r="276" ht="18.75" customHeight="1">
      <c r="A276" s="113" t="n"/>
      <c r="B276" s="540" t="n"/>
      <c r="C276" s="540" t="n"/>
      <c r="D276" s="540" t="n"/>
      <c r="E276" s="113" t="n"/>
      <c r="F276" s="537" t="n"/>
      <c r="G276" s="113" t="n"/>
    </row>
    <row r="277" ht="18.75" customHeight="1">
      <c r="A277" s="113" t="n"/>
      <c r="B277" s="540" t="n"/>
      <c r="C277" s="540" t="n"/>
      <c r="D277" s="540" t="n"/>
      <c r="E277" s="113" t="n"/>
      <c r="F277" s="537" t="n"/>
      <c r="G277" s="113" t="n"/>
    </row>
    <row r="278" ht="18.75" customHeight="1">
      <c r="A278" s="113" t="n"/>
      <c r="B278" s="540" t="n"/>
      <c r="C278" s="540" t="n"/>
      <c r="D278" s="540" t="n"/>
      <c r="E278" s="113" t="n"/>
      <c r="F278" s="537" t="n"/>
      <c r="G278" s="113" t="n"/>
    </row>
    <row r="279" ht="18.75" customHeight="1">
      <c r="A279" s="113" t="n"/>
      <c r="B279" s="540" t="n"/>
      <c r="C279" s="540" t="n"/>
      <c r="D279" s="540" t="n"/>
      <c r="E279" s="113" t="n"/>
      <c r="F279" s="537" t="n"/>
      <c r="G279" s="113" t="n"/>
    </row>
    <row r="280" ht="18.75" customHeight="1">
      <c r="A280" s="113" t="n"/>
      <c r="B280" s="540" t="n"/>
      <c r="C280" s="540" t="n"/>
      <c r="D280" s="540" t="n"/>
      <c r="E280" s="113" t="n"/>
      <c r="F280" s="537" t="n"/>
      <c r="G280" s="113" t="n"/>
    </row>
    <row r="281" ht="18.75" customHeight="1">
      <c r="A281" s="113" t="n"/>
      <c r="B281" s="540" t="n"/>
      <c r="C281" s="540" t="n"/>
      <c r="D281" s="540" t="n"/>
      <c r="E281" s="113" t="n"/>
      <c r="F281" s="537" t="n"/>
      <c r="G281" s="113" t="n"/>
    </row>
    <row r="282" ht="18.75" customHeight="1">
      <c r="A282" s="113" t="n"/>
      <c r="B282" s="540" t="n"/>
      <c r="C282" s="540" t="n"/>
      <c r="D282" s="540" t="n"/>
      <c r="E282" s="113" t="n"/>
      <c r="F282" s="537" t="n"/>
      <c r="G282" s="113" t="n"/>
    </row>
    <row r="283" ht="18.75" customHeight="1">
      <c r="A283" s="113" t="n"/>
      <c r="B283" s="540" t="n"/>
      <c r="C283" s="540" t="n"/>
      <c r="D283" s="540" t="n"/>
      <c r="E283" s="113" t="n"/>
      <c r="F283" s="537" t="n"/>
      <c r="G283" s="113" t="n"/>
    </row>
    <row r="284" ht="18.75" customHeight="1">
      <c r="A284" s="113" t="n"/>
      <c r="B284" s="540" t="n"/>
      <c r="C284" s="540" t="n"/>
      <c r="D284" s="540" t="n"/>
      <c r="E284" s="113" t="n"/>
      <c r="F284" s="537" t="n"/>
      <c r="G284" s="113" t="n"/>
    </row>
    <row r="285" ht="18.75" customHeight="1">
      <c r="A285" s="113" t="n"/>
      <c r="B285" s="540" t="n"/>
      <c r="C285" s="540" t="n"/>
      <c r="D285" s="540" t="n"/>
      <c r="E285" s="113" t="n"/>
      <c r="F285" s="537" t="n"/>
      <c r="G285" s="113" t="n"/>
    </row>
    <row r="286" ht="18.75" customHeight="1">
      <c r="A286" s="113" t="n"/>
      <c r="B286" s="540" t="n"/>
      <c r="C286" s="540" t="n"/>
      <c r="D286" s="540" t="n"/>
      <c r="E286" s="113" t="n"/>
      <c r="F286" s="537" t="n"/>
      <c r="G286" s="113" t="n"/>
    </row>
    <row r="287" ht="18.75" customHeight="1">
      <c r="A287" s="113" t="n"/>
      <c r="B287" s="540" t="n"/>
      <c r="C287" s="540" t="n"/>
      <c r="D287" s="540" t="n"/>
      <c r="E287" s="113" t="n"/>
      <c r="F287" s="537" t="n"/>
      <c r="G287" s="113" t="n"/>
    </row>
    <row r="288" ht="18.75" customHeight="1">
      <c r="A288" s="113" t="n"/>
      <c r="B288" s="540" t="n"/>
      <c r="C288" s="540" t="n"/>
      <c r="D288" s="540" t="n"/>
      <c r="E288" s="113" t="n"/>
      <c r="F288" s="537" t="n"/>
      <c r="G288" s="113" t="n"/>
    </row>
    <row r="289" ht="18.75" customHeight="1">
      <c r="A289" s="113" t="n"/>
      <c r="B289" s="540" t="n"/>
      <c r="C289" s="540" t="n"/>
      <c r="D289" s="540" t="n"/>
      <c r="E289" s="113" t="n"/>
      <c r="F289" s="537" t="n"/>
      <c r="G289" s="113" t="n"/>
    </row>
    <row r="290" ht="18.75" customHeight="1">
      <c r="A290" s="113" t="n"/>
      <c r="B290" s="540" t="n"/>
      <c r="C290" s="540" t="n"/>
      <c r="D290" s="540" t="n"/>
      <c r="E290" s="113" t="n"/>
      <c r="F290" s="537" t="n"/>
      <c r="G290" s="113" t="n"/>
    </row>
    <row r="291" ht="18.75" customHeight="1">
      <c r="A291" s="113" t="n"/>
      <c r="B291" s="540" t="n"/>
      <c r="C291" s="540" t="n"/>
      <c r="D291" s="540" t="n"/>
      <c r="E291" s="113" t="n"/>
      <c r="F291" s="537" t="n"/>
      <c r="G291" s="113" t="n"/>
    </row>
    <row r="292" ht="18.75" customHeight="1">
      <c r="A292" s="113" t="n"/>
      <c r="B292" s="540" t="n"/>
      <c r="C292" s="540" t="n"/>
      <c r="D292" s="540" t="n"/>
      <c r="E292" s="113" t="n"/>
      <c r="F292" s="537" t="n"/>
      <c r="G292" s="113" t="n"/>
    </row>
    <row r="293" ht="18.75" customHeight="1">
      <c r="A293" s="113" t="n"/>
      <c r="B293" s="540" t="n"/>
      <c r="C293" s="540" t="n"/>
      <c r="D293" s="540" t="n"/>
      <c r="E293" s="113" t="n"/>
      <c r="F293" s="537" t="n"/>
      <c r="G293" s="113" t="n"/>
    </row>
    <row r="294" ht="18.75" customHeight="1">
      <c r="A294" s="113" t="n"/>
      <c r="B294" s="540" t="n"/>
      <c r="C294" s="540" t="n"/>
      <c r="D294" s="540" t="n"/>
      <c r="E294" s="113" t="n"/>
      <c r="F294" s="537" t="n"/>
      <c r="G294" s="113" t="n"/>
    </row>
    <row r="295" ht="18.75" customHeight="1">
      <c r="A295" s="113" t="n"/>
      <c r="B295" s="540" t="n"/>
      <c r="C295" s="540" t="n"/>
      <c r="D295" s="540" t="n"/>
      <c r="E295" s="113" t="n"/>
      <c r="F295" s="537" t="n"/>
      <c r="G295" s="113" t="n"/>
    </row>
    <row r="296" ht="18.75" customHeight="1">
      <c r="A296" s="113" t="n"/>
      <c r="B296" s="540" t="n"/>
      <c r="C296" s="540" t="n"/>
      <c r="D296" s="540" t="n"/>
      <c r="E296" s="113" t="n"/>
      <c r="F296" s="537" t="n"/>
      <c r="G296" s="113" t="n"/>
    </row>
    <row r="297" ht="18.75" customHeight="1">
      <c r="A297" s="113" t="n"/>
      <c r="B297" s="540" t="n"/>
      <c r="C297" s="540" t="n"/>
      <c r="D297" s="540" t="n"/>
      <c r="E297" s="113" t="n"/>
      <c r="F297" s="537" t="n"/>
      <c r="G297" s="113" t="n"/>
    </row>
    <row r="298" ht="18.75" customHeight="1">
      <c r="A298" s="113" t="n"/>
      <c r="B298" s="540" t="n"/>
      <c r="C298" s="540" t="n"/>
      <c r="D298" s="540" t="n"/>
      <c r="E298" s="113" t="n"/>
      <c r="F298" s="537" t="n"/>
      <c r="G298" s="113" t="n"/>
    </row>
    <row r="299" ht="18.75" customHeight="1">
      <c r="A299" s="113" t="n"/>
      <c r="B299" s="540" t="n"/>
      <c r="C299" s="540" t="n"/>
      <c r="D299" s="540" t="n"/>
      <c r="E299" s="113" t="n"/>
      <c r="F299" s="537" t="n"/>
      <c r="G299" s="113" t="n"/>
    </row>
    <row r="300" ht="18.75" customHeight="1">
      <c r="A300" s="113" t="n"/>
      <c r="B300" s="540" t="n"/>
      <c r="C300" s="540" t="n"/>
      <c r="D300" s="540" t="n"/>
      <c r="E300" s="113" t="n"/>
      <c r="F300" s="537" t="n"/>
      <c r="G300" s="113" t="n"/>
    </row>
    <row r="301" ht="18.75" customHeight="1">
      <c r="A301" s="113" t="n"/>
      <c r="B301" s="540" t="n"/>
      <c r="C301" s="540" t="n"/>
      <c r="D301" s="540" t="n"/>
      <c r="E301" s="113" t="n"/>
      <c r="F301" s="537" t="n"/>
      <c r="G301" s="113" t="n"/>
    </row>
    <row r="302" ht="18.75" customHeight="1">
      <c r="A302" s="113" t="n"/>
      <c r="B302" s="540" t="n"/>
      <c r="C302" s="540" t="n"/>
      <c r="D302" s="540" t="n"/>
      <c r="E302" s="113" t="n"/>
      <c r="F302" s="537" t="n"/>
      <c r="G302" s="113" t="n"/>
    </row>
    <row r="303" ht="18.75" customHeight="1">
      <c r="A303" s="113" t="n"/>
      <c r="B303" s="540" t="n"/>
      <c r="C303" s="540" t="n"/>
      <c r="D303" s="540" t="n"/>
      <c r="E303" s="113" t="n"/>
      <c r="F303" s="537" t="n"/>
      <c r="G303" s="113" t="n"/>
    </row>
    <row r="304" ht="18.75" customHeight="1">
      <c r="A304" s="113" t="n"/>
      <c r="B304" s="540" t="n"/>
      <c r="C304" s="540" t="n"/>
      <c r="D304" s="540" t="n"/>
      <c r="E304" s="113" t="n"/>
      <c r="F304" s="537" t="n"/>
      <c r="G304" s="113" t="n"/>
    </row>
    <row r="305" ht="18.75" customHeight="1">
      <c r="A305" s="113" t="n"/>
      <c r="B305" s="540" t="n"/>
      <c r="C305" s="540" t="n"/>
      <c r="D305" s="540" t="n"/>
      <c r="E305" s="113" t="n"/>
      <c r="F305" s="537" t="n"/>
      <c r="G305" s="113" t="n"/>
    </row>
    <row r="306" ht="18.75" customHeight="1">
      <c r="A306" s="113" t="n"/>
      <c r="B306" s="540" t="n"/>
      <c r="C306" s="540" t="n"/>
      <c r="D306" s="540" t="n"/>
      <c r="E306" s="113" t="n"/>
      <c r="F306" s="537" t="n"/>
      <c r="G306" s="113" t="n"/>
    </row>
    <row r="307" ht="18.75" customHeight="1">
      <c r="A307" s="113" t="n"/>
      <c r="B307" s="540" t="n"/>
      <c r="C307" s="540" t="n"/>
      <c r="D307" s="540" t="n"/>
      <c r="E307" s="113" t="n"/>
      <c r="F307" s="537" t="n"/>
      <c r="G307" s="113" t="n"/>
    </row>
    <row r="308" ht="18.75" customHeight="1">
      <c r="A308" s="113" t="n"/>
      <c r="B308" s="540" t="n"/>
      <c r="C308" s="540" t="n"/>
      <c r="D308" s="540" t="n"/>
      <c r="E308" s="113" t="n"/>
      <c r="F308" s="537" t="n"/>
      <c r="G308" s="113" t="n"/>
    </row>
    <row r="309" ht="18.75" customHeight="1">
      <c r="A309" s="113" t="n"/>
      <c r="B309" s="540" t="n"/>
      <c r="C309" s="540" t="n"/>
      <c r="D309" s="540" t="n"/>
      <c r="E309" s="113" t="n"/>
      <c r="F309" s="537" t="n"/>
      <c r="G309" s="113" t="n"/>
    </row>
    <row r="310" ht="18.75" customHeight="1">
      <c r="A310" s="113" t="n"/>
      <c r="B310" s="540" t="n"/>
      <c r="C310" s="540" t="n"/>
      <c r="D310" s="540" t="n"/>
      <c r="E310" s="113" t="n"/>
      <c r="F310" s="537" t="n"/>
      <c r="G310" s="113" t="n"/>
    </row>
    <row r="311" ht="18.75" customHeight="1">
      <c r="A311" s="113" t="n"/>
      <c r="B311" s="540" t="n"/>
      <c r="C311" s="540" t="n"/>
      <c r="D311" s="540" t="n"/>
      <c r="E311" s="113" t="n"/>
      <c r="F311" s="537" t="n"/>
      <c r="G311" s="113" t="n"/>
    </row>
    <row r="312" ht="18.75" customHeight="1">
      <c r="A312" s="113" t="n"/>
      <c r="B312" s="540" t="n"/>
      <c r="C312" s="540" t="n"/>
      <c r="D312" s="540" t="n"/>
      <c r="E312" s="113" t="n"/>
      <c r="F312" s="537" t="n"/>
      <c r="G312" s="113" t="n"/>
    </row>
    <row r="313" ht="18.75" customHeight="1">
      <c r="A313" s="113" t="n"/>
      <c r="B313" s="540" t="n"/>
      <c r="C313" s="540" t="n"/>
      <c r="D313" s="540" t="n"/>
      <c r="E313" s="113" t="n"/>
      <c r="F313" s="537" t="n"/>
      <c r="G313" s="113" t="n"/>
    </row>
    <row r="314" ht="18.75" customHeight="1">
      <c r="A314" s="113" t="n"/>
      <c r="B314" s="540" t="n"/>
      <c r="C314" s="540" t="n"/>
      <c r="D314" s="540" t="n"/>
      <c r="E314" s="113" t="n"/>
      <c r="F314" s="537" t="n"/>
      <c r="G314" s="113" t="n"/>
    </row>
    <row r="315" ht="18.75" customHeight="1">
      <c r="A315" s="113" t="n"/>
      <c r="B315" s="540" t="n"/>
      <c r="C315" s="540" t="n"/>
      <c r="D315" s="540" t="n"/>
      <c r="E315" s="113" t="n"/>
      <c r="F315" s="537" t="n"/>
      <c r="G315" s="113" t="n"/>
    </row>
    <row r="316" ht="18.75" customHeight="1">
      <c r="A316" s="113" t="n"/>
      <c r="B316" s="540" t="n"/>
      <c r="C316" s="540" t="n"/>
      <c r="D316" s="540" t="n"/>
      <c r="E316" s="113" t="n"/>
      <c r="F316" s="537" t="n"/>
      <c r="G316" s="113" t="n"/>
    </row>
    <row r="317" ht="18.75" customHeight="1">
      <c r="A317" s="113" t="n"/>
      <c r="B317" s="540" t="n"/>
      <c r="C317" s="540" t="n"/>
      <c r="D317" s="540" t="n"/>
      <c r="E317" s="113" t="n"/>
      <c r="F317" s="537" t="n"/>
      <c r="G317" s="113" t="n"/>
    </row>
    <row r="318" ht="18.75" customHeight="1">
      <c r="A318" s="113" t="n"/>
      <c r="B318" s="540" t="n"/>
      <c r="C318" s="540" t="n"/>
      <c r="D318" s="540" t="n"/>
      <c r="E318" s="113" t="n"/>
      <c r="F318" s="537" t="n"/>
      <c r="G318" s="113" t="n"/>
    </row>
    <row r="319" ht="18.75" customHeight="1">
      <c r="A319" s="113" t="n"/>
      <c r="B319" s="540" t="n"/>
      <c r="C319" s="540" t="n"/>
      <c r="D319" s="540" t="n"/>
      <c r="E319" s="113" t="n"/>
      <c r="F319" s="537" t="n"/>
      <c r="G319" s="113" t="n"/>
    </row>
    <row r="320" ht="18.75" customHeight="1">
      <c r="A320" s="113" t="n"/>
      <c r="B320" s="540" t="n"/>
      <c r="C320" s="540" t="n"/>
      <c r="D320" s="540" t="n"/>
      <c r="E320" s="113" t="n"/>
      <c r="F320" s="537" t="n"/>
      <c r="G320" s="113" t="n"/>
    </row>
    <row r="321" ht="18.75" customHeight="1">
      <c r="A321" s="113" t="n"/>
      <c r="B321" s="540" t="n"/>
      <c r="C321" s="540" t="n"/>
      <c r="D321" s="540" t="n"/>
      <c r="E321" s="113" t="n"/>
      <c r="F321" s="537" t="n"/>
      <c r="G321" s="113" t="n"/>
    </row>
    <row r="322" ht="18.75" customHeight="1">
      <c r="A322" s="113" t="n"/>
      <c r="B322" s="540" t="n"/>
      <c r="C322" s="540" t="n"/>
      <c r="D322" s="540" t="n"/>
      <c r="E322" s="113" t="n"/>
      <c r="F322" s="537" t="n"/>
      <c r="G322" s="113" t="n"/>
    </row>
    <row r="323" ht="18.75" customHeight="1">
      <c r="A323" s="113" t="n"/>
      <c r="B323" s="540" t="n"/>
      <c r="C323" s="540" t="n"/>
      <c r="D323" s="540" t="n"/>
      <c r="E323" s="113" t="n"/>
      <c r="F323" s="537" t="n"/>
      <c r="G323" s="113" t="n"/>
    </row>
    <row r="324" ht="18.75" customHeight="1">
      <c r="A324" s="113" t="n"/>
      <c r="B324" s="540" t="n"/>
      <c r="C324" s="540" t="n"/>
      <c r="D324" s="540" t="n"/>
      <c r="E324" s="113" t="n"/>
      <c r="F324" s="537" t="n"/>
      <c r="G324" s="113" t="n"/>
    </row>
    <row r="325" ht="18.75" customHeight="1">
      <c r="A325" s="113" t="n"/>
      <c r="B325" s="540" t="n"/>
      <c r="C325" s="540" t="n"/>
      <c r="D325" s="540" t="n"/>
      <c r="E325" s="113" t="n"/>
      <c r="F325" s="537" t="n"/>
      <c r="G325" s="113" t="n"/>
    </row>
    <row r="326" ht="18.75" customHeight="1">
      <c r="A326" s="113" t="n"/>
      <c r="B326" s="540" t="n"/>
      <c r="C326" s="540" t="n"/>
      <c r="D326" s="540" t="n"/>
      <c r="E326" s="113" t="n"/>
      <c r="F326" s="537" t="n"/>
      <c r="G326" s="113" t="n"/>
    </row>
    <row r="327" ht="18.75" customHeight="1">
      <c r="A327" s="113" t="n"/>
      <c r="B327" s="540" t="n"/>
      <c r="C327" s="540" t="n"/>
      <c r="D327" s="540" t="n"/>
      <c r="E327" s="113" t="n"/>
      <c r="F327" s="537" t="n"/>
      <c r="G327" s="113" t="n"/>
    </row>
    <row r="328" ht="18.75" customHeight="1">
      <c r="A328" s="113" t="n"/>
      <c r="B328" s="540" t="n"/>
      <c r="C328" s="540" t="n"/>
      <c r="D328" s="540" t="n"/>
      <c r="E328" s="113" t="n"/>
      <c r="F328" s="537" t="n"/>
      <c r="G328" s="113" t="n"/>
    </row>
    <row r="329" ht="18.75" customHeight="1">
      <c r="A329" s="113" t="n"/>
      <c r="B329" s="540" t="n"/>
      <c r="C329" s="540" t="n"/>
      <c r="D329" s="540" t="n"/>
      <c r="E329" s="113" t="n"/>
      <c r="F329" s="537" t="n"/>
      <c r="G329" s="113" t="n"/>
    </row>
    <row r="330" ht="18.75" customHeight="1">
      <c r="A330" s="113" t="n"/>
      <c r="B330" s="540" t="n"/>
      <c r="C330" s="540" t="n"/>
      <c r="D330" s="540" t="n"/>
      <c r="E330" s="113" t="n"/>
      <c r="F330" s="537" t="n"/>
      <c r="G330" s="113" t="n"/>
    </row>
    <row r="331" ht="18.75" customHeight="1">
      <c r="A331" s="113" t="n"/>
      <c r="B331" s="540" t="n"/>
      <c r="C331" s="540" t="n"/>
      <c r="D331" s="540" t="n"/>
      <c r="E331" s="113" t="n"/>
      <c r="F331" s="537" t="n"/>
      <c r="G331" s="113" t="n"/>
    </row>
    <row r="332" ht="18.75" customHeight="1">
      <c r="A332" s="113" t="n"/>
      <c r="B332" s="540" t="n"/>
      <c r="C332" s="540" t="n"/>
      <c r="D332" s="540" t="n"/>
      <c r="E332" s="113" t="n"/>
      <c r="F332" s="537" t="n"/>
      <c r="G332" s="113" t="n"/>
    </row>
    <row r="333" ht="18.75" customHeight="1">
      <c r="A333" s="113" t="n"/>
      <c r="B333" s="540" t="n"/>
      <c r="C333" s="540" t="n"/>
      <c r="D333" s="540" t="n"/>
      <c r="E333" s="113" t="n"/>
      <c r="F333" s="537" t="n"/>
      <c r="G333" s="113" t="n"/>
    </row>
    <row r="334" ht="18.75" customHeight="1">
      <c r="A334" s="113" t="n"/>
      <c r="B334" s="540" t="n"/>
      <c r="C334" s="540" t="n"/>
      <c r="D334" s="540" t="n"/>
      <c r="E334" s="113" t="n"/>
      <c r="F334" s="537" t="n"/>
      <c r="G334" s="113" t="n"/>
    </row>
    <row r="335" ht="18.75" customHeight="1">
      <c r="A335" s="113" t="n"/>
      <c r="B335" s="540" t="n"/>
      <c r="C335" s="540" t="n"/>
      <c r="D335" s="540" t="n"/>
      <c r="E335" s="113" t="n"/>
      <c r="F335" s="537" t="n"/>
      <c r="G335" s="113" t="n"/>
    </row>
    <row r="336" ht="18.75" customHeight="1">
      <c r="A336" s="113" t="n"/>
      <c r="B336" s="540" t="n"/>
      <c r="C336" s="540" t="n"/>
      <c r="D336" s="540" t="n"/>
      <c r="E336" s="113" t="n"/>
      <c r="F336" s="537" t="n"/>
      <c r="G336" s="113" t="n"/>
    </row>
    <row r="337" ht="18.75" customHeight="1">
      <c r="A337" s="113" t="n"/>
      <c r="B337" s="540" t="n"/>
      <c r="C337" s="540" t="n"/>
      <c r="D337" s="540" t="n"/>
      <c r="E337" s="113" t="n"/>
      <c r="F337" s="537" t="n"/>
      <c r="G337" s="113" t="n"/>
    </row>
    <row r="338" ht="18.75" customHeight="1">
      <c r="A338" s="113" t="n"/>
      <c r="B338" s="540" t="n"/>
      <c r="C338" s="540" t="n"/>
      <c r="D338" s="540" t="n"/>
      <c r="E338" s="113" t="n"/>
      <c r="F338" s="537" t="n"/>
      <c r="G338" s="113" t="n"/>
    </row>
    <row r="339" ht="18.75" customHeight="1">
      <c r="A339" s="113" t="n"/>
      <c r="B339" s="540" t="n"/>
      <c r="C339" s="540" t="n"/>
      <c r="D339" s="540" t="n"/>
      <c r="E339" s="113" t="n"/>
      <c r="F339" s="537" t="n"/>
      <c r="G339" s="113" t="n"/>
    </row>
    <row r="340" ht="18.75" customHeight="1">
      <c r="A340" s="113" t="n"/>
      <c r="B340" s="540" t="n"/>
      <c r="C340" s="540" t="n"/>
      <c r="D340" s="540" t="n"/>
      <c r="E340" s="113" t="n"/>
      <c r="F340" s="537" t="n"/>
      <c r="G340" s="113" t="n"/>
    </row>
    <row r="341" ht="18.75" customHeight="1">
      <c r="A341" s="113" t="n"/>
      <c r="B341" s="540" t="n"/>
      <c r="C341" s="540" t="n"/>
      <c r="D341" s="540" t="n"/>
      <c r="E341" s="113" t="n"/>
      <c r="F341" s="537" t="n"/>
      <c r="G341" s="113" t="n"/>
    </row>
    <row r="342" ht="18.75" customHeight="1">
      <c r="A342" s="113" t="n"/>
      <c r="B342" s="540" t="n"/>
      <c r="C342" s="540" t="n"/>
      <c r="D342" s="540" t="n"/>
      <c r="E342" s="113" t="n"/>
      <c r="F342" s="537" t="n"/>
      <c r="G342" s="113" t="n"/>
    </row>
    <row r="343" ht="18.75" customHeight="1">
      <c r="A343" s="113" t="n"/>
      <c r="B343" s="540" t="n"/>
      <c r="C343" s="540" t="n"/>
      <c r="D343" s="540" t="n"/>
      <c r="E343" s="113" t="n"/>
      <c r="F343" s="537" t="n"/>
      <c r="G343" s="113" t="n"/>
    </row>
    <row r="344" ht="18.75" customHeight="1">
      <c r="A344" s="113" t="n"/>
      <c r="B344" s="540" t="n"/>
      <c r="C344" s="540" t="n"/>
      <c r="D344" s="540" t="n"/>
      <c r="E344" s="113" t="n"/>
      <c r="F344" s="537" t="n"/>
      <c r="G344" s="113" t="n"/>
    </row>
    <row r="345" ht="18.75" customHeight="1">
      <c r="A345" s="113" t="n"/>
      <c r="B345" s="540" t="n"/>
      <c r="C345" s="540" t="n"/>
      <c r="D345" s="540" t="n"/>
      <c r="E345" s="113" t="n"/>
      <c r="F345" s="537" t="n"/>
      <c r="G345" s="113" t="n"/>
    </row>
    <row r="346" ht="18.75" customHeight="1">
      <c r="A346" s="113" t="n"/>
      <c r="B346" s="540" t="n"/>
      <c r="C346" s="540" t="n"/>
      <c r="D346" s="540" t="n"/>
      <c r="E346" s="113" t="n"/>
      <c r="F346" s="537" t="n"/>
      <c r="G346" s="113" t="n"/>
    </row>
    <row r="347" ht="18.75" customHeight="1">
      <c r="A347" s="113" t="n"/>
      <c r="B347" s="540" t="n"/>
      <c r="C347" s="540" t="n"/>
      <c r="D347" s="540" t="n"/>
      <c r="E347" s="113" t="n"/>
      <c r="F347" s="537" t="n"/>
      <c r="G347" s="113" t="n"/>
    </row>
    <row r="348" ht="18.75" customHeight="1">
      <c r="A348" s="113" t="n"/>
      <c r="B348" s="540" t="n"/>
      <c r="C348" s="540" t="n"/>
      <c r="D348" s="540" t="n"/>
      <c r="E348" s="113" t="n"/>
      <c r="F348" s="537" t="n"/>
      <c r="G348" s="113" t="n"/>
    </row>
    <row r="349" ht="18.75" customHeight="1">
      <c r="A349" s="113" t="n"/>
      <c r="B349" s="540" t="n"/>
      <c r="C349" s="540" t="n"/>
      <c r="D349" s="540" t="n"/>
      <c r="E349" s="113" t="n"/>
      <c r="F349" s="537" t="n"/>
      <c r="G349" s="113" t="n"/>
    </row>
    <row r="350" ht="18.75" customHeight="1">
      <c r="A350" s="113" t="n"/>
      <c r="B350" s="540" t="n"/>
      <c r="C350" s="540" t="n"/>
      <c r="D350" s="540" t="n"/>
      <c r="E350" s="113" t="n"/>
      <c r="F350" s="537" t="n"/>
      <c r="G350" s="113" t="n"/>
    </row>
    <row r="351" ht="18.75" customHeight="1">
      <c r="A351" s="113" t="n"/>
      <c r="B351" s="540" t="n"/>
      <c r="C351" s="540" t="n"/>
      <c r="D351" s="540" t="n"/>
      <c r="E351" s="113" t="n"/>
      <c r="F351" s="537" t="n"/>
      <c r="G351" s="113" t="n"/>
    </row>
    <row r="352" ht="18.75" customHeight="1">
      <c r="A352" s="113" t="n"/>
      <c r="B352" s="540" t="n"/>
      <c r="C352" s="540" t="n"/>
      <c r="D352" s="540" t="n"/>
      <c r="E352" s="113" t="n"/>
      <c r="F352" s="537" t="n"/>
      <c r="G352" s="113" t="n"/>
    </row>
    <row r="353" ht="18.75" customHeight="1">
      <c r="A353" s="113" t="n"/>
      <c r="B353" s="540" t="n"/>
      <c r="C353" s="540" t="n"/>
      <c r="D353" s="540" t="n"/>
      <c r="E353" s="113" t="n"/>
      <c r="F353" s="537" t="n"/>
      <c r="G353" s="113" t="n"/>
    </row>
    <row r="354" ht="18.75" customHeight="1">
      <c r="A354" s="113" t="n"/>
      <c r="B354" s="540" t="n"/>
      <c r="C354" s="540" t="n"/>
      <c r="D354" s="540" t="n"/>
      <c r="E354" s="113" t="n"/>
      <c r="F354" s="537" t="n"/>
      <c r="G354" s="113" t="n"/>
    </row>
    <row r="355" ht="18.75" customHeight="1">
      <c r="A355" s="113" t="n"/>
      <c r="B355" s="540" t="n"/>
      <c r="C355" s="540" t="n"/>
      <c r="D355" s="540" t="n"/>
      <c r="E355" s="113" t="n"/>
      <c r="F355" s="537" t="n"/>
      <c r="G355" s="113" t="n"/>
    </row>
    <row r="356" ht="18.75" customHeight="1">
      <c r="A356" s="113" t="n"/>
      <c r="B356" s="540" t="n"/>
      <c r="C356" s="540" t="n"/>
      <c r="D356" s="540" t="n"/>
      <c r="E356" s="113" t="n"/>
      <c r="F356" s="537" t="n"/>
      <c r="G356" s="113" t="n"/>
    </row>
    <row r="357" ht="18.75" customHeight="1">
      <c r="A357" s="113" t="n"/>
      <c r="B357" s="540" t="n"/>
      <c r="C357" s="540" t="n"/>
      <c r="D357" s="540" t="n"/>
      <c r="E357" s="113" t="n"/>
      <c r="F357" s="537" t="n"/>
      <c r="G357" s="113" t="n"/>
    </row>
    <row r="358" ht="18.75" customHeight="1">
      <c r="A358" s="113" t="n"/>
      <c r="B358" s="540" t="n"/>
      <c r="C358" s="540" t="n"/>
      <c r="D358" s="540" t="n"/>
      <c r="E358" s="113" t="n"/>
      <c r="F358" s="537" t="n"/>
      <c r="G358" s="113" t="n"/>
    </row>
    <row r="359" ht="18.75" customHeight="1">
      <c r="A359" s="113" t="n"/>
      <c r="B359" s="540" t="n"/>
      <c r="C359" s="540" t="n"/>
      <c r="D359" s="540" t="n"/>
      <c r="E359" s="113" t="n"/>
      <c r="F359" s="537" t="n"/>
      <c r="G359" s="113" t="n"/>
    </row>
    <row r="360" ht="18.75" customHeight="1">
      <c r="A360" s="113" t="n"/>
      <c r="B360" s="540" t="n"/>
      <c r="C360" s="540" t="n"/>
      <c r="D360" s="540" t="n"/>
      <c r="E360" s="113" t="n"/>
      <c r="F360" s="537" t="n"/>
      <c r="G360" s="113" t="n"/>
    </row>
    <row r="361" ht="18.75" customHeight="1">
      <c r="A361" s="113" t="n"/>
      <c r="B361" s="540" t="n"/>
      <c r="C361" s="540" t="n"/>
      <c r="D361" s="540" t="n"/>
      <c r="E361" s="113" t="n"/>
      <c r="F361" s="537" t="n"/>
      <c r="G361" s="113" t="n"/>
    </row>
    <row r="362" ht="18.75" customHeight="1">
      <c r="A362" s="113" t="n"/>
      <c r="B362" s="540" t="n"/>
      <c r="C362" s="540" t="n"/>
      <c r="D362" s="540" t="n"/>
      <c r="E362" s="113" t="n"/>
      <c r="F362" s="537" t="n"/>
      <c r="G362" s="113" t="n"/>
    </row>
    <row r="363" ht="18.75" customHeight="1">
      <c r="A363" s="113" t="n"/>
      <c r="B363" s="540" t="n"/>
      <c r="C363" s="540" t="n"/>
      <c r="D363" s="540" t="n"/>
      <c r="E363" s="113" t="n"/>
      <c r="F363" s="537" t="n"/>
      <c r="G363" s="113" t="n"/>
    </row>
    <row r="364" ht="18.75" customHeight="1">
      <c r="A364" s="113" t="n"/>
      <c r="B364" s="540" t="n"/>
      <c r="C364" s="540" t="n"/>
      <c r="D364" s="540" t="n"/>
      <c r="E364" s="113" t="n"/>
      <c r="F364" s="537" t="n"/>
      <c r="G364" s="113" t="n"/>
    </row>
    <row r="365" ht="18.75" customHeight="1">
      <c r="A365" s="113" t="n"/>
      <c r="B365" s="540" t="n"/>
      <c r="C365" s="540" t="n"/>
      <c r="D365" s="540" t="n"/>
      <c r="E365" s="113" t="n"/>
      <c r="F365" s="537" t="n"/>
      <c r="G365" s="113" t="n"/>
    </row>
    <row r="366" ht="18.75" customHeight="1">
      <c r="A366" s="113" t="n"/>
      <c r="B366" s="540" t="n"/>
      <c r="C366" s="540" t="n"/>
      <c r="D366" s="540" t="n"/>
      <c r="E366" s="113" t="n"/>
      <c r="F366" s="537" t="n"/>
      <c r="G366" s="113" t="n"/>
    </row>
    <row r="367" ht="18.75" customHeight="1">
      <c r="A367" s="113" t="n"/>
      <c r="B367" s="540" t="n"/>
      <c r="C367" s="540" t="n"/>
      <c r="D367" s="540" t="n"/>
      <c r="E367" s="113" t="n"/>
      <c r="F367" s="537" t="n"/>
      <c r="G367" s="113" t="n"/>
    </row>
    <row r="368" ht="18.75" customHeight="1">
      <c r="A368" s="113" t="n"/>
      <c r="B368" s="540" t="n"/>
      <c r="C368" s="540" t="n"/>
      <c r="D368" s="540" t="n"/>
      <c r="E368" s="113" t="n"/>
      <c r="F368" s="537" t="n"/>
      <c r="G368" s="113" t="n"/>
    </row>
    <row r="369" ht="18.75" customHeight="1">
      <c r="A369" s="113" t="n"/>
      <c r="B369" s="540" t="n"/>
      <c r="C369" s="540" t="n"/>
      <c r="D369" s="540" t="n"/>
      <c r="E369" s="113" t="n"/>
      <c r="F369" s="537" t="n"/>
      <c r="G369" s="113" t="n"/>
    </row>
    <row r="370" ht="18.75" customHeight="1">
      <c r="A370" s="113" t="n"/>
      <c r="B370" s="540" t="n"/>
      <c r="C370" s="540" t="n"/>
      <c r="D370" s="540" t="n"/>
      <c r="E370" s="113" t="n"/>
      <c r="F370" s="537" t="n"/>
      <c r="G370" s="113" t="n"/>
    </row>
    <row r="371" ht="18.75" customHeight="1">
      <c r="A371" s="113" t="n"/>
      <c r="B371" s="540" t="n"/>
      <c r="C371" s="540" t="n"/>
      <c r="D371" s="540" t="n"/>
      <c r="E371" s="113" t="n"/>
      <c r="F371" s="537" t="n"/>
      <c r="G371" s="113" t="n"/>
    </row>
    <row r="372" ht="18.75" customHeight="1">
      <c r="A372" s="113" t="n"/>
      <c r="B372" s="540" t="n"/>
      <c r="C372" s="540" t="n"/>
      <c r="D372" s="540" t="n"/>
      <c r="E372" s="113" t="n"/>
      <c r="F372" s="537" t="n"/>
      <c r="G372" s="113" t="n"/>
    </row>
    <row r="373" ht="18.75" customHeight="1">
      <c r="A373" s="113" t="n"/>
      <c r="B373" s="540" t="n"/>
      <c r="C373" s="540" t="n"/>
      <c r="D373" s="540" t="n"/>
      <c r="E373" s="113" t="n"/>
      <c r="F373" s="537" t="n"/>
      <c r="G373" s="113" t="n"/>
    </row>
    <row r="374" ht="18.75" customHeight="1">
      <c r="A374" s="113" t="n"/>
      <c r="B374" s="540" t="n"/>
      <c r="C374" s="540" t="n"/>
      <c r="D374" s="540" t="n"/>
      <c r="E374" s="113" t="n"/>
      <c r="F374" s="537" t="n"/>
      <c r="G374" s="113" t="n"/>
    </row>
    <row r="375" ht="18.75" customHeight="1">
      <c r="A375" s="113" t="n"/>
      <c r="B375" s="540" t="n"/>
      <c r="C375" s="540" t="n"/>
      <c r="D375" s="540" t="n"/>
      <c r="E375" s="113" t="n"/>
      <c r="F375" s="537" t="n"/>
      <c r="G375" s="113" t="n"/>
    </row>
    <row r="376" ht="18.75" customHeight="1">
      <c r="A376" s="113" t="n"/>
      <c r="B376" s="540" t="n"/>
      <c r="C376" s="540" t="n"/>
      <c r="D376" s="540" t="n"/>
      <c r="E376" s="113" t="n"/>
      <c r="F376" s="537" t="n"/>
      <c r="G376" s="113" t="n"/>
    </row>
    <row r="377" ht="18.75" customHeight="1">
      <c r="A377" s="113" t="n"/>
      <c r="B377" s="540" t="n"/>
      <c r="C377" s="540" t="n"/>
      <c r="D377" s="540" t="n"/>
      <c r="E377" s="113" t="n"/>
      <c r="F377" s="537" t="n"/>
      <c r="G377" s="113" t="n"/>
    </row>
    <row r="378" ht="18.75" customHeight="1">
      <c r="A378" s="113" t="n"/>
      <c r="B378" s="540" t="n"/>
      <c r="C378" s="540" t="n"/>
      <c r="D378" s="540" t="n"/>
      <c r="E378" s="113" t="n"/>
      <c r="F378" s="537" t="n"/>
      <c r="G378" s="113" t="n"/>
    </row>
    <row r="379" ht="18.75" customHeight="1">
      <c r="A379" s="113" t="n"/>
      <c r="B379" s="540" t="n"/>
      <c r="C379" s="540" t="n"/>
      <c r="D379" s="540" t="n"/>
      <c r="E379" s="113" t="n"/>
      <c r="F379" s="537" t="n"/>
      <c r="G379" s="113" t="n"/>
    </row>
    <row r="380" ht="18.75" customHeight="1">
      <c r="A380" s="113" t="n"/>
      <c r="B380" s="540" t="n"/>
      <c r="C380" s="540" t="n"/>
      <c r="D380" s="540" t="n"/>
      <c r="E380" s="113" t="n"/>
      <c r="F380" s="537" t="n"/>
      <c r="G380" s="113" t="n"/>
    </row>
    <row r="381" ht="18.75" customHeight="1">
      <c r="A381" s="113" t="n"/>
      <c r="B381" s="540" t="n"/>
      <c r="C381" s="540" t="n"/>
      <c r="D381" s="540" t="n"/>
      <c r="E381" s="113" t="n"/>
      <c r="F381" s="537" t="n"/>
      <c r="G381" s="113" t="n"/>
    </row>
    <row r="382" ht="18.75" customHeight="1">
      <c r="A382" s="113" t="n"/>
      <c r="B382" s="540" t="n"/>
      <c r="C382" s="540" t="n"/>
      <c r="D382" s="540" t="n"/>
      <c r="E382" s="113" t="n"/>
      <c r="F382" s="537" t="n"/>
      <c r="G382" s="113" t="n"/>
    </row>
    <row r="383" ht="18.75" customHeight="1">
      <c r="A383" s="113" t="n"/>
      <c r="B383" s="540" t="n"/>
      <c r="C383" s="540" t="n"/>
      <c r="D383" s="540" t="n"/>
      <c r="E383" s="113" t="n"/>
      <c r="F383" s="537" t="n"/>
      <c r="G383" s="113" t="n"/>
    </row>
    <row r="384" ht="18.75" customHeight="1">
      <c r="A384" s="113" t="n"/>
      <c r="B384" s="540" t="n"/>
      <c r="C384" s="540" t="n"/>
      <c r="D384" s="540" t="n"/>
      <c r="E384" s="113" t="n"/>
      <c r="F384" s="537" t="n"/>
      <c r="G384" s="113" t="n"/>
    </row>
    <row r="385" ht="18.75" customHeight="1">
      <c r="A385" s="113" t="n"/>
      <c r="B385" s="540" t="n"/>
      <c r="C385" s="540" t="n"/>
      <c r="D385" s="540" t="n"/>
      <c r="E385" s="113" t="n"/>
      <c r="F385" s="537" t="n"/>
      <c r="G385" s="113" t="n"/>
    </row>
    <row r="386" ht="18.75" customHeight="1">
      <c r="A386" s="113" t="n"/>
      <c r="B386" s="540" t="n"/>
      <c r="C386" s="540" t="n"/>
      <c r="D386" s="540" t="n"/>
      <c r="E386" s="113" t="n"/>
      <c r="F386" s="537" t="n"/>
      <c r="G386" s="113" t="n"/>
    </row>
    <row r="387" ht="18.75" customHeight="1">
      <c r="A387" s="113" t="n"/>
      <c r="B387" s="540" t="n"/>
      <c r="C387" s="540" t="n"/>
      <c r="D387" s="540" t="n"/>
      <c r="E387" s="113" t="n"/>
      <c r="F387" s="537" t="n"/>
      <c r="G387" s="113" t="n"/>
    </row>
    <row r="388" ht="18.75" customHeight="1">
      <c r="A388" s="113" t="n"/>
      <c r="B388" s="540" t="n"/>
      <c r="C388" s="540" t="n"/>
      <c r="D388" s="540" t="n"/>
      <c r="E388" s="113" t="n"/>
      <c r="F388" s="537" t="n"/>
      <c r="G388" s="113" t="n"/>
    </row>
    <row r="389" ht="18.75" customHeight="1">
      <c r="A389" s="113" t="n"/>
      <c r="B389" s="540" t="n"/>
      <c r="C389" s="540" t="n"/>
      <c r="D389" s="540" t="n"/>
      <c r="E389" s="113" t="n"/>
      <c r="F389" s="537" t="n"/>
      <c r="G389" s="113" t="n"/>
    </row>
    <row r="390" ht="18.75" customHeight="1">
      <c r="A390" s="113" t="n"/>
      <c r="B390" s="540" t="n"/>
      <c r="C390" s="540" t="n"/>
      <c r="D390" s="540" t="n"/>
      <c r="E390" s="113" t="n"/>
      <c r="F390" s="537" t="n"/>
      <c r="G390" s="113" t="n"/>
    </row>
    <row r="391" ht="18.75" customHeight="1">
      <c r="A391" s="113" t="n"/>
      <c r="B391" s="540" t="n"/>
      <c r="C391" s="540" t="n"/>
      <c r="D391" s="540" t="n"/>
      <c r="E391" s="113" t="n"/>
      <c r="F391" s="537" t="n"/>
      <c r="G391" s="113" t="n"/>
    </row>
    <row r="392" ht="18.75" customHeight="1">
      <c r="A392" s="113" t="n"/>
      <c r="B392" s="540" t="n"/>
      <c r="C392" s="540" t="n"/>
      <c r="D392" s="540" t="n"/>
      <c r="E392" s="113" t="n"/>
      <c r="F392" s="537" t="n"/>
      <c r="G392" s="113" t="n"/>
    </row>
    <row r="393" ht="18.75" customHeight="1">
      <c r="A393" s="113" t="n"/>
      <c r="B393" s="540" t="n"/>
      <c r="C393" s="540" t="n"/>
      <c r="D393" s="540" t="n"/>
      <c r="E393" s="113" t="n"/>
      <c r="F393" s="537" t="n"/>
      <c r="G393" s="113" t="n"/>
    </row>
    <row r="394" ht="18.75" customHeight="1">
      <c r="A394" s="113" t="n"/>
      <c r="B394" s="540" t="n"/>
      <c r="C394" s="540" t="n"/>
      <c r="D394" s="540" t="n"/>
      <c r="E394" s="113" t="n"/>
      <c r="F394" s="537" t="n"/>
      <c r="G394" s="113" t="n"/>
    </row>
    <row r="395" ht="18.75" customHeight="1">
      <c r="A395" s="113" t="n"/>
      <c r="B395" s="540" t="n"/>
      <c r="C395" s="540" t="n"/>
      <c r="D395" s="540" t="n"/>
      <c r="E395" s="113" t="n"/>
      <c r="F395" s="537" t="n"/>
      <c r="G395" s="113" t="n"/>
    </row>
    <row r="396" ht="18.75" customHeight="1">
      <c r="A396" s="113" t="n"/>
      <c r="B396" s="540" t="n"/>
      <c r="C396" s="540" t="n"/>
      <c r="D396" s="540" t="n"/>
      <c r="E396" s="113" t="n"/>
      <c r="F396" s="537" t="n"/>
      <c r="G396" s="113" t="n"/>
    </row>
    <row r="397" ht="18.75" customHeight="1">
      <c r="A397" s="113" t="n"/>
      <c r="B397" s="540" t="n"/>
      <c r="C397" s="540" t="n"/>
      <c r="D397" s="540" t="n"/>
      <c r="E397" s="113" t="n"/>
      <c r="F397" s="537" t="n"/>
      <c r="G397" s="113" t="n"/>
    </row>
    <row r="398" ht="18.75" customHeight="1">
      <c r="A398" s="113" t="n"/>
      <c r="B398" s="540" t="n"/>
      <c r="C398" s="540" t="n"/>
      <c r="D398" s="540" t="n"/>
      <c r="E398" s="113" t="n"/>
      <c r="F398" s="537" t="n"/>
      <c r="G398" s="113" t="n"/>
    </row>
    <row r="399" ht="18.75" customHeight="1">
      <c r="A399" s="113" t="n"/>
      <c r="B399" s="540" t="n"/>
      <c r="C399" s="540" t="n"/>
      <c r="D399" s="540" t="n"/>
      <c r="E399" s="113" t="n"/>
      <c r="F399" s="537" t="n"/>
      <c r="G399" s="113" t="n"/>
    </row>
    <row r="400" ht="18.75" customHeight="1">
      <c r="A400" s="113" t="n"/>
      <c r="B400" s="540" t="n"/>
      <c r="C400" s="540" t="n"/>
      <c r="D400" s="540" t="n"/>
      <c r="E400" s="113" t="n"/>
      <c r="F400" s="537" t="n"/>
      <c r="G400" s="113" t="n"/>
    </row>
    <row r="401" ht="18.75" customHeight="1">
      <c r="A401" s="113" t="n"/>
      <c r="B401" s="540" t="n"/>
      <c r="C401" s="540" t="n"/>
      <c r="D401" s="540" t="n"/>
      <c r="E401" s="113" t="n"/>
      <c r="F401" s="537" t="n"/>
      <c r="G401" s="113" t="n"/>
    </row>
    <row r="402" ht="18.75" customHeight="1">
      <c r="A402" s="113" t="n"/>
      <c r="B402" s="540" t="n"/>
      <c r="C402" s="540" t="n"/>
      <c r="D402" s="540" t="n"/>
      <c r="E402" s="113" t="n"/>
      <c r="F402" s="537" t="n"/>
      <c r="G402" s="113" t="n"/>
    </row>
    <row r="403" ht="18.75" customHeight="1">
      <c r="A403" s="113" t="n"/>
      <c r="B403" s="540" t="n"/>
      <c r="C403" s="540" t="n"/>
      <c r="D403" s="540" t="n"/>
      <c r="E403" s="113" t="n"/>
      <c r="F403" s="537" t="n"/>
      <c r="G403" s="113" t="n"/>
    </row>
    <row r="404" ht="18.75" customHeight="1">
      <c r="A404" s="113" t="n"/>
      <c r="B404" s="540" t="n"/>
      <c r="C404" s="540" t="n"/>
      <c r="D404" s="540" t="n"/>
      <c r="E404" s="113" t="n"/>
      <c r="F404" s="537" t="n"/>
      <c r="G404" s="113" t="n"/>
    </row>
    <row r="405" ht="18.75" customHeight="1">
      <c r="A405" s="113" t="n"/>
      <c r="B405" s="540" t="n"/>
      <c r="C405" s="540" t="n"/>
      <c r="D405" s="540" t="n"/>
      <c r="E405" s="113" t="n"/>
      <c r="F405" s="537" t="n"/>
      <c r="G405" s="113" t="n"/>
    </row>
    <row r="406" ht="18.75" customHeight="1">
      <c r="A406" s="113" t="n"/>
      <c r="B406" s="540" t="n"/>
      <c r="C406" s="540" t="n"/>
      <c r="D406" s="540" t="n"/>
      <c r="E406" s="113" t="n"/>
      <c r="F406" s="537" t="n"/>
      <c r="G406" s="113" t="n"/>
    </row>
    <row r="407" ht="18.75" customHeight="1">
      <c r="A407" s="113" t="n"/>
      <c r="B407" s="540" t="n"/>
      <c r="C407" s="540" t="n"/>
      <c r="D407" s="540" t="n"/>
      <c r="E407" s="113" t="n"/>
      <c r="F407" s="537" t="n"/>
      <c r="G407" s="113" t="n"/>
    </row>
    <row r="408" ht="18.75" customHeight="1">
      <c r="A408" s="113" t="n"/>
      <c r="B408" s="540" t="n"/>
      <c r="C408" s="540" t="n"/>
      <c r="D408" s="540" t="n"/>
      <c r="E408" s="113" t="n"/>
      <c r="F408" s="537" t="n"/>
      <c r="G408" s="113" t="n"/>
    </row>
    <row r="409" ht="18.75" customHeight="1">
      <c r="A409" s="113" t="n"/>
      <c r="B409" s="540" t="n"/>
      <c r="C409" s="540" t="n"/>
      <c r="D409" s="540" t="n"/>
      <c r="E409" s="113" t="n"/>
      <c r="F409" s="537" t="n"/>
      <c r="G409" s="113" t="n"/>
    </row>
    <row r="410" ht="18.75" customHeight="1">
      <c r="A410" s="113" t="n"/>
      <c r="B410" s="540" t="n"/>
      <c r="C410" s="540" t="n"/>
      <c r="D410" s="540" t="n"/>
      <c r="E410" s="113" t="n"/>
      <c r="F410" s="537" t="n"/>
      <c r="G410" s="113" t="n"/>
    </row>
    <row r="411" ht="18.75" customHeight="1">
      <c r="A411" s="113" t="n"/>
      <c r="B411" s="540" t="n"/>
      <c r="C411" s="540" t="n"/>
      <c r="D411" s="540" t="n"/>
      <c r="E411" s="113" t="n"/>
      <c r="F411" s="537" t="n"/>
      <c r="G411" s="113" t="n"/>
    </row>
    <row r="412" ht="18.75" customHeight="1">
      <c r="A412" s="113" t="n"/>
      <c r="B412" s="540" t="n"/>
      <c r="C412" s="540" t="n"/>
      <c r="D412" s="540" t="n"/>
      <c r="E412" s="113" t="n"/>
      <c r="F412" s="537" t="n"/>
      <c r="G412" s="113" t="n"/>
    </row>
    <row r="413" ht="18.75" customHeight="1">
      <c r="A413" s="113" t="n"/>
      <c r="B413" s="540" t="n"/>
      <c r="C413" s="540" t="n"/>
      <c r="D413" s="540" t="n"/>
      <c r="E413" s="113" t="n"/>
      <c r="F413" s="537" t="n"/>
      <c r="G413" s="113" t="n"/>
    </row>
    <row r="414" ht="18.75" customHeight="1">
      <c r="A414" s="113" t="n"/>
      <c r="B414" s="540" t="n"/>
      <c r="C414" s="540" t="n"/>
      <c r="D414" s="540" t="n"/>
      <c r="E414" s="113" t="n"/>
      <c r="F414" s="537" t="n"/>
      <c r="G414" s="113" t="n"/>
    </row>
    <row r="415" ht="18.75" customHeight="1">
      <c r="A415" s="113" t="n"/>
      <c r="B415" s="540" t="n"/>
      <c r="C415" s="540" t="n"/>
      <c r="D415" s="540" t="n"/>
      <c r="E415" s="113" t="n"/>
      <c r="F415" s="537" t="n"/>
      <c r="G415" s="113" t="n"/>
    </row>
    <row r="416" ht="18.75" customHeight="1">
      <c r="A416" s="113" t="n"/>
      <c r="B416" s="540" t="n"/>
      <c r="C416" s="540" t="n"/>
      <c r="D416" s="540" t="n"/>
      <c r="E416" s="113" t="n"/>
      <c r="F416" s="537" t="n"/>
      <c r="G416" s="113" t="n"/>
    </row>
    <row r="417" ht="18.75" customHeight="1">
      <c r="A417" s="113" t="n"/>
      <c r="B417" s="540" t="n"/>
      <c r="C417" s="540" t="n"/>
      <c r="D417" s="540" t="n"/>
      <c r="E417" s="113" t="n"/>
      <c r="F417" s="537" t="n"/>
      <c r="G417" s="113" t="n"/>
    </row>
    <row r="418" ht="18.75" customHeight="1">
      <c r="A418" s="113" t="n"/>
      <c r="B418" s="540" t="n"/>
      <c r="C418" s="540" t="n"/>
      <c r="D418" s="540" t="n"/>
      <c r="E418" s="113" t="n"/>
      <c r="F418" s="537" t="n"/>
      <c r="G418" s="113" t="n"/>
    </row>
    <row r="419" ht="18.75" customHeight="1">
      <c r="A419" s="113" t="n"/>
      <c r="B419" s="540" t="n"/>
      <c r="C419" s="540" t="n"/>
      <c r="D419" s="540" t="n"/>
      <c r="E419" s="113" t="n"/>
      <c r="F419" s="537" t="n"/>
      <c r="G419" s="113" t="n"/>
    </row>
    <row r="420" ht="18.75" customHeight="1">
      <c r="A420" s="113" t="n"/>
      <c r="B420" s="540" t="n"/>
      <c r="C420" s="540" t="n"/>
      <c r="D420" s="540" t="n"/>
      <c r="E420" s="113" t="n"/>
      <c r="F420" s="537" t="n"/>
      <c r="G420" s="113" t="n"/>
    </row>
    <row r="421" ht="18.75" customHeight="1">
      <c r="A421" s="113" t="n"/>
      <c r="B421" s="540" t="n"/>
      <c r="C421" s="540" t="n"/>
      <c r="D421" s="540" t="n"/>
      <c r="E421" s="113" t="n"/>
      <c r="F421" s="537" t="n"/>
      <c r="G421" s="113" t="n"/>
    </row>
    <row r="422" ht="18.75" customHeight="1">
      <c r="A422" s="113" t="n"/>
      <c r="B422" s="540" t="n"/>
      <c r="C422" s="540" t="n"/>
      <c r="D422" s="540" t="n"/>
      <c r="E422" s="113" t="n"/>
      <c r="F422" s="537" t="n"/>
      <c r="G422" s="113" t="n"/>
    </row>
    <row r="423" ht="18.75" customHeight="1">
      <c r="A423" s="113" t="n"/>
      <c r="B423" s="540" t="n"/>
      <c r="C423" s="540" t="n"/>
      <c r="D423" s="540" t="n"/>
      <c r="E423" s="113" t="n"/>
      <c r="F423" s="537" t="n"/>
      <c r="G423" s="113" t="n"/>
    </row>
    <row r="424" ht="18.75" customHeight="1">
      <c r="A424" s="113" t="n"/>
      <c r="B424" s="540" t="n"/>
      <c r="C424" s="540" t="n"/>
      <c r="D424" s="540" t="n"/>
      <c r="E424" s="113" t="n"/>
      <c r="F424" s="537" t="n"/>
      <c r="G424" s="113" t="n"/>
    </row>
    <row r="425" ht="18.75" customHeight="1">
      <c r="A425" s="113" t="n"/>
      <c r="B425" s="540" t="n"/>
      <c r="C425" s="540" t="n"/>
      <c r="D425" s="540" t="n"/>
      <c r="E425" s="113" t="n"/>
      <c r="F425" s="537" t="n"/>
      <c r="G425" s="113" t="n"/>
    </row>
    <row r="426" ht="18.75" customHeight="1">
      <c r="A426" s="113" t="n"/>
      <c r="B426" s="540" t="n"/>
      <c r="C426" s="540" t="n"/>
      <c r="D426" s="540" t="n"/>
      <c r="E426" s="113" t="n"/>
      <c r="F426" s="537" t="n"/>
      <c r="G426" s="113" t="n"/>
    </row>
    <row r="427" ht="18.75" customHeight="1">
      <c r="A427" s="113" t="n"/>
      <c r="B427" s="540" t="n"/>
      <c r="C427" s="540" t="n"/>
      <c r="D427" s="540" t="n"/>
      <c r="E427" s="113" t="n"/>
      <c r="F427" s="537" t="n"/>
      <c r="G427" s="113" t="n"/>
    </row>
    <row r="428" ht="18.75" customHeight="1">
      <c r="A428" s="113" t="n"/>
      <c r="B428" s="540" t="n"/>
      <c r="C428" s="540" t="n"/>
      <c r="D428" s="540" t="n"/>
      <c r="E428" s="113" t="n"/>
      <c r="F428" s="537" t="n"/>
      <c r="G428" s="113" t="n"/>
    </row>
    <row r="429" ht="18.75" customHeight="1">
      <c r="A429" s="113" t="n"/>
      <c r="B429" s="540" t="n"/>
      <c r="C429" s="540" t="n"/>
      <c r="D429" s="540" t="n"/>
      <c r="E429" s="113" t="n"/>
      <c r="F429" s="537" t="n"/>
      <c r="G429" s="113" t="n"/>
    </row>
    <row r="430" ht="18.75" customHeight="1">
      <c r="A430" s="113" t="n"/>
      <c r="B430" s="540" t="n"/>
      <c r="C430" s="540" t="n"/>
      <c r="D430" s="540" t="n"/>
      <c r="E430" s="113" t="n"/>
      <c r="F430" s="537" t="n"/>
      <c r="G430" s="113" t="n"/>
    </row>
    <row r="431" ht="18.75" customHeight="1">
      <c r="A431" s="113" t="n"/>
      <c r="B431" s="540" t="n"/>
      <c r="C431" s="540" t="n"/>
      <c r="D431" s="540" t="n"/>
      <c r="E431" s="113" t="n"/>
      <c r="F431" s="537" t="n"/>
      <c r="G431" s="113" t="n"/>
    </row>
    <row r="432" ht="18.75" customHeight="1">
      <c r="A432" s="113" t="n"/>
      <c r="B432" s="540" t="n"/>
      <c r="C432" s="540" t="n"/>
      <c r="D432" s="540" t="n"/>
      <c r="E432" s="113" t="n"/>
      <c r="F432" s="537" t="n"/>
      <c r="G432" s="113" t="n"/>
    </row>
    <row r="433" ht="18.75" customHeight="1">
      <c r="A433" s="113" t="n"/>
      <c r="B433" s="540" t="n"/>
      <c r="C433" s="540" t="n"/>
      <c r="D433" s="540" t="n"/>
      <c r="E433" s="113" t="n"/>
      <c r="F433" s="537" t="n"/>
      <c r="G433" s="113" t="n"/>
    </row>
    <row r="434" ht="18.75" customHeight="1">
      <c r="A434" s="113" t="n"/>
      <c r="B434" s="540" t="n"/>
      <c r="C434" s="540" t="n"/>
      <c r="D434" s="540" t="n"/>
      <c r="E434" s="113" t="n"/>
      <c r="F434" s="537" t="n"/>
      <c r="G434" s="113" t="n"/>
    </row>
    <row r="435" ht="18.75" customHeight="1">
      <c r="A435" s="113" t="n"/>
      <c r="B435" s="540" t="n"/>
      <c r="C435" s="540" t="n"/>
      <c r="D435" s="540" t="n"/>
      <c r="E435" s="113" t="n"/>
      <c r="F435" s="537" t="n"/>
      <c r="G435" s="113" t="n"/>
    </row>
    <row r="436" ht="18.75" customHeight="1">
      <c r="A436" s="113" t="n"/>
      <c r="B436" s="540" t="n"/>
      <c r="C436" s="540" t="n"/>
      <c r="D436" s="540" t="n"/>
      <c r="E436" s="113" t="n"/>
      <c r="F436" s="537" t="n"/>
      <c r="G436" s="113" t="n"/>
    </row>
    <row r="437" ht="18.75" customHeight="1">
      <c r="A437" s="113" t="n"/>
      <c r="B437" s="540" t="n"/>
      <c r="C437" s="540" t="n"/>
      <c r="D437" s="540" t="n"/>
      <c r="E437" s="113" t="n"/>
      <c r="F437" s="537" t="n"/>
      <c r="G437" s="113" t="n"/>
    </row>
    <row r="438" ht="18.75" customHeight="1">
      <c r="A438" s="113" t="n"/>
      <c r="B438" s="540" t="n"/>
      <c r="C438" s="540" t="n"/>
      <c r="D438" s="540" t="n"/>
      <c r="E438" s="113" t="n"/>
      <c r="F438" s="537" t="n"/>
      <c r="G438" s="113" t="n"/>
    </row>
    <row r="439" ht="18.75" customHeight="1">
      <c r="A439" s="113" t="n"/>
      <c r="B439" s="540" t="n"/>
      <c r="C439" s="540" t="n"/>
      <c r="D439" s="540" t="n"/>
      <c r="E439" s="113" t="n"/>
      <c r="F439" s="537" t="n"/>
      <c r="G439" s="113" t="n"/>
    </row>
    <row r="440" ht="18.75" customHeight="1">
      <c r="A440" s="113" t="n"/>
      <c r="B440" s="540" t="n"/>
      <c r="C440" s="540" t="n"/>
      <c r="D440" s="540" t="n"/>
      <c r="E440" s="113" t="n"/>
      <c r="F440" s="537" t="n"/>
      <c r="G440" s="113" t="n"/>
    </row>
    <row r="441" ht="18.75" customHeight="1">
      <c r="A441" s="113" t="n"/>
      <c r="B441" s="540" t="n"/>
      <c r="C441" s="540" t="n"/>
      <c r="D441" s="540" t="n"/>
      <c r="E441" s="113" t="n"/>
      <c r="F441" s="537" t="n"/>
      <c r="G441" s="113" t="n"/>
    </row>
    <row r="442" ht="18.75" customHeight="1">
      <c r="A442" s="113" t="n"/>
      <c r="B442" s="540" t="n"/>
      <c r="C442" s="540" t="n"/>
      <c r="D442" s="540" t="n"/>
      <c r="E442" s="113" t="n"/>
      <c r="F442" s="537" t="n"/>
      <c r="G442" s="113" t="n"/>
    </row>
    <row r="443" ht="18.75" customHeight="1">
      <c r="A443" s="113" t="n"/>
      <c r="B443" s="540" t="n"/>
      <c r="C443" s="540" t="n"/>
      <c r="D443" s="540" t="n"/>
      <c r="E443" s="113" t="n"/>
      <c r="F443" s="537" t="n"/>
      <c r="G443" s="113" t="n"/>
    </row>
    <row r="444" ht="18.75" customHeight="1">
      <c r="A444" s="113" t="n"/>
      <c r="B444" s="540" t="n"/>
      <c r="C444" s="540" t="n"/>
      <c r="D444" s="540" t="n"/>
      <c r="E444" s="113" t="n"/>
      <c r="F444" s="537" t="n"/>
      <c r="G444" s="113" t="n"/>
    </row>
    <row r="445" ht="18.75" customHeight="1">
      <c r="A445" s="113" t="n"/>
      <c r="B445" s="540" t="n"/>
      <c r="C445" s="540" t="n"/>
      <c r="D445" s="540" t="n"/>
      <c r="E445" s="113" t="n"/>
      <c r="F445" s="537" t="n"/>
      <c r="G445" s="113" t="n"/>
    </row>
    <row r="446" ht="18.75" customHeight="1">
      <c r="A446" s="113" t="n"/>
      <c r="B446" s="540" t="n"/>
      <c r="C446" s="540" t="n"/>
      <c r="D446" s="540" t="n"/>
      <c r="E446" s="113" t="n"/>
      <c r="F446" s="537" t="n"/>
      <c r="G446" s="113" t="n"/>
    </row>
    <row r="447" ht="18.75" customHeight="1">
      <c r="A447" s="113" t="n"/>
      <c r="B447" s="540" t="n"/>
      <c r="C447" s="540" t="n"/>
      <c r="D447" s="540" t="n"/>
      <c r="E447" s="113" t="n"/>
      <c r="F447" s="537" t="n"/>
      <c r="G447" s="113" t="n"/>
    </row>
    <row r="448" ht="18.75" customHeight="1">
      <c r="A448" s="113" t="n"/>
      <c r="B448" s="540" t="n"/>
      <c r="C448" s="540" t="n"/>
      <c r="D448" s="540" t="n"/>
      <c r="E448" s="113" t="n"/>
      <c r="F448" s="537" t="n"/>
      <c r="G448" s="113" t="n"/>
    </row>
    <row r="449" ht="18.75" customHeight="1">
      <c r="A449" s="113" t="n"/>
      <c r="B449" s="540" t="n"/>
      <c r="C449" s="540" t="n"/>
      <c r="D449" s="540" t="n"/>
      <c r="E449" s="113" t="n"/>
      <c r="F449" s="537" t="n"/>
      <c r="G449" s="113" t="n"/>
    </row>
    <row r="450" ht="18.75" customHeight="1">
      <c r="A450" s="113" t="n"/>
      <c r="B450" s="540" t="n"/>
      <c r="C450" s="540" t="n"/>
      <c r="D450" s="540" t="n"/>
      <c r="E450" s="113" t="n"/>
      <c r="F450" s="537" t="n"/>
      <c r="G450" s="113" t="n"/>
    </row>
    <row r="451" ht="18.75" customHeight="1">
      <c r="A451" s="113" t="n"/>
      <c r="B451" s="540" t="n"/>
      <c r="C451" s="540" t="n"/>
      <c r="D451" s="540" t="n"/>
      <c r="E451" s="113" t="n"/>
      <c r="F451" s="537" t="n"/>
      <c r="G451" s="113" t="n"/>
    </row>
    <row r="452" ht="18.75" customHeight="1">
      <c r="A452" s="113" t="n"/>
      <c r="B452" s="540" t="n"/>
      <c r="C452" s="540" t="n"/>
      <c r="D452" s="540" t="n"/>
      <c r="E452" s="113" t="n"/>
      <c r="F452" s="537" t="n"/>
      <c r="G452" s="113" t="n"/>
    </row>
    <row r="453" ht="18.75" customHeight="1">
      <c r="A453" s="113" t="n"/>
      <c r="B453" s="540" t="n"/>
      <c r="C453" s="540" t="n"/>
      <c r="D453" s="540" t="n"/>
      <c r="E453" s="113" t="n"/>
      <c r="F453" s="537" t="n"/>
      <c r="G453" s="113" t="n"/>
    </row>
    <row r="454" ht="18.75" customHeight="1">
      <c r="A454" s="113" t="n"/>
      <c r="B454" s="540" t="n"/>
      <c r="C454" s="540" t="n"/>
      <c r="D454" s="540" t="n"/>
      <c r="E454" s="113" t="n"/>
      <c r="F454" s="537" t="n"/>
      <c r="G454" s="113" t="n"/>
    </row>
    <row r="455" ht="18.75" customHeight="1">
      <c r="A455" s="113" t="n"/>
      <c r="B455" s="540" t="n"/>
      <c r="C455" s="540" t="n"/>
      <c r="D455" s="540" t="n"/>
      <c r="E455" s="113" t="n"/>
      <c r="F455" s="537" t="n"/>
      <c r="G455" s="113" t="n"/>
    </row>
    <row r="456" ht="18.75" customHeight="1">
      <c r="A456" s="113" t="n"/>
      <c r="B456" s="540" t="n"/>
      <c r="C456" s="540" t="n"/>
      <c r="D456" s="540" t="n"/>
      <c r="E456" s="113" t="n"/>
      <c r="F456" s="537" t="n"/>
      <c r="G456" s="113" t="n"/>
    </row>
    <row r="457" ht="18.75" customHeight="1">
      <c r="A457" s="113" t="n"/>
      <c r="B457" s="540" t="n"/>
      <c r="C457" s="540" t="n"/>
      <c r="D457" s="540" t="n"/>
      <c r="E457" s="113" t="n"/>
      <c r="F457" s="537" t="n"/>
      <c r="G457" s="113" t="n"/>
    </row>
    <row r="458" ht="18.75" customHeight="1">
      <c r="A458" s="113" t="n"/>
      <c r="B458" s="540" t="n"/>
      <c r="C458" s="540" t="n"/>
      <c r="D458" s="540" t="n"/>
      <c r="E458" s="113" t="n"/>
      <c r="F458" s="537" t="n"/>
      <c r="G458" s="113" t="n"/>
    </row>
    <row r="459" ht="18.75" customHeight="1">
      <c r="A459" s="113" t="n"/>
      <c r="B459" s="540" t="n"/>
      <c r="C459" s="540" t="n"/>
      <c r="D459" s="540" t="n"/>
      <c r="E459" s="113" t="n"/>
      <c r="F459" s="537" t="n"/>
      <c r="G459" s="113" t="n"/>
    </row>
    <row r="460" ht="18.75" customHeight="1">
      <c r="A460" s="113" t="n"/>
      <c r="B460" s="540" t="n"/>
      <c r="C460" s="540" t="n"/>
      <c r="D460" s="540" t="n"/>
      <c r="E460" s="113" t="n"/>
      <c r="F460" s="537" t="n"/>
      <c r="G460" s="113" t="n"/>
    </row>
    <row r="461" ht="18.75" customHeight="1">
      <c r="A461" s="113" t="n"/>
      <c r="B461" s="540" t="n"/>
      <c r="C461" s="540" t="n"/>
      <c r="D461" s="540" t="n"/>
      <c r="E461" s="113" t="n"/>
      <c r="F461" s="537" t="n"/>
      <c r="G461" s="113" t="n"/>
    </row>
    <row r="462" ht="18.75" customHeight="1">
      <c r="A462" s="113" t="n"/>
      <c r="B462" s="540" t="n"/>
      <c r="C462" s="540" t="n"/>
      <c r="D462" s="540" t="n"/>
      <c r="E462" s="113" t="n"/>
      <c r="F462" s="537" t="n"/>
      <c r="G462" s="113" t="n"/>
    </row>
    <row r="463" ht="18.75" customHeight="1">
      <c r="A463" s="113" t="n"/>
      <c r="B463" s="540" t="n"/>
      <c r="C463" s="540" t="n"/>
      <c r="D463" s="540" t="n"/>
      <c r="E463" s="113" t="n"/>
      <c r="F463" s="537" t="n"/>
      <c r="G463" s="113" t="n"/>
    </row>
    <row r="464" ht="18.75" customHeight="1">
      <c r="A464" s="113" t="n"/>
      <c r="B464" s="540" t="n"/>
      <c r="C464" s="540" t="n"/>
      <c r="D464" s="540" t="n"/>
      <c r="E464" s="113" t="n"/>
      <c r="F464" s="537" t="n"/>
      <c r="G464" s="113" t="n"/>
    </row>
    <row r="465" ht="18.75" customHeight="1">
      <c r="A465" s="113" t="n"/>
      <c r="B465" s="540" t="n"/>
      <c r="C465" s="540" t="n"/>
      <c r="D465" s="540" t="n"/>
      <c r="E465" s="113" t="n"/>
      <c r="F465" s="537" t="n"/>
      <c r="G465" s="113" t="n"/>
    </row>
    <row r="466" ht="18.75" customHeight="1">
      <c r="A466" s="113" t="n"/>
      <c r="B466" s="540" t="n"/>
      <c r="C466" s="540" t="n"/>
      <c r="D466" s="540" t="n"/>
      <c r="E466" s="113" t="n"/>
      <c r="F466" s="537" t="n"/>
      <c r="G466" s="113" t="n"/>
    </row>
    <row r="467" ht="18.75" customHeight="1">
      <c r="A467" s="113" t="n"/>
      <c r="B467" s="540" t="n"/>
      <c r="C467" s="540" t="n"/>
      <c r="D467" s="540" t="n"/>
      <c r="E467" s="113" t="n"/>
      <c r="F467" s="537" t="n"/>
      <c r="G467" s="113" t="n"/>
    </row>
    <row r="468" ht="18.75" customHeight="1">
      <c r="A468" s="113" t="n"/>
      <c r="B468" s="540" t="n"/>
      <c r="C468" s="540" t="n"/>
      <c r="D468" s="540" t="n"/>
      <c r="E468" s="113" t="n"/>
      <c r="F468" s="537" t="n"/>
      <c r="G468" s="113" t="n"/>
    </row>
    <row r="469" ht="18.75" customHeight="1">
      <c r="A469" s="113" t="n"/>
      <c r="B469" s="540" t="n"/>
      <c r="C469" s="540" t="n"/>
      <c r="D469" s="540" t="n"/>
      <c r="E469" s="113" t="n"/>
      <c r="F469" s="537" t="n"/>
      <c r="G469" s="113" t="n"/>
    </row>
    <row r="470" ht="18.75" customHeight="1">
      <c r="A470" s="113" t="n"/>
      <c r="B470" s="540" t="n"/>
      <c r="C470" s="540" t="n"/>
      <c r="D470" s="540" t="n"/>
      <c r="E470" s="113" t="n"/>
      <c r="F470" s="537" t="n"/>
      <c r="G470" s="113" t="n"/>
    </row>
    <row r="471" ht="18.75" customHeight="1">
      <c r="A471" s="113" t="n"/>
      <c r="B471" s="540" t="n"/>
      <c r="C471" s="540" t="n"/>
      <c r="D471" s="540" t="n"/>
      <c r="E471" s="113" t="n"/>
      <c r="F471" s="537" t="n"/>
      <c r="G471" s="113" t="n"/>
    </row>
    <row r="472" ht="18.75" customHeight="1">
      <c r="A472" s="113" t="n"/>
      <c r="B472" s="540" t="n"/>
      <c r="C472" s="540" t="n"/>
      <c r="D472" s="540" t="n"/>
      <c r="E472" s="113" t="n"/>
      <c r="F472" s="537" t="n"/>
      <c r="G472" s="113" t="n"/>
    </row>
    <row r="473" ht="18.75" customHeight="1">
      <c r="A473" s="113" t="n"/>
      <c r="B473" s="540" t="n"/>
      <c r="C473" s="540" t="n"/>
      <c r="D473" s="540" t="n"/>
      <c r="E473" s="113" t="n"/>
      <c r="F473" s="537" t="n"/>
      <c r="G473" s="113" t="n"/>
    </row>
    <row r="474" ht="18.75" customHeight="1">
      <c r="A474" s="113" t="n"/>
      <c r="B474" s="540" t="n"/>
      <c r="C474" s="540" t="n"/>
      <c r="D474" s="540" t="n"/>
      <c r="E474" s="113" t="n"/>
      <c r="F474" s="537" t="n"/>
      <c r="G474" s="113" t="n"/>
    </row>
    <row r="475" ht="18.75" customHeight="1">
      <c r="A475" s="113" t="n"/>
      <c r="B475" s="540" t="n"/>
      <c r="C475" s="540" t="n"/>
      <c r="D475" s="540" t="n"/>
      <c r="E475" s="113" t="n"/>
      <c r="F475" s="537" t="n"/>
      <c r="G475" s="113" t="n"/>
    </row>
    <row r="476" ht="18.75" customHeight="1">
      <c r="A476" s="113" t="n"/>
      <c r="B476" s="540" t="n"/>
      <c r="C476" s="540" t="n"/>
      <c r="D476" s="540" t="n"/>
      <c r="E476" s="113" t="n"/>
      <c r="F476" s="537" t="n"/>
      <c r="G476" s="113" t="n"/>
    </row>
    <row r="477" ht="18.75" customHeight="1">
      <c r="A477" s="113" t="n"/>
      <c r="B477" s="540" t="n"/>
      <c r="C477" s="540" t="n"/>
      <c r="D477" s="540" t="n"/>
      <c r="E477" s="113" t="n"/>
      <c r="F477" s="537" t="n"/>
      <c r="G477" s="113" t="n"/>
    </row>
    <row r="478" ht="18.75" customHeight="1">
      <c r="A478" s="113" t="n"/>
      <c r="B478" s="540" t="n"/>
      <c r="C478" s="540" t="n"/>
      <c r="D478" s="540" t="n"/>
      <c r="E478" s="113" t="n"/>
      <c r="F478" s="537" t="n"/>
      <c r="G478" s="113" t="n"/>
    </row>
    <row r="479" ht="18.75" customHeight="1">
      <c r="A479" s="113" t="n"/>
      <c r="B479" s="540" t="n"/>
      <c r="C479" s="540" t="n"/>
      <c r="D479" s="540" t="n"/>
      <c r="E479" s="113" t="n"/>
      <c r="F479" s="537" t="n"/>
      <c r="G479" s="113" t="n"/>
    </row>
    <row r="480" ht="18.75" customHeight="1">
      <c r="A480" s="113" t="n"/>
      <c r="B480" s="540" t="n"/>
      <c r="C480" s="540" t="n"/>
      <c r="D480" s="540" t="n"/>
      <c r="E480" s="113" t="n"/>
      <c r="F480" s="537" t="n"/>
      <c r="G480" s="113" t="n"/>
    </row>
    <row r="481" ht="18.75" customHeight="1">
      <c r="A481" s="113" t="n"/>
      <c r="B481" s="540" t="n"/>
      <c r="C481" s="540" t="n"/>
      <c r="D481" s="540" t="n"/>
      <c r="E481" s="113" t="n"/>
      <c r="F481" s="537" t="n"/>
      <c r="G481" s="113" t="n"/>
    </row>
    <row r="482" ht="18.75" customHeight="1">
      <c r="A482" s="113" t="n"/>
      <c r="B482" s="540" t="n"/>
      <c r="C482" s="540" t="n"/>
      <c r="D482" s="540" t="n"/>
      <c r="E482" s="113" t="n"/>
      <c r="F482" s="537" t="n"/>
      <c r="G482" s="113" t="n"/>
    </row>
    <row r="483" ht="18.75" customHeight="1">
      <c r="A483" s="113" t="n"/>
      <c r="B483" s="540" t="n"/>
      <c r="C483" s="540" t="n"/>
      <c r="D483" s="540" t="n"/>
      <c r="E483" s="113" t="n"/>
      <c r="F483" s="537" t="n"/>
      <c r="G483" s="113" t="n"/>
    </row>
    <row r="484" ht="18.75" customHeight="1">
      <c r="A484" s="113" t="n"/>
      <c r="B484" s="540" t="n"/>
      <c r="C484" s="540" t="n"/>
      <c r="D484" s="540" t="n"/>
      <c r="E484" s="113" t="n"/>
      <c r="F484" s="537" t="n"/>
      <c r="G484" s="113" t="n"/>
    </row>
    <row r="485" ht="18.75" customHeight="1">
      <c r="A485" s="113" t="n"/>
      <c r="B485" s="540" t="n"/>
      <c r="C485" s="540" t="n"/>
      <c r="D485" s="540" t="n"/>
      <c r="E485" s="113" t="n"/>
      <c r="F485" s="537" t="n"/>
      <c r="G485" s="113" t="n"/>
    </row>
    <row r="486" ht="18.75" customHeight="1">
      <c r="A486" s="113" t="n"/>
      <c r="B486" s="540" t="n"/>
      <c r="C486" s="540" t="n"/>
      <c r="D486" s="540" t="n"/>
      <c r="E486" s="113" t="n"/>
      <c r="F486" s="537" t="n"/>
      <c r="G486" s="113" t="n"/>
    </row>
    <row r="487" ht="18.75" customHeight="1">
      <c r="A487" s="113" t="n"/>
      <c r="B487" s="540" t="n"/>
      <c r="C487" s="540" t="n"/>
      <c r="D487" s="540" t="n"/>
      <c r="E487" s="113" t="n"/>
      <c r="F487" s="537" t="n"/>
      <c r="G487" s="113" t="n"/>
    </row>
    <row r="488" ht="18.75" customHeight="1">
      <c r="A488" s="113" t="n"/>
      <c r="B488" s="540" t="n"/>
      <c r="C488" s="540" t="n"/>
      <c r="D488" s="540" t="n"/>
      <c r="E488" s="113" t="n"/>
      <c r="F488" s="537" t="n"/>
      <c r="G488" s="113" t="n"/>
    </row>
    <row r="489" ht="18.75" customHeight="1">
      <c r="A489" s="113" t="n"/>
      <c r="B489" s="540" t="n"/>
      <c r="C489" s="540" t="n"/>
      <c r="D489" s="540" t="n"/>
      <c r="E489" s="113" t="n"/>
      <c r="F489" s="537" t="n"/>
      <c r="G489" s="113" t="n"/>
    </row>
    <row r="490" ht="18.75" customHeight="1">
      <c r="A490" s="113" t="n"/>
      <c r="B490" s="540" t="n"/>
      <c r="C490" s="540" t="n"/>
      <c r="D490" s="540" t="n"/>
      <c r="E490" s="113" t="n"/>
      <c r="F490" s="537" t="n"/>
      <c r="G490" s="113" t="n"/>
    </row>
    <row r="491" ht="18.75" customHeight="1">
      <c r="A491" s="113" t="n"/>
      <c r="B491" s="540" t="n"/>
      <c r="C491" s="540" t="n"/>
      <c r="D491" s="540" t="n"/>
      <c r="E491" s="113" t="n"/>
      <c r="F491" s="537" t="n"/>
      <c r="G491" s="113" t="n"/>
    </row>
    <row r="492" ht="18.75" customHeight="1">
      <c r="A492" s="113" t="n"/>
      <c r="B492" s="540" t="n"/>
      <c r="C492" s="540" t="n"/>
      <c r="D492" s="540" t="n"/>
      <c r="E492" s="113" t="n"/>
      <c r="F492" s="537" t="n"/>
      <c r="G492" s="113" t="n"/>
    </row>
    <row r="493" ht="18.75" customHeight="1">
      <c r="A493" s="113" t="n"/>
      <c r="B493" s="540" t="n"/>
      <c r="C493" s="540" t="n"/>
      <c r="D493" s="540" t="n"/>
      <c r="E493" s="113" t="n"/>
      <c r="F493" s="537" t="n"/>
      <c r="G493" s="113" t="n"/>
    </row>
    <row r="494" ht="18.75" customHeight="1">
      <c r="A494" s="113" t="n"/>
      <c r="B494" s="540" t="n"/>
      <c r="C494" s="540" t="n"/>
      <c r="D494" s="540" t="n"/>
      <c r="E494" s="113" t="n"/>
      <c r="F494" s="537" t="n"/>
      <c r="G494" s="113" t="n"/>
    </row>
    <row r="495" ht="18.75" customHeight="1">
      <c r="A495" s="113" t="n"/>
      <c r="B495" s="540" t="n"/>
      <c r="C495" s="540" t="n"/>
      <c r="D495" s="540" t="n"/>
      <c r="E495" s="113" t="n"/>
      <c r="F495" s="537" t="n"/>
      <c r="G495" s="113" t="n"/>
    </row>
    <row r="496" ht="18.75" customHeight="1">
      <c r="A496" s="113" t="n"/>
      <c r="B496" s="540" t="n"/>
      <c r="C496" s="540" t="n"/>
      <c r="D496" s="540" t="n"/>
      <c r="E496" s="113" t="n"/>
      <c r="F496" s="537" t="n"/>
      <c r="G496" s="113" t="n"/>
    </row>
    <row r="497" ht="18.75" customHeight="1">
      <c r="A497" s="113" t="n"/>
      <c r="B497" s="540" t="n"/>
      <c r="C497" s="540" t="n"/>
      <c r="D497" s="540" t="n"/>
      <c r="E497" s="113" t="n"/>
      <c r="F497" s="537" t="n"/>
      <c r="G497" s="113" t="n"/>
    </row>
    <row r="498" ht="18.75" customHeight="1">
      <c r="A498" s="113" t="n"/>
      <c r="B498" s="540" t="n"/>
      <c r="C498" s="540" t="n"/>
      <c r="D498" s="540" t="n"/>
      <c r="E498" s="113" t="n"/>
      <c r="F498" s="537" t="n"/>
      <c r="G498" s="113" t="n"/>
    </row>
    <row r="499" ht="18.75" customHeight="1">
      <c r="A499" s="113" t="n"/>
      <c r="B499" s="540" t="n"/>
      <c r="C499" s="540" t="n"/>
      <c r="D499" s="540" t="n"/>
      <c r="E499" s="113" t="n"/>
      <c r="F499" s="537" t="n"/>
      <c r="G499" s="113" t="n"/>
    </row>
    <row r="500" ht="18.75" customHeight="1">
      <c r="A500" s="113" t="n"/>
      <c r="B500" s="540" t="n"/>
      <c r="C500" s="540" t="n"/>
      <c r="D500" s="540" t="n"/>
      <c r="E500" s="113" t="n"/>
      <c r="F500" s="537" t="n"/>
      <c r="G500" s="113" t="n"/>
    </row>
    <row r="501" ht="18.75" customHeight="1">
      <c r="A501" s="113" t="n"/>
      <c r="B501" s="540" t="n"/>
      <c r="C501" s="540" t="n"/>
      <c r="D501" s="540" t="n"/>
      <c r="E501" s="113" t="n"/>
      <c r="F501" s="537" t="n"/>
      <c r="G501" s="113" t="n"/>
    </row>
    <row r="502" ht="18.75" customHeight="1">
      <c r="A502" s="113" t="n"/>
      <c r="B502" s="540" t="n"/>
      <c r="C502" s="540" t="n"/>
      <c r="D502" s="540" t="n"/>
      <c r="E502" s="113" t="n"/>
      <c r="F502" s="537" t="n"/>
      <c r="G502" s="113" t="n"/>
    </row>
    <row r="503" ht="18.75" customHeight="1">
      <c r="A503" s="113" t="n"/>
      <c r="B503" s="540" t="n"/>
      <c r="C503" s="540" t="n"/>
      <c r="D503" s="540" t="n"/>
      <c r="E503" s="113" t="n"/>
      <c r="F503" s="537" t="n"/>
      <c r="G503" s="113" t="n"/>
    </row>
    <row r="504" ht="18.75" customHeight="1">
      <c r="A504" s="113" t="n"/>
      <c r="B504" s="540" t="n"/>
      <c r="C504" s="540" t="n"/>
      <c r="D504" s="540" t="n"/>
      <c r="E504" s="113" t="n"/>
      <c r="F504" s="537" t="n"/>
      <c r="G504" s="113" t="n"/>
    </row>
    <row r="505" ht="18.75" customHeight="1">
      <c r="A505" s="113" t="n"/>
      <c r="B505" s="540" t="n"/>
      <c r="C505" s="540" t="n"/>
      <c r="D505" s="540" t="n"/>
      <c r="E505" s="113" t="n"/>
      <c r="F505" s="537" t="n"/>
      <c r="G505" s="113" t="n"/>
    </row>
    <row r="506" ht="18.75" customHeight="1">
      <c r="A506" s="113" t="n"/>
      <c r="B506" s="540" t="n"/>
      <c r="C506" s="540" t="n"/>
      <c r="D506" s="540" t="n"/>
      <c r="E506" s="113" t="n"/>
      <c r="F506" s="537" t="n"/>
      <c r="G506" s="113" t="n"/>
    </row>
    <row r="507" ht="18.75" customHeight="1">
      <c r="A507" s="113" t="n"/>
      <c r="B507" s="540" t="n"/>
      <c r="C507" s="540" t="n"/>
      <c r="D507" s="540" t="n"/>
      <c r="E507" s="113" t="n"/>
      <c r="F507" s="537" t="n"/>
      <c r="G507" s="113" t="n"/>
    </row>
    <row r="508" ht="18.75" customHeight="1">
      <c r="A508" s="113" t="n"/>
      <c r="B508" s="540" t="n"/>
      <c r="C508" s="540" t="n"/>
      <c r="D508" s="540" t="n"/>
      <c r="E508" s="113" t="n"/>
      <c r="F508" s="537" t="n"/>
      <c r="G508" s="113" t="n"/>
    </row>
    <row r="509" ht="18.75" customHeight="1">
      <c r="A509" s="113" t="n"/>
      <c r="B509" s="540" t="n"/>
      <c r="C509" s="540" t="n"/>
      <c r="D509" s="540" t="n"/>
      <c r="E509" s="113" t="n"/>
      <c r="F509" s="537" t="n"/>
      <c r="G509" s="113" t="n"/>
    </row>
    <row r="510" ht="18.75" customHeight="1">
      <c r="A510" s="113" t="n"/>
      <c r="B510" s="540" t="n"/>
      <c r="C510" s="540" t="n"/>
      <c r="D510" s="540" t="n"/>
      <c r="E510" s="113" t="n"/>
      <c r="F510" s="537" t="n"/>
      <c r="G510" s="113" t="n"/>
    </row>
    <row r="511" ht="18.75" customHeight="1">
      <c r="A511" s="113" t="n"/>
      <c r="B511" s="540" t="n"/>
      <c r="C511" s="540" t="n"/>
      <c r="D511" s="540" t="n"/>
      <c r="E511" s="113" t="n"/>
      <c r="F511" s="537" t="n"/>
      <c r="G511" s="113" t="n"/>
    </row>
    <row r="512" ht="18.75" customHeight="1">
      <c r="A512" s="113" t="n"/>
      <c r="B512" s="540" t="n"/>
      <c r="C512" s="540" t="n"/>
      <c r="D512" s="540" t="n"/>
      <c r="E512" s="113" t="n"/>
      <c r="F512" s="537" t="n"/>
      <c r="G512" s="113" t="n"/>
    </row>
    <row r="513" ht="18.75" customHeight="1">
      <c r="A513" s="113" t="n"/>
      <c r="B513" s="540" t="n"/>
      <c r="C513" s="540" t="n"/>
      <c r="D513" s="540" t="n"/>
      <c r="E513" s="113" t="n"/>
      <c r="F513" s="537" t="n"/>
      <c r="G513" s="113" t="n"/>
    </row>
    <row r="514" ht="18.75" customHeight="1">
      <c r="A514" s="113" t="n"/>
      <c r="B514" s="540" t="n"/>
      <c r="C514" s="540" t="n"/>
      <c r="D514" s="540" t="n"/>
      <c r="E514" s="113" t="n"/>
      <c r="F514" s="537" t="n"/>
      <c r="G514" s="113" t="n"/>
    </row>
    <row r="515" ht="18.75" customHeight="1">
      <c r="A515" s="113" t="n"/>
      <c r="B515" s="540" t="n"/>
      <c r="C515" s="540" t="n"/>
      <c r="D515" s="540" t="n"/>
      <c r="E515" s="113" t="n"/>
      <c r="F515" s="537" t="n"/>
      <c r="G515" s="113" t="n"/>
    </row>
    <row r="516" ht="18.75" customHeight="1">
      <c r="A516" s="113" t="n"/>
      <c r="B516" s="540" t="n"/>
      <c r="C516" s="540" t="n"/>
      <c r="D516" s="540" t="n"/>
      <c r="E516" s="113" t="n"/>
      <c r="F516" s="537" t="n"/>
      <c r="G516" s="113" t="n"/>
    </row>
    <row r="517" ht="18.75" customHeight="1">
      <c r="A517" s="113" t="n"/>
      <c r="B517" s="540" t="n"/>
      <c r="C517" s="540" t="n"/>
      <c r="D517" s="540" t="n"/>
      <c r="E517" s="113" t="n"/>
      <c r="F517" s="537" t="n"/>
      <c r="G517" s="113" t="n"/>
    </row>
    <row r="518" ht="18.75" customHeight="1">
      <c r="A518" s="113" t="n"/>
      <c r="B518" s="540" t="n"/>
      <c r="C518" s="540" t="n"/>
      <c r="D518" s="540" t="n"/>
      <c r="E518" s="113" t="n"/>
      <c r="F518" s="537" t="n"/>
      <c r="G518" s="113" t="n"/>
    </row>
    <row r="519" ht="18.75" customHeight="1">
      <c r="A519" s="113" t="n"/>
      <c r="B519" s="540" t="n"/>
      <c r="C519" s="540" t="n"/>
      <c r="D519" s="540" t="n"/>
      <c r="E519" s="113" t="n"/>
      <c r="F519" s="537" t="n"/>
      <c r="G519" s="113" t="n"/>
    </row>
    <row r="520" ht="18.75" customHeight="1">
      <c r="A520" s="113" t="n"/>
      <c r="B520" s="540" t="n"/>
      <c r="C520" s="540" t="n"/>
      <c r="D520" s="540" t="n"/>
      <c r="E520" s="113" t="n"/>
      <c r="F520" s="537" t="n"/>
      <c r="G520" s="113" t="n"/>
    </row>
    <row r="521" ht="18.75" customHeight="1">
      <c r="A521" s="113" t="n"/>
      <c r="B521" s="540" t="n"/>
      <c r="C521" s="540" t="n"/>
      <c r="D521" s="540" t="n"/>
      <c r="E521" s="113" t="n"/>
      <c r="F521" s="537" t="n"/>
      <c r="G521" s="113" t="n"/>
    </row>
    <row r="522" ht="18.75" customHeight="1">
      <c r="A522" s="113" t="n"/>
      <c r="B522" s="540" t="n"/>
      <c r="C522" s="540" t="n"/>
      <c r="D522" s="540" t="n"/>
      <c r="E522" s="113" t="n"/>
      <c r="F522" s="537" t="n"/>
      <c r="G522" s="113" t="n"/>
    </row>
    <row r="523" ht="18.75" customHeight="1">
      <c r="A523" s="113" t="n"/>
      <c r="B523" s="540" t="n"/>
      <c r="C523" s="540" t="n"/>
      <c r="D523" s="540" t="n"/>
      <c r="E523" s="113" t="n"/>
      <c r="F523" s="537" t="n"/>
      <c r="G523" s="113" t="n"/>
    </row>
    <row r="524" ht="18.75" customHeight="1">
      <c r="A524" s="113" t="n"/>
      <c r="B524" s="540" t="n"/>
      <c r="C524" s="540" t="n"/>
      <c r="D524" s="540" t="n"/>
      <c r="E524" s="113" t="n"/>
      <c r="F524" s="537" t="n"/>
      <c r="G524" s="113" t="n"/>
    </row>
    <row r="525" ht="18.75" customHeight="1">
      <c r="A525" s="113" t="n"/>
      <c r="B525" s="540" t="n"/>
      <c r="C525" s="540" t="n"/>
      <c r="D525" s="540" t="n"/>
      <c r="E525" s="113" t="n"/>
      <c r="F525" s="537" t="n"/>
      <c r="G525" s="113" t="n"/>
    </row>
    <row r="526" ht="18.75" customHeight="1">
      <c r="A526" s="113" t="n"/>
      <c r="B526" s="540" t="n"/>
      <c r="C526" s="540" t="n"/>
      <c r="D526" s="540" t="n"/>
      <c r="E526" s="113" t="n"/>
      <c r="F526" s="537" t="n"/>
      <c r="G526" s="113" t="n"/>
    </row>
    <row r="527" ht="18.75" customHeight="1">
      <c r="A527" s="113" t="n"/>
      <c r="B527" s="540" t="n"/>
      <c r="C527" s="540" t="n"/>
      <c r="D527" s="540" t="n"/>
      <c r="E527" s="113" t="n"/>
      <c r="F527" s="537" t="n"/>
      <c r="G527" s="113" t="n"/>
    </row>
    <row r="528" ht="18.75" customHeight="1">
      <c r="A528" s="113" t="n"/>
      <c r="B528" s="540" t="n"/>
      <c r="C528" s="540" t="n"/>
      <c r="D528" s="540" t="n"/>
      <c r="E528" s="113" t="n"/>
      <c r="F528" s="537" t="n"/>
      <c r="G528" s="113" t="n"/>
    </row>
    <row r="529" ht="18.75" customHeight="1">
      <c r="A529" s="113" t="n"/>
      <c r="B529" s="540" t="n"/>
      <c r="C529" s="540" t="n"/>
      <c r="D529" s="540" t="n"/>
      <c r="E529" s="113" t="n"/>
      <c r="F529" s="537" t="n"/>
      <c r="G529" s="113" t="n"/>
    </row>
    <row r="530" ht="18.75" customHeight="1">
      <c r="A530" s="113" t="n"/>
      <c r="B530" s="540" t="n"/>
      <c r="C530" s="540" t="n"/>
      <c r="D530" s="540" t="n"/>
      <c r="E530" s="113" t="n"/>
      <c r="F530" s="537" t="n"/>
      <c r="G530" s="113" t="n"/>
    </row>
    <row r="531" ht="18.75" customHeight="1">
      <c r="A531" s="113" t="n"/>
      <c r="B531" s="540" t="n"/>
      <c r="C531" s="540" t="n"/>
      <c r="D531" s="540" t="n"/>
      <c r="E531" s="113" t="n"/>
      <c r="F531" s="537" t="n"/>
      <c r="G531" s="113" t="n"/>
    </row>
    <row r="532" ht="18.75" customHeight="1">
      <c r="A532" s="113" t="n"/>
      <c r="B532" s="540" t="n"/>
      <c r="C532" s="540" t="n"/>
      <c r="D532" s="540" t="n"/>
      <c r="E532" s="113" t="n"/>
      <c r="F532" s="537" t="n"/>
      <c r="G532" s="113" t="n"/>
    </row>
    <row r="533" ht="18.75" customHeight="1">
      <c r="A533" s="113" t="n"/>
      <c r="B533" s="540" t="n"/>
      <c r="C533" s="540" t="n"/>
      <c r="D533" s="540" t="n"/>
      <c r="E533" s="113" t="n"/>
      <c r="F533" s="537" t="n"/>
      <c r="G533" s="113" t="n"/>
    </row>
    <row r="534" ht="18.75" customHeight="1">
      <c r="A534" s="113" t="n"/>
      <c r="B534" s="540" t="n"/>
      <c r="C534" s="540" t="n"/>
      <c r="D534" s="540" t="n"/>
      <c r="E534" s="113" t="n"/>
      <c r="F534" s="537" t="n"/>
      <c r="G534" s="113" t="n"/>
    </row>
    <row r="535" ht="18.75" customHeight="1">
      <c r="A535" s="113" t="n"/>
      <c r="B535" s="540" t="n"/>
      <c r="C535" s="540" t="n"/>
      <c r="D535" s="540" t="n"/>
      <c r="E535" s="113" t="n"/>
      <c r="F535" s="537" t="n"/>
      <c r="G535" s="113" t="n"/>
    </row>
    <row r="536" ht="18.75" customHeight="1">
      <c r="A536" s="113" t="n"/>
      <c r="B536" s="540" t="n"/>
      <c r="C536" s="540" t="n"/>
      <c r="D536" s="540" t="n"/>
      <c r="E536" s="113" t="n"/>
      <c r="F536" s="537" t="n"/>
      <c r="G536" s="113" t="n"/>
    </row>
    <row r="537" ht="18.75" customHeight="1">
      <c r="A537" s="113" t="n"/>
      <c r="B537" s="540" t="n"/>
      <c r="C537" s="540" t="n"/>
      <c r="D537" s="540" t="n"/>
      <c r="E537" s="113" t="n"/>
      <c r="F537" s="537" t="n"/>
      <c r="G537" s="113" t="n"/>
    </row>
    <row r="538" ht="18.75" customHeight="1">
      <c r="A538" s="113" t="n"/>
      <c r="B538" s="540" t="n"/>
      <c r="C538" s="540" t="n"/>
      <c r="D538" s="540" t="n"/>
      <c r="E538" s="113" t="n"/>
      <c r="F538" s="537" t="n"/>
      <c r="G538" s="113" t="n"/>
    </row>
    <row r="539" ht="18.75" customHeight="1">
      <c r="A539" s="113" t="n"/>
      <c r="B539" s="540" t="n"/>
      <c r="C539" s="540" t="n"/>
      <c r="D539" s="540" t="n"/>
      <c r="E539" s="113" t="n"/>
      <c r="F539" s="537" t="n"/>
      <c r="G539" s="113" t="n"/>
    </row>
    <row r="540" ht="18.75" customHeight="1">
      <c r="A540" s="113" t="n"/>
      <c r="B540" s="540" t="n"/>
      <c r="C540" s="540" t="n"/>
      <c r="D540" s="540" t="n"/>
      <c r="E540" s="113" t="n"/>
      <c r="F540" s="537" t="n"/>
      <c r="G540" s="113" t="n"/>
    </row>
    <row r="541" ht="18.75" customHeight="1">
      <c r="A541" s="113" t="n"/>
      <c r="B541" s="540" t="n"/>
      <c r="C541" s="540" t="n"/>
      <c r="D541" s="540" t="n"/>
      <c r="E541" s="113" t="n"/>
      <c r="F541" s="537" t="n"/>
      <c r="G541" s="113" t="n"/>
    </row>
    <row r="542" ht="18.75" customHeight="1">
      <c r="A542" s="113" t="n"/>
      <c r="B542" s="540" t="n"/>
      <c r="C542" s="540" t="n"/>
      <c r="D542" s="540" t="n"/>
      <c r="E542" s="113" t="n"/>
      <c r="F542" s="537" t="n"/>
      <c r="G542" s="113" t="n"/>
    </row>
    <row r="543" ht="18.75" customHeight="1">
      <c r="A543" s="113" t="n"/>
      <c r="B543" s="540" t="n"/>
      <c r="C543" s="540" t="n"/>
      <c r="D543" s="540" t="n"/>
      <c r="E543" s="113" t="n"/>
      <c r="F543" s="537" t="n"/>
      <c r="G543" s="113" t="n"/>
    </row>
    <row r="544" ht="18.75" customHeight="1">
      <c r="A544" s="113" t="n"/>
      <c r="B544" s="540" t="n"/>
      <c r="C544" s="540" t="n"/>
      <c r="D544" s="540" t="n"/>
      <c r="E544" s="113" t="n"/>
      <c r="F544" s="537" t="n"/>
      <c r="G544" s="113" t="n"/>
    </row>
    <row r="545" ht="18.75" customHeight="1">
      <c r="A545" s="113" t="n"/>
      <c r="B545" s="540" t="n"/>
      <c r="C545" s="540" t="n"/>
      <c r="D545" s="540" t="n"/>
      <c r="E545" s="113" t="n"/>
      <c r="F545" s="537" t="n"/>
      <c r="G545" s="113" t="n"/>
    </row>
    <row r="546" ht="18.75" customHeight="1">
      <c r="A546" s="113" t="n"/>
      <c r="B546" s="540" t="n"/>
      <c r="C546" s="540" t="n"/>
      <c r="D546" s="540" t="n"/>
      <c r="E546" s="113" t="n"/>
      <c r="F546" s="537" t="n"/>
      <c r="G546" s="113" t="n"/>
    </row>
    <row r="547" ht="18.75" customHeight="1">
      <c r="A547" s="113" t="n"/>
      <c r="B547" s="540" t="n"/>
      <c r="C547" s="540" t="n"/>
      <c r="D547" s="540" t="n"/>
      <c r="E547" s="113" t="n"/>
      <c r="F547" s="537" t="n"/>
      <c r="G547" s="113" t="n"/>
    </row>
    <row r="548" ht="18.75" customHeight="1">
      <c r="A548" s="113" t="n"/>
      <c r="B548" s="540" t="n"/>
      <c r="C548" s="540" t="n"/>
      <c r="D548" s="540" t="n"/>
      <c r="E548" s="113" t="n"/>
      <c r="F548" s="537" t="n"/>
      <c r="G548" s="113" t="n"/>
    </row>
    <row r="549" ht="18.75" customHeight="1">
      <c r="A549" s="113" t="n"/>
      <c r="B549" s="540" t="n"/>
      <c r="C549" s="540" t="n"/>
      <c r="D549" s="540" t="n"/>
      <c r="E549" s="113" t="n"/>
      <c r="F549" s="537" t="n"/>
      <c r="G549" s="113" t="n"/>
    </row>
    <row r="550" ht="18.75" customHeight="1">
      <c r="A550" s="113" t="n"/>
      <c r="B550" s="540" t="n"/>
      <c r="C550" s="540" t="n"/>
      <c r="D550" s="540" t="n"/>
      <c r="E550" s="113" t="n"/>
      <c r="F550" s="537" t="n"/>
      <c r="G550" s="113" t="n"/>
    </row>
    <row r="551" ht="18.75" customHeight="1">
      <c r="A551" s="113" t="n"/>
      <c r="B551" s="540" t="n"/>
      <c r="C551" s="540" t="n"/>
      <c r="D551" s="540" t="n"/>
      <c r="E551" s="113" t="n"/>
      <c r="F551" s="537" t="n"/>
      <c r="G551" s="113" t="n"/>
    </row>
    <row r="552" ht="18.75" customHeight="1">
      <c r="A552" s="113" t="n"/>
      <c r="B552" s="540" t="n"/>
      <c r="C552" s="540" t="n"/>
      <c r="D552" s="540" t="n"/>
      <c r="E552" s="113" t="n"/>
      <c r="F552" s="537" t="n"/>
      <c r="G552" s="113" t="n"/>
    </row>
    <row r="553" ht="18.75" customHeight="1">
      <c r="A553" s="113" t="n"/>
      <c r="B553" s="540" t="n"/>
      <c r="C553" s="540" t="n"/>
      <c r="D553" s="540" t="n"/>
      <c r="E553" s="113" t="n"/>
      <c r="F553" s="537" t="n"/>
      <c r="G553" s="113" t="n"/>
    </row>
    <row r="554" ht="18.75" customHeight="1">
      <c r="A554" s="113" t="n"/>
      <c r="B554" s="540" t="n"/>
      <c r="C554" s="540" t="n"/>
      <c r="D554" s="540" t="n"/>
      <c r="E554" s="113" t="n"/>
      <c r="F554" s="537" t="n"/>
      <c r="G554" s="113" t="n"/>
    </row>
    <row r="555" ht="18.75" customHeight="1">
      <c r="A555" s="113" t="n"/>
      <c r="B555" s="540" t="n"/>
      <c r="C555" s="540" t="n"/>
      <c r="D555" s="540" t="n"/>
      <c r="E555" s="113" t="n"/>
      <c r="F555" s="537" t="n"/>
      <c r="G555" s="113" t="n"/>
    </row>
    <row r="556" ht="18.75" customHeight="1">
      <c r="A556" s="113" t="n"/>
      <c r="B556" s="540" t="n"/>
      <c r="C556" s="540" t="n"/>
      <c r="D556" s="540" t="n"/>
      <c r="E556" s="113" t="n"/>
      <c r="F556" s="537" t="n"/>
      <c r="G556" s="113" t="n"/>
    </row>
    <row r="557" ht="18.75" customHeight="1">
      <c r="A557" s="113" t="n"/>
      <c r="B557" s="540" t="n"/>
      <c r="C557" s="540" t="n"/>
      <c r="D557" s="540" t="n"/>
      <c r="E557" s="113" t="n"/>
      <c r="F557" s="537" t="n"/>
      <c r="G557" s="113" t="n"/>
    </row>
    <row r="558" ht="18.75" customHeight="1">
      <c r="A558" s="113" t="n"/>
      <c r="B558" s="540" t="n"/>
      <c r="C558" s="540" t="n"/>
      <c r="D558" s="540" t="n"/>
      <c r="E558" s="113" t="n"/>
      <c r="F558" s="537" t="n"/>
      <c r="G558" s="113" t="n"/>
    </row>
    <row r="559" ht="18.75" customHeight="1">
      <c r="A559" s="113" t="n"/>
      <c r="B559" s="540" t="n"/>
      <c r="C559" s="540" t="n"/>
      <c r="D559" s="540" t="n"/>
      <c r="E559" s="113" t="n"/>
      <c r="F559" s="537" t="n"/>
      <c r="G559" s="113" t="n"/>
    </row>
    <row r="560" ht="18.75" customHeight="1">
      <c r="A560" s="113" t="n"/>
      <c r="B560" s="540" t="n"/>
      <c r="C560" s="540" t="n"/>
      <c r="D560" s="540" t="n"/>
      <c r="E560" s="113" t="n"/>
      <c r="F560" s="537" t="n"/>
      <c r="G560" s="113" t="n"/>
    </row>
    <row r="561" ht="18.75" customHeight="1">
      <c r="A561" s="113" t="n"/>
      <c r="B561" s="540" t="n"/>
      <c r="C561" s="540" t="n"/>
      <c r="D561" s="540" t="n"/>
      <c r="E561" s="113" t="n"/>
      <c r="F561" s="537" t="n"/>
      <c r="G561" s="113" t="n"/>
    </row>
    <row r="562" ht="18.75" customHeight="1">
      <c r="A562" s="113" t="n"/>
      <c r="B562" s="540" t="n"/>
      <c r="C562" s="540" t="n"/>
      <c r="D562" s="540" t="n"/>
      <c r="E562" s="113" t="n"/>
      <c r="F562" s="537" t="n"/>
      <c r="G562" s="113" t="n"/>
    </row>
    <row r="563" ht="18.75" customHeight="1">
      <c r="A563" s="113" t="n"/>
      <c r="B563" s="540" t="n"/>
      <c r="C563" s="540" t="n"/>
      <c r="D563" s="540" t="n"/>
      <c r="E563" s="113" t="n"/>
      <c r="F563" s="537" t="n"/>
      <c r="G563" s="113" t="n"/>
    </row>
    <row r="564" ht="18.75" customHeight="1">
      <c r="A564" s="113" t="n"/>
      <c r="B564" s="540" t="n"/>
      <c r="C564" s="540" t="n"/>
      <c r="D564" s="540" t="n"/>
      <c r="E564" s="113" t="n"/>
      <c r="F564" s="537" t="n"/>
      <c r="G564" s="113" t="n"/>
    </row>
    <row r="565" ht="18.75" customHeight="1">
      <c r="A565" s="113" t="n"/>
      <c r="B565" s="540" t="n"/>
      <c r="C565" s="540" t="n"/>
      <c r="D565" s="540" t="n"/>
      <c r="E565" s="113" t="n"/>
      <c r="F565" s="537" t="n"/>
      <c r="G565" s="113" t="n"/>
    </row>
    <row r="566" ht="18.75" customHeight="1">
      <c r="A566" s="113" t="n"/>
      <c r="B566" s="540" t="n"/>
      <c r="C566" s="540" t="n"/>
      <c r="D566" s="540" t="n"/>
      <c r="E566" s="113" t="n"/>
      <c r="F566" s="537" t="n"/>
      <c r="G566" s="113" t="n"/>
    </row>
    <row r="567" ht="18.75" customHeight="1">
      <c r="A567" s="113" t="n"/>
      <c r="B567" s="540" t="n"/>
      <c r="C567" s="540" t="n"/>
      <c r="D567" s="540" t="n"/>
      <c r="E567" s="113" t="n"/>
      <c r="F567" s="537" t="n"/>
      <c r="G567" s="113" t="n"/>
    </row>
    <row r="568" ht="18.75" customHeight="1">
      <c r="A568" s="113" t="n"/>
      <c r="B568" s="540" t="n"/>
      <c r="C568" s="540" t="n"/>
      <c r="D568" s="540" t="n"/>
      <c r="E568" s="113" t="n"/>
      <c r="F568" s="537" t="n"/>
      <c r="G568" s="113" t="n"/>
    </row>
    <row r="569" ht="18.75" customHeight="1">
      <c r="A569" s="113" t="n"/>
      <c r="B569" s="540" t="n"/>
      <c r="C569" s="540" t="n"/>
      <c r="D569" s="540" t="n"/>
      <c r="E569" s="113" t="n"/>
      <c r="F569" s="537" t="n"/>
      <c r="G569" s="113" t="n"/>
    </row>
    <row r="570" ht="18.75" customHeight="1">
      <c r="A570" s="113" t="n"/>
      <c r="B570" s="540" t="n"/>
      <c r="C570" s="540" t="n"/>
      <c r="D570" s="540" t="n"/>
      <c r="E570" s="113" t="n"/>
      <c r="F570" s="537" t="n"/>
      <c r="G570" s="113" t="n"/>
    </row>
    <row r="571" ht="18.75" customHeight="1">
      <c r="A571" s="113" t="n"/>
      <c r="B571" s="540" t="n"/>
      <c r="C571" s="540" t="n"/>
      <c r="D571" s="540" t="n"/>
      <c r="E571" s="113" t="n"/>
      <c r="F571" s="537" t="n"/>
      <c r="G571" s="113" t="n"/>
    </row>
    <row r="572" ht="18.75" customHeight="1">
      <c r="A572" s="113" t="n"/>
      <c r="B572" s="540" t="n"/>
      <c r="C572" s="540" t="n"/>
      <c r="D572" s="540" t="n"/>
      <c r="E572" s="113" t="n"/>
      <c r="F572" s="537" t="n"/>
      <c r="G572" s="113" t="n"/>
    </row>
    <row r="573" ht="18.75" customHeight="1">
      <c r="A573" s="113" t="n"/>
      <c r="B573" s="540" t="n"/>
      <c r="C573" s="540" t="n"/>
      <c r="D573" s="540" t="n"/>
      <c r="E573" s="113" t="n"/>
      <c r="F573" s="537" t="n"/>
      <c r="G573" s="113" t="n"/>
    </row>
    <row r="574" ht="18.75" customHeight="1">
      <c r="A574" s="113" t="n"/>
      <c r="B574" s="540" t="n"/>
      <c r="C574" s="540" t="n"/>
      <c r="D574" s="540" t="n"/>
      <c r="E574" s="113" t="n"/>
      <c r="F574" s="537" t="n"/>
      <c r="G574" s="113" t="n"/>
    </row>
    <row r="575" ht="18.75" customHeight="1">
      <c r="A575" s="113" t="n"/>
      <c r="B575" s="540" t="n"/>
      <c r="C575" s="540" t="n"/>
      <c r="D575" s="540" t="n"/>
      <c r="E575" s="113" t="n"/>
      <c r="F575" s="537" t="n"/>
      <c r="G575" s="113" t="n"/>
    </row>
    <row r="576" ht="18.75" customHeight="1">
      <c r="A576" s="113" t="n"/>
      <c r="B576" s="540" t="n"/>
      <c r="C576" s="540" t="n"/>
      <c r="D576" s="540" t="n"/>
      <c r="E576" s="113" t="n"/>
      <c r="F576" s="537" t="n"/>
      <c r="G576" s="113" t="n"/>
    </row>
    <row r="577" ht="18.75" customHeight="1">
      <c r="A577" s="113" t="n"/>
      <c r="B577" s="540" t="n"/>
      <c r="C577" s="540" t="n"/>
      <c r="D577" s="540" t="n"/>
      <c r="E577" s="113" t="n"/>
      <c r="F577" s="537" t="n"/>
      <c r="G577" s="113" t="n"/>
    </row>
    <row r="578" ht="18.75" customHeight="1">
      <c r="A578" s="113" t="n"/>
      <c r="B578" s="540" t="n"/>
      <c r="C578" s="540" t="n"/>
      <c r="D578" s="540" t="n"/>
      <c r="E578" s="113" t="n"/>
      <c r="F578" s="537" t="n"/>
      <c r="G578" s="113" t="n"/>
    </row>
    <row r="579" ht="18.75" customHeight="1">
      <c r="A579" s="113" t="n"/>
      <c r="B579" s="540" t="n"/>
      <c r="C579" s="540" t="n"/>
      <c r="D579" s="540" t="n"/>
      <c r="E579" s="113" t="n"/>
      <c r="F579" s="537" t="n"/>
      <c r="G579" s="113" t="n"/>
    </row>
    <row r="580" ht="18.75" customHeight="1">
      <c r="A580" s="113" t="n"/>
      <c r="B580" s="540" t="n"/>
      <c r="C580" s="540" t="n"/>
      <c r="D580" s="540" t="n"/>
      <c r="E580" s="113" t="n"/>
      <c r="F580" s="537" t="n"/>
      <c r="G580" s="113" t="n"/>
    </row>
    <row r="581" ht="18.75" customHeight="1">
      <c r="A581" s="113" t="n"/>
      <c r="B581" s="540" t="n"/>
      <c r="C581" s="540" t="n"/>
      <c r="D581" s="540" t="n"/>
      <c r="E581" s="113" t="n"/>
      <c r="F581" s="537" t="n"/>
      <c r="G581" s="113" t="n"/>
    </row>
    <row r="582" ht="18.75" customHeight="1">
      <c r="A582" s="113" t="n"/>
      <c r="B582" s="540" t="n"/>
      <c r="C582" s="540" t="n"/>
      <c r="D582" s="540" t="n"/>
      <c r="E582" s="113" t="n"/>
      <c r="F582" s="537" t="n"/>
      <c r="G582" s="113" t="n"/>
    </row>
    <row r="583" ht="18.75" customHeight="1">
      <c r="A583" s="113" t="n"/>
      <c r="B583" s="540" t="n"/>
      <c r="C583" s="540" t="n"/>
      <c r="D583" s="540" t="n"/>
      <c r="E583" s="113" t="n"/>
      <c r="F583" s="537" t="n"/>
      <c r="G583" s="113" t="n"/>
    </row>
    <row r="584" ht="18.75" customHeight="1">
      <c r="A584" s="113" t="n"/>
      <c r="B584" s="540" t="n"/>
      <c r="C584" s="540" t="n"/>
      <c r="D584" s="540" t="n"/>
      <c r="E584" s="113" t="n"/>
      <c r="F584" s="537" t="n"/>
      <c r="G584" s="113" t="n"/>
    </row>
    <row r="585" ht="18.75" customHeight="1">
      <c r="A585" s="113" t="n"/>
      <c r="B585" s="540" t="n"/>
      <c r="C585" s="540" t="n"/>
      <c r="D585" s="540" t="n"/>
      <c r="E585" s="113" t="n"/>
      <c r="F585" s="537" t="n"/>
      <c r="G585" s="113" t="n"/>
    </row>
    <row r="586" ht="18.75" customHeight="1">
      <c r="A586" s="113" t="n"/>
      <c r="B586" s="540" t="n"/>
      <c r="C586" s="540" t="n"/>
      <c r="D586" s="540" t="n"/>
      <c r="E586" s="113" t="n"/>
      <c r="F586" s="537" t="n"/>
      <c r="G586" s="113" t="n"/>
    </row>
    <row r="587" ht="18.75" customHeight="1">
      <c r="A587" s="113" t="n"/>
      <c r="B587" s="540" t="n"/>
      <c r="C587" s="540" t="n"/>
      <c r="D587" s="540" t="n"/>
      <c r="E587" s="113" t="n"/>
      <c r="F587" s="537" t="n"/>
      <c r="G587" s="113" t="n"/>
    </row>
    <row r="588" ht="18.75" customHeight="1">
      <c r="A588" s="113" t="n"/>
      <c r="B588" s="540" t="n"/>
      <c r="C588" s="540" t="n"/>
      <c r="D588" s="540" t="n"/>
      <c r="E588" s="113" t="n"/>
      <c r="F588" s="537" t="n"/>
      <c r="G588" s="113" t="n"/>
    </row>
    <row r="589" ht="18.75" customHeight="1">
      <c r="A589" s="113" t="n"/>
      <c r="B589" s="540" t="n"/>
      <c r="C589" s="540" t="n"/>
      <c r="D589" s="540" t="n"/>
      <c r="E589" s="113" t="n"/>
      <c r="F589" s="537" t="n"/>
      <c r="G589" s="113" t="n"/>
    </row>
    <row r="590" ht="18.75" customHeight="1">
      <c r="A590" s="113" t="n"/>
      <c r="B590" s="540" t="n"/>
      <c r="C590" s="540" t="n"/>
      <c r="D590" s="540" t="n"/>
      <c r="E590" s="113" t="n"/>
      <c r="F590" s="537" t="n"/>
      <c r="G590" s="113" t="n"/>
    </row>
    <row r="591" ht="18.75" customHeight="1">
      <c r="A591" s="113" t="n"/>
      <c r="B591" s="540" t="n"/>
      <c r="C591" s="540" t="n"/>
      <c r="D591" s="540" t="n"/>
      <c r="E591" s="113" t="n"/>
      <c r="F591" s="537" t="n"/>
      <c r="G591" s="113" t="n"/>
    </row>
    <row r="592" ht="18.75" customHeight="1">
      <c r="A592" s="113" t="n"/>
      <c r="B592" s="540" t="n"/>
      <c r="C592" s="540" t="n"/>
      <c r="D592" s="540" t="n"/>
      <c r="E592" s="113" t="n"/>
      <c r="F592" s="537" t="n"/>
      <c r="G592" s="113" t="n"/>
    </row>
    <row r="593" ht="18.75" customHeight="1">
      <c r="A593" s="113" t="n"/>
      <c r="B593" s="540" t="n"/>
      <c r="C593" s="540" t="n"/>
      <c r="D593" s="540" t="n"/>
      <c r="E593" s="113" t="n"/>
      <c r="F593" s="537" t="n"/>
      <c r="G593" s="113" t="n"/>
    </row>
    <row r="594" ht="18.75" customHeight="1">
      <c r="A594" s="113" t="n"/>
      <c r="B594" s="540" t="n"/>
      <c r="C594" s="540" t="n"/>
      <c r="D594" s="540" t="n"/>
      <c r="E594" s="113" t="n"/>
      <c r="F594" s="537" t="n"/>
      <c r="G594" s="113" t="n"/>
    </row>
    <row r="595" ht="18.75" customHeight="1">
      <c r="A595" s="113" t="n"/>
      <c r="B595" s="540" t="n"/>
      <c r="C595" s="540" t="n"/>
      <c r="D595" s="540" t="n"/>
      <c r="E595" s="113" t="n"/>
      <c r="F595" s="537" t="n"/>
      <c r="G595" s="113" t="n"/>
    </row>
    <row r="596" ht="18.75" customHeight="1">
      <c r="A596" s="113" t="n"/>
      <c r="B596" s="540" t="n"/>
      <c r="C596" s="540" t="n"/>
      <c r="D596" s="540" t="n"/>
      <c r="E596" s="113" t="n"/>
      <c r="F596" s="537" t="n"/>
      <c r="G596" s="113" t="n"/>
    </row>
    <row r="597" ht="18.75" customHeight="1">
      <c r="A597" s="113" t="n"/>
      <c r="B597" s="540" t="n"/>
      <c r="C597" s="540" t="n"/>
      <c r="D597" s="540" t="n"/>
      <c r="E597" s="113" t="n"/>
      <c r="F597" s="537" t="n"/>
      <c r="G597" s="113" t="n"/>
    </row>
    <row r="598" ht="18.75" customHeight="1">
      <c r="A598" s="113" t="n"/>
      <c r="B598" s="540" t="n"/>
      <c r="C598" s="540" t="n"/>
      <c r="D598" s="540" t="n"/>
      <c r="E598" s="113" t="n"/>
      <c r="F598" s="537" t="n"/>
      <c r="G598" s="113" t="n"/>
    </row>
    <row r="599" ht="18.75" customHeight="1">
      <c r="A599" s="113" t="n"/>
      <c r="B599" s="540" t="n"/>
      <c r="C599" s="540" t="n"/>
      <c r="D599" s="540" t="n"/>
      <c r="E599" s="113" t="n"/>
      <c r="F599" s="537" t="n"/>
      <c r="G599" s="113" t="n"/>
    </row>
    <row r="600" ht="18.75" customHeight="1">
      <c r="A600" s="113" t="n"/>
      <c r="B600" s="540" t="n"/>
      <c r="C600" s="540" t="n"/>
      <c r="D600" s="540" t="n"/>
      <c r="E600" s="113" t="n"/>
      <c r="F600" s="537" t="n"/>
      <c r="G600" s="113" t="n"/>
    </row>
    <row r="601" ht="18.75" customHeight="1">
      <c r="A601" s="113" t="n"/>
      <c r="B601" s="540" t="n"/>
      <c r="C601" s="540" t="n"/>
      <c r="D601" s="540" t="n"/>
      <c r="E601" s="113" t="n"/>
      <c r="F601" s="537" t="n"/>
      <c r="G601" s="113" t="n"/>
    </row>
    <row r="602" ht="18.75" customHeight="1">
      <c r="A602" s="113" t="n"/>
      <c r="B602" s="540" t="n"/>
      <c r="C602" s="540" t="n"/>
      <c r="D602" s="540" t="n"/>
      <c r="E602" s="113" t="n"/>
      <c r="F602" s="537" t="n"/>
      <c r="G602" s="113" t="n"/>
    </row>
    <row r="603" ht="18.75" customHeight="1">
      <c r="A603" s="113" t="n"/>
      <c r="B603" s="540" t="n"/>
      <c r="C603" s="540" t="n"/>
      <c r="D603" s="540" t="n"/>
      <c r="E603" s="113" t="n"/>
      <c r="F603" s="537" t="n"/>
      <c r="G603" s="113" t="n"/>
    </row>
    <row r="604" ht="18.75" customHeight="1">
      <c r="A604" s="113" t="n"/>
      <c r="B604" s="540" t="n"/>
      <c r="C604" s="540" t="n"/>
      <c r="D604" s="540" t="n"/>
      <c r="E604" s="113" t="n"/>
      <c r="F604" s="537" t="n"/>
      <c r="G604" s="113" t="n"/>
    </row>
    <row r="605" ht="18.75" customHeight="1">
      <c r="A605" s="113" t="n"/>
      <c r="B605" s="540" t="n"/>
      <c r="C605" s="540" t="n"/>
      <c r="D605" s="540" t="n"/>
      <c r="E605" s="113" t="n"/>
      <c r="F605" s="537" t="n"/>
      <c r="G605" s="113" t="n"/>
    </row>
    <row r="606" ht="18.75" customHeight="1">
      <c r="A606" s="113" t="n"/>
      <c r="B606" s="540" t="n"/>
      <c r="C606" s="540" t="n"/>
      <c r="D606" s="540" t="n"/>
      <c r="E606" s="113" t="n"/>
      <c r="F606" s="537" t="n"/>
      <c r="G606" s="113" t="n"/>
    </row>
    <row r="607" ht="18.75" customHeight="1">
      <c r="A607" s="113" t="n"/>
      <c r="B607" s="540" t="n"/>
      <c r="C607" s="540" t="n"/>
      <c r="D607" s="540" t="n"/>
      <c r="E607" s="113" t="n"/>
      <c r="F607" s="537" t="n"/>
      <c r="G607" s="113" t="n"/>
    </row>
    <row r="608" ht="18.75" customHeight="1">
      <c r="A608" s="113" t="n"/>
      <c r="B608" s="540" t="n"/>
      <c r="C608" s="540" t="n"/>
      <c r="D608" s="540" t="n"/>
      <c r="E608" s="113" t="n"/>
      <c r="F608" s="537" t="n"/>
      <c r="G608" s="113" t="n"/>
    </row>
    <row r="609" ht="18.75" customHeight="1">
      <c r="A609" s="113" t="n"/>
      <c r="B609" s="540" t="n"/>
      <c r="C609" s="540" t="n"/>
      <c r="D609" s="540" t="n"/>
      <c r="E609" s="113" t="n"/>
      <c r="F609" s="537" t="n"/>
      <c r="G609" s="113" t="n"/>
    </row>
    <row r="610" ht="18.75" customHeight="1">
      <c r="A610" s="113" t="n"/>
      <c r="B610" s="540" t="n"/>
      <c r="C610" s="540" t="n"/>
      <c r="D610" s="540" t="n"/>
      <c r="E610" s="113" t="n"/>
      <c r="F610" s="537" t="n"/>
      <c r="G610" s="113" t="n"/>
    </row>
    <row r="611" ht="18.75" customHeight="1">
      <c r="A611" s="113" t="n"/>
      <c r="B611" s="540" t="n"/>
      <c r="C611" s="540" t="n"/>
      <c r="D611" s="540" t="n"/>
      <c r="E611" s="113" t="n"/>
      <c r="F611" s="537" t="n"/>
      <c r="G611" s="113" t="n"/>
    </row>
    <row r="612" ht="18.75" customHeight="1">
      <c r="A612" s="113" t="n"/>
      <c r="B612" s="540" t="n"/>
      <c r="C612" s="540" t="n"/>
      <c r="D612" s="540" t="n"/>
      <c r="E612" s="113" t="n"/>
      <c r="F612" s="537" t="n"/>
      <c r="G612" s="113" t="n"/>
    </row>
    <row r="613" ht="18.75" customHeight="1">
      <c r="A613" s="113" t="n"/>
      <c r="B613" s="540" t="n"/>
      <c r="C613" s="540" t="n"/>
      <c r="D613" s="540" t="n"/>
      <c r="E613" s="113" t="n"/>
      <c r="F613" s="537" t="n"/>
      <c r="G613" s="113" t="n"/>
    </row>
    <row r="614" ht="18.75" customHeight="1">
      <c r="A614" s="113" t="n"/>
      <c r="B614" s="540" t="n"/>
      <c r="C614" s="540" t="n"/>
      <c r="D614" s="540" t="n"/>
      <c r="E614" s="113" t="n"/>
      <c r="F614" s="537" t="n"/>
      <c r="G614" s="113" t="n"/>
    </row>
    <row r="615" ht="18.75" customHeight="1">
      <c r="A615" s="113" t="n"/>
      <c r="B615" s="540" t="n"/>
      <c r="C615" s="540" t="n"/>
      <c r="D615" s="540" t="n"/>
      <c r="E615" s="113" t="n"/>
      <c r="F615" s="537" t="n"/>
      <c r="G615" s="113" t="n"/>
    </row>
    <row r="616" ht="18.75" customHeight="1">
      <c r="A616" s="113" t="n"/>
      <c r="B616" s="540" t="n"/>
      <c r="C616" s="540" t="n"/>
      <c r="D616" s="540" t="n"/>
      <c r="E616" s="113" t="n"/>
      <c r="F616" s="537" t="n"/>
      <c r="G616" s="113" t="n"/>
    </row>
    <row r="617" ht="18.75" customHeight="1">
      <c r="A617" s="113" t="n"/>
      <c r="B617" s="540" t="n"/>
      <c r="C617" s="540" t="n"/>
      <c r="D617" s="540" t="n"/>
      <c r="E617" s="113" t="n"/>
      <c r="F617" s="537" t="n"/>
      <c r="G617" s="113" t="n"/>
    </row>
    <row r="618" ht="18.75" customHeight="1">
      <c r="A618" s="113" t="n"/>
      <c r="B618" s="540" t="n"/>
      <c r="C618" s="540" t="n"/>
      <c r="D618" s="540" t="n"/>
      <c r="E618" s="113" t="n"/>
      <c r="F618" s="537" t="n"/>
      <c r="G618" s="113" t="n"/>
    </row>
    <row r="619" ht="18.75" customHeight="1">
      <c r="A619" s="113" t="n"/>
      <c r="B619" s="540" t="n"/>
      <c r="C619" s="540" t="n"/>
      <c r="D619" s="540" t="n"/>
      <c r="E619" s="113" t="n"/>
      <c r="F619" s="537" t="n"/>
      <c r="G619" s="113" t="n"/>
    </row>
    <row r="620" ht="18.75" customHeight="1">
      <c r="A620" s="113" t="n"/>
      <c r="B620" s="540" t="n"/>
      <c r="C620" s="540" t="n"/>
      <c r="D620" s="540" t="n"/>
      <c r="E620" s="113" t="n"/>
      <c r="F620" s="537" t="n"/>
      <c r="G620" s="113" t="n"/>
    </row>
    <row r="621" ht="18.75" customHeight="1">
      <c r="A621" s="113" t="n"/>
      <c r="B621" s="540" t="n"/>
      <c r="C621" s="540" t="n"/>
      <c r="D621" s="540" t="n"/>
      <c r="E621" s="113" t="n"/>
      <c r="F621" s="537" t="n"/>
      <c r="G621" s="113" t="n"/>
    </row>
    <row r="622" ht="18.75" customHeight="1">
      <c r="A622" s="113" t="n"/>
      <c r="B622" s="540" t="n"/>
      <c r="C622" s="540" t="n"/>
      <c r="D622" s="540" t="n"/>
      <c r="E622" s="113" t="n"/>
      <c r="F622" s="537" t="n"/>
      <c r="G622" s="113" t="n"/>
    </row>
    <row r="623" ht="18.75" customHeight="1">
      <c r="A623" s="113" t="n"/>
      <c r="B623" s="540" t="n"/>
      <c r="C623" s="540" t="n"/>
      <c r="D623" s="540" t="n"/>
      <c r="E623" s="113" t="n"/>
      <c r="F623" s="537" t="n"/>
      <c r="G623" s="113" t="n"/>
    </row>
    <row r="624" ht="18.75" customHeight="1">
      <c r="A624" s="113" t="n"/>
      <c r="B624" s="540" t="n"/>
      <c r="C624" s="540" t="n"/>
      <c r="D624" s="540" t="n"/>
      <c r="E624" s="113" t="n"/>
      <c r="F624" s="537" t="n"/>
      <c r="G624" s="113" t="n"/>
    </row>
    <row r="625" ht="18.75" customHeight="1">
      <c r="A625" s="113" t="n"/>
      <c r="B625" s="540" t="n"/>
      <c r="C625" s="540" t="n"/>
      <c r="D625" s="540" t="n"/>
      <c r="E625" s="113" t="n"/>
      <c r="F625" s="537" t="n"/>
      <c r="G625" s="113" t="n"/>
    </row>
    <row r="626" ht="18.75" customHeight="1">
      <c r="A626" s="113" t="n"/>
      <c r="B626" s="540" t="n"/>
      <c r="C626" s="540" t="n"/>
      <c r="D626" s="540" t="n"/>
      <c r="E626" s="113" t="n"/>
      <c r="F626" s="537" t="n"/>
      <c r="G626" s="113" t="n"/>
    </row>
    <row r="627" ht="18.75" customHeight="1">
      <c r="A627" s="113" t="n"/>
      <c r="B627" s="540" t="n"/>
      <c r="C627" s="540" t="n"/>
      <c r="D627" s="540" t="n"/>
      <c r="E627" s="113" t="n"/>
      <c r="F627" s="537" t="n"/>
      <c r="G627" s="113" t="n"/>
    </row>
    <row r="628" ht="18.75" customHeight="1">
      <c r="A628" s="113" t="n"/>
      <c r="B628" s="540" t="n"/>
      <c r="C628" s="540" t="n"/>
      <c r="D628" s="540" t="n"/>
      <c r="E628" s="113" t="n"/>
      <c r="F628" s="537" t="n"/>
      <c r="G628" s="113" t="n"/>
    </row>
    <row r="629" ht="18.75" customHeight="1">
      <c r="A629" s="113" t="n"/>
      <c r="B629" s="540" t="n"/>
      <c r="C629" s="540" t="n"/>
      <c r="D629" s="540" t="n"/>
      <c r="E629" s="113" t="n"/>
      <c r="F629" s="537" t="n"/>
      <c r="G629" s="113" t="n"/>
    </row>
    <row r="630" ht="18.75" customHeight="1">
      <c r="A630" s="113" t="n"/>
      <c r="B630" s="540" t="n"/>
      <c r="C630" s="540" t="n"/>
      <c r="D630" s="540" t="n"/>
      <c r="E630" s="113" t="n"/>
      <c r="F630" s="537" t="n"/>
      <c r="G630" s="113" t="n"/>
    </row>
    <row r="631" ht="18.75" customHeight="1">
      <c r="A631" s="113" t="n"/>
      <c r="B631" s="540" t="n"/>
      <c r="C631" s="540" t="n"/>
      <c r="D631" s="540" t="n"/>
      <c r="E631" s="113" t="n"/>
      <c r="F631" s="537" t="n"/>
      <c r="G631" s="113" t="n"/>
    </row>
    <row r="632" ht="18.75" customHeight="1">
      <c r="A632" s="113" t="n"/>
      <c r="B632" s="540" t="n"/>
      <c r="C632" s="540" t="n"/>
      <c r="D632" s="540" t="n"/>
      <c r="E632" s="113" t="n"/>
      <c r="F632" s="537" t="n"/>
      <c r="G632" s="113" t="n"/>
    </row>
    <row r="633" ht="18.75" customHeight="1">
      <c r="A633" s="113" t="n"/>
      <c r="B633" s="540" t="n"/>
      <c r="C633" s="540" t="n"/>
      <c r="D633" s="540" t="n"/>
      <c r="E633" s="113" t="n"/>
      <c r="F633" s="537" t="n"/>
      <c r="G633" s="113" t="n"/>
    </row>
    <row r="634" ht="18.75" customHeight="1">
      <c r="A634" s="113" t="n"/>
      <c r="B634" s="540" t="n"/>
      <c r="C634" s="540" t="n"/>
      <c r="D634" s="540" t="n"/>
      <c r="E634" s="113" t="n"/>
      <c r="F634" s="537" t="n"/>
      <c r="G634" s="113" t="n"/>
    </row>
    <row r="635" ht="18.75" customHeight="1">
      <c r="A635" s="113" t="n"/>
      <c r="B635" s="540" t="n"/>
      <c r="C635" s="540" t="n"/>
      <c r="D635" s="540" t="n"/>
      <c r="E635" s="113" t="n"/>
      <c r="F635" s="537" t="n"/>
      <c r="G635" s="113" t="n"/>
    </row>
    <row r="636" ht="18.75" customHeight="1">
      <c r="A636" s="113" t="n"/>
      <c r="B636" s="540" t="n"/>
      <c r="C636" s="540" t="n"/>
      <c r="D636" s="540" t="n"/>
      <c r="E636" s="113" t="n"/>
      <c r="F636" s="537" t="n"/>
      <c r="G636" s="113" t="n"/>
    </row>
    <row r="637" ht="18.75" customHeight="1">
      <c r="A637" s="113" t="n"/>
      <c r="B637" s="540" t="n"/>
      <c r="C637" s="540" t="n"/>
      <c r="D637" s="540" t="n"/>
      <c r="E637" s="113" t="n"/>
      <c r="F637" s="537" t="n"/>
      <c r="G637" s="113" t="n"/>
    </row>
    <row r="638" ht="18.75" customHeight="1">
      <c r="A638" s="113" t="n"/>
      <c r="B638" s="540" t="n"/>
      <c r="C638" s="540" t="n"/>
      <c r="D638" s="540" t="n"/>
      <c r="E638" s="113" t="n"/>
      <c r="F638" s="537" t="n"/>
      <c r="G638" s="113" t="n"/>
    </row>
    <row r="639" ht="18.75" customHeight="1">
      <c r="A639" s="113" t="n"/>
      <c r="B639" s="540" t="n"/>
      <c r="C639" s="540" t="n"/>
      <c r="D639" s="540" t="n"/>
      <c r="E639" s="113" t="n"/>
      <c r="F639" s="537" t="n"/>
      <c r="G639" s="113" t="n"/>
    </row>
    <row r="640" ht="18.75" customHeight="1">
      <c r="A640" s="113" t="n"/>
      <c r="B640" s="540" t="n"/>
      <c r="C640" s="540" t="n"/>
      <c r="D640" s="540" t="n"/>
      <c r="E640" s="113" t="n"/>
      <c r="F640" s="537" t="n"/>
      <c r="G640" s="113" t="n"/>
    </row>
    <row r="641" ht="18.75" customHeight="1">
      <c r="A641" s="113" t="n"/>
      <c r="B641" s="540" t="n"/>
      <c r="C641" s="540" t="n"/>
      <c r="D641" s="540" t="n"/>
      <c r="E641" s="113" t="n"/>
      <c r="F641" s="537" t="n"/>
      <c r="G641" s="113" t="n"/>
    </row>
    <row r="642" ht="18.75" customHeight="1">
      <c r="A642" s="113" t="n"/>
      <c r="B642" s="540" t="n"/>
      <c r="C642" s="540" t="n"/>
      <c r="D642" s="540" t="n"/>
      <c r="E642" s="113" t="n"/>
      <c r="F642" s="537" t="n"/>
      <c r="G642" s="113" t="n"/>
    </row>
    <row r="643" ht="18.75" customHeight="1">
      <c r="A643" s="113" t="n"/>
      <c r="B643" s="540" t="n"/>
      <c r="C643" s="540" t="n"/>
      <c r="D643" s="540" t="n"/>
      <c r="E643" s="113" t="n"/>
      <c r="F643" s="537" t="n"/>
      <c r="G643" s="113" t="n"/>
    </row>
    <row r="644" ht="18.75" customHeight="1">
      <c r="A644" s="113" t="n"/>
      <c r="B644" s="540" t="n"/>
      <c r="C644" s="540" t="n"/>
      <c r="D644" s="540" t="n"/>
      <c r="E644" s="113" t="n"/>
      <c r="F644" s="537" t="n"/>
      <c r="G644" s="113" t="n"/>
    </row>
    <row r="645" ht="18.75" customHeight="1">
      <c r="A645" s="113" t="n"/>
      <c r="B645" s="540" t="n"/>
      <c r="C645" s="540" t="n"/>
      <c r="D645" s="540" t="n"/>
      <c r="E645" s="113" t="n"/>
      <c r="F645" s="537" t="n"/>
      <c r="G645" s="113" t="n"/>
    </row>
    <row r="646" ht="18.75" customHeight="1">
      <c r="A646" s="113" t="n"/>
      <c r="B646" s="540" t="n"/>
      <c r="C646" s="540" t="n"/>
      <c r="D646" s="540" t="n"/>
      <c r="E646" s="113" t="n"/>
      <c r="F646" s="537" t="n"/>
      <c r="G646" s="113" t="n"/>
    </row>
    <row r="647" ht="18.75" customHeight="1">
      <c r="A647" s="113" t="n"/>
      <c r="B647" s="540" t="n"/>
      <c r="C647" s="540" t="n"/>
      <c r="D647" s="540" t="n"/>
      <c r="E647" s="113" t="n"/>
      <c r="F647" s="537" t="n"/>
      <c r="G647" s="113" t="n"/>
    </row>
    <row r="648" ht="18.75" customHeight="1">
      <c r="A648" s="113" t="n"/>
      <c r="B648" s="540" t="n"/>
      <c r="C648" s="540" t="n"/>
      <c r="D648" s="540" t="n"/>
      <c r="E648" s="113" t="n"/>
      <c r="F648" s="537" t="n"/>
      <c r="G648" s="113" t="n"/>
    </row>
    <row r="649" ht="18.75" customHeight="1">
      <c r="A649" s="113" t="n"/>
      <c r="B649" s="540" t="n"/>
      <c r="C649" s="540" t="n"/>
      <c r="D649" s="540" t="n"/>
      <c r="E649" s="113" t="n"/>
      <c r="F649" s="537" t="n"/>
      <c r="G649" s="113" t="n"/>
    </row>
    <row r="650" ht="18.75" customHeight="1">
      <c r="A650" s="113" t="n"/>
      <c r="B650" s="540" t="n"/>
      <c r="C650" s="540" t="n"/>
      <c r="D650" s="540" t="n"/>
      <c r="E650" s="113" t="n"/>
      <c r="F650" s="537" t="n"/>
      <c r="G650" s="113" t="n"/>
    </row>
    <row r="651" ht="18.75" customHeight="1">
      <c r="A651" s="113" t="n"/>
      <c r="B651" s="540" t="n"/>
      <c r="C651" s="540" t="n"/>
      <c r="D651" s="540" t="n"/>
      <c r="E651" s="113" t="n"/>
      <c r="F651" s="537" t="n"/>
      <c r="G651" s="113" t="n"/>
    </row>
    <row r="652" ht="18.75" customHeight="1">
      <c r="A652" s="113" t="n"/>
      <c r="B652" s="540" t="n"/>
      <c r="C652" s="540" t="n"/>
      <c r="D652" s="540" t="n"/>
      <c r="E652" s="113" t="n"/>
      <c r="F652" s="537" t="n"/>
      <c r="G652" s="113" t="n"/>
    </row>
    <row r="653" ht="18.75" customHeight="1">
      <c r="A653" s="113" t="n"/>
      <c r="B653" s="540" t="n"/>
      <c r="C653" s="540" t="n"/>
      <c r="D653" s="540" t="n"/>
      <c r="E653" s="113" t="n"/>
      <c r="F653" s="537" t="n"/>
      <c r="G653" s="113" t="n"/>
    </row>
    <row r="654" ht="18.75" customHeight="1">
      <c r="A654" s="113" t="n"/>
      <c r="B654" s="540" t="n"/>
      <c r="C654" s="540" t="n"/>
      <c r="D654" s="540" t="n"/>
      <c r="E654" s="113" t="n"/>
      <c r="F654" s="537" t="n"/>
      <c r="G654" s="113" t="n"/>
    </row>
    <row r="655" ht="18.75" customHeight="1">
      <c r="A655" s="113" t="n"/>
      <c r="B655" s="540" t="n"/>
      <c r="C655" s="540" t="n"/>
      <c r="D655" s="540" t="n"/>
      <c r="E655" s="113" t="n"/>
      <c r="F655" s="537" t="n"/>
      <c r="G655" s="113" t="n"/>
    </row>
    <row r="656" ht="18.75" customHeight="1">
      <c r="A656" s="113" t="n"/>
      <c r="B656" s="540" t="n"/>
      <c r="C656" s="540" t="n"/>
      <c r="D656" s="540" t="n"/>
      <c r="E656" s="113" t="n"/>
      <c r="F656" s="537" t="n"/>
      <c r="G656" s="113" t="n"/>
    </row>
    <row r="657" ht="18.75" customHeight="1">
      <c r="A657" s="113" t="n"/>
      <c r="B657" s="540" t="n"/>
      <c r="C657" s="540" t="n"/>
      <c r="D657" s="540" t="n"/>
      <c r="E657" s="113" t="n"/>
      <c r="F657" s="537" t="n"/>
      <c r="G657" s="113" t="n"/>
    </row>
    <row r="658" ht="18.75" customHeight="1">
      <c r="A658" s="113" t="n"/>
      <c r="B658" s="540" t="n"/>
      <c r="C658" s="540" t="n"/>
      <c r="D658" s="540" t="n"/>
      <c r="E658" s="113" t="n"/>
      <c r="F658" s="537" t="n"/>
      <c r="G658" s="113" t="n"/>
    </row>
    <row r="659" ht="18.75" customHeight="1">
      <c r="A659" s="113" t="n"/>
      <c r="B659" s="540" t="n"/>
      <c r="C659" s="540" t="n"/>
      <c r="D659" s="540" t="n"/>
      <c r="E659" s="113" t="n"/>
      <c r="F659" s="537" t="n"/>
      <c r="G659" s="113" t="n"/>
    </row>
    <row r="660" ht="18.75" customHeight="1">
      <c r="A660" s="113" t="n"/>
      <c r="B660" s="540" t="n"/>
      <c r="C660" s="540" t="n"/>
      <c r="D660" s="540" t="n"/>
      <c r="E660" s="113" t="n"/>
      <c r="F660" s="537" t="n"/>
      <c r="G660" s="113" t="n"/>
    </row>
    <row r="661" ht="18.75" customHeight="1">
      <c r="A661" s="113" t="n"/>
      <c r="B661" s="540" t="n"/>
      <c r="C661" s="540" t="n"/>
      <c r="D661" s="540" t="n"/>
      <c r="E661" s="113" t="n"/>
      <c r="F661" s="537" t="n"/>
      <c r="G661" s="113" t="n"/>
    </row>
    <row r="662" ht="18.75" customHeight="1">
      <c r="A662" s="113" t="n"/>
      <c r="B662" s="540" t="n"/>
      <c r="C662" s="540" t="n"/>
      <c r="D662" s="540" t="n"/>
      <c r="E662" s="113" t="n"/>
      <c r="F662" s="537" t="n"/>
      <c r="G662" s="113" t="n"/>
    </row>
    <row r="663" ht="18.75" customHeight="1">
      <c r="A663" s="113" t="n"/>
      <c r="B663" s="540" t="n"/>
      <c r="C663" s="540" t="n"/>
      <c r="D663" s="540" t="n"/>
      <c r="E663" s="113" t="n"/>
      <c r="F663" s="537" t="n"/>
      <c r="G663" s="113" t="n"/>
    </row>
    <row r="664" ht="18.75" customHeight="1">
      <c r="A664" s="113" t="n"/>
      <c r="B664" s="540" t="n"/>
      <c r="C664" s="540" t="n"/>
      <c r="D664" s="540" t="n"/>
      <c r="E664" s="113" t="n"/>
      <c r="F664" s="537" t="n"/>
      <c r="G664" s="113" t="n"/>
    </row>
    <row r="665" ht="18.75" customHeight="1">
      <c r="A665" s="113" t="n"/>
      <c r="B665" s="540" t="n"/>
      <c r="C665" s="540" t="n"/>
      <c r="D665" s="540" t="n"/>
      <c r="E665" s="113" t="n"/>
      <c r="F665" s="537" t="n"/>
      <c r="G665" s="113" t="n"/>
    </row>
    <row r="666" ht="18.75" customHeight="1">
      <c r="A666" s="113" t="n"/>
      <c r="B666" s="540" t="n"/>
      <c r="C666" s="540" t="n"/>
      <c r="D666" s="540" t="n"/>
      <c r="E666" s="113" t="n"/>
      <c r="F666" s="537" t="n"/>
      <c r="G666" s="113" t="n"/>
    </row>
    <row r="667" ht="18.75" customHeight="1">
      <c r="A667" s="113" t="n"/>
      <c r="B667" s="540" t="n"/>
      <c r="C667" s="540" t="n"/>
      <c r="D667" s="540" t="n"/>
      <c r="E667" s="113" t="n"/>
      <c r="F667" s="537" t="n"/>
      <c r="G667" s="113" t="n"/>
    </row>
    <row r="668" ht="18.75" customHeight="1">
      <c r="A668" s="113" t="n"/>
      <c r="B668" s="540" t="n"/>
      <c r="C668" s="540" t="n"/>
      <c r="D668" s="540" t="n"/>
      <c r="E668" s="113" t="n"/>
      <c r="F668" s="537" t="n"/>
      <c r="G668" s="113" t="n"/>
    </row>
    <row r="669" ht="18.75" customHeight="1">
      <c r="A669" s="113" t="n"/>
      <c r="B669" s="540" t="n"/>
      <c r="C669" s="540" t="n"/>
      <c r="D669" s="540" t="n"/>
      <c r="E669" s="113" t="n"/>
      <c r="F669" s="537" t="n"/>
      <c r="G669" s="113" t="n"/>
    </row>
    <row r="670" ht="18.75" customHeight="1">
      <c r="A670" s="113" t="n"/>
      <c r="B670" s="540" t="n"/>
      <c r="C670" s="540" t="n"/>
      <c r="D670" s="540" t="n"/>
      <c r="E670" s="113" t="n"/>
      <c r="F670" s="537" t="n"/>
      <c r="G670" s="113" t="n"/>
    </row>
    <row r="671" ht="18.75" customHeight="1">
      <c r="A671" s="113" t="n"/>
      <c r="B671" s="540" t="n"/>
      <c r="C671" s="540" t="n"/>
      <c r="D671" s="540" t="n"/>
      <c r="E671" s="113" t="n"/>
      <c r="F671" s="537" t="n"/>
      <c r="G671" s="113" t="n"/>
    </row>
    <row r="672" ht="18.75" customHeight="1">
      <c r="A672" s="113" t="n"/>
      <c r="B672" s="540" t="n"/>
      <c r="C672" s="540" t="n"/>
      <c r="D672" s="540" t="n"/>
      <c r="E672" s="113" t="n"/>
      <c r="F672" s="537" t="n"/>
      <c r="G672" s="113" t="n"/>
    </row>
    <row r="673" ht="18.75" customHeight="1">
      <c r="A673" s="113" t="n"/>
      <c r="B673" s="540" t="n"/>
      <c r="C673" s="540" t="n"/>
      <c r="D673" s="540" t="n"/>
      <c r="E673" s="113" t="n"/>
      <c r="F673" s="537" t="n"/>
      <c r="G673" s="113" t="n"/>
    </row>
    <row r="674" ht="18.75" customHeight="1">
      <c r="A674" s="113" t="n"/>
      <c r="B674" s="540" t="n"/>
      <c r="C674" s="540" t="n"/>
      <c r="D674" s="540" t="n"/>
      <c r="E674" s="113" t="n"/>
      <c r="F674" s="537" t="n"/>
      <c r="G674" s="113" t="n"/>
    </row>
    <row r="675" ht="18.75" customHeight="1">
      <c r="A675" s="113" t="n"/>
      <c r="B675" s="540" t="n"/>
      <c r="C675" s="540" t="n"/>
      <c r="D675" s="540" t="n"/>
      <c r="E675" s="113" t="n"/>
      <c r="F675" s="537" t="n"/>
      <c r="G675" s="113" t="n"/>
    </row>
    <row r="676" ht="18.75" customHeight="1">
      <c r="A676" s="113" t="n"/>
      <c r="B676" s="540" t="n"/>
      <c r="C676" s="540" t="n"/>
      <c r="D676" s="540" t="n"/>
      <c r="E676" s="113" t="n"/>
      <c r="F676" s="537" t="n"/>
      <c r="G676" s="113" t="n"/>
    </row>
    <row r="677" ht="18.75" customHeight="1">
      <c r="A677" s="113" t="n"/>
      <c r="B677" s="540" t="n"/>
      <c r="C677" s="540" t="n"/>
      <c r="D677" s="540" t="n"/>
      <c r="E677" s="113" t="n"/>
      <c r="F677" s="537" t="n"/>
      <c r="G677" s="113" t="n"/>
    </row>
    <row r="678" ht="18.75" customHeight="1">
      <c r="A678" s="113" t="n"/>
      <c r="B678" s="540" t="n"/>
      <c r="C678" s="540" t="n"/>
      <c r="D678" s="540" t="n"/>
      <c r="E678" s="113" t="n"/>
      <c r="F678" s="537" t="n"/>
      <c r="G678" s="113" t="n"/>
    </row>
    <row r="679" ht="18.75" customHeight="1">
      <c r="A679" s="113" t="n"/>
      <c r="B679" s="540" t="n"/>
      <c r="C679" s="540" t="n"/>
      <c r="D679" s="540" t="n"/>
      <c r="E679" s="113" t="n"/>
      <c r="F679" s="537" t="n"/>
      <c r="G679" s="113" t="n"/>
    </row>
    <row r="680" ht="18.75" customHeight="1">
      <c r="A680" s="113" t="n"/>
      <c r="B680" s="540" t="n"/>
      <c r="C680" s="540" t="n"/>
      <c r="D680" s="540" t="n"/>
      <c r="E680" s="113" t="n"/>
      <c r="F680" s="537" t="n"/>
      <c r="G680" s="113" t="n"/>
    </row>
    <row r="681" ht="18.75" customHeight="1">
      <c r="A681" s="113" t="n"/>
      <c r="B681" s="540" t="n"/>
      <c r="C681" s="540" t="n"/>
      <c r="D681" s="540" t="n"/>
      <c r="E681" s="113" t="n"/>
      <c r="F681" s="537" t="n"/>
      <c r="G681" s="113" t="n"/>
    </row>
    <row r="682" ht="18.75" customHeight="1">
      <c r="A682" s="113" t="n"/>
      <c r="B682" s="540" t="n"/>
      <c r="C682" s="540" t="n"/>
      <c r="D682" s="540" t="n"/>
      <c r="E682" s="113" t="n"/>
      <c r="F682" s="537" t="n"/>
      <c r="G682" s="113" t="n"/>
    </row>
    <row r="683" ht="18.75" customHeight="1">
      <c r="A683" s="113" t="n"/>
      <c r="B683" s="540" t="n"/>
      <c r="C683" s="540" t="n"/>
      <c r="D683" s="540" t="n"/>
      <c r="E683" s="113" t="n"/>
      <c r="F683" s="537" t="n"/>
      <c r="G683" s="113" t="n"/>
    </row>
    <row r="684" ht="18.75" customHeight="1">
      <c r="A684" s="113" t="n"/>
      <c r="B684" s="540" t="n"/>
      <c r="C684" s="540" t="n"/>
      <c r="D684" s="540" t="n"/>
      <c r="E684" s="113" t="n"/>
      <c r="F684" s="537" t="n"/>
      <c r="G684" s="113" t="n"/>
    </row>
    <row r="685" ht="18.75" customHeight="1">
      <c r="A685" s="113" t="n"/>
      <c r="B685" s="540" t="n"/>
      <c r="C685" s="540" t="n"/>
      <c r="D685" s="540" t="n"/>
      <c r="E685" s="113" t="n"/>
      <c r="F685" s="537" t="n"/>
      <c r="G685" s="113" t="n"/>
    </row>
    <row r="686" ht="18.75" customHeight="1">
      <c r="A686" s="113" t="n"/>
      <c r="B686" s="540" t="n"/>
      <c r="C686" s="540" t="n"/>
      <c r="D686" s="540" t="n"/>
      <c r="E686" s="113" t="n"/>
      <c r="F686" s="537" t="n"/>
      <c r="G686" s="113" t="n"/>
    </row>
    <row r="687" ht="18.75" customHeight="1">
      <c r="A687" s="113" t="n"/>
      <c r="B687" s="540" t="n"/>
      <c r="C687" s="540" t="n"/>
      <c r="D687" s="540" t="n"/>
      <c r="E687" s="113" t="n"/>
      <c r="F687" s="537" t="n"/>
      <c r="G687" s="113" t="n"/>
    </row>
    <row r="688" ht="18.75" customHeight="1">
      <c r="A688" s="113" t="n"/>
      <c r="B688" s="540" t="n"/>
      <c r="C688" s="540" t="n"/>
      <c r="D688" s="540" t="n"/>
      <c r="E688" s="113" t="n"/>
      <c r="F688" s="537" t="n"/>
      <c r="G688" s="113" t="n"/>
    </row>
    <row r="689" ht="18.75" customHeight="1">
      <c r="A689" s="113" t="n"/>
      <c r="B689" s="540" t="n"/>
      <c r="C689" s="540" t="n"/>
      <c r="D689" s="540" t="n"/>
      <c r="E689" s="113" t="n"/>
      <c r="F689" s="537" t="n"/>
      <c r="G689" s="113" t="n"/>
    </row>
    <row r="690" ht="18.75" customHeight="1">
      <c r="A690" s="113" t="n"/>
      <c r="B690" s="540" t="n"/>
      <c r="C690" s="540" t="n"/>
      <c r="D690" s="540" t="n"/>
      <c r="E690" s="113" t="n"/>
      <c r="F690" s="537" t="n"/>
      <c r="G690" s="113" t="n"/>
    </row>
    <row r="691" ht="18.75" customHeight="1">
      <c r="A691" s="113" t="n"/>
      <c r="B691" s="540" t="n"/>
      <c r="C691" s="540" t="n"/>
      <c r="D691" s="540" t="n"/>
      <c r="E691" s="113" t="n"/>
      <c r="F691" s="537" t="n"/>
      <c r="G691" s="113" t="n"/>
    </row>
    <row r="692" ht="18.75" customHeight="1">
      <c r="A692" s="113" t="n"/>
      <c r="B692" s="540" t="n"/>
      <c r="C692" s="540" t="n"/>
      <c r="D692" s="540" t="n"/>
      <c r="E692" s="113" t="n"/>
      <c r="F692" s="537" t="n"/>
      <c r="G692" s="113" t="n"/>
    </row>
    <row r="693" ht="18.75" customHeight="1">
      <c r="A693" s="113" t="n"/>
      <c r="B693" s="540" t="n"/>
      <c r="C693" s="540" t="n"/>
      <c r="D693" s="540" t="n"/>
      <c r="E693" s="113" t="n"/>
      <c r="F693" s="537" t="n"/>
      <c r="G693" s="113" t="n"/>
    </row>
    <row r="694" ht="18.75" customHeight="1">
      <c r="A694" s="113" t="n"/>
      <c r="B694" s="540" t="n"/>
      <c r="C694" s="540" t="n"/>
      <c r="D694" s="540" t="n"/>
      <c r="E694" s="113" t="n"/>
      <c r="F694" s="537" t="n"/>
      <c r="G694" s="113" t="n"/>
    </row>
    <row r="695" ht="18.75" customHeight="1">
      <c r="A695" s="113" t="n"/>
      <c r="B695" s="540" t="n"/>
      <c r="C695" s="540" t="n"/>
      <c r="D695" s="540" t="n"/>
      <c r="E695" s="113" t="n"/>
      <c r="F695" s="537" t="n"/>
      <c r="G695" s="113" t="n"/>
    </row>
    <row r="696" ht="18.75" customHeight="1">
      <c r="A696" s="113" t="n"/>
      <c r="B696" s="540" t="n"/>
      <c r="C696" s="540" t="n"/>
      <c r="D696" s="540" t="n"/>
      <c r="E696" s="113" t="n"/>
      <c r="F696" s="537" t="n"/>
      <c r="G696" s="113" t="n"/>
    </row>
    <row r="697" ht="18.75" customHeight="1">
      <c r="A697" s="113" t="n"/>
      <c r="B697" s="540" t="n"/>
      <c r="C697" s="540" t="n"/>
      <c r="D697" s="540" t="n"/>
      <c r="E697" s="113" t="n"/>
      <c r="F697" s="537" t="n"/>
      <c r="G697" s="113" t="n"/>
    </row>
    <row r="698" ht="18.75" customHeight="1">
      <c r="A698" s="113" t="n"/>
      <c r="B698" s="540" t="n"/>
      <c r="C698" s="540" t="n"/>
      <c r="D698" s="540" t="n"/>
      <c r="E698" s="113" t="n"/>
      <c r="F698" s="537" t="n"/>
      <c r="G698" s="113" t="n"/>
    </row>
    <row r="699" ht="18.75" customHeight="1">
      <c r="A699" s="113" t="n"/>
      <c r="B699" s="540" t="n"/>
      <c r="C699" s="540" t="n"/>
      <c r="D699" s="540" t="n"/>
      <c r="E699" s="113" t="n"/>
      <c r="F699" s="537" t="n"/>
      <c r="G699" s="113" t="n"/>
    </row>
    <row r="700" ht="18.75" customHeight="1">
      <c r="A700" s="113" t="n"/>
      <c r="B700" s="540" t="n"/>
      <c r="C700" s="540" t="n"/>
      <c r="D700" s="540" t="n"/>
      <c r="E700" s="113" t="n"/>
      <c r="F700" s="537" t="n"/>
      <c r="G700" s="113" t="n"/>
    </row>
    <row r="701" ht="18.75" customHeight="1">
      <c r="A701" s="113" t="n"/>
      <c r="B701" s="540" t="n"/>
      <c r="C701" s="540" t="n"/>
      <c r="D701" s="540" t="n"/>
      <c r="E701" s="113" t="n"/>
      <c r="F701" s="537" t="n"/>
      <c r="G701" s="113" t="n"/>
    </row>
    <row r="702" ht="18.75" customHeight="1">
      <c r="A702" s="113" t="n"/>
      <c r="B702" s="540" t="n"/>
      <c r="C702" s="540" t="n"/>
      <c r="D702" s="540" t="n"/>
      <c r="E702" s="113" t="n"/>
      <c r="F702" s="537" t="n"/>
      <c r="G702" s="113" t="n"/>
    </row>
    <row r="703" ht="18.75" customHeight="1">
      <c r="A703" s="113" t="n"/>
      <c r="B703" s="540" t="n"/>
      <c r="C703" s="540" t="n"/>
      <c r="D703" s="540" t="n"/>
      <c r="E703" s="113" t="n"/>
      <c r="F703" s="537" t="n"/>
      <c r="G703" s="113" t="n"/>
    </row>
    <row r="704" ht="18.75" customHeight="1">
      <c r="A704" s="113" t="n"/>
      <c r="B704" s="540" t="n"/>
      <c r="C704" s="540" t="n"/>
      <c r="D704" s="540" t="n"/>
      <c r="E704" s="113" t="n"/>
      <c r="F704" s="537" t="n"/>
      <c r="G704" s="113" t="n"/>
    </row>
    <row r="705" ht="18.75" customHeight="1">
      <c r="A705" s="113" t="n"/>
      <c r="B705" s="540" t="n"/>
      <c r="C705" s="540" t="n"/>
      <c r="D705" s="540" t="n"/>
      <c r="E705" s="113" t="n"/>
      <c r="F705" s="537" t="n"/>
      <c r="G705" s="113" t="n"/>
    </row>
    <row r="706" ht="18.75" customHeight="1">
      <c r="A706" s="113" t="n"/>
      <c r="B706" s="540" t="n"/>
      <c r="C706" s="540" t="n"/>
      <c r="D706" s="540" t="n"/>
      <c r="E706" s="113" t="n"/>
      <c r="F706" s="537" t="n"/>
      <c r="G706" s="113" t="n"/>
    </row>
    <row r="707" ht="18.75" customHeight="1">
      <c r="A707" s="113" t="n"/>
      <c r="B707" s="540" t="n"/>
      <c r="C707" s="540" t="n"/>
      <c r="D707" s="540" t="n"/>
      <c r="E707" s="113" t="n"/>
      <c r="F707" s="537" t="n"/>
      <c r="G707" s="113" t="n"/>
    </row>
    <row r="708" ht="18.75" customHeight="1">
      <c r="A708" s="113" t="n"/>
      <c r="B708" s="540" t="n"/>
      <c r="C708" s="540" t="n"/>
      <c r="D708" s="540" t="n"/>
      <c r="E708" s="113" t="n"/>
      <c r="F708" s="537" t="n"/>
      <c r="G708" s="113" t="n"/>
    </row>
    <row r="709" ht="18.75" customHeight="1">
      <c r="A709" s="113" t="n"/>
      <c r="B709" s="540" t="n"/>
      <c r="C709" s="540" t="n"/>
      <c r="D709" s="540" t="n"/>
      <c r="E709" s="113" t="n"/>
      <c r="F709" s="537" t="n"/>
      <c r="G709" s="113" t="n"/>
    </row>
    <row r="710" ht="18.75" customHeight="1">
      <c r="A710" s="113" t="n"/>
      <c r="B710" s="540" t="n"/>
      <c r="C710" s="540" t="n"/>
      <c r="D710" s="540" t="n"/>
      <c r="E710" s="113" t="n"/>
      <c r="F710" s="537" t="n"/>
      <c r="G710" s="113" t="n"/>
    </row>
    <row r="711" ht="18.75" customHeight="1">
      <c r="A711" s="113" t="n"/>
      <c r="B711" s="540" t="n"/>
      <c r="C711" s="540" t="n"/>
      <c r="D711" s="540" t="n"/>
      <c r="E711" s="113" t="n"/>
      <c r="F711" s="537" t="n"/>
      <c r="G711" s="113" t="n"/>
    </row>
    <row r="712" ht="18.75" customHeight="1">
      <c r="A712" s="113" t="n"/>
      <c r="B712" s="540" t="n"/>
      <c r="C712" s="540" t="n"/>
      <c r="D712" s="540" t="n"/>
      <c r="E712" s="113" t="n"/>
      <c r="F712" s="537" t="n"/>
      <c r="G712" s="113" t="n"/>
    </row>
    <row r="713" ht="18.75" customHeight="1">
      <c r="A713" s="113" t="n"/>
      <c r="B713" s="540" t="n"/>
      <c r="C713" s="540" t="n"/>
      <c r="D713" s="540" t="n"/>
      <c r="E713" s="113" t="n"/>
      <c r="F713" s="537" t="n"/>
      <c r="G713" s="113" t="n"/>
    </row>
    <row r="714" ht="18.75" customHeight="1">
      <c r="A714" s="113" t="n"/>
      <c r="B714" s="540" t="n"/>
      <c r="C714" s="540" t="n"/>
      <c r="D714" s="540" t="n"/>
      <c r="E714" s="113" t="n"/>
      <c r="F714" s="537" t="n"/>
      <c r="G714" s="113" t="n"/>
    </row>
    <row r="715" ht="18.75" customHeight="1">
      <c r="A715" s="113" t="n"/>
      <c r="B715" s="540" t="n"/>
      <c r="C715" s="540" t="n"/>
      <c r="D715" s="540" t="n"/>
      <c r="E715" s="113" t="n"/>
      <c r="F715" s="537" t="n"/>
      <c r="G715" s="113" t="n"/>
    </row>
    <row r="716" ht="18.75" customHeight="1">
      <c r="A716" s="113" t="n"/>
      <c r="B716" s="540" t="n"/>
      <c r="C716" s="540" t="n"/>
      <c r="D716" s="540" t="n"/>
      <c r="E716" s="113" t="n"/>
      <c r="F716" s="537" t="n"/>
      <c r="G716" s="113" t="n"/>
    </row>
    <row r="717" ht="18.75" customHeight="1">
      <c r="A717" s="113" t="n"/>
      <c r="B717" s="540" t="n"/>
      <c r="C717" s="540" t="n"/>
      <c r="D717" s="540" t="n"/>
      <c r="E717" s="113" t="n"/>
      <c r="F717" s="537" t="n"/>
      <c r="G717" s="113" t="n"/>
    </row>
    <row r="718" ht="18.75" customHeight="1">
      <c r="A718" s="113" t="n"/>
      <c r="B718" s="540" t="n"/>
      <c r="C718" s="540" t="n"/>
      <c r="D718" s="540" t="n"/>
      <c r="E718" s="113" t="n"/>
      <c r="F718" s="537" t="n"/>
      <c r="G718" s="113" t="n"/>
    </row>
    <row r="719" ht="18.75" customHeight="1">
      <c r="A719" s="113" t="n"/>
      <c r="B719" s="540" t="n"/>
      <c r="C719" s="540" t="n"/>
      <c r="D719" s="540" t="n"/>
      <c r="E719" s="113" t="n"/>
      <c r="F719" s="537" t="n"/>
      <c r="G719" s="113" t="n"/>
    </row>
    <row r="720" ht="18.75" customHeight="1">
      <c r="A720" s="113" t="n"/>
      <c r="B720" s="540" t="n"/>
      <c r="C720" s="540" t="n"/>
      <c r="D720" s="540" t="n"/>
      <c r="E720" s="113" t="n"/>
      <c r="F720" s="537" t="n"/>
      <c r="G720" s="113" t="n"/>
    </row>
    <row r="721" ht="18.75" customHeight="1">
      <c r="A721" s="113" t="n"/>
      <c r="B721" s="540" t="n"/>
      <c r="C721" s="540" t="n"/>
      <c r="D721" s="540" t="n"/>
      <c r="E721" s="113" t="n"/>
      <c r="F721" s="537" t="n"/>
      <c r="G721" s="113" t="n"/>
    </row>
    <row r="722" ht="18.75" customHeight="1">
      <c r="A722" s="113" t="n"/>
      <c r="B722" s="540" t="n"/>
      <c r="C722" s="540" t="n"/>
      <c r="D722" s="540" t="n"/>
      <c r="E722" s="113" t="n"/>
      <c r="F722" s="537" t="n"/>
      <c r="G722" s="113" t="n"/>
    </row>
    <row r="723" ht="18.75" customHeight="1">
      <c r="A723" s="113" t="n"/>
      <c r="B723" s="540" t="n"/>
      <c r="C723" s="540" t="n"/>
      <c r="D723" s="540" t="n"/>
      <c r="E723" s="113" t="n"/>
      <c r="F723" s="537" t="n"/>
      <c r="G723" s="113" t="n"/>
    </row>
    <row r="724" ht="18.75" customHeight="1">
      <c r="A724" s="113" t="n"/>
      <c r="B724" s="540" t="n"/>
      <c r="C724" s="540" t="n"/>
      <c r="D724" s="540" t="n"/>
      <c r="E724" s="113" t="n"/>
      <c r="F724" s="537" t="n"/>
      <c r="G724" s="113" t="n"/>
    </row>
    <row r="725" ht="18.75" customHeight="1">
      <c r="A725" s="113" t="n"/>
      <c r="B725" s="540" t="n"/>
      <c r="C725" s="540" t="n"/>
      <c r="D725" s="540" t="n"/>
      <c r="E725" s="113" t="n"/>
      <c r="F725" s="537" t="n"/>
      <c r="G725" s="113" t="n"/>
    </row>
    <row r="726" ht="18.75" customHeight="1">
      <c r="A726" s="113" t="n"/>
      <c r="B726" s="540" t="n"/>
      <c r="C726" s="540" t="n"/>
      <c r="D726" s="540" t="n"/>
      <c r="E726" s="113" t="n"/>
      <c r="F726" s="537" t="n"/>
      <c r="G726" s="113" t="n"/>
    </row>
    <row r="727" ht="18.75" customHeight="1">
      <c r="A727" s="113" t="n"/>
      <c r="B727" s="540" t="n"/>
      <c r="C727" s="540" t="n"/>
      <c r="D727" s="540" t="n"/>
      <c r="E727" s="113" t="n"/>
      <c r="F727" s="537" t="n"/>
      <c r="G727" s="113" t="n"/>
    </row>
    <row r="728" ht="18.75" customHeight="1">
      <c r="A728" s="113" t="n"/>
      <c r="B728" s="540" t="n"/>
      <c r="C728" s="540" t="n"/>
      <c r="D728" s="540" t="n"/>
      <c r="E728" s="113" t="n"/>
      <c r="F728" s="537" t="n"/>
      <c r="G728" s="113" t="n"/>
    </row>
    <row r="729" ht="18.75" customHeight="1">
      <c r="A729" s="113" t="n"/>
      <c r="B729" s="540" t="n"/>
      <c r="C729" s="540" t="n"/>
      <c r="D729" s="540" t="n"/>
      <c r="E729" s="113" t="n"/>
      <c r="F729" s="537" t="n"/>
      <c r="G729" s="113" t="n"/>
    </row>
    <row r="730" ht="18.75" customHeight="1">
      <c r="A730" s="113" t="n"/>
      <c r="B730" s="540" t="n"/>
      <c r="C730" s="540" t="n"/>
      <c r="D730" s="540" t="n"/>
      <c r="E730" s="113" t="n"/>
      <c r="F730" s="537" t="n"/>
      <c r="G730" s="113" t="n"/>
    </row>
    <row r="731" ht="18.75" customHeight="1">
      <c r="A731" s="113" t="n"/>
      <c r="B731" s="540" t="n"/>
      <c r="C731" s="540" t="n"/>
      <c r="D731" s="540" t="n"/>
      <c r="E731" s="113" t="n"/>
      <c r="F731" s="537" t="n"/>
      <c r="G731" s="113" t="n"/>
    </row>
    <row r="732" ht="18.75" customHeight="1">
      <c r="A732" s="113" t="n"/>
      <c r="B732" s="540" t="n"/>
      <c r="C732" s="540" t="n"/>
      <c r="D732" s="540" t="n"/>
      <c r="E732" s="113" t="n"/>
      <c r="F732" s="537" t="n"/>
      <c r="G732" s="113" t="n"/>
    </row>
    <row r="733" ht="18.75" customHeight="1">
      <c r="A733" s="113" t="n"/>
      <c r="B733" s="540" t="n"/>
      <c r="C733" s="540" t="n"/>
      <c r="D733" s="540" t="n"/>
      <c r="E733" s="113" t="n"/>
      <c r="F733" s="537" t="n"/>
      <c r="G733" s="113" t="n"/>
    </row>
    <row r="734" ht="18.75" customHeight="1">
      <c r="A734" s="113" t="n"/>
      <c r="B734" s="540" t="n"/>
      <c r="C734" s="540" t="n"/>
      <c r="D734" s="540" t="n"/>
      <c r="E734" s="113" t="n"/>
      <c r="F734" s="537" t="n"/>
      <c r="G734" s="113" t="n"/>
    </row>
    <row r="735" ht="18.75" customHeight="1">
      <c r="A735" s="113" t="n"/>
      <c r="B735" s="540" t="n"/>
      <c r="C735" s="540" t="n"/>
      <c r="D735" s="540" t="n"/>
      <c r="E735" s="113" t="n"/>
      <c r="F735" s="537" t="n"/>
      <c r="G735" s="113" t="n"/>
    </row>
    <row r="736" ht="18.75" customHeight="1">
      <c r="A736" s="113" t="n"/>
      <c r="B736" s="540" t="n"/>
      <c r="C736" s="540" t="n"/>
      <c r="D736" s="540" t="n"/>
      <c r="E736" s="113" t="n"/>
      <c r="F736" s="537" t="n"/>
      <c r="G736" s="113" t="n"/>
    </row>
    <row r="737" ht="18.75" customHeight="1">
      <c r="A737" s="113" t="n"/>
      <c r="B737" s="540" t="n"/>
      <c r="C737" s="540" t="n"/>
      <c r="D737" s="540" t="n"/>
      <c r="E737" s="113" t="n"/>
      <c r="F737" s="537" t="n"/>
      <c r="G737" s="113" t="n"/>
    </row>
    <row r="738" ht="18.75" customHeight="1">
      <c r="A738" s="113" t="n"/>
      <c r="B738" s="540" t="n"/>
      <c r="C738" s="540" t="n"/>
      <c r="D738" s="540" t="n"/>
      <c r="E738" s="113" t="n"/>
      <c r="F738" s="537" t="n"/>
      <c r="G738" s="113" t="n"/>
    </row>
    <row r="739" ht="18.75" customHeight="1">
      <c r="A739" s="113" t="n"/>
      <c r="B739" s="540" t="n"/>
      <c r="C739" s="540" t="n"/>
      <c r="D739" s="540" t="n"/>
      <c r="E739" s="113" t="n"/>
      <c r="F739" s="537" t="n"/>
      <c r="G739" s="113" t="n"/>
    </row>
    <row r="740" ht="18.75" customHeight="1">
      <c r="A740" s="113" t="n"/>
      <c r="B740" s="540" t="n"/>
      <c r="C740" s="540" t="n"/>
      <c r="D740" s="540" t="n"/>
      <c r="E740" s="113" t="n"/>
      <c r="F740" s="537" t="n"/>
      <c r="G740" s="113" t="n"/>
    </row>
    <row r="741" ht="18.75" customHeight="1">
      <c r="A741" s="113" t="n"/>
      <c r="B741" s="540" t="n"/>
      <c r="C741" s="540" t="n"/>
      <c r="D741" s="540" t="n"/>
      <c r="E741" s="113" t="n"/>
      <c r="F741" s="537" t="n"/>
      <c r="G741" s="113" t="n"/>
    </row>
    <row r="742" ht="18.75" customHeight="1">
      <c r="A742" s="113" t="n"/>
      <c r="B742" s="540" t="n"/>
      <c r="C742" s="540" t="n"/>
      <c r="D742" s="540" t="n"/>
      <c r="E742" s="113" t="n"/>
      <c r="F742" s="537" t="n"/>
      <c r="G742" s="113" t="n"/>
    </row>
    <row r="743" ht="18.75" customHeight="1">
      <c r="A743" s="113" t="n"/>
      <c r="B743" s="540" t="n"/>
      <c r="C743" s="540" t="n"/>
      <c r="D743" s="540" t="n"/>
      <c r="E743" s="113" t="n"/>
      <c r="F743" s="537" t="n"/>
      <c r="G743" s="113" t="n"/>
    </row>
    <row r="744" ht="18.75" customHeight="1">
      <c r="A744" s="113" t="n"/>
      <c r="B744" s="540" t="n"/>
      <c r="C744" s="540" t="n"/>
      <c r="D744" s="540" t="n"/>
      <c r="E744" s="113" t="n"/>
      <c r="F744" s="537" t="n"/>
      <c r="G744" s="113" t="n"/>
    </row>
    <row r="745" ht="18.75" customHeight="1">
      <c r="A745" s="113" t="n"/>
      <c r="B745" s="540" t="n"/>
      <c r="C745" s="540" t="n"/>
      <c r="D745" s="540" t="n"/>
      <c r="E745" s="113" t="n"/>
      <c r="F745" s="537" t="n"/>
      <c r="G745" s="113" t="n"/>
    </row>
    <row r="746" ht="18.75" customHeight="1">
      <c r="A746" s="113" t="n"/>
      <c r="B746" s="540" t="n"/>
      <c r="C746" s="540" t="n"/>
      <c r="D746" s="540" t="n"/>
      <c r="E746" s="113" t="n"/>
      <c r="F746" s="537" t="n"/>
      <c r="G746" s="113" t="n"/>
    </row>
    <row r="747" ht="18.75" customHeight="1">
      <c r="A747" s="113" t="n"/>
      <c r="B747" s="540" t="n"/>
      <c r="C747" s="540" t="n"/>
      <c r="D747" s="540" t="n"/>
      <c r="E747" s="113" t="n"/>
      <c r="F747" s="537" t="n"/>
      <c r="G747" s="113" t="n"/>
    </row>
    <row r="748" ht="18.75" customHeight="1">
      <c r="A748" s="113" t="n"/>
      <c r="B748" s="540" t="n"/>
      <c r="C748" s="540" t="n"/>
      <c r="D748" s="540" t="n"/>
      <c r="E748" s="113" t="n"/>
      <c r="F748" s="537" t="n"/>
      <c r="G748" s="113" t="n"/>
    </row>
    <row r="749" ht="18.75" customHeight="1">
      <c r="A749" s="113" t="n"/>
      <c r="B749" s="540" t="n"/>
      <c r="C749" s="540" t="n"/>
      <c r="D749" s="540" t="n"/>
      <c r="E749" s="113" t="n"/>
      <c r="F749" s="537" t="n"/>
      <c r="G749" s="113" t="n"/>
    </row>
    <row r="750" ht="18.75" customHeight="1">
      <c r="A750" s="113" t="n"/>
      <c r="B750" s="540" t="n"/>
      <c r="C750" s="540" t="n"/>
      <c r="D750" s="540" t="n"/>
      <c r="E750" s="113" t="n"/>
      <c r="F750" s="537" t="n"/>
      <c r="G750" s="113" t="n"/>
    </row>
    <row r="751" ht="18.75" customHeight="1">
      <c r="A751" s="113" t="n"/>
      <c r="B751" s="540" t="n"/>
      <c r="C751" s="540" t="n"/>
      <c r="D751" s="540" t="n"/>
      <c r="E751" s="113" t="n"/>
      <c r="F751" s="537" t="n"/>
      <c r="G751" s="113" t="n"/>
    </row>
    <row r="752" ht="18.75" customHeight="1">
      <c r="A752" s="113" t="n"/>
      <c r="B752" s="540" t="n"/>
      <c r="C752" s="540" t="n"/>
      <c r="D752" s="540" t="n"/>
      <c r="E752" s="113" t="n"/>
      <c r="F752" s="537" t="n"/>
      <c r="G752" s="113" t="n"/>
    </row>
    <row r="753" ht="18.75" customHeight="1">
      <c r="A753" s="113" t="n"/>
      <c r="B753" s="540" t="n"/>
      <c r="C753" s="540" t="n"/>
      <c r="D753" s="540" t="n"/>
      <c r="E753" s="113" t="n"/>
      <c r="F753" s="537" t="n"/>
      <c r="G753" s="113" t="n"/>
    </row>
    <row r="754" ht="18.75" customHeight="1">
      <c r="A754" s="113" t="n"/>
      <c r="B754" s="540" t="n"/>
      <c r="C754" s="540" t="n"/>
      <c r="D754" s="540" t="n"/>
      <c r="E754" s="113" t="n"/>
      <c r="F754" s="537" t="n"/>
      <c r="G754" s="113" t="n"/>
    </row>
    <row r="755" ht="18.75" customHeight="1">
      <c r="A755" s="113" t="n"/>
      <c r="B755" s="540" t="n"/>
      <c r="C755" s="540" t="n"/>
      <c r="D755" s="540" t="n"/>
      <c r="E755" s="113" t="n"/>
      <c r="F755" s="537" t="n"/>
      <c r="G755" s="113" t="n"/>
    </row>
    <row r="756" ht="18.75" customHeight="1">
      <c r="A756" s="113" t="n"/>
      <c r="B756" s="540" t="n"/>
      <c r="C756" s="540" t="n"/>
      <c r="D756" s="540" t="n"/>
      <c r="E756" s="113" t="n"/>
      <c r="F756" s="537" t="n"/>
      <c r="G756" s="113" t="n"/>
    </row>
    <row r="757" ht="18.75" customHeight="1">
      <c r="A757" s="113" t="n"/>
      <c r="B757" s="540" t="n"/>
      <c r="C757" s="540" t="n"/>
      <c r="D757" s="540" t="n"/>
      <c r="E757" s="113" t="n"/>
      <c r="F757" s="537" t="n"/>
      <c r="G757" s="113" t="n"/>
    </row>
    <row r="758" ht="18.75" customHeight="1">
      <c r="A758" s="113" t="n"/>
      <c r="B758" s="540" t="n"/>
      <c r="C758" s="540" t="n"/>
      <c r="D758" s="540" t="n"/>
      <c r="E758" s="113" t="n"/>
      <c r="F758" s="537" t="n"/>
      <c r="G758" s="113" t="n"/>
    </row>
    <row r="759" ht="18.75" customHeight="1">
      <c r="A759" s="113" t="n"/>
      <c r="B759" s="540" t="n"/>
      <c r="C759" s="540" t="n"/>
      <c r="D759" s="540" t="n"/>
      <c r="E759" s="113" t="n"/>
      <c r="F759" s="537" t="n"/>
      <c r="G759" s="113" t="n"/>
    </row>
    <row r="760" ht="18.75" customHeight="1">
      <c r="A760" s="113" t="n"/>
      <c r="B760" s="540" t="n"/>
      <c r="C760" s="540" t="n"/>
      <c r="D760" s="540" t="n"/>
      <c r="E760" s="113" t="n"/>
      <c r="F760" s="537" t="n"/>
      <c r="G760" s="113" t="n"/>
    </row>
    <row r="761" ht="18.75" customHeight="1">
      <c r="A761" s="113" t="n"/>
      <c r="B761" s="540" t="n"/>
      <c r="C761" s="540" t="n"/>
      <c r="D761" s="540" t="n"/>
      <c r="E761" s="113" t="n"/>
      <c r="F761" s="537" t="n"/>
      <c r="G761" s="113" t="n"/>
    </row>
    <row r="762" ht="18.75" customHeight="1">
      <c r="A762" s="113" t="n"/>
      <c r="B762" s="540" t="n"/>
      <c r="C762" s="540" t="n"/>
      <c r="D762" s="540" t="n"/>
      <c r="E762" s="113" t="n"/>
      <c r="F762" s="537" t="n"/>
      <c r="G762" s="113" t="n"/>
    </row>
    <row r="763" ht="18.75" customHeight="1">
      <c r="A763" s="113" t="n"/>
      <c r="B763" s="540" t="n"/>
      <c r="C763" s="540" t="n"/>
      <c r="D763" s="540" t="n"/>
      <c r="E763" s="113" t="n"/>
      <c r="F763" s="537" t="n"/>
      <c r="G763" s="113" t="n"/>
    </row>
    <row r="764" ht="18.75" customHeight="1">
      <c r="A764" s="113" t="n"/>
      <c r="B764" s="540" t="n"/>
      <c r="C764" s="540" t="n"/>
      <c r="D764" s="540" t="n"/>
      <c r="E764" s="113" t="n"/>
      <c r="F764" s="537" t="n"/>
      <c r="G764" s="113" t="n"/>
    </row>
    <row r="765" ht="18.75" customHeight="1">
      <c r="A765" s="113" t="n"/>
      <c r="B765" s="540" t="n"/>
      <c r="C765" s="540" t="n"/>
      <c r="D765" s="540" t="n"/>
      <c r="E765" s="113" t="n"/>
      <c r="F765" s="537" t="n"/>
      <c r="G765" s="113" t="n"/>
    </row>
    <row r="766" ht="18.75" customHeight="1">
      <c r="A766" s="113" t="n"/>
      <c r="B766" s="540" t="n"/>
      <c r="C766" s="540" t="n"/>
      <c r="D766" s="540" t="n"/>
      <c r="E766" s="113" t="n"/>
      <c r="F766" s="537" t="n"/>
      <c r="G766" s="113" t="n"/>
    </row>
    <row r="767" ht="18.75" customHeight="1">
      <c r="A767" s="113" t="n"/>
      <c r="B767" s="540" t="n"/>
      <c r="C767" s="540" t="n"/>
      <c r="D767" s="540" t="n"/>
      <c r="E767" s="113" t="n"/>
      <c r="F767" s="537" t="n"/>
      <c r="G767" s="113" t="n"/>
    </row>
    <row r="768" ht="18.75" customHeight="1">
      <c r="A768" s="113" t="n"/>
      <c r="B768" s="540" t="n"/>
      <c r="C768" s="540" t="n"/>
      <c r="D768" s="540" t="n"/>
      <c r="E768" s="113" t="n"/>
      <c r="F768" s="537" t="n"/>
      <c r="G768" s="113" t="n"/>
    </row>
    <row r="769" ht="18.75" customHeight="1">
      <c r="A769" s="113" t="n"/>
      <c r="B769" s="540" t="n"/>
      <c r="C769" s="540" t="n"/>
      <c r="D769" s="540" t="n"/>
      <c r="E769" s="113" t="n"/>
      <c r="F769" s="537" t="n"/>
      <c r="G769" s="113" t="n"/>
    </row>
    <row r="770" ht="18.75" customHeight="1">
      <c r="A770" s="113" t="n"/>
      <c r="B770" s="540" t="n"/>
      <c r="C770" s="540" t="n"/>
      <c r="D770" s="540" t="n"/>
      <c r="E770" s="113" t="n"/>
      <c r="F770" s="537" t="n"/>
      <c r="G770" s="113" t="n"/>
    </row>
    <row r="771" ht="18.75" customHeight="1">
      <c r="A771" s="113" t="n"/>
      <c r="B771" s="540" t="n"/>
      <c r="C771" s="540" t="n"/>
      <c r="D771" s="540" t="n"/>
      <c r="E771" s="113" t="n"/>
      <c r="F771" s="537" t="n"/>
      <c r="G771" s="113" t="n"/>
    </row>
    <row r="772" ht="18.75" customHeight="1">
      <c r="A772" s="113" t="n"/>
      <c r="B772" s="540" t="n"/>
      <c r="C772" s="540" t="n"/>
      <c r="D772" s="540" t="n"/>
      <c r="E772" s="113" t="n"/>
      <c r="F772" s="537" t="n"/>
      <c r="G772" s="113" t="n"/>
    </row>
    <row r="773" ht="18.75" customHeight="1">
      <c r="A773" s="113" t="n"/>
      <c r="B773" s="540" t="n"/>
      <c r="C773" s="540" t="n"/>
      <c r="D773" s="540" t="n"/>
      <c r="E773" s="113" t="n"/>
      <c r="F773" s="537" t="n"/>
      <c r="G773" s="113" t="n"/>
    </row>
    <row r="774" ht="18.75" customHeight="1">
      <c r="A774" s="113" t="n"/>
      <c r="B774" s="540" t="n"/>
      <c r="C774" s="540" t="n"/>
      <c r="D774" s="540" t="n"/>
      <c r="E774" s="113" t="n"/>
      <c r="F774" s="537" t="n"/>
      <c r="G774" s="113" t="n"/>
    </row>
    <row r="775" ht="18.75" customHeight="1">
      <c r="A775" s="113" t="n"/>
      <c r="B775" s="540" t="n"/>
      <c r="C775" s="540" t="n"/>
      <c r="D775" s="540" t="n"/>
      <c r="E775" s="113" t="n"/>
      <c r="F775" s="537" t="n"/>
      <c r="G775" s="113" t="n"/>
    </row>
    <row r="776" ht="18.75" customHeight="1">
      <c r="A776" s="113" t="n"/>
      <c r="B776" s="540" t="n"/>
      <c r="C776" s="540" t="n"/>
      <c r="D776" s="540" t="n"/>
      <c r="E776" s="113" t="n"/>
      <c r="F776" s="537" t="n"/>
      <c r="G776" s="113" t="n"/>
    </row>
    <row r="777" ht="18.75" customHeight="1">
      <c r="A777" s="113" t="n"/>
      <c r="B777" s="540" t="n"/>
      <c r="C777" s="540" t="n"/>
      <c r="D777" s="540" t="n"/>
      <c r="E777" s="113" t="n"/>
      <c r="F777" s="537" t="n"/>
      <c r="G777" s="113" t="n"/>
    </row>
    <row r="778" ht="18.75" customHeight="1">
      <c r="A778" s="113" t="n"/>
      <c r="B778" s="540" t="n"/>
      <c r="C778" s="540" t="n"/>
      <c r="D778" s="540" t="n"/>
      <c r="E778" s="113" t="n"/>
      <c r="F778" s="537" t="n"/>
      <c r="G778" s="113" t="n"/>
    </row>
    <row r="779" ht="18.75" customHeight="1">
      <c r="A779" s="113" t="n"/>
      <c r="B779" s="540" t="n"/>
      <c r="C779" s="540" t="n"/>
      <c r="D779" s="540" t="n"/>
      <c r="E779" s="113" t="n"/>
      <c r="F779" s="537" t="n"/>
      <c r="G779" s="113" t="n"/>
    </row>
    <row r="780" ht="18.75" customHeight="1">
      <c r="A780" s="113" t="n"/>
      <c r="B780" s="540" t="n"/>
      <c r="C780" s="540" t="n"/>
      <c r="D780" s="540" t="n"/>
      <c r="E780" s="113" t="n"/>
      <c r="F780" s="537" t="n"/>
      <c r="G780" s="113" t="n"/>
    </row>
    <row r="781" ht="18.75" customHeight="1">
      <c r="A781" s="113" t="n"/>
      <c r="B781" s="540" t="n"/>
      <c r="C781" s="540" t="n"/>
      <c r="D781" s="540" t="n"/>
      <c r="E781" s="113" t="n"/>
      <c r="F781" s="537" t="n"/>
      <c r="G781" s="113" t="n"/>
    </row>
    <row r="782" ht="18.75" customHeight="1">
      <c r="A782" s="113" t="n"/>
      <c r="B782" s="540" t="n"/>
      <c r="C782" s="540" t="n"/>
      <c r="D782" s="540" t="n"/>
      <c r="E782" s="113" t="n"/>
      <c r="F782" s="537" t="n"/>
      <c r="G782" s="113" t="n"/>
    </row>
    <row r="783" ht="18.75" customHeight="1">
      <c r="A783" s="113" t="n"/>
      <c r="B783" s="540" t="n"/>
      <c r="C783" s="540" t="n"/>
      <c r="D783" s="540" t="n"/>
      <c r="E783" s="113" t="n"/>
      <c r="F783" s="537" t="n"/>
      <c r="G783" s="113" t="n"/>
    </row>
    <row r="784" ht="18.75" customHeight="1">
      <c r="A784" s="113" t="n"/>
      <c r="B784" s="540" t="n"/>
      <c r="C784" s="540" t="n"/>
      <c r="D784" s="540" t="n"/>
      <c r="E784" s="113" t="n"/>
      <c r="F784" s="537" t="n"/>
      <c r="G784" s="113" t="n"/>
    </row>
    <row r="785" ht="18.75" customHeight="1">
      <c r="A785" s="113" t="n"/>
      <c r="B785" s="540" t="n"/>
      <c r="C785" s="540" t="n"/>
      <c r="D785" s="540" t="n"/>
      <c r="E785" s="113" t="n"/>
      <c r="F785" s="537" t="n"/>
      <c r="G785" s="113" t="n"/>
    </row>
    <row r="786" ht="18.75" customHeight="1">
      <c r="A786" s="113" t="n"/>
      <c r="B786" s="540" t="n"/>
      <c r="C786" s="540" t="n"/>
      <c r="D786" s="540" t="n"/>
      <c r="E786" s="113" t="n"/>
      <c r="F786" s="537" t="n"/>
      <c r="G786" s="113" t="n"/>
    </row>
    <row r="787" ht="18.75" customHeight="1">
      <c r="A787" s="113" t="n"/>
      <c r="B787" s="540" t="n"/>
      <c r="C787" s="540" t="n"/>
      <c r="D787" s="540" t="n"/>
      <c r="E787" s="113" t="n"/>
      <c r="F787" s="537" t="n"/>
      <c r="G787" s="113" t="n"/>
    </row>
    <row r="788" ht="18.75" customHeight="1">
      <c r="A788" s="113" t="n"/>
      <c r="B788" s="540" t="n"/>
      <c r="C788" s="540" t="n"/>
      <c r="D788" s="540" t="n"/>
      <c r="E788" s="113" t="n"/>
      <c r="F788" s="537" t="n"/>
      <c r="G788" s="113" t="n"/>
    </row>
    <row r="789" ht="18.75" customHeight="1">
      <c r="A789" s="113" t="n"/>
      <c r="B789" s="540" t="n"/>
      <c r="C789" s="540" t="n"/>
      <c r="D789" s="540" t="n"/>
      <c r="E789" s="113" t="n"/>
      <c r="F789" s="537" t="n"/>
      <c r="G789" s="113" t="n"/>
    </row>
    <row r="790" ht="18.75" customHeight="1">
      <c r="A790" s="113" t="n"/>
      <c r="B790" s="540" t="n"/>
      <c r="C790" s="540" t="n"/>
      <c r="D790" s="540" t="n"/>
      <c r="E790" s="113" t="n"/>
      <c r="F790" s="537" t="n"/>
      <c r="G790" s="113" t="n"/>
    </row>
    <row r="791" ht="18.75" customHeight="1">
      <c r="A791" s="113" t="n"/>
      <c r="B791" s="540" t="n"/>
      <c r="C791" s="540" t="n"/>
      <c r="D791" s="540" t="n"/>
      <c r="E791" s="113" t="n"/>
      <c r="F791" s="537" t="n"/>
      <c r="G791" s="113" t="n"/>
    </row>
    <row r="792" ht="18.75" customHeight="1">
      <c r="A792" s="113" t="n"/>
      <c r="B792" s="540" t="n"/>
      <c r="C792" s="540" t="n"/>
      <c r="D792" s="540" t="n"/>
      <c r="E792" s="113" t="n"/>
      <c r="F792" s="537" t="n"/>
      <c r="G792" s="113" t="n"/>
    </row>
    <row r="793" ht="18.75" customHeight="1">
      <c r="A793" s="113" t="n"/>
      <c r="B793" s="540" t="n"/>
      <c r="C793" s="540" t="n"/>
      <c r="D793" s="540" t="n"/>
      <c r="E793" s="113" t="n"/>
      <c r="F793" s="537" t="n"/>
      <c r="G793" s="113" t="n"/>
    </row>
    <row r="794" ht="18.75" customHeight="1">
      <c r="A794" s="113" t="n"/>
      <c r="B794" s="540" t="n"/>
      <c r="C794" s="540" t="n"/>
      <c r="D794" s="540" t="n"/>
      <c r="E794" s="113" t="n"/>
      <c r="F794" s="537" t="n"/>
      <c r="G794" s="113" t="n"/>
    </row>
    <row r="795" ht="18.75" customHeight="1">
      <c r="A795" s="113" t="n"/>
      <c r="B795" s="540" t="n"/>
      <c r="C795" s="540" t="n"/>
      <c r="D795" s="540" t="n"/>
      <c r="E795" s="113" t="n"/>
      <c r="F795" s="537" t="n"/>
      <c r="G795" s="113" t="n"/>
    </row>
    <row r="796" ht="18.75" customHeight="1">
      <c r="A796" s="113" t="n"/>
      <c r="B796" s="540" t="n"/>
      <c r="C796" s="540" t="n"/>
      <c r="D796" s="540" t="n"/>
      <c r="E796" s="113" t="n"/>
      <c r="F796" s="537" t="n"/>
      <c r="G796" s="113" t="n"/>
    </row>
    <row r="797" ht="18.75" customHeight="1">
      <c r="A797" s="113" t="n"/>
      <c r="B797" s="540" t="n"/>
      <c r="C797" s="540" t="n"/>
      <c r="D797" s="540" t="n"/>
      <c r="E797" s="113" t="n"/>
      <c r="F797" s="537" t="n"/>
      <c r="G797" s="113" t="n"/>
    </row>
    <row r="798" ht="18.75" customHeight="1">
      <c r="A798" s="113" t="n"/>
      <c r="B798" s="540" t="n"/>
      <c r="C798" s="540" t="n"/>
      <c r="D798" s="540" t="n"/>
      <c r="E798" s="113" t="n"/>
      <c r="F798" s="537" t="n"/>
      <c r="G798" s="113" t="n"/>
    </row>
    <row r="799" ht="18.75" customHeight="1">
      <c r="A799" s="113" t="n"/>
      <c r="B799" s="540" t="n"/>
      <c r="C799" s="540" t="n"/>
      <c r="D799" s="540" t="n"/>
      <c r="E799" s="113" t="n"/>
      <c r="F799" s="537" t="n"/>
      <c r="G799" s="113" t="n"/>
    </row>
    <row r="800" ht="18.75" customHeight="1">
      <c r="A800" s="113" t="n"/>
      <c r="B800" s="540" t="n"/>
      <c r="C800" s="540" t="n"/>
      <c r="D800" s="540" t="n"/>
      <c r="E800" s="113" t="n"/>
      <c r="F800" s="537" t="n"/>
      <c r="G800" s="113" t="n"/>
    </row>
    <row r="801" ht="18.75" customHeight="1">
      <c r="A801" s="113" t="n"/>
      <c r="B801" s="540" t="n"/>
      <c r="C801" s="540" t="n"/>
      <c r="D801" s="540" t="n"/>
      <c r="E801" s="113" t="n"/>
      <c r="F801" s="537" t="n"/>
      <c r="G801" s="113" t="n"/>
    </row>
    <row r="802" ht="18.75" customHeight="1">
      <c r="A802" s="113" t="n"/>
      <c r="B802" s="540" t="n"/>
      <c r="C802" s="540" t="n"/>
      <c r="D802" s="540" t="n"/>
      <c r="E802" s="113" t="n"/>
      <c r="F802" s="537" t="n"/>
      <c r="G802" s="113" t="n"/>
    </row>
    <row r="803" ht="18.75" customHeight="1">
      <c r="A803" s="113" t="n"/>
      <c r="B803" s="540" t="n"/>
      <c r="C803" s="540" t="n"/>
      <c r="D803" s="540" t="n"/>
      <c r="E803" s="113" t="n"/>
      <c r="F803" s="537" t="n"/>
      <c r="G803" s="113" t="n"/>
    </row>
    <row r="804" ht="18.75" customHeight="1">
      <c r="A804" s="113" t="n"/>
      <c r="B804" s="540" t="n"/>
      <c r="C804" s="540" t="n"/>
      <c r="D804" s="540" t="n"/>
      <c r="E804" s="113" t="n"/>
      <c r="F804" s="537" t="n"/>
      <c r="G804" s="113" t="n"/>
    </row>
    <row r="805" ht="18.75" customHeight="1">
      <c r="A805" s="113" t="n"/>
      <c r="B805" s="540" t="n"/>
      <c r="C805" s="540" t="n"/>
      <c r="D805" s="540" t="n"/>
      <c r="E805" s="113" t="n"/>
      <c r="F805" s="537" t="n"/>
      <c r="G805" s="113" t="n"/>
    </row>
    <row r="806" ht="18.75" customHeight="1">
      <c r="A806" s="113" t="n"/>
      <c r="B806" s="540" t="n"/>
      <c r="C806" s="540" t="n"/>
      <c r="D806" s="540" t="n"/>
      <c r="E806" s="113" t="n"/>
      <c r="F806" s="537" t="n"/>
      <c r="G806" s="113" t="n"/>
    </row>
    <row r="807" ht="18.75" customHeight="1">
      <c r="A807" s="113" t="n"/>
      <c r="B807" s="540" t="n"/>
      <c r="C807" s="540" t="n"/>
      <c r="D807" s="540" t="n"/>
      <c r="E807" s="113" t="n"/>
      <c r="F807" s="537" t="n"/>
      <c r="G807" s="113" t="n"/>
    </row>
    <row r="808" ht="18.75" customHeight="1">
      <c r="A808" s="113" t="n"/>
      <c r="B808" s="540" t="n"/>
      <c r="C808" s="540" t="n"/>
      <c r="D808" s="540" t="n"/>
      <c r="E808" s="113" t="n"/>
      <c r="F808" s="537" t="n"/>
      <c r="G808" s="113" t="n"/>
    </row>
    <row r="809" ht="18.75" customHeight="1">
      <c r="A809" s="113" t="n"/>
      <c r="B809" s="540" t="n"/>
      <c r="C809" s="540" t="n"/>
      <c r="D809" s="540" t="n"/>
      <c r="E809" s="113" t="n"/>
      <c r="F809" s="537" t="n"/>
      <c r="G809" s="113" t="n"/>
    </row>
    <row r="810" ht="18.75" customHeight="1">
      <c r="A810" s="113" t="n"/>
      <c r="B810" s="540" t="n"/>
      <c r="C810" s="540" t="n"/>
      <c r="D810" s="540" t="n"/>
      <c r="E810" s="113" t="n"/>
      <c r="F810" s="537" t="n"/>
      <c r="G810" s="113" t="n"/>
    </row>
    <row r="811" ht="18.75" customHeight="1">
      <c r="A811" s="113" t="n"/>
      <c r="B811" s="540" t="n"/>
      <c r="C811" s="540" t="n"/>
      <c r="D811" s="540" t="n"/>
      <c r="E811" s="113" t="n"/>
      <c r="F811" s="537" t="n"/>
      <c r="G811" s="113" t="n"/>
    </row>
    <row r="812" ht="18.75" customHeight="1">
      <c r="A812" s="113" t="n"/>
      <c r="B812" s="540" t="n"/>
      <c r="C812" s="540" t="n"/>
      <c r="D812" s="540" t="n"/>
      <c r="E812" s="113" t="n"/>
      <c r="F812" s="537" t="n"/>
      <c r="G812" s="113" t="n"/>
    </row>
    <row r="813" ht="18.75" customHeight="1">
      <c r="A813" s="113" t="n"/>
      <c r="B813" s="540" t="n"/>
      <c r="C813" s="540" t="n"/>
      <c r="D813" s="540" t="n"/>
      <c r="E813" s="113" t="n"/>
      <c r="F813" s="537" t="n"/>
      <c r="G813" s="113" t="n"/>
    </row>
    <row r="814" ht="18.75" customHeight="1">
      <c r="A814" s="113" t="n"/>
      <c r="B814" s="540" t="n"/>
      <c r="C814" s="540" t="n"/>
      <c r="D814" s="540" t="n"/>
      <c r="E814" s="113" t="n"/>
      <c r="F814" s="537" t="n"/>
      <c r="G814" s="113" t="n"/>
    </row>
    <row r="815" ht="18.75" customHeight="1">
      <c r="A815" s="113" t="n"/>
      <c r="B815" s="540" t="n"/>
      <c r="C815" s="540" t="n"/>
      <c r="D815" s="540" t="n"/>
      <c r="E815" s="113" t="n"/>
      <c r="F815" s="537" t="n"/>
      <c r="G815" s="113" t="n"/>
    </row>
    <row r="816" ht="18.75" customHeight="1">
      <c r="A816" s="113" t="n"/>
      <c r="B816" s="540" t="n"/>
      <c r="C816" s="540" t="n"/>
      <c r="D816" s="540" t="n"/>
      <c r="E816" s="113" t="n"/>
      <c r="F816" s="537" t="n"/>
      <c r="G816" s="113" t="n"/>
    </row>
    <row r="817" ht="18.75" customHeight="1">
      <c r="A817" s="113" t="n"/>
      <c r="B817" s="540" t="n"/>
      <c r="C817" s="540" t="n"/>
      <c r="D817" s="540" t="n"/>
      <c r="E817" s="113" t="n"/>
      <c r="F817" s="537" t="n"/>
      <c r="G817" s="113" t="n"/>
    </row>
    <row r="818" ht="18.75" customHeight="1">
      <c r="A818" s="113" t="n"/>
      <c r="B818" s="540" t="n"/>
      <c r="C818" s="540" t="n"/>
      <c r="D818" s="540" t="n"/>
      <c r="E818" s="113" t="n"/>
      <c r="F818" s="537" t="n"/>
      <c r="G818" s="113" t="n"/>
    </row>
    <row r="819" ht="18.75" customHeight="1">
      <c r="A819" s="113" t="n"/>
      <c r="B819" s="540" t="n"/>
      <c r="C819" s="540" t="n"/>
      <c r="D819" s="540" t="n"/>
      <c r="E819" s="113" t="n"/>
      <c r="F819" s="537" t="n"/>
      <c r="G819" s="113" t="n"/>
    </row>
    <row r="820" ht="18.75" customHeight="1">
      <c r="A820" s="113" t="n"/>
      <c r="B820" s="540" t="n"/>
      <c r="C820" s="540" t="n"/>
      <c r="D820" s="540" t="n"/>
      <c r="E820" s="113" t="n"/>
      <c r="F820" s="537" t="n"/>
      <c r="G820" s="113" t="n"/>
    </row>
    <row r="821" ht="18.75" customHeight="1">
      <c r="A821" s="113" t="n"/>
      <c r="B821" s="540" t="n"/>
      <c r="C821" s="540" t="n"/>
      <c r="D821" s="540" t="n"/>
      <c r="E821" s="113" t="n"/>
      <c r="F821" s="537" t="n"/>
      <c r="G821" s="113" t="n"/>
    </row>
    <row r="822" ht="18.75" customHeight="1">
      <c r="A822" s="113" t="n"/>
      <c r="B822" s="540" t="n"/>
      <c r="C822" s="540" t="n"/>
      <c r="D822" s="540" t="n"/>
      <c r="E822" s="113" t="n"/>
      <c r="F822" s="537" t="n"/>
      <c r="G822" s="113" t="n"/>
    </row>
    <row r="823" ht="18.75" customHeight="1">
      <c r="A823" s="113" t="n"/>
      <c r="B823" s="540" t="n"/>
      <c r="C823" s="540" t="n"/>
      <c r="D823" s="540" t="n"/>
      <c r="E823" s="113" t="n"/>
      <c r="F823" s="537" t="n"/>
      <c r="G823" s="113" t="n"/>
    </row>
    <row r="824" ht="18.75" customHeight="1">
      <c r="A824" s="113" t="n"/>
      <c r="B824" s="540" t="n"/>
      <c r="C824" s="540" t="n"/>
      <c r="D824" s="540" t="n"/>
      <c r="E824" s="113" t="n"/>
      <c r="F824" s="537" t="n"/>
      <c r="G824" s="113" t="n"/>
    </row>
    <row r="825" ht="18.75" customHeight="1">
      <c r="A825" s="113" t="n"/>
      <c r="B825" s="540" t="n"/>
      <c r="C825" s="540" t="n"/>
      <c r="D825" s="540" t="n"/>
      <c r="E825" s="113" t="n"/>
      <c r="F825" s="537" t="n"/>
      <c r="G825" s="113" t="n"/>
    </row>
    <row r="826" ht="18.75" customHeight="1">
      <c r="A826" s="113" t="n"/>
      <c r="B826" s="540" t="n"/>
      <c r="C826" s="540" t="n"/>
      <c r="D826" s="540" t="n"/>
      <c r="E826" s="113" t="n"/>
      <c r="F826" s="537" t="n"/>
      <c r="G826" s="113" t="n"/>
    </row>
    <row r="827" ht="18.75" customHeight="1">
      <c r="A827" s="113" t="n"/>
      <c r="B827" s="540" t="n"/>
      <c r="C827" s="540" t="n"/>
      <c r="D827" s="540" t="n"/>
      <c r="E827" s="113" t="n"/>
      <c r="F827" s="537" t="n"/>
      <c r="G827" s="113" t="n"/>
    </row>
    <row r="828" ht="18.75" customHeight="1">
      <c r="A828" s="113" t="n"/>
      <c r="B828" s="540" t="n"/>
      <c r="C828" s="540" t="n"/>
      <c r="D828" s="540" t="n"/>
      <c r="E828" s="113" t="n"/>
      <c r="F828" s="537" t="n"/>
      <c r="G828" s="113" t="n"/>
    </row>
    <row r="829" ht="18.75" customHeight="1">
      <c r="A829" s="113" t="n"/>
      <c r="B829" s="540" t="n"/>
      <c r="C829" s="540" t="n"/>
      <c r="D829" s="540" t="n"/>
      <c r="E829" s="113" t="n"/>
      <c r="F829" s="537" t="n"/>
      <c r="G829" s="113" t="n"/>
    </row>
    <row r="830" ht="18.75" customHeight="1">
      <c r="A830" s="113" t="n"/>
      <c r="B830" s="540" t="n"/>
      <c r="C830" s="540" t="n"/>
      <c r="D830" s="540" t="n"/>
      <c r="E830" s="113" t="n"/>
      <c r="F830" s="537" t="n"/>
      <c r="G830" s="113" t="n"/>
    </row>
    <row r="831" ht="18.75" customHeight="1">
      <c r="A831" s="113" t="n"/>
      <c r="B831" s="540" t="n"/>
      <c r="C831" s="540" t="n"/>
      <c r="D831" s="540" t="n"/>
      <c r="E831" s="113" t="n"/>
      <c r="F831" s="537" t="n"/>
      <c r="G831" s="113" t="n"/>
    </row>
    <row r="832" ht="18.75" customHeight="1">
      <c r="A832" s="113" t="n"/>
      <c r="B832" s="540" t="n"/>
      <c r="C832" s="540" t="n"/>
      <c r="D832" s="540" t="n"/>
      <c r="E832" s="113" t="n"/>
      <c r="F832" s="537" t="n"/>
      <c r="G832" s="113" t="n"/>
    </row>
    <row r="833" ht="18.75" customHeight="1">
      <c r="A833" s="113" t="n"/>
      <c r="B833" s="540" t="n"/>
      <c r="C833" s="540" t="n"/>
      <c r="D833" s="540" t="n"/>
      <c r="E833" s="113" t="n"/>
      <c r="F833" s="537" t="n"/>
      <c r="G833" s="113" t="n"/>
    </row>
    <row r="834" ht="18.75" customHeight="1">
      <c r="A834" s="113" t="n"/>
      <c r="B834" s="540" t="n"/>
      <c r="C834" s="540" t="n"/>
      <c r="D834" s="540" t="n"/>
      <c r="E834" s="113" t="n"/>
      <c r="F834" s="537" t="n"/>
      <c r="G834" s="113" t="n"/>
    </row>
    <row r="835" ht="18.75" customHeight="1">
      <c r="A835" s="113" t="n"/>
      <c r="B835" s="540" t="n"/>
      <c r="C835" s="540" t="n"/>
      <c r="D835" s="540" t="n"/>
      <c r="E835" s="113" t="n"/>
      <c r="F835" s="537" t="n"/>
      <c r="G835" s="113" t="n"/>
    </row>
    <row r="836" ht="18.75" customHeight="1">
      <c r="A836" s="113" t="n"/>
      <c r="B836" s="540" t="n"/>
      <c r="C836" s="540" t="n"/>
      <c r="D836" s="540" t="n"/>
      <c r="E836" s="113" t="n"/>
      <c r="F836" s="537" t="n"/>
      <c r="G836" s="113" t="n"/>
    </row>
    <row r="837" ht="18.75" customHeight="1">
      <c r="A837" s="113" t="n"/>
      <c r="B837" s="540" t="n"/>
      <c r="C837" s="540" t="n"/>
      <c r="D837" s="540" t="n"/>
      <c r="E837" s="113" t="n"/>
      <c r="F837" s="537" t="n"/>
      <c r="G837" s="113" t="n"/>
    </row>
    <row r="838" ht="18.75" customHeight="1">
      <c r="A838" s="113" t="n"/>
      <c r="B838" s="540" t="n"/>
      <c r="C838" s="540" t="n"/>
      <c r="D838" s="540" t="n"/>
      <c r="E838" s="113" t="n"/>
      <c r="F838" s="537" t="n"/>
      <c r="G838" s="113" t="n"/>
    </row>
    <row r="839" ht="18.75" customHeight="1">
      <c r="A839" s="113" t="n"/>
      <c r="B839" s="540" t="n"/>
      <c r="C839" s="540" t="n"/>
      <c r="D839" s="540" t="n"/>
      <c r="E839" s="113" t="n"/>
      <c r="F839" s="537" t="n"/>
      <c r="G839" s="113" t="n"/>
    </row>
    <row r="840" ht="18.75" customHeight="1">
      <c r="A840" s="113" t="n"/>
      <c r="B840" s="540" t="n"/>
      <c r="C840" s="540" t="n"/>
      <c r="D840" s="540" t="n"/>
      <c r="E840" s="113" t="n"/>
      <c r="F840" s="537" t="n"/>
      <c r="G840" s="113" t="n"/>
    </row>
    <row r="841" ht="18.75" customHeight="1">
      <c r="A841" s="113" t="n"/>
      <c r="B841" s="540" t="n"/>
      <c r="C841" s="540" t="n"/>
      <c r="D841" s="540" t="n"/>
      <c r="E841" s="113" t="n"/>
      <c r="F841" s="537" t="n"/>
      <c r="G841" s="113" t="n"/>
    </row>
    <row r="842" ht="18.75" customHeight="1">
      <c r="A842" s="113" t="n"/>
      <c r="B842" s="540" t="n"/>
      <c r="C842" s="540" t="n"/>
      <c r="D842" s="540" t="n"/>
      <c r="E842" s="113" t="n"/>
      <c r="F842" s="537" t="n"/>
      <c r="G842" s="113" t="n"/>
    </row>
    <row r="843" ht="18.75" customHeight="1">
      <c r="A843" s="113" t="n"/>
      <c r="B843" s="540" t="n"/>
      <c r="C843" s="540" t="n"/>
      <c r="D843" s="540" t="n"/>
      <c r="E843" s="113" t="n"/>
      <c r="F843" s="537" t="n"/>
      <c r="G843" s="113" t="n"/>
    </row>
    <row r="844" ht="18.75" customHeight="1">
      <c r="A844" s="113" t="n"/>
      <c r="B844" s="540" t="n"/>
      <c r="C844" s="540" t="n"/>
      <c r="D844" s="540" t="n"/>
      <c r="E844" s="113" t="n"/>
      <c r="F844" s="537" t="n"/>
      <c r="G844" s="113" t="n"/>
    </row>
    <row r="845" ht="18.75" customHeight="1">
      <c r="A845" s="113" t="n"/>
      <c r="B845" s="540" t="n"/>
      <c r="C845" s="540" t="n"/>
      <c r="D845" s="540" t="n"/>
      <c r="E845" s="113" t="n"/>
      <c r="F845" s="537" t="n"/>
      <c r="G845" s="113" t="n"/>
    </row>
    <row r="846" ht="18.75" customHeight="1">
      <c r="A846" s="113" t="n"/>
      <c r="B846" s="540" t="n"/>
      <c r="C846" s="540" t="n"/>
      <c r="D846" s="540" t="n"/>
      <c r="E846" s="113" t="n"/>
      <c r="F846" s="537" t="n"/>
      <c r="G846" s="113" t="n"/>
    </row>
    <row r="847" ht="18.75" customHeight="1">
      <c r="A847" s="113" t="n"/>
      <c r="B847" s="540" t="n"/>
      <c r="C847" s="540" t="n"/>
      <c r="D847" s="540" t="n"/>
      <c r="E847" s="113" t="n"/>
      <c r="F847" s="537" t="n"/>
      <c r="G847" s="113" t="n"/>
    </row>
    <row r="848" ht="18.75" customHeight="1">
      <c r="A848" s="113" t="n"/>
      <c r="B848" s="540" t="n"/>
      <c r="C848" s="540" t="n"/>
      <c r="D848" s="540" t="n"/>
      <c r="E848" s="113" t="n"/>
      <c r="F848" s="537" t="n"/>
      <c r="G848" s="113" t="n"/>
    </row>
    <row r="849" ht="18.75" customHeight="1">
      <c r="A849" s="113" t="n"/>
      <c r="B849" s="540" t="n"/>
      <c r="C849" s="540" t="n"/>
      <c r="D849" s="540" t="n"/>
      <c r="E849" s="113" t="n"/>
      <c r="F849" s="537" t="n"/>
      <c r="G849" s="113" t="n"/>
    </row>
    <row r="850" ht="18.75" customHeight="1">
      <c r="A850" s="113" t="n"/>
      <c r="B850" s="540" t="n"/>
      <c r="C850" s="540" t="n"/>
      <c r="D850" s="540" t="n"/>
      <c r="E850" s="113" t="n"/>
      <c r="F850" s="537" t="n"/>
      <c r="G850" s="113" t="n"/>
    </row>
    <row r="851" ht="18.75" customHeight="1">
      <c r="A851" s="113" t="n"/>
      <c r="B851" s="540" t="n"/>
      <c r="C851" s="540" t="n"/>
      <c r="D851" s="540" t="n"/>
      <c r="E851" s="113" t="n"/>
      <c r="F851" s="537" t="n"/>
      <c r="G851" s="113" t="n"/>
    </row>
    <row r="852" ht="18.75" customHeight="1">
      <c r="A852" s="113" t="n"/>
      <c r="B852" s="540" t="n"/>
      <c r="C852" s="540" t="n"/>
      <c r="D852" s="540" t="n"/>
      <c r="E852" s="113" t="n"/>
      <c r="F852" s="537" t="n"/>
      <c r="G852" s="113" t="n"/>
    </row>
    <row r="853" ht="18.75" customHeight="1">
      <c r="A853" s="113" t="n"/>
      <c r="B853" s="540" t="n"/>
      <c r="C853" s="540" t="n"/>
      <c r="D853" s="540" t="n"/>
      <c r="E853" s="113" t="n"/>
      <c r="F853" s="537" t="n"/>
      <c r="G853" s="113" t="n"/>
    </row>
    <row r="854" ht="18.75" customHeight="1">
      <c r="A854" s="113" t="n"/>
      <c r="B854" s="540" t="n"/>
      <c r="C854" s="540" t="n"/>
      <c r="D854" s="540" t="n"/>
      <c r="E854" s="113" t="n"/>
      <c r="F854" s="537" t="n"/>
      <c r="G854" s="113" t="n"/>
    </row>
    <row r="855" ht="18.75" customHeight="1">
      <c r="A855" s="113" t="n"/>
      <c r="B855" s="540" t="n"/>
      <c r="C855" s="540" t="n"/>
      <c r="D855" s="540" t="n"/>
      <c r="E855" s="113" t="n"/>
      <c r="F855" s="537" t="n"/>
      <c r="G855" s="113" t="n"/>
    </row>
    <row r="856" ht="18.75" customHeight="1">
      <c r="A856" s="113" t="n"/>
      <c r="B856" s="540" t="n"/>
      <c r="C856" s="540" t="n"/>
      <c r="D856" s="540" t="n"/>
      <c r="E856" s="113" t="n"/>
      <c r="F856" s="537" t="n"/>
      <c r="G856" s="113" t="n"/>
    </row>
    <row r="857" ht="18.75" customHeight="1">
      <c r="A857" s="113" t="n"/>
      <c r="B857" s="540" t="n"/>
      <c r="C857" s="540" t="n"/>
      <c r="D857" s="540" t="n"/>
      <c r="E857" s="113" t="n"/>
      <c r="F857" s="537" t="n"/>
      <c r="G857" s="113" t="n"/>
    </row>
    <row r="858" ht="18.75" customHeight="1">
      <c r="A858" s="113" t="n"/>
      <c r="B858" s="540" t="n"/>
      <c r="C858" s="540" t="n"/>
      <c r="D858" s="540" t="n"/>
      <c r="E858" s="113" t="n"/>
      <c r="F858" s="537" t="n"/>
      <c r="G858" s="113" t="n"/>
    </row>
    <row r="859" ht="18.75" customHeight="1">
      <c r="A859" s="113" t="n"/>
      <c r="B859" s="540" t="n"/>
      <c r="C859" s="540" t="n"/>
      <c r="D859" s="540" t="n"/>
      <c r="E859" s="113" t="n"/>
      <c r="F859" s="537" t="n"/>
      <c r="G859" s="113" t="n"/>
    </row>
    <row r="860" ht="18.75" customHeight="1">
      <c r="A860" s="113" t="n"/>
      <c r="B860" s="540" t="n"/>
      <c r="C860" s="540" t="n"/>
      <c r="D860" s="540" t="n"/>
      <c r="E860" s="113" t="n"/>
      <c r="F860" s="537" t="n"/>
      <c r="G860" s="113" t="n"/>
    </row>
    <row r="861" ht="18.75" customHeight="1">
      <c r="A861" s="113" t="n"/>
      <c r="B861" s="540" t="n"/>
      <c r="C861" s="540" t="n"/>
      <c r="D861" s="540" t="n"/>
      <c r="E861" s="113" t="n"/>
      <c r="F861" s="537" t="n"/>
      <c r="G861" s="113" t="n"/>
    </row>
    <row r="862" ht="18.75" customHeight="1">
      <c r="A862" s="113" t="n"/>
      <c r="B862" s="540" t="n"/>
      <c r="C862" s="540" t="n"/>
      <c r="D862" s="540" t="n"/>
      <c r="E862" s="113" t="n"/>
      <c r="F862" s="537" t="n"/>
      <c r="G862" s="113" t="n"/>
    </row>
    <row r="863" ht="18.75" customHeight="1">
      <c r="A863" s="113" t="n"/>
      <c r="B863" s="540" t="n"/>
      <c r="C863" s="540" t="n"/>
      <c r="D863" s="540" t="n"/>
      <c r="E863" s="113" t="n"/>
      <c r="F863" s="537" t="n"/>
      <c r="G863" s="113" t="n"/>
    </row>
    <row r="864" ht="18.75" customHeight="1">
      <c r="A864" s="113" t="n"/>
      <c r="B864" s="540" t="n"/>
      <c r="C864" s="540" t="n"/>
      <c r="D864" s="540" t="n"/>
      <c r="E864" s="113" t="n"/>
      <c r="F864" s="537" t="n"/>
      <c r="G864" s="113" t="n"/>
    </row>
    <row r="865" ht="18.75" customHeight="1">
      <c r="A865" s="113" t="n"/>
      <c r="B865" s="540" t="n"/>
      <c r="C865" s="540" t="n"/>
      <c r="D865" s="540" t="n"/>
      <c r="E865" s="113" t="n"/>
      <c r="F865" s="537" t="n"/>
      <c r="G865" s="113" t="n"/>
    </row>
    <row r="866" ht="18.75" customHeight="1">
      <c r="A866" s="113" t="n"/>
      <c r="B866" s="540" t="n"/>
      <c r="C866" s="540" t="n"/>
      <c r="D866" s="540" t="n"/>
      <c r="E866" s="113" t="n"/>
      <c r="F866" s="537" t="n"/>
      <c r="G866" s="113" t="n"/>
    </row>
    <row r="867" ht="18.75" customHeight="1">
      <c r="A867" s="113" t="n"/>
      <c r="B867" s="540" t="n"/>
      <c r="C867" s="540" t="n"/>
      <c r="D867" s="540" t="n"/>
      <c r="E867" s="113" t="n"/>
      <c r="F867" s="537" t="n"/>
      <c r="G867" s="113" t="n"/>
    </row>
    <row r="868" ht="18.75" customHeight="1">
      <c r="A868" s="113" t="n"/>
      <c r="B868" s="540" t="n"/>
      <c r="C868" s="540" t="n"/>
      <c r="D868" s="540" t="n"/>
      <c r="E868" s="113" t="n"/>
      <c r="F868" s="537" t="n"/>
      <c r="G868" s="113" t="n"/>
    </row>
    <row r="869" ht="18.75" customHeight="1">
      <c r="A869" s="113" t="n"/>
      <c r="B869" s="540" t="n"/>
      <c r="C869" s="540" t="n"/>
      <c r="D869" s="540" t="n"/>
      <c r="E869" s="113" t="n"/>
      <c r="F869" s="537" t="n"/>
      <c r="G869" s="113" t="n"/>
    </row>
    <row r="870" ht="18.75" customHeight="1">
      <c r="A870" s="113" t="n"/>
      <c r="B870" s="540" t="n"/>
      <c r="C870" s="540" t="n"/>
      <c r="D870" s="540" t="n"/>
      <c r="E870" s="113" t="n"/>
      <c r="F870" s="537" t="n"/>
      <c r="G870" s="113" t="n"/>
    </row>
    <row r="871" ht="18.75" customHeight="1">
      <c r="A871" s="113" t="n"/>
      <c r="B871" s="540" t="n"/>
      <c r="C871" s="540" t="n"/>
      <c r="D871" s="540" t="n"/>
      <c r="E871" s="113" t="n"/>
      <c r="F871" s="537" t="n"/>
      <c r="G871" s="113" t="n"/>
    </row>
    <row r="872" ht="18.75" customHeight="1">
      <c r="A872" s="113" t="n"/>
      <c r="B872" s="540" t="n"/>
      <c r="C872" s="540" t="n"/>
      <c r="D872" s="540" t="n"/>
      <c r="E872" s="113" t="n"/>
      <c r="F872" s="537" t="n"/>
      <c r="G872" s="113" t="n"/>
    </row>
    <row r="873" ht="18.75" customHeight="1">
      <c r="A873" s="113" t="n"/>
      <c r="B873" s="540" t="n"/>
      <c r="C873" s="540" t="n"/>
      <c r="D873" s="540" t="n"/>
      <c r="E873" s="113" t="n"/>
      <c r="F873" s="537" t="n"/>
      <c r="G873" s="113" t="n"/>
    </row>
    <row r="874" ht="18.75" customHeight="1">
      <c r="A874" s="113" t="n"/>
      <c r="B874" s="540" t="n"/>
      <c r="C874" s="540" t="n"/>
      <c r="D874" s="540" t="n"/>
      <c r="E874" s="113" t="n"/>
      <c r="F874" s="537" t="n"/>
      <c r="G874" s="113" t="n"/>
    </row>
    <row r="875" ht="18.75" customHeight="1">
      <c r="A875" s="113" t="n"/>
      <c r="B875" s="540" t="n"/>
      <c r="C875" s="540" t="n"/>
      <c r="D875" s="540" t="n"/>
      <c r="E875" s="113" t="n"/>
      <c r="F875" s="537" t="n"/>
      <c r="G875" s="113" t="n"/>
    </row>
    <row r="876" ht="18.75" customHeight="1">
      <c r="A876" s="113" t="n"/>
      <c r="B876" s="540" t="n"/>
      <c r="C876" s="540" t="n"/>
      <c r="D876" s="540" t="n"/>
      <c r="E876" s="113" t="n"/>
      <c r="F876" s="537" t="n"/>
      <c r="G876" s="113" t="n"/>
    </row>
    <row r="877" ht="18.75" customHeight="1">
      <c r="A877" s="113" t="n"/>
      <c r="B877" s="540" t="n"/>
      <c r="C877" s="540" t="n"/>
      <c r="D877" s="540" t="n"/>
      <c r="E877" s="113" t="n"/>
      <c r="F877" s="537" t="n"/>
      <c r="G877" s="113" t="n"/>
    </row>
    <row r="878" ht="18.75" customHeight="1">
      <c r="A878" s="113" t="n"/>
      <c r="B878" s="540" t="n"/>
      <c r="C878" s="540" t="n"/>
      <c r="D878" s="540" t="n"/>
      <c r="E878" s="113" t="n"/>
      <c r="F878" s="537" t="n"/>
      <c r="G878" s="113" t="n"/>
    </row>
    <row r="879" ht="18.75" customHeight="1">
      <c r="A879" s="113" t="n"/>
      <c r="B879" s="540" t="n"/>
      <c r="C879" s="540" t="n"/>
      <c r="D879" s="540" t="n"/>
      <c r="E879" s="113" t="n"/>
      <c r="F879" s="537" t="n"/>
      <c r="G879" s="113" t="n"/>
    </row>
    <row r="880" ht="18.75" customHeight="1">
      <c r="A880" s="113" t="n"/>
      <c r="B880" s="540" t="n"/>
      <c r="C880" s="540" t="n"/>
      <c r="D880" s="540" t="n"/>
      <c r="E880" s="113" t="n"/>
      <c r="F880" s="537" t="n"/>
      <c r="G880" s="113" t="n"/>
    </row>
    <row r="881" ht="18.75" customHeight="1">
      <c r="A881" s="113" t="n"/>
      <c r="B881" s="540" t="n"/>
      <c r="C881" s="540" t="n"/>
      <c r="D881" s="540" t="n"/>
      <c r="E881" s="113" t="n"/>
      <c r="F881" s="537" t="n"/>
      <c r="G881" s="113" t="n"/>
    </row>
    <row r="882" ht="18.75" customHeight="1">
      <c r="A882" s="113" t="n"/>
      <c r="B882" s="540" t="n"/>
      <c r="C882" s="540" t="n"/>
      <c r="D882" s="540" t="n"/>
      <c r="E882" s="113" t="n"/>
      <c r="F882" s="537" t="n"/>
      <c r="G882" s="113" t="n"/>
    </row>
    <row r="883" ht="18.75" customHeight="1">
      <c r="A883" s="113" t="n"/>
      <c r="B883" s="540" t="n"/>
      <c r="C883" s="540" t="n"/>
      <c r="D883" s="540" t="n"/>
      <c r="E883" s="113" t="n"/>
      <c r="F883" s="537" t="n"/>
      <c r="G883" s="113" t="n"/>
    </row>
    <row r="884" ht="18.75" customHeight="1">
      <c r="A884" s="113" t="n"/>
      <c r="B884" s="540" t="n"/>
      <c r="C884" s="540" t="n"/>
      <c r="D884" s="540" t="n"/>
      <c r="E884" s="113" t="n"/>
      <c r="F884" s="537" t="n"/>
      <c r="G884" s="113" t="n"/>
    </row>
    <row r="885" ht="18.75" customHeight="1">
      <c r="A885" s="113" t="n"/>
      <c r="B885" s="540" t="n"/>
      <c r="C885" s="540" t="n"/>
      <c r="D885" s="540" t="n"/>
      <c r="E885" s="113" t="n"/>
      <c r="F885" s="537" t="n"/>
      <c r="G885" s="113" t="n"/>
    </row>
    <row r="886" ht="18.75" customHeight="1">
      <c r="A886" s="113" t="n"/>
      <c r="B886" s="540" t="n"/>
      <c r="C886" s="540" t="n"/>
      <c r="D886" s="540" t="n"/>
      <c r="E886" s="113" t="n"/>
      <c r="F886" s="537" t="n"/>
      <c r="G886" s="113" t="n"/>
    </row>
    <row r="887" ht="18.75" customHeight="1">
      <c r="A887" s="113" t="n"/>
      <c r="B887" s="540" t="n"/>
      <c r="C887" s="540" t="n"/>
      <c r="D887" s="540" t="n"/>
      <c r="E887" s="113" t="n"/>
      <c r="F887" s="537" t="n"/>
      <c r="G887" s="113" t="n"/>
    </row>
    <row r="888" ht="18.75" customHeight="1">
      <c r="A888" s="113" t="n"/>
      <c r="B888" s="540" t="n"/>
      <c r="C888" s="540" t="n"/>
      <c r="D888" s="540" t="n"/>
      <c r="E888" s="113" t="n"/>
      <c r="F888" s="537" t="n"/>
      <c r="G888" s="113" t="n"/>
    </row>
    <row r="889" ht="18.75" customHeight="1">
      <c r="A889" s="113" t="n"/>
      <c r="B889" s="540" t="n"/>
      <c r="C889" s="540" t="n"/>
      <c r="D889" s="540" t="n"/>
      <c r="E889" s="113" t="n"/>
      <c r="F889" s="537" t="n"/>
      <c r="G889" s="113" t="n"/>
    </row>
    <row r="890" ht="18.75" customHeight="1">
      <c r="A890" s="113" t="n"/>
      <c r="B890" s="540" t="n"/>
      <c r="C890" s="540" t="n"/>
      <c r="D890" s="540" t="n"/>
      <c r="E890" s="113" t="n"/>
      <c r="F890" s="537" t="n"/>
      <c r="G890" s="113" t="n"/>
    </row>
    <row r="891" ht="18.75" customHeight="1">
      <c r="A891" s="113" t="n"/>
      <c r="B891" s="540" t="n"/>
      <c r="C891" s="540" t="n"/>
      <c r="D891" s="540" t="n"/>
      <c r="E891" s="113" t="n"/>
      <c r="F891" s="537" t="n"/>
      <c r="G891" s="113" t="n"/>
    </row>
    <row r="892" ht="18.75" customHeight="1">
      <c r="A892" s="113" t="n"/>
      <c r="B892" s="540" t="n"/>
      <c r="C892" s="540" t="n"/>
      <c r="D892" s="540" t="n"/>
      <c r="E892" s="113" t="n"/>
      <c r="F892" s="537" t="n"/>
      <c r="G892" s="113" t="n"/>
    </row>
    <row r="893" ht="18.75" customHeight="1">
      <c r="A893" s="113" t="n"/>
      <c r="B893" s="540" t="n"/>
      <c r="C893" s="540" t="n"/>
      <c r="D893" s="540" t="n"/>
      <c r="E893" s="113" t="n"/>
      <c r="F893" s="537" t="n"/>
      <c r="G893" s="113" t="n"/>
    </row>
    <row r="894" ht="18.75" customHeight="1">
      <c r="A894" s="113" t="n"/>
      <c r="B894" s="540" t="n"/>
      <c r="C894" s="540" t="n"/>
      <c r="D894" s="540" t="n"/>
      <c r="E894" s="113" t="n"/>
      <c r="F894" s="537" t="n"/>
      <c r="G894" s="113" t="n"/>
    </row>
    <row r="895" ht="18.75" customHeight="1">
      <c r="A895" s="113" t="n"/>
      <c r="B895" s="540" t="n"/>
      <c r="C895" s="540" t="n"/>
      <c r="D895" s="540" t="n"/>
      <c r="E895" s="113" t="n"/>
      <c r="F895" s="537" t="n"/>
      <c r="G895" s="113" t="n"/>
    </row>
    <row r="896" ht="18.75" customHeight="1">
      <c r="A896" s="113" t="n"/>
      <c r="B896" s="540" t="n"/>
      <c r="C896" s="540" t="n"/>
      <c r="D896" s="540" t="n"/>
      <c r="E896" s="113" t="n"/>
      <c r="F896" s="537" t="n"/>
      <c r="G896" s="113" t="n"/>
    </row>
    <row r="897" ht="18.75" customHeight="1">
      <c r="A897" s="113" t="n"/>
      <c r="B897" s="540" t="n"/>
      <c r="C897" s="540" t="n"/>
      <c r="D897" s="540" t="n"/>
      <c r="E897" s="113" t="n"/>
      <c r="F897" s="537" t="n"/>
      <c r="G897" s="113" t="n"/>
    </row>
    <row r="898" ht="18.75" customHeight="1">
      <c r="A898" s="113" t="n"/>
      <c r="B898" s="540" t="n"/>
      <c r="C898" s="540" t="n"/>
      <c r="D898" s="540" t="n"/>
      <c r="E898" s="113" t="n"/>
      <c r="F898" s="537" t="n"/>
      <c r="G898" s="113" t="n"/>
    </row>
    <row r="899" ht="18.75" customHeight="1">
      <c r="A899" s="113" t="n"/>
      <c r="B899" s="540" t="n"/>
      <c r="C899" s="540" t="n"/>
      <c r="D899" s="540" t="n"/>
      <c r="E899" s="113" t="n"/>
      <c r="F899" s="537" t="n"/>
      <c r="G899" s="113" t="n"/>
    </row>
    <row r="900" ht="18.75" customHeight="1">
      <c r="A900" s="113" t="n"/>
      <c r="B900" s="540" t="n"/>
      <c r="C900" s="540" t="n"/>
      <c r="D900" s="540" t="n"/>
      <c r="E900" s="113" t="n"/>
      <c r="F900" s="537" t="n"/>
      <c r="G900" s="113" t="n"/>
    </row>
    <row r="901" ht="18.75" customHeight="1">
      <c r="A901" s="113" t="n"/>
      <c r="B901" s="540" t="n"/>
      <c r="C901" s="540" t="n"/>
      <c r="D901" s="540" t="n"/>
      <c r="E901" s="113" t="n"/>
      <c r="F901" s="537" t="n"/>
      <c r="G901" s="113" t="n"/>
    </row>
    <row r="902" ht="18.75" customHeight="1">
      <c r="A902" s="113" t="n"/>
      <c r="B902" s="540" t="n"/>
      <c r="C902" s="540" t="n"/>
      <c r="D902" s="540" t="n"/>
      <c r="E902" s="113" t="n"/>
      <c r="F902" s="537" t="n"/>
      <c r="G902" s="113" t="n"/>
    </row>
    <row r="903" ht="18.75" customHeight="1">
      <c r="A903" s="113" t="n"/>
      <c r="B903" s="540" t="n"/>
      <c r="C903" s="540" t="n"/>
      <c r="D903" s="540" t="n"/>
      <c r="E903" s="113" t="n"/>
      <c r="F903" s="537" t="n"/>
      <c r="G903" s="113" t="n"/>
    </row>
    <row r="904" ht="18.75" customHeight="1">
      <c r="A904" s="113" t="n"/>
      <c r="B904" s="540" t="n"/>
      <c r="C904" s="540" t="n"/>
      <c r="D904" s="540" t="n"/>
      <c r="E904" s="113" t="n"/>
      <c r="F904" s="537" t="n"/>
      <c r="G904" s="113" t="n"/>
    </row>
    <row r="905" ht="18.75" customHeight="1">
      <c r="A905" s="113" t="n"/>
      <c r="B905" s="540" t="n"/>
      <c r="C905" s="540" t="n"/>
      <c r="D905" s="540" t="n"/>
      <c r="E905" s="113" t="n"/>
      <c r="F905" s="537" t="n"/>
      <c r="G905" s="113" t="n"/>
    </row>
    <row r="906" ht="18.75" customHeight="1">
      <c r="A906" s="113" t="n"/>
      <c r="B906" s="540" t="n"/>
      <c r="C906" s="540" t="n"/>
      <c r="D906" s="540" t="n"/>
      <c r="E906" s="113" t="n"/>
      <c r="F906" s="537" t="n"/>
      <c r="G906" s="113" t="n"/>
    </row>
    <row r="907" ht="18.75" customHeight="1">
      <c r="A907" s="113" t="n"/>
      <c r="B907" s="540" t="n"/>
      <c r="C907" s="540" t="n"/>
      <c r="D907" s="540" t="n"/>
      <c r="E907" s="113" t="n"/>
      <c r="F907" s="537" t="n"/>
      <c r="G907" s="113" t="n"/>
    </row>
    <row r="908" ht="18.75" customHeight="1">
      <c r="A908" s="113" t="n"/>
      <c r="B908" s="540" t="n"/>
      <c r="C908" s="540" t="n"/>
      <c r="D908" s="540" t="n"/>
      <c r="E908" s="113" t="n"/>
      <c r="F908" s="537" t="n"/>
      <c r="G908" s="113" t="n"/>
    </row>
    <row r="909" ht="18.75" customHeight="1">
      <c r="A909" s="113" t="n"/>
      <c r="B909" s="540" t="n"/>
      <c r="C909" s="540" t="n"/>
      <c r="D909" s="540" t="n"/>
      <c r="E909" s="113" t="n"/>
      <c r="F909" s="537" t="n"/>
      <c r="G909" s="113" t="n"/>
    </row>
    <row r="910" ht="18.75" customHeight="1">
      <c r="A910" s="113" t="n"/>
      <c r="B910" s="540" t="n"/>
      <c r="C910" s="540" t="n"/>
      <c r="D910" s="540" t="n"/>
      <c r="E910" s="113" t="n"/>
      <c r="F910" s="537" t="n"/>
      <c r="G910" s="113" t="n"/>
    </row>
    <row r="911" ht="18.75" customHeight="1">
      <c r="A911" s="113" t="n"/>
      <c r="B911" s="540" t="n"/>
      <c r="C911" s="540" t="n"/>
      <c r="D911" s="540" t="n"/>
      <c r="E911" s="113" t="n"/>
      <c r="F911" s="537" t="n"/>
      <c r="G911" s="113" t="n"/>
    </row>
    <row r="912" ht="18.75" customHeight="1">
      <c r="A912" s="113" t="n"/>
      <c r="B912" s="540" t="n"/>
      <c r="C912" s="540" t="n"/>
      <c r="D912" s="540" t="n"/>
      <c r="E912" s="113" t="n"/>
      <c r="F912" s="537" t="n"/>
      <c r="G912" s="113" t="n"/>
    </row>
    <row r="913" ht="18.75" customHeight="1">
      <c r="A913" s="113" t="n"/>
      <c r="B913" s="540" t="n"/>
      <c r="C913" s="540" t="n"/>
      <c r="D913" s="540" t="n"/>
      <c r="E913" s="113" t="n"/>
      <c r="F913" s="537" t="n"/>
      <c r="G913" s="113" t="n"/>
    </row>
    <row r="914" ht="18.75" customHeight="1">
      <c r="A914" s="113" t="n"/>
      <c r="B914" s="540" t="n"/>
      <c r="C914" s="540" t="n"/>
      <c r="D914" s="540" t="n"/>
      <c r="E914" s="113" t="n"/>
      <c r="F914" s="537" t="n"/>
      <c r="G914" s="113" t="n"/>
    </row>
    <row r="915" ht="18.75" customHeight="1">
      <c r="A915" s="113" t="n"/>
      <c r="B915" s="540" t="n"/>
      <c r="C915" s="540" t="n"/>
      <c r="D915" s="540" t="n"/>
      <c r="E915" s="113" t="n"/>
      <c r="F915" s="537" t="n"/>
      <c r="G915" s="113" t="n"/>
    </row>
    <row r="916" ht="18.75" customHeight="1">
      <c r="A916" s="113" t="n"/>
      <c r="B916" s="540" t="n"/>
      <c r="C916" s="540" t="n"/>
      <c r="D916" s="540" t="n"/>
      <c r="E916" s="113" t="n"/>
      <c r="F916" s="537" t="n"/>
      <c r="G916" s="113" t="n"/>
    </row>
    <row r="917" ht="18.75" customHeight="1">
      <c r="A917" s="113" t="n"/>
      <c r="B917" s="540" t="n"/>
      <c r="C917" s="540" t="n"/>
      <c r="D917" s="540" t="n"/>
      <c r="E917" s="113" t="n"/>
      <c r="F917" s="537" t="n"/>
      <c r="G917" s="113" t="n"/>
    </row>
    <row r="918" ht="18.75" customHeight="1">
      <c r="A918" s="113" t="n"/>
      <c r="B918" s="540" t="n"/>
      <c r="C918" s="540" t="n"/>
      <c r="D918" s="540" t="n"/>
      <c r="E918" s="113" t="n"/>
      <c r="F918" s="537" t="n"/>
      <c r="G918" s="113" t="n"/>
    </row>
    <row r="919" ht="18.75" customHeight="1">
      <c r="A919" s="113" t="n"/>
      <c r="B919" s="540" t="n"/>
      <c r="C919" s="540" t="n"/>
      <c r="D919" s="540" t="n"/>
      <c r="E919" s="113" t="n"/>
      <c r="F919" s="537" t="n"/>
      <c r="G919" s="113" t="n"/>
    </row>
    <row r="920" ht="18.75" customHeight="1">
      <c r="A920" s="113" t="n"/>
      <c r="B920" s="540" t="n"/>
      <c r="C920" s="540" t="n"/>
      <c r="D920" s="540" t="n"/>
      <c r="E920" s="113" t="n"/>
      <c r="F920" s="537" t="n"/>
      <c r="G920" s="113" t="n"/>
    </row>
    <row r="921" ht="18.75" customHeight="1">
      <c r="A921" s="113" t="n"/>
      <c r="B921" s="540" t="n"/>
      <c r="C921" s="540" t="n"/>
      <c r="D921" s="540" t="n"/>
      <c r="E921" s="113" t="n"/>
      <c r="F921" s="537" t="n"/>
      <c r="G921" s="113" t="n"/>
    </row>
    <row r="922" ht="18.75" customHeight="1">
      <c r="A922" s="113" t="n"/>
      <c r="B922" s="540" t="n"/>
      <c r="C922" s="540" t="n"/>
      <c r="D922" s="540" t="n"/>
      <c r="E922" s="113" t="n"/>
      <c r="F922" s="537" t="n"/>
      <c r="G922" s="113" t="n"/>
    </row>
    <row r="923" ht="18.75" customHeight="1">
      <c r="A923" s="113" t="n"/>
      <c r="B923" s="540" t="n"/>
      <c r="C923" s="540" t="n"/>
      <c r="D923" s="540" t="n"/>
      <c r="E923" s="113" t="n"/>
      <c r="F923" s="537" t="n"/>
      <c r="G923" s="113" t="n"/>
    </row>
    <row r="924" ht="18.75" customHeight="1">
      <c r="A924" s="113" t="n"/>
      <c r="B924" s="540" t="n"/>
      <c r="C924" s="540" t="n"/>
      <c r="D924" s="540" t="n"/>
      <c r="E924" s="113" t="n"/>
      <c r="F924" s="537" t="n"/>
      <c r="G924" s="113" t="n"/>
    </row>
    <row r="925" ht="18.75" customHeight="1">
      <c r="A925" s="113" t="n"/>
      <c r="B925" s="540" t="n"/>
      <c r="C925" s="540" t="n"/>
      <c r="D925" s="540" t="n"/>
      <c r="E925" s="113" t="n"/>
      <c r="F925" s="537" t="n"/>
      <c r="G925" s="113" t="n"/>
    </row>
    <row r="926" ht="18.75" customHeight="1">
      <c r="A926" s="113" t="n"/>
      <c r="B926" s="540" t="n"/>
      <c r="C926" s="540" t="n"/>
      <c r="D926" s="540" t="n"/>
      <c r="E926" s="113" t="n"/>
      <c r="F926" s="537" t="n"/>
      <c r="G926" s="113" t="n"/>
    </row>
    <row r="927" ht="18.75" customHeight="1">
      <c r="A927" s="113" t="n"/>
      <c r="B927" s="540" t="n"/>
      <c r="C927" s="540" t="n"/>
      <c r="D927" s="540" t="n"/>
      <c r="E927" s="113" t="n"/>
      <c r="F927" s="537" t="n"/>
      <c r="G927" s="113" t="n"/>
    </row>
    <row r="928" ht="18.75" customHeight="1">
      <c r="A928" s="113" t="n"/>
      <c r="B928" s="540" t="n"/>
      <c r="C928" s="540" t="n"/>
      <c r="D928" s="540" t="n"/>
      <c r="E928" s="113" t="n"/>
      <c r="F928" s="537" t="n"/>
      <c r="G928" s="113" t="n"/>
    </row>
    <row r="929" ht="18.75" customHeight="1">
      <c r="A929" s="113" t="n"/>
      <c r="B929" s="540" t="n"/>
      <c r="C929" s="540" t="n"/>
      <c r="D929" s="540" t="n"/>
      <c r="E929" s="113" t="n"/>
      <c r="F929" s="537" t="n"/>
      <c r="G929" s="113" t="n"/>
    </row>
    <row r="930" ht="18.75" customHeight="1">
      <c r="A930" s="113" t="n"/>
      <c r="B930" s="540" t="n"/>
      <c r="C930" s="540" t="n"/>
      <c r="D930" s="540" t="n"/>
      <c r="E930" s="113" t="n"/>
      <c r="F930" s="537" t="n"/>
      <c r="G930" s="113" t="n"/>
    </row>
    <row r="931" ht="18.75" customHeight="1">
      <c r="A931" s="113" t="n"/>
      <c r="B931" s="540" t="n"/>
      <c r="C931" s="540" t="n"/>
      <c r="D931" s="540" t="n"/>
      <c r="E931" s="113" t="n"/>
      <c r="F931" s="537" t="n"/>
      <c r="G931" s="113" t="n"/>
    </row>
    <row r="932" ht="18.75" customHeight="1">
      <c r="A932" s="113" t="n"/>
      <c r="B932" s="540" t="n"/>
      <c r="C932" s="540" t="n"/>
      <c r="D932" s="540" t="n"/>
      <c r="E932" s="113" t="n"/>
      <c r="F932" s="537" t="n"/>
      <c r="G932" s="113" t="n"/>
    </row>
    <row r="933" ht="18.75" customHeight="1">
      <c r="A933" s="113" t="n"/>
      <c r="B933" s="540" t="n"/>
      <c r="C933" s="540" t="n"/>
      <c r="D933" s="540" t="n"/>
      <c r="E933" s="113" t="n"/>
      <c r="F933" s="537" t="n"/>
      <c r="G933" s="113" t="n"/>
    </row>
    <row r="934" ht="18.75" customHeight="1">
      <c r="A934" s="113" t="n"/>
      <c r="B934" s="540" t="n"/>
      <c r="C934" s="540" t="n"/>
      <c r="D934" s="540" t="n"/>
      <c r="E934" s="113" t="n"/>
      <c r="F934" s="537" t="n"/>
      <c r="G934" s="113" t="n"/>
    </row>
    <row r="935" ht="18.75" customHeight="1">
      <c r="A935" s="113" t="n"/>
      <c r="B935" s="540" t="n"/>
      <c r="C935" s="540" t="n"/>
      <c r="D935" s="540" t="n"/>
      <c r="E935" s="113" t="n"/>
      <c r="F935" s="537" t="n"/>
      <c r="G935" s="113" t="n"/>
    </row>
    <row r="936" ht="18.75" customHeight="1">
      <c r="A936" s="113" t="n"/>
      <c r="B936" s="540" t="n"/>
      <c r="C936" s="540" t="n"/>
      <c r="D936" s="540" t="n"/>
      <c r="E936" s="113" t="n"/>
      <c r="F936" s="537" t="n"/>
      <c r="G936" s="113" t="n"/>
    </row>
    <row r="937" ht="18.75" customHeight="1">
      <c r="A937" s="113" t="n"/>
      <c r="B937" s="540" t="n"/>
      <c r="C937" s="540" t="n"/>
      <c r="D937" s="540" t="n"/>
      <c r="E937" s="113" t="n"/>
      <c r="F937" s="537" t="n"/>
      <c r="G937" s="113" t="n"/>
    </row>
    <row r="938" ht="18.75" customHeight="1">
      <c r="A938" s="113" t="n"/>
      <c r="B938" s="540" t="n"/>
      <c r="C938" s="540" t="n"/>
      <c r="D938" s="540" t="n"/>
      <c r="E938" s="113" t="n"/>
      <c r="F938" s="537" t="n"/>
      <c r="G938" s="113" t="n"/>
    </row>
    <row r="939" ht="18.75" customHeight="1">
      <c r="A939" s="113" t="n"/>
      <c r="B939" s="540" t="n"/>
      <c r="C939" s="540" t="n"/>
      <c r="D939" s="540" t="n"/>
      <c r="E939" s="113" t="n"/>
      <c r="F939" s="537" t="n"/>
      <c r="G939" s="113" t="n"/>
    </row>
    <row r="940" ht="18.75" customHeight="1">
      <c r="A940" s="113" t="n"/>
      <c r="B940" s="540" t="n"/>
      <c r="C940" s="540" t="n"/>
      <c r="D940" s="540" t="n"/>
      <c r="E940" s="113" t="n"/>
      <c r="F940" s="537" t="n"/>
      <c r="G940" s="113" t="n"/>
    </row>
    <row r="941" ht="18.75" customHeight="1">
      <c r="A941" s="113" t="n"/>
      <c r="B941" s="540" t="n"/>
      <c r="C941" s="540" t="n"/>
      <c r="D941" s="540" t="n"/>
      <c r="E941" s="113" t="n"/>
      <c r="F941" s="537" t="n"/>
      <c r="G941" s="113" t="n"/>
    </row>
    <row r="942" ht="18.75" customHeight="1">
      <c r="A942" s="113" t="n"/>
      <c r="B942" s="540" t="n"/>
      <c r="C942" s="540" t="n"/>
      <c r="D942" s="540" t="n"/>
      <c r="E942" s="113" t="n"/>
      <c r="F942" s="537" t="n"/>
      <c r="G942" s="113" t="n"/>
    </row>
    <row r="943" ht="18.75" customHeight="1">
      <c r="A943" s="113" t="n"/>
      <c r="B943" s="540" t="n"/>
      <c r="C943" s="540" t="n"/>
      <c r="D943" s="540" t="n"/>
      <c r="E943" s="113" t="n"/>
      <c r="F943" s="537" t="n"/>
      <c r="G943" s="113" t="n"/>
    </row>
    <row r="944" ht="18.75" customHeight="1">
      <c r="A944" s="113" t="n"/>
      <c r="B944" s="540" t="n"/>
      <c r="C944" s="540" t="n"/>
      <c r="D944" s="540" t="n"/>
      <c r="E944" s="113" t="n"/>
      <c r="F944" s="537" t="n"/>
      <c r="G944" s="113" t="n"/>
    </row>
    <row r="945" ht="18.75" customHeight="1">
      <c r="A945" s="113" t="n"/>
      <c r="B945" s="540" t="n"/>
      <c r="C945" s="540" t="n"/>
      <c r="D945" s="540" t="n"/>
      <c r="E945" s="113" t="n"/>
      <c r="F945" s="537" t="n"/>
      <c r="G945" s="113" t="n"/>
    </row>
    <row r="946" ht="18.75" customHeight="1">
      <c r="A946" s="113" t="n"/>
      <c r="B946" s="540" t="n"/>
      <c r="C946" s="540" t="n"/>
      <c r="D946" s="540" t="n"/>
      <c r="E946" s="113" t="n"/>
      <c r="F946" s="537" t="n"/>
      <c r="G946" s="113" t="n"/>
    </row>
    <row r="947" ht="18.75" customHeight="1">
      <c r="A947" s="113" t="n"/>
      <c r="B947" s="540" t="n"/>
      <c r="C947" s="540" t="n"/>
      <c r="D947" s="540" t="n"/>
      <c r="E947" s="113" t="n"/>
      <c r="F947" s="537" t="n"/>
      <c r="G947" s="113" t="n"/>
    </row>
    <row r="948" ht="18.75" customHeight="1">
      <c r="A948" s="113" t="n"/>
      <c r="B948" s="540" t="n"/>
      <c r="C948" s="540" t="n"/>
      <c r="D948" s="540" t="n"/>
      <c r="E948" s="113" t="n"/>
      <c r="F948" s="537" t="n"/>
      <c r="G948" s="113" t="n"/>
    </row>
    <row r="949" ht="18.75" customHeight="1">
      <c r="A949" s="113" t="n"/>
      <c r="B949" s="540" t="n"/>
      <c r="C949" s="540" t="n"/>
      <c r="D949" s="540" t="n"/>
      <c r="E949" s="113" t="n"/>
      <c r="F949" s="537" t="n"/>
      <c r="G949" s="113" t="n"/>
    </row>
    <row r="950" ht="18.75" customHeight="1">
      <c r="A950" s="113" t="n"/>
      <c r="B950" s="540" t="n"/>
      <c r="C950" s="540" t="n"/>
      <c r="D950" s="540" t="n"/>
      <c r="E950" s="113" t="n"/>
      <c r="F950" s="537" t="n"/>
      <c r="G950" s="113" t="n"/>
    </row>
    <row r="951" ht="18.75" customHeight="1">
      <c r="A951" s="113" t="n"/>
      <c r="B951" s="540" t="n"/>
      <c r="C951" s="540" t="n"/>
      <c r="D951" s="540" t="n"/>
      <c r="E951" s="113" t="n"/>
      <c r="F951" s="537" t="n"/>
      <c r="G951" s="113" t="n"/>
    </row>
    <row r="952" ht="18.75" customHeight="1">
      <c r="A952" s="113" t="n"/>
      <c r="B952" s="540" t="n"/>
      <c r="C952" s="540" t="n"/>
      <c r="D952" s="540" t="n"/>
      <c r="E952" s="113" t="n"/>
      <c r="F952" s="537" t="n"/>
      <c r="G952" s="113" t="n"/>
    </row>
    <row r="953" ht="18.75" customHeight="1">
      <c r="A953" s="113" t="n"/>
      <c r="B953" s="540" t="n"/>
      <c r="C953" s="540" t="n"/>
      <c r="D953" s="540" t="n"/>
      <c r="E953" s="113" t="n"/>
      <c r="F953" s="537" t="n"/>
      <c r="G953" s="113" t="n"/>
    </row>
    <row r="954" ht="18.75" customHeight="1">
      <c r="A954" s="113" t="n"/>
      <c r="B954" s="540" t="n"/>
      <c r="C954" s="540" t="n"/>
      <c r="D954" s="540" t="n"/>
      <c r="E954" s="113" t="n"/>
      <c r="F954" s="537" t="n"/>
      <c r="G954" s="113" t="n"/>
    </row>
    <row r="955" ht="18.75" customHeight="1">
      <c r="A955" s="113" t="n"/>
      <c r="B955" s="540" t="n"/>
      <c r="C955" s="540" t="n"/>
      <c r="D955" s="540" t="n"/>
      <c r="E955" s="113" t="n"/>
      <c r="F955" s="537" t="n"/>
      <c r="G955" s="113" t="n"/>
    </row>
    <row r="956" ht="18.75" customHeight="1">
      <c r="A956" s="113" t="n"/>
      <c r="B956" s="540" t="n"/>
      <c r="C956" s="540" t="n"/>
      <c r="D956" s="540" t="n"/>
      <c r="E956" s="113" t="n"/>
      <c r="F956" s="537" t="n"/>
      <c r="G956" s="113" t="n"/>
    </row>
    <row r="957" ht="18.75" customHeight="1">
      <c r="A957" s="113" t="n"/>
      <c r="B957" s="540" t="n"/>
      <c r="C957" s="540" t="n"/>
      <c r="D957" s="540" t="n"/>
      <c r="E957" s="113" t="n"/>
      <c r="F957" s="537" t="n"/>
      <c r="G957" s="113" t="n"/>
    </row>
    <row r="958" ht="18.75" customHeight="1">
      <c r="A958" s="113" t="n"/>
      <c r="B958" s="540" t="n"/>
      <c r="C958" s="540" t="n"/>
      <c r="D958" s="540" t="n"/>
      <c r="E958" s="113" t="n"/>
      <c r="F958" s="537" t="n"/>
      <c r="G958" s="113" t="n"/>
    </row>
    <row r="959" ht="18.75" customHeight="1">
      <c r="A959" s="113" t="n"/>
      <c r="B959" s="540" t="n"/>
      <c r="C959" s="540" t="n"/>
      <c r="D959" s="540" t="n"/>
      <c r="E959" s="113" t="n"/>
      <c r="F959" s="537" t="n"/>
      <c r="G959" s="113" t="n"/>
    </row>
    <row r="960" ht="18.75" customHeight="1">
      <c r="A960" s="113" t="n"/>
      <c r="B960" s="540" t="n"/>
      <c r="C960" s="540" t="n"/>
      <c r="D960" s="540" t="n"/>
      <c r="E960" s="113" t="n"/>
      <c r="F960" s="537" t="n"/>
      <c r="G960" s="113" t="n"/>
    </row>
    <row r="961" ht="18.75" customHeight="1">
      <c r="A961" s="113" t="n"/>
      <c r="B961" s="540" t="n"/>
      <c r="C961" s="540" t="n"/>
      <c r="D961" s="540" t="n"/>
      <c r="E961" s="113" t="n"/>
      <c r="F961" s="537" t="n"/>
      <c r="G961" s="113" t="n"/>
    </row>
    <row r="962" ht="18.75" customHeight="1">
      <c r="A962" s="113" t="n"/>
      <c r="B962" s="540" t="n"/>
      <c r="C962" s="540" t="n"/>
      <c r="D962" s="540" t="n"/>
      <c r="E962" s="113" t="n"/>
      <c r="F962" s="537" t="n"/>
      <c r="G962" s="113" t="n"/>
    </row>
    <row r="963" ht="18.75" customHeight="1">
      <c r="A963" s="113" t="n"/>
      <c r="B963" s="540" t="n"/>
      <c r="C963" s="540" t="n"/>
      <c r="D963" s="540" t="n"/>
      <c r="E963" s="113" t="n"/>
      <c r="F963" s="537" t="n"/>
      <c r="G963" s="113" t="n"/>
    </row>
    <row r="964" ht="18.75" customHeight="1">
      <c r="A964" s="113" t="n"/>
      <c r="B964" s="540" t="n"/>
      <c r="C964" s="540" t="n"/>
      <c r="D964" s="540" t="n"/>
      <c r="E964" s="113" t="n"/>
      <c r="F964" s="537" t="n"/>
      <c r="G964" s="113" t="n"/>
    </row>
    <row r="965" ht="18.75" customHeight="1">
      <c r="A965" s="113" t="n"/>
      <c r="B965" s="540" t="n"/>
      <c r="C965" s="540" t="n"/>
      <c r="D965" s="540" t="n"/>
      <c r="E965" s="113" t="n"/>
      <c r="F965" s="537" t="n"/>
      <c r="G965" s="113" t="n"/>
    </row>
    <row r="966" ht="18.75" customHeight="1">
      <c r="A966" s="113" t="n"/>
      <c r="B966" s="540" t="n"/>
      <c r="C966" s="540" t="n"/>
      <c r="D966" s="540" t="n"/>
      <c r="E966" s="113" t="n"/>
      <c r="F966" s="537" t="n"/>
      <c r="G966" s="113" t="n"/>
    </row>
    <row r="967" ht="18.75" customHeight="1">
      <c r="A967" s="113" t="n"/>
      <c r="B967" s="540" t="n"/>
      <c r="C967" s="540" t="n"/>
      <c r="D967" s="540" t="n"/>
      <c r="E967" s="113" t="n"/>
      <c r="F967" s="537" t="n"/>
      <c r="G967" s="113" t="n"/>
    </row>
    <row r="968" ht="18.75" customHeight="1">
      <c r="A968" s="113" t="n"/>
      <c r="B968" s="540" t="n"/>
      <c r="C968" s="540" t="n"/>
      <c r="D968" s="540" t="n"/>
      <c r="E968" s="113" t="n"/>
      <c r="F968" s="537" t="n"/>
      <c r="G968" s="113" t="n"/>
    </row>
    <row r="969" ht="18.75" customHeight="1">
      <c r="A969" s="113" t="n"/>
      <c r="B969" s="540" t="n"/>
      <c r="C969" s="540" t="n"/>
      <c r="D969" s="540" t="n"/>
      <c r="E969" s="113" t="n"/>
      <c r="F969" s="537" t="n"/>
      <c r="G969" s="113" t="n"/>
    </row>
    <row r="970" ht="18.75" customHeight="1">
      <c r="A970" s="113" t="n"/>
      <c r="B970" s="540" t="n"/>
      <c r="C970" s="540" t="n"/>
      <c r="D970" s="540" t="n"/>
      <c r="E970" s="113" t="n"/>
      <c r="F970" s="537" t="n"/>
      <c r="G970" s="113" t="n"/>
    </row>
    <row r="971" ht="18.75" customHeight="1">
      <c r="A971" s="113" t="n"/>
      <c r="B971" s="540" t="n"/>
      <c r="C971" s="540" t="n"/>
      <c r="D971" s="540" t="n"/>
      <c r="E971" s="113" t="n"/>
      <c r="F971" s="537" t="n"/>
      <c r="G971" s="113" t="n"/>
    </row>
    <row r="972" ht="18.75" customHeight="1">
      <c r="A972" s="113" t="n"/>
      <c r="B972" s="540" t="n"/>
      <c r="C972" s="540" t="n"/>
      <c r="D972" s="540" t="n"/>
      <c r="E972" s="113" t="n"/>
      <c r="F972" s="537" t="n"/>
      <c r="G972" s="113" t="n"/>
    </row>
    <row r="973" ht="18.75" customHeight="1">
      <c r="A973" s="113" t="n"/>
      <c r="B973" s="540" t="n"/>
      <c r="C973" s="540" t="n"/>
      <c r="D973" s="540" t="n"/>
      <c r="E973" s="113" t="n"/>
      <c r="F973" s="537" t="n"/>
      <c r="G973" s="113" t="n"/>
    </row>
    <row r="974" ht="18.75" customHeight="1">
      <c r="A974" s="113" t="n"/>
      <c r="B974" s="540" t="n"/>
      <c r="C974" s="540" t="n"/>
      <c r="D974" s="540" t="n"/>
      <c r="E974" s="113" t="n"/>
      <c r="F974" s="537" t="n"/>
      <c r="G974" s="113" t="n"/>
    </row>
    <row r="975" ht="18.75" customHeight="1">
      <c r="A975" s="113" t="n"/>
      <c r="B975" s="540" t="n"/>
      <c r="C975" s="540" t="n"/>
      <c r="D975" s="540" t="n"/>
      <c r="E975" s="113" t="n"/>
      <c r="F975" s="537" t="n"/>
      <c r="G975" s="113" t="n"/>
    </row>
    <row r="976" ht="18.75" customHeight="1">
      <c r="A976" s="113" t="n"/>
      <c r="B976" s="540" t="n"/>
      <c r="C976" s="540" t="n"/>
      <c r="D976" s="540" t="n"/>
      <c r="E976" s="113" t="n"/>
      <c r="F976" s="537" t="n"/>
      <c r="G976" s="113" t="n"/>
    </row>
    <row r="977" ht="18.75" customHeight="1">
      <c r="A977" s="113" t="n"/>
      <c r="B977" s="540" t="n"/>
      <c r="C977" s="540" t="n"/>
      <c r="D977" s="540" t="n"/>
      <c r="E977" s="113" t="n"/>
      <c r="F977" s="537" t="n"/>
      <c r="G977" s="113" t="n"/>
    </row>
    <row r="978" ht="18.75" customHeight="1">
      <c r="A978" s="113" t="n"/>
      <c r="B978" s="540" t="n"/>
      <c r="C978" s="540" t="n"/>
      <c r="D978" s="540" t="n"/>
      <c r="E978" s="113" t="n"/>
      <c r="F978" s="537" t="n"/>
      <c r="G978" s="113" t="n"/>
    </row>
    <row r="979" ht="18.75" customHeight="1">
      <c r="A979" s="113" t="n"/>
      <c r="B979" s="540" t="n"/>
      <c r="C979" s="540" t="n"/>
      <c r="D979" s="540" t="n"/>
      <c r="E979" s="113" t="n"/>
      <c r="F979" s="537" t="n"/>
      <c r="G979" s="113" t="n"/>
    </row>
    <row r="980" ht="18.75" customHeight="1">
      <c r="A980" s="113" t="n"/>
      <c r="B980" s="540" t="n"/>
      <c r="C980" s="540" t="n"/>
      <c r="D980" s="540" t="n"/>
      <c r="E980" s="113" t="n"/>
      <c r="F980" s="537" t="n"/>
      <c r="G980" s="113" t="n"/>
    </row>
    <row r="981" ht="18.75" customHeight="1">
      <c r="A981" s="113" t="n"/>
      <c r="B981" s="540" t="n"/>
      <c r="C981" s="540" t="n"/>
      <c r="D981" s="540" t="n"/>
      <c r="E981" s="113" t="n"/>
      <c r="F981" s="537" t="n"/>
      <c r="G981" s="113" t="n"/>
    </row>
    <row r="982" ht="18.75" customHeight="1">
      <c r="A982" s="113" t="n"/>
      <c r="B982" s="540" t="n"/>
      <c r="C982" s="540" t="n"/>
      <c r="D982" s="540" t="n"/>
      <c r="E982" s="113" t="n"/>
      <c r="F982" s="537" t="n"/>
      <c r="G982" s="113" t="n"/>
    </row>
    <row r="983" ht="18.75" customHeight="1">
      <c r="A983" s="113" t="n"/>
      <c r="B983" s="540" t="n"/>
      <c r="C983" s="540" t="n"/>
      <c r="D983" s="540" t="n"/>
      <c r="E983" s="113" t="n"/>
      <c r="F983" s="537" t="n"/>
      <c r="G983" s="113" t="n"/>
    </row>
    <row r="984" ht="18.75" customHeight="1">
      <c r="A984" s="113" t="n"/>
      <c r="B984" s="540" t="n"/>
      <c r="C984" s="540" t="n"/>
      <c r="D984" s="540" t="n"/>
      <c r="E984" s="113" t="n"/>
      <c r="F984" s="537" t="n"/>
      <c r="G984" s="113" t="n"/>
    </row>
    <row r="985" ht="18.75" customHeight="1">
      <c r="A985" s="113" t="n"/>
      <c r="B985" s="540" t="n"/>
      <c r="C985" s="540" t="n"/>
      <c r="D985" s="540" t="n"/>
      <c r="E985" s="113" t="n"/>
      <c r="F985" s="537" t="n"/>
      <c r="G985" s="113" t="n"/>
    </row>
    <row r="986" ht="18.75" customHeight="1">
      <c r="A986" s="113" t="n"/>
      <c r="B986" s="540" t="n"/>
      <c r="C986" s="540" t="n"/>
      <c r="D986" s="540" t="n"/>
      <c r="E986" s="113" t="n"/>
      <c r="F986" s="537" t="n"/>
      <c r="G986" s="113" t="n"/>
    </row>
    <row r="987" ht="18.75" customHeight="1">
      <c r="A987" s="113" t="n"/>
      <c r="B987" s="540" t="n"/>
      <c r="C987" s="540" t="n"/>
      <c r="D987" s="540" t="n"/>
      <c r="E987" s="113" t="n"/>
      <c r="F987" s="537" t="n"/>
      <c r="G987" s="113" t="n"/>
    </row>
    <row r="988" ht="18.75" customHeight="1">
      <c r="A988" s="113" t="n"/>
      <c r="B988" s="540" t="n"/>
      <c r="C988" s="540" t="n"/>
      <c r="D988" s="540" t="n"/>
      <c r="E988" s="113" t="n"/>
      <c r="F988" s="537" t="n"/>
      <c r="G988" s="113" t="n"/>
    </row>
    <row r="989" ht="18.75" customHeight="1">
      <c r="A989" s="113" t="n"/>
      <c r="B989" s="540" t="n"/>
      <c r="C989" s="540" t="n"/>
      <c r="D989" s="540" t="n"/>
      <c r="E989" s="113" t="n"/>
      <c r="F989" s="537" t="n"/>
      <c r="G989" s="113" t="n"/>
    </row>
    <row r="990" ht="18.75" customHeight="1">
      <c r="A990" s="113" t="n"/>
      <c r="B990" s="540" t="n"/>
      <c r="C990" s="540" t="n"/>
      <c r="D990" s="540" t="n"/>
      <c r="E990" s="113" t="n"/>
      <c r="F990" s="537" t="n"/>
      <c r="G990" s="113" t="n"/>
    </row>
    <row r="991" ht="18.75" customHeight="1">
      <c r="A991" s="113" t="n"/>
      <c r="B991" s="540" t="n"/>
      <c r="C991" s="540" t="n"/>
      <c r="D991" s="540" t="n"/>
      <c r="E991" s="113" t="n"/>
      <c r="F991" s="537" t="n"/>
      <c r="G991" s="113" t="n"/>
    </row>
    <row r="992" ht="18.75" customHeight="1">
      <c r="A992" s="113" t="n"/>
      <c r="B992" s="540" t="n"/>
      <c r="C992" s="540" t="n"/>
      <c r="D992" s="540" t="n"/>
      <c r="E992" s="113" t="n"/>
      <c r="F992" s="537" t="n"/>
      <c r="G992" s="113" t="n"/>
    </row>
    <row r="993" ht="18.75" customHeight="1">
      <c r="A993" s="113" t="n"/>
      <c r="B993" s="540" t="n"/>
      <c r="C993" s="540" t="n"/>
      <c r="D993" s="540" t="n"/>
      <c r="E993" s="113" t="n"/>
      <c r="F993" s="537" t="n"/>
      <c r="G993" s="113" t="n"/>
    </row>
    <row r="994" ht="18.75" customHeight="1">
      <c r="A994" s="113" t="n"/>
      <c r="B994" s="540" t="n"/>
      <c r="C994" s="540" t="n"/>
      <c r="D994" s="540" t="n"/>
      <c r="E994" s="113" t="n"/>
      <c r="F994" s="537" t="n"/>
      <c r="G994" s="113" t="n"/>
    </row>
    <row r="995" ht="18.75" customHeight="1">
      <c r="A995" s="113" t="n"/>
      <c r="B995" s="540" t="n"/>
      <c r="C995" s="540" t="n"/>
      <c r="D995" s="540" t="n"/>
      <c r="E995" s="113" t="n"/>
      <c r="F995" s="537" t="n"/>
      <c r="G995" s="113" t="n"/>
    </row>
    <row r="996" ht="18.75" customHeight="1">
      <c r="A996" s="113" t="n"/>
      <c r="B996" s="540" t="n"/>
      <c r="C996" s="540" t="n"/>
      <c r="D996" s="540" t="n"/>
      <c r="E996" s="113" t="n"/>
      <c r="F996" s="537" t="n"/>
      <c r="G996" s="113" t="n"/>
    </row>
    <row r="997" ht="18.75" customHeight="1">
      <c r="A997" s="113" t="n"/>
      <c r="B997" s="540" t="n"/>
      <c r="C997" s="540" t="n"/>
      <c r="D997" s="540" t="n"/>
      <c r="E997" s="113" t="n"/>
      <c r="F997" s="537" t="n"/>
      <c r="G997" s="113" t="n"/>
    </row>
    <row r="998" ht="18.75" customHeight="1">
      <c r="A998" s="113" t="n"/>
      <c r="B998" s="540" t="n"/>
      <c r="C998" s="540" t="n"/>
      <c r="D998" s="540" t="n"/>
      <c r="E998" s="113" t="n"/>
      <c r="F998" s="537" t="n"/>
      <c r="G998" s="113" t="n"/>
    </row>
    <row r="999" ht="18.75" customHeight="1">
      <c r="A999" s="113" t="n"/>
      <c r="B999" s="540" t="n"/>
      <c r="C999" s="540" t="n"/>
      <c r="D999" s="540" t="n"/>
      <c r="E999" s="113" t="n"/>
      <c r="F999" s="537" t="n"/>
      <c r="G999" s="113" t="n"/>
    </row>
    <row r="1000" ht="18.75" customHeight="1">
      <c r="A1000" s="113" t="n"/>
      <c r="B1000" s="540" t="n"/>
      <c r="C1000" s="540" t="n"/>
      <c r="D1000" s="540" t="n"/>
      <c r="E1000" s="113" t="n"/>
      <c r="F1000" s="537" t="n"/>
      <c r="G1000" s="113" t="n"/>
    </row>
  </sheetData>
  <pageMargins left="0.7" right="0.7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2026-06-04T16:59:09Z</dcterms:created>
  <dcterms:modified xsi:type="dcterms:W3CDTF">2026-06-04T16:59:27Z</dcterms:modified>
</cp:coreProperties>
</file>